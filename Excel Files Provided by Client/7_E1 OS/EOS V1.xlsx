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ata" sheetId="1" r:id="rId4"/>
    <sheet state="visible" name="START HERE" sheetId="2" r:id="rId5"/>
    <sheet state="visible" name="Order Flow" sheetId="3" r:id="rId6"/>
    <sheet state="visible" name="Daily Production" sheetId="4" r:id="rId7"/>
    <sheet state="visible" name="QC &amp; Wastage" sheetId="5" r:id="rId8"/>
    <sheet state="visible" name="Inventory Transactions" sheetId="6" r:id="rId9"/>
    <sheet state="visible" name="Dispatch" sheetId="7" r:id="rId10"/>
    <sheet state="visible" name="Attendance" sheetId="8" r:id="rId11"/>
    <sheet state="visible" name="Dashboard" sheetId="9" r:id="rId12"/>
    <sheet state="visible" name="V2 Questionnaire" sheetId="10" r:id="rId13"/>
  </sheets>
  <definedNames/>
  <calcPr/>
  <extLst>
    <ext uri="GoogleSheetsCustomDataVersion2">
      <go:sheetsCustomData xmlns:go="http://customooxmlschemas.google.com/" r:id="rId14" roundtripDataChecksum="geoYWgx7SWVLFflhMP+mpf0Fn3WEgx1+WETbV05DW/g="/>
    </ext>
  </extLst>
</workbook>
</file>

<file path=xl/sharedStrings.xml><?xml version="1.0" encoding="utf-8"?>
<sst xmlns="http://schemas.openxmlformats.org/spreadsheetml/2006/main" count="231" uniqueCount="194">
  <si>
    <t>ORDER FLOW &amp; PRIORITY REGISTER</t>
  </si>
  <si>
    <t>ENFLOW SANITARY - MASTER DATA</t>
  </si>
  <si>
    <t>Customers</t>
  </si>
  <si>
    <t>ENFLOW OPERATIONS CONTROL - START HERE</t>
  </si>
  <si>
    <t>DAILY PRODUCTION PLAN &amp; ACTUAL</t>
  </si>
  <si>
    <t>Order ID</t>
  </si>
  <si>
    <t>Brands</t>
  </si>
  <si>
    <t>Products</t>
  </si>
  <si>
    <t>Order Date</t>
  </si>
  <si>
    <t>Pipe Sizes</t>
  </si>
  <si>
    <t>Customer</t>
  </si>
  <si>
    <t>Labour Names</t>
  </si>
  <si>
    <t>Brand</t>
  </si>
  <si>
    <t>Machines</t>
  </si>
  <si>
    <t>Purpose</t>
  </si>
  <si>
    <t>Priority</t>
  </si>
  <si>
    <t>Product</t>
  </si>
  <si>
    <t>Status</t>
  </si>
  <si>
    <t>Pipe Size</t>
  </si>
  <si>
    <t>Plan Date</t>
  </si>
  <si>
    <t>Defect Types</t>
  </si>
  <si>
    <t>Order Qty</t>
  </si>
  <si>
    <t>Inventory Types</t>
  </si>
  <si>
    <t>Required Date</t>
  </si>
  <si>
    <t>Customer A</t>
  </si>
  <si>
    <t>Material Ready?</t>
  </si>
  <si>
    <t>One live workbook for Taha, Shivakumar and the owner.</t>
  </si>
  <si>
    <t>Enflow</t>
  </si>
  <si>
    <t>Qty Produced</t>
  </si>
  <si>
    <t>Round Nut Pipe</t>
  </si>
  <si>
    <t>Daily flow</t>
  </si>
  <si>
    <t>18 inch</t>
  </si>
  <si>
    <t>Qty Dispatched</t>
  </si>
  <si>
    <t>Labour</t>
  </si>
  <si>
    <t>Labour 1</t>
  </si>
  <si>
    <t>Taha enters orders -&gt; Shivakumar plans production -&gt; records actual/QC/inventory/dispatch -&gt; Taha reviews dashboard.</t>
  </si>
  <si>
    <t>Machine 1</t>
  </si>
  <si>
    <t>Balance</t>
  </si>
  <si>
    <t>Machine</t>
  </si>
  <si>
    <t>Urgent</t>
  </si>
  <si>
    <t>Not Started</t>
  </si>
  <si>
    <t>Golden rule</t>
  </si>
  <si>
    <t>Days to Due</t>
  </si>
  <si>
    <t>Missing Washer</t>
  </si>
  <si>
    <t>Slot</t>
  </si>
  <si>
    <t>Purchase In</t>
  </si>
  <si>
    <t>Use the same Order ID in every tab. Never re-create the same order under a different number.</t>
  </si>
  <si>
    <t>Remarks</t>
  </si>
  <si>
    <t>Target Qty</t>
  </si>
  <si>
    <t>Taha owns</t>
  </si>
  <si>
    <t>Customer B</t>
  </si>
  <si>
    <t>OEM Brand 1</t>
  </si>
  <si>
    <t>Customer communication, priorities, approvals and exceptions.</t>
  </si>
  <si>
    <t>Good Qty</t>
  </si>
  <si>
    <t>Hex Nut Pipe</t>
  </si>
  <si>
    <t>24 inch</t>
  </si>
  <si>
    <t>Rework Qty</t>
  </si>
  <si>
    <t>Shivakumar owns</t>
  </si>
  <si>
    <t>Labour 2</t>
  </si>
  <si>
    <t>Machine 2</t>
  </si>
  <si>
    <t>Production execution, labour allocation, QC, stock entries, packing, dispatch preparation and daily reporting.</t>
  </si>
  <si>
    <t>Scrap Qty</t>
  </si>
  <si>
    <t>Last Updated</t>
  </si>
  <si>
    <t>High</t>
  </si>
  <si>
    <t>Planned</t>
  </si>
  <si>
    <t>Owner uses</t>
  </si>
  <si>
    <t>Total Input</t>
  </si>
  <si>
    <t>Loose Assembly</t>
  </si>
  <si>
    <t>Issue to Production</t>
  </si>
  <si>
    <t>Dashboard and exception review; not daily data entry.</t>
  </si>
  <si>
    <t>Achievement %</t>
  </si>
  <si>
    <t>Customer C</t>
  </si>
  <si>
    <t>Google Drive</t>
  </si>
  <si>
    <t>Wastage %</t>
  </si>
  <si>
    <t>OEM Brand 2</t>
  </si>
  <si>
    <t>Upload and open with Google Sheets. Keep only one live copy and protect formula columns.</t>
  </si>
  <si>
    <t>30 inch</t>
  </si>
  <si>
    <t>Labour 3</t>
  </si>
  <si>
    <t>Machine 3</t>
  </si>
  <si>
    <t>Normal</t>
  </si>
  <si>
    <t>In Production</t>
  </si>
  <si>
    <t>Wrong Nut</t>
  </si>
  <si>
    <t>Return</t>
  </si>
  <si>
    <t>Problem / Reason</t>
  </si>
  <si>
    <t>36 inch</t>
  </si>
  <si>
    <t>Labour 4</t>
  </si>
  <si>
    <t>Checked By</t>
  </si>
  <si>
    <t>Low</t>
  </si>
  <si>
    <t>QC Pending</t>
  </si>
  <si>
    <t>Wrong Cover</t>
  </si>
  <si>
    <t>Adjustment In</t>
  </si>
  <si>
    <t>1 metre</t>
  </si>
  <si>
    <t>Packed</t>
  </si>
  <si>
    <t>Wrong Sticker</t>
  </si>
  <si>
    <t>Adjustment Out</t>
  </si>
  <si>
    <t>Dispatched</t>
  </si>
  <si>
    <t>Pipe Scratch</t>
  </si>
  <si>
    <t>Scrap</t>
  </si>
  <si>
    <t>On Hold</t>
  </si>
  <si>
    <t>Nut Flash</t>
  </si>
  <si>
    <t>Dimension Issue</t>
  </si>
  <si>
    <t>Short Quantity</t>
  </si>
  <si>
    <t>Other</t>
  </si>
  <si>
    <t>QC INSPECTION, REWORK &amp; WASTAGE LOG</t>
  </si>
  <si>
    <t>Date</t>
  </si>
  <si>
    <t>Time</t>
  </si>
  <si>
    <t>QC Stage</t>
  </si>
  <si>
    <t>Sample Checked</t>
  </si>
  <si>
    <t>Defect Type</t>
  </si>
  <si>
    <t>Defect Qty</t>
  </si>
  <si>
    <t>Defect %</t>
  </si>
  <si>
    <t>Root Cause</t>
  </si>
  <si>
    <t>Immediate Action</t>
  </si>
  <si>
    <t>Responsible</t>
  </si>
  <si>
    <t>Follow-up Date</t>
  </si>
  <si>
    <t>Closed?</t>
  </si>
  <si>
    <t>Verified By</t>
  </si>
  <si>
    <t>INVENTORY TRANSACTION REGISTER</t>
  </si>
  <si>
    <t>Transaction ID</t>
  </si>
  <si>
    <t>Item Code</t>
  </si>
  <si>
    <t>Item Name</t>
  </si>
  <si>
    <t>Category</t>
  </si>
  <si>
    <t>Transaction Type</t>
  </si>
  <si>
    <t>Qty In</t>
  </si>
  <si>
    <t>Qty Out</t>
  </si>
  <si>
    <t>Unit</t>
  </si>
  <si>
    <t>Vendor / Department</t>
  </si>
  <si>
    <t>Order / PO Ref</t>
  </si>
  <si>
    <t>Entered By</t>
  </si>
  <si>
    <t>PACKING &amp; DISPATCH REGISTER</t>
  </si>
  <si>
    <t>Dispatch Date</t>
  </si>
  <si>
    <t>Packing List No.</t>
  </si>
  <si>
    <t>Invoice No.</t>
  </si>
  <si>
    <t>Transporter</t>
  </si>
  <si>
    <t>Vehicle / LR No.</t>
  </si>
  <si>
    <t>Correct Cover?</t>
  </si>
  <si>
    <t>Correct Sticker?</t>
  </si>
  <si>
    <t>Bundle Verified?</t>
  </si>
  <si>
    <t>Outer Marking Verified?</t>
  </si>
  <si>
    <t>Final QC Passed?</t>
  </si>
  <si>
    <t>Approved By</t>
  </si>
  <si>
    <t>DAILY ATTENDANCE &amp; LABOUR AVAILABILITY</t>
  </si>
  <si>
    <t>Employee / Labour</t>
  </si>
  <si>
    <t>Role</t>
  </si>
  <si>
    <t>In Time</t>
  </si>
  <si>
    <t>Out Time</t>
  </si>
  <si>
    <t>Late Minutes</t>
  </si>
  <si>
    <t>Assigned Work</t>
  </si>
  <si>
    <t>Production Qty</t>
  </si>
  <si>
    <t>ENFLOW OPERATIONS DASHBOARD</t>
  </si>
  <si>
    <t>Pending Orders</t>
  </si>
  <si>
    <t>Today's Target</t>
  </si>
  <si>
    <t>Today's Defects</t>
  </si>
  <si>
    <t>Today's Dispatch Qty</t>
  </si>
  <si>
    <t>Overdue Orders</t>
  </si>
  <si>
    <t>Today's Good Output</t>
  </si>
  <si>
    <t>Today's Scrap</t>
  </si>
  <si>
    <t>Held Dispatches</t>
  </si>
  <si>
    <t>Today's Achievement %</t>
  </si>
  <si>
    <t>DAILY REVIEW: overdue orders, held dispatches, high wastage, stock shortages and pending QC.</t>
  </si>
  <si>
    <t>QUESTIONS FOR CUSTOMISING VERSION 2</t>
  </si>
  <si>
    <t>Area</t>
  </si>
  <si>
    <t>Question</t>
  </si>
  <si>
    <t>Your Answer</t>
  </si>
  <si>
    <t>Why Needed</t>
  </si>
  <si>
    <t>Production</t>
  </si>
  <si>
    <t>How many assembly machines are active?</t>
  </si>
  <si>
    <t>9 machines and 9 labors are active</t>
  </si>
  <si>
    <t>Machine-wise capacity and wastage</t>
  </si>
  <si>
    <t>List all product lengths and variants.</t>
  </si>
  <si>
    <t>Correct dropdowns</t>
  </si>
  <si>
    <t>What is the target per labour for each size?</t>
  </si>
  <si>
    <t>Suggested targets</t>
  </si>
  <si>
    <t>Can one labour change machines/orders during a day?</t>
  </si>
  <si>
    <t>Planning method</t>
  </si>
  <si>
    <t>Quality</t>
  </si>
  <si>
    <t>What are the ten most common defects?</t>
  </si>
  <si>
    <t>QC analysis</t>
  </si>
  <si>
    <t>How many compulsory QC rounds and at what times?</t>
  </si>
  <si>
    <t>Compliance</t>
  </si>
  <si>
    <t>Inventory</t>
  </si>
  <si>
    <t>Which materials must be tracked daily?</t>
  </si>
  <si>
    <t>Item master</t>
  </si>
  <si>
    <t>Is material issued order-wise, labour-wise or machine-wise?</t>
  </si>
  <si>
    <t>Consumption tracking</t>
  </si>
  <si>
    <t>Dispatch</t>
  </si>
  <si>
    <t>Who gives final approval?</t>
  </si>
  <si>
    <t>Authority</t>
  </si>
  <si>
    <t>Attendance</t>
  </si>
  <si>
    <t>Are labourers paid daily, monthly or piece-rate?</t>
  </si>
  <si>
    <t>Productivity link</t>
  </si>
  <si>
    <t>Dashboard</t>
  </si>
  <si>
    <t>Which five KPIs should the owner see daily?</t>
  </si>
  <si>
    <t>Dashboard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</si>
</sst>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m-yyyy"/>
    <numFmt numFmtId="165" formatCode="0.0%"/>
    <numFmt numFmtId="166" formatCode="hh:mm"/>
  </numFmts>
  <fonts count="7">
    <font>
      <sz val="11.0"/>
      <color rgb="FF000000"/>
      <name val="Carlito"/>
      <scheme val="minor"/>
    </font>
    <font>
      <b/>
      <sz val="15.0"/>
      <color rgb="FFFFFFFF"/>
      <name val="Carlito"/>
    </font>
    <font>
      <b/>
      <sz val="11.0"/>
      <color rgb="FFFFFFFF"/>
      <name val="Carlito"/>
    </font>
    <font>
      <b/>
      <sz val="11.0"/>
      <color theme="1"/>
      <name val="Carlito"/>
    </font>
    <font>
      <color theme="1"/>
      <name val="Carlito"/>
      <scheme val="minor"/>
    </font>
    <font>
      <sz val="11.0"/>
      <color theme="1"/>
      <name val="Carlito"/>
    </font>
    <font>
      <b/>
      <sz val="16.0"/>
      <color rgb="FF1F4E78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Font="1"/>
    <xf borderId="0" fillId="2" fontId="2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shrinkToFit="0" wrapText="1"/>
    </xf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5" numFmtId="164" xfId="0" applyFont="1" applyNumberFormat="1"/>
    <xf borderId="0" fillId="0" fontId="5" numFmtId="165" xfId="0" applyFont="1" applyNumberFormat="1"/>
    <xf borderId="0" fillId="0" fontId="5" numFmtId="166" xfId="0" applyFont="1" applyNumberFormat="1"/>
    <xf borderId="0" fillId="3" fontId="3" numFmtId="0" xfId="0" applyAlignment="1" applyFont="1">
      <alignment horizontal="center" shrinkToFit="0" wrapText="1"/>
    </xf>
    <xf borderId="0" fillId="0" fontId="6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4" fontId="3" numFmtId="0" xfId="0" applyAlignment="1" applyFill="1" applyFont="1">
      <alignment horizontal="center"/>
    </xf>
    <xf borderId="0" fillId="2" fontId="1" numFmtId="0" xfId="0" applyAlignment="1" applyFont="1">
      <alignment horizontal="center" shrinkToFit="0" vertical="center" wrapText="1"/>
    </xf>
    <xf borderId="0" fillId="3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20.0"/>
    <col customWidth="1" min="11" max="26" width="8.63"/>
  </cols>
  <sheetData>
    <row r="1">
      <c r="A1" s="1" t="s">
        <v>1</v>
      </c>
    </row>
    <row r="3">
      <c r="A3" s="2" t="s">
        <v>2</v>
      </c>
      <c r="B3" s="2" t="s">
        <v>6</v>
      </c>
      <c r="C3" s="2" t="s">
        <v>7</v>
      </c>
      <c r="D3" s="2" t="s">
        <v>9</v>
      </c>
      <c r="E3" s="2" t="s">
        <v>11</v>
      </c>
      <c r="F3" s="2" t="s">
        <v>13</v>
      </c>
      <c r="G3" s="2" t="s">
        <v>15</v>
      </c>
      <c r="H3" s="2" t="s">
        <v>17</v>
      </c>
      <c r="I3" s="2" t="s">
        <v>20</v>
      </c>
      <c r="J3" s="2" t="s">
        <v>22</v>
      </c>
    </row>
    <row r="4">
      <c r="A4" s="5" t="s">
        <v>24</v>
      </c>
      <c r="B4" s="5" t="s">
        <v>27</v>
      </c>
      <c r="C4" s="5" t="s">
        <v>29</v>
      </c>
      <c r="D4" s="5" t="s">
        <v>31</v>
      </c>
      <c r="E4" s="5" t="s">
        <v>34</v>
      </c>
      <c r="F4" s="5" t="s">
        <v>36</v>
      </c>
      <c r="G4" s="5" t="s">
        <v>39</v>
      </c>
      <c r="H4" s="5" t="s">
        <v>40</v>
      </c>
      <c r="I4" s="5" t="s">
        <v>43</v>
      </c>
      <c r="J4" s="5" t="s">
        <v>45</v>
      </c>
    </row>
    <row r="5">
      <c r="A5" s="5" t="s">
        <v>50</v>
      </c>
      <c r="B5" s="5" t="s">
        <v>51</v>
      </c>
      <c r="C5" s="5" t="s">
        <v>54</v>
      </c>
      <c r="D5" s="5" t="s">
        <v>55</v>
      </c>
      <c r="E5" s="5" t="s">
        <v>58</v>
      </c>
      <c r="F5" s="5" t="s">
        <v>59</v>
      </c>
      <c r="G5" s="5" t="s">
        <v>63</v>
      </c>
      <c r="H5" s="5" t="s">
        <v>64</v>
      </c>
      <c r="I5" s="5" t="s">
        <v>67</v>
      </c>
      <c r="J5" s="5" t="s">
        <v>68</v>
      </c>
    </row>
    <row r="6">
      <c r="A6" s="5" t="s">
        <v>71</v>
      </c>
      <c r="B6" s="5" t="s">
        <v>74</v>
      </c>
      <c r="D6" s="5" t="s">
        <v>76</v>
      </c>
      <c r="E6" s="5" t="s">
        <v>77</v>
      </c>
      <c r="F6" s="5" t="s">
        <v>78</v>
      </c>
      <c r="G6" s="5" t="s">
        <v>79</v>
      </c>
      <c r="H6" s="5" t="s">
        <v>80</v>
      </c>
      <c r="I6" s="5" t="s">
        <v>81</v>
      </c>
      <c r="J6" s="5" t="s">
        <v>82</v>
      </c>
    </row>
    <row r="7">
      <c r="D7" s="5" t="s">
        <v>84</v>
      </c>
      <c r="E7" s="5" t="s">
        <v>85</v>
      </c>
      <c r="G7" s="5" t="s">
        <v>87</v>
      </c>
      <c r="H7" s="5" t="s">
        <v>88</v>
      </c>
      <c r="I7" s="5" t="s">
        <v>89</v>
      </c>
      <c r="J7" s="5" t="s">
        <v>90</v>
      </c>
    </row>
    <row r="8">
      <c r="D8" s="5" t="s">
        <v>91</v>
      </c>
      <c r="H8" s="5" t="s">
        <v>92</v>
      </c>
      <c r="I8" s="5" t="s">
        <v>93</v>
      </c>
      <c r="J8" s="5" t="s">
        <v>94</v>
      </c>
    </row>
    <row r="9">
      <c r="H9" s="5" t="s">
        <v>95</v>
      </c>
      <c r="I9" s="5" t="s">
        <v>96</v>
      </c>
      <c r="J9" s="5" t="s">
        <v>97</v>
      </c>
    </row>
    <row r="10">
      <c r="H10" s="5" t="s">
        <v>98</v>
      </c>
      <c r="I10" s="5" t="s">
        <v>99</v>
      </c>
    </row>
    <row r="11">
      <c r="I11" s="5" t="s">
        <v>100</v>
      </c>
    </row>
    <row r="12">
      <c r="I12" s="5" t="s">
        <v>101</v>
      </c>
    </row>
    <row r="13">
      <c r="I13" s="5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80.0"/>
    <col customWidth="1" min="3" max="26" width="8.63"/>
  </cols>
  <sheetData>
    <row r="1">
      <c r="A1" s="1" t="s">
        <v>3</v>
      </c>
    </row>
    <row r="3" ht="42.0" customHeight="1">
      <c r="A3" s="4" t="s">
        <v>14</v>
      </c>
      <c r="B3" s="6" t="s">
        <v>26</v>
      </c>
    </row>
    <row r="4" ht="42.0" customHeight="1">
      <c r="A4" s="4" t="s">
        <v>30</v>
      </c>
      <c r="B4" s="6" t="s">
        <v>35</v>
      </c>
    </row>
    <row r="5" ht="42.0" customHeight="1">
      <c r="A5" s="4" t="s">
        <v>41</v>
      </c>
      <c r="B5" s="6" t="s">
        <v>46</v>
      </c>
    </row>
    <row r="6" ht="42.0" customHeight="1">
      <c r="A6" s="4" t="s">
        <v>49</v>
      </c>
      <c r="B6" s="6" t="s">
        <v>52</v>
      </c>
    </row>
    <row r="7" ht="42.0" customHeight="1">
      <c r="A7" s="4" t="s">
        <v>57</v>
      </c>
      <c r="B7" s="6" t="s">
        <v>60</v>
      </c>
    </row>
    <row r="8" ht="42.0" customHeight="1">
      <c r="A8" s="4" t="s">
        <v>65</v>
      </c>
      <c r="B8" s="6" t="s">
        <v>69</v>
      </c>
    </row>
    <row r="9" ht="42.0" customHeight="1">
      <c r="A9" s="4" t="s">
        <v>72</v>
      </c>
      <c r="B9" s="6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0"/>
    <col customWidth="1" min="3" max="6" width="18.0"/>
    <col customWidth="1" min="7" max="15" width="14.0"/>
    <col customWidth="1" min="16" max="16" width="28.0"/>
    <col customWidth="1" min="17" max="17" width="14.0"/>
    <col customWidth="1" min="18" max="26" width="8.63"/>
  </cols>
  <sheetData>
    <row r="1">
      <c r="A1" s="1" t="s">
        <v>0</v>
      </c>
    </row>
    <row r="3">
      <c r="A3" s="3" t="s">
        <v>5</v>
      </c>
      <c r="B3" s="3" t="s">
        <v>8</v>
      </c>
      <c r="C3" s="3" t="s">
        <v>10</v>
      </c>
      <c r="D3" s="3" t="s">
        <v>12</v>
      </c>
      <c r="E3" s="3" t="s">
        <v>16</v>
      </c>
      <c r="F3" s="3" t="s">
        <v>18</v>
      </c>
      <c r="G3" s="3" t="s">
        <v>21</v>
      </c>
      <c r="H3" s="3" t="s">
        <v>23</v>
      </c>
      <c r="I3" s="3" t="s">
        <v>15</v>
      </c>
      <c r="J3" s="3" t="s">
        <v>25</v>
      </c>
      <c r="K3" s="3" t="s">
        <v>17</v>
      </c>
      <c r="L3" s="3" t="s">
        <v>28</v>
      </c>
      <c r="M3" s="3" t="s">
        <v>32</v>
      </c>
      <c r="N3" s="3" t="s">
        <v>37</v>
      </c>
      <c r="O3" s="3" t="s">
        <v>42</v>
      </c>
      <c r="P3" s="3" t="s">
        <v>47</v>
      </c>
      <c r="Q3" s="3" t="s">
        <v>62</v>
      </c>
    </row>
    <row r="4">
      <c r="B4" s="7"/>
      <c r="C4" s="5"/>
      <c r="D4" s="5"/>
      <c r="E4" s="5"/>
      <c r="F4" s="5"/>
      <c r="H4" s="7"/>
      <c r="I4" s="5"/>
      <c r="J4" s="5"/>
      <c r="K4" s="5"/>
      <c r="L4" s="5">
        <f>SUMIF('Daily Production'!$B$4:$B$203,A4,'Daily Production'!$K$4:$K$203)</f>
        <v>0</v>
      </c>
      <c r="M4" s="5">
        <f>SUMIF(Dispatch!$B$4:$B$153,A4,Dispatch!$F$4:$F$153)</f>
        <v>0</v>
      </c>
      <c r="N4" s="5">
        <f t="shared" ref="N4:N103" si="1">MAX(0,G4-M4)</f>
        <v>0</v>
      </c>
      <c r="O4" s="5" t="str">
        <f t="shared" ref="O4:O103" si="2">IF(H4="","",H4-TODAY())</f>
        <v/>
      </c>
    </row>
    <row r="5">
      <c r="B5" s="7"/>
      <c r="C5" s="5"/>
      <c r="D5" s="5"/>
      <c r="E5" s="5"/>
      <c r="F5" s="5"/>
      <c r="H5" s="7"/>
      <c r="I5" s="5"/>
      <c r="J5" s="5"/>
      <c r="K5" s="5"/>
      <c r="L5" s="5">
        <f>SUMIF('Daily Production'!$B$4:$B$203,A5,'Daily Production'!$K$4:$K$203)</f>
        <v>0</v>
      </c>
      <c r="M5" s="5">
        <f>SUMIF(Dispatch!$B$4:$B$153,A5,Dispatch!$F$4:$F$153)</f>
        <v>0</v>
      </c>
      <c r="N5" s="5">
        <f t="shared" si="1"/>
        <v>0</v>
      </c>
      <c r="O5" s="5" t="str">
        <f t="shared" si="2"/>
        <v/>
      </c>
    </row>
    <row r="6">
      <c r="B6" s="7"/>
      <c r="C6" s="5"/>
      <c r="D6" s="5"/>
      <c r="E6" s="5"/>
      <c r="F6" s="5"/>
      <c r="H6" s="7"/>
      <c r="I6" s="5"/>
      <c r="J6" s="5"/>
      <c r="K6" s="5"/>
      <c r="L6" s="5">
        <f>SUMIF('Daily Production'!$B$4:$B$203,A6,'Daily Production'!$K$4:$K$203)</f>
        <v>0</v>
      </c>
      <c r="M6" s="5">
        <f>SUMIF(Dispatch!$B$4:$B$153,A6,Dispatch!$F$4:$F$153)</f>
        <v>0</v>
      </c>
      <c r="N6" s="5">
        <f t="shared" si="1"/>
        <v>0</v>
      </c>
      <c r="O6" s="5" t="str">
        <f t="shared" si="2"/>
        <v/>
      </c>
    </row>
    <row r="7">
      <c r="B7" s="7"/>
      <c r="C7" s="5"/>
      <c r="D7" s="5"/>
      <c r="E7" s="5"/>
      <c r="F7" s="5"/>
      <c r="H7" s="7"/>
      <c r="I7" s="5"/>
      <c r="J7" s="5"/>
      <c r="K7" s="5"/>
      <c r="L7" s="5">
        <f>SUMIF('Daily Production'!$B$4:$B$203,A7,'Daily Production'!$K$4:$K$203)</f>
        <v>0</v>
      </c>
      <c r="M7" s="5">
        <f>SUMIF(Dispatch!$B$4:$B$153,A7,Dispatch!$F$4:$F$153)</f>
        <v>0</v>
      </c>
      <c r="N7" s="5">
        <f t="shared" si="1"/>
        <v>0</v>
      </c>
      <c r="O7" s="5" t="str">
        <f t="shared" si="2"/>
        <v/>
      </c>
    </row>
    <row r="8">
      <c r="B8" s="7"/>
      <c r="C8" s="5"/>
      <c r="D8" s="5"/>
      <c r="E8" s="5"/>
      <c r="F8" s="5"/>
      <c r="H8" s="7"/>
      <c r="I8" s="5"/>
      <c r="J8" s="5"/>
      <c r="K8" s="5"/>
      <c r="L8" s="5">
        <f>SUMIF('Daily Production'!$B$4:$B$203,A8,'Daily Production'!$K$4:$K$203)</f>
        <v>0</v>
      </c>
      <c r="M8" s="5">
        <f>SUMIF(Dispatch!$B$4:$B$153,A8,Dispatch!$F$4:$F$153)</f>
        <v>0</v>
      </c>
      <c r="N8" s="5">
        <f t="shared" si="1"/>
        <v>0</v>
      </c>
      <c r="O8" s="5" t="str">
        <f t="shared" si="2"/>
        <v/>
      </c>
    </row>
    <row r="9">
      <c r="B9" s="7"/>
      <c r="C9" s="5"/>
      <c r="D9" s="5"/>
      <c r="E9" s="5"/>
      <c r="F9" s="5"/>
      <c r="H9" s="7"/>
      <c r="I9" s="5"/>
      <c r="J9" s="5"/>
      <c r="K9" s="5"/>
      <c r="L9" s="5">
        <f>SUMIF('Daily Production'!$B$4:$B$203,A9,'Daily Production'!$K$4:$K$203)</f>
        <v>0</v>
      </c>
      <c r="M9" s="5">
        <f>SUMIF(Dispatch!$B$4:$B$153,A9,Dispatch!$F$4:$F$153)</f>
        <v>0</v>
      </c>
      <c r="N9" s="5">
        <f t="shared" si="1"/>
        <v>0</v>
      </c>
      <c r="O9" s="5" t="str">
        <f t="shared" si="2"/>
        <v/>
      </c>
    </row>
    <row r="10">
      <c r="B10" s="7"/>
      <c r="C10" s="5"/>
      <c r="D10" s="5"/>
      <c r="E10" s="5"/>
      <c r="F10" s="5"/>
      <c r="H10" s="7"/>
      <c r="I10" s="5"/>
      <c r="J10" s="5"/>
      <c r="K10" s="5"/>
      <c r="L10" s="5">
        <f>SUMIF('Daily Production'!$B$4:$B$203,A10,'Daily Production'!$K$4:$K$203)</f>
        <v>0</v>
      </c>
      <c r="M10" s="5">
        <f>SUMIF(Dispatch!$B$4:$B$153,A10,Dispatch!$F$4:$F$153)</f>
        <v>0</v>
      </c>
      <c r="N10" s="5">
        <f t="shared" si="1"/>
        <v>0</v>
      </c>
      <c r="O10" s="5" t="str">
        <f t="shared" si="2"/>
        <v/>
      </c>
    </row>
    <row r="11">
      <c r="B11" s="7"/>
      <c r="C11" s="5"/>
      <c r="D11" s="5"/>
      <c r="E11" s="5"/>
      <c r="F11" s="5"/>
      <c r="H11" s="7"/>
      <c r="I11" s="5"/>
      <c r="J11" s="5"/>
      <c r="K11" s="5"/>
      <c r="L11" s="5">
        <f>SUMIF('Daily Production'!$B$4:$B$203,A11,'Daily Production'!$K$4:$K$203)</f>
        <v>0</v>
      </c>
      <c r="M11" s="5">
        <f>SUMIF(Dispatch!$B$4:$B$153,A11,Dispatch!$F$4:$F$153)</f>
        <v>0</v>
      </c>
      <c r="N11" s="5">
        <f t="shared" si="1"/>
        <v>0</v>
      </c>
      <c r="O11" s="5" t="str">
        <f t="shared" si="2"/>
        <v/>
      </c>
    </row>
    <row r="12">
      <c r="B12" s="7"/>
      <c r="C12" s="5"/>
      <c r="D12" s="5"/>
      <c r="E12" s="5"/>
      <c r="F12" s="5"/>
      <c r="H12" s="7"/>
      <c r="I12" s="5"/>
      <c r="J12" s="5"/>
      <c r="K12" s="5"/>
      <c r="L12" s="5">
        <f>SUMIF('Daily Production'!$B$4:$B$203,A12,'Daily Production'!$K$4:$K$203)</f>
        <v>0</v>
      </c>
      <c r="M12" s="5">
        <f>SUMIF(Dispatch!$B$4:$B$153,A12,Dispatch!$F$4:$F$153)</f>
        <v>0</v>
      </c>
      <c r="N12" s="5">
        <f t="shared" si="1"/>
        <v>0</v>
      </c>
      <c r="O12" s="5" t="str">
        <f t="shared" si="2"/>
        <v/>
      </c>
    </row>
    <row r="13">
      <c r="B13" s="7"/>
      <c r="C13" s="5"/>
      <c r="D13" s="5"/>
      <c r="E13" s="5"/>
      <c r="F13" s="5"/>
      <c r="H13" s="7"/>
      <c r="I13" s="5"/>
      <c r="J13" s="5"/>
      <c r="K13" s="5"/>
      <c r="L13" s="5">
        <f>SUMIF('Daily Production'!$B$4:$B$203,A13,'Daily Production'!$K$4:$K$203)</f>
        <v>0</v>
      </c>
      <c r="M13" s="5">
        <f>SUMIF(Dispatch!$B$4:$B$153,A13,Dispatch!$F$4:$F$153)</f>
        <v>0</v>
      </c>
      <c r="N13" s="5">
        <f t="shared" si="1"/>
        <v>0</v>
      </c>
      <c r="O13" s="5" t="str">
        <f t="shared" si="2"/>
        <v/>
      </c>
    </row>
    <row r="14">
      <c r="B14" s="7"/>
      <c r="C14" s="5"/>
      <c r="D14" s="5"/>
      <c r="E14" s="5"/>
      <c r="F14" s="5"/>
      <c r="H14" s="7"/>
      <c r="I14" s="5"/>
      <c r="J14" s="5"/>
      <c r="K14" s="5"/>
      <c r="L14" s="5">
        <f>SUMIF('Daily Production'!$B$4:$B$203,A14,'Daily Production'!$K$4:$K$203)</f>
        <v>0</v>
      </c>
      <c r="M14" s="5">
        <f>SUMIF(Dispatch!$B$4:$B$153,A14,Dispatch!$F$4:$F$153)</f>
        <v>0</v>
      </c>
      <c r="N14" s="5">
        <f t="shared" si="1"/>
        <v>0</v>
      </c>
      <c r="O14" s="5" t="str">
        <f t="shared" si="2"/>
        <v/>
      </c>
    </row>
    <row r="15">
      <c r="B15" s="7"/>
      <c r="C15" s="5"/>
      <c r="D15" s="5"/>
      <c r="E15" s="5"/>
      <c r="F15" s="5"/>
      <c r="H15" s="7"/>
      <c r="I15" s="5"/>
      <c r="J15" s="5"/>
      <c r="K15" s="5"/>
      <c r="L15" s="5">
        <f>SUMIF('Daily Production'!$B$4:$B$203,A15,'Daily Production'!$K$4:$K$203)</f>
        <v>0</v>
      </c>
      <c r="M15" s="5">
        <f>SUMIF(Dispatch!$B$4:$B$153,A15,Dispatch!$F$4:$F$153)</f>
        <v>0</v>
      </c>
      <c r="N15" s="5">
        <f t="shared" si="1"/>
        <v>0</v>
      </c>
      <c r="O15" s="5" t="str">
        <f t="shared" si="2"/>
        <v/>
      </c>
    </row>
    <row r="16">
      <c r="B16" s="7"/>
      <c r="C16" s="5"/>
      <c r="D16" s="5"/>
      <c r="E16" s="5"/>
      <c r="F16" s="5"/>
      <c r="H16" s="7"/>
      <c r="I16" s="5"/>
      <c r="J16" s="5"/>
      <c r="K16" s="5"/>
      <c r="L16" s="5">
        <f>SUMIF('Daily Production'!$B$4:$B$203,A16,'Daily Production'!$K$4:$K$203)</f>
        <v>0</v>
      </c>
      <c r="M16" s="5">
        <f>SUMIF(Dispatch!$B$4:$B$153,A16,Dispatch!$F$4:$F$153)</f>
        <v>0</v>
      </c>
      <c r="N16" s="5">
        <f t="shared" si="1"/>
        <v>0</v>
      </c>
      <c r="O16" s="5" t="str">
        <f t="shared" si="2"/>
        <v/>
      </c>
    </row>
    <row r="17">
      <c r="B17" s="7"/>
      <c r="C17" s="5"/>
      <c r="D17" s="5"/>
      <c r="E17" s="5"/>
      <c r="F17" s="5"/>
      <c r="H17" s="7"/>
      <c r="I17" s="5"/>
      <c r="J17" s="5"/>
      <c r="K17" s="5"/>
      <c r="L17" s="5">
        <f>SUMIF('Daily Production'!$B$4:$B$203,A17,'Daily Production'!$K$4:$K$203)</f>
        <v>0</v>
      </c>
      <c r="M17" s="5">
        <f>SUMIF(Dispatch!$B$4:$B$153,A17,Dispatch!$F$4:$F$153)</f>
        <v>0</v>
      </c>
      <c r="N17" s="5">
        <f t="shared" si="1"/>
        <v>0</v>
      </c>
      <c r="O17" s="5" t="str">
        <f t="shared" si="2"/>
        <v/>
      </c>
    </row>
    <row r="18">
      <c r="B18" s="7"/>
      <c r="C18" s="5"/>
      <c r="D18" s="5"/>
      <c r="E18" s="5"/>
      <c r="F18" s="5"/>
      <c r="H18" s="7"/>
      <c r="I18" s="5"/>
      <c r="J18" s="5"/>
      <c r="K18" s="5"/>
      <c r="L18" s="5">
        <f>SUMIF('Daily Production'!$B$4:$B$203,A18,'Daily Production'!$K$4:$K$203)</f>
        <v>0</v>
      </c>
      <c r="M18" s="5">
        <f>SUMIF(Dispatch!$B$4:$B$153,A18,Dispatch!$F$4:$F$153)</f>
        <v>0</v>
      </c>
      <c r="N18" s="5">
        <f t="shared" si="1"/>
        <v>0</v>
      </c>
      <c r="O18" s="5" t="str">
        <f t="shared" si="2"/>
        <v/>
      </c>
    </row>
    <row r="19">
      <c r="B19" s="7"/>
      <c r="C19" s="5"/>
      <c r="D19" s="5"/>
      <c r="E19" s="5"/>
      <c r="F19" s="5"/>
      <c r="H19" s="7"/>
      <c r="I19" s="5"/>
      <c r="J19" s="5"/>
      <c r="K19" s="5"/>
      <c r="L19" s="5">
        <f>SUMIF('Daily Production'!$B$4:$B$203,A19,'Daily Production'!$K$4:$K$203)</f>
        <v>0</v>
      </c>
      <c r="M19" s="5">
        <f>SUMIF(Dispatch!$B$4:$B$153,A19,Dispatch!$F$4:$F$153)</f>
        <v>0</v>
      </c>
      <c r="N19" s="5">
        <f t="shared" si="1"/>
        <v>0</v>
      </c>
      <c r="O19" s="5" t="str">
        <f t="shared" si="2"/>
        <v/>
      </c>
    </row>
    <row r="20">
      <c r="B20" s="7"/>
      <c r="C20" s="5"/>
      <c r="D20" s="5"/>
      <c r="E20" s="5"/>
      <c r="F20" s="5"/>
      <c r="H20" s="7"/>
      <c r="I20" s="5"/>
      <c r="J20" s="5"/>
      <c r="K20" s="5"/>
      <c r="L20" s="5">
        <f>SUMIF('Daily Production'!$B$4:$B$203,A20,'Daily Production'!$K$4:$K$203)</f>
        <v>0</v>
      </c>
      <c r="M20" s="5">
        <f>SUMIF(Dispatch!$B$4:$B$153,A20,Dispatch!$F$4:$F$153)</f>
        <v>0</v>
      </c>
      <c r="N20" s="5">
        <f t="shared" si="1"/>
        <v>0</v>
      </c>
      <c r="O20" s="5" t="str">
        <f t="shared" si="2"/>
        <v/>
      </c>
    </row>
    <row r="21" ht="15.75" customHeight="1">
      <c r="B21" s="7"/>
      <c r="C21" s="5"/>
      <c r="D21" s="5"/>
      <c r="E21" s="5"/>
      <c r="F21" s="5"/>
      <c r="H21" s="7"/>
      <c r="I21" s="5"/>
      <c r="J21" s="5"/>
      <c r="K21" s="5"/>
      <c r="L21" s="5">
        <f>SUMIF('Daily Production'!$B$4:$B$203,A21,'Daily Production'!$K$4:$K$203)</f>
        <v>0</v>
      </c>
      <c r="M21" s="5">
        <f>SUMIF(Dispatch!$B$4:$B$153,A21,Dispatch!$F$4:$F$153)</f>
        <v>0</v>
      </c>
      <c r="N21" s="5">
        <f t="shared" si="1"/>
        <v>0</v>
      </c>
      <c r="O21" s="5" t="str">
        <f t="shared" si="2"/>
        <v/>
      </c>
    </row>
    <row r="22" ht="15.75" customHeight="1">
      <c r="B22" s="7"/>
      <c r="C22" s="5"/>
      <c r="D22" s="5"/>
      <c r="E22" s="5"/>
      <c r="F22" s="5"/>
      <c r="H22" s="7"/>
      <c r="I22" s="5"/>
      <c r="J22" s="5"/>
      <c r="K22" s="5"/>
      <c r="L22" s="5">
        <f>SUMIF('Daily Production'!$B$4:$B$203,A22,'Daily Production'!$K$4:$K$203)</f>
        <v>0</v>
      </c>
      <c r="M22" s="5">
        <f>SUMIF(Dispatch!$B$4:$B$153,A22,Dispatch!$F$4:$F$153)</f>
        <v>0</v>
      </c>
      <c r="N22" s="5">
        <f t="shared" si="1"/>
        <v>0</v>
      </c>
      <c r="O22" s="5" t="str">
        <f t="shared" si="2"/>
        <v/>
      </c>
    </row>
    <row r="23" ht="15.75" customHeight="1">
      <c r="B23" s="7"/>
      <c r="C23" s="5"/>
      <c r="D23" s="5"/>
      <c r="E23" s="5"/>
      <c r="F23" s="5"/>
      <c r="H23" s="7"/>
      <c r="I23" s="5"/>
      <c r="J23" s="5"/>
      <c r="K23" s="5"/>
      <c r="L23" s="5">
        <f>SUMIF('Daily Production'!$B$4:$B$203,A23,'Daily Production'!$K$4:$K$203)</f>
        <v>0</v>
      </c>
      <c r="M23" s="5">
        <f>SUMIF(Dispatch!$B$4:$B$153,A23,Dispatch!$F$4:$F$153)</f>
        <v>0</v>
      </c>
      <c r="N23" s="5">
        <f t="shared" si="1"/>
        <v>0</v>
      </c>
      <c r="O23" s="5" t="str">
        <f t="shared" si="2"/>
        <v/>
      </c>
    </row>
    <row r="24" ht="15.75" customHeight="1">
      <c r="B24" s="7"/>
      <c r="C24" s="5"/>
      <c r="D24" s="5"/>
      <c r="E24" s="5"/>
      <c r="F24" s="5"/>
      <c r="H24" s="7"/>
      <c r="I24" s="5"/>
      <c r="J24" s="5"/>
      <c r="K24" s="5"/>
      <c r="L24" s="5">
        <f>SUMIF('Daily Production'!$B$4:$B$203,A24,'Daily Production'!$K$4:$K$203)</f>
        <v>0</v>
      </c>
      <c r="M24" s="5">
        <f>SUMIF(Dispatch!$B$4:$B$153,A24,Dispatch!$F$4:$F$153)</f>
        <v>0</v>
      </c>
      <c r="N24" s="5">
        <f t="shared" si="1"/>
        <v>0</v>
      </c>
      <c r="O24" s="5" t="str">
        <f t="shared" si="2"/>
        <v/>
      </c>
    </row>
    <row r="25" ht="15.75" customHeight="1">
      <c r="B25" s="7"/>
      <c r="C25" s="5"/>
      <c r="D25" s="5"/>
      <c r="E25" s="5"/>
      <c r="F25" s="5"/>
      <c r="H25" s="7"/>
      <c r="I25" s="5"/>
      <c r="J25" s="5"/>
      <c r="K25" s="5"/>
      <c r="L25" s="5">
        <f>SUMIF('Daily Production'!$B$4:$B$203,A25,'Daily Production'!$K$4:$K$203)</f>
        <v>0</v>
      </c>
      <c r="M25" s="5">
        <f>SUMIF(Dispatch!$B$4:$B$153,A25,Dispatch!$F$4:$F$153)</f>
        <v>0</v>
      </c>
      <c r="N25" s="5">
        <f t="shared" si="1"/>
        <v>0</v>
      </c>
      <c r="O25" s="5" t="str">
        <f t="shared" si="2"/>
        <v/>
      </c>
    </row>
    <row r="26" ht="15.75" customHeight="1">
      <c r="B26" s="7"/>
      <c r="C26" s="5"/>
      <c r="D26" s="5"/>
      <c r="E26" s="5"/>
      <c r="F26" s="5"/>
      <c r="H26" s="7"/>
      <c r="I26" s="5"/>
      <c r="J26" s="5"/>
      <c r="K26" s="5"/>
      <c r="L26" s="5">
        <f>SUMIF('Daily Production'!$B$4:$B$203,A26,'Daily Production'!$K$4:$K$203)</f>
        <v>0</v>
      </c>
      <c r="M26" s="5">
        <f>SUMIF(Dispatch!$B$4:$B$153,A26,Dispatch!$F$4:$F$153)</f>
        <v>0</v>
      </c>
      <c r="N26" s="5">
        <f t="shared" si="1"/>
        <v>0</v>
      </c>
      <c r="O26" s="5" t="str">
        <f t="shared" si="2"/>
        <v/>
      </c>
    </row>
    <row r="27" ht="15.75" customHeight="1">
      <c r="B27" s="7"/>
      <c r="C27" s="5"/>
      <c r="D27" s="5"/>
      <c r="E27" s="5"/>
      <c r="F27" s="5"/>
      <c r="H27" s="7"/>
      <c r="I27" s="5"/>
      <c r="J27" s="5"/>
      <c r="K27" s="5"/>
      <c r="L27" s="5">
        <f>SUMIF('Daily Production'!$B$4:$B$203,A27,'Daily Production'!$K$4:$K$203)</f>
        <v>0</v>
      </c>
      <c r="M27" s="5">
        <f>SUMIF(Dispatch!$B$4:$B$153,A27,Dispatch!$F$4:$F$153)</f>
        <v>0</v>
      </c>
      <c r="N27" s="5">
        <f t="shared" si="1"/>
        <v>0</v>
      </c>
      <c r="O27" s="5" t="str">
        <f t="shared" si="2"/>
        <v/>
      </c>
    </row>
    <row r="28" ht="15.75" customHeight="1">
      <c r="B28" s="7"/>
      <c r="C28" s="5"/>
      <c r="D28" s="5"/>
      <c r="E28" s="5"/>
      <c r="F28" s="5"/>
      <c r="H28" s="7"/>
      <c r="I28" s="5"/>
      <c r="J28" s="5"/>
      <c r="K28" s="5"/>
      <c r="L28" s="5">
        <f>SUMIF('Daily Production'!$B$4:$B$203,A28,'Daily Production'!$K$4:$K$203)</f>
        <v>0</v>
      </c>
      <c r="M28" s="5">
        <f>SUMIF(Dispatch!$B$4:$B$153,A28,Dispatch!$F$4:$F$153)</f>
        <v>0</v>
      </c>
      <c r="N28" s="5">
        <f t="shared" si="1"/>
        <v>0</v>
      </c>
      <c r="O28" s="5" t="str">
        <f t="shared" si="2"/>
        <v/>
      </c>
    </row>
    <row r="29" ht="15.75" customHeight="1">
      <c r="B29" s="7"/>
      <c r="C29" s="5"/>
      <c r="D29" s="5"/>
      <c r="E29" s="5"/>
      <c r="F29" s="5"/>
      <c r="H29" s="7"/>
      <c r="I29" s="5"/>
      <c r="J29" s="5"/>
      <c r="K29" s="5"/>
      <c r="L29" s="5">
        <f>SUMIF('Daily Production'!$B$4:$B$203,A29,'Daily Production'!$K$4:$K$203)</f>
        <v>0</v>
      </c>
      <c r="M29" s="5">
        <f>SUMIF(Dispatch!$B$4:$B$153,A29,Dispatch!$F$4:$F$153)</f>
        <v>0</v>
      </c>
      <c r="N29" s="5">
        <f t="shared" si="1"/>
        <v>0</v>
      </c>
      <c r="O29" s="5" t="str">
        <f t="shared" si="2"/>
        <v/>
      </c>
    </row>
    <row r="30" ht="15.75" customHeight="1">
      <c r="B30" s="7"/>
      <c r="C30" s="5"/>
      <c r="D30" s="5"/>
      <c r="E30" s="5"/>
      <c r="F30" s="5"/>
      <c r="H30" s="7"/>
      <c r="I30" s="5"/>
      <c r="J30" s="5"/>
      <c r="K30" s="5"/>
      <c r="L30" s="5">
        <f>SUMIF('Daily Production'!$B$4:$B$203,A30,'Daily Production'!$K$4:$K$203)</f>
        <v>0</v>
      </c>
      <c r="M30" s="5">
        <f>SUMIF(Dispatch!$B$4:$B$153,A30,Dispatch!$F$4:$F$153)</f>
        <v>0</v>
      </c>
      <c r="N30" s="5">
        <f t="shared" si="1"/>
        <v>0</v>
      </c>
      <c r="O30" s="5" t="str">
        <f t="shared" si="2"/>
        <v/>
      </c>
    </row>
    <row r="31" ht="15.75" customHeight="1">
      <c r="B31" s="7"/>
      <c r="C31" s="5"/>
      <c r="D31" s="5"/>
      <c r="E31" s="5"/>
      <c r="F31" s="5"/>
      <c r="H31" s="7"/>
      <c r="I31" s="5"/>
      <c r="J31" s="5"/>
      <c r="K31" s="5"/>
      <c r="L31" s="5">
        <f>SUMIF('Daily Production'!$B$4:$B$203,A31,'Daily Production'!$K$4:$K$203)</f>
        <v>0</v>
      </c>
      <c r="M31" s="5">
        <f>SUMIF(Dispatch!$B$4:$B$153,A31,Dispatch!$F$4:$F$153)</f>
        <v>0</v>
      </c>
      <c r="N31" s="5">
        <f t="shared" si="1"/>
        <v>0</v>
      </c>
      <c r="O31" s="5" t="str">
        <f t="shared" si="2"/>
        <v/>
      </c>
    </row>
    <row r="32" ht="15.75" customHeight="1">
      <c r="B32" s="7"/>
      <c r="C32" s="5"/>
      <c r="D32" s="5"/>
      <c r="E32" s="5"/>
      <c r="F32" s="5"/>
      <c r="H32" s="7"/>
      <c r="I32" s="5"/>
      <c r="J32" s="5"/>
      <c r="K32" s="5"/>
      <c r="L32" s="5">
        <f>SUMIF('Daily Production'!$B$4:$B$203,A32,'Daily Production'!$K$4:$K$203)</f>
        <v>0</v>
      </c>
      <c r="M32" s="5">
        <f>SUMIF(Dispatch!$B$4:$B$153,A32,Dispatch!$F$4:$F$153)</f>
        <v>0</v>
      </c>
      <c r="N32" s="5">
        <f t="shared" si="1"/>
        <v>0</v>
      </c>
      <c r="O32" s="5" t="str">
        <f t="shared" si="2"/>
        <v/>
      </c>
    </row>
    <row r="33" ht="15.75" customHeight="1">
      <c r="B33" s="7"/>
      <c r="C33" s="5"/>
      <c r="D33" s="5"/>
      <c r="E33" s="5"/>
      <c r="F33" s="5"/>
      <c r="H33" s="7"/>
      <c r="I33" s="5"/>
      <c r="J33" s="5"/>
      <c r="K33" s="5"/>
      <c r="L33" s="5">
        <f>SUMIF('Daily Production'!$B$4:$B$203,A33,'Daily Production'!$K$4:$K$203)</f>
        <v>0</v>
      </c>
      <c r="M33" s="5">
        <f>SUMIF(Dispatch!$B$4:$B$153,A33,Dispatch!$F$4:$F$153)</f>
        <v>0</v>
      </c>
      <c r="N33" s="5">
        <f t="shared" si="1"/>
        <v>0</v>
      </c>
      <c r="O33" s="5" t="str">
        <f t="shared" si="2"/>
        <v/>
      </c>
    </row>
    <row r="34" ht="15.75" customHeight="1">
      <c r="B34" s="7"/>
      <c r="C34" s="5"/>
      <c r="D34" s="5"/>
      <c r="E34" s="5"/>
      <c r="F34" s="5"/>
      <c r="H34" s="7"/>
      <c r="I34" s="5"/>
      <c r="J34" s="5"/>
      <c r="K34" s="5"/>
      <c r="L34" s="5">
        <f>SUMIF('Daily Production'!$B$4:$B$203,A34,'Daily Production'!$K$4:$K$203)</f>
        <v>0</v>
      </c>
      <c r="M34" s="5">
        <f>SUMIF(Dispatch!$B$4:$B$153,A34,Dispatch!$F$4:$F$153)</f>
        <v>0</v>
      </c>
      <c r="N34" s="5">
        <f t="shared" si="1"/>
        <v>0</v>
      </c>
      <c r="O34" s="5" t="str">
        <f t="shared" si="2"/>
        <v/>
      </c>
    </row>
    <row r="35" ht="15.75" customHeight="1">
      <c r="B35" s="7"/>
      <c r="C35" s="5"/>
      <c r="D35" s="5"/>
      <c r="E35" s="5"/>
      <c r="F35" s="5"/>
      <c r="H35" s="7"/>
      <c r="I35" s="5"/>
      <c r="J35" s="5"/>
      <c r="K35" s="5"/>
      <c r="L35" s="5">
        <f>SUMIF('Daily Production'!$B$4:$B$203,A35,'Daily Production'!$K$4:$K$203)</f>
        <v>0</v>
      </c>
      <c r="M35" s="5">
        <f>SUMIF(Dispatch!$B$4:$B$153,A35,Dispatch!$F$4:$F$153)</f>
        <v>0</v>
      </c>
      <c r="N35" s="5">
        <f t="shared" si="1"/>
        <v>0</v>
      </c>
      <c r="O35" s="5" t="str">
        <f t="shared" si="2"/>
        <v/>
      </c>
    </row>
    <row r="36" ht="15.75" customHeight="1">
      <c r="B36" s="7"/>
      <c r="C36" s="5"/>
      <c r="D36" s="5"/>
      <c r="E36" s="5"/>
      <c r="F36" s="5"/>
      <c r="H36" s="7"/>
      <c r="I36" s="5"/>
      <c r="J36" s="5"/>
      <c r="K36" s="5"/>
      <c r="L36" s="5">
        <f>SUMIF('Daily Production'!$B$4:$B$203,A36,'Daily Production'!$K$4:$K$203)</f>
        <v>0</v>
      </c>
      <c r="M36" s="5">
        <f>SUMIF(Dispatch!$B$4:$B$153,A36,Dispatch!$F$4:$F$153)</f>
        <v>0</v>
      </c>
      <c r="N36" s="5">
        <f t="shared" si="1"/>
        <v>0</v>
      </c>
      <c r="O36" s="5" t="str">
        <f t="shared" si="2"/>
        <v/>
      </c>
    </row>
    <row r="37" ht="15.75" customHeight="1">
      <c r="B37" s="7"/>
      <c r="C37" s="5"/>
      <c r="D37" s="5"/>
      <c r="E37" s="5"/>
      <c r="F37" s="5"/>
      <c r="H37" s="7"/>
      <c r="I37" s="5"/>
      <c r="J37" s="5"/>
      <c r="K37" s="5"/>
      <c r="L37" s="5">
        <f>SUMIF('Daily Production'!$B$4:$B$203,A37,'Daily Production'!$K$4:$K$203)</f>
        <v>0</v>
      </c>
      <c r="M37" s="5">
        <f>SUMIF(Dispatch!$B$4:$B$153,A37,Dispatch!$F$4:$F$153)</f>
        <v>0</v>
      </c>
      <c r="N37" s="5">
        <f t="shared" si="1"/>
        <v>0</v>
      </c>
      <c r="O37" s="5" t="str">
        <f t="shared" si="2"/>
        <v/>
      </c>
    </row>
    <row r="38" ht="15.75" customHeight="1">
      <c r="B38" s="7"/>
      <c r="C38" s="5"/>
      <c r="D38" s="5"/>
      <c r="E38" s="5"/>
      <c r="F38" s="5"/>
      <c r="H38" s="7"/>
      <c r="I38" s="5"/>
      <c r="J38" s="5"/>
      <c r="K38" s="5"/>
      <c r="L38" s="5">
        <f>SUMIF('Daily Production'!$B$4:$B$203,A38,'Daily Production'!$K$4:$K$203)</f>
        <v>0</v>
      </c>
      <c r="M38" s="5">
        <f>SUMIF(Dispatch!$B$4:$B$153,A38,Dispatch!$F$4:$F$153)</f>
        <v>0</v>
      </c>
      <c r="N38" s="5">
        <f t="shared" si="1"/>
        <v>0</v>
      </c>
      <c r="O38" s="5" t="str">
        <f t="shared" si="2"/>
        <v/>
      </c>
    </row>
    <row r="39" ht="15.75" customHeight="1">
      <c r="B39" s="7"/>
      <c r="C39" s="5"/>
      <c r="D39" s="5"/>
      <c r="E39" s="5"/>
      <c r="F39" s="5"/>
      <c r="H39" s="7"/>
      <c r="I39" s="5"/>
      <c r="J39" s="5"/>
      <c r="K39" s="5"/>
      <c r="L39" s="5">
        <f>SUMIF('Daily Production'!$B$4:$B$203,A39,'Daily Production'!$K$4:$K$203)</f>
        <v>0</v>
      </c>
      <c r="M39" s="5">
        <f>SUMIF(Dispatch!$B$4:$B$153,A39,Dispatch!$F$4:$F$153)</f>
        <v>0</v>
      </c>
      <c r="N39" s="5">
        <f t="shared" si="1"/>
        <v>0</v>
      </c>
      <c r="O39" s="5" t="str">
        <f t="shared" si="2"/>
        <v/>
      </c>
    </row>
    <row r="40" ht="15.75" customHeight="1">
      <c r="B40" s="7"/>
      <c r="C40" s="5"/>
      <c r="D40" s="5"/>
      <c r="E40" s="5"/>
      <c r="F40" s="5"/>
      <c r="H40" s="7"/>
      <c r="I40" s="5"/>
      <c r="J40" s="5"/>
      <c r="K40" s="5"/>
      <c r="L40" s="5">
        <f>SUMIF('Daily Production'!$B$4:$B$203,A40,'Daily Production'!$K$4:$K$203)</f>
        <v>0</v>
      </c>
      <c r="M40" s="5">
        <f>SUMIF(Dispatch!$B$4:$B$153,A40,Dispatch!$F$4:$F$153)</f>
        <v>0</v>
      </c>
      <c r="N40" s="5">
        <f t="shared" si="1"/>
        <v>0</v>
      </c>
      <c r="O40" s="5" t="str">
        <f t="shared" si="2"/>
        <v/>
      </c>
    </row>
    <row r="41" ht="15.75" customHeight="1">
      <c r="B41" s="7"/>
      <c r="C41" s="5"/>
      <c r="D41" s="5"/>
      <c r="E41" s="5"/>
      <c r="F41" s="5"/>
      <c r="H41" s="7"/>
      <c r="I41" s="5"/>
      <c r="J41" s="5"/>
      <c r="K41" s="5"/>
      <c r="L41" s="5">
        <f>SUMIF('Daily Production'!$B$4:$B$203,A41,'Daily Production'!$K$4:$K$203)</f>
        <v>0</v>
      </c>
      <c r="M41" s="5">
        <f>SUMIF(Dispatch!$B$4:$B$153,A41,Dispatch!$F$4:$F$153)</f>
        <v>0</v>
      </c>
      <c r="N41" s="5">
        <f t="shared" si="1"/>
        <v>0</v>
      </c>
      <c r="O41" s="5" t="str">
        <f t="shared" si="2"/>
        <v/>
      </c>
    </row>
    <row r="42" ht="15.75" customHeight="1">
      <c r="B42" s="7"/>
      <c r="C42" s="5"/>
      <c r="D42" s="5"/>
      <c r="E42" s="5"/>
      <c r="F42" s="5"/>
      <c r="H42" s="7"/>
      <c r="I42" s="5"/>
      <c r="J42" s="5"/>
      <c r="K42" s="5"/>
      <c r="L42" s="5">
        <f>SUMIF('Daily Production'!$B$4:$B$203,A42,'Daily Production'!$K$4:$K$203)</f>
        <v>0</v>
      </c>
      <c r="M42" s="5">
        <f>SUMIF(Dispatch!$B$4:$B$153,A42,Dispatch!$F$4:$F$153)</f>
        <v>0</v>
      </c>
      <c r="N42" s="5">
        <f t="shared" si="1"/>
        <v>0</v>
      </c>
      <c r="O42" s="5" t="str">
        <f t="shared" si="2"/>
        <v/>
      </c>
    </row>
    <row r="43" ht="15.75" customHeight="1">
      <c r="B43" s="7"/>
      <c r="C43" s="5"/>
      <c r="D43" s="5"/>
      <c r="E43" s="5"/>
      <c r="F43" s="5"/>
      <c r="H43" s="7"/>
      <c r="I43" s="5"/>
      <c r="J43" s="5"/>
      <c r="K43" s="5"/>
      <c r="L43" s="5">
        <f>SUMIF('Daily Production'!$B$4:$B$203,A43,'Daily Production'!$K$4:$K$203)</f>
        <v>0</v>
      </c>
      <c r="M43" s="5">
        <f>SUMIF(Dispatch!$B$4:$B$153,A43,Dispatch!$F$4:$F$153)</f>
        <v>0</v>
      </c>
      <c r="N43" s="5">
        <f t="shared" si="1"/>
        <v>0</v>
      </c>
      <c r="O43" s="5" t="str">
        <f t="shared" si="2"/>
        <v/>
      </c>
    </row>
    <row r="44" ht="15.75" customHeight="1">
      <c r="B44" s="7"/>
      <c r="C44" s="5"/>
      <c r="D44" s="5"/>
      <c r="E44" s="5"/>
      <c r="F44" s="5"/>
      <c r="H44" s="7"/>
      <c r="I44" s="5"/>
      <c r="J44" s="5"/>
      <c r="K44" s="5"/>
      <c r="L44" s="5">
        <f>SUMIF('Daily Production'!$B$4:$B$203,A44,'Daily Production'!$K$4:$K$203)</f>
        <v>0</v>
      </c>
      <c r="M44" s="5">
        <f>SUMIF(Dispatch!$B$4:$B$153,A44,Dispatch!$F$4:$F$153)</f>
        <v>0</v>
      </c>
      <c r="N44" s="5">
        <f t="shared" si="1"/>
        <v>0</v>
      </c>
      <c r="O44" s="5" t="str">
        <f t="shared" si="2"/>
        <v/>
      </c>
    </row>
    <row r="45" ht="15.75" customHeight="1">
      <c r="B45" s="7"/>
      <c r="C45" s="5"/>
      <c r="D45" s="5"/>
      <c r="E45" s="5"/>
      <c r="F45" s="5"/>
      <c r="H45" s="7"/>
      <c r="I45" s="5"/>
      <c r="J45" s="5"/>
      <c r="K45" s="5"/>
      <c r="L45" s="5">
        <f>SUMIF('Daily Production'!$B$4:$B$203,A45,'Daily Production'!$K$4:$K$203)</f>
        <v>0</v>
      </c>
      <c r="M45" s="5">
        <f>SUMIF(Dispatch!$B$4:$B$153,A45,Dispatch!$F$4:$F$153)</f>
        <v>0</v>
      </c>
      <c r="N45" s="5">
        <f t="shared" si="1"/>
        <v>0</v>
      </c>
      <c r="O45" s="5" t="str">
        <f t="shared" si="2"/>
        <v/>
      </c>
    </row>
    <row r="46" ht="15.75" customHeight="1">
      <c r="B46" s="7"/>
      <c r="C46" s="5"/>
      <c r="D46" s="5"/>
      <c r="E46" s="5"/>
      <c r="F46" s="5"/>
      <c r="H46" s="7"/>
      <c r="I46" s="5"/>
      <c r="J46" s="5"/>
      <c r="K46" s="5"/>
      <c r="L46" s="5">
        <f>SUMIF('Daily Production'!$B$4:$B$203,A46,'Daily Production'!$K$4:$K$203)</f>
        <v>0</v>
      </c>
      <c r="M46" s="5">
        <f>SUMIF(Dispatch!$B$4:$B$153,A46,Dispatch!$F$4:$F$153)</f>
        <v>0</v>
      </c>
      <c r="N46" s="5">
        <f t="shared" si="1"/>
        <v>0</v>
      </c>
      <c r="O46" s="5" t="str">
        <f t="shared" si="2"/>
        <v/>
      </c>
    </row>
    <row r="47" ht="15.75" customHeight="1">
      <c r="B47" s="7"/>
      <c r="C47" s="5"/>
      <c r="D47" s="5"/>
      <c r="E47" s="5"/>
      <c r="F47" s="5"/>
      <c r="H47" s="7"/>
      <c r="I47" s="5"/>
      <c r="J47" s="5"/>
      <c r="K47" s="5"/>
      <c r="L47" s="5">
        <f>SUMIF('Daily Production'!$B$4:$B$203,A47,'Daily Production'!$K$4:$K$203)</f>
        <v>0</v>
      </c>
      <c r="M47" s="5">
        <f>SUMIF(Dispatch!$B$4:$B$153,A47,Dispatch!$F$4:$F$153)</f>
        <v>0</v>
      </c>
      <c r="N47" s="5">
        <f t="shared" si="1"/>
        <v>0</v>
      </c>
      <c r="O47" s="5" t="str">
        <f t="shared" si="2"/>
        <v/>
      </c>
    </row>
    <row r="48" ht="15.75" customHeight="1">
      <c r="B48" s="7"/>
      <c r="C48" s="5"/>
      <c r="D48" s="5"/>
      <c r="E48" s="5"/>
      <c r="F48" s="5"/>
      <c r="H48" s="7"/>
      <c r="I48" s="5"/>
      <c r="J48" s="5"/>
      <c r="K48" s="5"/>
      <c r="L48" s="5">
        <f>SUMIF('Daily Production'!$B$4:$B$203,A48,'Daily Production'!$K$4:$K$203)</f>
        <v>0</v>
      </c>
      <c r="M48" s="5">
        <f>SUMIF(Dispatch!$B$4:$B$153,A48,Dispatch!$F$4:$F$153)</f>
        <v>0</v>
      </c>
      <c r="N48" s="5">
        <f t="shared" si="1"/>
        <v>0</v>
      </c>
      <c r="O48" s="5" t="str">
        <f t="shared" si="2"/>
        <v/>
      </c>
    </row>
    <row r="49" ht="15.75" customHeight="1">
      <c r="B49" s="7"/>
      <c r="C49" s="5"/>
      <c r="D49" s="5"/>
      <c r="E49" s="5"/>
      <c r="F49" s="5"/>
      <c r="H49" s="7"/>
      <c r="I49" s="5"/>
      <c r="J49" s="5"/>
      <c r="K49" s="5"/>
      <c r="L49" s="5">
        <f>SUMIF('Daily Production'!$B$4:$B$203,A49,'Daily Production'!$K$4:$K$203)</f>
        <v>0</v>
      </c>
      <c r="M49" s="5">
        <f>SUMIF(Dispatch!$B$4:$B$153,A49,Dispatch!$F$4:$F$153)</f>
        <v>0</v>
      </c>
      <c r="N49" s="5">
        <f t="shared" si="1"/>
        <v>0</v>
      </c>
      <c r="O49" s="5" t="str">
        <f t="shared" si="2"/>
        <v/>
      </c>
    </row>
    <row r="50" ht="15.75" customHeight="1">
      <c r="B50" s="7"/>
      <c r="C50" s="5"/>
      <c r="D50" s="5"/>
      <c r="E50" s="5"/>
      <c r="F50" s="5"/>
      <c r="H50" s="7"/>
      <c r="I50" s="5"/>
      <c r="J50" s="5"/>
      <c r="K50" s="5"/>
      <c r="L50" s="5">
        <f>SUMIF('Daily Production'!$B$4:$B$203,A50,'Daily Production'!$K$4:$K$203)</f>
        <v>0</v>
      </c>
      <c r="M50" s="5">
        <f>SUMIF(Dispatch!$B$4:$B$153,A50,Dispatch!$F$4:$F$153)</f>
        <v>0</v>
      </c>
      <c r="N50" s="5">
        <f t="shared" si="1"/>
        <v>0</v>
      </c>
      <c r="O50" s="5" t="str">
        <f t="shared" si="2"/>
        <v/>
      </c>
    </row>
    <row r="51" ht="15.75" customHeight="1">
      <c r="B51" s="7"/>
      <c r="C51" s="5"/>
      <c r="D51" s="5"/>
      <c r="E51" s="5"/>
      <c r="F51" s="5"/>
      <c r="H51" s="7"/>
      <c r="I51" s="5"/>
      <c r="J51" s="5"/>
      <c r="K51" s="5"/>
      <c r="L51" s="5">
        <f>SUMIF('Daily Production'!$B$4:$B$203,A51,'Daily Production'!$K$4:$K$203)</f>
        <v>0</v>
      </c>
      <c r="M51" s="5">
        <f>SUMIF(Dispatch!$B$4:$B$153,A51,Dispatch!$F$4:$F$153)</f>
        <v>0</v>
      </c>
      <c r="N51" s="5">
        <f t="shared" si="1"/>
        <v>0</v>
      </c>
      <c r="O51" s="5" t="str">
        <f t="shared" si="2"/>
        <v/>
      </c>
    </row>
    <row r="52" ht="15.75" customHeight="1">
      <c r="B52" s="7"/>
      <c r="C52" s="5"/>
      <c r="D52" s="5"/>
      <c r="E52" s="5"/>
      <c r="F52" s="5"/>
      <c r="H52" s="7"/>
      <c r="I52" s="5"/>
      <c r="J52" s="5"/>
      <c r="K52" s="5"/>
      <c r="L52" s="5">
        <f>SUMIF('Daily Production'!$B$4:$B$203,A52,'Daily Production'!$K$4:$K$203)</f>
        <v>0</v>
      </c>
      <c r="M52" s="5">
        <f>SUMIF(Dispatch!$B$4:$B$153,A52,Dispatch!$F$4:$F$153)</f>
        <v>0</v>
      </c>
      <c r="N52" s="5">
        <f t="shared" si="1"/>
        <v>0</v>
      </c>
      <c r="O52" s="5" t="str">
        <f t="shared" si="2"/>
        <v/>
      </c>
    </row>
    <row r="53" ht="15.75" customHeight="1">
      <c r="B53" s="7"/>
      <c r="C53" s="5"/>
      <c r="D53" s="5"/>
      <c r="E53" s="5"/>
      <c r="F53" s="5"/>
      <c r="H53" s="7"/>
      <c r="I53" s="5"/>
      <c r="J53" s="5"/>
      <c r="K53" s="5"/>
      <c r="L53" s="5">
        <f>SUMIF('Daily Production'!$B$4:$B$203,A53,'Daily Production'!$K$4:$K$203)</f>
        <v>0</v>
      </c>
      <c r="M53" s="5">
        <f>SUMIF(Dispatch!$B$4:$B$153,A53,Dispatch!$F$4:$F$153)</f>
        <v>0</v>
      </c>
      <c r="N53" s="5">
        <f t="shared" si="1"/>
        <v>0</v>
      </c>
      <c r="O53" s="5" t="str">
        <f t="shared" si="2"/>
        <v/>
      </c>
    </row>
    <row r="54" ht="15.75" customHeight="1">
      <c r="B54" s="7"/>
      <c r="C54" s="5"/>
      <c r="D54" s="5"/>
      <c r="E54" s="5"/>
      <c r="F54" s="5"/>
      <c r="H54" s="7"/>
      <c r="I54" s="5"/>
      <c r="J54" s="5"/>
      <c r="K54" s="5"/>
      <c r="L54" s="5">
        <f>SUMIF('Daily Production'!$B$4:$B$203,A54,'Daily Production'!$K$4:$K$203)</f>
        <v>0</v>
      </c>
      <c r="M54" s="5">
        <f>SUMIF(Dispatch!$B$4:$B$153,A54,Dispatch!$F$4:$F$153)</f>
        <v>0</v>
      </c>
      <c r="N54" s="5">
        <f t="shared" si="1"/>
        <v>0</v>
      </c>
      <c r="O54" s="5" t="str">
        <f t="shared" si="2"/>
        <v/>
      </c>
    </row>
    <row r="55" ht="15.75" customHeight="1">
      <c r="B55" s="7"/>
      <c r="C55" s="5"/>
      <c r="D55" s="5"/>
      <c r="E55" s="5"/>
      <c r="F55" s="5"/>
      <c r="H55" s="7"/>
      <c r="I55" s="5"/>
      <c r="J55" s="5"/>
      <c r="K55" s="5"/>
      <c r="L55" s="5">
        <f>SUMIF('Daily Production'!$B$4:$B$203,A55,'Daily Production'!$K$4:$K$203)</f>
        <v>0</v>
      </c>
      <c r="M55" s="5">
        <f>SUMIF(Dispatch!$B$4:$B$153,A55,Dispatch!$F$4:$F$153)</f>
        <v>0</v>
      </c>
      <c r="N55" s="5">
        <f t="shared" si="1"/>
        <v>0</v>
      </c>
      <c r="O55" s="5" t="str">
        <f t="shared" si="2"/>
        <v/>
      </c>
    </row>
    <row r="56" ht="15.75" customHeight="1">
      <c r="B56" s="7"/>
      <c r="C56" s="5"/>
      <c r="D56" s="5"/>
      <c r="E56" s="5"/>
      <c r="F56" s="5"/>
      <c r="H56" s="7"/>
      <c r="I56" s="5"/>
      <c r="J56" s="5"/>
      <c r="K56" s="5"/>
      <c r="L56" s="5">
        <f>SUMIF('Daily Production'!$B$4:$B$203,A56,'Daily Production'!$K$4:$K$203)</f>
        <v>0</v>
      </c>
      <c r="M56" s="5">
        <f>SUMIF(Dispatch!$B$4:$B$153,A56,Dispatch!$F$4:$F$153)</f>
        <v>0</v>
      </c>
      <c r="N56" s="5">
        <f t="shared" si="1"/>
        <v>0</v>
      </c>
      <c r="O56" s="5" t="str">
        <f t="shared" si="2"/>
        <v/>
      </c>
    </row>
    <row r="57" ht="15.75" customHeight="1">
      <c r="B57" s="7"/>
      <c r="C57" s="5"/>
      <c r="D57" s="5"/>
      <c r="E57" s="5"/>
      <c r="F57" s="5"/>
      <c r="H57" s="7"/>
      <c r="I57" s="5"/>
      <c r="J57" s="5"/>
      <c r="K57" s="5"/>
      <c r="L57" s="5">
        <f>SUMIF('Daily Production'!$B$4:$B$203,A57,'Daily Production'!$K$4:$K$203)</f>
        <v>0</v>
      </c>
      <c r="M57" s="5">
        <f>SUMIF(Dispatch!$B$4:$B$153,A57,Dispatch!$F$4:$F$153)</f>
        <v>0</v>
      </c>
      <c r="N57" s="5">
        <f t="shared" si="1"/>
        <v>0</v>
      </c>
      <c r="O57" s="5" t="str">
        <f t="shared" si="2"/>
        <v/>
      </c>
    </row>
    <row r="58" ht="15.75" customHeight="1">
      <c r="B58" s="7"/>
      <c r="C58" s="5"/>
      <c r="D58" s="5"/>
      <c r="E58" s="5"/>
      <c r="F58" s="5"/>
      <c r="H58" s="7"/>
      <c r="I58" s="5"/>
      <c r="J58" s="5"/>
      <c r="K58" s="5"/>
      <c r="L58" s="5">
        <f>SUMIF('Daily Production'!$B$4:$B$203,A58,'Daily Production'!$K$4:$K$203)</f>
        <v>0</v>
      </c>
      <c r="M58" s="5">
        <f>SUMIF(Dispatch!$B$4:$B$153,A58,Dispatch!$F$4:$F$153)</f>
        <v>0</v>
      </c>
      <c r="N58" s="5">
        <f t="shared" si="1"/>
        <v>0</v>
      </c>
      <c r="O58" s="5" t="str">
        <f t="shared" si="2"/>
        <v/>
      </c>
    </row>
    <row r="59" ht="15.75" customHeight="1">
      <c r="B59" s="7"/>
      <c r="C59" s="5"/>
      <c r="D59" s="5"/>
      <c r="E59" s="5"/>
      <c r="F59" s="5"/>
      <c r="H59" s="7"/>
      <c r="I59" s="5"/>
      <c r="J59" s="5"/>
      <c r="K59" s="5"/>
      <c r="L59" s="5">
        <f>SUMIF('Daily Production'!$B$4:$B$203,A59,'Daily Production'!$K$4:$K$203)</f>
        <v>0</v>
      </c>
      <c r="M59" s="5">
        <f>SUMIF(Dispatch!$B$4:$B$153,A59,Dispatch!$F$4:$F$153)</f>
        <v>0</v>
      </c>
      <c r="N59" s="5">
        <f t="shared" si="1"/>
        <v>0</v>
      </c>
      <c r="O59" s="5" t="str">
        <f t="shared" si="2"/>
        <v/>
      </c>
    </row>
    <row r="60" ht="15.75" customHeight="1">
      <c r="B60" s="7"/>
      <c r="C60" s="5"/>
      <c r="D60" s="5"/>
      <c r="E60" s="5"/>
      <c r="F60" s="5"/>
      <c r="H60" s="7"/>
      <c r="I60" s="5"/>
      <c r="J60" s="5"/>
      <c r="K60" s="5"/>
      <c r="L60" s="5">
        <f>SUMIF('Daily Production'!$B$4:$B$203,A60,'Daily Production'!$K$4:$K$203)</f>
        <v>0</v>
      </c>
      <c r="M60" s="5">
        <f>SUMIF(Dispatch!$B$4:$B$153,A60,Dispatch!$F$4:$F$153)</f>
        <v>0</v>
      </c>
      <c r="N60" s="5">
        <f t="shared" si="1"/>
        <v>0</v>
      </c>
      <c r="O60" s="5" t="str">
        <f t="shared" si="2"/>
        <v/>
      </c>
    </row>
    <row r="61" ht="15.75" customHeight="1">
      <c r="B61" s="7"/>
      <c r="C61" s="5"/>
      <c r="D61" s="5"/>
      <c r="E61" s="5"/>
      <c r="F61" s="5"/>
      <c r="H61" s="7"/>
      <c r="I61" s="5"/>
      <c r="J61" s="5"/>
      <c r="K61" s="5"/>
      <c r="L61" s="5">
        <f>SUMIF('Daily Production'!$B$4:$B$203,A61,'Daily Production'!$K$4:$K$203)</f>
        <v>0</v>
      </c>
      <c r="M61" s="5">
        <f>SUMIF(Dispatch!$B$4:$B$153,A61,Dispatch!$F$4:$F$153)</f>
        <v>0</v>
      </c>
      <c r="N61" s="5">
        <f t="shared" si="1"/>
        <v>0</v>
      </c>
      <c r="O61" s="5" t="str">
        <f t="shared" si="2"/>
        <v/>
      </c>
    </row>
    <row r="62" ht="15.75" customHeight="1">
      <c r="B62" s="7"/>
      <c r="C62" s="5"/>
      <c r="D62" s="5"/>
      <c r="E62" s="5"/>
      <c r="F62" s="5"/>
      <c r="H62" s="7"/>
      <c r="I62" s="5"/>
      <c r="J62" s="5"/>
      <c r="K62" s="5"/>
      <c r="L62" s="5">
        <f>SUMIF('Daily Production'!$B$4:$B$203,A62,'Daily Production'!$K$4:$K$203)</f>
        <v>0</v>
      </c>
      <c r="M62" s="5">
        <f>SUMIF(Dispatch!$B$4:$B$153,A62,Dispatch!$F$4:$F$153)</f>
        <v>0</v>
      </c>
      <c r="N62" s="5">
        <f t="shared" si="1"/>
        <v>0</v>
      </c>
      <c r="O62" s="5" t="str">
        <f t="shared" si="2"/>
        <v/>
      </c>
    </row>
    <row r="63" ht="15.75" customHeight="1">
      <c r="B63" s="7"/>
      <c r="C63" s="5"/>
      <c r="D63" s="5"/>
      <c r="E63" s="5"/>
      <c r="F63" s="5"/>
      <c r="H63" s="7"/>
      <c r="I63" s="5"/>
      <c r="J63" s="5"/>
      <c r="K63" s="5"/>
      <c r="L63" s="5">
        <f>SUMIF('Daily Production'!$B$4:$B$203,A63,'Daily Production'!$K$4:$K$203)</f>
        <v>0</v>
      </c>
      <c r="M63" s="5">
        <f>SUMIF(Dispatch!$B$4:$B$153,A63,Dispatch!$F$4:$F$153)</f>
        <v>0</v>
      </c>
      <c r="N63" s="5">
        <f t="shared" si="1"/>
        <v>0</v>
      </c>
      <c r="O63" s="5" t="str">
        <f t="shared" si="2"/>
        <v/>
      </c>
    </row>
    <row r="64" ht="15.75" customHeight="1">
      <c r="B64" s="7"/>
      <c r="C64" s="5"/>
      <c r="D64" s="5"/>
      <c r="E64" s="5"/>
      <c r="F64" s="5"/>
      <c r="H64" s="7"/>
      <c r="I64" s="5"/>
      <c r="J64" s="5"/>
      <c r="K64" s="5"/>
      <c r="L64" s="5">
        <f>SUMIF('Daily Production'!$B$4:$B$203,A64,'Daily Production'!$K$4:$K$203)</f>
        <v>0</v>
      </c>
      <c r="M64" s="5">
        <f>SUMIF(Dispatch!$B$4:$B$153,A64,Dispatch!$F$4:$F$153)</f>
        <v>0</v>
      </c>
      <c r="N64" s="5">
        <f t="shared" si="1"/>
        <v>0</v>
      </c>
      <c r="O64" s="5" t="str">
        <f t="shared" si="2"/>
        <v/>
      </c>
    </row>
    <row r="65" ht="15.75" customHeight="1">
      <c r="B65" s="7"/>
      <c r="C65" s="5"/>
      <c r="D65" s="5"/>
      <c r="E65" s="5"/>
      <c r="F65" s="5"/>
      <c r="H65" s="7"/>
      <c r="I65" s="5"/>
      <c r="J65" s="5"/>
      <c r="K65" s="5"/>
      <c r="L65" s="5">
        <f>SUMIF('Daily Production'!$B$4:$B$203,A65,'Daily Production'!$K$4:$K$203)</f>
        <v>0</v>
      </c>
      <c r="M65" s="5">
        <f>SUMIF(Dispatch!$B$4:$B$153,A65,Dispatch!$F$4:$F$153)</f>
        <v>0</v>
      </c>
      <c r="N65" s="5">
        <f t="shared" si="1"/>
        <v>0</v>
      </c>
      <c r="O65" s="5" t="str">
        <f t="shared" si="2"/>
        <v/>
      </c>
    </row>
    <row r="66" ht="15.75" customHeight="1">
      <c r="B66" s="7"/>
      <c r="C66" s="5"/>
      <c r="D66" s="5"/>
      <c r="E66" s="5"/>
      <c r="F66" s="5"/>
      <c r="H66" s="7"/>
      <c r="I66" s="5"/>
      <c r="J66" s="5"/>
      <c r="K66" s="5"/>
      <c r="L66" s="5">
        <f>SUMIF('Daily Production'!$B$4:$B$203,A66,'Daily Production'!$K$4:$K$203)</f>
        <v>0</v>
      </c>
      <c r="M66" s="5">
        <f>SUMIF(Dispatch!$B$4:$B$153,A66,Dispatch!$F$4:$F$153)</f>
        <v>0</v>
      </c>
      <c r="N66" s="5">
        <f t="shared" si="1"/>
        <v>0</v>
      </c>
      <c r="O66" s="5" t="str">
        <f t="shared" si="2"/>
        <v/>
      </c>
    </row>
    <row r="67" ht="15.75" customHeight="1">
      <c r="B67" s="7"/>
      <c r="C67" s="5"/>
      <c r="D67" s="5"/>
      <c r="E67" s="5"/>
      <c r="F67" s="5"/>
      <c r="H67" s="7"/>
      <c r="I67" s="5"/>
      <c r="J67" s="5"/>
      <c r="K67" s="5"/>
      <c r="L67" s="5">
        <f>SUMIF('Daily Production'!$B$4:$B$203,A67,'Daily Production'!$K$4:$K$203)</f>
        <v>0</v>
      </c>
      <c r="M67" s="5">
        <f>SUMIF(Dispatch!$B$4:$B$153,A67,Dispatch!$F$4:$F$153)</f>
        <v>0</v>
      </c>
      <c r="N67" s="5">
        <f t="shared" si="1"/>
        <v>0</v>
      </c>
      <c r="O67" s="5" t="str">
        <f t="shared" si="2"/>
        <v/>
      </c>
    </row>
    <row r="68" ht="15.75" customHeight="1">
      <c r="B68" s="7"/>
      <c r="C68" s="5"/>
      <c r="D68" s="5"/>
      <c r="E68" s="5"/>
      <c r="F68" s="5"/>
      <c r="H68" s="7"/>
      <c r="I68" s="5"/>
      <c r="J68" s="5"/>
      <c r="K68" s="5"/>
      <c r="L68" s="5">
        <f>SUMIF('Daily Production'!$B$4:$B$203,A68,'Daily Production'!$K$4:$K$203)</f>
        <v>0</v>
      </c>
      <c r="M68" s="5">
        <f>SUMIF(Dispatch!$B$4:$B$153,A68,Dispatch!$F$4:$F$153)</f>
        <v>0</v>
      </c>
      <c r="N68" s="5">
        <f t="shared" si="1"/>
        <v>0</v>
      </c>
      <c r="O68" s="5" t="str">
        <f t="shared" si="2"/>
        <v/>
      </c>
    </row>
    <row r="69" ht="15.75" customHeight="1">
      <c r="B69" s="7"/>
      <c r="C69" s="5"/>
      <c r="D69" s="5"/>
      <c r="E69" s="5"/>
      <c r="F69" s="5"/>
      <c r="H69" s="7"/>
      <c r="I69" s="5"/>
      <c r="J69" s="5"/>
      <c r="K69" s="5"/>
      <c r="L69" s="5">
        <f>SUMIF('Daily Production'!$B$4:$B$203,A69,'Daily Production'!$K$4:$K$203)</f>
        <v>0</v>
      </c>
      <c r="M69" s="5">
        <f>SUMIF(Dispatch!$B$4:$B$153,A69,Dispatch!$F$4:$F$153)</f>
        <v>0</v>
      </c>
      <c r="N69" s="5">
        <f t="shared" si="1"/>
        <v>0</v>
      </c>
      <c r="O69" s="5" t="str">
        <f t="shared" si="2"/>
        <v/>
      </c>
    </row>
    <row r="70" ht="15.75" customHeight="1">
      <c r="B70" s="7"/>
      <c r="C70" s="5"/>
      <c r="D70" s="5"/>
      <c r="E70" s="5"/>
      <c r="F70" s="5"/>
      <c r="H70" s="7"/>
      <c r="I70" s="5"/>
      <c r="J70" s="5"/>
      <c r="K70" s="5"/>
      <c r="L70" s="5">
        <f>SUMIF('Daily Production'!$B$4:$B$203,A70,'Daily Production'!$K$4:$K$203)</f>
        <v>0</v>
      </c>
      <c r="M70" s="5">
        <f>SUMIF(Dispatch!$B$4:$B$153,A70,Dispatch!$F$4:$F$153)</f>
        <v>0</v>
      </c>
      <c r="N70" s="5">
        <f t="shared" si="1"/>
        <v>0</v>
      </c>
      <c r="O70" s="5" t="str">
        <f t="shared" si="2"/>
        <v/>
      </c>
    </row>
    <row r="71" ht="15.75" customHeight="1">
      <c r="B71" s="7"/>
      <c r="C71" s="5"/>
      <c r="D71" s="5"/>
      <c r="E71" s="5"/>
      <c r="F71" s="5"/>
      <c r="H71" s="7"/>
      <c r="I71" s="5"/>
      <c r="J71" s="5"/>
      <c r="K71" s="5"/>
      <c r="L71" s="5">
        <f>SUMIF('Daily Production'!$B$4:$B$203,A71,'Daily Production'!$K$4:$K$203)</f>
        <v>0</v>
      </c>
      <c r="M71" s="5">
        <f>SUMIF(Dispatch!$B$4:$B$153,A71,Dispatch!$F$4:$F$153)</f>
        <v>0</v>
      </c>
      <c r="N71" s="5">
        <f t="shared" si="1"/>
        <v>0</v>
      </c>
      <c r="O71" s="5" t="str">
        <f t="shared" si="2"/>
        <v/>
      </c>
    </row>
    <row r="72" ht="15.75" customHeight="1">
      <c r="B72" s="7"/>
      <c r="C72" s="5"/>
      <c r="D72" s="5"/>
      <c r="E72" s="5"/>
      <c r="F72" s="5"/>
      <c r="H72" s="7"/>
      <c r="I72" s="5"/>
      <c r="J72" s="5"/>
      <c r="K72" s="5"/>
      <c r="L72" s="5">
        <f>SUMIF('Daily Production'!$B$4:$B$203,A72,'Daily Production'!$K$4:$K$203)</f>
        <v>0</v>
      </c>
      <c r="M72" s="5">
        <f>SUMIF(Dispatch!$B$4:$B$153,A72,Dispatch!$F$4:$F$153)</f>
        <v>0</v>
      </c>
      <c r="N72" s="5">
        <f t="shared" si="1"/>
        <v>0</v>
      </c>
      <c r="O72" s="5" t="str">
        <f t="shared" si="2"/>
        <v/>
      </c>
    </row>
    <row r="73" ht="15.75" customHeight="1">
      <c r="B73" s="7"/>
      <c r="C73" s="5"/>
      <c r="D73" s="5"/>
      <c r="E73" s="5"/>
      <c r="F73" s="5"/>
      <c r="H73" s="7"/>
      <c r="I73" s="5"/>
      <c r="J73" s="5"/>
      <c r="K73" s="5"/>
      <c r="L73" s="5">
        <f>SUMIF('Daily Production'!$B$4:$B$203,A73,'Daily Production'!$K$4:$K$203)</f>
        <v>0</v>
      </c>
      <c r="M73" s="5">
        <f>SUMIF(Dispatch!$B$4:$B$153,A73,Dispatch!$F$4:$F$153)</f>
        <v>0</v>
      </c>
      <c r="N73" s="5">
        <f t="shared" si="1"/>
        <v>0</v>
      </c>
      <c r="O73" s="5" t="str">
        <f t="shared" si="2"/>
        <v/>
      </c>
    </row>
    <row r="74" ht="15.75" customHeight="1">
      <c r="B74" s="7"/>
      <c r="C74" s="5"/>
      <c r="D74" s="5"/>
      <c r="E74" s="5"/>
      <c r="F74" s="5"/>
      <c r="H74" s="7"/>
      <c r="I74" s="5"/>
      <c r="J74" s="5"/>
      <c r="K74" s="5"/>
      <c r="L74" s="5">
        <f>SUMIF('Daily Production'!$B$4:$B$203,A74,'Daily Production'!$K$4:$K$203)</f>
        <v>0</v>
      </c>
      <c r="M74" s="5">
        <f>SUMIF(Dispatch!$B$4:$B$153,A74,Dispatch!$F$4:$F$153)</f>
        <v>0</v>
      </c>
      <c r="N74" s="5">
        <f t="shared" si="1"/>
        <v>0</v>
      </c>
      <c r="O74" s="5" t="str">
        <f t="shared" si="2"/>
        <v/>
      </c>
    </row>
    <row r="75" ht="15.75" customHeight="1">
      <c r="B75" s="7"/>
      <c r="C75" s="5"/>
      <c r="D75" s="5"/>
      <c r="E75" s="5"/>
      <c r="F75" s="5"/>
      <c r="H75" s="7"/>
      <c r="I75" s="5"/>
      <c r="J75" s="5"/>
      <c r="K75" s="5"/>
      <c r="L75" s="5">
        <f>SUMIF('Daily Production'!$B$4:$B$203,A75,'Daily Production'!$K$4:$K$203)</f>
        <v>0</v>
      </c>
      <c r="M75" s="5">
        <f>SUMIF(Dispatch!$B$4:$B$153,A75,Dispatch!$F$4:$F$153)</f>
        <v>0</v>
      </c>
      <c r="N75" s="5">
        <f t="shared" si="1"/>
        <v>0</v>
      </c>
      <c r="O75" s="5" t="str">
        <f t="shared" si="2"/>
        <v/>
      </c>
    </row>
    <row r="76" ht="15.75" customHeight="1">
      <c r="B76" s="7"/>
      <c r="C76" s="5"/>
      <c r="D76" s="5"/>
      <c r="E76" s="5"/>
      <c r="F76" s="5"/>
      <c r="H76" s="7"/>
      <c r="I76" s="5"/>
      <c r="J76" s="5"/>
      <c r="K76" s="5"/>
      <c r="L76" s="5">
        <f>SUMIF('Daily Production'!$B$4:$B$203,A76,'Daily Production'!$K$4:$K$203)</f>
        <v>0</v>
      </c>
      <c r="M76" s="5">
        <f>SUMIF(Dispatch!$B$4:$B$153,A76,Dispatch!$F$4:$F$153)</f>
        <v>0</v>
      </c>
      <c r="N76" s="5">
        <f t="shared" si="1"/>
        <v>0</v>
      </c>
      <c r="O76" s="5" t="str">
        <f t="shared" si="2"/>
        <v/>
      </c>
    </row>
    <row r="77" ht="15.75" customHeight="1">
      <c r="B77" s="7"/>
      <c r="C77" s="5"/>
      <c r="D77" s="5"/>
      <c r="E77" s="5"/>
      <c r="F77" s="5"/>
      <c r="H77" s="7"/>
      <c r="I77" s="5"/>
      <c r="J77" s="5"/>
      <c r="K77" s="5"/>
      <c r="L77" s="5">
        <f>SUMIF('Daily Production'!$B$4:$B$203,A77,'Daily Production'!$K$4:$K$203)</f>
        <v>0</v>
      </c>
      <c r="M77" s="5">
        <f>SUMIF(Dispatch!$B$4:$B$153,A77,Dispatch!$F$4:$F$153)</f>
        <v>0</v>
      </c>
      <c r="N77" s="5">
        <f t="shared" si="1"/>
        <v>0</v>
      </c>
      <c r="O77" s="5" t="str">
        <f t="shared" si="2"/>
        <v/>
      </c>
    </row>
    <row r="78" ht="15.75" customHeight="1">
      <c r="B78" s="7"/>
      <c r="C78" s="5"/>
      <c r="D78" s="5"/>
      <c r="E78" s="5"/>
      <c r="F78" s="5"/>
      <c r="H78" s="7"/>
      <c r="I78" s="5"/>
      <c r="J78" s="5"/>
      <c r="K78" s="5"/>
      <c r="L78" s="5">
        <f>SUMIF('Daily Production'!$B$4:$B$203,A78,'Daily Production'!$K$4:$K$203)</f>
        <v>0</v>
      </c>
      <c r="M78" s="5">
        <f>SUMIF(Dispatch!$B$4:$B$153,A78,Dispatch!$F$4:$F$153)</f>
        <v>0</v>
      </c>
      <c r="N78" s="5">
        <f t="shared" si="1"/>
        <v>0</v>
      </c>
      <c r="O78" s="5" t="str">
        <f t="shared" si="2"/>
        <v/>
      </c>
    </row>
    <row r="79" ht="15.75" customHeight="1">
      <c r="B79" s="7"/>
      <c r="C79" s="5"/>
      <c r="D79" s="5"/>
      <c r="E79" s="5"/>
      <c r="F79" s="5"/>
      <c r="H79" s="7"/>
      <c r="I79" s="5"/>
      <c r="J79" s="5"/>
      <c r="K79" s="5"/>
      <c r="L79" s="5">
        <f>SUMIF('Daily Production'!$B$4:$B$203,A79,'Daily Production'!$K$4:$K$203)</f>
        <v>0</v>
      </c>
      <c r="M79" s="5">
        <f>SUMIF(Dispatch!$B$4:$B$153,A79,Dispatch!$F$4:$F$153)</f>
        <v>0</v>
      </c>
      <c r="N79" s="5">
        <f t="shared" si="1"/>
        <v>0</v>
      </c>
      <c r="O79" s="5" t="str">
        <f t="shared" si="2"/>
        <v/>
      </c>
    </row>
    <row r="80" ht="15.75" customHeight="1">
      <c r="B80" s="7"/>
      <c r="C80" s="5"/>
      <c r="D80" s="5"/>
      <c r="E80" s="5"/>
      <c r="F80" s="5"/>
      <c r="H80" s="7"/>
      <c r="I80" s="5"/>
      <c r="J80" s="5"/>
      <c r="K80" s="5"/>
      <c r="L80" s="5">
        <f>SUMIF('Daily Production'!$B$4:$B$203,A80,'Daily Production'!$K$4:$K$203)</f>
        <v>0</v>
      </c>
      <c r="M80" s="5">
        <f>SUMIF(Dispatch!$B$4:$B$153,A80,Dispatch!$F$4:$F$153)</f>
        <v>0</v>
      </c>
      <c r="N80" s="5">
        <f t="shared" si="1"/>
        <v>0</v>
      </c>
      <c r="O80" s="5" t="str">
        <f t="shared" si="2"/>
        <v/>
      </c>
    </row>
    <row r="81" ht="15.75" customHeight="1">
      <c r="B81" s="7"/>
      <c r="C81" s="5"/>
      <c r="D81" s="5"/>
      <c r="E81" s="5"/>
      <c r="F81" s="5"/>
      <c r="H81" s="7"/>
      <c r="I81" s="5"/>
      <c r="J81" s="5"/>
      <c r="K81" s="5"/>
      <c r="L81" s="5">
        <f>SUMIF('Daily Production'!$B$4:$B$203,A81,'Daily Production'!$K$4:$K$203)</f>
        <v>0</v>
      </c>
      <c r="M81" s="5">
        <f>SUMIF(Dispatch!$B$4:$B$153,A81,Dispatch!$F$4:$F$153)</f>
        <v>0</v>
      </c>
      <c r="N81" s="5">
        <f t="shared" si="1"/>
        <v>0</v>
      </c>
      <c r="O81" s="5" t="str">
        <f t="shared" si="2"/>
        <v/>
      </c>
    </row>
    <row r="82" ht="15.75" customHeight="1">
      <c r="B82" s="7"/>
      <c r="C82" s="5"/>
      <c r="D82" s="5"/>
      <c r="E82" s="5"/>
      <c r="F82" s="5"/>
      <c r="H82" s="7"/>
      <c r="I82" s="5"/>
      <c r="J82" s="5"/>
      <c r="K82" s="5"/>
      <c r="L82" s="5">
        <f>SUMIF('Daily Production'!$B$4:$B$203,A82,'Daily Production'!$K$4:$K$203)</f>
        <v>0</v>
      </c>
      <c r="M82" s="5">
        <f>SUMIF(Dispatch!$B$4:$B$153,A82,Dispatch!$F$4:$F$153)</f>
        <v>0</v>
      </c>
      <c r="N82" s="5">
        <f t="shared" si="1"/>
        <v>0</v>
      </c>
      <c r="O82" s="5" t="str">
        <f t="shared" si="2"/>
        <v/>
      </c>
    </row>
    <row r="83" ht="15.75" customHeight="1">
      <c r="B83" s="7"/>
      <c r="C83" s="5"/>
      <c r="D83" s="5"/>
      <c r="E83" s="5"/>
      <c r="F83" s="5"/>
      <c r="H83" s="7"/>
      <c r="I83" s="5"/>
      <c r="J83" s="5"/>
      <c r="K83" s="5"/>
      <c r="L83" s="5">
        <f>SUMIF('Daily Production'!$B$4:$B$203,A83,'Daily Production'!$K$4:$K$203)</f>
        <v>0</v>
      </c>
      <c r="M83" s="5">
        <f>SUMIF(Dispatch!$B$4:$B$153,A83,Dispatch!$F$4:$F$153)</f>
        <v>0</v>
      </c>
      <c r="N83" s="5">
        <f t="shared" si="1"/>
        <v>0</v>
      </c>
      <c r="O83" s="5" t="str">
        <f t="shared" si="2"/>
        <v/>
      </c>
    </row>
    <row r="84" ht="15.75" customHeight="1">
      <c r="B84" s="7"/>
      <c r="C84" s="5"/>
      <c r="D84" s="5"/>
      <c r="E84" s="5"/>
      <c r="F84" s="5"/>
      <c r="H84" s="7"/>
      <c r="I84" s="5"/>
      <c r="J84" s="5"/>
      <c r="K84" s="5"/>
      <c r="L84" s="5">
        <f>SUMIF('Daily Production'!$B$4:$B$203,A84,'Daily Production'!$K$4:$K$203)</f>
        <v>0</v>
      </c>
      <c r="M84" s="5">
        <f>SUMIF(Dispatch!$B$4:$B$153,A84,Dispatch!$F$4:$F$153)</f>
        <v>0</v>
      </c>
      <c r="N84" s="5">
        <f t="shared" si="1"/>
        <v>0</v>
      </c>
      <c r="O84" s="5" t="str">
        <f t="shared" si="2"/>
        <v/>
      </c>
    </row>
    <row r="85" ht="15.75" customHeight="1">
      <c r="B85" s="7"/>
      <c r="C85" s="5"/>
      <c r="D85" s="5"/>
      <c r="E85" s="5"/>
      <c r="F85" s="5"/>
      <c r="H85" s="7"/>
      <c r="I85" s="5"/>
      <c r="J85" s="5"/>
      <c r="K85" s="5"/>
      <c r="L85" s="5">
        <f>SUMIF('Daily Production'!$B$4:$B$203,A85,'Daily Production'!$K$4:$K$203)</f>
        <v>0</v>
      </c>
      <c r="M85" s="5">
        <f>SUMIF(Dispatch!$B$4:$B$153,A85,Dispatch!$F$4:$F$153)</f>
        <v>0</v>
      </c>
      <c r="N85" s="5">
        <f t="shared" si="1"/>
        <v>0</v>
      </c>
      <c r="O85" s="5" t="str">
        <f t="shared" si="2"/>
        <v/>
      </c>
    </row>
    <row r="86" ht="15.75" customHeight="1">
      <c r="B86" s="7"/>
      <c r="C86" s="5"/>
      <c r="D86" s="5"/>
      <c r="E86" s="5"/>
      <c r="F86" s="5"/>
      <c r="H86" s="7"/>
      <c r="I86" s="5"/>
      <c r="J86" s="5"/>
      <c r="K86" s="5"/>
      <c r="L86" s="5">
        <f>SUMIF('Daily Production'!$B$4:$B$203,A86,'Daily Production'!$K$4:$K$203)</f>
        <v>0</v>
      </c>
      <c r="M86" s="5">
        <f>SUMIF(Dispatch!$B$4:$B$153,A86,Dispatch!$F$4:$F$153)</f>
        <v>0</v>
      </c>
      <c r="N86" s="5">
        <f t="shared" si="1"/>
        <v>0</v>
      </c>
      <c r="O86" s="5" t="str">
        <f t="shared" si="2"/>
        <v/>
      </c>
    </row>
    <row r="87" ht="15.75" customHeight="1">
      <c r="B87" s="7"/>
      <c r="C87" s="5"/>
      <c r="D87" s="5"/>
      <c r="E87" s="5"/>
      <c r="F87" s="5"/>
      <c r="H87" s="7"/>
      <c r="I87" s="5"/>
      <c r="J87" s="5"/>
      <c r="K87" s="5"/>
      <c r="L87" s="5">
        <f>SUMIF('Daily Production'!$B$4:$B$203,A87,'Daily Production'!$K$4:$K$203)</f>
        <v>0</v>
      </c>
      <c r="M87" s="5">
        <f>SUMIF(Dispatch!$B$4:$B$153,A87,Dispatch!$F$4:$F$153)</f>
        <v>0</v>
      </c>
      <c r="N87" s="5">
        <f t="shared" si="1"/>
        <v>0</v>
      </c>
      <c r="O87" s="5" t="str">
        <f t="shared" si="2"/>
        <v/>
      </c>
    </row>
    <row r="88" ht="15.75" customHeight="1">
      <c r="B88" s="7"/>
      <c r="C88" s="5"/>
      <c r="D88" s="5"/>
      <c r="E88" s="5"/>
      <c r="F88" s="5"/>
      <c r="H88" s="7"/>
      <c r="I88" s="5"/>
      <c r="J88" s="5"/>
      <c r="K88" s="5"/>
      <c r="L88" s="5">
        <f>SUMIF('Daily Production'!$B$4:$B$203,A88,'Daily Production'!$K$4:$K$203)</f>
        <v>0</v>
      </c>
      <c r="M88" s="5">
        <f>SUMIF(Dispatch!$B$4:$B$153,A88,Dispatch!$F$4:$F$153)</f>
        <v>0</v>
      </c>
      <c r="N88" s="5">
        <f t="shared" si="1"/>
        <v>0</v>
      </c>
      <c r="O88" s="5" t="str">
        <f t="shared" si="2"/>
        <v/>
      </c>
    </row>
    <row r="89" ht="15.75" customHeight="1">
      <c r="B89" s="7"/>
      <c r="C89" s="5"/>
      <c r="D89" s="5"/>
      <c r="E89" s="5"/>
      <c r="F89" s="5"/>
      <c r="H89" s="7"/>
      <c r="I89" s="5"/>
      <c r="J89" s="5"/>
      <c r="K89" s="5"/>
      <c r="L89" s="5">
        <f>SUMIF('Daily Production'!$B$4:$B$203,A89,'Daily Production'!$K$4:$K$203)</f>
        <v>0</v>
      </c>
      <c r="M89" s="5">
        <f>SUMIF(Dispatch!$B$4:$B$153,A89,Dispatch!$F$4:$F$153)</f>
        <v>0</v>
      </c>
      <c r="N89" s="5">
        <f t="shared" si="1"/>
        <v>0</v>
      </c>
      <c r="O89" s="5" t="str">
        <f t="shared" si="2"/>
        <v/>
      </c>
    </row>
    <row r="90" ht="15.75" customHeight="1">
      <c r="B90" s="7"/>
      <c r="C90" s="5"/>
      <c r="D90" s="5"/>
      <c r="E90" s="5"/>
      <c r="F90" s="5"/>
      <c r="H90" s="7"/>
      <c r="I90" s="5"/>
      <c r="J90" s="5"/>
      <c r="K90" s="5"/>
      <c r="L90" s="5">
        <f>SUMIF('Daily Production'!$B$4:$B$203,A90,'Daily Production'!$K$4:$K$203)</f>
        <v>0</v>
      </c>
      <c r="M90" s="5">
        <f>SUMIF(Dispatch!$B$4:$B$153,A90,Dispatch!$F$4:$F$153)</f>
        <v>0</v>
      </c>
      <c r="N90" s="5">
        <f t="shared" si="1"/>
        <v>0</v>
      </c>
      <c r="O90" s="5" t="str">
        <f t="shared" si="2"/>
        <v/>
      </c>
    </row>
    <row r="91" ht="15.75" customHeight="1">
      <c r="B91" s="7"/>
      <c r="C91" s="5"/>
      <c r="D91" s="5"/>
      <c r="E91" s="5"/>
      <c r="F91" s="5"/>
      <c r="H91" s="7"/>
      <c r="I91" s="5"/>
      <c r="J91" s="5"/>
      <c r="K91" s="5"/>
      <c r="L91" s="5">
        <f>SUMIF('Daily Production'!$B$4:$B$203,A91,'Daily Production'!$K$4:$K$203)</f>
        <v>0</v>
      </c>
      <c r="M91" s="5">
        <f>SUMIF(Dispatch!$B$4:$B$153,A91,Dispatch!$F$4:$F$153)</f>
        <v>0</v>
      </c>
      <c r="N91" s="5">
        <f t="shared" si="1"/>
        <v>0</v>
      </c>
      <c r="O91" s="5" t="str">
        <f t="shared" si="2"/>
        <v/>
      </c>
    </row>
    <row r="92" ht="15.75" customHeight="1">
      <c r="B92" s="7"/>
      <c r="C92" s="5"/>
      <c r="D92" s="5"/>
      <c r="E92" s="5"/>
      <c r="F92" s="5"/>
      <c r="H92" s="7"/>
      <c r="I92" s="5"/>
      <c r="J92" s="5"/>
      <c r="K92" s="5"/>
      <c r="L92" s="5">
        <f>SUMIF('Daily Production'!$B$4:$B$203,A92,'Daily Production'!$K$4:$K$203)</f>
        <v>0</v>
      </c>
      <c r="M92" s="5">
        <f>SUMIF(Dispatch!$B$4:$B$153,A92,Dispatch!$F$4:$F$153)</f>
        <v>0</v>
      </c>
      <c r="N92" s="5">
        <f t="shared" si="1"/>
        <v>0</v>
      </c>
      <c r="O92" s="5" t="str">
        <f t="shared" si="2"/>
        <v/>
      </c>
    </row>
    <row r="93" ht="15.75" customHeight="1">
      <c r="B93" s="7"/>
      <c r="C93" s="5"/>
      <c r="D93" s="5"/>
      <c r="E93" s="5"/>
      <c r="F93" s="5"/>
      <c r="H93" s="7"/>
      <c r="I93" s="5"/>
      <c r="J93" s="5"/>
      <c r="K93" s="5"/>
      <c r="L93" s="5">
        <f>SUMIF('Daily Production'!$B$4:$B$203,A93,'Daily Production'!$K$4:$K$203)</f>
        <v>0</v>
      </c>
      <c r="M93" s="5">
        <f>SUMIF(Dispatch!$B$4:$B$153,A93,Dispatch!$F$4:$F$153)</f>
        <v>0</v>
      </c>
      <c r="N93" s="5">
        <f t="shared" si="1"/>
        <v>0</v>
      </c>
      <c r="O93" s="5" t="str">
        <f t="shared" si="2"/>
        <v/>
      </c>
    </row>
    <row r="94" ht="15.75" customHeight="1">
      <c r="B94" s="7"/>
      <c r="C94" s="5"/>
      <c r="D94" s="5"/>
      <c r="E94" s="5"/>
      <c r="F94" s="5"/>
      <c r="H94" s="7"/>
      <c r="I94" s="5"/>
      <c r="J94" s="5"/>
      <c r="K94" s="5"/>
      <c r="L94" s="5">
        <f>SUMIF('Daily Production'!$B$4:$B$203,A94,'Daily Production'!$K$4:$K$203)</f>
        <v>0</v>
      </c>
      <c r="M94" s="5">
        <f>SUMIF(Dispatch!$B$4:$B$153,A94,Dispatch!$F$4:$F$153)</f>
        <v>0</v>
      </c>
      <c r="N94" s="5">
        <f t="shared" si="1"/>
        <v>0</v>
      </c>
      <c r="O94" s="5" t="str">
        <f t="shared" si="2"/>
        <v/>
      </c>
    </row>
    <row r="95" ht="15.75" customHeight="1">
      <c r="B95" s="7"/>
      <c r="C95" s="5"/>
      <c r="D95" s="5"/>
      <c r="E95" s="5"/>
      <c r="F95" s="5"/>
      <c r="H95" s="7"/>
      <c r="I95" s="5"/>
      <c r="J95" s="5"/>
      <c r="K95" s="5"/>
      <c r="L95" s="5">
        <f>SUMIF('Daily Production'!$B$4:$B$203,A95,'Daily Production'!$K$4:$K$203)</f>
        <v>0</v>
      </c>
      <c r="M95" s="5">
        <f>SUMIF(Dispatch!$B$4:$B$153,A95,Dispatch!$F$4:$F$153)</f>
        <v>0</v>
      </c>
      <c r="N95" s="5">
        <f t="shared" si="1"/>
        <v>0</v>
      </c>
      <c r="O95" s="5" t="str">
        <f t="shared" si="2"/>
        <v/>
      </c>
    </row>
    <row r="96" ht="15.75" customHeight="1">
      <c r="B96" s="7"/>
      <c r="C96" s="5"/>
      <c r="D96" s="5"/>
      <c r="E96" s="5"/>
      <c r="F96" s="5"/>
      <c r="H96" s="7"/>
      <c r="I96" s="5"/>
      <c r="J96" s="5"/>
      <c r="K96" s="5"/>
      <c r="L96" s="5">
        <f>SUMIF('Daily Production'!$B$4:$B$203,A96,'Daily Production'!$K$4:$K$203)</f>
        <v>0</v>
      </c>
      <c r="M96" s="5">
        <f>SUMIF(Dispatch!$B$4:$B$153,A96,Dispatch!$F$4:$F$153)</f>
        <v>0</v>
      </c>
      <c r="N96" s="5">
        <f t="shared" si="1"/>
        <v>0</v>
      </c>
      <c r="O96" s="5" t="str">
        <f t="shared" si="2"/>
        <v/>
      </c>
    </row>
    <row r="97" ht="15.75" customHeight="1">
      <c r="B97" s="7"/>
      <c r="C97" s="5"/>
      <c r="D97" s="5"/>
      <c r="E97" s="5"/>
      <c r="F97" s="5"/>
      <c r="H97" s="7"/>
      <c r="I97" s="5"/>
      <c r="J97" s="5"/>
      <c r="K97" s="5"/>
      <c r="L97" s="5">
        <f>SUMIF('Daily Production'!$B$4:$B$203,A97,'Daily Production'!$K$4:$K$203)</f>
        <v>0</v>
      </c>
      <c r="M97" s="5">
        <f>SUMIF(Dispatch!$B$4:$B$153,A97,Dispatch!$F$4:$F$153)</f>
        <v>0</v>
      </c>
      <c r="N97" s="5">
        <f t="shared" si="1"/>
        <v>0</v>
      </c>
      <c r="O97" s="5" t="str">
        <f t="shared" si="2"/>
        <v/>
      </c>
    </row>
    <row r="98" ht="15.75" customHeight="1">
      <c r="B98" s="7"/>
      <c r="C98" s="5"/>
      <c r="D98" s="5"/>
      <c r="E98" s="5"/>
      <c r="F98" s="5"/>
      <c r="H98" s="7"/>
      <c r="I98" s="5"/>
      <c r="J98" s="5"/>
      <c r="K98" s="5"/>
      <c r="L98" s="5">
        <f>SUMIF('Daily Production'!$B$4:$B$203,A98,'Daily Production'!$K$4:$K$203)</f>
        <v>0</v>
      </c>
      <c r="M98" s="5">
        <f>SUMIF(Dispatch!$B$4:$B$153,A98,Dispatch!$F$4:$F$153)</f>
        <v>0</v>
      </c>
      <c r="N98" s="5">
        <f t="shared" si="1"/>
        <v>0</v>
      </c>
      <c r="O98" s="5" t="str">
        <f t="shared" si="2"/>
        <v/>
      </c>
    </row>
    <row r="99" ht="15.75" customHeight="1">
      <c r="B99" s="7"/>
      <c r="C99" s="5"/>
      <c r="D99" s="5"/>
      <c r="E99" s="5"/>
      <c r="F99" s="5"/>
      <c r="H99" s="7"/>
      <c r="I99" s="5"/>
      <c r="J99" s="5"/>
      <c r="K99" s="5"/>
      <c r="L99" s="5">
        <f>SUMIF('Daily Production'!$B$4:$B$203,A99,'Daily Production'!$K$4:$K$203)</f>
        <v>0</v>
      </c>
      <c r="M99" s="5">
        <f>SUMIF(Dispatch!$B$4:$B$153,A99,Dispatch!$F$4:$F$153)</f>
        <v>0</v>
      </c>
      <c r="N99" s="5">
        <f t="shared" si="1"/>
        <v>0</v>
      </c>
      <c r="O99" s="5" t="str">
        <f t="shared" si="2"/>
        <v/>
      </c>
    </row>
    <row r="100" ht="15.75" customHeight="1">
      <c r="B100" s="7"/>
      <c r="C100" s="5"/>
      <c r="D100" s="5"/>
      <c r="E100" s="5"/>
      <c r="F100" s="5"/>
      <c r="H100" s="7"/>
      <c r="I100" s="5"/>
      <c r="J100" s="5"/>
      <c r="K100" s="5"/>
      <c r="L100" s="5">
        <f>SUMIF('Daily Production'!$B$4:$B$203,A100,'Daily Production'!$K$4:$K$203)</f>
        <v>0</v>
      </c>
      <c r="M100" s="5">
        <f>SUMIF(Dispatch!$B$4:$B$153,A100,Dispatch!$F$4:$F$153)</f>
        <v>0</v>
      </c>
      <c r="N100" s="5">
        <f t="shared" si="1"/>
        <v>0</v>
      </c>
      <c r="O100" s="5" t="str">
        <f t="shared" si="2"/>
        <v/>
      </c>
    </row>
    <row r="101" ht="15.75" customHeight="1">
      <c r="B101" s="7"/>
      <c r="C101" s="5"/>
      <c r="D101" s="5"/>
      <c r="E101" s="5"/>
      <c r="F101" s="5"/>
      <c r="H101" s="7"/>
      <c r="I101" s="5"/>
      <c r="J101" s="5"/>
      <c r="K101" s="5"/>
      <c r="L101" s="5">
        <f>SUMIF('Daily Production'!$B$4:$B$203,A101,'Daily Production'!$K$4:$K$203)</f>
        <v>0</v>
      </c>
      <c r="M101" s="5">
        <f>SUMIF(Dispatch!$B$4:$B$153,A101,Dispatch!$F$4:$F$153)</f>
        <v>0</v>
      </c>
      <c r="N101" s="5">
        <f t="shared" si="1"/>
        <v>0</v>
      </c>
      <c r="O101" s="5" t="str">
        <f t="shared" si="2"/>
        <v/>
      </c>
    </row>
    <row r="102" ht="15.75" customHeight="1">
      <c r="B102" s="7"/>
      <c r="C102" s="5"/>
      <c r="D102" s="5"/>
      <c r="E102" s="5"/>
      <c r="F102" s="5"/>
      <c r="H102" s="7"/>
      <c r="I102" s="5"/>
      <c r="J102" s="5"/>
      <c r="K102" s="5"/>
      <c r="L102" s="5">
        <f>SUMIF('Daily Production'!$B$4:$B$203,A102,'Daily Production'!$K$4:$K$203)</f>
        <v>0</v>
      </c>
      <c r="M102" s="5">
        <f>SUMIF(Dispatch!$B$4:$B$153,A102,Dispatch!$F$4:$F$153)</f>
        <v>0</v>
      </c>
      <c r="N102" s="5">
        <f t="shared" si="1"/>
        <v>0</v>
      </c>
      <c r="O102" s="5" t="str">
        <f t="shared" si="2"/>
        <v/>
      </c>
    </row>
    <row r="103" ht="15.75" customHeight="1">
      <c r="B103" s="7"/>
      <c r="C103" s="5"/>
      <c r="D103" s="5"/>
      <c r="E103" s="5"/>
      <c r="F103" s="5"/>
      <c r="H103" s="7"/>
      <c r="I103" s="5"/>
      <c r="J103" s="5"/>
      <c r="K103" s="5"/>
      <c r="L103" s="5">
        <f>SUMIF('Daily Production'!$B$4:$B$203,A103,'Daily Production'!$K$4:$K$203)</f>
        <v>0</v>
      </c>
      <c r="M103" s="5">
        <f>SUMIF(Dispatch!$B$4:$B$153,A103,Dispatch!$F$4:$F$153)</f>
        <v>0</v>
      </c>
      <c r="N103" s="5">
        <f t="shared" si="1"/>
        <v>0</v>
      </c>
      <c r="O103" s="5" t="str">
        <f t="shared" si="2"/>
        <v/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Q1"/>
  </mergeCells>
  <dataValidations>
    <dataValidation type="list" allowBlank="1" sqref="D4:D103">
      <formula1>'Master Data'!$B$4:$B$14</formula1>
    </dataValidation>
    <dataValidation type="list" allowBlank="1" sqref="J4:J103">
      <formula1>"Yes,No,Partial"</formula1>
    </dataValidation>
    <dataValidation type="list" allowBlank="1" sqref="C4:C103">
      <formula1>'Master Data'!$A$4:$A$14</formula1>
    </dataValidation>
    <dataValidation type="list" allowBlank="1" sqref="E4:E103">
      <formula1>'Master Data'!$C$4:$C$14</formula1>
    </dataValidation>
    <dataValidation type="list" allowBlank="1" sqref="K4:K103">
      <formula1>'Master Data'!$H$4:$H$14</formula1>
    </dataValidation>
    <dataValidation type="list" allowBlank="1" sqref="F4:F103">
      <formula1>'Master Data'!$D$4:$D$14</formula1>
    </dataValidation>
    <dataValidation type="list" allowBlank="1" sqref="I4:I103">
      <formula1>'Master Data'!$G$4:$G$14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0"/>
    <col customWidth="1" min="3" max="6" width="18.0"/>
    <col customWidth="1" min="7" max="18" width="14.0"/>
    <col customWidth="1" min="19" max="19" width="28.0"/>
    <col customWidth="1" min="20" max="20" width="14.0"/>
    <col customWidth="1" min="21" max="26" width="8.63"/>
  </cols>
  <sheetData>
    <row r="1">
      <c r="A1" s="1" t="s">
        <v>4</v>
      </c>
    </row>
    <row r="3">
      <c r="A3" s="3" t="s">
        <v>19</v>
      </c>
      <c r="B3" s="3" t="s">
        <v>5</v>
      </c>
      <c r="C3" s="3" t="s">
        <v>10</v>
      </c>
      <c r="D3" s="3" t="s">
        <v>12</v>
      </c>
      <c r="E3" s="3" t="s">
        <v>16</v>
      </c>
      <c r="F3" s="3" t="s">
        <v>18</v>
      </c>
      <c r="G3" s="3" t="s">
        <v>33</v>
      </c>
      <c r="H3" s="3" t="s">
        <v>38</v>
      </c>
      <c r="I3" s="3" t="s">
        <v>44</v>
      </c>
      <c r="J3" s="3" t="s">
        <v>48</v>
      </c>
      <c r="K3" s="3" t="s">
        <v>53</v>
      </c>
      <c r="L3" s="3" t="s">
        <v>56</v>
      </c>
      <c r="M3" s="3" t="s">
        <v>61</v>
      </c>
      <c r="N3" s="3" t="s">
        <v>66</v>
      </c>
      <c r="O3" s="3" t="s">
        <v>70</v>
      </c>
      <c r="P3" s="3" t="s">
        <v>73</v>
      </c>
      <c r="Q3" s="3" t="s">
        <v>37</v>
      </c>
      <c r="R3" s="3" t="s">
        <v>17</v>
      </c>
      <c r="S3" s="3" t="s">
        <v>83</v>
      </c>
      <c r="T3" s="3" t="s">
        <v>86</v>
      </c>
    </row>
    <row r="4">
      <c r="A4" s="7"/>
      <c r="C4" s="5" t="str">
        <f>IFERROR(VLOOKUP(B4,'Order Flow'!$A$4:$Q$103,3,FALSE),"")</f>
        <v/>
      </c>
      <c r="D4" s="5" t="str">
        <f>IFERROR(VLOOKUP(B4,'Order Flow'!$A$4:$Q$103,4,FALSE),"")</f>
        <v/>
      </c>
      <c r="E4" s="5" t="str">
        <f>IFERROR(VLOOKUP(B4,'Order Flow'!$A$4:$Q$103,5,FALSE),"")</f>
        <v/>
      </c>
      <c r="F4" s="5" t="str">
        <f>IFERROR(VLOOKUP(B4,'Order Flow'!$A$4:$Q$103,6,FALSE),"")</f>
        <v/>
      </c>
      <c r="G4" s="5"/>
      <c r="H4" s="5"/>
      <c r="I4" s="5"/>
      <c r="N4" s="5">
        <f t="shared" ref="N4:N203" si="1">SUM(K4:M4)</f>
        <v>0</v>
      </c>
      <c r="O4" s="8">
        <f t="shared" ref="O4:O203" si="2">IFERROR(K4/J4,0)</f>
        <v>0</v>
      </c>
      <c r="P4" s="8">
        <f t="shared" ref="P4:P203" si="3">IFERROR(M4/N4,0)</f>
        <v>0</v>
      </c>
      <c r="Q4" s="5">
        <f t="shared" ref="Q4:Q203" si="4">MAX(0,J4-K4)</f>
        <v>0</v>
      </c>
      <c r="R4" s="5"/>
    </row>
    <row r="5">
      <c r="A5" s="7"/>
      <c r="C5" s="5" t="str">
        <f>IFERROR(VLOOKUP(B5,'Order Flow'!$A$4:$Q$103,3,FALSE),"")</f>
        <v/>
      </c>
      <c r="D5" s="5" t="str">
        <f>IFERROR(VLOOKUP(B5,'Order Flow'!$A$4:$Q$103,4,FALSE),"")</f>
        <v/>
      </c>
      <c r="E5" s="5" t="str">
        <f>IFERROR(VLOOKUP(B5,'Order Flow'!$A$4:$Q$103,5,FALSE),"")</f>
        <v/>
      </c>
      <c r="F5" s="5" t="str">
        <f>IFERROR(VLOOKUP(B5,'Order Flow'!$A$4:$Q$103,6,FALSE),"")</f>
        <v/>
      </c>
      <c r="G5" s="5"/>
      <c r="H5" s="5"/>
      <c r="I5" s="5"/>
      <c r="N5" s="5">
        <f t="shared" si="1"/>
        <v>0</v>
      </c>
      <c r="O5" s="8">
        <f t="shared" si="2"/>
        <v>0</v>
      </c>
      <c r="P5" s="8">
        <f t="shared" si="3"/>
        <v>0</v>
      </c>
      <c r="Q5" s="5">
        <f t="shared" si="4"/>
        <v>0</v>
      </c>
      <c r="R5" s="5"/>
    </row>
    <row r="6">
      <c r="A6" s="7"/>
      <c r="C6" s="5" t="str">
        <f>IFERROR(VLOOKUP(B6,'Order Flow'!$A$4:$Q$103,3,FALSE),"")</f>
        <v/>
      </c>
      <c r="D6" s="5" t="str">
        <f>IFERROR(VLOOKUP(B6,'Order Flow'!$A$4:$Q$103,4,FALSE),"")</f>
        <v/>
      </c>
      <c r="E6" s="5" t="str">
        <f>IFERROR(VLOOKUP(B6,'Order Flow'!$A$4:$Q$103,5,FALSE),"")</f>
        <v/>
      </c>
      <c r="F6" s="5" t="str">
        <f>IFERROR(VLOOKUP(B6,'Order Flow'!$A$4:$Q$103,6,FALSE),"")</f>
        <v/>
      </c>
      <c r="G6" s="5"/>
      <c r="H6" s="5"/>
      <c r="I6" s="5"/>
      <c r="N6" s="5">
        <f t="shared" si="1"/>
        <v>0</v>
      </c>
      <c r="O6" s="8">
        <f t="shared" si="2"/>
        <v>0</v>
      </c>
      <c r="P6" s="8">
        <f t="shared" si="3"/>
        <v>0</v>
      </c>
      <c r="Q6" s="5">
        <f t="shared" si="4"/>
        <v>0</v>
      </c>
      <c r="R6" s="5"/>
    </row>
    <row r="7">
      <c r="A7" s="7"/>
      <c r="C7" s="5" t="str">
        <f>IFERROR(VLOOKUP(B7,'Order Flow'!$A$4:$Q$103,3,FALSE),"")</f>
        <v/>
      </c>
      <c r="D7" s="5" t="str">
        <f>IFERROR(VLOOKUP(B7,'Order Flow'!$A$4:$Q$103,4,FALSE),"")</f>
        <v/>
      </c>
      <c r="E7" s="5" t="str">
        <f>IFERROR(VLOOKUP(B7,'Order Flow'!$A$4:$Q$103,5,FALSE),"")</f>
        <v/>
      </c>
      <c r="F7" s="5" t="str">
        <f>IFERROR(VLOOKUP(B7,'Order Flow'!$A$4:$Q$103,6,FALSE),"")</f>
        <v/>
      </c>
      <c r="G7" s="5"/>
      <c r="H7" s="5"/>
      <c r="I7" s="5"/>
      <c r="N7" s="5">
        <f t="shared" si="1"/>
        <v>0</v>
      </c>
      <c r="O7" s="8">
        <f t="shared" si="2"/>
        <v>0</v>
      </c>
      <c r="P7" s="8">
        <f t="shared" si="3"/>
        <v>0</v>
      </c>
      <c r="Q7" s="5">
        <f t="shared" si="4"/>
        <v>0</v>
      </c>
      <c r="R7" s="5"/>
    </row>
    <row r="8">
      <c r="A8" s="7"/>
      <c r="C8" s="5" t="str">
        <f>IFERROR(VLOOKUP(B8,'Order Flow'!$A$4:$Q$103,3,FALSE),"")</f>
        <v/>
      </c>
      <c r="D8" s="5" t="str">
        <f>IFERROR(VLOOKUP(B8,'Order Flow'!$A$4:$Q$103,4,FALSE),"")</f>
        <v/>
      </c>
      <c r="E8" s="5" t="str">
        <f>IFERROR(VLOOKUP(B8,'Order Flow'!$A$4:$Q$103,5,FALSE),"")</f>
        <v/>
      </c>
      <c r="F8" s="5" t="str">
        <f>IFERROR(VLOOKUP(B8,'Order Flow'!$A$4:$Q$103,6,FALSE),"")</f>
        <v/>
      </c>
      <c r="G8" s="5"/>
      <c r="H8" s="5"/>
      <c r="I8" s="5"/>
      <c r="N8" s="5">
        <f t="shared" si="1"/>
        <v>0</v>
      </c>
      <c r="O8" s="8">
        <f t="shared" si="2"/>
        <v>0</v>
      </c>
      <c r="P8" s="8">
        <f t="shared" si="3"/>
        <v>0</v>
      </c>
      <c r="Q8" s="5">
        <f t="shared" si="4"/>
        <v>0</v>
      </c>
      <c r="R8" s="5"/>
    </row>
    <row r="9">
      <c r="A9" s="7"/>
      <c r="C9" s="5" t="str">
        <f>IFERROR(VLOOKUP(B9,'Order Flow'!$A$4:$Q$103,3,FALSE),"")</f>
        <v/>
      </c>
      <c r="D9" s="5" t="str">
        <f>IFERROR(VLOOKUP(B9,'Order Flow'!$A$4:$Q$103,4,FALSE),"")</f>
        <v/>
      </c>
      <c r="E9" s="5" t="str">
        <f>IFERROR(VLOOKUP(B9,'Order Flow'!$A$4:$Q$103,5,FALSE),"")</f>
        <v/>
      </c>
      <c r="F9" s="5" t="str">
        <f>IFERROR(VLOOKUP(B9,'Order Flow'!$A$4:$Q$103,6,FALSE),"")</f>
        <v/>
      </c>
      <c r="G9" s="5"/>
      <c r="H9" s="5"/>
      <c r="I9" s="5"/>
      <c r="N9" s="5">
        <f t="shared" si="1"/>
        <v>0</v>
      </c>
      <c r="O9" s="8">
        <f t="shared" si="2"/>
        <v>0</v>
      </c>
      <c r="P9" s="8">
        <f t="shared" si="3"/>
        <v>0</v>
      </c>
      <c r="Q9" s="5">
        <f t="shared" si="4"/>
        <v>0</v>
      </c>
      <c r="R9" s="5"/>
    </row>
    <row r="10">
      <c r="A10" s="7"/>
      <c r="C10" s="5" t="str">
        <f>IFERROR(VLOOKUP(B10,'Order Flow'!$A$4:$Q$103,3,FALSE),"")</f>
        <v/>
      </c>
      <c r="D10" s="5" t="str">
        <f>IFERROR(VLOOKUP(B10,'Order Flow'!$A$4:$Q$103,4,FALSE),"")</f>
        <v/>
      </c>
      <c r="E10" s="5" t="str">
        <f>IFERROR(VLOOKUP(B10,'Order Flow'!$A$4:$Q$103,5,FALSE),"")</f>
        <v/>
      </c>
      <c r="F10" s="5" t="str">
        <f>IFERROR(VLOOKUP(B10,'Order Flow'!$A$4:$Q$103,6,FALSE),"")</f>
        <v/>
      </c>
      <c r="G10" s="5"/>
      <c r="H10" s="5"/>
      <c r="I10" s="5"/>
      <c r="N10" s="5">
        <f t="shared" si="1"/>
        <v>0</v>
      </c>
      <c r="O10" s="8">
        <f t="shared" si="2"/>
        <v>0</v>
      </c>
      <c r="P10" s="8">
        <f t="shared" si="3"/>
        <v>0</v>
      </c>
      <c r="Q10" s="5">
        <f t="shared" si="4"/>
        <v>0</v>
      </c>
      <c r="R10" s="5"/>
    </row>
    <row r="11">
      <c r="A11" s="7"/>
      <c r="C11" s="5" t="str">
        <f>IFERROR(VLOOKUP(B11,'Order Flow'!$A$4:$Q$103,3,FALSE),"")</f>
        <v/>
      </c>
      <c r="D11" s="5" t="str">
        <f>IFERROR(VLOOKUP(B11,'Order Flow'!$A$4:$Q$103,4,FALSE),"")</f>
        <v/>
      </c>
      <c r="E11" s="5" t="str">
        <f>IFERROR(VLOOKUP(B11,'Order Flow'!$A$4:$Q$103,5,FALSE),"")</f>
        <v/>
      </c>
      <c r="F11" s="5" t="str">
        <f>IFERROR(VLOOKUP(B11,'Order Flow'!$A$4:$Q$103,6,FALSE),"")</f>
        <v/>
      </c>
      <c r="G11" s="5"/>
      <c r="H11" s="5"/>
      <c r="I11" s="5"/>
      <c r="N11" s="5">
        <f t="shared" si="1"/>
        <v>0</v>
      </c>
      <c r="O11" s="8">
        <f t="shared" si="2"/>
        <v>0</v>
      </c>
      <c r="P11" s="8">
        <f t="shared" si="3"/>
        <v>0</v>
      </c>
      <c r="Q11" s="5">
        <f t="shared" si="4"/>
        <v>0</v>
      </c>
      <c r="R11" s="5"/>
    </row>
    <row r="12">
      <c r="A12" s="7"/>
      <c r="C12" s="5" t="str">
        <f>IFERROR(VLOOKUP(B12,'Order Flow'!$A$4:$Q$103,3,FALSE),"")</f>
        <v/>
      </c>
      <c r="D12" s="5" t="str">
        <f>IFERROR(VLOOKUP(B12,'Order Flow'!$A$4:$Q$103,4,FALSE),"")</f>
        <v/>
      </c>
      <c r="E12" s="5" t="str">
        <f>IFERROR(VLOOKUP(B12,'Order Flow'!$A$4:$Q$103,5,FALSE),"")</f>
        <v/>
      </c>
      <c r="F12" s="5" t="str">
        <f>IFERROR(VLOOKUP(B12,'Order Flow'!$A$4:$Q$103,6,FALSE),"")</f>
        <v/>
      </c>
      <c r="G12" s="5"/>
      <c r="H12" s="5"/>
      <c r="I12" s="5"/>
      <c r="N12" s="5">
        <f t="shared" si="1"/>
        <v>0</v>
      </c>
      <c r="O12" s="8">
        <f t="shared" si="2"/>
        <v>0</v>
      </c>
      <c r="P12" s="8">
        <f t="shared" si="3"/>
        <v>0</v>
      </c>
      <c r="Q12" s="5">
        <f t="shared" si="4"/>
        <v>0</v>
      </c>
      <c r="R12" s="5"/>
    </row>
    <row r="13">
      <c r="A13" s="7"/>
      <c r="C13" s="5" t="str">
        <f>IFERROR(VLOOKUP(B13,'Order Flow'!$A$4:$Q$103,3,FALSE),"")</f>
        <v/>
      </c>
      <c r="D13" s="5" t="str">
        <f>IFERROR(VLOOKUP(B13,'Order Flow'!$A$4:$Q$103,4,FALSE),"")</f>
        <v/>
      </c>
      <c r="E13" s="5" t="str">
        <f>IFERROR(VLOOKUP(B13,'Order Flow'!$A$4:$Q$103,5,FALSE),"")</f>
        <v/>
      </c>
      <c r="F13" s="5" t="str">
        <f>IFERROR(VLOOKUP(B13,'Order Flow'!$A$4:$Q$103,6,FALSE),"")</f>
        <v/>
      </c>
      <c r="G13" s="5"/>
      <c r="H13" s="5"/>
      <c r="I13" s="5"/>
      <c r="N13" s="5">
        <f t="shared" si="1"/>
        <v>0</v>
      </c>
      <c r="O13" s="8">
        <f t="shared" si="2"/>
        <v>0</v>
      </c>
      <c r="P13" s="8">
        <f t="shared" si="3"/>
        <v>0</v>
      </c>
      <c r="Q13" s="5">
        <f t="shared" si="4"/>
        <v>0</v>
      </c>
      <c r="R13" s="5"/>
    </row>
    <row r="14">
      <c r="A14" s="7"/>
      <c r="C14" s="5" t="str">
        <f>IFERROR(VLOOKUP(B14,'Order Flow'!$A$4:$Q$103,3,FALSE),"")</f>
        <v/>
      </c>
      <c r="D14" s="5" t="str">
        <f>IFERROR(VLOOKUP(B14,'Order Flow'!$A$4:$Q$103,4,FALSE),"")</f>
        <v/>
      </c>
      <c r="E14" s="5" t="str">
        <f>IFERROR(VLOOKUP(B14,'Order Flow'!$A$4:$Q$103,5,FALSE),"")</f>
        <v/>
      </c>
      <c r="F14" s="5" t="str">
        <f>IFERROR(VLOOKUP(B14,'Order Flow'!$A$4:$Q$103,6,FALSE),"")</f>
        <v/>
      </c>
      <c r="G14" s="5"/>
      <c r="H14" s="5"/>
      <c r="I14" s="5"/>
      <c r="N14" s="5">
        <f t="shared" si="1"/>
        <v>0</v>
      </c>
      <c r="O14" s="8">
        <f t="shared" si="2"/>
        <v>0</v>
      </c>
      <c r="P14" s="8">
        <f t="shared" si="3"/>
        <v>0</v>
      </c>
      <c r="Q14" s="5">
        <f t="shared" si="4"/>
        <v>0</v>
      </c>
      <c r="R14" s="5"/>
    </row>
    <row r="15">
      <c r="A15" s="7"/>
      <c r="C15" s="5" t="str">
        <f>IFERROR(VLOOKUP(B15,'Order Flow'!$A$4:$Q$103,3,FALSE),"")</f>
        <v/>
      </c>
      <c r="D15" s="5" t="str">
        <f>IFERROR(VLOOKUP(B15,'Order Flow'!$A$4:$Q$103,4,FALSE),"")</f>
        <v/>
      </c>
      <c r="E15" s="5" t="str">
        <f>IFERROR(VLOOKUP(B15,'Order Flow'!$A$4:$Q$103,5,FALSE),"")</f>
        <v/>
      </c>
      <c r="F15" s="5" t="str">
        <f>IFERROR(VLOOKUP(B15,'Order Flow'!$A$4:$Q$103,6,FALSE),"")</f>
        <v/>
      </c>
      <c r="G15" s="5"/>
      <c r="H15" s="5"/>
      <c r="I15" s="5"/>
      <c r="N15" s="5">
        <f t="shared" si="1"/>
        <v>0</v>
      </c>
      <c r="O15" s="8">
        <f t="shared" si="2"/>
        <v>0</v>
      </c>
      <c r="P15" s="8">
        <f t="shared" si="3"/>
        <v>0</v>
      </c>
      <c r="Q15" s="5">
        <f t="shared" si="4"/>
        <v>0</v>
      </c>
      <c r="R15" s="5"/>
    </row>
    <row r="16">
      <c r="A16" s="7"/>
      <c r="C16" s="5" t="str">
        <f>IFERROR(VLOOKUP(B16,'Order Flow'!$A$4:$Q$103,3,FALSE),"")</f>
        <v/>
      </c>
      <c r="D16" s="5" t="str">
        <f>IFERROR(VLOOKUP(B16,'Order Flow'!$A$4:$Q$103,4,FALSE),"")</f>
        <v/>
      </c>
      <c r="E16" s="5" t="str">
        <f>IFERROR(VLOOKUP(B16,'Order Flow'!$A$4:$Q$103,5,FALSE),"")</f>
        <v/>
      </c>
      <c r="F16" s="5" t="str">
        <f>IFERROR(VLOOKUP(B16,'Order Flow'!$A$4:$Q$103,6,FALSE),"")</f>
        <v/>
      </c>
      <c r="G16" s="5"/>
      <c r="H16" s="5"/>
      <c r="I16" s="5"/>
      <c r="N16" s="5">
        <f t="shared" si="1"/>
        <v>0</v>
      </c>
      <c r="O16" s="8">
        <f t="shared" si="2"/>
        <v>0</v>
      </c>
      <c r="P16" s="8">
        <f t="shared" si="3"/>
        <v>0</v>
      </c>
      <c r="Q16" s="5">
        <f t="shared" si="4"/>
        <v>0</v>
      </c>
      <c r="R16" s="5"/>
    </row>
    <row r="17">
      <c r="A17" s="7"/>
      <c r="C17" s="5" t="str">
        <f>IFERROR(VLOOKUP(B17,'Order Flow'!$A$4:$Q$103,3,FALSE),"")</f>
        <v/>
      </c>
      <c r="D17" s="5" t="str">
        <f>IFERROR(VLOOKUP(B17,'Order Flow'!$A$4:$Q$103,4,FALSE),"")</f>
        <v/>
      </c>
      <c r="E17" s="5" t="str">
        <f>IFERROR(VLOOKUP(B17,'Order Flow'!$A$4:$Q$103,5,FALSE),"")</f>
        <v/>
      </c>
      <c r="F17" s="5" t="str">
        <f>IFERROR(VLOOKUP(B17,'Order Flow'!$A$4:$Q$103,6,FALSE),"")</f>
        <v/>
      </c>
      <c r="G17" s="5"/>
      <c r="H17" s="5"/>
      <c r="I17" s="5"/>
      <c r="N17" s="5">
        <f t="shared" si="1"/>
        <v>0</v>
      </c>
      <c r="O17" s="8">
        <f t="shared" si="2"/>
        <v>0</v>
      </c>
      <c r="P17" s="8">
        <f t="shared" si="3"/>
        <v>0</v>
      </c>
      <c r="Q17" s="5">
        <f t="shared" si="4"/>
        <v>0</v>
      </c>
      <c r="R17" s="5"/>
    </row>
    <row r="18">
      <c r="A18" s="7"/>
      <c r="C18" s="5" t="str">
        <f>IFERROR(VLOOKUP(B18,'Order Flow'!$A$4:$Q$103,3,FALSE),"")</f>
        <v/>
      </c>
      <c r="D18" s="5" t="str">
        <f>IFERROR(VLOOKUP(B18,'Order Flow'!$A$4:$Q$103,4,FALSE),"")</f>
        <v/>
      </c>
      <c r="E18" s="5" t="str">
        <f>IFERROR(VLOOKUP(B18,'Order Flow'!$A$4:$Q$103,5,FALSE),"")</f>
        <v/>
      </c>
      <c r="F18" s="5" t="str">
        <f>IFERROR(VLOOKUP(B18,'Order Flow'!$A$4:$Q$103,6,FALSE),"")</f>
        <v/>
      </c>
      <c r="G18" s="5"/>
      <c r="H18" s="5"/>
      <c r="I18" s="5"/>
      <c r="N18" s="5">
        <f t="shared" si="1"/>
        <v>0</v>
      </c>
      <c r="O18" s="8">
        <f t="shared" si="2"/>
        <v>0</v>
      </c>
      <c r="P18" s="8">
        <f t="shared" si="3"/>
        <v>0</v>
      </c>
      <c r="Q18" s="5">
        <f t="shared" si="4"/>
        <v>0</v>
      </c>
      <c r="R18" s="5"/>
    </row>
    <row r="19">
      <c r="A19" s="7"/>
      <c r="C19" s="5" t="str">
        <f>IFERROR(VLOOKUP(B19,'Order Flow'!$A$4:$Q$103,3,FALSE),"")</f>
        <v/>
      </c>
      <c r="D19" s="5" t="str">
        <f>IFERROR(VLOOKUP(B19,'Order Flow'!$A$4:$Q$103,4,FALSE),"")</f>
        <v/>
      </c>
      <c r="E19" s="5" t="str">
        <f>IFERROR(VLOOKUP(B19,'Order Flow'!$A$4:$Q$103,5,FALSE),"")</f>
        <v/>
      </c>
      <c r="F19" s="5" t="str">
        <f>IFERROR(VLOOKUP(B19,'Order Flow'!$A$4:$Q$103,6,FALSE),"")</f>
        <v/>
      </c>
      <c r="G19" s="5"/>
      <c r="H19" s="5"/>
      <c r="I19" s="5"/>
      <c r="N19" s="5">
        <f t="shared" si="1"/>
        <v>0</v>
      </c>
      <c r="O19" s="8">
        <f t="shared" si="2"/>
        <v>0</v>
      </c>
      <c r="P19" s="8">
        <f t="shared" si="3"/>
        <v>0</v>
      </c>
      <c r="Q19" s="5">
        <f t="shared" si="4"/>
        <v>0</v>
      </c>
      <c r="R19" s="5"/>
    </row>
    <row r="20">
      <c r="A20" s="7"/>
      <c r="C20" s="5" t="str">
        <f>IFERROR(VLOOKUP(B20,'Order Flow'!$A$4:$Q$103,3,FALSE),"")</f>
        <v/>
      </c>
      <c r="D20" s="5" t="str">
        <f>IFERROR(VLOOKUP(B20,'Order Flow'!$A$4:$Q$103,4,FALSE),"")</f>
        <v/>
      </c>
      <c r="E20" s="5" t="str">
        <f>IFERROR(VLOOKUP(B20,'Order Flow'!$A$4:$Q$103,5,FALSE),"")</f>
        <v/>
      </c>
      <c r="F20" s="5" t="str">
        <f>IFERROR(VLOOKUP(B20,'Order Flow'!$A$4:$Q$103,6,FALSE),"")</f>
        <v/>
      </c>
      <c r="G20" s="5"/>
      <c r="H20" s="5"/>
      <c r="I20" s="5"/>
      <c r="N20" s="5">
        <f t="shared" si="1"/>
        <v>0</v>
      </c>
      <c r="O20" s="8">
        <f t="shared" si="2"/>
        <v>0</v>
      </c>
      <c r="P20" s="8">
        <f t="shared" si="3"/>
        <v>0</v>
      </c>
      <c r="Q20" s="5">
        <f t="shared" si="4"/>
        <v>0</v>
      </c>
      <c r="R20" s="5"/>
    </row>
    <row r="21" ht="15.75" customHeight="1">
      <c r="A21" s="7"/>
      <c r="C21" s="5" t="str">
        <f>IFERROR(VLOOKUP(B21,'Order Flow'!$A$4:$Q$103,3,FALSE),"")</f>
        <v/>
      </c>
      <c r="D21" s="5" t="str">
        <f>IFERROR(VLOOKUP(B21,'Order Flow'!$A$4:$Q$103,4,FALSE),"")</f>
        <v/>
      </c>
      <c r="E21" s="5" t="str">
        <f>IFERROR(VLOOKUP(B21,'Order Flow'!$A$4:$Q$103,5,FALSE),"")</f>
        <v/>
      </c>
      <c r="F21" s="5" t="str">
        <f>IFERROR(VLOOKUP(B21,'Order Flow'!$A$4:$Q$103,6,FALSE),"")</f>
        <v/>
      </c>
      <c r="G21" s="5"/>
      <c r="H21" s="5"/>
      <c r="I21" s="5"/>
      <c r="N21" s="5">
        <f t="shared" si="1"/>
        <v>0</v>
      </c>
      <c r="O21" s="8">
        <f t="shared" si="2"/>
        <v>0</v>
      </c>
      <c r="P21" s="8">
        <f t="shared" si="3"/>
        <v>0</v>
      </c>
      <c r="Q21" s="5">
        <f t="shared" si="4"/>
        <v>0</v>
      </c>
      <c r="R21" s="5"/>
    </row>
    <row r="22" ht="15.75" customHeight="1">
      <c r="A22" s="7"/>
      <c r="C22" s="5" t="str">
        <f>IFERROR(VLOOKUP(B22,'Order Flow'!$A$4:$Q$103,3,FALSE),"")</f>
        <v/>
      </c>
      <c r="D22" s="5" t="str">
        <f>IFERROR(VLOOKUP(B22,'Order Flow'!$A$4:$Q$103,4,FALSE),"")</f>
        <v/>
      </c>
      <c r="E22" s="5" t="str">
        <f>IFERROR(VLOOKUP(B22,'Order Flow'!$A$4:$Q$103,5,FALSE),"")</f>
        <v/>
      </c>
      <c r="F22" s="5" t="str">
        <f>IFERROR(VLOOKUP(B22,'Order Flow'!$A$4:$Q$103,6,FALSE),"")</f>
        <v/>
      </c>
      <c r="G22" s="5"/>
      <c r="H22" s="5"/>
      <c r="I22" s="5"/>
      <c r="N22" s="5">
        <f t="shared" si="1"/>
        <v>0</v>
      </c>
      <c r="O22" s="8">
        <f t="shared" si="2"/>
        <v>0</v>
      </c>
      <c r="P22" s="8">
        <f t="shared" si="3"/>
        <v>0</v>
      </c>
      <c r="Q22" s="5">
        <f t="shared" si="4"/>
        <v>0</v>
      </c>
      <c r="R22" s="5"/>
    </row>
    <row r="23" ht="15.75" customHeight="1">
      <c r="A23" s="7"/>
      <c r="C23" s="5" t="str">
        <f>IFERROR(VLOOKUP(B23,'Order Flow'!$A$4:$Q$103,3,FALSE),"")</f>
        <v/>
      </c>
      <c r="D23" s="5" t="str">
        <f>IFERROR(VLOOKUP(B23,'Order Flow'!$A$4:$Q$103,4,FALSE),"")</f>
        <v/>
      </c>
      <c r="E23" s="5" t="str">
        <f>IFERROR(VLOOKUP(B23,'Order Flow'!$A$4:$Q$103,5,FALSE),"")</f>
        <v/>
      </c>
      <c r="F23" s="5" t="str">
        <f>IFERROR(VLOOKUP(B23,'Order Flow'!$A$4:$Q$103,6,FALSE),"")</f>
        <v/>
      </c>
      <c r="G23" s="5"/>
      <c r="H23" s="5"/>
      <c r="I23" s="5"/>
      <c r="N23" s="5">
        <f t="shared" si="1"/>
        <v>0</v>
      </c>
      <c r="O23" s="8">
        <f t="shared" si="2"/>
        <v>0</v>
      </c>
      <c r="P23" s="8">
        <f t="shared" si="3"/>
        <v>0</v>
      </c>
      <c r="Q23" s="5">
        <f t="shared" si="4"/>
        <v>0</v>
      </c>
      <c r="R23" s="5"/>
    </row>
    <row r="24" ht="15.75" customHeight="1">
      <c r="A24" s="7"/>
      <c r="C24" s="5" t="str">
        <f>IFERROR(VLOOKUP(B24,'Order Flow'!$A$4:$Q$103,3,FALSE),"")</f>
        <v/>
      </c>
      <c r="D24" s="5" t="str">
        <f>IFERROR(VLOOKUP(B24,'Order Flow'!$A$4:$Q$103,4,FALSE),"")</f>
        <v/>
      </c>
      <c r="E24" s="5" t="str">
        <f>IFERROR(VLOOKUP(B24,'Order Flow'!$A$4:$Q$103,5,FALSE),"")</f>
        <v/>
      </c>
      <c r="F24" s="5" t="str">
        <f>IFERROR(VLOOKUP(B24,'Order Flow'!$A$4:$Q$103,6,FALSE),"")</f>
        <v/>
      </c>
      <c r="G24" s="5"/>
      <c r="H24" s="5"/>
      <c r="I24" s="5"/>
      <c r="N24" s="5">
        <f t="shared" si="1"/>
        <v>0</v>
      </c>
      <c r="O24" s="8">
        <f t="shared" si="2"/>
        <v>0</v>
      </c>
      <c r="P24" s="8">
        <f t="shared" si="3"/>
        <v>0</v>
      </c>
      <c r="Q24" s="5">
        <f t="shared" si="4"/>
        <v>0</v>
      </c>
      <c r="R24" s="5"/>
    </row>
    <row r="25" ht="15.75" customHeight="1">
      <c r="A25" s="7"/>
      <c r="C25" s="5" t="str">
        <f>IFERROR(VLOOKUP(B25,'Order Flow'!$A$4:$Q$103,3,FALSE),"")</f>
        <v/>
      </c>
      <c r="D25" s="5" t="str">
        <f>IFERROR(VLOOKUP(B25,'Order Flow'!$A$4:$Q$103,4,FALSE),"")</f>
        <v/>
      </c>
      <c r="E25" s="5" t="str">
        <f>IFERROR(VLOOKUP(B25,'Order Flow'!$A$4:$Q$103,5,FALSE),"")</f>
        <v/>
      </c>
      <c r="F25" s="5" t="str">
        <f>IFERROR(VLOOKUP(B25,'Order Flow'!$A$4:$Q$103,6,FALSE),"")</f>
        <v/>
      </c>
      <c r="G25" s="5"/>
      <c r="H25" s="5"/>
      <c r="I25" s="5"/>
      <c r="N25" s="5">
        <f t="shared" si="1"/>
        <v>0</v>
      </c>
      <c r="O25" s="8">
        <f t="shared" si="2"/>
        <v>0</v>
      </c>
      <c r="P25" s="8">
        <f t="shared" si="3"/>
        <v>0</v>
      </c>
      <c r="Q25" s="5">
        <f t="shared" si="4"/>
        <v>0</v>
      </c>
      <c r="R25" s="5"/>
    </row>
    <row r="26" ht="15.75" customHeight="1">
      <c r="A26" s="7"/>
      <c r="C26" s="5" t="str">
        <f>IFERROR(VLOOKUP(B26,'Order Flow'!$A$4:$Q$103,3,FALSE),"")</f>
        <v/>
      </c>
      <c r="D26" s="5" t="str">
        <f>IFERROR(VLOOKUP(B26,'Order Flow'!$A$4:$Q$103,4,FALSE),"")</f>
        <v/>
      </c>
      <c r="E26" s="5" t="str">
        <f>IFERROR(VLOOKUP(B26,'Order Flow'!$A$4:$Q$103,5,FALSE),"")</f>
        <v/>
      </c>
      <c r="F26" s="5" t="str">
        <f>IFERROR(VLOOKUP(B26,'Order Flow'!$A$4:$Q$103,6,FALSE),"")</f>
        <v/>
      </c>
      <c r="G26" s="5"/>
      <c r="H26" s="5"/>
      <c r="I26" s="5"/>
      <c r="N26" s="5">
        <f t="shared" si="1"/>
        <v>0</v>
      </c>
      <c r="O26" s="8">
        <f t="shared" si="2"/>
        <v>0</v>
      </c>
      <c r="P26" s="8">
        <f t="shared" si="3"/>
        <v>0</v>
      </c>
      <c r="Q26" s="5">
        <f t="shared" si="4"/>
        <v>0</v>
      </c>
      <c r="R26" s="5"/>
    </row>
    <row r="27" ht="15.75" customHeight="1">
      <c r="A27" s="7"/>
      <c r="C27" s="5" t="str">
        <f>IFERROR(VLOOKUP(B27,'Order Flow'!$A$4:$Q$103,3,FALSE),"")</f>
        <v/>
      </c>
      <c r="D27" s="5" t="str">
        <f>IFERROR(VLOOKUP(B27,'Order Flow'!$A$4:$Q$103,4,FALSE),"")</f>
        <v/>
      </c>
      <c r="E27" s="5" t="str">
        <f>IFERROR(VLOOKUP(B27,'Order Flow'!$A$4:$Q$103,5,FALSE),"")</f>
        <v/>
      </c>
      <c r="F27" s="5" t="str">
        <f>IFERROR(VLOOKUP(B27,'Order Flow'!$A$4:$Q$103,6,FALSE),"")</f>
        <v/>
      </c>
      <c r="G27" s="5"/>
      <c r="H27" s="5"/>
      <c r="I27" s="5"/>
      <c r="N27" s="5">
        <f t="shared" si="1"/>
        <v>0</v>
      </c>
      <c r="O27" s="8">
        <f t="shared" si="2"/>
        <v>0</v>
      </c>
      <c r="P27" s="8">
        <f t="shared" si="3"/>
        <v>0</v>
      </c>
      <c r="Q27" s="5">
        <f t="shared" si="4"/>
        <v>0</v>
      </c>
      <c r="R27" s="5"/>
    </row>
    <row r="28" ht="15.75" customHeight="1">
      <c r="A28" s="7"/>
      <c r="C28" s="5" t="str">
        <f>IFERROR(VLOOKUP(B28,'Order Flow'!$A$4:$Q$103,3,FALSE),"")</f>
        <v/>
      </c>
      <c r="D28" s="5" t="str">
        <f>IFERROR(VLOOKUP(B28,'Order Flow'!$A$4:$Q$103,4,FALSE),"")</f>
        <v/>
      </c>
      <c r="E28" s="5" t="str">
        <f>IFERROR(VLOOKUP(B28,'Order Flow'!$A$4:$Q$103,5,FALSE),"")</f>
        <v/>
      </c>
      <c r="F28" s="5" t="str">
        <f>IFERROR(VLOOKUP(B28,'Order Flow'!$A$4:$Q$103,6,FALSE),"")</f>
        <v/>
      </c>
      <c r="G28" s="5"/>
      <c r="H28" s="5"/>
      <c r="I28" s="5"/>
      <c r="N28" s="5">
        <f t="shared" si="1"/>
        <v>0</v>
      </c>
      <c r="O28" s="8">
        <f t="shared" si="2"/>
        <v>0</v>
      </c>
      <c r="P28" s="8">
        <f t="shared" si="3"/>
        <v>0</v>
      </c>
      <c r="Q28" s="5">
        <f t="shared" si="4"/>
        <v>0</v>
      </c>
      <c r="R28" s="5"/>
    </row>
    <row r="29" ht="15.75" customHeight="1">
      <c r="A29" s="7"/>
      <c r="C29" s="5" t="str">
        <f>IFERROR(VLOOKUP(B29,'Order Flow'!$A$4:$Q$103,3,FALSE),"")</f>
        <v/>
      </c>
      <c r="D29" s="5" t="str">
        <f>IFERROR(VLOOKUP(B29,'Order Flow'!$A$4:$Q$103,4,FALSE),"")</f>
        <v/>
      </c>
      <c r="E29" s="5" t="str">
        <f>IFERROR(VLOOKUP(B29,'Order Flow'!$A$4:$Q$103,5,FALSE),"")</f>
        <v/>
      </c>
      <c r="F29" s="5" t="str">
        <f>IFERROR(VLOOKUP(B29,'Order Flow'!$A$4:$Q$103,6,FALSE),"")</f>
        <v/>
      </c>
      <c r="G29" s="5"/>
      <c r="H29" s="5"/>
      <c r="I29" s="5"/>
      <c r="N29" s="5">
        <f t="shared" si="1"/>
        <v>0</v>
      </c>
      <c r="O29" s="8">
        <f t="shared" si="2"/>
        <v>0</v>
      </c>
      <c r="P29" s="8">
        <f t="shared" si="3"/>
        <v>0</v>
      </c>
      <c r="Q29" s="5">
        <f t="shared" si="4"/>
        <v>0</v>
      </c>
      <c r="R29" s="5"/>
    </row>
    <row r="30" ht="15.75" customHeight="1">
      <c r="A30" s="7"/>
      <c r="C30" s="5" t="str">
        <f>IFERROR(VLOOKUP(B30,'Order Flow'!$A$4:$Q$103,3,FALSE),"")</f>
        <v/>
      </c>
      <c r="D30" s="5" t="str">
        <f>IFERROR(VLOOKUP(B30,'Order Flow'!$A$4:$Q$103,4,FALSE),"")</f>
        <v/>
      </c>
      <c r="E30" s="5" t="str">
        <f>IFERROR(VLOOKUP(B30,'Order Flow'!$A$4:$Q$103,5,FALSE),"")</f>
        <v/>
      </c>
      <c r="F30" s="5" t="str">
        <f>IFERROR(VLOOKUP(B30,'Order Flow'!$A$4:$Q$103,6,FALSE),"")</f>
        <v/>
      </c>
      <c r="G30" s="5"/>
      <c r="H30" s="5"/>
      <c r="I30" s="5"/>
      <c r="N30" s="5">
        <f t="shared" si="1"/>
        <v>0</v>
      </c>
      <c r="O30" s="8">
        <f t="shared" si="2"/>
        <v>0</v>
      </c>
      <c r="P30" s="8">
        <f t="shared" si="3"/>
        <v>0</v>
      </c>
      <c r="Q30" s="5">
        <f t="shared" si="4"/>
        <v>0</v>
      </c>
      <c r="R30" s="5"/>
    </row>
    <row r="31" ht="15.75" customHeight="1">
      <c r="A31" s="7"/>
      <c r="C31" s="5" t="str">
        <f>IFERROR(VLOOKUP(B31,'Order Flow'!$A$4:$Q$103,3,FALSE),"")</f>
        <v/>
      </c>
      <c r="D31" s="5" t="str">
        <f>IFERROR(VLOOKUP(B31,'Order Flow'!$A$4:$Q$103,4,FALSE),"")</f>
        <v/>
      </c>
      <c r="E31" s="5" t="str">
        <f>IFERROR(VLOOKUP(B31,'Order Flow'!$A$4:$Q$103,5,FALSE),"")</f>
        <v/>
      </c>
      <c r="F31" s="5" t="str">
        <f>IFERROR(VLOOKUP(B31,'Order Flow'!$A$4:$Q$103,6,FALSE),"")</f>
        <v/>
      </c>
      <c r="G31" s="5"/>
      <c r="H31" s="5"/>
      <c r="I31" s="5"/>
      <c r="N31" s="5">
        <f t="shared" si="1"/>
        <v>0</v>
      </c>
      <c r="O31" s="8">
        <f t="shared" si="2"/>
        <v>0</v>
      </c>
      <c r="P31" s="8">
        <f t="shared" si="3"/>
        <v>0</v>
      </c>
      <c r="Q31" s="5">
        <f t="shared" si="4"/>
        <v>0</v>
      </c>
      <c r="R31" s="5"/>
    </row>
    <row r="32" ht="15.75" customHeight="1">
      <c r="A32" s="7"/>
      <c r="C32" s="5" t="str">
        <f>IFERROR(VLOOKUP(B32,'Order Flow'!$A$4:$Q$103,3,FALSE),"")</f>
        <v/>
      </c>
      <c r="D32" s="5" t="str">
        <f>IFERROR(VLOOKUP(B32,'Order Flow'!$A$4:$Q$103,4,FALSE),"")</f>
        <v/>
      </c>
      <c r="E32" s="5" t="str">
        <f>IFERROR(VLOOKUP(B32,'Order Flow'!$A$4:$Q$103,5,FALSE),"")</f>
        <v/>
      </c>
      <c r="F32" s="5" t="str">
        <f>IFERROR(VLOOKUP(B32,'Order Flow'!$A$4:$Q$103,6,FALSE),"")</f>
        <v/>
      </c>
      <c r="G32" s="5"/>
      <c r="H32" s="5"/>
      <c r="I32" s="5"/>
      <c r="N32" s="5">
        <f t="shared" si="1"/>
        <v>0</v>
      </c>
      <c r="O32" s="8">
        <f t="shared" si="2"/>
        <v>0</v>
      </c>
      <c r="P32" s="8">
        <f t="shared" si="3"/>
        <v>0</v>
      </c>
      <c r="Q32" s="5">
        <f t="shared" si="4"/>
        <v>0</v>
      </c>
      <c r="R32" s="5"/>
    </row>
    <row r="33" ht="15.75" customHeight="1">
      <c r="A33" s="7"/>
      <c r="C33" s="5" t="str">
        <f>IFERROR(VLOOKUP(B33,'Order Flow'!$A$4:$Q$103,3,FALSE),"")</f>
        <v/>
      </c>
      <c r="D33" s="5" t="str">
        <f>IFERROR(VLOOKUP(B33,'Order Flow'!$A$4:$Q$103,4,FALSE),"")</f>
        <v/>
      </c>
      <c r="E33" s="5" t="str">
        <f>IFERROR(VLOOKUP(B33,'Order Flow'!$A$4:$Q$103,5,FALSE),"")</f>
        <v/>
      </c>
      <c r="F33" s="5" t="str">
        <f>IFERROR(VLOOKUP(B33,'Order Flow'!$A$4:$Q$103,6,FALSE),"")</f>
        <v/>
      </c>
      <c r="G33" s="5"/>
      <c r="H33" s="5"/>
      <c r="I33" s="5"/>
      <c r="N33" s="5">
        <f t="shared" si="1"/>
        <v>0</v>
      </c>
      <c r="O33" s="8">
        <f t="shared" si="2"/>
        <v>0</v>
      </c>
      <c r="P33" s="8">
        <f t="shared" si="3"/>
        <v>0</v>
      </c>
      <c r="Q33" s="5">
        <f t="shared" si="4"/>
        <v>0</v>
      </c>
      <c r="R33" s="5"/>
    </row>
    <row r="34" ht="15.75" customHeight="1">
      <c r="A34" s="7"/>
      <c r="C34" s="5" t="str">
        <f>IFERROR(VLOOKUP(B34,'Order Flow'!$A$4:$Q$103,3,FALSE),"")</f>
        <v/>
      </c>
      <c r="D34" s="5" t="str">
        <f>IFERROR(VLOOKUP(B34,'Order Flow'!$A$4:$Q$103,4,FALSE),"")</f>
        <v/>
      </c>
      <c r="E34" s="5" t="str">
        <f>IFERROR(VLOOKUP(B34,'Order Flow'!$A$4:$Q$103,5,FALSE),"")</f>
        <v/>
      </c>
      <c r="F34" s="5" t="str">
        <f>IFERROR(VLOOKUP(B34,'Order Flow'!$A$4:$Q$103,6,FALSE),"")</f>
        <v/>
      </c>
      <c r="G34" s="5"/>
      <c r="H34" s="5"/>
      <c r="I34" s="5"/>
      <c r="N34" s="5">
        <f t="shared" si="1"/>
        <v>0</v>
      </c>
      <c r="O34" s="8">
        <f t="shared" si="2"/>
        <v>0</v>
      </c>
      <c r="P34" s="8">
        <f t="shared" si="3"/>
        <v>0</v>
      </c>
      <c r="Q34" s="5">
        <f t="shared" si="4"/>
        <v>0</v>
      </c>
      <c r="R34" s="5"/>
    </row>
    <row r="35" ht="15.75" customHeight="1">
      <c r="A35" s="7"/>
      <c r="C35" s="5" t="str">
        <f>IFERROR(VLOOKUP(B35,'Order Flow'!$A$4:$Q$103,3,FALSE),"")</f>
        <v/>
      </c>
      <c r="D35" s="5" t="str">
        <f>IFERROR(VLOOKUP(B35,'Order Flow'!$A$4:$Q$103,4,FALSE),"")</f>
        <v/>
      </c>
      <c r="E35" s="5" t="str">
        <f>IFERROR(VLOOKUP(B35,'Order Flow'!$A$4:$Q$103,5,FALSE),"")</f>
        <v/>
      </c>
      <c r="F35" s="5" t="str">
        <f>IFERROR(VLOOKUP(B35,'Order Flow'!$A$4:$Q$103,6,FALSE),"")</f>
        <v/>
      </c>
      <c r="G35" s="5"/>
      <c r="H35" s="5"/>
      <c r="I35" s="5"/>
      <c r="N35" s="5">
        <f t="shared" si="1"/>
        <v>0</v>
      </c>
      <c r="O35" s="8">
        <f t="shared" si="2"/>
        <v>0</v>
      </c>
      <c r="P35" s="8">
        <f t="shared" si="3"/>
        <v>0</v>
      </c>
      <c r="Q35" s="5">
        <f t="shared" si="4"/>
        <v>0</v>
      </c>
      <c r="R35" s="5"/>
    </row>
    <row r="36" ht="15.75" customHeight="1">
      <c r="A36" s="7"/>
      <c r="C36" s="5" t="str">
        <f>IFERROR(VLOOKUP(B36,'Order Flow'!$A$4:$Q$103,3,FALSE),"")</f>
        <v/>
      </c>
      <c r="D36" s="5" t="str">
        <f>IFERROR(VLOOKUP(B36,'Order Flow'!$A$4:$Q$103,4,FALSE),"")</f>
        <v/>
      </c>
      <c r="E36" s="5" t="str">
        <f>IFERROR(VLOOKUP(B36,'Order Flow'!$A$4:$Q$103,5,FALSE),"")</f>
        <v/>
      </c>
      <c r="F36" s="5" t="str">
        <f>IFERROR(VLOOKUP(B36,'Order Flow'!$A$4:$Q$103,6,FALSE),"")</f>
        <v/>
      </c>
      <c r="G36" s="5"/>
      <c r="H36" s="5"/>
      <c r="I36" s="5"/>
      <c r="N36" s="5">
        <f t="shared" si="1"/>
        <v>0</v>
      </c>
      <c r="O36" s="8">
        <f t="shared" si="2"/>
        <v>0</v>
      </c>
      <c r="P36" s="8">
        <f t="shared" si="3"/>
        <v>0</v>
      </c>
      <c r="Q36" s="5">
        <f t="shared" si="4"/>
        <v>0</v>
      </c>
      <c r="R36" s="5"/>
    </row>
    <row r="37" ht="15.75" customHeight="1">
      <c r="A37" s="7"/>
      <c r="C37" s="5" t="str">
        <f>IFERROR(VLOOKUP(B37,'Order Flow'!$A$4:$Q$103,3,FALSE),"")</f>
        <v/>
      </c>
      <c r="D37" s="5" t="str">
        <f>IFERROR(VLOOKUP(B37,'Order Flow'!$A$4:$Q$103,4,FALSE),"")</f>
        <v/>
      </c>
      <c r="E37" s="5" t="str">
        <f>IFERROR(VLOOKUP(B37,'Order Flow'!$A$4:$Q$103,5,FALSE),"")</f>
        <v/>
      </c>
      <c r="F37" s="5" t="str">
        <f>IFERROR(VLOOKUP(B37,'Order Flow'!$A$4:$Q$103,6,FALSE),"")</f>
        <v/>
      </c>
      <c r="G37" s="5"/>
      <c r="H37" s="5"/>
      <c r="I37" s="5"/>
      <c r="N37" s="5">
        <f t="shared" si="1"/>
        <v>0</v>
      </c>
      <c r="O37" s="8">
        <f t="shared" si="2"/>
        <v>0</v>
      </c>
      <c r="P37" s="8">
        <f t="shared" si="3"/>
        <v>0</v>
      </c>
      <c r="Q37" s="5">
        <f t="shared" si="4"/>
        <v>0</v>
      </c>
      <c r="R37" s="5"/>
    </row>
    <row r="38" ht="15.75" customHeight="1">
      <c r="A38" s="7"/>
      <c r="C38" s="5" t="str">
        <f>IFERROR(VLOOKUP(B38,'Order Flow'!$A$4:$Q$103,3,FALSE),"")</f>
        <v/>
      </c>
      <c r="D38" s="5" t="str">
        <f>IFERROR(VLOOKUP(B38,'Order Flow'!$A$4:$Q$103,4,FALSE),"")</f>
        <v/>
      </c>
      <c r="E38" s="5" t="str">
        <f>IFERROR(VLOOKUP(B38,'Order Flow'!$A$4:$Q$103,5,FALSE),"")</f>
        <v/>
      </c>
      <c r="F38" s="5" t="str">
        <f>IFERROR(VLOOKUP(B38,'Order Flow'!$A$4:$Q$103,6,FALSE),"")</f>
        <v/>
      </c>
      <c r="G38" s="5"/>
      <c r="H38" s="5"/>
      <c r="I38" s="5"/>
      <c r="N38" s="5">
        <f t="shared" si="1"/>
        <v>0</v>
      </c>
      <c r="O38" s="8">
        <f t="shared" si="2"/>
        <v>0</v>
      </c>
      <c r="P38" s="8">
        <f t="shared" si="3"/>
        <v>0</v>
      </c>
      <c r="Q38" s="5">
        <f t="shared" si="4"/>
        <v>0</v>
      </c>
      <c r="R38" s="5"/>
    </row>
    <row r="39" ht="15.75" customHeight="1">
      <c r="A39" s="7"/>
      <c r="C39" s="5" t="str">
        <f>IFERROR(VLOOKUP(B39,'Order Flow'!$A$4:$Q$103,3,FALSE),"")</f>
        <v/>
      </c>
      <c r="D39" s="5" t="str">
        <f>IFERROR(VLOOKUP(B39,'Order Flow'!$A$4:$Q$103,4,FALSE),"")</f>
        <v/>
      </c>
      <c r="E39" s="5" t="str">
        <f>IFERROR(VLOOKUP(B39,'Order Flow'!$A$4:$Q$103,5,FALSE),"")</f>
        <v/>
      </c>
      <c r="F39" s="5" t="str">
        <f>IFERROR(VLOOKUP(B39,'Order Flow'!$A$4:$Q$103,6,FALSE),"")</f>
        <v/>
      </c>
      <c r="G39" s="5"/>
      <c r="H39" s="5"/>
      <c r="I39" s="5"/>
      <c r="N39" s="5">
        <f t="shared" si="1"/>
        <v>0</v>
      </c>
      <c r="O39" s="8">
        <f t="shared" si="2"/>
        <v>0</v>
      </c>
      <c r="P39" s="8">
        <f t="shared" si="3"/>
        <v>0</v>
      </c>
      <c r="Q39" s="5">
        <f t="shared" si="4"/>
        <v>0</v>
      </c>
      <c r="R39" s="5"/>
    </row>
    <row r="40" ht="15.75" customHeight="1">
      <c r="A40" s="7"/>
      <c r="C40" s="5" t="str">
        <f>IFERROR(VLOOKUP(B40,'Order Flow'!$A$4:$Q$103,3,FALSE),"")</f>
        <v/>
      </c>
      <c r="D40" s="5" t="str">
        <f>IFERROR(VLOOKUP(B40,'Order Flow'!$A$4:$Q$103,4,FALSE),"")</f>
        <v/>
      </c>
      <c r="E40" s="5" t="str">
        <f>IFERROR(VLOOKUP(B40,'Order Flow'!$A$4:$Q$103,5,FALSE),"")</f>
        <v/>
      </c>
      <c r="F40" s="5" t="str">
        <f>IFERROR(VLOOKUP(B40,'Order Flow'!$A$4:$Q$103,6,FALSE),"")</f>
        <v/>
      </c>
      <c r="G40" s="5"/>
      <c r="H40" s="5"/>
      <c r="I40" s="5"/>
      <c r="N40" s="5">
        <f t="shared" si="1"/>
        <v>0</v>
      </c>
      <c r="O40" s="8">
        <f t="shared" si="2"/>
        <v>0</v>
      </c>
      <c r="P40" s="8">
        <f t="shared" si="3"/>
        <v>0</v>
      </c>
      <c r="Q40" s="5">
        <f t="shared" si="4"/>
        <v>0</v>
      </c>
      <c r="R40" s="5"/>
    </row>
    <row r="41" ht="15.75" customHeight="1">
      <c r="A41" s="7"/>
      <c r="C41" s="5" t="str">
        <f>IFERROR(VLOOKUP(B41,'Order Flow'!$A$4:$Q$103,3,FALSE),"")</f>
        <v/>
      </c>
      <c r="D41" s="5" t="str">
        <f>IFERROR(VLOOKUP(B41,'Order Flow'!$A$4:$Q$103,4,FALSE),"")</f>
        <v/>
      </c>
      <c r="E41" s="5" t="str">
        <f>IFERROR(VLOOKUP(B41,'Order Flow'!$A$4:$Q$103,5,FALSE),"")</f>
        <v/>
      </c>
      <c r="F41" s="5" t="str">
        <f>IFERROR(VLOOKUP(B41,'Order Flow'!$A$4:$Q$103,6,FALSE),"")</f>
        <v/>
      </c>
      <c r="G41" s="5"/>
      <c r="H41" s="5"/>
      <c r="I41" s="5"/>
      <c r="N41" s="5">
        <f t="shared" si="1"/>
        <v>0</v>
      </c>
      <c r="O41" s="8">
        <f t="shared" si="2"/>
        <v>0</v>
      </c>
      <c r="P41" s="8">
        <f t="shared" si="3"/>
        <v>0</v>
      </c>
      <c r="Q41" s="5">
        <f t="shared" si="4"/>
        <v>0</v>
      </c>
      <c r="R41" s="5"/>
    </row>
    <row r="42" ht="15.75" customHeight="1">
      <c r="A42" s="7"/>
      <c r="C42" s="5" t="str">
        <f>IFERROR(VLOOKUP(B42,'Order Flow'!$A$4:$Q$103,3,FALSE),"")</f>
        <v/>
      </c>
      <c r="D42" s="5" t="str">
        <f>IFERROR(VLOOKUP(B42,'Order Flow'!$A$4:$Q$103,4,FALSE),"")</f>
        <v/>
      </c>
      <c r="E42" s="5" t="str">
        <f>IFERROR(VLOOKUP(B42,'Order Flow'!$A$4:$Q$103,5,FALSE),"")</f>
        <v/>
      </c>
      <c r="F42" s="5" t="str">
        <f>IFERROR(VLOOKUP(B42,'Order Flow'!$A$4:$Q$103,6,FALSE),"")</f>
        <v/>
      </c>
      <c r="G42" s="5"/>
      <c r="H42" s="5"/>
      <c r="I42" s="5"/>
      <c r="N42" s="5">
        <f t="shared" si="1"/>
        <v>0</v>
      </c>
      <c r="O42" s="8">
        <f t="shared" si="2"/>
        <v>0</v>
      </c>
      <c r="P42" s="8">
        <f t="shared" si="3"/>
        <v>0</v>
      </c>
      <c r="Q42" s="5">
        <f t="shared" si="4"/>
        <v>0</v>
      </c>
      <c r="R42" s="5"/>
    </row>
    <row r="43" ht="15.75" customHeight="1">
      <c r="A43" s="7"/>
      <c r="C43" s="5" t="str">
        <f>IFERROR(VLOOKUP(B43,'Order Flow'!$A$4:$Q$103,3,FALSE),"")</f>
        <v/>
      </c>
      <c r="D43" s="5" t="str">
        <f>IFERROR(VLOOKUP(B43,'Order Flow'!$A$4:$Q$103,4,FALSE),"")</f>
        <v/>
      </c>
      <c r="E43" s="5" t="str">
        <f>IFERROR(VLOOKUP(B43,'Order Flow'!$A$4:$Q$103,5,FALSE),"")</f>
        <v/>
      </c>
      <c r="F43" s="5" t="str">
        <f>IFERROR(VLOOKUP(B43,'Order Flow'!$A$4:$Q$103,6,FALSE),"")</f>
        <v/>
      </c>
      <c r="G43" s="5"/>
      <c r="H43" s="5"/>
      <c r="I43" s="5"/>
      <c r="N43" s="5">
        <f t="shared" si="1"/>
        <v>0</v>
      </c>
      <c r="O43" s="8">
        <f t="shared" si="2"/>
        <v>0</v>
      </c>
      <c r="P43" s="8">
        <f t="shared" si="3"/>
        <v>0</v>
      </c>
      <c r="Q43" s="5">
        <f t="shared" si="4"/>
        <v>0</v>
      </c>
      <c r="R43" s="5"/>
    </row>
    <row r="44" ht="15.75" customHeight="1">
      <c r="A44" s="7"/>
      <c r="C44" s="5" t="str">
        <f>IFERROR(VLOOKUP(B44,'Order Flow'!$A$4:$Q$103,3,FALSE),"")</f>
        <v/>
      </c>
      <c r="D44" s="5" t="str">
        <f>IFERROR(VLOOKUP(B44,'Order Flow'!$A$4:$Q$103,4,FALSE),"")</f>
        <v/>
      </c>
      <c r="E44" s="5" t="str">
        <f>IFERROR(VLOOKUP(B44,'Order Flow'!$A$4:$Q$103,5,FALSE),"")</f>
        <v/>
      </c>
      <c r="F44" s="5" t="str">
        <f>IFERROR(VLOOKUP(B44,'Order Flow'!$A$4:$Q$103,6,FALSE),"")</f>
        <v/>
      </c>
      <c r="G44" s="5"/>
      <c r="H44" s="5"/>
      <c r="I44" s="5"/>
      <c r="N44" s="5">
        <f t="shared" si="1"/>
        <v>0</v>
      </c>
      <c r="O44" s="8">
        <f t="shared" si="2"/>
        <v>0</v>
      </c>
      <c r="P44" s="8">
        <f t="shared" si="3"/>
        <v>0</v>
      </c>
      <c r="Q44" s="5">
        <f t="shared" si="4"/>
        <v>0</v>
      </c>
      <c r="R44" s="5"/>
    </row>
    <row r="45" ht="15.75" customHeight="1">
      <c r="A45" s="7"/>
      <c r="C45" s="5" t="str">
        <f>IFERROR(VLOOKUP(B45,'Order Flow'!$A$4:$Q$103,3,FALSE),"")</f>
        <v/>
      </c>
      <c r="D45" s="5" t="str">
        <f>IFERROR(VLOOKUP(B45,'Order Flow'!$A$4:$Q$103,4,FALSE),"")</f>
        <v/>
      </c>
      <c r="E45" s="5" t="str">
        <f>IFERROR(VLOOKUP(B45,'Order Flow'!$A$4:$Q$103,5,FALSE),"")</f>
        <v/>
      </c>
      <c r="F45" s="5" t="str">
        <f>IFERROR(VLOOKUP(B45,'Order Flow'!$A$4:$Q$103,6,FALSE),"")</f>
        <v/>
      </c>
      <c r="G45" s="5"/>
      <c r="H45" s="5"/>
      <c r="I45" s="5"/>
      <c r="N45" s="5">
        <f t="shared" si="1"/>
        <v>0</v>
      </c>
      <c r="O45" s="8">
        <f t="shared" si="2"/>
        <v>0</v>
      </c>
      <c r="P45" s="8">
        <f t="shared" si="3"/>
        <v>0</v>
      </c>
      <c r="Q45" s="5">
        <f t="shared" si="4"/>
        <v>0</v>
      </c>
      <c r="R45" s="5"/>
    </row>
    <row r="46" ht="15.75" customHeight="1">
      <c r="A46" s="7"/>
      <c r="C46" s="5" t="str">
        <f>IFERROR(VLOOKUP(B46,'Order Flow'!$A$4:$Q$103,3,FALSE),"")</f>
        <v/>
      </c>
      <c r="D46" s="5" t="str">
        <f>IFERROR(VLOOKUP(B46,'Order Flow'!$A$4:$Q$103,4,FALSE),"")</f>
        <v/>
      </c>
      <c r="E46" s="5" t="str">
        <f>IFERROR(VLOOKUP(B46,'Order Flow'!$A$4:$Q$103,5,FALSE),"")</f>
        <v/>
      </c>
      <c r="F46" s="5" t="str">
        <f>IFERROR(VLOOKUP(B46,'Order Flow'!$A$4:$Q$103,6,FALSE),"")</f>
        <v/>
      </c>
      <c r="G46" s="5"/>
      <c r="H46" s="5"/>
      <c r="I46" s="5"/>
      <c r="N46" s="5">
        <f t="shared" si="1"/>
        <v>0</v>
      </c>
      <c r="O46" s="8">
        <f t="shared" si="2"/>
        <v>0</v>
      </c>
      <c r="P46" s="8">
        <f t="shared" si="3"/>
        <v>0</v>
      </c>
      <c r="Q46" s="5">
        <f t="shared" si="4"/>
        <v>0</v>
      </c>
      <c r="R46" s="5"/>
    </row>
    <row r="47" ht="15.75" customHeight="1">
      <c r="A47" s="7"/>
      <c r="C47" s="5" t="str">
        <f>IFERROR(VLOOKUP(B47,'Order Flow'!$A$4:$Q$103,3,FALSE),"")</f>
        <v/>
      </c>
      <c r="D47" s="5" t="str">
        <f>IFERROR(VLOOKUP(B47,'Order Flow'!$A$4:$Q$103,4,FALSE),"")</f>
        <v/>
      </c>
      <c r="E47" s="5" t="str">
        <f>IFERROR(VLOOKUP(B47,'Order Flow'!$A$4:$Q$103,5,FALSE),"")</f>
        <v/>
      </c>
      <c r="F47" s="5" t="str">
        <f>IFERROR(VLOOKUP(B47,'Order Flow'!$A$4:$Q$103,6,FALSE),"")</f>
        <v/>
      </c>
      <c r="G47" s="5"/>
      <c r="H47" s="5"/>
      <c r="I47" s="5"/>
      <c r="N47" s="5">
        <f t="shared" si="1"/>
        <v>0</v>
      </c>
      <c r="O47" s="8">
        <f t="shared" si="2"/>
        <v>0</v>
      </c>
      <c r="P47" s="8">
        <f t="shared" si="3"/>
        <v>0</v>
      </c>
      <c r="Q47" s="5">
        <f t="shared" si="4"/>
        <v>0</v>
      </c>
      <c r="R47" s="5"/>
    </row>
    <row r="48" ht="15.75" customHeight="1">
      <c r="A48" s="7"/>
      <c r="C48" s="5" t="str">
        <f>IFERROR(VLOOKUP(B48,'Order Flow'!$A$4:$Q$103,3,FALSE),"")</f>
        <v/>
      </c>
      <c r="D48" s="5" t="str">
        <f>IFERROR(VLOOKUP(B48,'Order Flow'!$A$4:$Q$103,4,FALSE),"")</f>
        <v/>
      </c>
      <c r="E48" s="5" t="str">
        <f>IFERROR(VLOOKUP(B48,'Order Flow'!$A$4:$Q$103,5,FALSE),"")</f>
        <v/>
      </c>
      <c r="F48" s="5" t="str">
        <f>IFERROR(VLOOKUP(B48,'Order Flow'!$A$4:$Q$103,6,FALSE),"")</f>
        <v/>
      </c>
      <c r="G48" s="5"/>
      <c r="H48" s="5"/>
      <c r="I48" s="5"/>
      <c r="N48" s="5">
        <f t="shared" si="1"/>
        <v>0</v>
      </c>
      <c r="O48" s="8">
        <f t="shared" si="2"/>
        <v>0</v>
      </c>
      <c r="P48" s="8">
        <f t="shared" si="3"/>
        <v>0</v>
      </c>
      <c r="Q48" s="5">
        <f t="shared" si="4"/>
        <v>0</v>
      </c>
      <c r="R48" s="5"/>
    </row>
    <row r="49" ht="15.75" customHeight="1">
      <c r="A49" s="7"/>
      <c r="C49" s="5" t="str">
        <f>IFERROR(VLOOKUP(B49,'Order Flow'!$A$4:$Q$103,3,FALSE),"")</f>
        <v/>
      </c>
      <c r="D49" s="5" t="str">
        <f>IFERROR(VLOOKUP(B49,'Order Flow'!$A$4:$Q$103,4,FALSE),"")</f>
        <v/>
      </c>
      <c r="E49" s="5" t="str">
        <f>IFERROR(VLOOKUP(B49,'Order Flow'!$A$4:$Q$103,5,FALSE),"")</f>
        <v/>
      </c>
      <c r="F49" s="5" t="str">
        <f>IFERROR(VLOOKUP(B49,'Order Flow'!$A$4:$Q$103,6,FALSE),"")</f>
        <v/>
      </c>
      <c r="G49" s="5"/>
      <c r="H49" s="5"/>
      <c r="I49" s="5"/>
      <c r="N49" s="5">
        <f t="shared" si="1"/>
        <v>0</v>
      </c>
      <c r="O49" s="8">
        <f t="shared" si="2"/>
        <v>0</v>
      </c>
      <c r="P49" s="8">
        <f t="shared" si="3"/>
        <v>0</v>
      </c>
      <c r="Q49" s="5">
        <f t="shared" si="4"/>
        <v>0</v>
      </c>
      <c r="R49" s="5"/>
    </row>
    <row r="50" ht="15.75" customHeight="1">
      <c r="A50" s="7"/>
      <c r="C50" s="5" t="str">
        <f>IFERROR(VLOOKUP(B50,'Order Flow'!$A$4:$Q$103,3,FALSE),"")</f>
        <v/>
      </c>
      <c r="D50" s="5" t="str">
        <f>IFERROR(VLOOKUP(B50,'Order Flow'!$A$4:$Q$103,4,FALSE),"")</f>
        <v/>
      </c>
      <c r="E50" s="5" t="str">
        <f>IFERROR(VLOOKUP(B50,'Order Flow'!$A$4:$Q$103,5,FALSE),"")</f>
        <v/>
      </c>
      <c r="F50" s="5" t="str">
        <f>IFERROR(VLOOKUP(B50,'Order Flow'!$A$4:$Q$103,6,FALSE),"")</f>
        <v/>
      </c>
      <c r="G50" s="5"/>
      <c r="H50" s="5"/>
      <c r="I50" s="5"/>
      <c r="N50" s="5">
        <f t="shared" si="1"/>
        <v>0</v>
      </c>
      <c r="O50" s="8">
        <f t="shared" si="2"/>
        <v>0</v>
      </c>
      <c r="P50" s="8">
        <f t="shared" si="3"/>
        <v>0</v>
      </c>
      <c r="Q50" s="5">
        <f t="shared" si="4"/>
        <v>0</v>
      </c>
      <c r="R50" s="5"/>
    </row>
    <row r="51" ht="15.75" customHeight="1">
      <c r="A51" s="7"/>
      <c r="C51" s="5" t="str">
        <f>IFERROR(VLOOKUP(B51,'Order Flow'!$A$4:$Q$103,3,FALSE),"")</f>
        <v/>
      </c>
      <c r="D51" s="5" t="str">
        <f>IFERROR(VLOOKUP(B51,'Order Flow'!$A$4:$Q$103,4,FALSE),"")</f>
        <v/>
      </c>
      <c r="E51" s="5" t="str">
        <f>IFERROR(VLOOKUP(B51,'Order Flow'!$A$4:$Q$103,5,FALSE),"")</f>
        <v/>
      </c>
      <c r="F51" s="5" t="str">
        <f>IFERROR(VLOOKUP(B51,'Order Flow'!$A$4:$Q$103,6,FALSE),"")</f>
        <v/>
      </c>
      <c r="G51" s="5"/>
      <c r="H51" s="5"/>
      <c r="I51" s="5"/>
      <c r="N51" s="5">
        <f t="shared" si="1"/>
        <v>0</v>
      </c>
      <c r="O51" s="8">
        <f t="shared" si="2"/>
        <v>0</v>
      </c>
      <c r="P51" s="8">
        <f t="shared" si="3"/>
        <v>0</v>
      </c>
      <c r="Q51" s="5">
        <f t="shared" si="4"/>
        <v>0</v>
      </c>
      <c r="R51" s="5"/>
    </row>
    <row r="52" ht="15.75" customHeight="1">
      <c r="A52" s="7"/>
      <c r="C52" s="5" t="str">
        <f>IFERROR(VLOOKUP(B52,'Order Flow'!$A$4:$Q$103,3,FALSE),"")</f>
        <v/>
      </c>
      <c r="D52" s="5" t="str">
        <f>IFERROR(VLOOKUP(B52,'Order Flow'!$A$4:$Q$103,4,FALSE),"")</f>
        <v/>
      </c>
      <c r="E52" s="5" t="str">
        <f>IFERROR(VLOOKUP(B52,'Order Flow'!$A$4:$Q$103,5,FALSE),"")</f>
        <v/>
      </c>
      <c r="F52" s="5" t="str">
        <f>IFERROR(VLOOKUP(B52,'Order Flow'!$A$4:$Q$103,6,FALSE),"")</f>
        <v/>
      </c>
      <c r="G52" s="5"/>
      <c r="H52" s="5"/>
      <c r="I52" s="5"/>
      <c r="N52" s="5">
        <f t="shared" si="1"/>
        <v>0</v>
      </c>
      <c r="O52" s="8">
        <f t="shared" si="2"/>
        <v>0</v>
      </c>
      <c r="P52" s="8">
        <f t="shared" si="3"/>
        <v>0</v>
      </c>
      <c r="Q52" s="5">
        <f t="shared" si="4"/>
        <v>0</v>
      </c>
      <c r="R52" s="5"/>
    </row>
    <row r="53" ht="15.75" customHeight="1">
      <c r="A53" s="7"/>
      <c r="C53" s="5" t="str">
        <f>IFERROR(VLOOKUP(B53,'Order Flow'!$A$4:$Q$103,3,FALSE),"")</f>
        <v/>
      </c>
      <c r="D53" s="5" t="str">
        <f>IFERROR(VLOOKUP(B53,'Order Flow'!$A$4:$Q$103,4,FALSE),"")</f>
        <v/>
      </c>
      <c r="E53" s="5" t="str">
        <f>IFERROR(VLOOKUP(B53,'Order Flow'!$A$4:$Q$103,5,FALSE),"")</f>
        <v/>
      </c>
      <c r="F53" s="5" t="str">
        <f>IFERROR(VLOOKUP(B53,'Order Flow'!$A$4:$Q$103,6,FALSE),"")</f>
        <v/>
      </c>
      <c r="G53" s="5"/>
      <c r="H53" s="5"/>
      <c r="I53" s="5"/>
      <c r="N53" s="5">
        <f t="shared" si="1"/>
        <v>0</v>
      </c>
      <c r="O53" s="8">
        <f t="shared" si="2"/>
        <v>0</v>
      </c>
      <c r="P53" s="8">
        <f t="shared" si="3"/>
        <v>0</v>
      </c>
      <c r="Q53" s="5">
        <f t="shared" si="4"/>
        <v>0</v>
      </c>
      <c r="R53" s="5"/>
    </row>
    <row r="54" ht="15.75" customHeight="1">
      <c r="A54" s="7"/>
      <c r="C54" s="5" t="str">
        <f>IFERROR(VLOOKUP(B54,'Order Flow'!$A$4:$Q$103,3,FALSE),"")</f>
        <v/>
      </c>
      <c r="D54" s="5" t="str">
        <f>IFERROR(VLOOKUP(B54,'Order Flow'!$A$4:$Q$103,4,FALSE),"")</f>
        <v/>
      </c>
      <c r="E54" s="5" t="str">
        <f>IFERROR(VLOOKUP(B54,'Order Flow'!$A$4:$Q$103,5,FALSE),"")</f>
        <v/>
      </c>
      <c r="F54" s="5" t="str">
        <f>IFERROR(VLOOKUP(B54,'Order Flow'!$A$4:$Q$103,6,FALSE),"")</f>
        <v/>
      </c>
      <c r="G54" s="5"/>
      <c r="H54" s="5"/>
      <c r="I54" s="5"/>
      <c r="N54" s="5">
        <f t="shared" si="1"/>
        <v>0</v>
      </c>
      <c r="O54" s="8">
        <f t="shared" si="2"/>
        <v>0</v>
      </c>
      <c r="P54" s="8">
        <f t="shared" si="3"/>
        <v>0</v>
      </c>
      <c r="Q54" s="5">
        <f t="shared" si="4"/>
        <v>0</v>
      </c>
      <c r="R54" s="5"/>
    </row>
    <row r="55" ht="15.75" customHeight="1">
      <c r="A55" s="7"/>
      <c r="C55" s="5" t="str">
        <f>IFERROR(VLOOKUP(B55,'Order Flow'!$A$4:$Q$103,3,FALSE),"")</f>
        <v/>
      </c>
      <c r="D55" s="5" t="str">
        <f>IFERROR(VLOOKUP(B55,'Order Flow'!$A$4:$Q$103,4,FALSE),"")</f>
        <v/>
      </c>
      <c r="E55" s="5" t="str">
        <f>IFERROR(VLOOKUP(B55,'Order Flow'!$A$4:$Q$103,5,FALSE),"")</f>
        <v/>
      </c>
      <c r="F55" s="5" t="str">
        <f>IFERROR(VLOOKUP(B55,'Order Flow'!$A$4:$Q$103,6,FALSE),"")</f>
        <v/>
      </c>
      <c r="G55" s="5"/>
      <c r="H55" s="5"/>
      <c r="I55" s="5"/>
      <c r="N55" s="5">
        <f t="shared" si="1"/>
        <v>0</v>
      </c>
      <c r="O55" s="8">
        <f t="shared" si="2"/>
        <v>0</v>
      </c>
      <c r="P55" s="8">
        <f t="shared" si="3"/>
        <v>0</v>
      </c>
      <c r="Q55" s="5">
        <f t="shared" si="4"/>
        <v>0</v>
      </c>
      <c r="R55" s="5"/>
    </row>
    <row r="56" ht="15.75" customHeight="1">
      <c r="A56" s="7"/>
      <c r="C56" s="5" t="str">
        <f>IFERROR(VLOOKUP(B56,'Order Flow'!$A$4:$Q$103,3,FALSE),"")</f>
        <v/>
      </c>
      <c r="D56" s="5" t="str">
        <f>IFERROR(VLOOKUP(B56,'Order Flow'!$A$4:$Q$103,4,FALSE),"")</f>
        <v/>
      </c>
      <c r="E56" s="5" t="str">
        <f>IFERROR(VLOOKUP(B56,'Order Flow'!$A$4:$Q$103,5,FALSE),"")</f>
        <v/>
      </c>
      <c r="F56" s="5" t="str">
        <f>IFERROR(VLOOKUP(B56,'Order Flow'!$A$4:$Q$103,6,FALSE),"")</f>
        <v/>
      </c>
      <c r="G56" s="5"/>
      <c r="H56" s="5"/>
      <c r="I56" s="5"/>
      <c r="N56" s="5">
        <f t="shared" si="1"/>
        <v>0</v>
      </c>
      <c r="O56" s="8">
        <f t="shared" si="2"/>
        <v>0</v>
      </c>
      <c r="P56" s="8">
        <f t="shared" si="3"/>
        <v>0</v>
      </c>
      <c r="Q56" s="5">
        <f t="shared" si="4"/>
        <v>0</v>
      </c>
      <c r="R56" s="5"/>
    </row>
    <row r="57" ht="15.75" customHeight="1">
      <c r="A57" s="7"/>
      <c r="C57" s="5" t="str">
        <f>IFERROR(VLOOKUP(B57,'Order Flow'!$A$4:$Q$103,3,FALSE),"")</f>
        <v/>
      </c>
      <c r="D57" s="5" t="str">
        <f>IFERROR(VLOOKUP(B57,'Order Flow'!$A$4:$Q$103,4,FALSE),"")</f>
        <v/>
      </c>
      <c r="E57" s="5" t="str">
        <f>IFERROR(VLOOKUP(B57,'Order Flow'!$A$4:$Q$103,5,FALSE),"")</f>
        <v/>
      </c>
      <c r="F57" s="5" t="str">
        <f>IFERROR(VLOOKUP(B57,'Order Flow'!$A$4:$Q$103,6,FALSE),"")</f>
        <v/>
      </c>
      <c r="G57" s="5"/>
      <c r="H57" s="5"/>
      <c r="I57" s="5"/>
      <c r="N57" s="5">
        <f t="shared" si="1"/>
        <v>0</v>
      </c>
      <c r="O57" s="8">
        <f t="shared" si="2"/>
        <v>0</v>
      </c>
      <c r="P57" s="8">
        <f t="shared" si="3"/>
        <v>0</v>
      </c>
      <c r="Q57" s="5">
        <f t="shared" si="4"/>
        <v>0</v>
      </c>
      <c r="R57" s="5"/>
    </row>
    <row r="58" ht="15.75" customHeight="1">
      <c r="A58" s="7"/>
      <c r="C58" s="5" t="str">
        <f>IFERROR(VLOOKUP(B58,'Order Flow'!$A$4:$Q$103,3,FALSE),"")</f>
        <v/>
      </c>
      <c r="D58" s="5" t="str">
        <f>IFERROR(VLOOKUP(B58,'Order Flow'!$A$4:$Q$103,4,FALSE),"")</f>
        <v/>
      </c>
      <c r="E58" s="5" t="str">
        <f>IFERROR(VLOOKUP(B58,'Order Flow'!$A$4:$Q$103,5,FALSE),"")</f>
        <v/>
      </c>
      <c r="F58" s="5" t="str">
        <f>IFERROR(VLOOKUP(B58,'Order Flow'!$A$4:$Q$103,6,FALSE),"")</f>
        <v/>
      </c>
      <c r="G58" s="5"/>
      <c r="H58" s="5"/>
      <c r="I58" s="5"/>
      <c r="N58" s="5">
        <f t="shared" si="1"/>
        <v>0</v>
      </c>
      <c r="O58" s="8">
        <f t="shared" si="2"/>
        <v>0</v>
      </c>
      <c r="P58" s="8">
        <f t="shared" si="3"/>
        <v>0</v>
      </c>
      <c r="Q58" s="5">
        <f t="shared" si="4"/>
        <v>0</v>
      </c>
      <c r="R58" s="5"/>
    </row>
    <row r="59" ht="15.75" customHeight="1">
      <c r="A59" s="7"/>
      <c r="C59" s="5" t="str">
        <f>IFERROR(VLOOKUP(B59,'Order Flow'!$A$4:$Q$103,3,FALSE),"")</f>
        <v/>
      </c>
      <c r="D59" s="5" t="str">
        <f>IFERROR(VLOOKUP(B59,'Order Flow'!$A$4:$Q$103,4,FALSE),"")</f>
        <v/>
      </c>
      <c r="E59" s="5" t="str">
        <f>IFERROR(VLOOKUP(B59,'Order Flow'!$A$4:$Q$103,5,FALSE),"")</f>
        <v/>
      </c>
      <c r="F59" s="5" t="str">
        <f>IFERROR(VLOOKUP(B59,'Order Flow'!$A$4:$Q$103,6,FALSE),"")</f>
        <v/>
      </c>
      <c r="G59" s="5"/>
      <c r="H59" s="5"/>
      <c r="I59" s="5"/>
      <c r="N59" s="5">
        <f t="shared" si="1"/>
        <v>0</v>
      </c>
      <c r="O59" s="8">
        <f t="shared" si="2"/>
        <v>0</v>
      </c>
      <c r="P59" s="8">
        <f t="shared" si="3"/>
        <v>0</v>
      </c>
      <c r="Q59" s="5">
        <f t="shared" si="4"/>
        <v>0</v>
      </c>
      <c r="R59" s="5"/>
    </row>
    <row r="60" ht="15.75" customHeight="1">
      <c r="A60" s="7"/>
      <c r="C60" s="5" t="str">
        <f>IFERROR(VLOOKUP(B60,'Order Flow'!$A$4:$Q$103,3,FALSE),"")</f>
        <v/>
      </c>
      <c r="D60" s="5" t="str">
        <f>IFERROR(VLOOKUP(B60,'Order Flow'!$A$4:$Q$103,4,FALSE),"")</f>
        <v/>
      </c>
      <c r="E60" s="5" t="str">
        <f>IFERROR(VLOOKUP(B60,'Order Flow'!$A$4:$Q$103,5,FALSE),"")</f>
        <v/>
      </c>
      <c r="F60" s="5" t="str">
        <f>IFERROR(VLOOKUP(B60,'Order Flow'!$A$4:$Q$103,6,FALSE),"")</f>
        <v/>
      </c>
      <c r="G60" s="5"/>
      <c r="H60" s="5"/>
      <c r="I60" s="5"/>
      <c r="N60" s="5">
        <f t="shared" si="1"/>
        <v>0</v>
      </c>
      <c r="O60" s="8">
        <f t="shared" si="2"/>
        <v>0</v>
      </c>
      <c r="P60" s="8">
        <f t="shared" si="3"/>
        <v>0</v>
      </c>
      <c r="Q60" s="5">
        <f t="shared" si="4"/>
        <v>0</v>
      </c>
      <c r="R60" s="5"/>
    </row>
    <row r="61" ht="15.75" customHeight="1">
      <c r="A61" s="7"/>
      <c r="C61" s="5" t="str">
        <f>IFERROR(VLOOKUP(B61,'Order Flow'!$A$4:$Q$103,3,FALSE),"")</f>
        <v/>
      </c>
      <c r="D61" s="5" t="str">
        <f>IFERROR(VLOOKUP(B61,'Order Flow'!$A$4:$Q$103,4,FALSE),"")</f>
        <v/>
      </c>
      <c r="E61" s="5" t="str">
        <f>IFERROR(VLOOKUP(B61,'Order Flow'!$A$4:$Q$103,5,FALSE),"")</f>
        <v/>
      </c>
      <c r="F61" s="5" t="str">
        <f>IFERROR(VLOOKUP(B61,'Order Flow'!$A$4:$Q$103,6,FALSE),"")</f>
        <v/>
      </c>
      <c r="G61" s="5"/>
      <c r="H61" s="5"/>
      <c r="I61" s="5"/>
      <c r="N61" s="5">
        <f t="shared" si="1"/>
        <v>0</v>
      </c>
      <c r="O61" s="8">
        <f t="shared" si="2"/>
        <v>0</v>
      </c>
      <c r="P61" s="8">
        <f t="shared" si="3"/>
        <v>0</v>
      </c>
      <c r="Q61" s="5">
        <f t="shared" si="4"/>
        <v>0</v>
      </c>
      <c r="R61" s="5"/>
    </row>
    <row r="62" ht="15.75" customHeight="1">
      <c r="A62" s="7"/>
      <c r="C62" s="5" t="str">
        <f>IFERROR(VLOOKUP(B62,'Order Flow'!$A$4:$Q$103,3,FALSE),"")</f>
        <v/>
      </c>
      <c r="D62" s="5" t="str">
        <f>IFERROR(VLOOKUP(B62,'Order Flow'!$A$4:$Q$103,4,FALSE),"")</f>
        <v/>
      </c>
      <c r="E62" s="5" t="str">
        <f>IFERROR(VLOOKUP(B62,'Order Flow'!$A$4:$Q$103,5,FALSE),"")</f>
        <v/>
      </c>
      <c r="F62" s="5" t="str">
        <f>IFERROR(VLOOKUP(B62,'Order Flow'!$A$4:$Q$103,6,FALSE),"")</f>
        <v/>
      </c>
      <c r="G62" s="5"/>
      <c r="H62" s="5"/>
      <c r="I62" s="5"/>
      <c r="N62" s="5">
        <f t="shared" si="1"/>
        <v>0</v>
      </c>
      <c r="O62" s="8">
        <f t="shared" si="2"/>
        <v>0</v>
      </c>
      <c r="P62" s="8">
        <f t="shared" si="3"/>
        <v>0</v>
      </c>
      <c r="Q62" s="5">
        <f t="shared" si="4"/>
        <v>0</v>
      </c>
      <c r="R62" s="5"/>
    </row>
    <row r="63" ht="15.75" customHeight="1">
      <c r="A63" s="7"/>
      <c r="C63" s="5" t="str">
        <f>IFERROR(VLOOKUP(B63,'Order Flow'!$A$4:$Q$103,3,FALSE),"")</f>
        <v/>
      </c>
      <c r="D63" s="5" t="str">
        <f>IFERROR(VLOOKUP(B63,'Order Flow'!$A$4:$Q$103,4,FALSE),"")</f>
        <v/>
      </c>
      <c r="E63" s="5" t="str">
        <f>IFERROR(VLOOKUP(B63,'Order Flow'!$A$4:$Q$103,5,FALSE),"")</f>
        <v/>
      </c>
      <c r="F63" s="5" t="str">
        <f>IFERROR(VLOOKUP(B63,'Order Flow'!$A$4:$Q$103,6,FALSE),"")</f>
        <v/>
      </c>
      <c r="G63" s="5"/>
      <c r="H63" s="5"/>
      <c r="I63" s="5"/>
      <c r="N63" s="5">
        <f t="shared" si="1"/>
        <v>0</v>
      </c>
      <c r="O63" s="8">
        <f t="shared" si="2"/>
        <v>0</v>
      </c>
      <c r="P63" s="8">
        <f t="shared" si="3"/>
        <v>0</v>
      </c>
      <c r="Q63" s="5">
        <f t="shared" si="4"/>
        <v>0</v>
      </c>
      <c r="R63" s="5"/>
    </row>
    <row r="64" ht="15.75" customHeight="1">
      <c r="A64" s="7"/>
      <c r="C64" s="5" t="str">
        <f>IFERROR(VLOOKUP(B64,'Order Flow'!$A$4:$Q$103,3,FALSE),"")</f>
        <v/>
      </c>
      <c r="D64" s="5" t="str">
        <f>IFERROR(VLOOKUP(B64,'Order Flow'!$A$4:$Q$103,4,FALSE),"")</f>
        <v/>
      </c>
      <c r="E64" s="5" t="str">
        <f>IFERROR(VLOOKUP(B64,'Order Flow'!$A$4:$Q$103,5,FALSE),"")</f>
        <v/>
      </c>
      <c r="F64" s="5" t="str">
        <f>IFERROR(VLOOKUP(B64,'Order Flow'!$A$4:$Q$103,6,FALSE),"")</f>
        <v/>
      </c>
      <c r="G64" s="5"/>
      <c r="H64" s="5"/>
      <c r="I64" s="5"/>
      <c r="N64" s="5">
        <f t="shared" si="1"/>
        <v>0</v>
      </c>
      <c r="O64" s="8">
        <f t="shared" si="2"/>
        <v>0</v>
      </c>
      <c r="P64" s="8">
        <f t="shared" si="3"/>
        <v>0</v>
      </c>
      <c r="Q64" s="5">
        <f t="shared" si="4"/>
        <v>0</v>
      </c>
      <c r="R64" s="5"/>
    </row>
    <row r="65" ht="15.75" customHeight="1">
      <c r="A65" s="7"/>
      <c r="C65" s="5" t="str">
        <f>IFERROR(VLOOKUP(B65,'Order Flow'!$A$4:$Q$103,3,FALSE),"")</f>
        <v/>
      </c>
      <c r="D65" s="5" t="str">
        <f>IFERROR(VLOOKUP(B65,'Order Flow'!$A$4:$Q$103,4,FALSE),"")</f>
        <v/>
      </c>
      <c r="E65" s="5" t="str">
        <f>IFERROR(VLOOKUP(B65,'Order Flow'!$A$4:$Q$103,5,FALSE),"")</f>
        <v/>
      </c>
      <c r="F65" s="5" t="str">
        <f>IFERROR(VLOOKUP(B65,'Order Flow'!$A$4:$Q$103,6,FALSE),"")</f>
        <v/>
      </c>
      <c r="G65" s="5"/>
      <c r="H65" s="5"/>
      <c r="I65" s="5"/>
      <c r="N65" s="5">
        <f t="shared" si="1"/>
        <v>0</v>
      </c>
      <c r="O65" s="8">
        <f t="shared" si="2"/>
        <v>0</v>
      </c>
      <c r="P65" s="8">
        <f t="shared" si="3"/>
        <v>0</v>
      </c>
      <c r="Q65" s="5">
        <f t="shared" si="4"/>
        <v>0</v>
      </c>
      <c r="R65" s="5"/>
    </row>
    <row r="66" ht="15.75" customHeight="1">
      <c r="A66" s="7"/>
      <c r="C66" s="5" t="str">
        <f>IFERROR(VLOOKUP(B66,'Order Flow'!$A$4:$Q$103,3,FALSE),"")</f>
        <v/>
      </c>
      <c r="D66" s="5" t="str">
        <f>IFERROR(VLOOKUP(B66,'Order Flow'!$A$4:$Q$103,4,FALSE),"")</f>
        <v/>
      </c>
      <c r="E66" s="5" t="str">
        <f>IFERROR(VLOOKUP(B66,'Order Flow'!$A$4:$Q$103,5,FALSE),"")</f>
        <v/>
      </c>
      <c r="F66" s="5" t="str">
        <f>IFERROR(VLOOKUP(B66,'Order Flow'!$A$4:$Q$103,6,FALSE),"")</f>
        <v/>
      </c>
      <c r="G66" s="5"/>
      <c r="H66" s="5"/>
      <c r="I66" s="5"/>
      <c r="N66" s="5">
        <f t="shared" si="1"/>
        <v>0</v>
      </c>
      <c r="O66" s="8">
        <f t="shared" si="2"/>
        <v>0</v>
      </c>
      <c r="P66" s="8">
        <f t="shared" si="3"/>
        <v>0</v>
      </c>
      <c r="Q66" s="5">
        <f t="shared" si="4"/>
        <v>0</v>
      </c>
      <c r="R66" s="5"/>
    </row>
    <row r="67" ht="15.75" customHeight="1">
      <c r="A67" s="7"/>
      <c r="C67" s="5" t="str">
        <f>IFERROR(VLOOKUP(B67,'Order Flow'!$A$4:$Q$103,3,FALSE),"")</f>
        <v/>
      </c>
      <c r="D67" s="5" t="str">
        <f>IFERROR(VLOOKUP(B67,'Order Flow'!$A$4:$Q$103,4,FALSE),"")</f>
        <v/>
      </c>
      <c r="E67" s="5" t="str">
        <f>IFERROR(VLOOKUP(B67,'Order Flow'!$A$4:$Q$103,5,FALSE),"")</f>
        <v/>
      </c>
      <c r="F67" s="5" t="str">
        <f>IFERROR(VLOOKUP(B67,'Order Flow'!$A$4:$Q$103,6,FALSE),"")</f>
        <v/>
      </c>
      <c r="G67" s="5"/>
      <c r="H67" s="5"/>
      <c r="I67" s="5"/>
      <c r="N67" s="5">
        <f t="shared" si="1"/>
        <v>0</v>
      </c>
      <c r="O67" s="8">
        <f t="shared" si="2"/>
        <v>0</v>
      </c>
      <c r="P67" s="8">
        <f t="shared" si="3"/>
        <v>0</v>
      </c>
      <c r="Q67" s="5">
        <f t="shared" si="4"/>
        <v>0</v>
      </c>
      <c r="R67" s="5"/>
    </row>
    <row r="68" ht="15.75" customHeight="1">
      <c r="A68" s="7"/>
      <c r="C68" s="5" t="str">
        <f>IFERROR(VLOOKUP(B68,'Order Flow'!$A$4:$Q$103,3,FALSE),"")</f>
        <v/>
      </c>
      <c r="D68" s="5" t="str">
        <f>IFERROR(VLOOKUP(B68,'Order Flow'!$A$4:$Q$103,4,FALSE),"")</f>
        <v/>
      </c>
      <c r="E68" s="5" t="str">
        <f>IFERROR(VLOOKUP(B68,'Order Flow'!$A$4:$Q$103,5,FALSE),"")</f>
        <v/>
      </c>
      <c r="F68" s="5" t="str">
        <f>IFERROR(VLOOKUP(B68,'Order Flow'!$A$4:$Q$103,6,FALSE),"")</f>
        <v/>
      </c>
      <c r="G68" s="5"/>
      <c r="H68" s="5"/>
      <c r="I68" s="5"/>
      <c r="N68" s="5">
        <f t="shared" si="1"/>
        <v>0</v>
      </c>
      <c r="O68" s="8">
        <f t="shared" si="2"/>
        <v>0</v>
      </c>
      <c r="P68" s="8">
        <f t="shared" si="3"/>
        <v>0</v>
      </c>
      <c r="Q68" s="5">
        <f t="shared" si="4"/>
        <v>0</v>
      </c>
      <c r="R68" s="5"/>
    </row>
    <row r="69" ht="15.75" customHeight="1">
      <c r="A69" s="7"/>
      <c r="C69" s="5" t="str">
        <f>IFERROR(VLOOKUP(B69,'Order Flow'!$A$4:$Q$103,3,FALSE),"")</f>
        <v/>
      </c>
      <c r="D69" s="5" t="str">
        <f>IFERROR(VLOOKUP(B69,'Order Flow'!$A$4:$Q$103,4,FALSE),"")</f>
        <v/>
      </c>
      <c r="E69" s="5" t="str">
        <f>IFERROR(VLOOKUP(B69,'Order Flow'!$A$4:$Q$103,5,FALSE),"")</f>
        <v/>
      </c>
      <c r="F69" s="5" t="str">
        <f>IFERROR(VLOOKUP(B69,'Order Flow'!$A$4:$Q$103,6,FALSE),"")</f>
        <v/>
      </c>
      <c r="G69" s="5"/>
      <c r="H69" s="5"/>
      <c r="I69" s="5"/>
      <c r="N69" s="5">
        <f t="shared" si="1"/>
        <v>0</v>
      </c>
      <c r="O69" s="8">
        <f t="shared" si="2"/>
        <v>0</v>
      </c>
      <c r="P69" s="8">
        <f t="shared" si="3"/>
        <v>0</v>
      </c>
      <c r="Q69" s="5">
        <f t="shared" si="4"/>
        <v>0</v>
      </c>
      <c r="R69" s="5"/>
    </row>
    <row r="70" ht="15.75" customHeight="1">
      <c r="A70" s="7"/>
      <c r="C70" s="5" t="str">
        <f>IFERROR(VLOOKUP(B70,'Order Flow'!$A$4:$Q$103,3,FALSE),"")</f>
        <v/>
      </c>
      <c r="D70" s="5" t="str">
        <f>IFERROR(VLOOKUP(B70,'Order Flow'!$A$4:$Q$103,4,FALSE),"")</f>
        <v/>
      </c>
      <c r="E70" s="5" t="str">
        <f>IFERROR(VLOOKUP(B70,'Order Flow'!$A$4:$Q$103,5,FALSE),"")</f>
        <v/>
      </c>
      <c r="F70" s="5" t="str">
        <f>IFERROR(VLOOKUP(B70,'Order Flow'!$A$4:$Q$103,6,FALSE),"")</f>
        <v/>
      </c>
      <c r="G70" s="5"/>
      <c r="H70" s="5"/>
      <c r="I70" s="5"/>
      <c r="N70" s="5">
        <f t="shared" si="1"/>
        <v>0</v>
      </c>
      <c r="O70" s="8">
        <f t="shared" si="2"/>
        <v>0</v>
      </c>
      <c r="P70" s="8">
        <f t="shared" si="3"/>
        <v>0</v>
      </c>
      <c r="Q70" s="5">
        <f t="shared" si="4"/>
        <v>0</v>
      </c>
      <c r="R70" s="5"/>
    </row>
    <row r="71" ht="15.75" customHeight="1">
      <c r="A71" s="7"/>
      <c r="C71" s="5" t="str">
        <f>IFERROR(VLOOKUP(B71,'Order Flow'!$A$4:$Q$103,3,FALSE),"")</f>
        <v/>
      </c>
      <c r="D71" s="5" t="str">
        <f>IFERROR(VLOOKUP(B71,'Order Flow'!$A$4:$Q$103,4,FALSE),"")</f>
        <v/>
      </c>
      <c r="E71" s="5" t="str">
        <f>IFERROR(VLOOKUP(B71,'Order Flow'!$A$4:$Q$103,5,FALSE),"")</f>
        <v/>
      </c>
      <c r="F71" s="5" t="str">
        <f>IFERROR(VLOOKUP(B71,'Order Flow'!$A$4:$Q$103,6,FALSE),"")</f>
        <v/>
      </c>
      <c r="G71" s="5"/>
      <c r="H71" s="5"/>
      <c r="I71" s="5"/>
      <c r="N71" s="5">
        <f t="shared" si="1"/>
        <v>0</v>
      </c>
      <c r="O71" s="8">
        <f t="shared" si="2"/>
        <v>0</v>
      </c>
      <c r="P71" s="8">
        <f t="shared" si="3"/>
        <v>0</v>
      </c>
      <c r="Q71" s="5">
        <f t="shared" si="4"/>
        <v>0</v>
      </c>
      <c r="R71" s="5"/>
    </row>
    <row r="72" ht="15.75" customHeight="1">
      <c r="A72" s="7"/>
      <c r="C72" s="5" t="str">
        <f>IFERROR(VLOOKUP(B72,'Order Flow'!$A$4:$Q$103,3,FALSE),"")</f>
        <v/>
      </c>
      <c r="D72" s="5" t="str">
        <f>IFERROR(VLOOKUP(B72,'Order Flow'!$A$4:$Q$103,4,FALSE),"")</f>
        <v/>
      </c>
      <c r="E72" s="5" t="str">
        <f>IFERROR(VLOOKUP(B72,'Order Flow'!$A$4:$Q$103,5,FALSE),"")</f>
        <v/>
      </c>
      <c r="F72" s="5" t="str">
        <f>IFERROR(VLOOKUP(B72,'Order Flow'!$A$4:$Q$103,6,FALSE),"")</f>
        <v/>
      </c>
      <c r="G72" s="5"/>
      <c r="H72" s="5"/>
      <c r="I72" s="5"/>
      <c r="N72" s="5">
        <f t="shared" si="1"/>
        <v>0</v>
      </c>
      <c r="O72" s="8">
        <f t="shared" si="2"/>
        <v>0</v>
      </c>
      <c r="P72" s="8">
        <f t="shared" si="3"/>
        <v>0</v>
      </c>
      <c r="Q72" s="5">
        <f t="shared" si="4"/>
        <v>0</v>
      </c>
      <c r="R72" s="5"/>
    </row>
    <row r="73" ht="15.75" customHeight="1">
      <c r="A73" s="7"/>
      <c r="C73" s="5" t="str">
        <f>IFERROR(VLOOKUP(B73,'Order Flow'!$A$4:$Q$103,3,FALSE),"")</f>
        <v/>
      </c>
      <c r="D73" s="5" t="str">
        <f>IFERROR(VLOOKUP(B73,'Order Flow'!$A$4:$Q$103,4,FALSE),"")</f>
        <v/>
      </c>
      <c r="E73" s="5" t="str">
        <f>IFERROR(VLOOKUP(B73,'Order Flow'!$A$4:$Q$103,5,FALSE),"")</f>
        <v/>
      </c>
      <c r="F73" s="5" t="str">
        <f>IFERROR(VLOOKUP(B73,'Order Flow'!$A$4:$Q$103,6,FALSE),"")</f>
        <v/>
      </c>
      <c r="G73" s="5"/>
      <c r="H73" s="5"/>
      <c r="I73" s="5"/>
      <c r="N73" s="5">
        <f t="shared" si="1"/>
        <v>0</v>
      </c>
      <c r="O73" s="8">
        <f t="shared" si="2"/>
        <v>0</v>
      </c>
      <c r="P73" s="8">
        <f t="shared" si="3"/>
        <v>0</v>
      </c>
      <c r="Q73" s="5">
        <f t="shared" si="4"/>
        <v>0</v>
      </c>
      <c r="R73" s="5"/>
    </row>
    <row r="74" ht="15.75" customHeight="1">
      <c r="A74" s="7"/>
      <c r="C74" s="5" t="str">
        <f>IFERROR(VLOOKUP(B74,'Order Flow'!$A$4:$Q$103,3,FALSE),"")</f>
        <v/>
      </c>
      <c r="D74" s="5" t="str">
        <f>IFERROR(VLOOKUP(B74,'Order Flow'!$A$4:$Q$103,4,FALSE),"")</f>
        <v/>
      </c>
      <c r="E74" s="5" t="str">
        <f>IFERROR(VLOOKUP(B74,'Order Flow'!$A$4:$Q$103,5,FALSE),"")</f>
        <v/>
      </c>
      <c r="F74" s="5" t="str">
        <f>IFERROR(VLOOKUP(B74,'Order Flow'!$A$4:$Q$103,6,FALSE),"")</f>
        <v/>
      </c>
      <c r="G74" s="5"/>
      <c r="H74" s="5"/>
      <c r="I74" s="5"/>
      <c r="N74" s="5">
        <f t="shared" si="1"/>
        <v>0</v>
      </c>
      <c r="O74" s="8">
        <f t="shared" si="2"/>
        <v>0</v>
      </c>
      <c r="P74" s="8">
        <f t="shared" si="3"/>
        <v>0</v>
      </c>
      <c r="Q74" s="5">
        <f t="shared" si="4"/>
        <v>0</v>
      </c>
      <c r="R74" s="5"/>
    </row>
    <row r="75" ht="15.75" customHeight="1">
      <c r="A75" s="7"/>
      <c r="C75" s="5" t="str">
        <f>IFERROR(VLOOKUP(B75,'Order Flow'!$A$4:$Q$103,3,FALSE),"")</f>
        <v/>
      </c>
      <c r="D75" s="5" t="str">
        <f>IFERROR(VLOOKUP(B75,'Order Flow'!$A$4:$Q$103,4,FALSE),"")</f>
        <v/>
      </c>
      <c r="E75" s="5" t="str">
        <f>IFERROR(VLOOKUP(B75,'Order Flow'!$A$4:$Q$103,5,FALSE),"")</f>
        <v/>
      </c>
      <c r="F75" s="5" t="str">
        <f>IFERROR(VLOOKUP(B75,'Order Flow'!$A$4:$Q$103,6,FALSE),"")</f>
        <v/>
      </c>
      <c r="G75" s="5"/>
      <c r="H75" s="5"/>
      <c r="I75" s="5"/>
      <c r="N75" s="5">
        <f t="shared" si="1"/>
        <v>0</v>
      </c>
      <c r="O75" s="8">
        <f t="shared" si="2"/>
        <v>0</v>
      </c>
      <c r="P75" s="8">
        <f t="shared" si="3"/>
        <v>0</v>
      </c>
      <c r="Q75" s="5">
        <f t="shared" si="4"/>
        <v>0</v>
      </c>
      <c r="R75" s="5"/>
    </row>
    <row r="76" ht="15.75" customHeight="1">
      <c r="A76" s="7"/>
      <c r="C76" s="5" t="str">
        <f>IFERROR(VLOOKUP(B76,'Order Flow'!$A$4:$Q$103,3,FALSE),"")</f>
        <v/>
      </c>
      <c r="D76" s="5" t="str">
        <f>IFERROR(VLOOKUP(B76,'Order Flow'!$A$4:$Q$103,4,FALSE),"")</f>
        <v/>
      </c>
      <c r="E76" s="5" t="str">
        <f>IFERROR(VLOOKUP(B76,'Order Flow'!$A$4:$Q$103,5,FALSE),"")</f>
        <v/>
      </c>
      <c r="F76" s="5" t="str">
        <f>IFERROR(VLOOKUP(B76,'Order Flow'!$A$4:$Q$103,6,FALSE),"")</f>
        <v/>
      </c>
      <c r="G76" s="5"/>
      <c r="H76" s="5"/>
      <c r="I76" s="5"/>
      <c r="N76" s="5">
        <f t="shared" si="1"/>
        <v>0</v>
      </c>
      <c r="O76" s="8">
        <f t="shared" si="2"/>
        <v>0</v>
      </c>
      <c r="P76" s="8">
        <f t="shared" si="3"/>
        <v>0</v>
      </c>
      <c r="Q76" s="5">
        <f t="shared" si="4"/>
        <v>0</v>
      </c>
      <c r="R76" s="5"/>
    </row>
    <row r="77" ht="15.75" customHeight="1">
      <c r="A77" s="7"/>
      <c r="C77" s="5" t="str">
        <f>IFERROR(VLOOKUP(B77,'Order Flow'!$A$4:$Q$103,3,FALSE),"")</f>
        <v/>
      </c>
      <c r="D77" s="5" t="str">
        <f>IFERROR(VLOOKUP(B77,'Order Flow'!$A$4:$Q$103,4,FALSE),"")</f>
        <v/>
      </c>
      <c r="E77" s="5" t="str">
        <f>IFERROR(VLOOKUP(B77,'Order Flow'!$A$4:$Q$103,5,FALSE),"")</f>
        <v/>
      </c>
      <c r="F77" s="5" t="str">
        <f>IFERROR(VLOOKUP(B77,'Order Flow'!$A$4:$Q$103,6,FALSE),"")</f>
        <v/>
      </c>
      <c r="G77" s="5"/>
      <c r="H77" s="5"/>
      <c r="I77" s="5"/>
      <c r="N77" s="5">
        <f t="shared" si="1"/>
        <v>0</v>
      </c>
      <c r="O77" s="8">
        <f t="shared" si="2"/>
        <v>0</v>
      </c>
      <c r="P77" s="8">
        <f t="shared" si="3"/>
        <v>0</v>
      </c>
      <c r="Q77" s="5">
        <f t="shared" si="4"/>
        <v>0</v>
      </c>
      <c r="R77" s="5"/>
    </row>
    <row r="78" ht="15.75" customHeight="1">
      <c r="A78" s="7"/>
      <c r="C78" s="5" t="str">
        <f>IFERROR(VLOOKUP(B78,'Order Flow'!$A$4:$Q$103,3,FALSE),"")</f>
        <v/>
      </c>
      <c r="D78" s="5" t="str">
        <f>IFERROR(VLOOKUP(B78,'Order Flow'!$A$4:$Q$103,4,FALSE),"")</f>
        <v/>
      </c>
      <c r="E78" s="5" t="str">
        <f>IFERROR(VLOOKUP(B78,'Order Flow'!$A$4:$Q$103,5,FALSE),"")</f>
        <v/>
      </c>
      <c r="F78" s="5" t="str">
        <f>IFERROR(VLOOKUP(B78,'Order Flow'!$A$4:$Q$103,6,FALSE),"")</f>
        <v/>
      </c>
      <c r="G78" s="5"/>
      <c r="H78" s="5"/>
      <c r="I78" s="5"/>
      <c r="N78" s="5">
        <f t="shared" si="1"/>
        <v>0</v>
      </c>
      <c r="O78" s="8">
        <f t="shared" si="2"/>
        <v>0</v>
      </c>
      <c r="P78" s="8">
        <f t="shared" si="3"/>
        <v>0</v>
      </c>
      <c r="Q78" s="5">
        <f t="shared" si="4"/>
        <v>0</v>
      </c>
      <c r="R78" s="5"/>
    </row>
    <row r="79" ht="15.75" customHeight="1">
      <c r="A79" s="7"/>
      <c r="C79" s="5" t="str">
        <f>IFERROR(VLOOKUP(B79,'Order Flow'!$A$4:$Q$103,3,FALSE),"")</f>
        <v/>
      </c>
      <c r="D79" s="5" t="str">
        <f>IFERROR(VLOOKUP(B79,'Order Flow'!$A$4:$Q$103,4,FALSE),"")</f>
        <v/>
      </c>
      <c r="E79" s="5" t="str">
        <f>IFERROR(VLOOKUP(B79,'Order Flow'!$A$4:$Q$103,5,FALSE),"")</f>
        <v/>
      </c>
      <c r="F79" s="5" t="str">
        <f>IFERROR(VLOOKUP(B79,'Order Flow'!$A$4:$Q$103,6,FALSE),"")</f>
        <v/>
      </c>
      <c r="G79" s="5"/>
      <c r="H79" s="5"/>
      <c r="I79" s="5"/>
      <c r="N79" s="5">
        <f t="shared" si="1"/>
        <v>0</v>
      </c>
      <c r="O79" s="8">
        <f t="shared" si="2"/>
        <v>0</v>
      </c>
      <c r="P79" s="8">
        <f t="shared" si="3"/>
        <v>0</v>
      </c>
      <c r="Q79" s="5">
        <f t="shared" si="4"/>
        <v>0</v>
      </c>
      <c r="R79" s="5"/>
    </row>
    <row r="80" ht="15.75" customHeight="1">
      <c r="A80" s="7"/>
      <c r="C80" s="5" t="str">
        <f>IFERROR(VLOOKUP(B80,'Order Flow'!$A$4:$Q$103,3,FALSE),"")</f>
        <v/>
      </c>
      <c r="D80" s="5" t="str">
        <f>IFERROR(VLOOKUP(B80,'Order Flow'!$A$4:$Q$103,4,FALSE),"")</f>
        <v/>
      </c>
      <c r="E80" s="5" t="str">
        <f>IFERROR(VLOOKUP(B80,'Order Flow'!$A$4:$Q$103,5,FALSE),"")</f>
        <v/>
      </c>
      <c r="F80" s="5" t="str">
        <f>IFERROR(VLOOKUP(B80,'Order Flow'!$A$4:$Q$103,6,FALSE),"")</f>
        <v/>
      </c>
      <c r="G80" s="5"/>
      <c r="H80" s="5"/>
      <c r="I80" s="5"/>
      <c r="N80" s="5">
        <f t="shared" si="1"/>
        <v>0</v>
      </c>
      <c r="O80" s="8">
        <f t="shared" si="2"/>
        <v>0</v>
      </c>
      <c r="P80" s="8">
        <f t="shared" si="3"/>
        <v>0</v>
      </c>
      <c r="Q80" s="5">
        <f t="shared" si="4"/>
        <v>0</v>
      </c>
      <c r="R80" s="5"/>
    </row>
    <row r="81" ht="15.75" customHeight="1">
      <c r="A81" s="7"/>
      <c r="C81" s="5" t="str">
        <f>IFERROR(VLOOKUP(B81,'Order Flow'!$A$4:$Q$103,3,FALSE),"")</f>
        <v/>
      </c>
      <c r="D81" s="5" t="str">
        <f>IFERROR(VLOOKUP(B81,'Order Flow'!$A$4:$Q$103,4,FALSE),"")</f>
        <v/>
      </c>
      <c r="E81" s="5" t="str">
        <f>IFERROR(VLOOKUP(B81,'Order Flow'!$A$4:$Q$103,5,FALSE),"")</f>
        <v/>
      </c>
      <c r="F81" s="5" t="str">
        <f>IFERROR(VLOOKUP(B81,'Order Flow'!$A$4:$Q$103,6,FALSE),"")</f>
        <v/>
      </c>
      <c r="G81" s="5"/>
      <c r="H81" s="5"/>
      <c r="I81" s="5"/>
      <c r="N81" s="5">
        <f t="shared" si="1"/>
        <v>0</v>
      </c>
      <c r="O81" s="8">
        <f t="shared" si="2"/>
        <v>0</v>
      </c>
      <c r="P81" s="8">
        <f t="shared" si="3"/>
        <v>0</v>
      </c>
      <c r="Q81" s="5">
        <f t="shared" si="4"/>
        <v>0</v>
      </c>
      <c r="R81" s="5"/>
    </row>
    <row r="82" ht="15.75" customHeight="1">
      <c r="A82" s="7"/>
      <c r="C82" s="5" t="str">
        <f>IFERROR(VLOOKUP(B82,'Order Flow'!$A$4:$Q$103,3,FALSE),"")</f>
        <v/>
      </c>
      <c r="D82" s="5" t="str">
        <f>IFERROR(VLOOKUP(B82,'Order Flow'!$A$4:$Q$103,4,FALSE),"")</f>
        <v/>
      </c>
      <c r="E82" s="5" t="str">
        <f>IFERROR(VLOOKUP(B82,'Order Flow'!$A$4:$Q$103,5,FALSE),"")</f>
        <v/>
      </c>
      <c r="F82" s="5" t="str">
        <f>IFERROR(VLOOKUP(B82,'Order Flow'!$A$4:$Q$103,6,FALSE),"")</f>
        <v/>
      </c>
      <c r="G82" s="5"/>
      <c r="H82" s="5"/>
      <c r="I82" s="5"/>
      <c r="N82" s="5">
        <f t="shared" si="1"/>
        <v>0</v>
      </c>
      <c r="O82" s="8">
        <f t="shared" si="2"/>
        <v>0</v>
      </c>
      <c r="P82" s="8">
        <f t="shared" si="3"/>
        <v>0</v>
      </c>
      <c r="Q82" s="5">
        <f t="shared" si="4"/>
        <v>0</v>
      </c>
      <c r="R82" s="5"/>
    </row>
    <row r="83" ht="15.75" customHeight="1">
      <c r="A83" s="7"/>
      <c r="C83" s="5" t="str">
        <f>IFERROR(VLOOKUP(B83,'Order Flow'!$A$4:$Q$103,3,FALSE),"")</f>
        <v/>
      </c>
      <c r="D83" s="5" t="str">
        <f>IFERROR(VLOOKUP(B83,'Order Flow'!$A$4:$Q$103,4,FALSE),"")</f>
        <v/>
      </c>
      <c r="E83" s="5" t="str">
        <f>IFERROR(VLOOKUP(B83,'Order Flow'!$A$4:$Q$103,5,FALSE),"")</f>
        <v/>
      </c>
      <c r="F83" s="5" t="str">
        <f>IFERROR(VLOOKUP(B83,'Order Flow'!$A$4:$Q$103,6,FALSE),"")</f>
        <v/>
      </c>
      <c r="G83" s="5"/>
      <c r="H83" s="5"/>
      <c r="I83" s="5"/>
      <c r="N83" s="5">
        <f t="shared" si="1"/>
        <v>0</v>
      </c>
      <c r="O83" s="8">
        <f t="shared" si="2"/>
        <v>0</v>
      </c>
      <c r="P83" s="8">
        <f t="shared" si="3"/>
        <v>0</v>
      </c>
      <c r="Q83" s="5">
        <f t="shared" si="4"/>
        <v>0</v>
      </c>
      <c r="R83" s="5"/>
    </row>
    <row r="84" ht="15.75" customHeight="1">
      <c r="A84" s="7"/>
      <c r="C84" s="5" t="str">
        <f>IFERROR(VLOOKUP(B84,'Order Flow'!$A$4:$Q$103,3,FALSE),"")</f>
        <v/>
      </c>
      <c r="D84" s="5" t="str">
        <f>IFERROR(VLOOKUP(B84,'Order Flow'!$A$4:$Q$103,4,FALSE),"")</f>
        <v/>
      </c>
      <c r="E84" s="5" t="str">
        <f>IFERROR(VLOOKUP(B84,'Order Flow'!$A$4:$Q$103,5,FALSE),"")</f>
        <v/>
      </c>
      <c r="F84" s="5" t="str">
        <f>IFERROR(VLOOKUP(B84,'Order Flow'!$A$4:$Q$103,6,FALSE),"")</f>
        <v/>
      </c>
      <c r="G84" s="5"/>
      <c r="H84" s="5"/>
      <c r="I84" s="5"/>
      <c r="N84" s="5">
        <f t="shared" si="1"/>
        <v>0</v>
      </c>
      <c r="O84" s="8">
        <f t="shared" si="2"/>
        <v>0</v>
      </c>
      <c r="P84" s="8">
        <f t="shared" si="3"/>
        <v>0</v>
      </c>
      <c r="Q84" s="5">
        <f t="shared" si="4"/>
        <v>0</v>
      </c>
      <c r="R84" s="5"/>
    </row>
    <row r="85" ht="15.75" customHeight="1">
      <c r="A85" s="7"/>
      <c r="C85" s="5" t="str">
        <f>IFERROR(VLOOKUP(B85,'Order Flow'!$A$4:$Q$103,3,FALSE),"")</f>
        <v/>
      </c>
      <c r="D85" s="5" t="str">
        <f>IFERROR(VLOOKUP(B85,'Order Flow'!$A$4:$Q$103,4,FALSE),"")</f>
        <v/>
      </c>
      <c r="E85" s="5" t="str">
        <f>IFERROR(VLOOKUP(B85,'Order Flow'!$A$4:$Q$103,5,FALSE),"")</f>
        <v/>
      </c>
      <c r="F85" s="5" t="str">
        <f>IFERROR(VLOOKUP(B85,'Order Flow'!$A$4:$Q$103,6,FALSE),"")</f>
        <v/>
      </c>
      <c r="G85" s="5"/>
      <c r="H85" s="5"/>
      <c r="I85" s="5"/>
      <c r="N85" s="5">
        <f t="shared" si="1"/>
        <v>0</v>
      </c>
      <c r="O85" s="8">
        <f t="shared" si="2"/>
        <v>0</v>
      </c>
      <c r="P85" s="8">
        <f t="shared" si="3"/>
        <v>0</v>
      </c>
      <c r="Q85" s="5">
        <f t="shared" si="4"/>
        <v>0</v>
      </c>
      <c r="R85" s="5"/>
    </row>
    <row r="86" ht="15.75" customHeight="1">
      <c r="A86" s="7"/>
      <c r="C86" s="5" t="str">
        <f>IFERROR(VLOOKUP(B86,'Order Flow'!$A$4:$Q$103,3,FALSE),"")</f>
        <v/>
      </c>
      <c r="D86" s="5" t="str">
        <f>IFERROR(VLOOKUP(B86,'Order Flow'!$A$4:$Q$103,4,FALSE),"")</f>
        <v/>
      </c>
      <c r="E86" s="5" t="str">
        <f>IFERROR(VLOOKUP(B86,'Order Flow'!$A$4:$Q$103,5,FALSE),"")</f>
        <v/>
      </c>
      <c r="F86" s="5" t="str">
        <f>IFERROR(VLOOKUP(B86,'Order Flow'!$A$4:$Q$103,6,FALSE),"")</f>
        <v/>
      </c>
      <c r="G86" s="5"/>
      <c r="H86" s="5"/>
      <c r="I86" s="5"/>
      <c r="N86" s="5">
        <f t="shared" si="1"/>
        <v>0</v>
      </c>
      <c r="O86" s="8">
        <f t="shared" si="2"/>
        <v>0</v>
      </c>
      <c r="P86" s="8">
        <f t="shared" si="3"/>
        <v>0</v>
      </c>
      <c r="Q86" s="5">
        <f t="shared" si="4"/>
        <v>0</v>
      </c>
      <c r="R86" s="5"/>
    </row>
    <row r="87" ht="15.75" customHeight="1">
      <c r="A87" s="7"/>
      <c r="C87" s="5" t="str">
        <f>IFERROR(VLOOKUP(B87,'Order Flow'!$A$4:$Q$103,3,FALSE),"")</f>
        <v/>
      </c>
      <c r="D87" s="5" t="str">
        <f>IFERROR(VLOOKUP(B87,'Order Flow'!$A$4:$Q$103,4,FALSE),"")</f>
        <v/>
      </c>
      <c r="E87" s="5" t="str">
        <f>IFERROR(VLOOKUP(B87,'Order Flow'!$A$4:$Q$103,5,FALSE),"")</f>
        <v/>
      </c>
      <c r="F87" s="5" t="str">
        <f>IFERROR(VLOOKUP(B87,'Order Flow'!$A$4:$Q$103,6,FALSE),"")</f>
        <v/>
      </c>
      <c r="G87" s="5"/>
      <c r="H87" s="5"/>
      <c r="I87" s="5"/>
      <c r="N87" s="5">
        <f t="shared" si="1"/>
        <v>0</v>
      </c>
      <c r="O87" s="8">
        <f t="shared" si="2"/>
        <v>0</v>
      </c>
      <c r="P87" s="8">
        <f t="shared" si="3"/>
        <v>0</v>
      </c>
      <c r="Q87" s="5">
        <f t="shared" si="4"/>
        <v>0</v>
      </c>
      <c r="R87" s="5"/>
    </row>
    <row r="88" ht="15.75" customHeight="1">
      <c r="A88" s="7"/>
      <c r="C88" s="5" t="str">
        <f>IFERROR(VLOOKUP(B88,'Order Flow'!$A$4:$Q$103,3,FALSE),"")</f>
        <v/>
      </c>
      <c r="D88" s="5" t="str">
        <f>IFERROR(VLOOKUP(B88,'Order Flow'!$A$4:$Q$103,4,FALSE),"")</f>
        <v/>
      </c>
      <c r="E88" s="5" t="str">
        <f>IFERROR(VLOOKUP(B88,'Order Flow'!$A$4:$Q$103,5,FALSE),"")</f>
        <v/>
      </c>
      <c r="F88" s="5" t="str">
        <f>IFERROR(VLOOKUP(B88,'Order Flow'!$A$4:$Q$103,6,FALSE),"")</f>
        <v/>
      </c>
      <c r="G88" s="5"/>
      <c r="H88" s="5"/>
      <c r="I88" s="5"/>
      <c r="N88" s="5">
        <f t="shared" si="1"/>
        <v>0</v>
      </c>
      <c r="O88" s="8">
        <f t="shared" si="2"/>
        <v>0</v>
      </c>
      <c r="P88" s="8">
        <f t="shared" si="3"/>
        <v>0</v>
      </c>
      <c r="Q88" s="5">
        <f t="shared" si="4"/>
        <v>0</v>
      </c>
      <c r="R88" s="5"/>
    </row>
    <row r="89" ht="15.75" customHeight="1">
      <c r="A89" s="7"/>
      <c r="C89" s="5" t="str">
        <f>IFERROR(VLOOKUP(B89,'Order Flow'!$A$4:$Q$103,3,FALSE),"")</f>
        <v/>
      </c>
      <c r="D89" s="5" t="str">
        <f>IFERROR(VLOOKUP(B89,'Order Flow'!$A$4:$Q$103,4,FALSE),"")</f>
        <v/>
      </c>
      <c r="E89" s="5" t="str">
        <f>IFERROR(VLOOKUP(B89,'Order Flow'!$A$4:$Q$103,5,FALSE),"")</f>
        <v/>
      </c>
      <c r="F89" s="5" t="str">
        <f>IFERROR(VLOOKUP(B89,'Order Flow'!$A$4:$Q$103,6,FALSE),"")</f>
        <v/>
      </c>
      <c r="G89" s="5"/>
      <c r="H89" s="5"/>
      <c r="I89" s="5"/>
      <c r="N89" s="5">
        <f t="shared" si="1"/>
        <v>0</v>
      </c>
      <c r="O89" s="8">
        <f t="shared" si="2"/>
        <v>0</v>
      </c>
      <c r="P89" s="8">
        <f t="shared" si="3"/>
        <v>0</v>
      </c>
      <c r="Q89" s="5">
        <f t="shared" si="4"/>
        <v>0</v>
      </c>
      <c r="R89" s="5"/>
    </row>
    <row r="90" ht="15.75" customHeight="1">
      <c r="A90" s="7"/>
      <c r="C90" s="5" t="str">
        <f>IFERROR(VLOOKUP(B90,'Order Flow'!$A$4:$Q$103,3,FALSE),"")</f>
        <v/>
      </c>
      <c r="D90" s="5" t="str">
        <f>IFERROR(VLOOKUP(B90,'Order Flow'!$A$4:$Q$103,4,FALSE),"")</f>
        <v/>
      </c>
      <c r="E90" s="5" t="str">
        <f>IFERROR(VLOOKUP(B90,'Order Flow'!$A$4:$Q$103,5,FALSE),"")</f>
        <v/>
      </c>
      <c r="F90" s="5" t="str">
        <f>IFERROR(VLOOKUP(B90,'Order Flow'!$A$4:$Q$103,6,FALSE),"")</f>
        <v/>
      </c>
      <c r="G90" s="5"/>
      <c r="H90" s="5"/>
      <c r="I90" s="5"/>
      <c r="N90" s="5">
        <f t="shared" si="1"/>
        <v>0</v>
      </c>
      <c r="O90" s="8">
        <f t="shared" si="2"/>
        <v>0</v>
      </c>
      <c r="P90" s="8">
        <f t="shared" si="3"/>
        <v>0</v>
      </c>
      <c r="Q90" s="5">
        <f t="shared" si="4"/>
        <v>0</v>
      </c>
      <c r="R90" s="5"/>
    </row>
    <row r="91" ht="15.75" customHeight="1">
      <c r="A91" s="7"/>
      <c r="C91" s="5" t="str">
        <f>IFERROR(VLOOKUP(B91,'Order Flow'!$A$4:$Q$103,3,FALSE),"")</f>
        <v/>
      </c>
      <c r="D91" s="5" t="str">
        <f>IFERROR(VLOOKUP(B91,'Order Flow'!$A$4:$Q$103,4,FALSE),"")</f>
        <v/>
      </c>
      <c r="E91" s="5" t="str">
        <f>IFERROR(VLOOKUP(B91,'Order Flow'!$A$4:$Q$103,5,FALSE),"")</f>
        <v/>
      </c>
      <c r="F91" s="5" t="str">
        <f>IFERROR(VLOOKUP(B91,'Order Flow'!$A$4:$Q$103,6,FALSE),"")</f>
        <v/>
      </c>
      <c r="G91" s="5"/>
      <c r="H91" s="5"/>
      <c r="I91" s="5"/>
      <c r="N91" s="5">
        <f t="shared" si="1"/>
        <v>0</v>
      </c>
      <c r="O91" s="8">
        <f t="shared" si="2"/>
        <v>0</v>
      </c>
      <c r="P91" s="8">
        <f t="shared" si="3"/>
        <v>0</v>
      </c>
      <c r="Q91" s="5">
        <f t="shared" si="4"/>
        <v>0</v>
      </c>
      <c r="R91" s="5"/>
    </row>
    <row r="92" ht="15.75" customHeight="1">
      <c r="A92" s="7"/>
      <c r="C92" s="5" t="str">
        <f>IFERROR(VLOOKUP(B92,'Order Flow'!$A$4:$Q$103,3,FALSE),"")</f>
        <v/>
      </c>
      <c r="D92" s="5" t="str">
        <f>IFERROR(VLOOKUP(B92,'Order Flow'!$A$4:$Q$103,4,FALSE),"")</f>
        <v/>
      </c>
      <c r="E92" s="5" t="str">
        <f>IFERROR(VLOOKUP(B92,'Order Flow'!$A$4:$Q$103,5,FALSE),"")</f>
        <v/>
      </c>
      <c r="F92" s="5" t="str">
        <f>IFERROR(VLOOKUP(B92,'Order Flow'!$A$4:$Q$103,6,FALSE),"")</f>
        <v/>
      </c>
      <c r="G92" s="5"/>
      <c r="H92" s="5"/>
      <c r="I92" s="5"/>
      <c r="N92" s="5">
        <f t="shared" si="1"/>
        <v>0</v>
      </c>
      <c r="O92" s="8">
        <f t="shared" si="2"/>
        <v>0</v>
      </c>
      <c r="P92" s="8">
        <f t="shared" si="3"/>
        <v>0</v>
      </c>
      <c r="Q92" s="5">
        <f t="shared" si="4"/>
        <v>0</v>
      </c>
      <c r="R92" s="5"/>
    </row>
    <row r="93" ht="15.75" customHeight="1">
      <c r="A93" s="7"/>
      <c r="C93" s="5" t="str">
        <f>IFERROR(VLOOKUP(B93,'Order Flow'!$A$4:$Q$103,3,FALSE),"")</f>
        <v/>
      </c>
      <c r="D93" s="5" t="str">
        <f>IFERROR(VLOOKUP(B93,'Order Flow'!$A$4:$Q$103,4,FALSE),"")</f>
        <v/>
      </c>
      <c r="E93" s="5" t="str">
        <f>IFERROR(VLOOKUP(B93,'Order Flow'!$A$4:$Q$103,5,FALSE),"")</f>
        <v/>
      </c>
      <c r="F93" s="5" t="str">
        <f>IFERROR(VLOOKUP(B93,'Order Flow'!$A$4:$Q$103,6,FALSE),"")</f>
        <v/>
      </c>
      <c r="G93" s="5"/>
      <c r="H93" s="5"/>
      <c r="I93" s="5"/>
      <c r="N93" s="5">
        <f t="shared" si="1"/>
        <v>0</v>
      </c>
      <c r="O93" s="8">
        <f t="shared" si="2"/>
        <v>0</v>
      </c>
      <c r="P93" s="8">
        <f t="shared" si="3"/>
        <v>0</v>
      </c>
      <c r="Q93" s="5">
        <f t="shared" si="4"/>
        <v>0</v>
      </c>
      <c r="R93" s="5"/>
    </row>
    <row r="94" ht="15.75" customHeight="1">
      <c r="A94" s="7"/>
      <c r="C94" s="5" t="str">
        <f>IFERROR(VLOOKUP(B94,'Order Flow'!$A$4:$Q$103,3,FALSE),"")</f>
        <v/>
      </c>
      <c r="D94" s="5" t="str">
        <f>IFERROR(VLOOKUP(B94,'Order Flow'!$A$4:$Q$103,4,FALSE),"")</f>
        <v/>
      </c>
      <c r="E94" s="5" t="str">
        <f>IFERROR(VLOOKUP(B94,'Order Flow'!$A$4:$Q$103,5,FALSE),"")</f>
        <v/>
      </c>
      <c r="F94" s="5" t="str">
        <f>IFERROR(VLOOKUP(B94,'Order Flow'!$A$4:$Q$103,6,FALSE),"")</f>
        <v/>
      </c>
      <c r="G94" s="5"/>
      <c r="H94" s="5"/>
      <c r="I94" s="5"/>
      <c r="N94" s="5">
        <f t="shared" si="1"/>
        <v>0</v>
      </c>
      <c r="O94" s="8">
        <f t="shared" si="2"/>
        <v>0</v>
      </c>
      <c r="P94" s="8">
        <f t="shared" si="3"/>
        <v>0</v>
      </c>
      <c r="Q94" s="5">
        <f t="shared" si="4"/>
        <v>0</v>
      </c>
      <c r="R94" s="5"/>
    </row>
    <row r="95" ht="15.75" customHeight="1">
      <c r="A95" s="7"/>
      <c r="C95" s="5" t="str">
        <f>IFERROR(VLOOKUP(B95,'Order Flow'!$A$4:$Q$103,3,FALSE),"")</f>
        <v/>
      </c>
      <c r="D95" s="5" t="str">
        <f>IFERROR(VLOOKUP(B95,'Order Flow'!$A$4:$Q$103,4,FALSE),"")</f>
        <v/>
      </c>
      <c r="E95" s="5" t="str">
        <f>IFERROR(VLOOKUP(B95,'Order Flow'!$A$4:$Q$103,5,FALSE),"")</f>
        <v/>
      </c>
      <c r="F95" s="5" t="str">
        <f>IFERROR(VLOOKUP(B95,'Order Flow'!$A$4:$Q$103,6,FALSE),"")</f>
        <v/>
      </c>
      <c r="G95" s="5"/>
      <c r="H95" s="5"/>
      <c r="I95" s="5"/>
      <c r="N95" s="5">
        <f t="shared" si="1"/>
        <v>0</v>
      </c>
      <c r="O95" s="8">
        <f t="shared" si="2"/>
        <v>0</v>
      </c>
      <c r="P95" s="8">
        <f t="shared" si="3"/>
        <v>0</v>
      </c>
      <c r="Q95" s="5">
        <f t="shared" si="4"/>
        <v>0</v>
      </c>
      <c r="R95" s="5"/>
    </row>
    <row r="96" ht="15.75" customHeight="1">
      <c r="A96" s="7"/>
      <c r="C96" s="5" t="str">
        <f>IFERROR(VLOOKUP(B96,'Order Flow'!$A$4:$Q$103,3,FALSE),"")</f>
        <v/>
      </c>
      <c r="D96" s="5" t="str">
        <f>IFERROR(VLOOKUP(B96,'Order Flow'!$A$4:$Q$103,4,FALSE),"")</f>
        <v/>
      </c>
      <c r="E96" s="5" t="str">
        <f>IFERROR(VLOOKUP(B96,'Order Flow'!$A$4:$Q$103,5,FALSE),"")</f>
        <v/>
      </c>
      <c r="F96" s="5" t="str">
        <f>IFERROR(VLOOKUP(B96,'Order Flow'!$A$4:$Q$103,6,FALSE),"")</f>
        <v/>
      </c>
      <c r="G96" s="5"/>
      <c r="H96" s="5"/>
      <c r="I96" s="5"/>
      <c r="N96" s="5">
        <f t="shared" si="1"/>
        <v>0</v>
      </c>
      <c r="O96" s="8">
        <f t="shared" si="2"/>
        <v>0</v>
      </c>
      <c r="P96" s="8">
        <f t="shared" si="3"/>
        <v>0</v>
      </c>
      <c r="Q96" s="5">
        <f t="shared" si="4"/>
        <v>0</v>
      </c>
      <c r="R96" s="5"/>
    </row>
    <row r="97" ht="15.75" customHeight="1">
      <c r="A97" s="7"/>
      <c r="C97" s="5" t="str">
        <f>IFERROR(VLOOKUP(B97,'Order Flow'!$A$4:$Q$103,3,FALSE),"")</f>
        <v/>
      </c>
      <c r="D97" s="5" t="str">
        <f>IFERROR(VLOOKUP(B97,'Order Flow'!$A$4:$Q$103,4,FALSE),"")</f>
        <v/>
      </c>
      <c r="E97" s="5" t="str">
        <f>IFERROR(VLOOKUP(B97,'Order Flow'!$A$4:$Q$103,5,FALSE),"")</f>
        <v/>
      </c>
      <c r="F97" s="5" t="str">
        <f>IFERROR(VLOOKUP(B97,'Order Flow'!$A$4:$Q$103,6,FALSE),"")</f>
        <v/>
      </c>
      <c r="G97" s="5"/>
      <c r="H97" s="5"/>
      <c r="I97" s="5"/>
      <c r="N97" s="5">
        <f t="shared" si="1"/>
        <v>0</v>
      </c>
      <c r="O97" s="8">
        <f t="shared" si="2"/>
        <v>0</v>
      </c>
      <c r="P97" s="8">
        <f t="shared" si="3"/>
        <v>0</v>
      </c>
      <c r="Q97" s="5">
        <f t="shared" si="4"/>
        <v>0</v>
      </c>
      <c r="R97" s="5"/>
    </row>
    <row r="98" ht="15.75" customHeight="1">
      <c r="A98" s="7"/>
      <c r="C98" s="5" t="str">
        <f>IFERROR(VLOOKUP(B98,'Order Flow'!$A$4:$Q$103,3,FALSE),"")</f>
        <v/>
      </c>
      <c r="D98" s="5" t="str">
        <f>IFERROR(VLOOKUP(B98,'Order Flow'!$A$4:$Q$103,4,FALSE),"")</f>
        <v/>
      </c>
      <c r="E98" s="5" t="str">
        <f>IFERROR(VLOOKUP(B98,'Order Flow'!$A$4:$Q$103,5,FALSE),"")</f>
        <v/>
      </c>
      <c r="F98" s="5" t="str">
        <f>IFERROR(VLOOKUP(B98,'Order Flow'!$A$4:$Q$103,6,FALSE),"")</f>
        <v/>
      </c>
      <c r="G98" s="5"/>
      <c r="H98" s="5"/>
      <c r="I98" s="5"/>
      <c r="N98" s="5">
        <f t="shared" si="1"/>
        <v>0</v>
      </c>
      <c r="O98" s="8">
        <f t="shared" si="2"/>
        <v>0</v>
      </c>
      <c r="P98" s="8">
        <f t="shared" si="3"/>
        <v>0</v>
      </c>
      <c r="Q98" s="5">
        <f t="shared" si="4"/>
        <v>0</v>
      </c>
      <c r="R98" s="5"/>
    </row>
    <row r="99" ht="15.75" customHeight="1">
      <c r="A99" s="7"/>
      <c r="C99" s="5" t="str">
        <f>IFERROR(VLOOKUP(B99,'Order Flow'!$A$4:$Q$103,3,FALSE),"")</f>
        <v/>
      </c>
      <c r="D99" s="5" t="str">
        <f>IFERROR(VLOOKUP(B99,'Order Flow'!$A$4:$Q$103,4,FALSE),"")</f>
        <v/>
      </c>
      <c r="E99" s="5" t="str">
        <f>IFERROR(VLOOKUP(B99,'Order Flow'!$A$4:$Q$103,5,FALSE),"")</f>
        <v/>
      </c>
      <c r="F99" s="5" t="str">
        <f>IFERROR(VLOOKUP(B99,'Order Flow'!$A$4:$Q$103,6,FALSE),"")</f>
        <v/>
      </c>
      <c r="G99" s="5"/>
      <c r="H99" s="5"/>
      <c r="I99" s="5"/>
      <c r="N99" s="5">
        <f t="shared" si="1"/>
        <v>0</v>
      </c>
      <c r="O99" s="8">
        <f t="shared" si="2"/>
        <v>0</v>
      </c>
      <c r="P99" s="8">
        <f t="shared" si="3"/>
        <v>0</v>
      </c>
      <c r="Q99" s="5">
        <f t="shared" si="4"/>
        <v>0</v>
      </c>
      <c r="R99" s="5"/>
    </row>
    <row r="100" ht="15.75" customHeight="1">
      <c r="A100" s="7"/>
      <c r="C100" s="5" t="str">
        <f>IFERROR(VLOOKUP(B100,'Order Flow'!$A$4:$Q$103,3,FALSE),"")</f>
        <v/>
      </c>
      <c r="D100" s="5" t="str">
        <f>IFERROR(VLOOKUP(B100,'Order Flow'!$A$4:$Q$103,4,FALSE),"")</f>
        <v/>
      </c>
      <c r="E100" s="5" t="str">
        <f>IFERROR(VLOOKUP(B100,'Order Flow'!$A$4:$Q$103,5,FALSE),"")</f>
        <v/>
      </c>
      <c r="F100" s="5" t="str">
        <f>IFERROR(VLOOKUP(B100,'Order Flow'!$A$4:$Q$103,6,FALSE),"")</f>
        <v/>
      </c>
      <c r="G100" s="5"/>
      <c r="H100" s="5"/>
      <c r="I100" s="5"/>
      <c r="N100" s="5">
        <f t="shared" si="1"/>
        <v>0</v>
      </c>
      <c r="O100" s="8">
        <f t="shared" si="2"/>
        <v>0</v>
      </c>
      <c r="P100" s="8">
        <f t="shared" si="3"/>
        <v>0</v>
      </c>
      <c r="Q100" s="5">
        <f t="shared" si="4"/>
        <v>0</v>
      </c>
      <c r="R100" s="5"/>
    </row>
    <row r="101" ht="15.75" customHeight="1">
      <c r="A101" s="7"/>
      <c r="C101" s="5" t="str">
        <f>IFERROR(VLOOKUP(B101,'Order Flow'!$A$4:$Q$103,3,FALSE),"")</f>
        <v/>
      </c>
      <c r="D101" s="5" t="str">
        <f>IFERROR(VLOOKUP(B101,'Order Flow'!$A$4:$Q$103,4,FALSE),"")</f>
        <v/>
      </c>
      <c r="E101" s="5" t="str">
        <f>IFERROR(VLOOKUP(B101,'Order Flow'!$A$4:$Q$103,5,FALSE),"")</f>
        <v/>
      </c>
      <c r="F101" s="5" t="str">
        <f>IFERROR(VLOOKUP(B101,'Order Flow'!$A$4:$Q$103,6,FALSE),"")</f>
        <v/>
      </c>
      <c r="G101" s="5"/>
      <c r="H101" s="5"/>
      <c r="I101" s="5"/>
      <c r="N101" s="5">
        <f t="shared" si="1"/>
        <v>0</v>
      </c>
      <c r="O101" s="8">
        <f t="shared" si="2"/>
        <v>0</v>
      </c>
      <c r="P101" s="8">
        <f t="shared" si="3"/>
        <v>0</v>
      </c>
      <c r="Q101" s="5">
        <f t="shared" si="4"/>
        <v>0</v>
      </c>
      <c r="R101" s="5"/>
    </row>
    <row r="102" ht="15.75" customHeight="1">
      <c r="A102" s="7"/>
      <c r="C102" s="5" t="str">
        <f>IFERROR(VLOOKUP(B102,'Order Flow'!$A$4:$Q$103,3,FALSE),"")</f>
        <v/>
      </c>
      <c r="D102" s="5" t="str">
        <f>IFERROR(VLOOKUP(B102,'Order Flow'!$A$4:$Q$103,4,FALSE),"")</f>
        <v/>
      </c>
      <c r="E102" s="5" t="str">
        <f>IFERROR(VLOOKUP(B102,'Order Flow'!$A$4:$Q$103,5,FALSE),"")</f>
        <v/>
      </c>
      <c r="F102" s="5" t="str">
        <f>IFERROR(VLOOKUP(B102,'Order Flow'!$A$4:$Q$103,6,FALSE),"")</f>
        <v/>
      </c>
      <c r="G102" s="5"/>
      <c r="H102" s="5"/>
      <c r="I102" s="5"/>
      <c r="N102" s="5">
        <f t="shared" si="1"/>
        <v>0</v>
      </c>
      <c r="O102" s="8">
        <f t="shared" si="2"/>
        <v>0</v>
      </c>
      <c r="P102" s="8">
        <f t="shared" si="3"/>
        <v>0</v>
      </c>
      <c r="Q102" s="5">
        <f t="shared" si="4"/>
        <v>0</v>
      </c>
      <c r="R102" s="5"/>
    </row>
    <row r="103" ht="15.75" customHeight="1">
      <c r="A103" s="7"/>
      <c r="C103" s="5" t="str">
        <f>IFERROR(VLOOKUP(B103,'Order Flow'!$A$4:$Q$103,3,FALSE),"")</f>
        <v/>
      </c>
      <c r="D103" s="5" t="str">
        <f>IFERROR(VLOOKUP(B103,'Order Flow'!$A$4:$Q$103,4,FALSE),"")</f>
        <v/>
      </c>
      <c r="E103" s="5" t="str">
        <f>IFERROR(VLOOKUP(B103,'Order Flow'!$A$4:$Q$103,5,FALSE),"")</f>
        <v/>
      </c>
      <c r="F103" s="5" t="str">
        <f>IFERROR(VLOOKUP(B103,'Order Flow'!$A$4:$Q$103,6,FALSE),"")</f>
        <v/>
      </c>
      <c r="G103" s="5"/>
      <c r="H103" s="5"/>
      <c r="I103" s="5"/>
      <c r="N103" s="5">
        <f t="shared" si="1"/>
        <v>0</v>
      </c>
      <c r="O103" s="8">
        <f t="shared" si="2"/>
        <v>0</v>
      </c>
      <c r="P103" s="8">
        <f t="shared" si="3"/>
        <v>0</v>
      </c>
      <c r="Q103" s="5">
        <f t="shared" si="4"/>
        <v>0</v>
      </c>
      <c r="R103" s="5"/>
    </row>
    <row r="104" ht="15.75" customHeight="1">
      <c r="A104" s="7"/>
      <c r="C104" s="5" t="str">
        <f>IFERROR(VLOOKUP(B104,'Order Flow'!$A$4:$Q$103,3,FALSE),"")</f>
        <v/>
      </c>
      <c r="D104" s="5" t="str">
        <f>IFERROR(VLOOKUP(B104,'Order Flow'!$A$4:$Q$103,4,FALSE),"")</f>
        <v/>
      </c>
      <c r="E104" s="5" t="str">
        <f>IFERROR(VLOOKUP(B104,'Order Flow'!$A$4:$Q$103,5,FALSE),"")</f>
        <v/>
      </c>
      <c r="F104" s="5" t="str">
        <f>IFERROR(VLOOKUP(B104,'Order Flow'!$A$4:$Q$103,6,FALSE),"")</f>
        <v/>
      </c>
      <c r="G104" s="5"/>
      <c r="H104" s="5"/>
      <c r="I104" s="5"/>
      <c r="N104" s="5">
        <f t="shared" si="1"/>
        <v>0</v>
      </c>
      <c r="O104" s="8">
        <f t="shared" si="2"/>
        <v>0</v>
      </c>
      <c r="P104" s="8">
        <f t="shared" si="3"/>
        <v>0</v>
      </c>
      <c r="Q104" s="5">
        <f t="shared" si="4"/>
        <v>0</v>
      </c>
      <c r="R104" s="5"/>
    </row>
    <row r="105" ht="15.75" customHeight="1">
      <c r="A105" s="7"/>
      <c r="C105" s="5" t="str">
        <f>IFERROR(VLOOKUP(B105,'Order Flow'!$A$4:$Q$103,3,FALSE),"")</f>
        <v/>
      </c>
      <c r="D105" s="5" t="str">
        <f>IFERROR(VLOOKUP(B105,'Order Flow'!$A$4:$Q$103,4,FALSE),"")</f>
        <v/>
      </c>
      <c r="E105" s="5" t="str">
        <f>IFERROR(VLOOKUP(B105,'Order Flow'!$A$4:$Q$103,5,FALSE),"")</f>
        <v/>
      </c>
      <c r="F105" s="5" t="str">
        <f>IFERROR(VLOOKUP(B105,'Order Flow'!$A$4:$Q$103,6,FALSE),"")</f>
        <v/>
      </c>
      <c r="G105" s="5"/>
      <c r="H105" s="5"/>
      <c r="I105" s="5"/>
      <c r="N105" s="5">
        <f t="shared" si="1"/>
        <v>0</v>
      </c>
      <c r="O105" s="8">
        <f t="shared" si="2"/>
        <v>0</v>
      </c>
      <c r="P105" s="8">
        <f t="shared" si="3"/>
        <v>0</v>
      </c>
      <c r="Q105" s="5">
        <f t="shared" si="4"/>
        <v>0</v>
      </c>
      <c r="R105" s="5"/>
    </row>
    <row r="106" ht="15.75" customHeight="1">
      <c r="A106" s="7"/>
      <c r="C106" s="5" t="str">
        <f>IFERROR(VLOOKUP(B106,'Order Flow'!$A$4:$Q$103,3,FALSE),"")</f>
        <v/>
      </c>
      <c r="D106" s="5" t="str">
        <f>IFERROR(VLOOKUP(B106,'Order Flow'!$A$4:$Q$103,4,FALSE),"")</f>
        <v/>
      </c>
      <c r="E106" s="5" t="str">
        <f>IFERROR(VLOOKUP(B106,'Order Flow'!$A$4:$Q$103,5,FALSE),"")</f>
        <v/>
      </c>
      <c r="F106" s="5" t="str">
        <f>IFERROR(VLOOKUP(B106,'Order Flow'!$A$4:$Q$103,6,FALSE),"")</f>
        <v/>
      </c>
      <c r="G106" s="5"/>
      <c r="H106" s="5"/>
      <c r="I106" s="5"/>
      <c r="N106" s="5">
        <f t="shared" si="1"/>
        <v>0</v>
      </c>
      <c r="O106" s="8">
        <f t="shared" si="2"/>
        <v>0</v>
      </c>
      <c r="P106" s="8">
        <f t="shared" si="3"/>
        <v>0</v>
      </c>
      <c r="Q106" s="5">
        <f t="shared" si="4"/>
        <v>0</v>
      </c>
      <c r="R106" s="5"/>
    </row>
    <row r="107" ht="15.75" customHeight="1">
      <c r="A107" s="7"/>
      <c r="C107" s="5" t="str">
        <f>IFERROR(VLOOKUP(B107,'Order Flow'!$A$4:$Q$103,3,FALSE),"")</f>
        <v/>
      </c>
      <c r="D107" s="5" t="str">
        <f>IFERROR(VLOOKUP(B107,'Order Flow'!$A$4:$Q$103,4,FALSE),"")</f>
        <v/>
      </c>
      <c r="E107" s="5" t="str">
        <f>IFERROR(VLOOKUP(B107,'Order Flow'!$A$4:$Q$103,5,FALSE),"")</f>
        <v/>
      </c>
      <c r="F107" s="5" t="str">
        <f>IFERROR(VLOOKUP(B107,'Order Flow'!$A$4:$Q$103,6,FALSE),"")</f>
        <v/>
      </c>
      <c r="G107" s="5"/>
      <c r="H107" s="5"/>
      <c r="I107" s="5"/>
      <c r="N107" s="5">
        <f t="shared" si="1"/>
        <v>0</v>
      </c>
      <c r="O107" s="8">
        <f t="shared" si="2"/>
        <v>0</v>
      </c>
      <c r="P107" s="8">
        <f t="shared" si="3"/>
        <v>0</v>
      </c>
      <c r="Q107" s="5">
        <f t="shared" si="4"/>
        <v>0</v>
      </c>
      <c r="R107" s="5"/>
    </row>
    <row r="108" ht="15.75" customHeight="1">
      <c r="A108" s="7"/>
      <c r="C108" s="5" t="str">
        <f>IFERROR(VLOOKUP(B108,'Order Flow'!$A$4:$Q$103,3,FALSE),"")</f>
        <v/>
      </c>
      <c r="D108" s="5" t="str">
        <f>IFERROR(VLOOKUP(B108,'Order Flow'!$A$4:$Q$103,4,FALSE),"")</f>
        <v/>
      </c>
      <c r="E108" s="5" t="str">
        <f>IFERROR(VLOOKUP(B108,'Order Flow'!$A$4:$Q$103,5,FALSE),"")</f>
        <v/>
      </c>
      <c r="F108" s="5" t="str">
        <f>IFERROR(VLOOKUP(B108,'Order Flow'!$A$4:$Q$103,6,FALSE),"")</f>
        <v/>
      </c>
      <c r="G108" s="5"/>
      <c r="H108" s="5"/>
      <c r="I108" s="5"/>
      <c r="N108" s="5">
        <f t="shared" si="1"/>
        <v>0</v>
      </c>
      <c r="O108" s="8">
        <f t="shared" si="2"/>
        <v>0</v>
      </c>
      <c r="P108" s="8">
        <f t="shared" si="3"/>
        <v>0</v>
      </c>
      <c r="Q108" s="5">
        <f t="shared" si="4"/>
        <v>0</v>
      </c>
      <c r="R108" s="5"/>
    </row>
    <row r="109" ht="15.75" customHeight="1">
      <c r="A109" s="7"/>
      <c r="C109" s="5" t="str">
        <f>IFERROR(VLOOKUP(B109,'Order Flow'!$A$4:$Q$103,3,FALSE),"")</f>
        <v/>
      </c>
      <c r="D109" s="5" t="str">
        <f>IFERROR(VLOOKUP(B109,'Order Flow'!$A$4:$Q$103,4,FALSE),"")</f>
        <v/>
      </c>
      <c r="E109" s="5" t="str">
        <f>IFERROR(VLOOKUP(B109,'Order Flow'!$A$4:$Q$103,5,FALSE),"")</f>
        <v/>
      </c>
      <c r="F109" s="5" t="str">
        <f>IFERROR(VLOOKUP(B109,'Order Flow'!$A$4:$Q$103,6,FALSE),"")</f>
        <v/>
      </c>
      <c r="G109" s="5"/>
      <c r="H109" s="5"/>
      <c r="I109" s="5"/>
      <c r="N109" s="5">
        <f t="shared" si="1"/>
        <v>0</v>
      </c>
      <c r="O109" s="8">
        <f t="shared" si="2"/>
        <v>0</v>
      </c>
      <c r="P109" s="8">
        <f t="shared" si="3"/>
        <v>0</v>
      </c>
      <c r="Q109" s="5">
        <f t="shared" si="4"/>
        <v>0</v>
      </c>
      <c r="R109" s="5"/>
    </row>
    <row r="110" ht="15.75" customHeight="1">
      <c r="A110" s="7"/>
      <c r="C110" s="5" t="str">
        <f>IFERROR(VLOOKUP(B110,'Order Flow'!$A$4:$Q$103,3,FALSE),"")</f>
        <v/>
      </c>
      <c r="D110" s="5" t="str">
        <f>IFERROR(VLOOKUP(B110,'Order Flow'!$A$4:$Q$103,4,FALSE),"")</f>
        <v/>
      </c>
      <c r="E110" s="5" t="str">
        <f>IFERROR(VLOOKUP(B110,'Order Flow'!$A$4:$Q$103,5,FALSE),"")</f>
        <v/>
      </c>
      <c r="F110" s="5" t="str">
        <f>IFERROR(VLOOKUP(B110,'Order Flow'!$A$4:$Q$103,6,FALSE),"")</f>
        <v/>
      </c>
      <c r="G110" s="5"/>
      <c r="H110" s="5"/>
      <c r="I110" s="5"/>
      <c r="N110" s="5">
        <f t="shared" si="1"/>
        <v>0</v>
      </c>
      <c r="O110" s="8">
        <f t="shared" si="2"/>
        <v>0</v>
      </c>
      <c r="P110" s="8">
        <f t="shared" si="3"/>
        <v>0</v>
      </c>
      <c r="Q110" s="5">
        <f t="shared" si="4"/>
        <v>0</v>
      </c>
      <c r="R110" s="5"/>
    </row>
    <row r="111" ht="15.75" customHeight="1">
      <c r="A111" s="7"/>
      <c r="C111" s="5" t="str">
        <f>IFERROR(VLOOKUP(B111,'Order Flow'!$A$4:$Q$103,3,FALSE),"")</f>
        <v/>
      </c>
      <c r="D111" s="5" t="str">
        <f>IFERROR(VLOOKUP(B111,'Order Flow'!$A$4:$Q$103,4,FALSE),"")</f>
        <v/>
      </c>
      <c r="E111" s="5" t="str">
        <f>IFERROR(VLOOKUP(B111,'Order Flow'!$A$4:$Q$103,5,FALSE),"")</f>
        <v/>
      </c>
      <c r="F111" s="5" t="str">
        <f>IFERROR(VLOOKUP(B111,'Order Flow'!$A$4:$Q$103,6,FALSE),"")</f>
        <v/>
      </c>
      <c r="G111" s="5"/>
      <c r="H111" s="5"/>
      <c r="I111" s="5"/>
      <c r="N111" s="5">
        <f t="shared" si="1"/>
        <v>0</v>
      </c>
      <c r="O111" s="8">
        <f t="shared" si="2"/>
        <v>0</v>
      </c>
      <c r="P111" s="8">
        <f t="shared" si="3"/>
        <v>0</v>
      </c>
      <c r="Q111" s="5">
        <f t="shared" si="4"/>
        <v>0</v>
      </c>
      <c r="R111" s="5"/>
    </row>
    <row r="112" ht="15.75" customHeight="1">
      <c r="A112" s="7"/>
      <c r="C112" s="5" t="str">
        <f>IFERROR(VLOOKUP(B112,'Order Flow'!$A$4:$Q$103,3,FALSE),"")</f>
        <v/>
      </c>
      <c r="D112" s="5" t="str">
        <f>IFERROR(VLOOKUP(B112,'Order Flow'!$A$4:$Q$103,4,FALSE),"")</f>
        <v/>
      </c>
      <c r="E112" s="5" t="str">
        <f>IFERROR(VLOOKUP(B112,'Order Flow'!$A$4:$Q$103,5,FALSE),"")</f>
        <v/>
      </c>
      <c r="F112" s="5" t="str">
        <f>IFERROR(VLOOKUP(B112,'Order Flow'!$A$4:$Q$103,6,FALSE),"")</f>
        <v/>
      </c>
      <c r="G112" s="5"/>
      <c r="H112" s="5"/>
      <c r="I112" s="5"/>
      <c r="N112" s="5">
        <f t="shared" si="1"/>
        <v>0</v>
      </c>
      <c r="O112" s="8">
        <f t="shared" si="2"/>
        <v>0</v>
      </c>
      <c r="P112" s="8">
        <f t="shared" si="3"/>
        <v>0</v>
      </c>
      <c r="Q112" s="5">
        <f t="shared" si="4"/>
        <v>0</v>
      </c>
      <c r="R112" s="5"/>
    </row>
    <row r="113" ht="15.75" customHeight="1">
      <c r="A113" s="7"/>
      <c r="C113" s="5" t="str">
        <f>IFERROR(VLOOKUP(B113,'Order Flow'!$A$4:$Q$103,3,FALSE),"")</f>
        <v/>
      </c>
      <c r="D113" s="5" t="str">
        <f>IFERROR(VLOOKUP(B113,'Order Flow'!$A$4:$Q$103,4,FALSE),"")</f>
        <v/>
      </c>
      <c r="E113" s="5" t="str">
        <f>IFERROR(VLOOKUP(B113,'Order Flow'!$A$4:$Q$103,5,FALSE),"")</f>
        <v/>
      </c>
      <c r="F113" s="5" t="str">
        <f>IFERROR(VLOOKUP(B113,'Order Flow'!$A$4:$Q$103,6,FALSE),"")</f>
        <v/>
      </c>
      <c r="G113" s="5"/>
      <c r="H113" s="5"/>
      <c r="I113" s="5"/>
      <c r="N113" s="5">
        <f t="shared" si="1"/>
        <v>0</v>
      </c>
      <c r="O113" s="8">
        <f t="shared" si="2"/>
        <v>0</v>
      </c>
      <c r="P113" s="8">
        <f t="shared" si="3"/>
        <v>0</v>
      </c>
      <c r="Q113" s="5">
        <f t="shared" si="4"/>
        <v>0</v>
      </c>
      <c r="R113" s="5"/>
    </row>
    <row r="114" ht="15.75" customHeight="1">
      <c r="A114" s="7"/>
      <c r="C114" s="5" t="str">
        <f>IFERROR(VLOOKUP(B114,'Order Flow'!$A$4:$Q$103,3,FALSE),"")</f>
        <v/>
      </c>
      <c r="D114" s="5" t="str">
        <f>IFERROR(VLOOKUP(B114,'Order Flow'!$A$4:$Q$103,4,FALSE),"")</f>
        <v/>
      </c>
      <c r="E114" s="5" t="str">
        <f>IFERROR(VLOOKUP(B114,'Order Flow'!$A$4:$Q$103,5,FALSE),"")</f>
        <v/>
      </c>
      <c r="F114" s="5" t="str">
        <f>IFERROR(VLOOKUP(B114,'Order Flow'!$A$4:$Q$103,6,FALSE),"")</f>
        <v/>
      </c>
      <c r="G114" s="5"/>
      <c r="H114" s="5"/>
      <c r="I114" s="5"/>
      <c r="N114" s="5">
        <f t="shared" si="1"/>
        <v>0</v>
      </c>
      <c r="O114" s="8">
        <f t="shared" si="2"/>
        <v>0</v>
      </c>
      <c r="P114" s="8">
        <f t="shared" si="3"/>
        <v>0</v>
      </c>
      <c r="Q114" s="5">
        <f t="shared" si="4"/>
        <v>0</v>
      </c>
      <c r="R114" s="5"/>
    </row>
    <row r="115" ht="15.75" customHeight="1">
      <c r="A115" s="7"/>
      <c r="C115" s="5" t="str">
        <f>IFERROR(VLOOKUP(B115,'Order Flow'!$A$4:$Q$103,3,FALSE),"")</f>
        <v/>
      </c>
      <c r="D115" s="5" t="str">
        <f>IFERROR(VLOOKUP(B115,'Order Flow'!$A$4:$Q$103,4,FALSE),"")</f>
        <v/>
      </c>
      <c r="E115" s="5" t="str">
        <f>IFERROR(VLOOKUP(B115,'Order Flow'!$A$4:$Q$103,5,FALSE),"")</f>
        <v/>
      </c>
      <c r="F115" s="5" t="str">
        <f>IFERROR(VLOOKUP(B115,'Order Flow'!$A$4:$Q$103,6,FALSE),"")</f>
        <v/>
      </c>
      <c r="G115" s="5"/>
      <c r="H115" s="5"/>
      <c r="I115" s="5"/>
      <c r="N115" s="5">
        <f t="shared" si="1"/>
        <v>0</v>
      </c>
      <c r="O115" s="8">
        <f t="shared" si="2"/>
        <v>0</v>
      </c>
      <c r="P115" s="8">
        <f t="shared" si="3"/>
        <v>0</v>
      </c>
      <c r="Q115" s="5">
        <f t="shared" si="4"/>
        <v>0</v>
      </c>
      <c r="R115" s="5"/>
    </row>
    <row r="116" ht="15.75" customHeight="1">
      <c r="A116" s="7"/>
      <c r="C116" s="5" t="str">
        <f>IFERROR(VLOOKUP(B116,'Order Flow'!$A$4:$Q$103,3,FALSE),"")</f>
        <v/>
      </c>
      <c r="D116" s="5" t="str">
        <f>IFERROR(VLOOKUP(B116,'Order Flow'!$A$4:$Q$103,4,FALSE),"")</f>
        <v/>
      </c>
      <c r="E116" s="5" t="str">
        <f>IFERROR(VLOOKUP(B116,'Order Flow'!$A$4:$Q$103,5,FALSE),"")</f>
        <v/>
      </c>
      <c r="F116" s="5" t="str">
        <f>IFERROR(VLOOKUP(B116,'Order Flow'!$A$4:$Q$103,6,FALSE),"")</f>
        <v/>
      </c>
      <c r="G116" s="5"/>
      <c r="H116" s="5"/>
      <c r="I116" s="5"/>
      <c r="N116" s="5">
        <f t="shared" si="1"/>
        <v>0</v>
      </c>
      <c r="O116" s="8">
        <f t="shared" si="2"/>
        <v>0</v>
      </c>
      <c r="P116" s="8">
        <f t="shared" si="3"/>
        <v>0</v>
      </c>
      <c r="Q116" s="5">
        <f t="shared" si="4"/>
        <v>0</v>
      </c>
      <c r="R116" s="5"/>
    </row>
    <row r="117" ht="15.75" customHeight="1">
      <c r="A117" s="7"/>
      <c r="C117" s="5" t="str">
        <f>IFERROR(VLOOKUP(B117,'Order Flow'!$A$4:$Q$103,3,FALSE),"")</f>
        <v/>
      </c>
      <c r="D117" s="5" t="str">
        <f>IFERROR(VLOOKUP(B117,'Order Flow'!$A$4:$Q$103,4,FALSE),"")</f>
        <v/>
      </c>
      <c r="E117" s="5" t="str">
        <f>IFERROR(VLOOKUP(B117,'Order Flow'!$A$4:$Q$103,5,FALSE),"")</f>
        <v/>
      </c>
      <c r="F117" s="5" t="str">
        <f>IFERROR(VLOOKUP(B117,'Order Flow'!$A$4:$Q$103,6,FALSE),"")</f>
        <v/>
      </c>
      <c r="G117" s="5"/>
      <c r="H117" s="5"/>
      <c r="I117" s="5"/>
      <c r="N117" s="5">
        <f t="shared" si="1"/>
        <v>0</v>
      </c>
      <c r="O117" s="8">
        <f t="shared" si="2"/>
        <v>0</v>
      </c>
      <c r="P117" s="8">
        <f t="shared" si="3"/>
        <v>0</v>
      </c>
      <c r="Q117" s="5">
        <f t="shared" si="4"/>
        <v>0</v>
      </c>
      <c r="R117" s="5"/>
    </row>
    <row r="118" ht="15.75" customHeight="1">
      <c r="A118" s="7"/>
      <c r="C118" s="5" t="str">
        <f>IFERROR(VLOOKUP(B118,'Order Flow'!$A$4:$Q$103,3,FALSE),"")</f>
        <v/>
      </c>
      <c r="D118" s="5" t="str">
        <f>IFERROR(VLOOKUP(B118,'Order Flow'!$A$4:$Q$103,4,FALSE),"")</f>
        <v/>
      </c>
      <c r="E118" s="5" t="str">
        <f>IFERROR(VLOOKUP(B118,'Order Flow'!$A$4:$Q$103,5,FALSE),"")</f>
        <v/>
      </c>
      <c r="F118" s="5" t="str">
        <f>IFERROR(VLOOKUP(B118,'Order Flow'!$A$4:$Q$103,6,FALSE),"")</f>
        <v/>
      </c>
      <c r="G118" s="5"/>
      <c r="H118" s="5"/>
      <c r="I118" s="5"/>
      <c r="N118" s="5">
        <f t="shared" si="1"/>
        <v>0</v>
      </c>
      <c r="O118" s="8">
        <f t="shared" si="2"/>
        <v>0</v>
      </c>
      <c r="P118" s="8">
        <f t="shared" si="3"/>
        <v>0</v>
      </c>
      <c r="Q118" s="5">
        <f t="shared" si="4"/>
        <v>0</v>
      </c>
      <c r="R118" s="5"/>
    </row>
    <row r="119" ht="15.75" customHeight="1">
      <c r="A119" s="7"/>
      <c r="C119" s="5" t="str">
        <f>IFERROR(VLOOKUP(B119,'Order Flow'!$A$4:$Q$103,3,FALSE),"")</f>
        <v/>
      </c>
      <c r="D119" s="5" t="str">
        <f>IFERROR(VLOOKUP(B119,'Order Flow'!$A$4:$Q$103,4,FALSE),"")</f>
        <v/>
      </c>
      <c r="E119" s="5" t="str">
        <f>IFERROR(VLOOKUP(B119,'Order Flow'!$A$4:$Q$103,5,FALSE),"")</f>
        <v/>
      </c>
      <c r="F119" s="5" t="str">
        <f>IFERROR(VLOOKUP(B119,'Order Flow'!$A$4:$Q$103,6,FALSE),"")</f>
        <v/>
      </c>
      <c r="G119" s="5"/>
      <c r="H119" s="5"/>
      <c r="I119" s="5"/>
      <c r="N119" s="5">
        <f t="shared" si="1"/>
        <v>0</v>
      </c>
      <c r="O119" s="8">
        <f t="shared" si="2"/>
        <v>0</v>
      </c>
      <c r="P119" s="8">
        <f t="shared" si="3"/>
        <v>0</v>
      </c>
      <c r="Q119" s="5">
        <f t="shared" si="4"/>
        <v>0</v>
      </c>
      <c r="R119" s="5"/>
    </row>
    <row r="120" ht="15.75" customHeight="1">
      <c r="A120" s="7"/>
      <c r="C120" s="5" t="str">
        <f>IFERROR(VLOOKUP(B120,'Order Flow'!$A$4:$Q$103,3,FALSE),"")</f>
        <v/>
      </c>
      <c r="D120" s="5" t="str">
        <f>IFERROR(VLOOKUP(B120,'Order Flow'!$A$4:$Q$103,4,FALSE),"")</f>
        <v/>
      </c>
      <c r="E120" s="5" t="str">
        <f>IFERROR(VLOOKUP(B120,'Order Flow'!$A$4:$Q$103,5,FALSE),"")</f>
        <v/>
      </c>
      <c r="F120" s="5" t="str">
        <f>IFERROR(VLOOKUP(B120,'Order Flow'!$A$4:$Q$103,6,FALSE),"")</f>
        <v/>
      </c>
      <c r="G120" s="5"/>
      <c r="H120" s="5"/>
      <c r="I120" s="5"/>
      <c r="N120" s="5">
        <f t="shared" si="1"/>
        <v>0</v>
      </c>
      <c r="O120" s="8">
        <f t="shared" si="2"/>
        <v>0</v>
      </c>
      <c r="P120" s="8">
        <f t="shared" si="3"/>
        <v>0</v>
      </c>
      <c r="Q120" s="5">
        <f t="shared" si="4"/>
        <v>0</v>
      </c>
      <c r="R120" s="5"/>
    </row>
    <row r="121" ht="15.75" customHeight="1">
      <c r="A121" s="7"/>
      <c r="C121" s="5" t="str">
        <f>IFERROR(VLOOKUP(B121,'Order Flow'!$A$4:$Q$103,3,FALSE),"")</f>
        <v/>
      </c>
      <c r="D121" s="5" t="str">
        <f>IFERROR(VLOOKUP(B121,'Order Flow'!$A$4:$Q$103,4,FALSE),"")</f>
        <v/>
      </c>
      <c r="E121" s="5" t="str">
        <f>IFERROR(VLOOKUP(B121,'Order Flow'!$A$4:$Q$103,5,FALSE),"")</f>
        <v/>
      </c>
      <c r="F121" s="5" t="str">
        <f>IFERROR(VLOOKUP(B121,'Order Flow'!$A$4:$Q$103,6,FALSE),"")</f>
        <v/>
      </c>
      <c r="G121" s="5"/>
      <c r="H121" s="5"/>
      <c r="I121" s="5"/>
      <c r="N121" s="5">
        <f t="shared" si="1"/>
        <v>0</v>
      </c>
      <c r="O121" s="8">
        <f t="shared" si="2"/>
        <v>0</v>
      </c>
      <c r="P121" s="8">
        <f t="shared" si="3"/>
        <v>0</v>
      </c>
      <c r="Q121" s="5">
        <f t="shared" si="4"/>
        <v>0</v>
      </c>
      <c r="R121" s="5"/>
    </row>
    <row r="122" ht="15.75" customHeight="1">
      <c r="A122" s="7"/>
      <c r="C122" s="5" t="str">
        <f>IFERROR(VLOOKUP(B122,'Order Flow'!$A$4:$Q$103,3,FALSE),"")</f>
        <v/>
      </c>
      <c r="D122" s="5" t="str">
        <f>IFERROR(VLOOKUP(B122,'Order Flow'!$A$4:$Q$103,4,FALSE),"")</f>
        <v/>
      </c>
      <c r="E122" s="5" t="str">
        <f>IFERROR(VLOOKUP(B122,'Order Flow'!$A$4:$Q$103,5,FALSE),"")</f>
        <v/>
      </c>
      <c r="F122" s="5" t="str">
        <f>IFERROR(VLOOKUP(B122,'Order Flow'!$A$4:$Q$103,6,FALSE),"")</f>
        <v/>
      </c>
      <c r="G122" s="5"/>
      <c r="H122" s="5"/>
      <c r="I122" s="5"/>
      <c r="N122" s="5">
        <f t="shared" si="1"/>
        <v>0</v>
      </c>
      <c r="O122" s="8">
        <f t="shared" si="2"/>
        <v>0</v>
      </c>
      <c r="P122" s="8">
        <f t="shared" si="3"/>
        <v>0</v>
      </c>
      <c r="Q122" s="5">
        <f t="shared" si="4"/>
        <v>0</v>
      </c>
      <c r="R122" s="5"/>
    </row>
    <row r="123" ht="15.75" customHeight="1">
      <c r="A123" s="7"/>
      <c r="C123" s="5" t="str">
        <f>IFERROR(VLOOKUP(B123,'Order Flow'!$A$4:$Q$103,3,FALSE),"")</f>
        <v/>
      </c>
      <c r="D123" s="5" t="str">
        <f>IFERROR(VLOOKUP(B123,'Order Flow'!$A$4:$Q$103,4,FALSE),"")</f>
        <v/>
      </c>
      <c r="E123" s="5" t="str">
        <f>IFERROR(VLOOKUP(B123,'Order Flow'!$A$4:$Q$103,5,FALSE),"")</f>
        <v/>
      </c>
      <c r="F123" s="5" t="str">
        <f>IFERROR(VLOOKUP(B123,'Order Flow'!$A$4:$Q$103,6,FALSE),"")</f>
        <v/>
      </c>
      <c r="G123" s="5"/>
      <c r="H123" s="5"/>
      <c r="I123" s="5"/>
      <c r="N123" s="5">
        <f t="shared" si="1"/>
        <v>0</v>
      </c>
      <c r="O123" s="8">
        <f t="shared" si="2"/>
        <v>0</v>
      </c>
      <c r="P123" s="8">
        <f t="shared" si="3"/>
        <v>0</v>
      </c>
      <c r="Q123" s="5">
        <f t="shared" si="4"/>
        <v>0</v>
      </c>
      <c r="R123" s="5"/>
    </row>
    <row r="124" ht="15.75" customHeight="1">
      <c r="A124" s="7"/>
      <c r="C124" s="5" t="str">
        <f>IFERROR(VLOOKUP(B124,'Order Flow'!$A$4:$Q$103,3,FALSE),"")</f>
        <v/>
      </c>
      <c r="D124" s="5" t="str">
        <f>IFERROR(VLOOKUP(B124,'Order Flow'!$A$4:$Q$103,4,FALSE),"")</f>
        <v/>
      </c>
      <c r="E124" s="5" t="str">
        <f>IFERROR(VLOOKUP(B124,'Order Flow'!$A$4:$Q$103,5,FALSE),"")</f>
        <v/>
      </c>
      <c r="F124" s="5" t="str">
        <f>IFERROR(VLOOKUP(B124,'Order Flow'!$A$4:$Q$103,6,FALSE),"")</f>
        <v/>
      </c>
      <c r="G124" s="5"/>
      <c r="H124" s="5"/>
      <c r="I124" s="5"/>
      <c r="N124" s="5">
        <f t="shared" si="1"/>
        <v>0</v>
      </c>
      <c r="O124" s="8">
        <f t="shared" si="2"/>
        <v>0</v>
      </c>
      <c r="P124" s="8">
        <f t="shared" si="3"/>
        <v>0</v>
      </c>
      <c r="Q124" s="5">
        <f t="shared" si="4"/>
        <v>0</v>
      </c>
      <c r="R124" s="5"/>
    </row>
    <row r="125" ht="15.75" customHeight="1">
      <c r="A125" s="7"/>
      <c r="C125" s="5" t="str">
        <f>IFERROR(VLOOKUP(B125,'Order Flow'!$A$4:$Q$103,3,FALSE),"")</f>
        <v/>
      </c>
      <c r="D125" s="5" t="str">
        <f>IFERROR(VLOOKUP(B125,'Order Flow'!$A$4:$Q$103,4,FALSE),"")</f>
        <v/>
      </c>
      <c r="E125" s="5" t="str">
        <f>IFERROR(VLOOKUP(B125,'Order Flow'!$A$4:$Q$103,5,FALSE),"")</f>
        <v/>
      </c>
      <c r="F125" s="5" t="str">
        <f>IFERROR(VLOOKUP(B125,'Order Flow'!$A$4:$Q$103,6,FALSE),"")</f>
        <v/>
      </c>
      <c r="G125" s="5"/>
      <c r="H125" s="5"/>
      <c r="I125" s="5"/>
      <c r="N125" s="5">
        <f t="shared" si="1"/>
        <v>0</v>
      </c>
      <c r="O125" s="8">
        <f t="shared" si="2"/>
        <v>0</v>
      </c>
      <c r="P125" s="8">
        <f t="shared" si="3"/>
        <v>0</v>
      </c>
      <c r="Q125" s="5">
        <f t="shared" si="4"/>
        <v>0</v>
      </c>
      <c r="R125" s="5"/>
    </row>
    <row r="126" ht="15.75" customHeight="1">
      <c r="A126" s="7"/>
      <c r="C126" s="5" t="str">
        <f>IFERROR(VLOOKUP(B126,'Order Flow'!$A$4:$Q$103,3,FALSE),"")</f>
        <v/>
      </c>
      <c r="D126" s="5" t="str">
        <f>IFERROR(VLOOKUP(B126,'Order Flow'!$A$4:$Q$103,4,FALSE),"")</f>
        <v/>
      </c>
      <c r="E126" s="5" t="str">
        <f>IFERROR(VLOOKUP(B126,'Order Flow'!$A$4:$Q$103,5,FALSE),"")</f>
        <v/>
      </c>
      <c r="F126" s="5" t="str">
        <f>IFERROR(VLOOKUP(B126,'Order Flow'!$A$4:$Q$103,6,FALSE),"")</f>
        <v/>
      </c>
      <c r="G126" s="5"/>
      <c r="H126" s="5"/>
      <c r="I126" s="5"/>
      <c r="N126" s="5">
        <f t="shared" si="1"/>
        <v>0</v>
      </c>
      <c r="O126" s="8">
        <f t="shared" si="2"/>
        <v>0</v>
      </c>
      <c r="P126" s="8">
        <f t="shared" si="3"/>
        <v>0</v>
      </c>
      <c r="Q126" s="5">
        <f t="shared" si="4"/>
        <v>0</v>
      </c>
      <c r="R126" s="5"/>
    </row>
    <row r="127" ht="15.75" customHeight="1">
      <c r="A127" s="7"/>
      <c r="C127" s="5" t="str">
        <f>IFERROR(VLOOKUP(B127,'Order Flow'!$A$4:$Q$103,3,FALSE),"")</f>
        <v/>
      </c>
      <c r="D127" s="5" t="str">
        <f>IFERROR(VLOOKUP(B127,'Order Flow'!$A$4:$Q$103,4,FALSE),"")</f>
        <v/>
      </c>
      <c r="E127" s="5" t="str">
        <f>IFERROR(VLOOKUP(B127,'Order Flow'!$A$4:$Q$103,5,FALSE),"")</f>
        <v/>
      </c>
      <c r="F127" s="5" t="str">
        <f>IFERROR(VLOOKUP(B127,'Order Flow'!$A$4:$Q$103,6,FALSE),"")</f>
        <v/>
      </c>
      <c r="G127" s="5"/>
      <c r="H127" s="5"/>
      <c r="I127" s="5"/>
      <c r="N127" s="5">
        <f t="shared" si="1"/>
        <v>0</v>
      </c>
      <c r="O127" s="8">
        <f t="shared" si="2"/>
        <v>0</v>
      </c>
      <c r="P127" s="8">
        <f t="shared" si="3"/>
        <v>0</v>
      </c>
      <c r="Q127" s="5">
        <f t="shared" si="4"/>
        <v>0</v>
      </c>
      <c r="R127" s="5"/>
    </row>
    <row r="128" ht="15.75" customHeight="1">
      <c r="A128" s="7"/>
      <c r="C128" s="5" t="str">
        <f>IFERROR(VLOOKUP(B128,'Order Flow'!$A$4:$Q$103,3,FALSE),"")</f>
        <v/>
      </c>
      <c r="D128" s="5" t="str">
        <f>IFERROR(VLOOKUP(B128,'Order Flow'!$A$4:$Q$103,4,FALSE),"")</f>
        <v/>
      </c>
      <c r="E128" s="5" t="str">
        <f>IFERROR(VLOOKUP(B128,'Order Flow'!$A$4:$Q$103,5,FALSE),"")</f>
        <v/>
      </c>
      <c r="F128" s="5" t="str">
        <f>IFERROR(VLOOKUP(B128,'Order Flow'!$A$4:$Q$103,6,FALSE),"")</f>
        <v/>
      </c>
      <c r="G128" s="5"/>
      <c r="H128" s="5"/>
      <c r="I128" s="5"/>
      <c r="N128" s="5">
        <f t="shared" si="1"/>
        <v>0</v>
      </c>
      <c r="O128" s="8">
        <f t="shared" si="2"/>
        <v>0</v>
      </c>
      <c r="P128" s="8">
        <f t="shared" si="3"/>
        <v>0</v>
      </c>
      <c r="Q128" s="5">
        <f t="shared" si="4"/>
        <v>0</v>
      </c>
      <c r="R128" s="5"/>
    </row>
    <row r="129" ht="15.75" customHeight="1">
      <c r="A129" s="7"/>
      <c r="C129" s="5" t="str">
        <f>IFERROR(VLOOKUP(B129,'Order Flow'!$A$4:$Q$103,3,FALSE),"")</f>
        <v/>
      </c>
      <c r="D129" s="5" t="str">
        <f>IFERROR(VLOOKUP(B129,'Order Flow'!$A$4:$Q$103,4,FALSE),"")</f>
        <v/>
      </c>
      <c r="E129" s="5" t="str">
        <f>IFERROR(VLOOKUP(B129,'Order Flow'!$A$4:$Q$103,5,FALSE),"")</f>
        <v/>
      </c>
      <c r="F129" s="5" t="str">
        <f>IFERROR(VLOOKUP(B129,'Order Flow'!$A$4:$Q$103,6,FALSE),"")</f>
        <v/>
      </c>
      <c r="G129" s="5"/>
      <c r="H129" s="5"/>
      <c r="I129" s="5"/>
      <c r="N129" s="5">
        <f t="shared" si="1"/>
        <v>0</v>
      </c>
      <c r="O129" s="8">
        <f t="shared" si="2"/>
        <v>0</v>
      </c>
      <c r="P129" s="8">
        <f t="shared" si="3"/>
        <v>0</v>
      </c>
      <c r="Q129" s="5">
        <f t="shared" si="4"/>
        <v>0</v>
      </c>
      <c r="R129" s="5"/>
    </row>
    <row r="130" ht="15.75" customHeight="1">
      <c r="A130" s="7"/>
      <c r="C130" s="5" t="str">
        <f>IFERROR(VLOOKUP(B130,'Order Flow'!$A$4:$Q$103,3,FALSE),"")</f>
        <v/>
      </c>
      <c r="D130" s="5" t="str">
        <f>IFERROR(VLOOKUP(B130,'Order Flow'!$A$4:$Q$103,4,FALSE),"")</f>
        <v/>
      </c>
      <c r="E130" s="5" t="str">
        <f>IFERROR(VLOOKUP(B130,'Order Flow'!$A$4:$Q$103,5,FALSE),"")</f>
        <v/>
      </c>
      <c r="F130" s="5" t="str">
        <f>IFERROR(VLOOKUP(B130,'Order Flow'!$A$4:$Q$103,6,FALSE),"")</f>
        <v/>
      </c>
      <c r="G130" s="5"/>
      <c r="H130" s="5"/>
      <c r="I130" s="5"/>
      <c r="N130" s="5">
        <f t="shared" si="1"/>
        <v>0</v>
      </c>
      <c r="O130" s="8">
        <f t="shared" si="2"/>
        <v>0</v>
      </c>
      <c r="P130" s="8">
        <f t="shared" si="3"/>
        <v>0</v>
      </c>
      <c r="Q130" s="5">
        <f t="shared" si="4"/>
        <v>0</v>
      </c>
      <c r="R130" s="5"/>
    </row>
    <row r="131" ht="15.75" customHeight="1">
      <c r="A131" s="7"/>
      <c r="C131" s="5" t="str">
        <f>IFERROR(VLOOKUP(B131,'Order Flow'!$A$4:$Q$103,3,FALSE),"")</f>
        <v/>
      </c>
      <c r="D131" s="5" t="str">
        <f>IFERROR(VLOOKUP(B131,'Order Flow'!$A$4:$Q$103,4,FALSE),"")</f>
        <v/>
      </c>
      <c r="E131" s="5" t="str">
        <f>IFERROR(VLOOKUP(B131,'Order Flow'!$A$4:$Q$103,5,FALSE),"")</f>
        <v/>
      </c>
      <c r="F131" s="5" t="str">
        <f>IFERROR(VLOOKUP(B131,'Order Flow'!$A$4:$Q$103,6,FALSE),"")</f>
        <v/>
      </c>
      <c r="G131" s="5"/>
      <c r="H131" s="5"/>
      <c r="I131" s="5"/>
      <c r="N131" s="5">
        <f t="shared" si="1"/>
        <v>0</v>
      </c>
      <c r="O131" s="8">
        <f t="shared" si="2"/>
        <v>0</v>
      </c>
      <c r="P131" s="8">
        <f t="shared" si="3"/>
        <v>0</v>
      </c>
      <c r="Q131" s="5">
        <f t="shared" si="4"/>
        <v>0</v>
      </c>
      <c r="R131" s="5"/>
    </row>
    <row r="132" ht="15.75" customHeight="1">
      <c r="A132" s="7"/>
      <c r="C132" s="5" t="str">
        <f>IFERROR(VLOOKUP(B132,'Order Flow'!$A$4:$Q$103,3,FALSE),"")</f>
        <v/>
      </c>
      <c r="D132" s="5" t="str">
        <f>IFERROR(VLOOKUP(B132,'Order Flow'!$A$4:$Q$103,4,FALSE),"")</f>
        <v/>
      </c>
      <c r="E132" s="5" t="str">
        <f>IFERROR(VLOOKUP(B132,'Order Flow'!$A$4:$Q$103,5,FALSE),"")</f>
        <v/>
      </c>
      <c r="F132" s="5" t="str">
        <f>IFERROR(VLOOKUP(B132,'Order Flow'!$A$4:$Q$103,6,FALSE),"")</f>
        <v/>
      </c>
      <c r="G132" s="5"/>
      <c r="H132" s="5"/>
      <c r="I132" s="5"/>
      <c r="N132" s="5">
        <f t="shared" si="1"/>
        <v>0</v>
      </c>
      <c r="O132" s="8">
        <f t="shared" si="2"/>
        <v>0</v>
      </c>
      <c r="P132" s="8">
        <f t="shared" si="3"/>
        <v>0</v>
      </c>
      <c r="Q132" s="5">
        <f t="shared" si="4"/>
        <v>0</v>
      </c>
      <c r="R132" s="5"/>
    </row>
    <row r="133" ht="15.75" customHeight="1">
      <c r="A133" s="7"/>
      <c r="C133" s="5" t="str">
        <f>IFERROR(VLOOKUP(B133,'Order Flow'!$A$4:$Q$103,3,FALSE),"")</f>
        <v/>
      </c>
      <c r="D133" s="5" t="str">
        <f>IFERROR(VLOOKUP(B133,'Order Flow'!$A$4:$Q$103,4,FALSE),"")</f>
        <v/>
      </c>
      <c r="E133" s="5" t="str">
        <f>IFERROR(VLOOKUP(B133,'Order Flow'!$A$4:$Q$103,5,FALSE),"")</f>
        <v/>
      </c>
      <c r="F133" s="5" t="str">
        <f>IFERROR(VLOOKUP(B133,'Order Flow'!$A$4:$Q$103,6,FALSE),"")</f>
        <v/>
      </c>
      <c r="G133" s="5"/>
      <c r="H133" s="5"/>
      <c r="I133" s="5"/>
      <c r="N133" s="5">
        <f t="shared" si="1"/>
        <v>0</v>
      </c>
      <c r="O133" s="8">
        <f t="shared" si="2"/>
        <v>0</v>
      </c>
      <c r="P133" s="8">
        <f t="shared" si="3"/>
        <v>0</v>
      </c>
      <c r="Q133" s="5">
        <f t="shared" si="4"/>
        <v>0</v>
      </c>
      <c r="R133" s="5"/>
    </row>
    <row r="134" ht="15.75" customHeight="1">
      <c r="A134" s="7"/>
      <c r="C134" s="5" t="str">
        <f>IFERROR(VLOOKUP(B134,'Order Flow'!$A$4:$Q$103,3,FALSE),"")</f>
        <v/>
      </c>
      <c r="D134" s="5" t="str">
        <f>IFERROR(VLOOKUP(B134,'Order Flow'!$A$4:$Q$103,4,FALSE),"")</f>
        <v/>
      </c>
      <c r="E134" s="5" t="str">
        <f>IFERROR(VLOOKUP(B134,'Order Flow'!$A$4:$Q$103,5,FALSE),"")</f>
        <v/>
      </c>
      <c r="F134" s="5" t="str">
        <f>IFERROR(VLOOKUP(B134,'Order Flow'!$A$4:$Q$103,6,FALSE),"")</f>
        <v/>
      </c>
      <c r="G134" s="5"/>
      <c r="H134" s="5"/>
      <c r="I134" s="5"/>
      <c r="N134" s="5">
        <f t="shared" si="1"/>
        <v>0</v>
      </c>
      <c r="O134" s="8">
        <f t="shared" si="2"/>
        <v>0</v>
      </c>
      <c r="P134" s="8">
        <f t="shared" si="3"/>
        <v>0</v>
      </c>
      <c r="Q134" s="5">
        <f t="shared" si="4"/>
        <v>0</v>
      </c>
      <c r="R134" s="5"/>
    </row>
    <row r="135" ht="15.75" customHeight="1">
      <c r="A135" s="7"/>
      <c r="C135" s="5" t="str">
        <f>IFERROR(VLOOKUP(B135,'Order Flow'!$A$4:$Q$103,3,FALSE),"")</f>
        <v/>
      </c>
      <c r="D135" s="5" t="str">
        <f>IFERROR(VLOOKUP(B135,'Order Flow'!$A$4:$Q$103,4,FALSE),"")</f>
        <v/>
      </c>
      <c r="E135" s="5" t="str">
        <f>IFERROR(VLOOKUP(B135,'Order Flow'!$A$4:$Q$103,5,FALSE),"")</f>
        <v/>
      </c>
      <c r="F135" s="5" t="str">
        <f>IFERROR(VLOOKUP(B135,'Order Flow'!$A$4:$Q$103,6,FALSE),"")</f>
        <v/>
      </c>
      <c r="G135" s="5"/>
      <c r="H135" s="5"/>
      <c r="I135" s="5"/>
      <c r="N135" s="5">
        <f t="shared" si="1"/>
        <v>0</v>
      </c>
      <c r="O135" s="8">
        <f t="shared" si="2"/>
        <v>0</v>
      </c>
      <c r="P135" s="8">
        <f t="shared" si="3"/>
        <v>0</v>
      </c>
      <c r="Q135" s="5">
        <f t="shared" si="4"/>
        <v>0</v>
      </c>
      <c r="R135" s="5"/>
    </row>
    <row r="136" ht="15.75" customHeight="1">
      <c r="A136" s="7"/>
      <c r="C136" s="5" t="str">
        <f>IFERROR(VLOOKUP(B136,'Order Flow'!$A$4:$Q$103,3,FALSE),"")</f>
        <v/>
      </c>
      <c r="D136" s="5" t="str">
        <f>IFERROR(VLOOKUP(B136,'Order Flow'!$A$4:$Q$103,4,FALSE),"")</f>
        <v/>
      </c>
      <c r="E136" s="5" t="str">
        <f>IFERROR(VLOOKUP(B136,'Order Flow'!$A$4:$Q$103,5,FALSE),"")</f>
        <v/>
      </c>
      <c r="F136" s="5" t="str">
        <f>IFERROR(VLOOKUP(B136,'Order Flow'!$A$4:$Q$103,6,FALSE),"")</f>
        <v/>
      </c>
      <c r="G136" s="5"/>
      <c r="H136" s="5"/>
      <c r="I136" s="5"/>
      <c r="N136" s="5">
        <f t="shared" si="1"/>
        <v>0</v>
      </c>
      <c r="O136" s="8">
        <f t="shared" si="2"/>
        <v>0</v>
      </c>
      <c r="P136" s="8">
        <f t="shared" si="3"/>
        <v>0</v>
      </c>
      <c r="Q136" s="5">
        <f t="shared" si="4"/>
        <v>0</v>
      </c>
      <c r="R136" s="5"/>
    </row>
    <row r="137" ht="15.75" customHeight="1">
      <c r="A137" s="7"/>
      <c r="C137" s="5" t="str">
        <f>IFERROR(VLOOKUP(B137,'Order Flow'!$A$4:$Q$103,3,FALSE),"")</f>
        <v/>
      </c>
      <c r="D137" s="5" t="str">
        <f>IFERROR(VLOOKUP(B137,'Order Flow'!$A$4:$Q$103,4,FALSE),"")</f>
        <v/>
      </c>
      <c r="E137" s="5" t="str">
        <f>IFERROR(VLOOKUP(B137,'Order Flow'!$A$4:$Q$103,5,FALSE),"")</f>
        <v/>
      </c>
      <c r="F137" s="5" t="str">
        <f>IFERROR(VLOOKUP(B137,'Order Flow'!$A$4:$Q$103,6,FALSE),"")</f>
        <v/>
      </c>
      <c r="G137" s="5"/>
      <c r="H137" s="5"/>
      <c r="I137" s="5"/>
      <c r="N137" s="5">
        <f t="shared" si="1"/>
        <v>0</v>
      </c>
      <c r="O137" s="8">
        <f t="shared" si="2"/>
        <v>0</v>
      </c>
      <c r="P137" s="8">
        <f t="shared" si="3"/>
        <v>0</v>
      </c>
      <c r="Q137" s="5">
        <f t="shared" si="4"/>
        <v>0</v>
      </c>
      <c r="R137" s="5"/>
    </row>
    <row r="138" ht="15.75" customHeight="1">
      <c r="A138" s="7"/>
      <c r="C138" s="5" t="str">
        <f>IFERROR(VLOOKUP(B138,'Order Flow'!$A$4:$Q$103,3,FALSE),"")</f>
        <v/>
      </c>
      <c r="D138" s="5" t="str">
        <f>IFERROR(VLOOKUP(B138,'Order Flow'!$A$4:$Q$103,4,FALSE),"")</f>
        <v/>
      </c>
      <c r="E138" s="5" t="str">
        <f>IFERROR(VLOOKUP(B138,'Order Flow'!$A$4:$Q$103,5,FALSE),"")</f>
        <v/>
      </c>
      <c r="F138" s="5" t="str">
        <f>IFERROR(VLOOKUP(B138,'Order Flow'!$A$4:$Q$103,6,FALSE),"")</f>
        <v/>
      </c>
      <c r="G138" s="5"/>
      <c r="H138" s="5"/>
      <c r="I138" s="5"/>
      <c r="N138" s="5">
        <f t="shared" si="1"/>
        <v>0</v>
      </c>
      <c r="O138" s="8">
        <f t="shared" si="2"/>
        <v>0</v>
      </c>
      <c r="P138" s="8">
        <f t="shared" si="3"/>
        <v>0</v>
      </c>
      <c r="Q138" s="5">
        <f t="shared" si="4"/>
        <v>0</v>
      </c>
      <c r="R138" s="5"/>
    </row>
    <row r="139" ht="15.75" customHeight="1">
      <c r="A139" s="7"/>
      <c r="C139" s="5" t="str">
        <f>IFERROR(VLOOKUP(B139,'Order Flow'!$A$4:$Q$103,3,FALSE),"")</f>
        <v/>
      </c>
      <c r="D139" s="5" t="str">
        <f>IFERROR(VLOOKUP(B139,'Order Flow'!$A$4:$Q$103,4,FALSE),"")</f>
        <v/>
      </c>
      <c r="E139" s="5" t="str">
        <f>IFERROR(VLOOKUP(B139,'Order Flow'!$A$4:$Q$103,5,FALSE),"")</f>
        <v/>
      </c>
      <c r="F139" s="5" t="str">
        <f>IFERROR(VLOOKUP(B139,'Order Flow'!$A$4:$Q$103,6,FALSE),"")</f>
        <v/>
      </c>
      <c r="G139" s="5"/>
      <c r="H139" s="5"/>
      <c r="I139" s="5"/>
      <c r="N139" s="5">
        <f t="shared" si="1"/>
        <v>0</v>
      </c>
      <c r="O139" s="8">
        <f t="shared" si="2"/>
        <v>0</v>
      </c>
      <c r="P139" s="8">
        <f t="shared" si="3"/>
        <v>0</v>
      </c>
      <c r="Q139" s="5">
        <f t="shared" si="4"/>
        <v>0</v>
      </c>
      <c r="R139" s="5"/>
    </row>
    <row r="140" ht="15.75" customHeight="1">
      <c r="A140" s="7"/>
      <c r="C140" s="5" t="str">
        <f>IFERROR(VLOOKUP(B140,'Order Flow'!$A$4:$Q$103,3,FALSE),"")</f>
        <v/>
      </c>
      <c r="D140" s="5" t="str">
        <f>IFERROR(VLOOKUP(B140,'Order Flow'!$A$4:$Q$103,4,FALSE),"")</f>
        <v/>
      </c>
      <c r="E140" s="5" t="str">
        <f>IFERROR(VLOOKUP(B140,'Order Flow'!$A$4:$Q$103,5,FALSE),"")</f>
        <v/>
      </c>
      <c r="F140" s="5" t="str">
        <f>IFERROR(VLOOKUP(B140,'Order Flow'!$A$4:$Q$103,6,FALSE),"")</f>
        <v/>
      </c>
      <c r="G140" s="5"/>
      <c r="H140" s="5"/>
      <c r="I140" s="5"/>
      <c r="N140" s="5">
        <f t="shared" si="1"/>
        <v>0</v>
      </c>
      <c r="O140" s="8">
        <f t="shared" si="2"/>
        <v>0</v>
      </c>
      <c r="P140" s="8">
        <f t="shared" si="3"/>
        <v>0</v>
      </c>
      <c r="Q140" s="5">
        <f t="shared" si="4"/>
        <v>0</v>
      </c>
      <c r="R140" s="5"/>
    </row>
    <row r="141" ht="15.75" customHeight="1">
      <c r="A141" s="7"/>
      <c r="C141" s="5" t="str">
        <f>IFERROR(VLOOKUP(B141,'Order Flow'!$A$4:$Q$103,3,FALSE),"")</f>
        <v/>
      </c>
      <c r="D141" s="5" t="str">
        <f>IFERROR(VLOOKUP(B141,'Order Flow'!$A$4:$Q$103,4,FALSE),"")</f>
        <v/>
      </c>
      <c r="E141" s="5" t="str">
        <f>IFERROR(VLOOKUP(B141,'Order Flow'!$A$4:$Q$103,5,FALSE),"")</f>
        <v/>
      </c>
      <c r="F141" s="5" t="str">
        <f>IFERROR(VLOOKUP(B141,'Order Flow'!$A$4:$Q$103,6,FALSE),"")</f>
        <v/>
      </c>
      <c r="G141" s="5"/>
      <c r="H141" s="5"/>
      <c r="I141" s="5"/>
      <c r="N141" s="5">
        <f t="shared" si="1"/>
        <v>0</v>
      </c>
      <c r="O141" s="8">
        <f t="shared" si="2"/>
        <v>0</v>
      </c>
      <c r="P141" s="8">
        <f t="shared" si="3"/>
        <v>0</v>
      </c>
      <c r="Q141" s="5">
        <f t="shared" si="4"/>
        <v>0</v>
      </c>
      <c r="R141" s="5"/>
    </row>
    <row r="142" ht="15.75" customHeight="1">
      <c r="A142" s="7"/>
      <c r="C142" s="5" t="str">
        <f>IFERROR(VLOOKUP(B142,'Order Flow'!$A$4:$Q$103,3,FALSE),"")</f>
        <v/>
      </c>
      <c r="D142" s="5" t="str">
        <f>IFERROR(VLOOKUP(B142,'Order Flow'!$A$4:$Q$103,4,FALSE),"")</f>
        <v/>
      </c>
      <c r="E142" s="5" t="str">
        <f>IFERROR(VLOOKUP(B142,'Order Flow'!$A$4:$Q$103,5,FALSE),"")</f>
        <v/>
      </c>
      <c r="F142" s="5" t="str">
        <f>IFERROR(VLOOKUP(B142,'Order Flow'!$A$4:$Q$103,6,FALSE),"")</f>
        <v/>
      </c>
      <c r="G142" s="5"/>
      <c r="H142" s="5"/>
      <c r="I142" s="5"/>
      <c r="N142" s="5">
        <f t="shared" si="1"/>
        <v>0</v>
      </c>
      <c r="O142" s="8">
        <f t="shared" si="2"/>
        <v>0</v>
      </c>
      <c r="P142" s="8">
        <f t="shared" si="3"/>
        <v>0</v>
      </c>
      <c r="Q142" s="5">
        <f t="shared" si="4"/>
        <v>0</v>
      </c>
      <c r="R142" s="5"/>
    </row>
    <row r="143" ht="15.75" customHeight="1">
      <c r="A143" s="7"/>
      <c r="C143" s="5" t="str">
        <f>IFERROR(VLOOKUP(B143,'Order Flow'!$A$4:$Q$103,3,FALSE),"")</f>
        <v/>
      </c>
      <c r="D143" s="5" t="str">
        <f>IFERROR(VLOOKUP(B143,'Order Flow'!$A$4:$Q$103,4,FALSE),"")</f>
        <v/>
      </c>
      <c r="E143" s="5" t="str">
        <f>IFERROR(VLOOKUP(B143,'Order Flow'!$A$4:$Q$103,5,FALSE),"")</f>
        <v/>
      </c>
      <c r="F143" s="5" t="str">
        <f>IFERROR(VLOOKUP(B143,'Order Flow'!$A$4:$Q$103,6,FALSE),"")</f>
        <v/>
      </c>
      <c r="G143" s="5"/>
      <c r="H143" s="5"/>
      <c r="I143" s="5"/>
      <c r="N143" s="5">
        <f t="shared" si="1"/>
        <v>0</v>
      </c>
      <c r="O143" s="8">
        <f t="shared" si="2"/>
        <v>0</v>
      </c>
      <c r="P143" s="8">
        <f t="shared" si="3"/>
        <v>0</v>
      </c>
      <c r="Q143" s="5">
        <f t="shared" si="4"/>
        <v>0</v>
      </c>
      <c r="R143" s="5"/>
    </row>
    <row r="144" ht="15.75" customHeight="1">
      <c r="A144" s="7"/>
      <c r="C144" s="5" t="str">
        <f>IFERROR(VLOOKUP(B144,'Order Flow'!$A$4:$Q$103,3,FALSE),"")</f>
        <v/>
      </c>
      <c r="D144" s="5" t="str">
        <f>IFERROR(VLOOKUP(B144,'Order Flow'!$A$4:$Q$103,4,FALSE),"")</f>
        <v/>
      </c>
      <c r="E144" s="5" t="str">
        <f>IFERROR(VLOOKUP(B144,'Order Flow'!$A$4:$Q$103,5,FALSE),"")</f>
        <v/>
      </c>
      <c r="F144" s="5" t="str">
        <f>IFERROR(VLOOKUP(B144,'Order Flow'!$A$4:$Q$103,6,FALSE),"")</f>
        <v/>
      </c>
      <c r="G144" s="5"/>
      <c r="H144" s="5"/>
      <c r="I144" s="5"/>
      <c r="N144" s="5">
        <f t="shared" si="1"/>
        <v>0</v>
      </c>
      <c r="O144" s="8">
        <f t="shared" si="2"/>
        <v>0</v>
      </c>
      <c r="P144" s="8">
        <f t="shared" si="3"/>
        <v>0</v>
      </c>
      <c r="Q144" s="5">
        <f t="shared" si="4"/>
        <v>0</v>
      </c>
      <c r="R144" s="5"/>
    </row>
    <row r="145" ht="15.75" customHeight="1">
      <c r="A145" s="7"/>
      <c r="C145" s="5" t="str">
        <f>IFERROR(VLOOKUP(B145,'Order Flow'!$A$4:$Q$103,3,FALSE),"")</f>
        <v/>
      </c>
      <c r="D145" s="5" t="str">
        <f>IFERROR(VLOOKUP(B145,'Order Flow'!$A$4:$Q$103,4,FALSE),"")</f>
        <v/>
      </c>
      <c r="E145" s="5" t="str">
        <f>IFERROR(VLOOKUP(B145,'Order Flow'!$A$4:$Q$103,5,FALSE),"")</f>
        <v/>
      </c>
      <c r="F145" s="5" t="str">
        <f>IFERROR(VLOOKUP(B145,'Order Flow'!$A$4:$Q$103,6,FALSE),"")</f>
        <v/>
      </c>
      <c r="G145" s="5"/>
      <c r="H145" s="5"/>
      <c r="I145" s="5"/>
      <c r="N145" s="5">
        <f t="shared" si="1"/>
        <v>0</v>
      </c>
      <c r="O145" s="8">
        <f t="shared" si="2"/>
        <v>0</v>
      </c>
      <c r="P145" s="8">
        <f t="shared" si="3"/>
        <v>0</v>
      </c>
      <c r="Q145" s="5">
        <f t="shared" si="4"/>
        <v>0</v>
      </c>
      <c r="R145" s="5"/>
    </row>
    <row r="146" ht="15.75" customHeight="1">
      <c r="A146" s="7"/>
      <c r="C146" s="5" t="str">
        <f>IFERROR(VLOOKUP(B146,'Order Flow'!$A$4:$Q$103,3,FALSE),"")</f>
        <v/>
      </c>
      <c r="D146" s="5" t="str">
        <f>IFERROR(VLOOKUP(B146,'Order Flow'!$A$4:$Q$103,4,FALSE),"")</f>
        <v/>
      </c>
      <c r="E146" s="5" t="str">
        <f>IFERROR(VLOOKUP(B146,'Order Flow'!$A$4:$Q$103,5,FALSE),"")</f>
        <v/>
      </c>
      <c r="F146" s="5" t="str">
        <f>IFERROR(VLOOKUP(B146,'Order Flow'!$A$4:$Q$103,6,FALSE),"")</f>
        <v/>
      </c>
      <c r="G146" s="5"/>
      <c r="H146" s="5"/>
      <c r="I146" s="5"/>
      <c r="N146" s="5">
        <f t="shared" si="1"/>
        <v>0</v>
      </c>
      <c r="O146" s="8">
        <f t="shared" si="2"/>
        <v>0</v>
      </c>
      <c r="P146" s="8">
        <f t="shared" si="3"/>
        <v>0</v>
      </c>
      <c r="Q146" s="5">
        <f t="shared" si="4"/>
        <v>0</v>
      </c>
      <c r="R146" s="5"/>
    </row>
    <row r="147" ht="15.75" customHeight="1">
      <c r="A147" s="7"/>
      <c r="C147" s="5" t="str">
        <f>IFERROR(VLOOKUP(B147,'Order Flow'!$A$4:$Q$103,3,FALSE),"")</f>
        <v/>
      </c>
      <c r="D147" s="5" t="str">
        <f>IFERROR(VLOOKUP(B147,'Order Flow'!$A$4:$Q$103,4,FALSE),"")</f>
        <v/>
      </c>
      <c r="E147" s="5" t="str">
        <f>IFERROR(VLOOKUP(B147,'Order Flow'!$A$4:$Q$103,5,FALSE),"")</f>
        <v/>
      </c>
      <c r="F147" s="5" t="str">
        <f>IFERROR(VLOOKUP(B147,'Order Flow'!$A$4:$Q$103,6,FALSE),"")</f>
        <v/>
      </c>
      <c r="G147" s="5"/>
      <c r="H147" s="5"/>
      <c r="I147" s="5"/>
      <c r="N147" s="5">
        <f t="shared" si="1"/>
        <v>0</v>
      </c>
      <c r="O147" s="8">
        <f t="shared" si="2"/>
        <v>0</v>
      </c>
      <c r="P147" s="8">
        <f t="shared" si="3"/>
        <v>0</v>
      </c>
      <c r="Q147" s="5">
        <f t="shared" si="4"/>
        <v>0</v>
      </c>
      <c r="R147" s="5"/>
    </row>
    <row r="148" ht="15.75" customHeight="1">
      <c r="A148" s="7"/>
      <c r="C148" s="5" t="str">
        <f>IFERROR(VLOOKUP(B148,'Order Flow'!$A$4:$Q$103,3,FALSE),"")</f>
        <v/>
      </c>
      <c r="D148" s="5" t="str">
        <f>IFERROR(VLOOKUP(B148,'Order Flow'!$A$4:$Q$103,4,FALSE),"")</f>
        <v/>
      </c>
      <c r="E148" s="5" t="str">
        <f>IFERROR(VLOOKUP(B148,'Order Flow'!$A$4:$Q$103,5,FALSE),"")</f>
        <v/>
      </c>
      <c r="F148" s="5" t="str">
        <f>IFERROR(VLOOKUP(B148,'Order Flow'!$A$4:$Q$103,6,FALSE),"")</f>
        <v/>
      </c>
      <c r="G148" s="5"/>
      <c r="H148" s="5"/>
      <c r="I148" s="5"/>
      <c r="N148" s="5">
        <f t="shared" si="1"/>
        <v>0</v>
      </c>
      <c r="O148" s="8">
        <f t="shared" si="2"/>
        <v>0</v>
      </c>
      <c r="P148" s="8">
        <f t="shared" si="3"/>
        <v>0</v>
      </c>
      <c r="Q148" s="5">
        <f t="shared" si="4"/>
        <v>0</v>
      </c>
      <c r="R148" s="5"/>
    </row>
    <row r="149" ht="15.75" customHeight="1">
      <c r="A149" s="7"/>
      <c r="C149" s="5" t="str">
        <f>IFERROR(VLOOKUP(B149,'Order Flow'!$A$4:$Q$103,3,FALSE),"")</f>
        <v/>
      </c>
      <c r="D149" s="5" t="str">
        <f>IFERROR(VLOOKUP(B149,'Order Flow'!$A$4:$Q$103,4,FALSE),"")</f>
        <v/>
      </c>
      <c r="E149" s="5" t="str">
        <f>IFERROR(VLOOKUP(B149,'Order Flow'!$A$4:$Q$103,5,FALSE),"")</f>
        <v/>
      </c>
      <c r="F149" s="5" t="str">
        <f>IFERROR(VLOOKUP(B149,'Order Flow'!$A$4:$Q$103,6,FALSE),"")</f>
        <v/>
      </c>
      <c r="G149" s="5"/>
      <c r="H149" s="5"/>
      <c r="I149" s="5"/>
      <c r="N149" s="5">
        <f t="shared" si="1"/>
        <v>0</v>
      </c>
      <c r="O149" s="8">
        <f t="shared" si="2"/>
        <v>0</v>
      </c>
      <c r="P149" s="8">
        <f t="shared" si="3"/>
        <v>0</v>
      </c>
      <c r="Q149" s="5">
        <f t="shared" si="4"/>
        <v>0</v>
      </c>
      <c r="R149" s="5"/>
    </row>
    <row r="150" ht="15.75" customHeight="1">
      <c r="A150" s="7"/>
      <c r="C150" s="5" t="str">
        <f>IFERROR(VLOOKUP(B150,'Order Flow'!$A$4:$Q$103,3,FALSE),"")</f>
        <v/>
      </c>
      <c r="D150" s="5" t="str">
        <f>IFERROR(VLOOKUP(B150,'Order Flow'!$A$4:$Q$103,4,FALSE),"")</f>
        <v/>
      </c>
      <c r="E150" s="5" t="str">
        <f>IFERROR(VLOOKUP(B150,'Order Flow'!$A$4:$Q$103,5,FALSE),"")</f>
        <v/>
      </c>
      <c r="F150" s="5" t="str">
        <f>IFERROR(VLOOKUP(B150,'Order Flow'!$A$4:$Q$103,6,FALSE),"")</f>
        <v/>
      </c>
      <c r="G150" s="5"/>
      <c r="H150" s="5"/>
      <c r="I150" s="5"/>
      <c r="N150" s="5">
        <f t="shared" si="1"/>
        <v>0</v>
      </c>
      <c r="O150" s="8">
        <f t="shared" si="2"/>
        <v>0</v>
      </c>
      <c r="P150" s="8">
        <f t="shared" si="3"/>
        <v>0</v>
      </c>
      <c r="Q150" s="5">
        <f t="shared" si="4"/>
        <v>0</v>
      </c>
      <c r="R150" s="5"/>
    </row>
    <row r="151" ht="15.75" customHeight="1">
      <c r="A151" s="7"/>
      <c r="C151" s="5" t="str">
        <f>IFERROR(VLOOKUP(B151,'Order Flow'!$A$4:$Q$103,3,FALSE),"")</f>
        <v/>
      </c>
      <c r="D151" s="5" t="str">
        <f>IFERROR(VLOOKUP(B151,'Order Flow'!$A$4:$Q$103,4,FALSE),"")</f>
        <v/>
      </c>
      <c r="E151" s="5" t="str">
        <f>IFERROR(VLOOKUP(B151,'Order Flow'!$A$4:$Q$103,5,FALSE),"")</f>
        <v/>
      </c>
      <c r="F151" s="5" t="str">
        <f>IFERROR(VLOOKUP(B151,'Order Flow'!$A$4:$Q$103,6,FALSE),"")</f>
        <v/>
      </c>
      <c r="G151" s="5"/>
      <c r="H151" s="5"/>
      <c r="I151" s="5"/>
      <c r="N151" s="5">
        <f t="shared" si="1"/>
        <v>0</v>
      </c>
      <c r="O151" s="8">
        <f t="shared" si="2"/>
        <v>0</v>
      </c>
      <c r="P151" s="8">
        <f t="shared" si="3"/>
        <v>0</v>
      </c>
      <c r="Q151" s="5">
        <f t="shared" si="4"/>
        <v>0</v>
      </c>
      <c r="R151" s="5"/>
    </row>
    <row r="152" ht="15.75" customHeight="1">
      <c r="A152" s="7"/>
      <c r="C152" s="5" t="str">
        <f>IFERROR(VLOOKUP(B152,'Order Flow'!$A$4:$Q$103,3,FALSE),"")</f>
        <v/>
      </c>
      <c r="D152" s="5" t="str">
        <f>IFERROR(VLOOKUP(B152,'Order Flow'!$A$4:$Q$103,4,FALSE),"")</f>
        <v/>
      </c>
      <c r="E152" s="5" t="str">
        <f>IFERROR(VLOOKUP(B152,'Order Flow'!$A$4:$Q$103,5,FALSE),"")</f>
        <v/>
      </c>
      <c r="F152" s="5" t="str">
        <f>IFERROR(VLOOKUP(B152,'Order Flow'!$A$4:$Q$103,6,FALSE),"")</f>
        <v/>
      </c>
      <c r="G152" s="5"/>
      <c r="H152" s="5"/>
      <c r="I152" s="5"/>
      <c r="N152" s="5">
        <f t="shared" si="1"/>
        <v>0</v>
      </c>
      <c r="O152" s="8">
        <f t="shared" si="2"/>
        <v>0</v>
      </c>
      <c r="P152" s="8">
        <f t="shared" si="3"/>
        <v>0</v>
      </c>
      <c r="Q152" s="5">
        <f t="shared" si="4"/>
        <v>0</v>
      </c>
      <c r="R152" s="5"/>
    </row>
    <row r="153" ht="15.75" customHeight="1">
      <c r="A153" s="7"/>
      <c r="C153" s="5" t="str">
        <f>IFERROR(VLOOKUP(B153,'Order Flow'!$A$4:$Q$103,3,FALSE),"")</f>
        <v/>
      </c>
      <c r="D153" s="5" t="str">
        <f>IFERROR(VLOOKUP(B153,'Order Flow'!$A$4:$Q$103,4,FALSE),"")</f>
        <v/>
      </c>
      <c r="E153" s="5" t="str">
        <f>IFERROR(VLOOKUP(B153,'Order Flow'!$A$4:$Q$103,5,FALSE),"")</f>
        <v/>
      </c>
      <c r="F153" s="5" t="str">
        <f>IFERROR(VLOOKUP(B153,'Order Flow'!$A$4:$Q$103,6,FALSE),"")</f>
        <v/>
      </c>
      <c r="G153" s="5"/>
      <c r="H153" s="5"/>
      <c r="I153" s="5"/>
      <c r="N153" s="5">
        <f t="shared" si="1"/>
        <v>0</v>
      </c>
      <c r="O153" s="8">
        <f t="shared" si="2"/>
        <v>0</v>
      </c>
      <c r="P153" s="8">
        <f t="shared" si="3"/>
        <v>0</v>
      </c>
      <c r="Q153" s="5">
        <f t="shared" si="4"/>
        <v>0</v>
      </c>
      <c r="R153" s="5"/>
    </row>
    <row r="154" ht="15.75" customHeight="1">
      <c r="A154" s="7"/>
      <c r="C154" s="5" t="str">
        <f>IFERROR(VLOOKUP(B154,'Order Flow'!$A$4:$Q$103,3,FALSE),"")</f>
        <v/>
      </c>
      <c r="D154" s="5" t="str">
        <f>IFERROR(VLOOKUP(B154,'Order Flow'!$A$4:$Q$103,4,FALSE),"")</f>
        <v/>
      </c>
      <c r="E154" s="5" t="str">
        <f>IFERROR(VLOOKUP(B154,'Order Flow'!$A$4:$Q$103,5,FALSE),"")</f>
        <v/>
      </c>
      <c r="F154" s="5" t="str">
        <f>IFERROR(VLOOKUP(B154,'Order Flow'!$A$4:$Q$103,6,FALSE),"")</f>
        <v/>
      </c>
      <c r="G154" s="5"/>
      <c r="H154" s="5"/>
      <c r="I154" s="5"/>
      <c r="N154" s="5">
        <f t="shared" si="1"/>
        <v>0</v>
      </c>
      <c r="O154" s="8">
        <f t="shared" si="2"/>
        <v>0</v>
      </c>
      <c r="P154" s="8">
        <f t="shared" si="3"/>
        <v>0</v>
      </c>
      <c r="Q154" s="5">
        <f t="shared" si="4"/>
        <v>0</v>
      </c>
      <c r="R154" s="5"/>
    </row>
    <row r="155" ht="15.75" customHeight="1">
      <c r="A155" s="7"/>
      <c r="C155" s="5" t="str">
        <f>IFERROR(VLOOKUP(B155,'Order Flow'!$A$4:$Q$103,3,FALSE),"")</f>
        <v/>
      </c>
      <c r="D155" s="5" t="str">
        <f>IFERROR(VLOOKUP(B155,'Order Flow'!$A$4:$Q$103,4,FALSE),"")</f>
        <v/>
      </c>
      <c r="E155" s="5" t="str">
        <f>IFERROR(VLOOKUP(B155,'Order Flow'!$A$4:$Q$103,5,FALSE),"")</f>
        <v/>
      </c>
      <c r="F155" s="5" t="str">
        <f>IFERROR(VLOOKUP(B155,'Order Flow'!$A$4:$Q$103,6,FALSE),"")</f>
        <v/>
      </c>
      <c r="G155" s="5"/>
      <c r="H155" s="5"/>
      <c r="I155" s="5"/>
      <c r="N155" s="5">
        <f t="shared" si="1"/>
        <v>0</v>
      </c>
      <c r="O155" s="8">
        <f t="shared" si="2"/>
        <v>0</v>
      </c>
      <c r="P155" s="8">
        <f t="shared" si="3"/>
        <v>0</v>
      </c>
      <c r="Q155" s="5">
        <f t="shared" si="4"/>
        <v>0</v>
      </c>
      <c r="R155" s="5"/>
    </row>
    <row r="156" ht="15.75" customHeight="1">
      <c r="A156" s="7"/>
      <c r="C156" s="5" t="str">
        <f>IFERROR(VLOOKUP(B156,'Order Flow'!$A$4:$Q$103,3,FALSE),"")</f>
        <v/>
      </c>
      <c r="D156" s="5" t="str">
        <f>IFERROR(VLOOKUP(B156,'Order Flow'!$A$4:$Q$103,4,FALSE),"")</f>
        <v/>
      </c>
      <c r="E156" s="5" t="str">
        <f>IFERROR(VLOOKUP(B156,'Order Flow'!$A$4:$Q$103,5,FALSE),"")</f>
        <v/>
      </c>
      <c r="F156" s="5" t="str">
        <f>IFERROR(VLOOKUP(B156,'Order Flow'!$A$4:$Q$103,6,FALSE),"")</f>
        <v/>
      </c>
      <c r="G156" s="5"/>
      <c r="H156" s="5"/>
      <c r="I156" s="5"/>
      <c r="N156" s="5">
        <f t="shared" si="1"/>
        <v>0</v>
      </c>
      <c r="O156" s="8">
        <f t="shared" si="2"/>
        <v>0</v>
      </c>
      <c r="P156" s="8">
        <f t="shared" si="3"/>
        <v>0</v>
      </c>
      <c r="Q156" s="5">
        <f t="shared" si="4"/>
        <v>0</v>
      </c>
      <c r="R156" s="5"/>
    </row>
    <row r="157" ht="15.75" customHeight="1">
      <c r="A157" s="7"/>
      <c r="C157" s="5" t="str">
        <f>IFERROR(VLOOKUP(B157,'Order Flow'!$A$4:$Q$103,3,FALSE),"")</f>
        <v/>
      </c>
      <c r="D157" s="5" t="str">
        <f>IFERROR(VLOOKUP(B157,'Order Flow'!$A$4:$Q$103,4,FALSE),"")</f>
        <v/>
      </c>
      <c r="E157" s="5" t="str">
        <f>IFERROR(VLOOKUP(B157,'Order Flow'!$A$4:$Q$103,5,FALSE),"")</f>
        <v/>
      </c>
      <c r="F157" s="5" t="str">
        <f>IFERROR(VLOOKUP(B157,'Order Flow'!$A$4:$Q$103,6,FALSE),"")</f>
        <v/>
      </c>
      <c r="G157" s="5"/>
      <c r="H157" s="5"/>
      <c r="I157" s="5"/>
      <c r="N157" s="5">
        <f t="shared" si="1"/>
        <v>0</v>
      </c>
      <c r="O157" s="8">
        <f t="shared" si="2"/>
        <v>0</v>
      </c>
      <c r="P157" s="8">
        <f t="shared" si="3"/>
        <v>0</v>
      </c>
      <c r="Q157" s="5">
        <f t="shared" si="4"/>
        <v>0</v>
      </c>
      <c r="R157" s="5"/>
    </row>
    <row r="158" ht="15.75" customHeight="1">
      <c r="A158" s="7"/>
      <c r="C158" s="5" t="str">
        <f>IFERROR(VLOOKUP(B158,'Order Flow'!$A$4:$Q$103,3,FALSE),"")</f>
        <v/>
      </c>
      <c r="D158" s="5" t="str">
        <f>IFERROR(VLOOKUP(B158,'Order Flow'!$A$4:$Q$103,4,FALSE),"")</f>
        <v/>
      </c>
      <c r="E158" s="5" t="str">
        <f>IFERROR(VLOOKUP(B158,'Order Flow'!$A$4:$Q$103,5,FALSE),"")</f>
        <v/>
      </c>
      <c r="F158" s="5" t="str">
        <f>IFERROR(VLOOKUP(B158,'Order Flow'!$A$4:$Q$103,6,FALSE),"")</f>
        <v/>
      </c>
      <c r="G158" s="5"/>
      <c r="H158" s="5"/>
      <c r="I158" s="5"/>
      <c r="N158" s="5">
        <f t="shared" si="1"/>
        <v>0</v>
      </c>
      <c r="O158" s="8">
        <f t="shared" si="2"/>
        <v>0</v>
      </c>
      <c r="P158" s="8">
        <f t="shared" si="3"/>
        <v>0</v>
      </c>
      <c r="Q158" s="5">
        <f t="shared" si="4"/>
        <v>0</v>
      </c>
      <c r="R158" s="5"/>
    </row>
    <row r="159" ht="15.75" customHeight="1">
      <c r="A159" s="7"/>
      <c r="C159" s="5" t="str">
        <f>IFERROR(VLOOKUP(B159,'Order Flow'!$A$4:$Q$103,3,FALSE),"")</f>
        <v/>
      </c>
      <c r="D159" s="5" t="str">
        <f>IFERROR(VLOOKUP(B159,'Order Flow'!$A$4:$Q$103,4,FALSE),"")</f>
        <v/>
      </c>
      <c r="E159" s="5" t="str">
        <f>IFERROR(VLOOKUP(B159,'Order Flow'!$A$4:$Q$103,5,FALSE),"")</f>
        <v/>
      </c>
      <c r="F159" s="5" t="str">
        <f>IFERROR(VLOOKUP(B159,'Order Flow'!$A$4:$Q$103,6,FALSE),"")</f>
        <v/>
      </c>
      <c r="G159" s="5"/>
      <c r="H159" s="5"/>
      <c r="I159" s="5"/>
      <c r="N159" s="5">
        <f t="shared" si="1"/>
        <v>0</v>
      </c>
      <c r="O159" s="8">
        <f t="shared" si="2"/>
        <v>0</v>
      </c>
      <c r="P159" s="8">
        <f t="shared" si="3"/>
        <v>0</v>
      </c>
      <c r="Q159" s="5">
        <f t="shared" si="4"/>
        <v>0</v>
      </c>
      <c r="R159" s="5"/>
    </row>
    <row r="160" ht="15.75" customHeight="1">
      <c r="A160" s="7"/>
      <c r="C160" s="5" t="str">
        <f>IFERROR(VLOOKUP(B160,'Order Flow'!$A$4:$Q$103,3,FALSE),"")</f>
        <v/>
      </c>
      <c r="D160" s="5" t="str">
        <f>IFERROR(VLOOKUP(B160,'Order Flow'!$A$4:$Q$103,4,FALSE),"")</f>
        <v/>
      </c>
      <c r="E160" s="5" t="str">
        <f>IFERROR(VLOOKUP(B160,'Order Flow'!$A$4:$Q$103,5,FALSE),"")</f>
        <v/>
      </c>
      <c r="F160" s="5" t="str">
        <f>IFERROR(VLOOKUP(B160,'Order Flow'!$A$4:$Q$103,6,FALSE),"")</f>
        <v/>
      </c>
      <c r="G160" s="5"/>
      <c r="H160" s="5"/>
      <c r="I160" s="5"/>
      <c r="N160" s="5">
        <f t="shared" si="1"/>
        <v>0</v>
      </c>
      <c r="O160" s="8">
        <f t="shared" si="2"/>
        <v>0</v>
      </c>
      <c r="P160" s="8">
        <f t="shared" si="3"/>
        <v>0</v>
      </c>
      <c r="Q160" s="5">
        <f t="shared" si="4"/>
        <v>0</v>
      </c>
      <c r="R160" s="5"/>
    </row>
    <row r="161" ht="15.75" customHeight="1">
      <c r="A161" s="7"/>
      <c r="C161" s="5" t="str">
        <f>IFERROR(VLOOKUP(B161,'Order Flow'!$A$4:$Q$103,3,FALSE),"")</f>
        <v/>
      </c>
      <c r="D161" s="5" t="str">
        <f>IFERROR(VLOOKUP(B161,'Order Flow'!$A$4:$Q$103,4,FALSE),"")</f>
        <v/>
      </c>
      <c r="E161" s="5" t="str">
        <f>IFERROR(VLOOKUP(B161,'Order Flow'!$A$4:$Q$103,5,FALSE),"")</f>
        <v/>
      </c>
      <c r="F161" s="5" t="str">
        <f>IFERROR(VLOOKUP(B161,'Order Flow'!$A$4:$Q$103,6,FALSE),"")</f>
        <v/>
      </c>
      <c r="G161" s="5"/>
      <c r="H161" s="5"/>
      <c r="I161" s="5"/>
      <c r="N161" s="5">
        <f t="shared" si="1"/>
        <v>0</v>
      </c>
      <c r="O161" s="8">
        <f t="shared" si="2"/>
        <v>0</v>
      </c>
      <c r="P161" s="8">
        <f t="shared" si="3"/>
        <v>0</v>
      </c>
      <c r="Q161" s="5">
        <f t="shared" si="4"/>
        <v>0</v>
      </c>
      <c r="R161" s="5"/>
    </row>
    <row r="162" ht="15.75" customHeight="1">
      <c r="A162" s="7"/>
      <c r="C162" s="5" t="str">
        <f>IFERROR(VLOOKUP(B162,'Order Flow'!$A$4:$Q$103,3,FALSE),"")</f>
        <v/>
      </c>
      <c r="D162" s="5" t="str">
        <f>IFERROR(VLOOKUP(B162,'Order Flow'!$A$4:$Q$103,4,FALSE),"")</f>
        <v/>
      </c>
      <c r="E162" s="5" t="str">
        <f>IFERROR(VLOOKUP(B162,'Order Flow'!$A$4:$Q$103,5,FALSE),"")</f>
        <v/>
      </c>
      <c r="F162" s="5" t="str">
        <f>IFERROR(VLOOKUP(B162,'Order Flow'!$A$4:$Q$103,6,FALSE),"")</f>
        <v/>
      </c>
      <c r="G162" s="5"/>
      <c r="H162" s="5"/>
      <c r="I162" s="5"/>
      <c r="N162" s="5">
        <f t="shared" si="1"/>
        <v>0</v>
      </c>
      <c r="O162" s="8">
        <f t="shared" si="2"/>
        <v>0</v>
      </c>
      <c r="P162" s="8">
        <f t="shared" si="3"/>
        <v>0</v>
      </c>
      <c r="Q162" s="5">
        <f t="shared" si="4"/>
        <v>0</v>
      </c>
      <c r="R162" s="5"/>
    </row>
    <row r="163" ht="15.75" customHeight="1">
      <c r="A163" s="7"/>
      <c r="C163" s="5" t="str">
        <f>IFERROR(VLOOKUP(B163,'Order Flow'!$A$4:$Q$103,3,FALSE),"")</f>
        <v/>
      </c>
      <c r="D163" s="5" t="str">
        <f>IFERROR(VLOOKUP(B163,'Order Flow'!$A$4:$Q$103,4,FALSE),"")</f>
        <v/>
      </c>
      <c r="E163" s="5" t="str">
        <f>IFERROR(VLOOKUP(B163,'Order Flow'!$A$4:$Q$103,5,FALSE),"")</f>
        <v/>
      </c>
      <c r="F163" s="5" t="str">
        <f>IFERROR(VLOOKUP(B163,'Order Flow'!$A$4:$Q$103,6,FALSE),"")</f>
        <v/>
      </c>
      <c r="G163" s="5"/>
      <c r="H163" s="5"/>
      <c r="I163" s="5"/>
      <c r="N163" s="5">
        <f t="shared" si="1"/>
        <v>0</v>
      </c>
      <c r="O163" s="8">
        <f t="shared" si="2"/>
        <v>0</v>
      </c>
      <c r="P163" s="8">
        <f t="shared" si="3"/>
        <v>0</v>
      </c>
      <c r="Q163" s="5">
        <f t="shared" si="4"/>
        <v>0</v>
      </c>
      <c r="R163" s="5"/>
    </row>
    <row r="164" ht="15.75" customHeight="1">
      <c r="A164" s="7"/>
      <c r="C164" s="5" t="str">
        <f>IFERROR(VLOOKUP(B164,'Order Flow'!$A$4:$Q$103,3,FALSE),"")</f>
        <v/>
      </c>
      <c r="D164" s="5" t="str">
        <f>IFERROR(VLOOKUP(B164,'Order Flow'!$A$4:$Q$103,4,FALSE),"")</f>
        <v/>
      </c>
      <c r="E164" s="5" t="str">
        <f>IFERROR(VLOOKUP(B164,'Order Flow'!$A$4:$Q$103,5,FALSE),"")</f>
        <v/>
      </c>
      <c r="F164" s="5" t="str">
        <f>IFERROR(VLOOKUP(B164,'Order Flow'!$A$4:$Q$103,6,FALSE),"")</f>
        <v/>
      </c>
      <c r="G164" s="5"/>
      <c r="H164" s="5"/>
      <c r="I164" s="5"/>
      <c r="N164" s="5">
        <f t="shared" si="1"/>
        <v>0</v>
      </c>
      <c r="O164" s="8">
        <f t="shared" si="2"/>
        <v>0</v>
      </c>
      <c r="P164" s="8">
        <f t="shared" si="3"/>
        <v>0</v>
      </c>
      <c r="Q164" s="5">
        <f t="shared" si="4"/>
        <v>0</v>
      </c>
      <c r="R164" s="5"/>
    </row>
    <row r="165" ht="15.75" customHeight="1">
      <c r="A165" s="7"/>
      <c r="C165" s="5" t="str">
        <f>IFERROR(VLOOKUP(B165,'Order Flow'!$A$4:$Q$103,3,FALSE),"")</f>
        <v/>
      </c>
      <c r="D165" s="5" t="str">
        <f>IFERROR(VLOOKUP(B165,'Order Flow'!$A$4:$Q$103,4,FALSE),"")</f>
        <v/>
      </c>
      <c r="E165" s="5" t="str">
        <f>IFERROR(VLOOKUP(B165,'Order Flow'!$A$4:$Q$103,5,FALSE),"")</f>
        <v/>
      </c>
      <c r="F165" s="5" t="str">
        <f>IFERROR(VLOOKUP(B165,'Order Flow'!$A$4:$Q$103,6,FALSE),"")</f>
        <v/>
      </c>
      <c r="G165" s="5"/>
      <c r="H165" s="5"/>
      <c r="I165" s="5"/>
      <c r="N165" s="5">
        <f t="shared" si="1"/>
        <v>0</v>
      </c>
      <c r="O165" s="8">
        <f t="shared" si="2"/>
        <v>0</v>
      </c>
      <c r="P165" s="8">
        <f t="shared" si="3"/>
        <v>0</v>
      </c>
      <c r="Q165" s="5">
        <f t="shared" si="4"/>
        <v>0</v>
      </c>
      <c r="R165" s="5"/>
    </row>
    <row r="166" ht="15.75" customHeight="1">
      <c r="A166" s="7"/>
      <c r="C166" s="5" t="str">
        <f>IFERROR(VLOOKUP(B166,'Order Flow'!$A$4:$Q$103,3,FALSE),"")</f>
        <v/>
      </c>
      <c r="D166" s="5" t="str">
        <f>IFERROR(VLOOKUP(B166,'Order Flow'!$A$4:$Q$103,4,FALSE),"")</f>
        <v/>
      </c>
      <c r="E166" s="5" t="str">
        <f>IFERROR(VLOOKUP(B166,'Order Flow'!$A$4:$Q$103,5,FALSE),"")</f>
        <v/>
      </c>
      <c r="F166" s="5" t="str">
        <f>IFERROR(VLOOKUP(B166,'Order Flow'!$A$4:$Q$103,6,FALSE),"")</f>
        <v/>
      </c>
      <c r="G166" s="5"/>
      <c r="H166" s="5"/>
      <c r="I166" s="5"/>
      <c r="N166" s="5">
        <f t="shared" si="1"/>
        <v>0</v>
      </c>
      <c r="O166" s="8">
        <f t="shared" si="2"/>
        <v>0</v>
      </c>
      <c r="P166" s="8">
        <f t="shared" si="3"/>
        <v>0</v>
      </c>
      <c r="Q166" s="5">
        <f t="shared" si="4"/>
        <v>0</v>
      </c>
      <c r="R166" s="5"/>
    </row>
    <row r="167" ht="15.75" customHeight="1">
      <c r="A167" s="7"/>
      <c r="C167" s="5" t="str">
        <f>IFERROR(VLOOKUP(B167,'Order Flow'!$A$4:$Q$103,3,FALSE),"")</f>
        <v/>
      </c>
      <c r="D167" s="5" t="str">
        <f>IFERROR(VLOOKUP(B167,'Order Flow'!$A$4:$Q$103,4,FALSE),"")</f>
        <v/>
      </c>
      <c r="E167" s="5" t="str">
        <f>IFERROR(VLOOKUP(B167,'Order Flow'!$A$4:$Q$103,5,FALSE),"")</f>
        <v/>
      </c>
      <c r="F167" s="5" t="str">
        <f>IFERROR(VLOOKUP(B167,'Order Flow'!$A$4:$Q$103,6,FALSE),"")</f>
        <v/>
      </c>
      <c r="G167" s="5"/>
      <c r="H167" s="5"/>
      <c r="I167" s="5"/>
      <c r="N167" s="5">
        <f t="shared" si="1"/>
        <v>0</v>
      </c>
      <c r="O167" s="8">
        <f t="shared" si="2"/>
        <v>0</v>
      </c>
      <c r="P167" s="8">
        <f t="shared" si="3"/>
        <v>0</v>
      </c>
      <c r="Q167" s="5">
        <f t="shared" si="4"/>
        <v>0</v>
      </c>
      <c r="R167" s="5"/>
    </row>
    <row r="168" ht="15.75" customHeight="1">
      <c r="A168" s="7"/>
      <c r="C168" s="5" t="str">
        <f>IFERROR(VLOOKUP(B168,'Order Flow'!$A$4:$Q$103,3,FALSE),"")</f>
        <v/>
      </c>
      <c r="D168" s="5" t="str">
        <f>IFERROR(VLOOKUP(B168,'Order Flow'!$A$4:$Q$103,4,FALSE),"")</f>
        <v/>
      </c>
      <c r="E168" s="5" t="str">
        <f>IFERROR(VLOOKUP(B168,'Order Flow'!$A$4:$Q$103,5,FALSE),"")</f>
        <v/>
      </c>
      <c r="F168" s="5" t="str">
        <f>IFERROR(VLOOKUP(B168,'Order Flow'!$A$4:$Q$103,6,FALSE),"")</f>
        <v/>
      </c>
      <c r="G168" s="5"/>
      <c r="H168" s="5"/>
      <c r="I168" s="5"/>
      <c r="N168" s="5">
        <f t="shared" si="1"/>
        <v>0</v>
      </c>
      <c r="O168" s="8">
        <f t="shared" si="2"/>
        <v>0</v>
      </c>
      <c r="P168" s="8">
        <f t="shared" si="3"/>
        <v>0</v>
      </c>
      <c r="Q168" s="5">
        <f t="shared" si="4"/>
        <v>0</v>
      </c>
      <c r="R168" s="5"/>
    </row>
    <row r="169" ht="15.75" customHeight="1">
      <c r="A169" s="7"/>
      <c r="C169" s="5" t="str">
        <f>IFERROR(VLOOKUP(B169,'Order Flow'!$A$4:$Q$103,3,FALSE),"")</f>
        <v/>
      </c>
      <c r="D169" s="5" t="str">
        <f>IFERROR(VLOOKUP(B169,'Order Flow'!$A$4:$Q$103,4,FALSE),"")</f>
        <v/>
      </c>
      <c r="E169" s="5" t="str">
        <f>IFERROR(VLOOKUP(B169,'Order Flow'!$A$4:$Q$103,5,FALSE),"")</f>
        <v/>
      </c>
      <c r="F169" s="5" t="str">
        <f>IFERROR(VLOOKUP(B169,'Order Flow'!$A$4:$Q$103,6,FALSE),"")</f>
        <v/>
      </c>
      <c r="G169" s="5"/>
      <c r="H169" s="5"/>
      <c r="I169" s="5"/>
      <c r="N169" s="5">
        <f t="shared" si="1"/>
        <v>0</v>
      </c>
      <c r="O169" s="8">
        <f t="shared" si="2"/>
        <v>0</v>
      </c>
      <c r="P169" s="8">
        <f t="shared" si="3"/>
        <v>0</v>
      </c>
      <c r="Q169" s="5">
        <f t="shared" si="4"/>
        <v>0</v>
      </c>
      <c r="R169" s="5"/>
    </row>
    <row r="170" ht="15.75" customHeight="1">
      <c r="A170" s="7"/>
      <c r="C170" s="5" t="str">
        <f>IFERROR(VLOOKUP(B170,'Order Flow'!$A$4:$Q$103,3,FALSE),"")</f>
        <v/>
      </c>
      <c r="D170" s="5" t="str">
        <f>IFERROR(VLOOKUP(B170,'Order Flow'!$A$4:$Q$103,4,FALSE),"")</f>
        <v/>
      </c>
      <c r="E170" s="5" t="str">
        <f>IFERROR(VLOOKUP(B170,'Order Flow'!$A$4:$Q$103,5,FALSE),"")</f>
        <v/>
      </c>
      <c r="F170" s="5" t="str">
        <f>IFERROR(VLOOKUP(B170,'Order Flow'!$A$4:$Q$103,6,FALSE),"")</f>
        <v/>
      </c>
      <c r="G170" s="5"/>
      <c r="H170" s="5"/>
      <c r="I170" s="5"/>
      <c r="N170" s="5">
        <f t="shared" si="1"/>
        <v>0</v>
      </c>
      <c r="O170" s="8">
        <f t="shared" si="2"/>
        <v>0</v>
      </c>
      <c r="P170" s="8">
        <f t="shared" si="3"/>
        <v>0</v>
      </c>
      <c r="Q170" s="5">
        <f t="shared" si="4"/>
        <v>0</v>
      </c>
      <c r="R170" s="5"/>
    </row>
    <row r="171" ht="15.75" customHeight="1">
      <c r="A171" s="7"/>
      <c r="C171" s="5" t="str">
        <f>IFERROR(VLOOKUP(B171,'Order Flow'!$A$4:$Q$103,3,FALSE),"")</f>
        <v/>
      </c>
      <c r="D171" s="5" t="str">
        <f>IFERROR(VLOOKUP(B171,'Order Flow'!$A$4:$Q$103,4,FALSE),"")</f>
        <v/>
      </c>
      <c r="E171" s="5" t="str">
        <f>IFERROR(VLOOKUP(B171,'Order Flow'!$A$4:$Q$103,5,FALSE),"")</f>
        <v/>
      </c>
      <c r="F171" s="5" t="str">
        <f>IFERROR(VLOOKUP(B171,'Order Flow'!$A$4:$Q$103,6,FALSE),"")</f>
        <v/>
      </c>
      <c r="G171" s="5"/>
      <c r="H171" s="5"/>
      <c r="I171" s="5"/>
      <c r="N171" s="5">
        <f t="shared" si="1"/>
        <v>0</v>
      </c>
      <c r="O171" s="8">
        <f t="shared" si="2"/>
        <v>0</v>
      </c>
      <c r="P171" s="8">
        <f t="shared" si="3"/>
        <v>0</v>
      </c>
      <c r="Q171" s="5">
        <f t="shared" si="4"/>
        <v>0</v>
      </c>
      <c r="R171" s="5"/>
    </row>
    <row r="172" ht="15.75" customHeight="1">
      <c r="A172" s="7"/>
      <c r="C172" s="5" t="str">
        <f>IFERROR(VLOOKUP(B172,'Order Flow'!$A$4:$Q$103,3,FALSE),"")</f>
        <v/>
      </c>
      <c r="D172" s="5" t="str">
        <f>IFERROR(VLOOKUP(B172,'Order Flow'!$A$4:$Q$103,4,FALSE),"")</f>
        <v/>
      </c>
      <c r="E172" s="5" t="str">
        <f>IFERROR(VLOOKUP(B172,'Order Flow'!$A$4:$Q$103,5,FALSE),"")</f>
        <v/>
      </c>
      <c r="F172" s="5" t="str">
        <f>IFERROR(VLOOKUP(B172,'Order Flow'!$A$4:$Q$103,6,FALSE),"")</f>
        <v/>
      </c>
      <c r="G172" s="5"/>
      <c r="H172" s="5"/>
      <c r="I172" s="5"/>
      <c r="N172" s="5">
        <f t="shared" si="1"/>
        <v>0</v>
      </c>
      <c r="O172" s="8">
        <f t="shared" si="2"/>
        <v>0</v>
      </c>
      <c r="P172" s="8">
        <f t="shared" si="3"/>
        <v>0</v>
      </c>
      <c r="Q172" s="5">
        <f t="shared" si="4"/>
        <v>0</v>
      </c>
      <c r="R172" s="5"/>
    </row>
    <row r="173" ht="15.75" customHeight="1">
      <c r="A173" s="7"/>
      <c r="C173" s="5" t="str">
        <f>IFERROR(VLOOKUP(B173,'Order Flow'!$A$4:$Q$103,3,FALSE),"")</f>
        <v/>
      </c>
      <c r="D173" s="5" t="str">
        <f>IFERROR(VLOOKUP(B173,'Order Flow'!$A$4:$Q$103,4,FALSE),"")</f>
        <v/>
      </c>
      <c r="E173" s="5" t="str">
        <f>IFERROR(VLOOKUP(B173,'Order Flow'!$A$4:$Q$103,5,FALSE),"")</f>
        <v/>
      </c>
      <c r="F173" s="5" t="str">
        <f>IFERROR(VLOOKUP(B173,'Order Flow'!$A$4:$Q$103,6,FALSE),"")</f>
        <v/>
      </c>
      <c r="G173" s="5"/>
      <c r="H173" s="5"/>
      <c r="I173" s="5"/>
      <c r="N173" s="5">
        <f t="shared" si="1"/>
        <v>0</v>
      </c>
      <c r="O173" s="8">
        <f t="shared" si="2"/>
        <v>0</v>
      </c>
      <c r="P173" s="8">
        <f t="shared" si="3"/>
        <v>0</v>
      </c>
      <c r="Q173" s="5">
        <f t="shared" si="4"/>
        <v>0</v>
      </c>
      <c r="R173" s="5"/>
    </row>
    <row r="174" ht="15.75" customHeight="1">
      <c r="A174" s="7"/>
      <c r="C174" s="5" t="str">
        <f>IFERROR(VLOOKUP(B174,'Order Flow'!$A$4:$Q$103,3,FALSE),"")</f>
        <v/>
      </c>
      <c r="D174" s="5" t="str">
        <f>IFERROR(VLOOKUP(B174,'Order Flow'!$A$4:$Q$103,4,FALSE),"")</f>
        <v/>
      </c>
      <c r="E174" s="5" t="str">
        <f>IFERROR(VLOOKUP(B174,'Order Flow'!$A$4:$Q$103,5,FALSE),"")</f>
        <v/>
      </c>
      <c r="F174" s="5" t="str">
        <f>IFERROR(VLOOKUP(B174,'Order Flow'!$A$4:$Q$103,6,FALSE),"")</f>
        <v/>
      </c>
      <c r="G174" s="5"/>
      <c r="H174" s="5"/>
      <c r="I174" s="5"/>
      <c r="N174" s="5">
        <f t="shared" si="1"/>
        <v>0</v>
      </c>
      <c r="O174" s="8">
        <f t="shared" si="2"/>
        <v>0</v>
      </c>
      <c r="P174" s="8">
        <f t="shared" si="3"/>
        <v>0</v>
      </c>
      <c r="Q174" s="5">
        <f t="shared" si="4"/>
        <v>0</v>
      </c>
      <c r="R174" s="5"/>
    </row>
    <row r="175" ht="15.75" customHeight="1">
      <c r="A175" s="7"/>
      <c r="C175" s="5" t="str">
        <f>IFERROR(VLOOKUP(B175,'Order Flow'!$A$4:$Q$103,3,FALSE),"")</f>
        <v/>
      </c>
      <c r="D175" s="5" t="str">
        <f>IFERROR(VLOOKUP(B175,'Order Flow'!$A$4:$Q$103,4,FALSE),"")</f>
        <v/>
      </c>
      <c r="E175" s="5" t="str">
        <f>IFERROR(VLOOKUP(B175,'Order Flow'!$A$4:$Q$103,5,FALSE),"")</f>
        <v/>
      </c>
      <c r="F175" s="5" t="str">
        <f>IFERROR(VLOOKUP(B175,'Order Flow'!$A$4:$Q$103,6,FALSE),"")</f>
        <v/>
      </c>
      <c r="G175" s="5"/>
      <c r="H175" s="5"/>
      <c r="I175" s="5"/>
      <c r="N175" s="5">
        <f t="shared" si="1"/>
        <v>0</v>
      </c>
      <c r="O175" s="8">
        <f t="shared" si="2"/>
        <v>0</v>
      </c>
      <c r="P175" s="8">
        <f t="shared" si="3"/>
        <v>0</v>
      </c>
      <c r="Q175" s="5">
        <f t="shared" si="4"/>
        <v>0</v>
      </c>
      <c r="R175" s="5"/>
    </row>
    <row r="176" ht="15.75" customHeight="1">
      <c r="A176" s="7"/>
      <c r="C176" s="5" t="str">
        <f>IFERROR(VLOOKUP(B176,'Order Flow'!$A$4:$Q$103,3,FALSE),"")</f>
        <v/>
      </c>
      <c r="D176" s="5" t="str">
        <f>IFERROR(VLOOKUP(B176,'Order Flow'!$A$4:$Q$103,4,FALSE),"")</f>
        <v/>
      </c>
      <c r="E176" s="5" t="str">
        <f>IFERROR(VLOOKUP(B176,'Order Flow'!$A$4:$Q$103,5,FALSE),"")</f>
        <v/>
      </c>
      <c r="F176" s="5" t="str">
        <f>IFERROR(VLOOKUP(B176,'Order Flow'!$A$4:$Q$103,6,FALSE),"")</f>
        <v/>
      </c>
      <c r="G176" s="5"/>
      <c r="H176" s="5"/>
      <c r="I176" s="5"/>
      <c r="N176" s="5">
        <f t="shared" si="1"/>
        <v>0</v>
      </c>
      <c r="O176" s="8">
        <f t="shared" si="2"/>
        <v>0</v>
      </c>
      <c r="P176" s="8">
        <f t="shared" si="3"/>
        <v>0</v>
      </c>
      <c r="Q176" s="5">
        <f t="shared" si="4"/>
        <v>0</v>
      </c>
      <c r="R176" s="5"/>
    </row>
    <row r="177" ht="15.75" customHeight="1">
      <c r="A177" s="7"/>
      <c r="C177" s="5" t="str">
        <f>IFERROR(VLOOKUP(B177,'Order Flow'!$A$4:$Q$103,3,FALSE),"")</f>
        <v/>
      </c>
      <c r="D177" s="5" t="str">
        <f>IFERROR(VLOOKUP(B177,'Order Flow'!$A$4:$Q$103,4,FALSE),"")</f>
        <v/>
      </c>
      <c r="E177" s="5" t="str">
        <f>IFERROR(VLOOKUP(B177,'Order Flow'!$A$4:$Q$103,5,FALSE),"")</f>
        <v/>
      </c>
      <c r="F177" s="5" t="str">
        <f>IFERROR(VLOOKUP(B177,'Order Flow'!$A$4:$Q$103,6,FALSE),"")</f>
        <v/>
      </c>
      <c r="G177" s="5"/>
      <c r="H177" s="5"/>
      <c r="I177" s="5"/>
      <c r="N177" s="5">
        <f t="shared" si="1"/>
        <v>0</v>
      </c>
      <c r="O177" s="8">
        <f t="shared" si="2"/>
        <v>0</v>
      </c>
      <c r="P177" s="8">
        <f t="shared" si="3"/>
        <v>0</v>
      </c>
      <c r="Q177" s="5">
        <f t="shared" si="4"/>
        <v>0</v>
      </c>
      <c r="R177" s="5"/>
    </row>
    <row r="178" ht="15.75" customHeight="1">
      <c r="A178" s="7"/>
      <c r="C178" s="5" t="str">
        <f>IFERROR(VLOOKUP(B178,'Order Flow'!$A$4:$Q$103,3,FALSE),"")</f>
        <v/>
      </c>
      <c r="D178" s="5" t="str">
        <f>IFERROR(VLOOKUP(B178,'Order Flow'!$A$4:$Q$103,4,FALSE),"")</f>
        <v/>
      </c>
      <c r="E178" s="5" t="str">
        <f>IFERROR(VLOOKUP(B178,'Order Flow'!$A$4:$Q$103,5,FALSE),"")</f>
        <v/>
      </c>
      <c r="F178" s="5" t="str">
        <f>IFERROR(VLOOKUP(B178,'Order Flow'!$A$4:$Q$103,6,FALSE),"")</f>
        <v/>
      </c>
      <c r="G178" s="5"/>
      <c r="H178" s="5"/>
      <c r="I178" s="5"/>
      <c r="N178" s="5">
        <f t="shared" si="1"/>
        <v>0</v>
      </c>
      <c r="O178" s="8">
        <f t="shared" si="2"/>
        <v>0</v>
      </c>
      <c r="P178" s="8">
        <f t="shared" si="3"/>
        <v>0</v>
      </c>
      <c r="Q178" s="5">
        <f t="shared" si="4"/>
        <v>0</v>
      </c>
      <c r="R178" s="5"/>
    </row>
    <row r="179" ht="15.75" customHeight="1">
      <c r="A179" s="7"/>
      <c r="C179" s="5" t="str">
        <f>IFERROR(VLOOKUP(B179,'Order Flow'!$A$4:$Q$103,3,FALSE),"")</f>
        <v/>
      </c>
      <c r="D179" s="5" t="str">
        <f>IFERROR(VLOOKUP(B179,'Order Flow'!$A$4:$Q$103,4,FALSE),"")</f>
        <v/>
      </c>
      <c r="E179" s="5" t="str">
        <f>IFERROR(VLOOKUP(B179,'Order Flow'!$A$4:$Q$103,5,FALSE),"")</f>
        <v/>
      </c>
      <c r="F179" s="5" t="str">
        <f>IFERROR(VLOOKUP(B179,'Order Flow'!$A$4:$Q$103,6,FALSE),"")</f>
        <v/>
      </c>
      <c r="G179" s="5"/>
      <c r="H179" s="5"/>
      <c r="I179" s="5"/>
      <c r="N179" s="5">
        <f t="shared" si="1"/>
        <v>0</v>
      </c>
      <c r="O179" s="8">
        <f t="shared" si="2"/>
        <v>0</v>
      </c>
      <c r="P179" s="8">
        <f t="shared" si="3"/>
        <v>0</v>
      </c>
      <c r="Q179" s="5">
        <f t="shared" si="4"/>
        <v>0</v>
      </c>
      <c r="R179" s="5"/>
    </row>
    <row r="180" ht="15.75" customHeight="1">
      <c r="A180" s="7"/>
      <c r="C180" s="5" t="str">
        <f>IFERROR(VLOOKUP(B180,'Order Flow'!$A$4:$Q$103,3,FALSE),"")</f>
        <v/>
      </c>
      <c r="D180" s="5" t="str">
        <f>IFERROR(VLOOKUP(B180,'Order Flow'!$A$4:$Q$103,4,FALSE),"")</f>
        <v/>
      </c>
      <c r="E180" s="5" t="str">
        <f>IFERROR(VLOOKUP(B180,'Order Flow'!$A$4:$Q$103,5,FALSE),"")</f>
        <v/>
      </c>
      <c r="F180" s="5" t="str">
        <f>IFERROR(VLOOKUP(B180,'Order Flow'!$A$4:$Q$103,6,FALSE),"")</f>
        <v/>
      </c>
      <c r="G180" s="5"/>
      <c r="H180" s="5"/>
      <c r="I180" s="5"/>
      <c r="N180" s="5">
        <f t="shared" si="1"/>
        <v>0</v>
      </c>
      <c r="O180" s="8">
        <f t="shared" si="2"/>
        <v>0</v>
      </c>
      <c r="P180" s="8">
        <f t="shared" si="3"/>
        <v>0</v>
      </c>
      <c r="Q180" s="5">
        <f t="shared" si="4"/>
        <v>0</v>
      </c>
      <c r="R180" s="5"/>
    </row>
    <row r="181" ht="15.75" customHeight="1">
      <c r="A181" s="7"/>
      <c r="C181" s="5" t="str">
        <f>IFERROR(VLOOKUP(B181,'Order Flow'!$A$4:$Q$103,3,FALSE),"")</f>
        <v/>
      </c>
      <c r="D181" s="5" t="str">
        <f>IFERROR(VLOOKUP(B181,'Order Flow'!$A$4:$Q$103,4,FALSE),"")</f>
        <v/>
      </c>
      <c r="E181" s="5" t="str">
        <f>IFERROR(VLOOKUP(B181,'Order Flow'!$A$4:$Q$103,5,FALSE),"")</f>
        <v/>
      </c>
      <c r="F181" s="5" t="str">
        <f>IFERROR(VLOOKUP(B181,'Order Flow'!$A$4:$Q$103,6,FALSE),"")</f>
        <v/>
      </c>
      <c r="G181" s="5"/>
      <c r="H181" s="5"/>
      <c r="I181" s="5"/>
      <c r="N181" s="5">
        <f t="shared" si="1"/>
        <v>0</v>
      </c>
      <c r="O181" s="8">
        <f t="shared" si="2"/>
        <v>0</v>
      </c>
      <c r="P181" s="8">
        <f t="shared" si="3"/>
        <v>0</v>
      </c>
      <c r="Q181" s="5">
        <f t="shared" si="4"/>
        <v>0</v>
      </c>
      <c r="R181" s="5"/>
    </row>
    <row r="182" ht="15.75" customHeight="1">
      <c r="A182" s="7"/>
      <c r="C182" s="5" t="str">
        <f>IFERROR(VLOOKUP(B182,'Order Flow'!$A$4:$Q$103,3,FALSE),"")</f>
        <v/>
      </c>
      <c r="D182" s="5" t="str">
        <f>IFERROR(VLOOKUP(B182,'Order Flow'!$A$4:$Q$103,4,FALSE),"")</f>
        <v/>
      </c>
      <c r="E182" s="5" t="str">
        <f>IFERROR(VLOOKUP(B182,'Order Flow'!$A$4:$Q$103,5,FALSE),"")</f>
        <v/>
      </c>
      <c r="F182" s="5" t="str">
        <f>IFERROR(VLOOKUP(B182,'Order Flow'!$A$4:$Q$103,6,FALSE),"")</f>
        <v/>
      </c>
      <c r="G182" s="5"/>
      <c r="H182" s="5"/>
      <c r="I182" s="5"/>
      <c r="N182" s="5">
        <f t="shared" si="1"/>
        <v>0</v>
      </c>
      <c r="O182" s="8">
        <f t="shared" si="2"/>
        <v>0</v>
      </c>
      <c r="P182" s="8">
        <f t="shared" si="3"/>
        <v>0</v>
      </c>
      <c r="Q182" s="5">
        <f t="shared" si="4"/>
        <v>0</v>
      </c>
      <c r="R182" s="5"/>
    </row>
    <row r="183" ht="15.75" customHeight="1">
      <c r="A183" s="7"/>
      <c r="C183" s="5" t="str">
        <f>IFERROR(VLOOKUP(B183,'Order Flow'!$A$4:$Q$103,3,FALSE),"")</f>
        <v/>
      </c>
      <c r="D183" s="5" t="str">
        <f>IFERROR(VLOOKUP(B183,'Order Flow'!$A$4:$Q$103,4,FALSE),"")</f>
        <v/>
      </c>
      <c r="E183" s="5" t="str">
        <f>IFERROR(VLOOKUP(B183,'Order Flow'!$A$4:$Q$103,5,FALSE),"")</f>
        <v/>
      </c>
      <c r="F183" s="5" t="str">
        <f>IFERROR(VLOOKUP(B183,'Order Flow'!$A$4:$Q$103,6,FALSE),"")</f>
        <v/>
      </c>
      <c r="G183" s="5"/>
      <c r="H183" s="5"/>
      <c r="I183" s="5"/>
      <c r="N183" s="5">
        <f t="shared" si="1"/>
        <v>0</v>
      </c>
      <c r="O183" s="8">
        <f t="shared" si="2"/>
        <v>0</v>
      </c>
      <c r="P183" s="8">
        <f t="shared" si="3"/>
        <v>0</v>
      </c>
      <c r="Q183" s="5">
        <f t="shared" si="4"/>
        <v>0</v>
      </c>
      <c r="R183" s="5"/>
    </row>
    <row r="184" ht="15.75" customHeight="1">
      <c r="A184" s="7"/>
      <c r="C184" s="5" t="str">
        <f>IFERROR(VLOOKUP(B184,'Order Flow'!$A$4:$Q$103,3,FALSE),"")</f>
        <v/>
      </c>
      <c r="D184" s="5" t="str">
        <f>IFERROR(VLOOKUP(B184,'Order Flow'!$A$4:$Q$103,4,FALSE),"")</f>
        <v/>
      </c>
      <c r="E184" s="5" t="str">
        <f>IFERROR(VLOOKUP(B184,'Order Flow'!$A$4:$Q$103,5,FALSE),"")</f>
        <v/>
      </c>
      <c r="F184" s="5" t="str">
        <f>IFERROR(VLOOKUP(B184,'Order Flow'!$A$4:$Q$103,6,FALSE),"")</f>
        <v/>
      </c>
      <c r="G184" s="5"/>
      <c r="H184" s="5"/>
      <c r="I184" s="5"/>
      <c r="N184" s="5">
        <f t="shared" si="1"/>
        <v>0</v>
      </c>
      <c r="O184" s="8">
        <f t="shared" si="2"/>
        <v>0</v>
      </c>
      <c r="P184" s="8">
        <f t="shared" si="3"/>
        <v>0</v>
      </c>
      <c r="Q184" s="5">
        <f t="shared" si="4"/>
        <v>0</v>
      </c>
      <c r="R184" s="5"/>
    </row>
    <row r="185" ht="15.75" customHeight="1">
      <c r="A185" s="7"/>
      <c r="C185" s="5" t="str">
        <f>IFERROR(VLOOKUP(B185,'Order Flow'!$A$4:$Q$103,3,FALSE),"")</f>
        <v/>
      </c>
      <c r="D185" s="5" t="str">
        <f>IFERROR(VLOOKUP(B185,'Order Flow'!$A$4:$Q$103,4,FALSE),"")</f>
        <v/>
      </c>
      <c r="E185" s="5" t="str">
        <f>IFERROR(VLOOKUP(B185,'Order Flow'!$A$4:$Q$103,5,FALSE),"")</f>
        <v/>
      </c>
      <c r="F185" s="5" t="str">
        <f>IFERROR(VLOOKUP(B185,'Order Flow'!$A$4:$Q$103,6,FALSE),"")</f>
        <v/>
      </c>
      <c r="G185" s="5"/>
      <c r="H185" s="5"/>
      <c r="I185" s="5"/>
      <c r="N185" s="5">
        <f t="shared" si="1"/>
        <v>0</v>
      </c>
      <c r="O185" s="8">
        <f t="shared" si="2"/>
        <v>0</v>
      </c>
      <c r="P185" s="8">
        <f t="shared" si="3"/>
        <v>0</v>
      </c>
      <c r="Q185" s="5">
        <f t="shared" si="4"/>
        <v>0</v>
      </c>
      <c r="R185" s="5"/>
    </row>
    <row r="186" ht="15.75" customHeight="1">
      <c r="A186" s="7"/>
      <c r="C186" s="5" t="str">
        <f>IFERROR(VLOOKUP(B186,'Order Flow'!$A$4:$Q$103,3,FALSE),"")</f>
        <v/>
      </c>
      <c r="D186" s="5" t="str">
        <f>IFERROR(VLOOKUP(B186,'Order Flow'!$A$4:$Q$103,4,FALSE),"")</f>
        <v/>
      </c>
      <c r="E186" s="5" t="str">
        <f>IFERROR(VLOOKUP(B186,'Order Flow'!$A$4:$Q$103,5,FALSE),"")</f>
        <v/>
      </c>
      <c r="F186" s="5" t="str">
        <f>IFERROR(VLOOKUP(B186,'Order Flow'!$A$4:$Q$103,6,FALSE),"")</f>
        <v/>
      </c>
      <c r="G186" s="5"/>
      <c r="H186" s="5"/>
      <c r="I186" s="5"/>
      <c r="N186" s="5">
        <f t="shared" si="1"/>
        <v>0</v>
      </c>
      <c r="O186" s="8">
        <f t="shared" si="2"/>
        <v>0</v>
      </c>
      <c r="P186" s="8">
        <f t="shared" si="3"/>
        <v>0</v>
      </c>
      <c r="Q186" s="5">
        <f t="shared" si="4"/>
        <v>0</v>
      </c>
      <c r="R186" s="5"/>
    </row>
    <row r="187" ht="15.75" customHeight="1">
      <c r="A187" s="7"/>
      <c r="C187" s="5" t="str">
        <f>IFERROR(VLOOKUP(B187,'Order Flow'!$A$4:$Q$103,3,FALSE),"")</f>
        <v/>
      </c>
      <c r="D187" s="5" t="str">
        <f>IFERROR(VLOOKUP(B187,'Order Flow'!$A$4:$Q$103,4,FALSE),"")</f>
        <v/>
      </c>
      <c r="E187" s="5" t="str">
        <f>IFERROR(VLOOKUP(B187,'Order Flow'!$A$4:$Q$103,5,FALSE),"")</f>
        <v/>
      </c>
      <c r="F187" s="5" t="str">
        <f>IFERROR(VLOOKUP(B187,'Order Flow'!$A$4:$Q$103,6,FALSE),"")</f>
        <v/>
      </c>
      <c r="G187" s="5"/>
      <c r="H187" s="5"/>
      <c r="I187" s="5"/>
      <c r="N187" s="5">
        <f t="shared" si="1"/>
        <v>0</v>
      </c>
      <c r="O187" s="8">
        <f t="shared" si="2"/>
        <v>0</v>
      </c>
      <c r="P187" s="8">
        <f t="shared" si="3"/>
        <v>0</v>
      </c>
      <c r="Q187" s="5">
        <f t="shared" si="4"/>
        <v>0</v>
      </c>
      <c r="R187" s="5"/>
    </row>
    <row r="188" ht="15.75" customHeight="1">
      <c r="A188" s="7"/>
      <c r="C188" s="5" t="str">
        <f>IFERROR(VLOOKUP(B188,'Order Flow'!$A$4:$Q$103,3,FALSE),"")</f>
        <v/>
      </c>
      <c r="D188" s="5" t="str">
        <f>IFERROR(VLOOKUP(B188,'Order Flow'!$A$4:$Q$103,4,FALSE),"")</f>
        <v/>
      </c>
      <c r="E188" s="5" t="str">
        <f>IFERROR(VLOOKUP(B188,'Order Flow'!$A$4:$Q$103,5,FALSE),"")</f>
        <v/>
      </c>
      <c r="F188" s="5" t="str">
        <f>IFERROR(VLOOKUP(B188,'Order Flow'!$A$4:$Q$103,6,FALSE),"")</f>
        <v/>
      </c>
      <c r="G188" s="5"/>
      <c r="H188" s="5"/>
      <c r="I188" s="5"/>
      <c r="N188" s="5">
        <f t="shared" si="1"/>
        <v>0</v>
      </c>
      <c r="O188" s="8">
        <f t="shared" si="2"/>
        <v>0</v>
      </c>
      <c r="P188" s="8">
        <f t="shared" si="3"/>
        <v>0</v>
      </c>
      <c r="Q188" s="5">
        <f t="shared" si="4"/>
        <v>0</v>
      </c>
      <c r="R188" s="5"/>
    </row>
    <row r="189" ht="15.75" customHeight="1">
      <c r="A189" s="7"/>
      <c r="C189" s="5" t="str">
        <f>IFERROR(VLOOKUP(B189,'Order Flow'!$A$4:$Q$103,3,FALSE),"")</f>
        <v/>
      </c>
      <c r="D189" s="5" t="str">
        <f>IFERROR(VLOOKUP(B189,'Order Flow'!$A$4:$Q$103,4,FALSE),"")</f>
        <v/>
      </c>
      <c r="E189" s="5" t="str">
        <f>IFERROR(VLOOKUP(B189,'Order Flow'!$A$4:$Q$103,5,FALSE),"")</f>
        <v/>
      </c>
      <c r="F189" s="5" t="str">
        <f>IFERROR(VLOOKUP(B189,'Order Flow'!$A$4:$Q$103,6,FALSE),"")</f>
        <v/>
      </c>
      <c r="G189" s="5"/>
      <c r="H189" s="5"/>
      <c r="I189" s="5"/>
      <c r="N189" s="5">
        <f t="shared" si="1"/>
        <v>0</v>
      </c>
      <c r="O189" s="8">
        <f t="shared" si="2"/>
        <v>0</v>
      </c>
      <c r="P189" s="8">
        <f t="shared" si="3"/>
        <v>0</v>
      </c>
      <c r="Q189" s="5">
        <f t="shared" si="4"/>
        <v>0</v>
      </c>
      <c r="R189" s="5"/>
    </row>
    <row r="190" ht="15.75" customHeight="1">
      <c r="A190" s="7"/>
      <c r="C190" s="5" t="str">
        <f>IFERROR(VLOOKUP(B190,'Order Flow'!$A$4:$Q$103,3,FALSE),"")</f>
        <v/>
      </c>
      <c r="D190" s="5" t="str">
        <f>IFERROR(VLOOKUP(B190,'Order Flow'!$A$4:$Q$103,4,FALSE),"")</f>
        <v/>
      </c>
      <c r="E190" s="5" t="str">
        <f>IFERROR(VLOOKUP(B190,'Order Flow'!$A$4:$Q$103,5,FALSE),"")</f>
        <v/>
      </c>
      <c r="F190" s="5" t="str">
        <f>IFERROR(VLOOKUP(B190,'Order Flow'!$A$4:$Q$103,6,FALSE),"")</f>
        <v/>
      </c>
      <c r="G190" s="5"/>
      <c r="H190" s="5"/>
      <c r="I190" s="5"/>
      <c r="N190" s="5">
        <f t="shared" si="1"/>
        <v>0</v>
      </c>
      <c r="O190" s="8">
        <f t="shared" si="2"/>
        <v>0</v>
      </c>
      <c r="P190" s="8">
        <f t="shared" si="3"/>
        <v>0</v>
      </c>
      <c r="Q190" s="5">
        <f t="shared" si="4"/>
        <v>0</v>
      </c>
      <c r="R190" s="5"/>
    </row>
    <row r="191" ht="15.75" customHeight="1">
      <c r="A191" s="7"/>
      <c r="C191" s="5" t="str">
        <f>IFERROR(VLOOKUP(B191,'Order Flow'!$A$4:$Q$103,3,FALSE),"")</f>
        <v/>
      </c>
      <c r="D191" s="5" t="str">
        <f>IFERROR(VLOOKUP(B191,'Order Flow'!$A$4:$Q$103,4,FALSE),"")</f>
        <v/>
      </c>
      <c r="E191" s="5" t="str">
        <f>IFERROR(VLOOKUP(B191,'Order Flow'!$A$4:$Q$103,5,FALSE),"")</f>
        <v/>
      </c>
      <c r="F191" s="5" t="str">
        <f>IFERROR(VLOOKUP(B191,'Order Flow'!$A$4:$Q$103,6,FALSE),"")</f>
        <v/>
      </c>
      <c r="G191" s="5"/>
      <c r="H191" s="5"/>
      <c r="I191" s="5"/>
      <c r="N191" s="5">
        <f t="shared" si="1"/>
        <v>0</v>
      </c>
      <c r="O191" s="8">
        <f t="shared" si="2"/>
        <v>0</v>
      </c>
      <c r="P191" s="8">
        <f t="shared" si="3"/>
        <v>0</v>
      </c>
      <c r="Q191" s="5">
        <f t="shared" si="4"/>
        <v>0</v>
      </c>
      <c r="R191" s="5"/>
    </row>
    <row r="192" ht="15.75" customHeight="1">
      <c r="A192" s="7"/>
      <c r="C192" s="5" t="str">
        <f>IFERROR(VLOOKUP(B192,'Order Flow'!$A$4:$Q$103,3,FALSE),"")</f>
        <v/>
      </c>
      <c r="D192" s="5" t="str">
        <f>IFERROR(VLOOKUP(B192,'Order Flow'!$A$4:$Q$103,4,FALSE),"")</f>
        <v/>
      </c>
      <c r="E192" s="5" t="str">
        <f>IFERROR(VLOOKUP(B192,'Order Flow'!$A$4:$Q$103,5,FALSE),"")</f>
        <v/>
      </c>
      <c r="F192" s="5" t="str">
        <f>IFERROR(VLOOKUP(B192,'Order Flow'!$A$4:$Q$103,6,FALSE),"")</f>
        <v/>
      </c>
      <c r="G192" s="5"/>
      <c r="H192" s="5"/>
      <c r="I192" s="5"/>
      <c r="N192" s="5">
        <f t="shared" si="1"/>
        <v>0</v>
      </c>
      <c r="O192" s="8">
        <f t="shared" si="2"/>
        <v>0</v>
      </c>
      <c r="P192" s="8">
        <f t="shared" si="3"/>
        <v>0</v>
      </c>
      <c r="Q192" s="5">
        <f t="shared" si="4"/>
        <v>0</v>
      </c>
      <c r="R192" s="5"/>
    </row>
    <row r="193" ht="15.75" customHeight="1">
      <c r="A193" s="7"/>
      <c r="C193" s="5" t="str">
        <f>IFERROR(VLOOKUP(B193,'Order Flow'!$A$4:$Q$103,3,FALSE),"")</f>
        <v/>
      </c>
      <c r="D193" s="5" t="str">
        <f>IFERROR(VLOOKUP(B193,'Order Flow'!$A$4:$Q$103,4,FALSE),"")</f>
        <v/>
      </c>
      <c r="E193" s="5" t="str">
        <f>IFERROR(VLOOKUP(B193,'Order Flow'!$A$4:$Q$103,5,FALSE),"")</f>
        <v/>
      </c>
      <c r="F193" s="5" t="str">
        <f>IFERROR(VLOOKUP(B193,'Order Flow'!$A$4:$Q$103,6,FALSE),"")</f>
        <v/>
      </c>
      <c r="G193" s="5"/>
      <c r="H193" s="5"/>
      <c r="I193" s="5"/>
      <c r="N193" s="5">
        <f t="shared" si="1"/>
        <v>0</v>
      </c>
      <c r="O193" s="8">
        <f t="shared" si="2"/>
        <v>0</v>
      </c>
      <c r="P193" s="8">
        <f t="shared" si="3"/>
        <v>0</v>
      </c>
      <c r="Q193" s="5">
        <f t="shared" si="4"/>
        <v>0</v>
      </c>
      <c r="R193" s="5"/>
    </row>
    <row r="194" ht="15.75" customHeight="1">
      <c r="A194" s="7"/>
      <c r="C194" s="5" t="str">
        <f>IFERROR(VLOOKUP(B194,'Order Flow'!$A$4:$Q$103,3,FALSE),"")</f>
        <v/>
      </c>
      <c r="D194" s="5" t="str">
        <f>IFERROR(VLOOKUP(B194,'Order Flow'!$A$4:$Q$103,4,FALSE),"")</f>
        <v/>
      </c>
      <c r="E194" s="5" t="str">
        <f>IFERROR(VLOOKUP(B194,'Order Flow'!$A$4:$Q$103,5,FALSE),"")</f>
        <v/>
      </c>
      <c r="F194" s="5" t="str">
        <f>IFERROR(VLOOKUP(B194,'Order Flow'!$A$4:$Q$103,6,FALSE),"")</f>
        <v/>
      </c>
      <c r="G194" s="5"/>
      <c r="H194" s="5"/>
      <c r="I194" s="5"/>
      <c r="N194" s="5">
        <f t="shared" si="1"/>
        <v>0</v>
      </c>
      <c r="O194" s="8">
        <f t="shared" si="2"/>
        <v>0</v>
      </c>
      <c r="P194" s="8">
        <f t="shared" si="3"/>
        <v>0</v>
      </c>
      <c r="Q194" s="5">
        <f t="shared" si="4"/>
        <v>0</v>
      </c>
      <c r="R194" s="5"/>
    </row>
    <row r="195" ht="15.75" customHeight="1">
      <c r="A195" s="7"/>
      <c r="C195" s="5" t="str">
        <f>IFERROR(VLOOKUP(B195,'Order Flow'!$A$4:$Q$103,3,FALSE),"")</f>
        <v/>
      </c>
      <c r="D195" s="5" t="str">
        <f>IFERROR(VLOOKUP(B195,'Order Flow'!$A$4:$Q$103,4,FALSE),"")</f>
        <v/>
      </c>
      <c r="E195" s="5" t="str">
        <f>IFERROR(VLOOKUP(B195,'Order Flow'!$A$4:$Q$103,5,FALSE),"")</f>
        <v/>
      </c>
      <c r="F195" s="5" t="str">
        <f>IFERROR(VLOOKUP(B195,'Order Flow'!$A$4:$Q$103,6,FALSE),"")</f>
        <v/>
      </c>
      <c r="G195" s="5"/>
      <c r="H195" s="5"/>
      <c r="I195" s="5"/>
      <c r="N195" s="5">
        <f t="shared" si="1"/>
        <v>0</v>
      </c>
      <c r="O195" s="8">
        <f t="shared" si="2"/>
        <v>0</v>
      </c>
      <c r="P195" s="8">
        <f t="shared" si="3"/>
        <v>0</v>
      </c>
      <c r="Q195" s="5">
        <f t="shared" si="4"/>
        <v>0</v>
      </c>
      <c r="R195" s="5"/>
    </row>
    <row r="196" ht="15.75" customHeight="1">
      <c r="A196" s="7"/>
      <c r="C196" s="5" t="str">
        <f>IFERROR(VLOOKUP(B196,'Order Flow'!$A$4:$Q$103,3,FALSE),"")</f>
        <v/>
      </c>
      <c r="D196" s="5" t="str">
        <f>IFERROR(VLOOKUP(B196,'Order Flow'!$A$4:$Q$103,4,FALSE),"")</f>
        <v/>
      </c>
      <c r="E196" s="5" t="str">
        <f>IFERROR(VLOOKUP(B196,'Order Flow'!$A$4:$Q$103,5,FALSE),"")</f>
        <v/>
      </c>
      <c r="F196" s="5" t="str">
        <f>IFERROR(VLOOKUP(B196,'Order Flow'!$A$4:$Q$103,6,FALSE),"")</f>
        <v/>
      </c>
      <c r="G196" s="5"/>
      <c r="H196" s="5"/>
      <c r="I196" s="5"/>
      <c r="N196" s="5">
        <f t="shared" si="1"/>
        <v>0</v>
      </c>
      <c r="O196" s="8">
        <f t="shared" si="2"/>
        <v>0</v>
      </c>
      <c r="P196" s="8">
        <f t="shared" si="3"/>
        <v>0</v>
      </c>
      <c r="Q196" s="5">
        <f t="shared" si="4"/>
        <v>0</v>
      </c>
      <c r="R196" s="5"/>
    </row>
    <row r="197" ht="15.75" customHeight="1">
      <c r="A197" s="7"/>
      <c r="C197" s="5" t="str">
        <f>IFERROR(VLOOKUP(B197,'Order Flow'!$A$4:$Q$103,3,FALSE),"")</f>
        <v/>
      </c>
      <c r="D197" s="5" t="str">
        <f>IFERROR(VLOOKUP(B197,'Order Flow'!$A$4:$Q$103,4,FALSE),"")</f>
        <v/>
      </c>
      <c r="E197" s="5" t="str">
        <f>IFERROR(VLOOKUP(B197,'Order Flow'!$A$4:$Q$103,5,FALSE),"")</f>
        <v/>
      </c>
      <c r="F197" s="5" t="str">
        <f>IFERROR(VLOOKUP(B197,'Order Flow'!$A$4:$Q$103,6,FALSE),"")</f>
        <v/>
      </c>
      <c r="G197" s="5"/>
      <c r="H197" s="5"/>
      <c r="I197" s="5"/>
      <c r="N197" s="5">
        <f t="shared" si="1"/>
        <v>0</v>
      </c>
      <c r="O197" s="8">
        <f t="shared" si="2"/>
        <v>0</v>
      </c>
      <c r="P197" s="8">
        <f t="shared" si="3"/>
        <v>0</v>
      </c>
      <c r="Q197" s="5">
        <f t="shared" si="4"/>
        <v>0</v>
      </c>
      <c r="R197" s="5"/>
    </row>
    <row r="198" ht="15.75" customHeight="1">
      <c r="A198" s="7"/>
      <c r="C198" s="5" t="str">
        <f>IFERROR(VLOOKUP(B198,'Order Flow'!$A$4:$Q$103,3,FALSE),"")</f>
        <v/>
      </c>
      <c r="D198" s="5" t="str">
        <f>IFERROR(VLOOKUP(B198,'Order Flow'!$A$4:$Q$103,4,FALSE),"")</f>
        <v/>
      </c>
      <c r="E198" s="5" t="str">
        <f>IFERROR(VLOOKUP(B198,'Order Flow'!$A$4:$Q$103,5,FALSE),"")</f>
        <v/>
      </c>
      <c r="F198" s="5" t="str">
        <f>IFERROR(VLOOKUP(B198,'Order Flow'!$A$4:$Q$103,6,FALSE),"")</f>
        <v/>
      </c>
      <c r="G198" s="5"/>
      <c r="H198" s="5"/>
      <c r="I198" s="5"/>
      <c r="N198" s="5">
        <f t="shared" si="1"/>
        <v>0</v>
      </c>
      <c r="O198" s="8">
        <f t="shared" si="2"/>
        <v>0</v>
      </c>
      <c r="P198" s="8">
        <f t="shared" si="3"/>
        <v>0</v>
      </c>
      <c r="Q198" s="5">
        <f t="shared" si="4"/>
        <v>0</v>
      </c>
      <c r="R198" s="5"/>
    </row>
    <row r="199" ht="15.75" customHeight="1">
      <c r="A199" s="7"/>
      <c r="C199" s="5" t="str">
        <f>IFERROR(VLOOKUP(B199,'Order Flow'!$A$4:$Q$103,3,FALSE),"")</f>
        <v/>
      </c>
      <c r="D199" s="5" t="str">
        <f>IFERROR(VLOOKUP(B199,'Order Flow'!$A$4:$Q$103,4,FALSE),"")</f>
        <v/>
      </c>
      <c r="E199" s="5" t="str">
        <f>IFERROR(VLOOKUP(B199,'Order Flow'!$A$4:$Q$103,5,FALSE),"")</f>
        <v/>
      </c>
      <c r="F199" s="5" t="str">
        <f>IFERROR(VLOOKUP(B199,'Order Flow'!$A$4:$Q$103,6,FALSE),"")</f>
        <v/>
      </c>
      <c r="G199" s="5"/>
      <c r="H199" s="5"/>
      <c r="I199" s="5"/>
      <c r="N199" s="5">
        <f t="shared" si="1"/>
        <v>0</v>
      </c>
      <c r="O199" s="8">
        <f t="shared" si="2"/>
        <v>0</v>
      </c>
      <c r="P199" s="8">
        <f t="shared" si="3"/>
        <v>0</v>
      </c>
      <c r="Q199" s="5">
        <f t="shared" si="4"/>
        <v>0</v>
      </c>
      <c r="R199" s="5"/>
    </row>
    <row r="200" ht="15.75" customHeight="1">
      <c r="A200" s="7"/>
      <c r="C200" s="5" t="str">
        <f>IFERROR(VLOOKUP(B200,'Order Flow'!$A$4:$Q$103,3,FALSE),"")</f>
        <v/>
      </c>
      <c r="D200" s="5" t="str">
        <f>IFERROR(VLOOKUP(B200,'Order Flow'!$A$4:$Q$103,4,FALSE),"")</f>
        <v/>
      </c>
      <c r="E200" s="5" t="str">
        <f>IFERROR(VLOOKUP(B200,'Order Flow'!$A$4:$Q$103,5,FALSE),"")</f>
        <v/>
      </c>
      <c r="F200" s="5" t="str">
        <f>IFERROR(VLOOKUP(B200,'Order Flow'!$A$4:$Q$103,6,FALSE),"")</f>
        <v/>
      </c>
      <c r="G200" s="5"/>
      <c r="H200" s="5"/>
      <c r="I200" s="5"/>
      <c r="N200" s="5">
        <f t="shared" si="1"/>
        <v>0</v>
      </c>
      <c r="O200" s="8">
        <f t="shared" si="2"/>
        <v>0</v>
      </c>
      <c r="P200" s="8">
        <f t="shared" si="3"/>
        <v>0</v>
      </c>
      <c r="Q200" s="5">
        <f t="shared" si="4"/>
        <v>0</v>
      </c>
      <c r="R200" s="5"/>
    </row>
    <row r="201" ht="15.75" customHeight="1">
      <c r="A201" s="7"/>
      <c r="C201" s="5" t="str">
        <f>IFERROR(VLOOKUP(B201,'Order Flow'!$A$4:$Q$103,3,FALSE),"")</f>
        <v/>
      </c>
      <c r="D201" s="5" t="str">
        <f>IFERROR(VLOOKUP(B201,'Order Flow'!$A$4:$Q$103,4,FALSE),"")</f>
        <v/>
      </c>
      <c r="E201" s="5" t="str">
        <f>IFERROR(VLOOKUP(B201,'Order Flow'!$A$4:$Q$103,5,FALSE),"")</f>
        <v/>
      </c>
      <c r="F201" s="5" t="str">
        <f>IFERROR(VLOOKUP(B201,'Order Flow'!$A$4:$Q$103,6,FALSE),"")</f>
        <v/>
      </c>
      <c r="G201" s="5"/>
      <c r="H201" s="5"/>
      <c r="I201" s="5"/>
      <c r="N201" s="5">
        <f t="shared" si="1"/>
        <v>0</v>
      </c>
      <c r="O201" s="8">
        <f t="shared" si="2"/>
        <v>0</v>
      </c>
      <c r="P201" s="8">
        <f t="shared" si="3"/>
        <v>0</v>
      </c>
      <c r="Q201" s="5">
        <f t="shared" si="4"/>
        <v>0</v>
      </c>
      <c r="R201" s="5"/>
    </row>
    <row r="202" ht="15.75" customHeight="1">
      <c r="A202" s="7"/>
      <c r="C202" s="5" t="str">
        <f>IFERROR(VLOOKUP(B202,'Order Flow'!$A$4:$Q$103,3,FALSE),"")</f>
        <v/>
      </c>
      <c r="D202" s="5" t="str">
        <f>IFERROR(VLOOKUP(B202,'Order Flow'!$A$4:$Q$103,4,FALSE),"")</f>
        <v/>
      </c>
      <c r="E202" s="5" t="str">
        <f>IFERROR(VLOOKUP(B202,'Order Flow'!$A$4:$Q$103,5,FALSE),"")</f>
        <v/>
      </c>
      <c r="F202" s="5" t="str">
        <f>IFERROR(VLOOKUP(B202,'Order Flow'!$A$4:$Q$103,6,FALSE),"")</f>
        <v/>
      </c>
      <c r="G202" s="5"/>
      <c r="H202" s="5"/>
      <c r="I202" s="5"/>
      <c r="N202" s="5">
        <f t="shared" si="1"/>
        <v>0</v>
      </c>
      <c r="O202" s="8">
        <f t="shared" si="2"/>
        <v>0</v>
      </c>
      <c r="P202" s="8">
        <f t="shared" si="3"/>
        <v>0</v>
      </c>
      <c r="Q202" s="5">
        <f t="shared" si="4"/>
        <v>0</v>
      </c>
      <c r="R202" s="5"/>
    </row>
    <row r="203" ht="15.75" customHeight="1">
      <c r="A203" s="7"/>
      <c r="C203" s="5" t="str">
        <f>IFERROR(VLOOKUP(B203,'Order Flow'!$A$4:$Q$103,3,FALSE),"")</f>
        <v/>
      </c>
      <c r="D203" s="5" t="str">
        <f>IFERROR(VLOOKUP(B203,'Order Flow'!$A$4:$Q$103,4,FALSE),"")</f>
        <v/>
      </c>
      <c r="E203" s="5" t="str">
        <f>IFERROR(VLOOKUP(B203,'Order Flow'!$A$4:$Q$103,5,FALSE),"")</f>
        <v/>
      </c>
      <c r="F203" s="5" t="str">
        <f>IFERROR(VLOOKUP(B203,'Order Flow'!$A$4:$Q$103,6,FALSE),"")</f>
        <v/>
      </c>
      <c r="G203" s="5"/>
      <c r="H203" s="5"/>
      <c r="I203" s="5"/>
      <c r="N203" s="5">
        <f t="shared" si="1"/>
        <v>0</v>
      </c>
      <c r="O203" s="8">
        <f t="shared" si="2"/>
        <v>0</v>
      </c>
      <c r="P203" s="8">
        <f t="shared" si="3"/>
        <v>0</v>
      </c>
      <c r="Q203" s="5">
        <f t="shared" si="4"/>
        <v>0</v>
      </c>
      <c r="R203" s="5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T1"/>
  </mergeCells>
  <dataValidations>
    <dataValidation type="list" allowBlank="1" sqref="R4:R203">
      <formula1>"Planned,In Progress,Completed,Held"</formula1>
    </dataValidation>
    <dataValidation type="list" allowBlank="1" sqref="G4:G203">
      <formula1>'Master Data'!$E$4:$E$14</formula1>
    </dataValidation>
    <dataValidation type="list" allowBlank="1" sqref="H4:H203">
      <formula1>'Master Data'!$F$4:$F$14</formula1>
    </dataValidation>
    <dataValidation type="list" allowBlank="1" sqref="I4:I203">
      <formula1>"Morning,Afternoon,Full Day,Extra"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5" width="14.0"/>
    <col customWidth="1" min="16" max="17" width="25.0"/>
    <col customWidth="1" min="18" max="21" width="14.0"/>
    <col customWidth="1" min="22" max="22" width="25.0"/>
    <col customWidth="1" min="23" max="26" width="8.63"/>
  </cols>
  <sheetData>
    <row r="1">
      <c r="A1" s="1" t="s">
        <v>103</v>
      </c>
    </row>
    <row r="3">
      <c r="A3" s="3" t="s">
        <v>104</v>
      </c>
      <c r="B3" s="3" t="s">
        <v>105</v>
      </c>
      <c r="C3" s="3" t="s">
        <v>106</v>
      </c>
      <c r="D3" s="3" t="s">
        <v>5</v>
      </c>
      <c r="E3" s="3" t="s">
        <v>10</v>
      </c>
      <c r="F3" s="3" t="s">
        <v>16</v>
      </c>
      <c r="G3" s="3" t="s">
        <v>18</v>
      </c>
      <c r="H3" s="3" t="s">
        <v>33</v>
      </c>
      <c r="I3" s="3" t="s">
        <v>38</v>
      </c>
      <c r="J3" s="3" t="s">
        <v>107</v>
      </c>
      <c r="K3" s="3" t="s">
        <v>108</v>
      </c>
      <c r="L3" s="3" t="s">
        <v>109</v>
      </c>
      <c r="M3" s="3" t="s">
        <v>56</v>
      </c>
      <c r="N3" s="3" t="s">
        <v>61</v>
      </c>
      <c r="O3" s="3" t="s">
        <v>110</v>
      </c>
      <c r="P3" s="3" t="s">
        <v>111</v>
      </c>
      <c r="Q3" s="3" t="s">
        <v>112</v>
      </c>
      <c r="R3" s="3" t="s">
        <v>113</v>
      </c>
      <c r="S3" s="3" t="s">
        <v>114</v>
      </c>
      <c r="T3" s="3" t="s">
        <v>115</v>
      </c>
      <c r="U3" s="3" t="s">
        <v>116</v>
      </c>
      <c r="V3" s="3" t="s">
        <v>47</v>
      </c>
    </row>
    <row r="4">
      <c r="A4" s="7"/>
      <c r="C4" s="5"/>
      <c r="E4" s="5" t="str">
        <f>IFERROR(VLOOKUP(D4,'Order Flow'!$A$4:$Q$103,3,FALSE),"")</f>
        <v/>
      </c>
      <c r="F4" s="5" t="str">
        <f>IFERROR(VLOOKUP(D4,'Order Flow'!$A$4:$Q$103,5,FALSE),"")</f>
        <v/>
      </c>
      <c r="G4" s="5" t="str">
        <f>IFERROR(VLOOKUP(D4,'Order Flow'!$A$4:$Q$103,6,FALSE),"")</f>
        <v/>
      </c>
      <c r="H4" s="5"/>
      <c r="I4" s="5"/>
      <c r="K4" s="5"/>
      <c r="O4" s="8">
        <f t="shared" ref="O4:O203" si="1">IFERROR(L4/J4,0)</f>
        <v>0</v>
      </c>
      <c r="S4" s="7"/>
      <c r="T4" s="5"/>
    </row>
    <row r="5">
      <c r="A5" s="7"/>
      <c r="C5" s="5"/>
      <c r="E5" s="5" t="str">
        <f>IFERROR(VLOOKUP(D5,'Order Flow'!$A$4:$Q$103,3,FALSE),"")</f>
        <v/>
      </c>
      <c r="F5" s="5" t="str">
        <f>IFERROR(VLOOKUP(D5,'Order Flow'!$A$4:$Q$103,5,FALSE),"")</f>
        <v/>
      </c>
      <c r="G5" s="5" t="str">
        <f>IFERROR(VLOOKUP(D5,'Order Flow'!$A$4:$Q$103,6,FALSE),"")</f>
        <v/>
      </c>
      <c r="H5" s="5"/>
      <c r="I5" s="5"/>
      <c r="K5" s="5"/>
      <c r="O5" s="8">
        <f t="shared" si="1"/>
        <v>0</v>
      </c>
      <c r="S5" s="7"/>
      <c r="T5" s="5"/>
    </row>
    <row r="6">
      <c r="A6" s="7"/>
      <c r="C6" s="5"/>
      <c r="E6" s="5" t="str">
        <f>IFERROR(VLOOKUP(D6,'Order Flow'!$A$4:$Q$103,3,FALSE),"")</f>
        <v/>
      </c>
      <c r="F6" s="5" t="str">
        <f>IFERROR(VLOOKUP(D6,'Order Flow'!$A$4:$Q$103,5,FALSE),"")</f>
        <v/>
      </c>
      <c r="G6" s="5" t="str">
        <f>IFERROR(VLOOKUP(D6,'Order Flow'!$A$4:$Q$103,6,FALSE),"")</f>
        <v/>
      </c>
      <c r="H6" s="5"/>
      <c r="I6" s="5"/>
      <c r="K6" s="5"/>
      <c r="O6" s="8">
        <f t="shared" si="1"/>
        <v>0</v>
      </c>
      <c r="S6" s="7"/>
      <c r="T6" s="5"/>
    </row>
    <row r="7">
      <c r="A7" s="7"/>
      <c r="C7" s="5"/>
      <c r="E7" s="5" t="str">
        <f>IFERROR(VLOOKUP(D7,'Order Flow'!$A$4:$Q$103,3,FALSE),"")</f>
        <v/>
      </c>
      <c r="F7" s="5" t="str">
        <f>IFERROR(VLOOKUP(D7,'Order Flow'!$A$4:$Q$103,5,FALSE),"")</f>
        <v/>
      </c>
      <c r="G7" s="5" t="str">
        <f>IFERROR(VLOOKUP(D7,'Order Flow'!$A$4:$Q$103,6,FALSE),"")</f>
        <v/>
      </c>
      <c r="H7" s="5"/>
      <c r="I7" s="5"/>
      <c r="K7" s="5"/>
      <c r="O7" s="8">
        <f t="shared" si="1"/>
        <v>0</v>
      </c>
      <c r="S7" s="7"/>
      <c r="T7" s="5"/>
    </row>
    <row r="8">
      <c r="A8" s="7"/>
      <c r="C8" s="5"/>
      <c r="E8" s="5" t="str">
        <f>IFERROR(VLOOKUP(D8,'Order Flow'!$A$4:$Q$103,3,FALSE),"")</f>
        <v/>
      </c>
      <c r="F8" s="5" t="str">
        <f>IFERROR(VLOOKUP(D8,'Order Flow'!$A$4:$Q$103,5,FALSE),"")</f>
        <v/>
      </c>
      <c r="G8" s="5" t="str">
        <f>IFERROR(VLOOKUP(D8,'Order Flow'!$A$4:$Q$103,6,FALSE),"")</f>
        <v/>
      </c>
      <c r="H8" s="5"/>
      <c r="I8" s="5"/>
      <c r="K8" s="5"/>
      <c r="O8" s="8">
        <f t="shared" si="1"/>
        <v>0</v>
      </c>
      <c r="S8" s="7"/>
      <c r="T8" s="5"/>
    </row>
    <row r="9">
      <c r="A9" s="7"/>
      <c r="C9" s="5"/>
      <c r="E9" s="5" t="str">
        <f>IFERROR(VLOOKUP(D9,'Order Flow'!$A$4:$Q$103,3,FALSE),"")</f>
        <v/>
      </c>
      <c r="F9" s="5" t="str">
        <f>IFERROR(VLOOKUP(D9,'Order Flow'!$A$4:$Q$103,5,FALSE),"")</f>
        <v/>
      </c>
      <c r="G9" s="5" t="str">
        <f>IFERROR(VLOOKUP(D9,'Order Flow'!$A$4:$Q$103,6,FALSE),"")</f>
        <v/>
      </c>
      <c r="H9" s="5"/>
      <c r="I9" s="5"/>
      <c r="K9" s="5"/>
      <c r="O9" s="8">
        <f t="shared" si="1"/>
        <v>0</v>
      </c>
      <c r="S9" s="7"/>
      <c r="T9" s="5"/>
    </row>
    <row r="10">
      <c r="A10" s="7"/>
      <c r="C10" s="5"/>
      <c r="E10" s="5" t="str">
        <f>IFERROR(VLOOKUP(D10,'Order Flow'!$A$4:$Q$103,3,FALSE),"")</f>
        <v/>
      </c>
      <c r="F10" s="5" t="str">
        <f>IFERROR(VLOOKUP(D10,'Order Flow'!$A$4:$Q$103,5,FALSE),"")</f>
        <v/>
      </c>
      <c r="G10" s="5" t="str">
        <f>IFERROR(VLOOKUP(D10,'Order Flow'!$A$4:$Q$103,6,FALSE),"")</f>
        <v/>
      </c>
      <c r="H10" s="5"/>
      <c r="I10" s="5"/>
      <c r="K10" s="5"/>
      <c r="O10" s="8">
        <f t="shared" si="1"/>
        <v>0</v>
      </c>
      <c r="S10" s="7"/>
      <c r="T10" s="5"/>
    </row>
    <row r="11">
      <c r="A11" s="7"/>
      <c r="C11" s="5"/>
      <c r="E11" s="5" t="str">
        <f>IFERROR(VLOOKUP(D11,'Order Flow'!$A$4:$Q$103,3,FALSE),"")</f>
        <v/>
      </c>
      <c r="F11" s="5" t="str">
        <f>IFERROR(VLOOKUP(D11,'Order Flow'!$A$4:$Q$103,5,FALSE),"")</f>
        <v/>
      </c>
      <c r="G11" s="5" t="str">
        <f>IFERROR(VLOOKUP(D11,'Order Flow'!$A$4:$Q$103,6,FALSE),"")</f>
        <v/>
      </c>
      <c r="H11" s="5"/>
      <c r="I11" s="5"/>
      <c r="K11" s="5"/>
      <c r="O11" s="8">
        <f t="shared" si="1"/>
        <v>0</v>
      </c>
      <c r="S11" s="7"/>
      <c r="T11" s="5"/>
    </row>
    <row r="12">
      <c r="A12" s="7"/>
      <c r="C12" s="5"/>
      <c r="E12" s="5" t="str">
        <f>IFERROR(VLOOKUP(D12,'Order Flow'!$A$4:$Q$103,3,FALSE),"")</f>
        <v/>
      </c>
      <c r="F12" s="5" t="str">
        <f>IFERROR(VLOOKUP(D12,'Order Flow'!$A$4:$Q$103,5,FALSE),"")</f>
        <v/>
      </c>
      <c r="G12" s="5" t="str">
        <f>IFERROR(VLOOKUP(D12,'Order Flow'!$A$4:$Q$103,6,FALSE),"")</f>
        <v/>
      </c>
      <c r="H12" s="5"/>
      <c r="I12" s="5"/>
      <c r="K12" s="5"/>
      <c r="O12" s="8">
        <f t="shared" si="1"/>
        <v>0</v>
      </c>
      <c r="S12" s="7"/>
      <c r="T12" s="5"/>
    </row>
    <row r="13">
      <c r="A13" s="7"/>
      <c r="C13" s="5"/>
      <c r="E13" s="5" t="str">
        <f>IFERROR(VLOOKUP(D13,'Order Flow'!$A$4:$Q$103,3,FALSE),"")</f>
        <v/>
      </c>
      <c r="F13" s="5" t="str">
        <f>IFERROR(VLOOKUP(D13,'Order Flow'!$A$4:$Q$103,5,FALSE),"")</f>
        <v/>
      </c>
      <c r="G13" s="5" t="str">
        <f>IFERROR(VLOOKUP(D13,'Order Flow'!$A$4:$Q$103,6,FALSE),"")</f>
        <v/>
      </c>
      <c r="H13" s="5"/>
      <c r="I13" s="5"/>
      <c r="K13" s="5"/>
      <c r="O13" s="8">
        <f t="shared" si="1"/>
        <v>0</v>
      </c>
      <c r="S13" s="7"/>
      <c r="T13" s="5"/>
    </row>
    <row r="14">
      <c r="A14" s="7"/>
      <c r="C14" s="5"/>
      <c r="E14" s="5" t="str">
        <f>IFERROR(VLOOKUP(D14,'Order Flow'!$A$4:$Q$103,3,FALSE),"")</f>
        <v/>
      </c>
      <c r="F14" s="5" t="str">
        <f>IFERROR(VLOOKUP(D14,'Order Flow'!$A$4:$Q$103,5,FALSE),"")</f>
        <v/>
      </c>
      <c r="G14" s="5" t="str">
        <f>IFERROR(VLOOKUP(D14,'Order Flow'!$A$4:$Q$103,6,FALSE),"")</f>
        <v/>
      </c>
      <c r="H14" s="5"/>
      <c r="I14" s="5"/>
      <c r="K14" s="5"/>
      <c r="O14" s="8">
        <f t="shared" si="1"/>
        <v>0</v>
      </c>
      <c r="S14" s="7"/>
      <c r="T14" s="5"/>
    </row>
    <row r="15">
      <c r="A15" s="7"/>
      <c r="C15" s="5"/>
      <c r="E15" s="5" t="str">
        <f>IFERROR(VLOOKUP(D15,'Order Flow'!$A$4:$Q$103,3,FALSE),"")</f>
        <v/>
      </c>
      <c r="F15" s="5" t="str">
        <f>IFERROR(VLOOKUP(D15,'Order Flow'!$A$4:$Q$103,5,FALSE),"")</f>
        <v/>
      </c>
      <c r="G15" s="5" t="str">
        <f>IFERROR(VLOOKUP(D15,'Order Flow'!$A$4:$Q$103,6,FALSE),"")</f>
        <v/>
      </c>
      <c r="H15" s="5"/>
      <c r="I15" s="5"/>
      <c r="K15" s="5"/>
      <c r="O15" s="8">
        <f t="shared" si="1"/>
        <v>0</v>
      </c>
      <c r="S15" s="7"/>
      <c r="T15" s="5"/>
    </row>
    <row r="16">
      <c r="A16" s="7"/>
      <c r="C16" s="5"/>
      <c r="E16" s="5" t="str">
        <f>IFERROR(VLOOKUP(D16,'Order Flow'!$A$4:$Q$103,3,FALSE),"")</f>
        <v/>
      </c>
      <c r="F16" s="5" t="str">
        <f>IFERROR(VLOOKUP(D16,'Order Flow'!$A$4:$Q$103,5,FALSE),"")</f>
        <v/>
      </c>
      <c r="G16" s="5" t="str">
        <f>IFERROR(VLOOKUP(D16,'Order Flow'!$A$4:$Q$103,6,FALSE),"")</f>
        <v/>
      </c>
      <c r="H16" s="5"/>
      <c r="I16" s="5"/>
      <c r="K16" s="5"/>
      <c r="O16" s="8">
        <f t="shared" si="1"/>
        <v>0</v>
      </c>
      <c r="S16" s="7"/>
      <c r="T16" s="5"/>
    </row>
    <row r="17">
      <c r="A17" s="7"/>
      <c r="C17" s="5"/>
      <c r="E17" s="5" t="str">
        <f>IFERROR(VLOOKUP(D17,'Order Flow'!$A$4:$Q$103,3,FALSE),"")</f>
        <v/>
      </c>
      <c r="F17" s="5" t="str">
        <f>IFERROR(VLOOKUP(D17,'Order Flow'!$A$4:$Q$103,5,FALSE),"")</f>
        <v/>
      </c>
      <c r="G17" s="5" t="str">
        <f>IFERROR(VLOOKUP(D17,'Order Flow'!$A$4:$Q$103,6,FALSE),"")</f>
        <v/>
      </c>
      <c r="H17" s="5"/>
      <c r="I17" s="5"/>
      <c r="K17" s="5"/>
      <c r="O17" s="8">
        <f t="shared" si="1"/>
        <v>0</v>
      </c>
      <c r="S17" s="7"/>
      <c r="T17" s="5"/>
    </row>
    <row r="18">
      <c r="A18" s="7"/>
      <c r="C18" s="5"/>
      <c r="E18" s="5" t="str">
        <f>IFERROR(VLOOKUP(D18,'Order Flow'!$A$4:$Q$103,3,FALSE),"")</f>
        <v/>
      </c>
      <c r="F18" s="5" t="str">
        <f>IFERROR(VLOOKUP(D18,'Order Flow'!$A$4:$Q$103,5,FALSE),"")</f>
        <v/>
      </c>
      <c r="G18" s="5" t="str">
        <f>IFERROR(VLOOKUP(D18,'Order Flow'!$A$4:$Q$103,6,FALSE),"")</f>
        <v/>
      </c>
      <c r="H18" s="5"/>
      <c r="I18" s="5"/>
      <c r="K18" s="5"/>
      <c r="O18" s="8">
        <f t="shared" si="1"/>
        <v>0</v>
      </c>
      <c r="S18" s="7"/>
      <c r="T18" s="5"/>
    </row>
    <row r="19">
      <c r="A19" s="7"/>
      <c r="C19" s="5"/>
      <c r="E19" s="5" t="str">
        <f>IFERROR(VLOOKUP(D19,'Order Flow'!$A$4:$Q$103,3,FALSE),"")</f>
        <v/>
      </c>
      <c r="F19" s="5" t="str">
        <f>IFERROR(VLOOKUP(D19,'Order Flow'!$A$4:$Q$103,5,FALSE),"")</f>
        <v/>
      </c>
      <c r="G19" s="5" t="str">
        <f>IFERROR(VLOOKUP(D19,'Order Flow'!$A$4:$Q$103,6,FALSE),"")</f>
        <v/>
      </c>
      <c r="H19" s="5"/>
      <c r="I19" s="5"/>
      <c r="K19" s="5"/>
      <c r="O19" s="8">
        <f t="shared" si="1"/>
        <v>0</v>
      </c>
      <c r="S19" s="7"/>
      <c r="T19" s="5"/>
    </row>
    <row r="20">
      <c r="A20" s="7"/>
      <c r="C20" s="5"/>
      <c r="E20" s="5" t="str">
        <f>IFERROR(VLOOKUP(D20,'Order Flow'!$A$4:$Q$103,3,FALSE),"")</f>
        <v/>
      </c>
      <c r="F20" s="5" t="str">
        <f>IFERROR(VLOOKUP(D20,'Order Flow'!$A$4:$Q$103,5,FALSE),"")</f>
        <v/>
      </c>
      <c r="G20" s="5" t="str">
        <f>IFERROR(VLOOKUP(D20,'Order Flow'!$A$4:$Q$103,6,FALSE),"")</f>
        <v/>
      </c>
      <c r="H20" s="5"/>
      <c r="I20" s="5"/>
      <c r="K20" s="5"/>
      <c r="O20" s="8">
        <f t="shared" si="1"/>
        <v>0</v>
      </c>
      <c r="S20" s="7"/>
      <c r="T20" s="5"/>
    </row>
    <row r="21" ht="15.75" customHeight="1">
      <c r="A21" s="7"/>
      <c r="C21" s="5"/>
      <c r="E21" s="5" t="str">
        <f>IFERROR(VLOOKUP(D21,'Order Flow'!$A$4:$Q$103,3,FALSE),"")</f>
        <v/>
      </c>
      <c r="F21" s="5" t="str">
        <f>IFERROR(VLOOKUP(D21,'Order Flow'!$A$4:$Q$103,5,FALSE),"")</f>
        <v/>
      </c>
      <c r="G21" s="5" t="str">
        <f>IFERROR(VLOOKUP(D21,'Order Flow'!$A$4:$Q$103,6,FALSE),"")</f>
        <v/>
      </c>
      <c r="H21" s="5"/>
      <c r="I21" s="5"/>
      <c r="K21" s="5"/>
      <c r="O21" s="8">
        <f t="shared" si="1"/>
        <v>0</v>
      </c>
      <c r="S21" s="7"/>
      <c r="T21" s="5"/>
    </row>
    <row r="22" ht="15.75" customHeight="1">
      <c r="A22" s="7"/>
      <c r="C22" s="5"/>
      <c r="E22" s="5" t="str">
        <f>IFERROR(VLOOKUP(D22,'Order Flow'!$A$4:$Q$103,3,FALSE),"")</f>
        <v/>
      </c>
      <c r="F22" s="5" t="str">
        <f>IFERROR(VLOOKUP(D22,'Order Flow'!$A$4:$Q$103,5,FALSE),"")</f>
        <v/>
      </c>
      <c r="G22" s="5" t="str">
        <f>IFERROR(VLOOKUP(D22,'Order Flow'!$A$4:$Q$103,6,FALSE),"")</f>
        <v/>
      </c>
      <c r="H22" s="5"/>
      <c r="I22" s="5"/>
      <c r="K22" s="5"/>
      <c r="O22" s="8">
        <f t="shared" si="1"/>
        <v>0</v>
      </c>
      <c r="S22" s="7"/>
      <c r="T22" s="5"/>
    </row>
    <row r="23" ht="15.75" customHeight="1">
      <c r="A23" s="7"/>
      <c r="C23" s="5"/>
      <c r="E23" s="5" t="str">
        <f>IFERROR(VLOOKUP(D23,'Order Flow'!$A$4:$Q$103,3,FALSE),"")</f>
        <v/>
      </c>
      <c r="F23" s="5" t="str">
        <f>IFERROR(VLOOKUP(D23,'Order Flow'!$A$4:$Q$103,5,FALSE),"")</f>
        <v/>
      </c>
      <c r="G23" s="5" t="str">
        <f>IFERROR(VLOOKUP(D23,'Order Flow'!$A$4:$Q$103,6,FALSE),"")</f>
        <v/>
      </c>
      <c r="H23" s="5"/>
      <c r="I23" s="5"/>
      <c r="K23" s="5"/>
      <c r="O23" s="8">
        <f t="shared" si="1"/>
        <v>0</v>
      </c>
      <c r="S23" s="7"/>
      <c r="T23" s="5"/>
    </row>
    <row r="24" ht="15.75" customHeight="1">
      <c r="A24" s="7"/>
      <c r="C24" s="5"/>
      <c r="E24" s="5" t="str">
        <f>IFERROR(VLOOKUP(D24,'Order Flow'!$A$4:$Q$103,3,FALSE),"")</f>
        <v/>
      </c>
      <c r="F24" s="5" t="str">
        <f>IFERROR(VLOOKUP(D24,'Order Flow'!$A$4:$Q$103,5,FALSE),"")</f>
        <v/>
      </c>
      <c r="G24" s="5" t="str">
        <f>IFERROR(VLOOKUP(D24,'Order Flow'!$A$4:$Q$103,6,FALSE),"")</f>
        <v/>
      </c>
      <c r="H24" s="5"/>
      <c r="I24" s="5"/>
      <c r="K24" s="5"/>
      <c r="O24" s="8">
        <f t="shared" si="1"/>
        <v>0</v>
      </c>
      <c r="S24" s="7"/>
      <c r="T24" s="5"/>
    </row>
    <row r="25" ht="15.75" customHeight="1">
      <c r="A25" s="7"/>
      <c r="C25" s="5"/>
      <c r="E25" s="5" t="str">
        <f>IFERROR(VLOOKUP(D25,'Order Flow'!$A$4:$Q$103,3,FALSE),"")</f>
        <v/>
      </c>
      <c r="F25" s="5" t="str">
        <f>IFERROR(VLOOKUP(D25,'Order Flow'!$A$4:$Q$103,5,FALSE),"")</f>
        <v/>
      </c>
      <c r="G25" s="5" t="str">
        <f>IFERROR(VLOOKUP(D25,'Order Flow'!$A$4:$Q$103,6,FALSE),"")</f>
        <v/>
      </c>
      <c r="H25" s="5"/>
      <c r="I25" s="5"/>
      <c r="K25" s="5"/>
      <c r="O25" s="8">
        <f t="shared" si="1"/>
        <v>0</v>
      </c>
      <c r="S25" s="7"/>
      <c r="T25" s="5"/>
    </row>
    <row r="26" ht="15.75" customHeight="1">
      <c r="A26" s="7"/>
      <c r="C26" s="5"/>
      <c r="E26" s="5" t="str">
        <f>IFERROR(VLOOKUP(D26,'Order Flow'!$A$4:$Q$103,3,FALSE),"")</f>
        <v/>
      </c>
      <c r="F26" s="5" t="str">
        <f>IFERROR(VLOOKUP(D26,'Order Flow'!$A$4:$Q$103,5,FALSE),"")</f>
        <v/>
      </c>
      <c r="G26" s="5" t="str">
        <f>IFERROR(VLOOKUP(D26,'Order Flow'!$A$4:$Q$103,6,FALSE),"")</f>
        <v/>
      </c>
      <c r="H26" s="5"/>
      <c r="I26" s="5"/>
      <c r="K26" s="5"/>
      <c r="O26" s="8">
        <f t="shared" si="1"/>
        <v>0</v>
      </c>
      <c r="S26" s="7"/>
      <c r="T26" s="5"/>
    </row>
    <row r="27" ht="15.75" customHeight="1">
      <c r="A27" s="7"/>
      <c r="C27" s="5"/>
      <c r="E27" s="5" t="str">
        <f>IFERROR(VLOOKUP(D27,'Order Flow'!$A$4:$Q$103,3,FALSE),"")</f>
        <v/>
      </c>
      <c r="F27" s="5" t="str">
        <f>IFERROR(VLOOKUP(D27,'Order Flow'!$A$4:$Q$103,5,FALSE),"")</f>
        <v/>
      </c>
      <c r="G27" s="5" t="str">
        <f>IFERROR(VLOOKUP(D27,'Order Flow'!$A$4:$Q$103,6,FALSE),"")</f>
        <v/>
      </c>
      <c r="H27" s="5"/>
      <c r="I27" s="5"/>
      <c r="K27" s="5"/>
      <c r="O27" s="8">
        <f t="shared" si="1"/>
        <v>0</v>
      </c>
      <c r="S27" s="7"/>
      <c r="T27" s="5"/>
    </row>
    <row r="28" ht="15.75" customHeight="1">
      <c r="A28" s="7"/>
      <c r="C28" s="5"/>
      <c r="E28" s="5" t="str">
        <f>IFERROR(VLOOKUP(D28,'Order Flow'!$A$4:$Q$103,3,FALSE),"")</f>
        <v/>
      </c>
      <c r="F28" s="5" t="str">
        <f>IFERROR(VLOOKUP(D28,'Order Flow'!$A$4:$Q$103,5,FALSE),"")</f>
        <v/>
      </c>
      <c r="G28" s="5" t="str">
        <f>IFERROR(VLOOKUP(D28,'Order Flow'!$A$4:$Q$103,6,FALSE),"")</f>
        <v/>
      </c>
      <c r="H28" s="5"/>
      <c r="I28" s="5"/>
      <c r="K28" s="5"/>
      <c r="O28" s="8">
        <f t="shared" si="1"/>
        <v>0</v>
      </c>
      <c r="S28" s="7"/>
      <c r="T28" s="5"/>
    </row>
    <row r="29" ht="15.75" customHeight="1">
      <c r="A29" s="7"/>
      <c r="C29" s="5"/>
      <c r="E29" s="5" t="str">
        <f>IFERROR(VLOOKUP(D29,'Order Flow'!$A$4:$Q$103,3,FALSE),"")</f>
        <v/>
      </c>
      <c r="F29" s="5" t="str">
        <f>IFERROR(VLOOKUP(D29,'Order Flow'!$A$4:$Q$103,5,FALSE),"")</f>
        <v/>
      </c>
      <c r="G29" s="5" t="str">
        <f>IFERROR(VLOOKUP(D29,'Order Flow'!$A$4:$Q$103,6,FALSE),"")</f>
        <v/>
      </c>
      <c r="H29" s="5"/>
      <c r="I29" s="5"/>
      <c r="K29" s="5"/>
      <c r="O29" s="8">
        <f t="shared" si="1"/>
        <v>0</v>
      </c>
      <c r="S29" s="7"/>
      <c r="T29" s="5"/>
    </row>
    <row r="30" ht="15.75" customHeight="1">
      <c r="A30" s="7"/>
      <c r="C30" s="5"/>
      <c r="E30" s="5" t="str">
        <f>IFERROR(VLOOKUP(D30,'Order Flow'!$A$4:$Q$103,3,FALSE),"")</f>
        <v/>
      </c>
      <c r="F30" s="5" t="str">
        <f>IFERROR(VLOOKUP(D30,'Order Flow'!$A$4:$Q$103,5,FALSE),"")</f>
        <v/>
      </c>
      <c r="G30" s="5" t="str">
        <f>IFERROR(VLOOKUP(D30,'Order Flow'!$A$4:$Q$103,6,FALSE),"")</f>
        <v/>
      </c>
      <c r="H30" s="5"/>
      <c r="I30" s="5"/>
      <c r="K30" s="5"/>
      <c r="O30" s="8">
        <f t="shared" si="1"/>
        <v>0</v>
      </c>
      <c r="S30" s="7"/>
      <c r="T30" s="5"/>
    </row>
    <row r="31" ht="15.75" customHeight="1">
      <c r="A31" s="7"/>
      <c r="C31" s="5"/>
      <c r="E31" s="5" t="str">
        <f>IFERROR(VLOOKUP(D31,'Order Flow'!$A$4:$Q$103,3,FALSE),"")</f>
        <v/>
      </c>
      <c r="F31" s="5" t="str">
        <f>IFERROR(VLOOKUP(D31,'Order Flow'!$A$4:$Q$103,5,FALSE),"")</f>
        <v/>
      </c>
      <c r="G31" s="5" t="str">
        <f>IFERROR(VLOOKUP(D31,'Order Flow'!$A$4:$Q$103,6,FALSE),"")</f>
        <v/>
      </c>
      <c r="H31" s="5"/>
      <c r="I31" s="5"/>
      <c r="K31" s="5"/>
      <c r="O31" s="8">
        <f t="shared" si="1"/>
        <v>0</v>
      </c>
      <c r="S31" s="7"/>
      <c r="T31" s="5"/>
    </row>
    <row r="32" ht="15.75" customHeight="1">
      <c r="A32" s="7"/>
      <c r="C32" s="5"/>
      <c r="E32" s="5" t="str">
        <f>IFERROR(VLOOKUP(D32,'Order Flow'!$A$4:$Q$103,3,FALSE),"")</f>
        <v/>
      </c>
      <c r="F32" s="5" t="str">
        <f>IFERROR(VLOOKUP(D32,'Order Flow'!$A$4:$Q$103,5,FALSE),"")</f>
        <v/>
      </c>
      <c r="G32" s="5" t="str">
        <f>IFERROR(VLOOKUP(D32,'Order Flow'!$A$4:$Q$103,6,FALSE),"")</f>
        <v/>
      </c>
      <c r="H32" s="5"/>
      <c r="I32" s="5"/>
      <c r="K32" s="5"/>
      <c r="O32" s="8">
        <f t="shared" si="1"/>
        <v>0</v>
      </c>
      <c r="S32" s="7"/>
      <c r="T32" s="5"/>
    </row>
    <row r="33" ht="15.75" customHeight="1">
      <c r="A33" s="7"/>
      <c r="C33" s="5"/>
      <c r="E33" s="5" t="str">
        <f>IFERROR(VLOOKUP(D33,'Order Flow'!$A$4:$Q$103,3,FALSE),"")</f>
        <v/>
      </c>
      <c r="F33" s="5" t="str">
        <f>IFERROR(VLOOKUP(D33,'Order Flow'!$A$4:$Q$103,5,FALSE),"")</f>
        <v/>
      </c>
      <c r="G33" s="5" t="str">
        <f>IFERROR(VLOOKUP(D33,'Order Flow'!$A$4:$Q$103,6,FALSE),"")</f>
        <v/>
      </c>
      <c r="H33" s="5"/>
      <c r="I33" s="5"/>
      <c r="K33" s="5"/>
      <c r="O33" s="8">
        <f t="shared" si="1"/>
        <v>0</v>
      </c>
      <c r="S33" s="7"/>
      <c r="T33" s="5"/>
    </row>
    <row r="34" ht="15.75" customHeight="1">
      <c r="A34" s="7"/>
      <c r="C34" s="5"/>
      <c r="E34" s="5" t="str">
        <f>IFERROR(VLOOKUP(D34,'Order Flow'!$A$4:$Q$103,3,FALSE),"")</f>
        <v/>
      </c>
      <c r="F34" s="5" t="str">
        <f>IFERROR(VLOOKUP(D34,'Order Flow'!$A$4:$Q$103,5,FALSE),"")</f>
        <v/>
      </c>
      <c r="G34" s="5" t="str">
        <f>IFERROR(VLOOKUP(D34,'Order Flow'!$A$4:$Q$103,6,FALSE),"")</f>
        <v/>
      </c>
      <c r="H34" s="5"/>
      <c r="I34" s="5"/>
      <c r="K34" s="5"/>
      <c r="O34" s="8">
        <f t="shared" si="1"/>
        <v>0</v>
      </c>
      <c r="S34" s="7"/>
      <c r="T34" s="5"/>
    </row>
    <row r="35" ht="15.75" customHeight="1">
      <c r="A35" s="7"/>
      <c r="C35" s="5"/>
      <c r="E35" s="5" t="str">
        <f>IFERROR(VLOOKUP(D35,'Order Flow'!$A$4:$Q$103,3,FALSE),"")</f>
        <v/>
      </c>
      <c r="F35" s="5" t="str">
        <f>IFERROR(VLOOKUP(D35,'Order Flow'!$A$4:$Q$103,5,FALSE),"")</f>
        <v/>
      </c>
      <c r="G35" s="5" t="str">
        <f>IFERROR(VLOOKUP(D35,'Order Flow'!$A$4:$Q$103,6,FALSE),"")</f>
        <v/>
      </c>
      <c r="H35" s="5"/>
      <c r="I35" s="5"/>
      <c r="K35" s="5"/>
      <c r="O35" s="8">
        <f t="shared" si="1"/>
        <v>0</v>
      </c>
      <c r="S35" s="7"/>
      <c r="T35" s="5"/>
    </row>
    <row r="36" ht="15.75" customHeight="1">
      <c r="A36" s="7"/>
      <c r="C36" s="5"/>
      <c r="E36" s="5" t="str">
        <f>IFERROR(VLOOKUP(D36,'Order Flow'!$A$4:$Q$103,3,FALSE),"")</f>
        <v/>
      </c>
      <c r="F36" s="5" t="str">
        <f>IFERROR(VLOOKUP(D36,'Order Flow'!$A$4:$Q$103,5,FALSE),"")</f>
        <v/>
      </c>
      <c r="G36" s="5" t="str">
        <f>IFERROR(VLOOKUP(D36,'Order Flow'!$A$4:$Q$103,6,FALSE),"")</f>
        <v/>
      </c>
      <c r="H36" s="5"/>
      <c r="I36" s="5"/>
      <c r="K36" s="5"/>
      <c r="O36" s="8">
        <f t="shared" si="1"/>
        <v>0</v>
      </c>
      <c r="S36" s="7"/>
      <c r="T36" s="5"/>
    </row>
    <row r="37" ht="15.75" customHeight="1">
      <c r="A37" s="7"/>
      <c r="C37" s="5"/>
      <c r="E37" s="5" t="str">
        <f>IFERROR(VLOOKUP(D37,'Order Flow'!$A$4:$Q$103,3,FALSE),"")</f>
        <v/>
      </c>
      <c r="F37" s="5" t="str">
        <f>IFERROR(VLOOKUP(D37,'Order Flow'!$A$4:$Q$103,5,FALSE),"")</f>
        <v/>
      </c>
      <c r="G37" s="5" t="str">
        <f>IFERROR(VLOOKUP(D37,'Order Flow'!$A$4:$Q$103,6,FALSE),"")</f>
        <v/>
      </c>
      <c r="H37" s="5"/>
      <c r="I37" s="5"/>
      <c r="K37" s="5"/>
      <c r="O37" s="8">
        <f t="shared" si="1"/>
        <v>0</v>
      </c>
      <c r="S37" s="7"/>
      <c r="T37" s="5"/>
    </row>
    <row r="38" ht="15.75" customHeight="1">
      <c r="A38" s="7"/>
      <c r="C38" s="5"/>
      <c r="E38" s="5" t="str">
        <f>IFERROR(VLOOKUP(D38,'Order Flow'!$A$4:$Q$103,3,FALSE),"")</f>
        <v/>
      </c>
      <c r="F38" s="5" t="str">
        <f>IFERROR(VLOOKUP(D38,'Order Flow'!$A$4:$Q$103,5,FALSE),"")</f>
        <v/>
      </c>
      <c r="G38" s="5" t="str">
        <f>IFERROR(VLOOKUP(D38,'Order Flow'!$A$4:$Q$103,6,FALSE),"")</f>
        <v/>
      </c>
      <c r="H38" s="5"/>
      <c r="I38" s="5"/>
      <c r="K38" s="5"/>
      <c r="O38" s="8">
        <f t="shared" si="1"/>
        <v>0</v>
      </c>
      <c r="S38" s="7"/>
      <c r="T38" s="5"/>
    </row>
    <row r="39" ht="15.75" customHeight="1">
      <c r="A39" s="7"/>
      <c r="C39" s="5"/>
      <c r="E39" s="5" t="str">
        <f>IFERROR(VLOOKUP(D39,'Order Flow'!$A$4:$Q$103,3,FALSE),"")</f>
        <v/>
      </c>
      <c r="F39" s="5" t="str">
        <f>IFERROR(VLOOKUP(D39,'Order Flow'!$A$4:$Q$103,5,FALSE),"")</f>
        <v/>
      </c>
      <c r="G39" s="5" t="str">
        <f>IFERROR(VLOOKUP(D39,'Order Flow'!$A$4:$Q$103,6,FALSE),"")</f>
        <v/>
      </c>
      <c r="H39" s="5"/>
      <c r="I39" s="5"/>
      <c r="K39" s="5"/>
      <c r="O39" s="8">
        <f t="shared" si="1"/>
        <v>0</v>
      </c>
      <c r="S39" s="7"/>
      <c r="T39" s="5"/>
    </row>
    <row r="40" ht="15.75" customHeight="1">
      <c r="A40" s="7"/>
      <c r="C40" s="5"/>
      <c r="E40" s="5" t="str">
        <f>IFERROR(VLOOKUP(D40,'Order Flow'!$A$4:$Q$103,3,FALSE),"")</f>
        <v/>
      </c>
      <c r="F40" s="5" t="str">
        <f>IFERROR(VLOOKUP(D40,'Order Flow'!$A$4:$Q$103,5,FALSE),"")</f>
        <v/>
      </c>
      <c r="G40" s="5" t="str">
        <f>IFERROR(VLOOKUP(D40,'Order Flow'!$A$4:$Q$103,6,FALSE),"")</f>
        <v/>
      </c>
      <c r="H40" s="5"/>
      <c r="I40" s="5"/>
      <c r="K40" s="5"/>
      <c r="O40" s="8">
        <f t="shared" si="1"/>
        <v>0</v>
      </c>
      <c r="S40" s="7"/>
      <c r="T40" s="5"/>
    </row>
    <row r="41" ht="15.75" customHeight="1">
      <c r="A41" s="7"/>
      <c r="C41" s="5"/>
      <c r="E41" s="5" t="str">
        <f>IFERROR(VLOOKUP(D41,'Order Flow'!$A$4:$Q$103,3,FALSE),"")</f>
        <v/>
      </c>
      <c r="F41" s="5" t="str">
        <f>IFERROR(VLOOKUP(D41,'Order Flow'!$A$4:$Q$103,5,FALSE),"")</f>
        <v/>
      </c>
      <c r="G41" s="5" t="str">
        <f>IFERROR(VLOOKUP(D41,'Order Flow'!$A$4:$Q$103,6,FALSE),"")</f>
        <v/>
      </c>
      <c r="H41" s="5"/>
      <c r="I41" s="5"/>
      <c r="K41" s="5"/>
      <c r="O41" s="8">
        <f t="shared" si="1"/>
        <v>0</v>
      </c>
      <c r="S41" s="7"/>
      <c r="T41" s="5"/>
    </row>
    <row r="42" ht="15.75" customHeight="1">
      <c r="A42" s="7"/>
      <c r="C42" s="5"/>
      <c r="E42" s="5" t="str">
        <f>IFERROR(VLOOKUP(D42,'Order Flow'!$A$4:$Q$103,3,FALSE),"")</f>
        <v/>
      </c>
      <c r="F42" s="5" t="str">
        <f>IFERROR(VLOOKUP(D42,'Order Flow'!$A$4:$Q$103,5,FALSE),"")</f>
        <v/>
      </c>
      <c r="G42" s="5" t="str">
        <f>IFERROR(VLOOKUP(D42,'Order Flow'!$A$4:$Q$103,6,FALSE),"")</f>
        <v/>
      </c>
      <c r="H42" s="5"/>
      <c r="I42" s="5"/>
      <c r="K42" s="5"/>
      <c r="O42" s="8">
        <f t="shared" si="1"/>
        <v>0</v>
      </c>
      <c r="S42" s="7"/>
      <c r="T42" s="5"/>
    </row>
    <row r="43" ht="15.75" customHeight="1">
      <c r="A43" s="7"/>
      <c r="C43" s="5"/>
      <c r="E43" s="5" t="str">
        <f>IFERROR(VLOOKUP(D43,'Order Flow'!$A$4:$Q$103,3,FALSE),"")</f>
        <v/>
      </c>
      <c r="F43" s="5" t="str">
        <f>IFERROR(VLOOKUP(D43,'Order Flow'!$A$4:$Q$103,5,FALSE),"")</f>
        <v/>
      </c>
      <c r="G43" s="5" t="str">
        <f>IFERROR(VLOOKUP(D43,'Order Flow'!$A$4:$Q$103,6,FALSE),"")</f>
        <v/>
      </c>
      <c r="H43" s="5"/>
      <c r="I43" s="5"/>
      <c r="K43" s="5"/>
      <c r="O43" s="8">
        <f t="shared" si="1"/>
        <v>0</v>
      </c>
      <c r="S43" s="7"/>
      <c r="T43" s="5"/>
    </row>
    <row r="44" ht="15.75" customHeight="1">
      <c r="A44" s="7"/>
      <c r="C44" s="5"/>
      <c r="E44" s="5" t="str">
        <f>IFERROR(VLOOKUP(D44,'Order Flow'!$A$4:$Q$103,3,FALSE),"")</f>
        <v/>
      </c>
      <c r="F44" s="5" t="str">
        <f>IFERROR(VLOOKUP(D44,'Order Flow'!$A$4:$Q$103,5,FALSE),"")</f>
        <v/>
      </c>
      <c r="G44" s="5" t="str">
        <f>IFERROR(VLOOKUP(D44,'Order Flow'!$A$4:$Q$103,6,FALSE),"")</f>
        <v/>
      </c>
      <c r="H44" s="5"/>
      <c r="I44" s="5"/>
      <c r="K44" s="5"/>
      <c r="O44" s="8">
        <f t="shared" si="1"/>
        <v>0</v>
      </c>
      <c r="S44" s="7"/>
      <c r="T44" s="5"/>
    </row>
    <row r="45" ht="15.75" customHeight="1">
      <c r="A45" s="7"/>
      <c r="C45" s="5"/>
      <c r="E45" s="5" t="str">
        <f>IFERROR(VLOOKUP(D45,'Order Flow'!$A$4:$Q$103,3,FALSE),"")</f>
        <v/>
      </c>
      <c r="F45" s="5" t="str">
        <f>IFERROR(VLOOKUP(D45,'Order Flow'!$A$4:$Q$103,5,FALSE),"")</f>
        <v/>
      </c>
      <c r="G45" s="5" t="str">
        <f>IFERROR(VLOOKUP(D45,'Order Flow'!$A$4:$Q$103,6,FALSE),"")</f>
        <v/>
      </c>
      <c r="H45" s="5"/>
      <c r="I45" s="5"/>
      <c r="K45" s="5"/>
      <c r="O45" s="8">
        <f t="shared" si="1"/>
        <v>0</v>
      </c>
      <c r="S45" s="7"/>
      <c r="T45" s="5"/>
    </row>
    <row r="46" ht="15.75" customHeight="1">
      <c r="A46" s="7"/>
      <c r="C46" s="5"/>
      <c r="E46" s="5" t="str">
        <f>IFERROR(VLOOKUP(D46,'Order Flow'!$A$4:$Q$103,3,FALSE),"")</f>
        <v/>
      </c>
      <c r="F46" s="5" t="str">
        <f>IFERROR(VLOOKUP(D46,'Order Flow'!$A$4:$Q$103,5,FALSE),"")</f>
        <v/>
      </c>
      <c r="G46" s="5" t="str">
        <f>IFERROR(VLOOKUP(D46,'Order Flow'!$A$4:$Q$103,6,FALSE),"")</f>
        <v/>
      </c>
      <c r="H46" s="5"/>
      <c r="I46" s="5"/>
      <c r="K46" s="5"/>
      <c r="O46" s="8">
        <f t="shared" si="1"/>
        <v>0</v>
      </c>
      <c r="S46" s="7"/>
      <c r="T46" s="5"/>
    </row>
    <row r="47" ht="15.75" customHeight="1">
      <c r="A47" s="7"/>
      <c r="C47" s="5"/>
      <c r="E47" s="5" t="str">
        <f>IFERROR(VLOOKUP(D47,'Order Flow'!$A$4:$Q$103,3,FALSE),"")</f>
        <v/>
      </c>
      <c r="F47" s="5" t="str">
        <f>IFERROR(VLOOKUP(D47,'Order Flow'!$A$4:$Q$103,5,FALSE),"")</f>
        <v/>
      </c>
      <c r="G47" s="5" t="str">
        <f>IFERROR(VLOOKUP(D47,'Order Flow'!$A$4:$Q$103,6,FALSE),"")</f>
        <v/>
      </c>
      <c r="H47" s="5"/>
      <c r="I47" s="5"/>
      <c r="K47" s="5"/>
      <c r="O47" s="8">
        <f t="shared" si="1"/>
        <v>0</v>
      </c>
      <c r="S47" s="7"/>
      <c r="T47" s="5"/>
    </row>
    <row r="48" ht="15.75" customHeight="1">
      <c r="A48" s="7"/>
      <c r="C48" s="5"/>
      <c r="E48" s="5" t="str">
        <f>IFERROR(VLOOKUP(D48,'Order Flow'!$A$4:$Q$103,3,FALSE),"")</f>
        <v/>
      </c>
      <c r="F48" s="5" t="str">
        <f>IFERROR(VLOOKUP(D48,'Order Flow'!$A$4:$Q$103,5,FALSE),"")</f>
        <v/>
      </c>
      <c r="G48" s="5" t="str">
        <f>IFERROR(VLOOKUP(D48,'Order Flow'!$A$4:$Q$103,6,FALSE),"")</f>
        <v/>
      </c>
      <c r="H48" s="5"/>
      <c r="I48" s="5"/>
      <c r="K48" s="5"/>
      <c r="O48" s="8">
        <f t="shared" si="1"/>
        <v>0</v>
      </c>
      <c r="S48" s="7"/>
      <c r="T48" s="5"/>
    </row>
    <row r="49" ht="15.75" customHeight="1">
      <c r="A49" s="7"/>
      <c r="C49" s="5"/>
      <c r="E49" s="5" t="str">
        <f>IFERROR(VLOOKUP(D49,'Order Flow'!$A$4:$Q$103,3,FALSE),"")</f>
        <v/>
      </c>
      <c r="F49" s="5" t="str">
        <f>IFERROR(VLOOKUP(D49,'Order Flow'!$A$4:$Q$103,5,FALSE),"")</f>
        <v/>
      </c>
      <c r="G49" s="5" t="str">
        <f>IFERROR(VLOOKUP(D49,'Order Flow'!$A$4:$Q$103,6,FALSE),"")</f>
        <v/>
      </c>
      <c r="H49" s="5"/>
      <c r="I49" s="5"/>
      <c r="K49" s="5"/>
      <c r="O49" s="8">
        <f t="shared" si="1"/>
        <v>0</v>
      </c>
      <c r="S49" s="7"/>
      <c r="T49" s="5"/>
    </row>
    <row r="50" ht="15.75" customHeight="1">
      <c r="A50" s="7"/>
      <c r="C50" s="5"/>
      <c r="E50" s="5" t="str">
        <f>IFERROR(VLOOKUP(D50,'Order Flow'!$A$4:$Q$103,3,FALSE),"")</f>
        <v/>
      </c>
      <c r="F50" s="5" t="str">
        <f>IFERROR(VLOOKUP(D50,'Order Flow'!$A$4:$Q$103,5,FALSE),"")</f>
        <v/>
      </c>
      <c r="G50" s="5" t="str">
        <f>IFERROR(VLOOKUP(D50,'Order Flow'!$A$4:$Q$103,6,FALSE),"")</f>
        <v/>
      </c>
      <c r="H50" s="5"/>
      <c r="I50" s="5"/>
      <c r="K50" s="5"/>
      <c r="O50" s="8">
        <f t="shared" si="1"/>
        <v>0</v>
      </c>
      <c r="S50" s="7"/>
      <c r="T50" s="5"/>
    </row>
    <row r="51" ht="15.75" customHeight="1">
      <c r="A51" s="7"/>
      <c r="C51" s="5"/>
      <c r="E51" s="5" t="str">
        <f>IFERROR(VLOOKUP(D51,'Order Flow'!$A$4:$Q$103,3,FALSE),"")</f>
        <v/>
      </c>
      <c r="F51" s="5" t="str">
        <f>IFERROR(VLOOKUP(D51,'Order Flow'!$A$4:$Q$103,5,FALSE),"")</f>
        <v/>
      </c>
      <c r="G51" s="5" t="str">
        <f>IFERROR(VLOOKUP(D51,'Order Flow'!$A$4:$Q$103,6,FALSE),"")</f>
        <v/>
      </c>
      <c r="H51" s="5"/>
      <c r="I51" s="5"/>
      <c r="K51" s="5"/>
      <c r="O51" s="8">
        <f t="shared" si="1"/>
        <v>0</v>
      </c>
      <c r="S51" s="7"/>
      <c r="T51" s="5"/>
    </row>
    <row r="52" ht="15.75" customHeight="1">
      <c r="A52" s="7"/>
      <c r="C52" s="5"/>
      <c r="E52" s="5" t="str">
        <f>IFERROR(VLOOKUP(D52,'Order Flow'!$A$4:$Q$103,3,FALSE),"")</f>
        <v/>
      </c>
      <c r="F52" s="5" t="str">
        <f>IFERROR(VLOOKUP(D52,'Order Flow'!$A$4:$Q$103,5,FALSE),"")</f>
        <v/>
      </c>
      <c r="G52" s="5" t="str">
        <f>IFERROR(VLOOKUP(D52,'Order Flow'!$A$4:$Q$103,6,FALSE),"")</f>
        <v/>
      </c>
      <c r="H52" s="5"/>
      <c r="I52" s="5"/>
      <c r="K52" s="5"/>
      <c r="O52" s="8">
        <f t="shared" si="1"/>
        <v>0</v>
      </c>
      <c r="S52" s="7"/>
      <c r="T52" s="5"/>
    </row>
    <row r="53" ht="15.75" customHeight="1">
      <c r="A53" s="7"/>
      <c r="C53" s="5"/>
      <c r="E53" s="5" t="str">
        <f>IFERROR(VLOOKUP(D53,'Order Flow'!$A$4:$Q$103,3,FALSE),"")</f>
        <v/>
      </c>
      <c r="F53" s="5" t="str">
        <f>IFERROR(VLOOKUP(D53,'Order Flow'!$A$4:$Q$103,5,FALSE),"")</f>
        <v/>
      </c>
      <c r="G53" s="5" t="str">
        <f>IFERROR(VLOOKUP(D53,'Order Flow'!$A$4:$Q$103,6,FALSE),"")</f>
        <v/>
      </c>
      <c r="H53" s="5"/>
      <c r="I53" s="5"/>
      <c r="K53" s="5"/>
      <c r="O53" s="8">
        <f t="shared" si="1"/>
        <v>0</v>
      </c>
      <c r="S53" s="7"/>
      <c r="T53" s="5"/>
    </row>
    <row r="54" ht="15.75" customHeight="1">
      <c r="A54" s="7"/>
      <c r="C54" s="5"/>
      <c r="E54" s="5" t="str">
        <f>IFERROR(VLOOKUP(D54,'Order Flow'!$A$4:$Q$103,3,FALSE),"")</f>
        <v/>
      </c>
      <c r="F54" s="5" t="str">
        <f>IFERROR(VLOOKUP(D54,'Order Flow'!$A$4:$Q$103,5,FALSE),"")</f>
        <v/>
      </c>
      <c r="G54" s="5" t="str">
        <f>IFERROR(VLOOKUP(D54,'Order Flow'!$A$4:$Q$103,6,FALSE),"")</f>
        <v/>
      </c>
      <c r="H54" s="5"/>
      <c r="I54" s="5"/>
      <c r="K54" s="5"/>
      <c r="O54" s="8">
        <f t="shared" si="1"/>
        <v>0</v>
      </c>
      <c r="S54" s="7"/>
      <c r="T54" s="5"/>
    </row>
    <row r="55" ht="15.75" customHeight="1">
      <c r="A55" s="7"/>
      <c r="C55" s="5"/>
      <c r="E55" s="5" t="str">
        <f>IFERROR(VLOOKUP(D55,'Order Flow'!$A$4:$Q$103,3,FALSE),"")</f>
        <v/>
      </c>
      <c r="F55" s="5" t="str">
        <f>IFERROR(VLOOKUP(D55,'Order Flow'!$A$4:$Q$103,5,FALSE),"")</f>
        <v/>
      </c>
      <c r="G55" s="5" t="str">
        <f>IFERROR(VLOOKUP(D55,'Order Flow'!$A$4:$Q$103,6,FALSE),"")</f>
        <v/>
      </c>
      <c r="H55" s="5"/>
      <c r="I55" s="5"/>
      <c r="K55" s="5"/>
      <c r="O55" s="8">
        <f t="shared" si="1"/>
        <v>0</v>
      </c>
      <c r="S55" s="7"/>
      <c r="T55" s="5"/>
    </row>
    <row r="56" ht="15.75" customHeight="1">
      <c r="A56" s="7"/>
      <c r="C56" s="5"/>
      <c r="E56" s="5" t="str">
        <f>IFERROR(VLOOKUP(D56,'Order Flow'!$A$4:$Q$103,3,FALSE),"")</f>
        <v/>
      </c>
      <c r="F56" s="5" t="str">
        <f>IFERROR(VLOOKUP(D56,'Order Flow'!$A$4:$Q$103,5,FALSE),"")</f>
        <v/>
      </c>
      <c r="G56" s="5" t="str">
        <f>IFERROR(VLOOKUP(D56,'Order Flow'!$A$4:$Q$103,6,FALSE),"")</f>
        <v/>
      </c>
      <c r="H56" s="5"/>
      <c r="I56" s="5"/>
      <c r="K56" s="5"/>
      <c r="O56" s="8">
        <f t="shared" si="1"/>
        <v>0</v>
      </c>
      <c r="S56" s="7"/>
      <c r="T56" s="5"/>
    </row>
    <row r="57" ht="15.75" customHeight="1">
      <c r="A57" s="7"/>
      <c r="C57" s="5"/>
      <c r="E57" s="5" t="str">
        <f>IFERROR(VLOOKUP(D57,'Order Flow'!$A$4:$Q$103,3,FALSE),"")</f>
        <v/>
      </c>
      <c r="F57" s="5" t="str">
        <f>IFERROR(VLOOKUP(D57,'Order Flow'!$A$4:$Q$103,5,FALSE),"")</f>
        <v/>
      </c>
      <c r="G57" s="5" t="str">
        <f>IFERROR(VLOOKUP(D57,'Order Flow'!$A$4:$Q$103,6,FALSE),"")</f>
        <v/>
      </c>
      <c r="H57" s="5"/>
      <c r="I57" s="5"/>
      <c r="K57" s="5"/>
      <c r="O57" s="8">
        <f t="shared" si="1"/>
        <v>0</v>
      </c>
      <c r="S57" s="7"/>
      <c r="T57" s="5"/>
    </row>
    <row r="58" ht="15.75" customHeight="1">
      <c r="A58" s="7"/>
      <c r="C58" s="5"/>
      <c r="E58" s="5" t="str">
        <f>IFERROR(VLOOKUP(D58,'Order Flow'!$A$4:$Q$103,3,FALSE),"")</f>
        <v/>
      </c>
      <c r="F58" s="5" t="str">
        <f>IFERROR(VLOOKUP(D58,'Order Flow'!$A$4:$Q$103,5,FALSE),"")</f>
        <v/>
      </c>
      <c r="G58" s="5" t="str">
        <f>IFERROR(VLOOKUP(D58,'Order Flow'!$A$4:$Q$103,6,FALSE),"")</f>
        <v/>
      </c>
      <c r="H58" s="5"/>
      <c r="I58" s="5"/>
      <c r="K58" s="5"/>
      <c r="O58" s="8">
        <f t="shared" si="1"/>
        <v>0</v>
      </c>
      <c r="S58" s="7"/>
      <c r="T58" s="5"/>
    </row>
    <row r="59" ht="15.75" customHeight="1">
      <c r="A59" s="7"/>
      <c r="C59" s="5"/>
      <c r="E59" s="5" t="str">
        <f>IFERROR(VLOOKUP(D59,'Order Flow'!$A$4:$Q$103,3,FALSE),"")</f>
        <v/>
      </c>
      <c r="F59" s="5" t="str">
        <f>IFERROR(VLOOKUP(D59,'Order Flow'!$A$4:$Q$103,5,FALSE),"")</f>
        <v/>
      </c>
      <c r="G59" s="5" t="str">
        <f>IFERROR(VLOOKUP(D59,'Order Flow'!$A$4:$Q$103,6,FALSE),"")</f>
        <v/>
      </c>
      <c r="H59" s="5"/>
      <c r="I59" s="5"/>
      <c r="K59" s="5"/>
      <c r="O59" s="8">
        <f t="shared" si="1"/>
        <v>0</v>
      </c>
      <c r="S59" s="7"/>
      <c r="T59" s="5"/>
    </row>
    <row r="60" ht="15.75" customHeight="1">
      <c r="A60" s="7"/>
      <c r="C60" s="5"/>
      <c r="E60" s="5" t="str">
        <f>IFERROR(VLOOKUP(D60,'Order Flow'!$A$4:$Q$103,3,FALSE),"")</f>
        <v/>
      </c>
      <c r="F60" s="5" t="str">
        <f>IFERROR(VLOOKUP(D60,'Order Flow'!$A$4:$Q$103,5,FALSE),"")</f>
        <v/>
      </c>
      <c r="G60" s="5" t="str">
        <f>IFERROR(VLOOKUP(D60,'Order Flow'!$A$4:$Q$103,6,FALSE),"")</f>
        <v/>
      </c>
      <c r="H60" s="5"/>
      <c r="I60" s="5"/>
      <c r="K60" s="5"/>
      <c r="O60" s="8">
        <f t="shared" si="1"/>
        <v>0</v>
      </c>
      <c r="S60" s="7"/>
      <c r="T60" s="5"/>
    </row>
    <row r="61" ht="15.75" customHeight="1">
      <c r="A61" s="7"/>
      <c r="C61" s="5"/>
      <c r="E61" s="5" t="str">
        <f>IFERROR(VLOOKUP(D61,'Order Flow'!$A$4:$Q$103,3,FALSE),"")</f>
        <v/>
      </c>
      <c r="F61" s="5" t="str">
        <f>IFERROR(VLOOKUP(D61,'Order Flow'!$A$4:$Q$103,5,FALSE),"")</f>
        <v/>
      </c>
      <c r="G61" s="5" t="str">
        <f>IFERROR(VLOOKUP(D61,'Order Flow'!$A$4:$Q$103,6,FALSE),"")</f>
        <v/>
      </c>
      <c r="H61" s="5"/>
      <c r="I61" s="5"/>
      <c r="K61" s="5"/>
      <c r="O61" s="8">
        <f t="shared" si="1"/>
        <v>0</v>
      </c>
      <c r="S61" s="7"/>
      <c r="T61" s="5"/>
    </row>
    <row r="62" ht="15.75" customHeight="1">
      <c r="A62" s="7"/>
      <c r="C62" s="5"/>
      <c r="E62" s="5" t="str">
        <f>IFERROR(VLOOKUP(D62,'Order Flow'!$A$4:$Q$103,3,FALSE),"")</f>
        <v/>
      </c>
      <c r="F62" s="5" t="str">
        <f>IFERROR(VLOOKUP(D62,'Order Flow'!$A$4:$Q$103,5,FALSE),"")</f>
        <v/>
      </c>
      <c r="G62" s="5" t="str">
        <f>IFERROR(VLOOKUP(D62,'Order Flow'!$A$4:$Q$103,6,FALSE),"")</f>
        <v/>
      </c>
      <c r="H62" s="5"/>
      <c r="I62" s="5"/>
      <c r="K62" s="5"/>
      <c r="O62" s="8">
        <f t="shared" si="1"/>
        <v>0</v>
      </c>
      <c r="S62" s="7"/>
      <c r="T62" s="5"/>
    </row>
    <row r="63" ht="15.75" customHeight="1">
      <c r="A63" s="7"/>
      <c r="C63" s="5"/>
      <c r="E63" s="5" t="str">
        <f>IFERROR(VLOOKUP(D63,'Order Flow'!$A$4:$Q$103,3,FALSE),"")</f>
        <v/>
      </c>
      <c r="F63" s="5" t="str">
        <f>IFERROR(VLOOKUP(D63,'Order Flow'!$A$4:$Q$103,5,FALSE),"")</f>
        <v/>
      </c>
      <c r="G63" s="5" t="str">
        <f>IFERROR(VLOOKUP(D63,'Order Flow'!$A$4:$Q$103,6,FALSE),"")</f>
        <v/>
      </c>
      <c r="H63" s="5"/>
      <c r="I63" s="5"/>
      <c r="K63" s="5"/>
      <c r="O63" s="8">
        <f t="shared" si="1"/>
        <v>0</v>
      </c>
      <c r="S63" s="7"/>
      <c r="T63" s="5"/>
    </row>
    <row r="64" ht="15.75" customHeight="1">
      <c r="A64" s="7"/>
      <c r="C64" s="5"/>
      <c r="E64" s="5" t="str">
        <f>IFERROR(VLOOKUP(D64,'Order Flow'!$A$4:$Q$103,3,FALSE),"")</f>
        <v/>
      </c>
      <c r="F64" s="5" t="str">
        <f>IFERROR(VLOOKUP(D64,'Order Flow'!$A$4:$Q$103,5,FALSE),"")</f>
        <v/>
      </c>
      <c r="G64" s="5" t="str">
        <f>IFERROR(VLOOKUP(D64,'Order Flow'!$A$4:$Q$103,6,FALSE),"")</f>
        <v/>
      </c>
      <c r="H64" s="5"/>
      <c r="I64" s="5"/>
      <c r="K64" s="5"/>
      <c r="O64" s="8">
        <f t="shared" si="1"/>
        <v>0</v>
      </c>
      <c r="S64" s="7"/>
      <c r="T64" s="5"/>
    </row>
    <row r="65" ht="15.75" customHeight="1">
      <c r="A65" s="7"/>
      <c r="C65" s="5"/>
      <c r="E65" s="5" t="str">
        <f>IFERROR(VLOOKUP(D65,'Order Flow'!$A$4:$Q$103,3,FALSE),"")</f>
        <v/>
      </c>
      <c r="F65" s="5" t="str">
        <f>IFERROR(VLOOKUP(D65,'Order Flow'!$A$4:$Q$103,5,FALSE),"")</f>
        <v/>
      </c>
      <c r="G65" s="5" t="str">
        <f>IFERROR(VLOOKUP(D65,'Order Flow'!$A$4:$Q$103,6,FALSE),"")</f>
        <v/>
      </c>
      <c r="H65" s="5"/>
      <c r="I65" s="5"/>
      <c r="K65" s="5"/>
      <c r="O65" s="8">
        <f t="shared" si="1"/>
        <v>0</v>
      </c>
      <c r="S65" s="7"/>
      <c r="T65" s="5"/>
    </row>
    <row r="66" ht="15.75" customHeight="1">
      <c r="A66" s="7"/>
      <c r="C66" s="5"/>
      <c r="E66" s="5" t="str">
        <f>IFERROR(VLOOKUP(D66,'Order Flow'!$A$4:$Q$103,3,FALSE),"")</f>
        <v/>
      </c>
      <c r="F66" s="5" t="str">
        <f>IFERROR(VLOOKUP(D66,'Order Flow'!$A$4:$Q$103,5,FALSE),"")</f>
        <v/>
      </c>
      <c r="G66" s="5" t="str">
        <f>IFERROR(VLOOKUP(D66,'Order Flow'!$A$4:$Q$103,6,FALSE),"")</f>
        <v/>
      </c>
      <c r="H66" s="5"/>
      <c r="I66" s="5"/>
      <c r="K66" s="5"/>
      <c r="O66" s="8">
        <f t="shared" si="1"/>
        <v>0</v>
      </c>
      <c r="S66" s="7"/>
      <c r="T66" s="5"/>
    </row>
    <row r="67" ht="15.75" customHeight="1">
      <c r="A67" s="7"/>
      <c r="C67" s="5"/>
      <c r="E67" s="5" t="str">
        <f>IFERROR(VLOOKUP(D67,'Order Flow'!$A$4:$Q$103,3,FALSE),"")</f>
        <v/>
      </c>
      <c r="F67" s="5" t="str">
        <f>IFERROR(VLOOKUP(D67,'Order Flow'!$A$4:$Q$103,5,FALSE),"")</f>
        <v/>
      </c>
      <c r="G67" s="5" t="str">
        <f>IFERROR(VLOOKUP(D67,'Order Flow'!$A$4:$Q$103,6,FALSE),"")</f>
        <v/>
      </c>
      <c r="H67" s="5"/>
      <c r="I67" s="5"/>
      <c r="K67" s="5"/>
      <c r="O67" s="8">
        <f t="shared" si="1"/>
        <v>0</v>
      </c>
      <c r="S67" s="7"/>
      <c r="T67" s="5"/>
    </row>
    <row r="68" ht="15.75" customHeight="1">
      <c r="A68" s="7"/>
      <c r="C68" s="5"/>
      <c r="E68" s="5" t="str">
        <f>IFERROR(VLOOKUP(D68,'Order Flow'!$A$4:$Q$103,3,FALSE),"")</f>
        <v/>
      </c>
      <c r="F68" s="5" t="str">
        <f>IFERROR(VLOOKUP(D68,'Order Flow'!$A$4:$Q$103,5,FALSE),"")</f>
        <v/>
      </c>
      <c r="G68" s="5" t="str">
        <f>IFERROR(VLOOKUP(D68,'Order Flow'!$A$4:$Q$103,6,FALSE),"")</f>
        <v/>
      </c>
      <c r="H68" s="5"/>
      <c r="I68" s="5"/>
      <c r="K68" s="5"/>
      <c r="O68" s="8">
        <f t="shared" si="1"/>
        <v>0</v>
      </c>
      <c r="S68" s="7"/>
      <c r="T68" s="5"/>
    </row>
    <row r="69" ht="15.75" customHeight="1">
      <c r="A69" s="7"/>
      <c r="C69" s="5"/>
      <c r="E69" s="5" t="str">
        <f>IFERROR(VLOOKUP(D69,'Order Flow'!$A$4:$Q$103,3,FALSE),"")</f>
        <v/>
      </c>
      <c r="F69" s="5" t="str">
        <f>IFERROR(VLOOKUP(D69,'Order Flow'!$A$4:$Q$103,5,FALSE),"")</f>
        <v/>
      </c>
      <c r="G69" s="5" t="str">
        <f>IFERROR(VLOOKUP(D69,'Order Flow'!$A$4:$Q$103,6,FALSE),"")</f>
        <v/>
      </c>
      <c r="H69" s="5"/>
      <c r="I69" s="5"/>
      <c r="K69" s="5"/>
      <c r="O69" s="8">
        <f t="shared" si="1"/>
        <v>0</v>
      </c>
      <c r="S69" s="7"/>
      <c r="T69" s="5"/>
    </row>
    <row r="70" ht="15.75" customHeight="1">
      <c r="A70" s="7"/>
      <c r="C70" s="5"/>
      <c r="E70" s="5" t="str">
        <f>IFERROR(VLOOKUP(D70,'Order Flow'!$A$4:$Q$103,3,FALSE),"")</f>
        <v/>
      </c>
      <c r="F70" s="5" t="str">
        <f>IFERROR(VLOOKUP(D70,'Order Flow'!$A$4:$Q$103,5,FALSE),"")</f>
        <v/>
      </c>
      <c r="G70" s="5" t="str">
        <f>IFERROR(VLOOKUP(D70,'Order Flow'!$A$4:$Q$103,6,FALSE),"")</f>
        <v/>
      </c>
      <c r="H70" s="5"/>
      <c r="I70" s="5"/>
      <c r="K70" s="5"/>
      <c r="O70" s="8">
        <f t="shared" si="1"/>
        <v>0</v>
      </c>
      <c r="S70" s="7"/>
      <c r="T70" s="5"/>
    </row>
    <row r="71" ht="15.75" customHeight="1">
      <c r="A71" s="7"/>
      <c r="C71" s="5"/>
      <c r="E71" s="5" t="str">
        <f>IFERROR(VLOOKUP(D71,'Order Flow'!$A$4:$Q$103,3,FALSE),"")</f>
        <v/>
      </c>
      <c r="F71" s="5" t="str">
        <f>IFERROR(VLOOKUP(D71,'Order Flow'!$A$4:$Q$103,5,FALSE),"")</f>
        <v/>
      </c>
      <c r="G71" s="5" t="str">
        <f>IFERROR(VLOOKUP(D71,'Order Flow'!$A$4:$Q$103,6,FALSE),"")</f>
        <v/>
      </c>
      <c r="H71" s="5"/>
      <c r="I71" s="5"/>
      <c r="K71" s="5"/>
      <c r="O71" s="8">
        <f t="shared" si="1"/>
        <v>0</v>
      </c>
      <c r="S71" s="7"/>
      <c r="T71" s="5"/>
    </row>
    <row r="72" ht="15.75" customHeight="1">
      <c r="A72" s="7"/>
      <c r="C72" s="5"/>
      <c r="E72" s="5" t="str">
        <f>IFERROR(VLOOKUP(D72,'Order Flow'!$A$4:$Q$103,3,FALSE),"")</f>
        <v/>
      </c>
      <c r="F72" s="5" t="str">
        <f>IFERROR(VLOOKUP(D72,'Order Flow'!$A$4:$Q$103,5,FALSE),"")</f>
        <v/>
      </c>
      <c r="G72" s="5" t="str">
        <f>IFERROR(VLOOKUP(D72,'Order Flow'!$A$4:$Q$103,6,FALSE),"")</f>
        <v/>
      </c>
      <c r="H72" s="5"/>
      <c r="I72" s="5"/>
      <c r="K72" s="5"/>
      <c r="O72" s="8">
        <f t="shared" si="1"/>
        <v>0</v>
      </c>
      <c r="S72" s="7"/>
      <c r="T72" s="5"/>
    </row>
    <row r="73" ht="15.75" customHeight="1">
      <c r="A73" s="7"/>
      <c r="C73" s="5"/>
      <c r="E73" s="5" t="str">
        <f>IFERROR(VLOOKUP(D73,'Order Flow'!$A$4:$Q$103,3,FALSE),"")</f>
        <v/>
      </c>
      <c r="F73" s="5" t="str">
        <f>IFERROR(VLOOKUP(D73,'Order Flow'!$A$4:$Q$103,5,FALSE),"")</f>
        <v/>
      </c>
      <c r="G73" s="5" t="str">
        <f>IFERROR(VLOOKUP(D73,'Order Flow'!$A$4:$Q$103,6,FALSE),"")</f>
        <v/>
      </c>
      <c r="H73" s="5"/>
      <c r="I73" s="5"/>
      <c r="K73" s="5"/>
      <c r="O73" s="8">
        <f t="shared" si="1"/>
        <v>0</v>
      </c>
      <c r="S73" s="7"/>
      <c r="T73" s="5"/>
    </row>
    <row r="74" ht="15.75" customHeight="1">
      <c r="A74" s="7"/>
      <c r="C74" s="5"/>
      <c r="E74" s="5" t="str">
        <f>IFERROR(VLOOKUP(D74,'Order Flow'!$A$4:$Q$103,3,FALSE),"")</f>
        <v/>
      </c>
      <c r="F74" s="5" t="str">
        <f>IFERROR(VLOOKUP(D74,'Order Flow'!$A$4:$Q$103,5,FALSE),"")</f>
        <v/>
      </c>
      <c r="G74" s="5" t="str">
        <f>IFERROR(VLOOKUP(D74,'Order Flow'!$A$4:$Q$103,6,FALSE),"")</f>
        <v/>
      </c>
      <c r="H74" s="5"/>
      <c r="I74" s="5"/>
      <c r="K74" s="5"/>
      <c r="O74" s="8">
        <f t="shared" si="1"/>
        <v>0</v>
      </c>
      <c r="S74" s="7"/>
      <c r="T74" s="5"/>
    </row>
    <row r="75" ht="15.75" customHeight="1">
      <c r="A75" s="7"/>
      <c r="C75" s="5"/>
      <c r="E75" s="5" t="str">
        <f>IFERROR(VLOOKUP(D75,'Order Flow'!$A$4:$Q$103,3,FALSE),"")</f>
        <v/>
      </c>
      <c r="F75" s="5" t="str">
        <f>IFERROR(VLOOKUP(D75,'Order Flow'!$A$4:$Q$103,5,FALSE),"")</f>
        <v/>
      </c>
      <c r="G75" s="5" t="str">
        <f>IFERROR(VLOOKUP(D75,'Order Flow'!$A$4:$Q$103,6,FALSE),"")</f>
        <v/>
      </c>
      <c r="H75" s="5"/>
      <c r="I75" s="5"/>
      <c r="K75" s="5"/>
      <c r="O75" s="8">
        <f t="shared" si="1"/>
        <v>0</v>
      </c>
      <c r="S75" s="7"/>
      <c r="T75" s="5"/>
    </row>
    <row r="76" ht="15.75" customHeight="1">
      <c r="A76" s="7"/>
      <c r="C76" s="5"/>
      <c r="E76" s="5" t="str">
        <f>IFERROR(VLOOKUP(D76,'Order Flow'!$A$4:$Q$103,3,FALSE),"")</f>
        <v/>
      </c>
      <c r="F76" s="5" t="str">
        <f>IFERROR(VLOOKUP(D76,'Order Flow'!$A$4:$Q$103,5,FALSE),"")</f>
        <v/>
      </c>
      <c r="G76" s="5" t="str">
        <f>IFERROR(VLOOKUP(D76,'Order Flow'!$A$4:$Q$103,6,FALSE),"")</f>
        <v/>
      </c>
      <c r="H76" s="5"/>
      <c r="I76" s="5"/>
      <c r="K76" s="5"/>
      <c r="O76" s="8">
        <f t="shared" si="1"/>
        <v>0</v>
      </c>
      <c r="S76" s="7"/>
      <c r="T76" s="5"/>
    </row>
    <row r="77" ht="15.75" customHeight="1">
      <c r="A77" s="7"/>
      <c r="C77" s="5"/>
      <c r="E77" s="5" t="str">
        <f>IFERROR(VLOOKUP(D77,'Order Flow'!$A$4:$Q$103,3,FALSE),"")</f>
        <v/>
      </c>
      <c r="F77" s="5" t="str">
        <f>IFERROR(VLOOKUP(D77,'Order Flow'!$A$4:$Q$103,5,FALSE),"")</f>
        <v/>
      </c>
      <c r="G77" s="5" t="str">
        <f>IFERROR(VLOOKUP(D77,'Order Flow'!$A$4:$Q$103,6,FALSE),"")</f>
        <v/>
      </c>
      <c r="H77" s="5"/>
      <c r="I77" s="5"/>
      <c r="K77" s="5"/>
      <c r="O77" s="8">
        <f t="shared" si="1"/>
        <v>0</v>
      </c>
      <c r="S77" s="7"/>
      <c r="T77" s="5"/>
    </row>
    <row r="78" ht="15.75" customHeight="1">
      <c r="A78" s="7"/>
      <c r="C78" s="5"/>
      <c r="E78" s="5" t="str">
        <f>IFERROR(VLOOKUP(D78,'Order Flow'!$A$4:$Q$103,3,FALSE),"")</f>
        <v/>
      </c>
      <c r="F78" s="5" t="str">
        <f>IFERROR(VLOOKUP(D78,'Order Flow'!$A$4:$Q$103,5,FALSE),"")</f>
        <v/>
      </c>
      <c r="G78" s="5" t="str">
        <f>IFERROR(VLOOKUP(D78,'Order Flow'!$A$4:$Q$103,6,FALSE),"")</f>
        <v/>
      </c>
      <c r="H78" s="5"/>
      <c r="I78" s="5"/>
      <c r="K78" s="5"/>
      <c r="O78" s="8">
        <f t="shared" si="1"/>
        <v>0</v>
      </c>
      <c r="S78" s="7"/>
      <c r="T78" s="5"/>
    </row>
    <row r="79" ht="15.75" customHeight="1">
      <c r="A79" s="7"/>
      <c r="C79" s="5"/>
      <c r="E79" s="5" t="str">
        <f>IFERROR(VLOOKUP(D79,'Order Flow'!$A$4:$Q$103,3,FALSE),"")</f>
        <v/>
      </c>
      <c r="F79" s="5" t="str">
        <f>IFERROR(VLOOKUP(D79,'Order Flow'!$A$4:$Q$103,5,FALSE),"")</f>
        <v/>
      </c>
      <c r="G79" s="5" t="str">
        <f>IFERROR(VLOOKUP(D79,'Order Flow'!$A$4:$Q$103,6,FALSE),"")</f>
        <v/>
      </c>
      <c r="H79" s="5"/>
      <c r="I79" s="5"/>
      <c r="K79" s="5"/>
      <c r="O79" s="8">
        <f t="shared" si="1"/>
        <v>0</v>
      </c>
      <c r="S79" s="7"/>
      <c r="T79" s="5"/>
    </row>
    <row r="80" ht="15.75" customHeight="1">
      <c r="A80" s="7"/>
      <c r="C80" s="5"/>
      <c r="E80" s="5" t="str">
        <f>IFERROR(VLOOKUP(D80,'Order Flow'!$A$4:$Q$103,3,FALSE),"")</f>
        <v/>
      </c>
      <c r="F80" s="5" t="str">
        <f>IFERROR(VLOOKUP(D80,'Order Flow'!$A$4:$Q$103,5,FALSE),"")</f>
        <v/>
      </c>
      <c r="G80" s="5" t="str">
        <f>IFERROR(VLOOKUP(D80,'Order Flow'!$A$4:$Q$103,6,FALSE),"")</f>
        <v/>
      </c>
      <c r="H80" s="5"/>
      <c r="I80" s="5"/>
      <c r="K80" s="5"/>
      <c r="O80" s="8">
        <f t="shared" si="1"/>
        <v>0</v>
      </c>
      <c r="S80" s="7"/>
      <c r="T80" s="5"/>
    </row>
    <row r="81" ht="15.75" customHeight="1">
      <c r="A81" s="7"/>
      <c r="C81" s="5"/>
      <c r="E81" s="5" t="str">
        <f>IFERROR(VLOOKUP(D81,'Order Flow'!$A$4:$Q$103,3,FALSE),"")</f>
        <v/>
      </c>
      <c r="F81" s="5" t="str">
        <f>IFERROR(VLOOKUP(D81,'Order Flow'!$A$4:$Q$103,5,FALSE),"")</f>
        <v/>
      </c>
      <c r="G81" s="5" t="str">
        <f>IFERROR(VLOOKUP(D81,'Order Flow'!$A$4:$Q$103,6,FALSE),"")</f>
        <v/>
      </c>
      <c r="H81" s="5"/>
      <c r="I81" s="5"/>
      <c r="K81" s="5"/>
      <c r="O81" s="8">
        <f t="shared" si="1"/>
        <v>0</v>
      </c>
      <c r="S81" s="7"/>
      <c r="T81" s="5"/>
    </row>
    <row r="82" ht="15.75" customHeight="1">
      <c r="A82" s="7"/>
      <c r="C82" s="5"/>
      <c r="E82" s="5" t="str">
        <f>IFERROR(VLOOKUP(D82,'Order Flow'!$A$4:$Q$103,3,FALSE),"")</f>
        <v/>
      </c>
      <c r="F82" s="5" t="str">
        <f>IFERROR(VLOOKUP(D82,'Order Flow'!$A$4:$Q$103,5,FALSE),"")</f>
        <v/>
      </c>
      <c r="G82" s="5" t="str">
        <f>IFERROR(VLOOKUP(D82,'Order Flow'!$A$4:$Q$103,6,FALSE),"")</f>
        <v/>
      </c>
      <c r="H82" s="5"/>
      <c r="I82" s="5"/>
      <c r="K82" s="5"/>
      <c r="O82" s="8">
        <f t="shared" si="1"/>
        <v>0</v>
      </c>
      <c r="S82" s="7"/>
      <c r="T82" s="5"/>
    </row>
    <row r="83" ht="15.75" customHeight="1">
      <c r="A83" s="7"/>
      <c r="C83" s="5"/>
      <c r="E83" s="5" t="str">
        <f>IFERROR(VLOOKUP(D83,'Order Flow'!$A$4:$Q$103,3,FALSE),"")</f>
        <v/>
      </c>
      <c r="F83" s="5" t="str">
        <f>IFERROR(VLOOKUP(D83,'Order Flow'!$A$4:$Q$103,5,FALSE),"")</f>
        <v/>
      </c>
      <c r="G83" s="5" t="str">
        <f>IFERROR(VLOOKUP(D83,'Order Flow'!$A$4:$Q$103,6,FALSE),"")</f>
        <v/>
      </c>
      <c r="H83" s="5"/>
      <c r="I83" s="5"/>
      <c r="K83" s="5"/>
      <c r="O83" s="8">
        <f t="shared" si="1"/>
        <v>0</v>
      </c>
      <c r="S83" s="7"/>
      <c r="T83" s="5"/>
    </row>
    <row r="84" ht="15.75" customHeight="1">
      <c r="A84" s="7"/>
      <c r="C84" s="5"/>
      <c r="E84" s="5" t="str">
        <f>IFERROR(VLOOKUP(D84,'Order Flow'!$A$4:$Q$103,3,FALSE),"")</f>
        <v/>
      </c>
      <c r="F84" s="5" t="str">
        <f>IFERROR(VLOOKUP(D84,'Order Flow'!$A$4:$Q$103,5,FALSE),"")</f>
        <v/>
      </c>
      <c r="G84" s="5" t="str">
        <f>IFERROR(VLOOKUP(D84,'Order Flow'!$A$4:$Q$103,6,FALSE),"")</f>
        <v/>
      </c>
      <c r="H84" s="5"/>
      <c r="I84" s="5"/>
      <c r="K84" s="5"/>
      <c r="O84" s="8">
        <f t="shared" si="1"/>
        <v>0</v>
      </c>
      <c r="S84" s="7"/>
      <c r="T84" s="5"/>
    </row>
    <row r="85" ht="15.75" customHeight="1">
      <c r="A85" s="7"/>
      <c r="C85" s="5"/>
      <c r="E85" s="5" t="str">
        <f>IFERROR(VLOOKUP(D85,'Order Flow'!$A$4:$Q$103,3,FALSE),"")</f>
        <v/>
      </c>
      <c r="F85" s="5" t="str">
        <f>IFERROR(VLOOKUP(D85,'Order Flow'!$A$4:$Q$103,5,FALSE),"")</f>
        <v/>
      </c>
      <c r="G85" s="5" t="str">
        <f>IFERROR(VLOOKUP(D85,'Order Flow'!$A$4:$Q$103,6,FALSE),"")</f>
        <v/>
      </c>
      <c r="H85" s="5"/>
      <c r="I85" s="5"/>
      <c r="K85" s="5"/>
      <c r="O85" s="8">
        <f t="shared" si="1"/>
        <v>0</v>
      </c>
      <c r="S85" s="7"/>
      <c r="T85" s="5"/>
    </row>
    <row r="86" ht="15.75" customHeight="1">
      <c r="A86" s="7"/>
      <c r="C86" s="5"/>
      <c r="E86" s="5" t="str">
        <f>IFERROR(VLOOKUP(D86,'Order Flow'!$A$4:$Q$103,3,FALSE),"")</f>
        <v/>
      </c>
      <c r="F86" s="5" t="str">
        <f>IFERROR(VLOOKUP(D86,'Order Flow'!$A$4:$Q$103,5,FALSE),"")</f>
        <v/>
      </c>
      <c r="G86" s="5" t="str">
        <f>IFERROR(VLOOKUP(D86,'Order Flow'!$A$4:$Q$103,6,FALSE),"")</f>
        <v/>
      </c>
      <c r="H86" s="5"/>
      <c r="I86" s="5"/>
      <c r="K86" s="5"/>
      <c r="O86" s="8">
        <f t="shared" si="1"/>
        <v>0</v>
      </c>
      <c r="S86" s="7"/>
      <c r="T86" s="5"/>
    </row>
    <row r="87" ht="15.75" customHeight="1">
      <c r="A87" s="7"/>
      <c r="C87" s="5"/>
      <c r="E87" s="5" t="str">
        <f>IFERROR(VLOOKUP(D87,'Order Flow'!$A$4:$Q$103,3,FALSE),"")</f>
        <v/>
      </c>
      <c r="F87" s="5" t="str">
        <f>IFERROR(VLOOKUP(D87,'Order Flow'!$A$4:$Q$103,5,FALSE),"")</f>
        <v/>
      </c>
      <c r="G87" s="5" t="str">
        <f>IFERROR(VLOOKUP(D87,'Order Flow'!$A$4:$Q$103,6,FALSE),"")</f>
        <v/>
      </c>
      <c r="H87" s="5"/>
      <c r="I87" s="5"/>
      <c r="K87" s="5"/>
      <c r="O87" s="8">
        <f t="shared" si="1"/>
        <v>0</v>
      </c>
      <c r="S87" s="7"/>
      <c r="T87" s="5"/>
    </row>
    <row r="88" ht="15.75" customHeight="1">
      <c r="A88" s="7"/>
      <c r="C88" s="5"/>
      <c r="E88" s="5" t="str">
        <f>IFERROR(VLOOKUP(D88,'Order Flow'!$A$4:$Q$103,3,FALSE),"")</f>
        <v/>
      </c>
      <c r="F88" s="5" t="str">
        <f>IFERROR(VLOOKUP(D88,'Order Flow'!$A$4:$Q$103,5,FALSE),"")</f>
        <v/>
      </c>
      <c r="G88" s="5" t="str">
        <f>IFERROR(VLOOKUP(D88,'Order Flow'!$A$4:$Q$103,6,FALSE),"")</f>
        <v/>
      </c>
      <c r="H88" s="5"/>
      <c r="I88" s="5"/>
      <c r="K88" s="5"/>
      <c r="O88" s="8">
        <f t="shared" si="1"/>
        <v>0</v>
      </c>
      <c r="S88" s="7"/>
      <c r="T88" s="5"/>
    </row>
    <row r="89" ht="15.75" customHeight="1">
      <c r="A89" s="7"/>
      <c r="C89" s="5"/>
      <c r="E89" s="5" t="str">
        <f>IFERROR(VLOOKUP(D89,'Order Flow'!$A$4:$Q$103,3,FALSE),"")</f>
        <v/>
      </c>
      <c r="F89" s="5" t="str">
        <f>IFERROR(VLOOKUP(D89,'Order Flow'!$A$4:$Q$103,5,FALSE),"")</f>
        <v/>
      </c>
      <c r="G89" s="5" t="str">
        <f>IFERROR(VLOOKUP(D89,'Order Flow'!$A$4:$Q$103,6,FALSE),"")</f>
        <v/>
      </c>
      <c r="H89" s="5"/>
      <c r="I89" s="5"/>
      <c r="K89" s="5"/>
      <c r="O89" s="8">
        <f t="shared" si="1"/>
        <v>0</v>
      </c>
      <c r="S89" s="7"/>
      <c r="T89" s="5"/>
    </row>
    <row r="90" ht="15.75" customHeight="1">
      <c r="A90" s="7"/>
      <c r="C90" s="5"/>
      <c r="E90" s="5" t="str">
        <f>IFERROR(VLOOKUP(D90,'Order Flow'!$A$4:$Q$103,3,FALSE),"")</f>
        <v/>
      </c>
      <c r="F90" s="5" t="str">
        <f>IFERROR(VLOOKUP(D90,'Order Flow'!$A$4:$Q$103,5,FALSE),"")</f>
        <v/>
      </c>
      <c r="G90" s="5" t="str">
        <f>IFERROR(VLOOKUP(D90,'Order Flow'!$A$4:$Q$103,6,FALSE),"")</f>
        <v/>
      </c>
      <c r="H90" s="5"/>
      <c r="I90" s="5"/>
      <c r="K90" s="5"/>
      <c r="O90" s="8">
        <f t="shared" si="1"/>
        <v>0</v>
      </c>
      <c r="S90" s="7"/>
      <c r="T90" s="5"/>
    </row>
    <row r="91" ht="15.75" customHeight="1">
      <c r="A91" s="7"/>
      <c r="C91" s="5"/>
      <c r="E91" s="5" t="str">
        <f>IFERROR(VLOOKUP(D91,'Order Flow'!$A$4:$Q$103,3,FALSE),"")</f>
        <v/>
      </c>
      <c r="F91" s="5" t="str">
        <f>IFERROR(VLOOKUP(D91,'Order Flow'!$A$4:$Q$103,5,FALSE),"")</f>
        <v/>
      </c>
      <c r="G91" s="5" t="str">
        <f>IFERROR(VLOOKUP(D91,'Order Flow'!$A$4:$Q$103,6,FALSE),"")</f>
        <v/>
      </c>
      <c r="H91" s="5"/>
      <c r="I91" s="5"/>
      <c r="K91" s="5"/>
      <c r="O91" s="8">
        <f t="shared" si="1"/>
        <v>0</v>
      </c>
      <c r="S91" s="7"/>
      <c r="T91" s="5"/>
    </row>
    <row r="92" ht="15.75" customHeight="1">
      <c r="A92" s="7"/>
      <c r="C92" s="5"/>
      <c r="E92" s="5" t="str">
        <f>IFERROR(VLOOKUP(D92,'Order Flow'!$A$4:$Q$103,3,FALSE),"")</f>
        <v/>
      </c>
      <c r="F92" s="5" t="str">
        <f>IFERROR(VLOOKUP(D92,'Order Flow'!$A$4:$Q$103,5,FALSE),"")</f>
        <v/>
      </c>
      <c r="G92" s="5" t="str">
        <f>IFERROR(VLOOKUP(D92,'Order Flow'!$A$4:$Q$103,6,FALSE),"")</f>
        <v/>
      </c>
      <c r="H92" s="5"/>
      <c r="I92" s="5"/>
      <c r="K92" s="5"/>
      <c r="O92" s="8">
        <f t="shared" si="1"/>
        <v>0</v>
      </c>
      <c r="S92" s="7"/>
      <c r="T92" s="5"/>
    </row>
    <row r="93" ht="15.75" customHeight="1">
      <c r="A93" s="7"/>
      <c r="C93" s="5"/>
      <c r="E93" s="5" t="str">
        <f>IFERROR(VLOOKUP(D93,'Order Flow'!$A$4:$Q$103,3,FALSE),"")</f>
        <v/>
      </c>
      <c r="F93" s="5" t="str">
        <f>IFERROR(VLOOKUP(D93,'Order Flow'!$A$4:$Q$103,5,FALSE),"")</f>
        <v/>
      </c>
      <c r="G93" s="5" t="str">
        <f>IFERROR(VLOOKUP(D93,'Order Flow'!$A$4:$Q$103,6,FALSE),"")</f>
        <v/>
      </c>
      <c r="H93" s="5"/>
      <c r="I93" s="5"/>
      <c r="K93" s="5"/>
      <c r="O93" s="8">
        <f t="shared" si="1"/>
        <v>0</v>
      </c>
      <c r="S93" s="7"/>
      <c r="T93" s="5"/>
    </row>
    <row r="94" ht="15.75" customHeight="1">
      <c r="A94" s="7"/>
      <c r="C94" s="5"/>
      <c r="E94" s="5" t="str">
        <f>IFERROR(VLOOKUP(D94,'Order Flow'!$A$4:$Q$103,3,FALSE),"")</f>
        <v/>
      </c>
      <c r="F94" s="5" t="str">
        <f>IFERROR(VLOOKUP(D94,'Order Flow'!$A$4:$Q$103,5,FALSE),"")</f>
        <v/>
      </c>
      <c r="G94" s="5" t="str">
        <f>IFERROR(VLOOKUP(D94,'Order Flow'!$A$4:$Q$103,6,FALSE),"")</f>
        <v/>
      </c>
      <c r="H94" s="5"/>
      <c r="I94" s="5"/>
      <c r="K94" s="5"/>
      <c r="O94" s="8">
        <f t="shared" si="1"/>
        <v>0</v>
      </c>
      <c r="S94" s="7"/>
      <c r="T94" s="5"/>
    </row>
    <row r="95" ht="15.75" customHeight="1">
      <c r="A95" s="7"/>
      <c r="C95" s="5"/>
      <c r="E95" s="5" t="str">
        <f>IFERROR(VLOOKUP(D95,'Order Flow'!$A$4:$Q$103,3,FALSE),"")</f>
        <v/>
      </c>
      <c r="F95" s="5" t="str">
        <f>IFERROR(VLOOKUP(D95,'Order Flow'!$A$4:$Q$103,5,FALSE),"")</f>
        <v/>
      </c>
      <c r="G95" s="5" t="str">
        <f>IFERROR(VLOOKUP(D95,'Order Flow'!$A$4:$Q$103,6,FALSE),"")</f>
        <v/>
      </c>
      <c r="H95" s="5"/>
      <c r="I95" s="5"/>
      <c r="K95" s="5"/>
      <c r="O95" s="8">
        <f t="shared" si="1"/>
        <v>0</v>
      </c>
      <c r="S95" s="7"/>
      <c r="T95" s="5"/>
    </row>
    <row r="96" ht="15.75" customHeight="1">
      <c r="A96" s="7"/>
      <c r="C96" s="5"/>
      <c r="E96" s="5" t="str">
        <f>IFERROR(VLOOKUP(D96,'Order Flow'!$A$4:$Q$103,3,FALSE),"")</f>
        <v/>
      </c>
      <c r="F96" s="5" t="str">
        <f>IFERROR(VLOOKUP(D96,'Order Flow'!$A$4:$Q$103,5,FALSE),"")</f>
        <v/>
      </c>
      <c r="G96" s="5" t="str">
        <f>IFERROR(VLOOKUP(D96,'Order Flow'!$A$4:$Q$103,6,FALSE),"")</f>
        <v/>
      </c>
      <c r="H96" s="5"/>
      <c r="I96" s="5"/>
      <c r="K96" s="5"/>
      <c r="O96" s="8">
        <f t="shared" si="1"/>
        <v>0</v>
      </c>
      <c r="S96" s="7"/>
      <c r="T96" s="5"/>
    </row>
    <row r="97" ht="15.75" customHeight="1">
      <c r="A97" s="7"/>
      <c r="C97" s="5"/>
      <c r="E97" s="5" t="str">
        <f>IFERROR(VLOOKUP(D97,'Order Flow'!$A$4:$Q$103,3,FALSE),"")</f>
        <v/>
      </c>
      <c r="F97" s="5" t="str">
        <f>IFERROR(VLOOKUP(D97,'Order Flow'!$A$4:$Q$103,5,FALSE),"")</f>
        <v/>
      </c>
      <c r="G97" s="5" t="str">
        <f>IFERROR(VLOOKUP(D97,'Order Flow'!$A$4:$Q$103,6,FALSE),"")</f>
        <v/>
      </c>
      <c r="H97" s="5"/>
      <c r="I97" s="5"/>
      <c r="K97" s="5"/>
      <c r="O97" s="8">
        <f t="shared" si="1"/>
        <v>0</v>
      </c>
      <c r="S97" s="7"/>
      <c r="T97" s="5"/>
    </row>
    <row r="98" ht="15.75" customHeight="1">
      <c r="A98" s="7"/>
      <c r="C98" s="5"/>
      <c r="E98" s="5" t="str">
        <f>IFERROR(VLOOKUP(D98,'Order Flow'!$A$4:$Q$103,3,FALSE),"")</f>
        <v/>
      </c>
      <c r="F98" s="5" t="str">
        <f>IFERROR(VLOOKUP(D98,'Order Flow'!$A$4:$Q$103,5,FALSE),"")</f>
        <v/>
      </c>
      <c r="G98" s="5" t="str">
        <f>IFERROR(VLOOKUP(D98,'Order Flow'!$A$4:$Q$103,6,FALSE),"")</f>
        <v/>
      </c>
      <c r="H98" s="5"/>
      <c r="I98" s="5"/>
      <c r="K98" s="5"/>
      <c r="O98" s="8">
        <f t="shared" si="1"/>
        <v>0</v>
      </c>
      <c r="S98" s="7"/>
      <c r="T98" s="5"/>
    </row>
    <row r="99" ht="15.75" customHeight="1">
      <c r="A99" s="7"/>
      <c r="C99" s="5"/>
      <c r="E99" s="5" t="str">
        <f>IFERROR(VLOOKUP(D99,'Order Flow'!$A$4:$Q$103,3,FALSE),"")</f>
        <v/>
      </c>
      <c r="F99" s="5" t="str">
        <f>IFERROR(VLOOKUP(D99,'Order Flow'!$A$4:$Q$103,5,FALSE),"")</f>
        <v/>
      </c>
      <c r="G99" s="5" t="str">
        <f>IFERROR(VLOOKUP(D99,'Order Flow'!$A$4:$Q$103,6,FALSE),"")</f>
        <v/>
      </c>
      <c r="H99" s="5"/>
      <c r="I99" s="5"/>
      <c r="K99" s="5"/>
      <c r="O99" s="8">
        <f t="shared" si="1"/>
        <v>0</v>
      </c>
      <c r="S99" s="7"/>
      <c r="T99" s="5"/>
    </row>
    <row r="100" ht="15.75" customHeight="1">
      <c r="A100" s="7"/>
      <c r="C100" s="5"/>
      <c r="E100" s="5" t="str">
        <f>IFERROR(VLOOKUP(D100,'Order Flow'!$A$4:$Q$103,3,FALSE),"")</f>
        <v/>
      </c>
      <c r="F100" s="5" t="str">
        <f>IFERROR(VLOOKUP(D100,'Order Flow'!$A$4:$Q$103,5,FALSE),"")</f>
        <v/>
      </c>
      <c r="G100" s="5" t="str">
        <f>IFERROR(VLOOKUP(D100,'Order Flow'!$A$4:$Q$103,6,FALSE),"")</f>
        <v/>
      </c>
      <c r="H100" s="5"/>
      <c r="I100" s="5"/>
      <c r="K100" s="5"/>
      <c r="O100" s="8">
        <f t="shared" si="1"/>
        <v>0</v>
      </c>
      <c r="S100" s="7"/>
      <c r="T100" s="5"/>
    </row>
    <row r="101" ht="15.75" customHeight="1">
      <c r="A101" s="7"/>
      <c r="C101" s="5"/>
      <c r="E101" s="5" t="str">
        <f>IFERROR(VLOOKUP(D101,'Order Flow'!$A$4:$Q$103,3,FALSE),"")</f>
        <v/>
      </c>
      <c r="F101" s="5" t="str">
        <f>IFERROR(VLOOKUP(D101,'Order Flow'!$A$4:$Q$103,5,FALSE),"")</f>
        <v/>
      </c>
      <c r="G101" s="5" t="str">
        <f>IFERROR(VLOOKUP(D101,'Order Flow'!$A$4:$Q$103,6,FALSE),"")</f>
        <v/>
      </c>
      <c r="H101" s="5"/>
      <c r="I101" s="5"/>
      <c r="K101" s="5"/>
      <c r="O101" s="8">
        <f t="shared" si="1"/>
        <v>0</v>
      </c>
      <c r="S101" s="7"/>
      <c r="T101" s="5"/>
    </row>
    <row r="102" ht="15.75" customHeight="1">
      <c r="A102" s="7"/>
      <c r="C102" s="5"/>
      <c r="E102" s="5" t="str">
        <f>IFERROR(VLOOKUP(D102,'Order Flow'!$A$4:$Q$103,3,FALSE),"")</f>
        <v/>
      </c>
      <c r="F102" s="5" t="str">
        <f>IFERROR(VLOOKUP(D102,'Order Flow'!$A$4:$Q$103,5,FALSE),"")</f>
        <v/>
      </c>
      <c r="G102" s="5" t="str">
        <f>IFERROR(VLOOKUP(D102,'Order Flow'!$A$4:$Q$103,6,FALSE),"")</f>
        <v/>
      </c>
      <c r="H102" s="5"/>
      <c r="I102" s="5"/>
      <c r="K102" s="5"/>
      <c r="O102" s="8">
        <f t="shared" si="1"/>
        <v>0</v>
      </c>
      <c r="S102" s="7"/>
      <c r="T102" s="5"/>
    </row>
    <row r="103" ht="15.75" customHeight="1">
      <c r="A103" s="7"/>
      <c r="C103" s="5"/>
      <c r="E103" s="5" t="str">
        <f>IFERROR(VLOOKUP(D103,'Order Flow'!$A$4:$Q$103,3,FALSE),"")</f>
        <v/>
      </c>
      <c r="F103" s="5" t="str">
        <f>IFERROR(VLOOKUP(D103,'Order Flow'!$A$4:$Q$103,5,FALSE),"")</f>
        <v/>
      </c>
      <c r="G103" s="5" t="str">
        <f>IFERROR(VLOOKUP(D103,'Order Flow'!$A$4:$Q$103,6,FALSE),"")</f>
        <v/>
      </c>
      <c r="H103" s="5"/>
      <c r="I103" s="5"/>
      <c r="K103" s="5"/>
      <c r="O103" s="8">
        <f t="shared" si="1"/>
        <v>0</v>
      </c>
      <c r="S103" s="7"/>
      <c r="T103" s="5"/>
    </row>
    <row r="104" ht="15.75" customHeight="1">
      <c r="A104" s="7"/>
      <c r="C104" s="5"/>
      <c r="E104" s="5" t="str">
        <f>IFERROR(VLOOKUP(D104,'Order Flow'!$A$4:$Q$103,3,FALSE),"")</f>
        <v/>
      </c>
      <c r="F104" s="5" t="str">
        <f>IFERROR(VLOOKUP(D104,'Order Flow'!$A$4:$Q$103,5,FALSE),"")</f>
        <v/>
      </c>
      <c r="G104" s="5" t="str">
        <f>IFERROR(VLOOKUP(D104,'Order Flow'!$A$4:$Q$103,6,FALSE),"")</f>
        <v/>
      </c>
      <c r="H104" s="5"/>
      <c r="I104" s="5"/>
      <c r="K104" s="5"/>
      <c r="O104" s="8">
        <f t="shared" si="1"/>
        <v>0</v>
      </c>
      <c r="S104" s="7"/>
      <c r="T104" s="5"/>
    </row>
    <row r="105" ht="15.75" customHeight="1">
      <c r="A105" s="7"/>
      <c r="C105" s="5"/>
      <c r="E105" s="5" t="str">
        <f>IFERROR(VLOOKUP(D105,'Order Flow'!$A$4:$Q$103,3,FALSE),"")</f>
        <v/>
      </c>
      <c r="F105" s="5" t="str">
        <f>IFERROR(VLOOKUP(D105,'Order Flow'!$A$4:$Q$103,5,FALSE),"")</f>
        <v/>
      </c>
      <c r="G105" s="5" t="str">
        <f>IFERROR(VLOOKUP(D105,'Order Flow'!$A$4:$Q$103,6,FALSE),"")</f>
        <v/>
      </c>
      <c r="H105" s="5"/>
      <c r="I105" s="5"/>
      <c r="K105" s="5"/>
      <c r="O105" s="8">
        <f t="shared" si="1"/>
        <v>0</v>
      </c>
      <c r="S105" s="7"/>
      <c r="T105" s="5"/>
    </row>
    <row r="106" ht="15.75" customHeight="1">
      <c r="A106" s="7"/>
      <c r="C106" s="5"/>
      <c r="E106" s="5" t="str">
        <f>IFERROR(VLOOKUP(D106,'Order Flow'!$A$4:$Q$103,3,FALSE),"")</f>
        <v/>
      </c>
      <c r="F106" s="5" t="str">
        <f>IFERROR(VLOOKUP(D106,'Order Flow'!$A$4:$Q$103,5,FALSE),"")</f>
        <v/>
      </c>
      <c r="G106" s="5" t="str">
        <f>IFERROR(VLOOKUP(D106,'Order Flow'!$A$4:$Q$103,6,FALSE),"")</f>
        <v/>
      </c>
      <c r="H106" s="5"/>
      <c r="I106" s="5"/>
      <c r="K106" s="5"/>
      <c r="O106" s="8">
        <f t="shared" si="1"/>
        <v>0</v>
      </c>
      <c r="S106" s="7"/>
      <c r="T106" s="5"/>
    </row>
    <row r="107" ht="15.75" customHeight="1">
      <c r="A107" s="7"/>
      <c r="C107" s="5"/>
      <c r="E107" s="5" t="str">
        <f>IFERROR(VLOOKUP(D107,'Order Flow'!$A$4:$Q$103,3,FALSE),"")</f>
        <v/>
      </c>
      <c r="F107" s="5" t="str">
        <f>IFERROR(VLOOKUP(D107,'Order Flow'!$A$4:$Q$103,5,FALSE),"")</f>
        <v/>
      </c>
      <c r="G107" s="5" t="str">
        <f>IFERROR(VLOOKUP(D107,'Order Flow'!$A$4:$Q$103,6,FALSE),"")</f>
        <v/>
      </c>
      <c r="H107" s="5"/>
      <c r="I107" s="5"/>
      <c r="K107" s="5"/>
      <c r="O107" s="8">
        <f t="shared" si="1"/>
        <v>0</v>
      </c>
      <c r="S107" s="7"/>
      <c r="T107" s="5"/>
    </row>
    <row r="108" ht="15.75" customHeight="1">
      <c r="A108" s="7"/>
      <c r="C108" s="5"/>
      <c r="E108" s="5" t="str">
        <f>IFERROR(VLOOKUP(D108,'Order Flow'!$A$4:$Q$103,3,FALSE),"")</f>
        <v/>
      </c>
      <c r="F108" s="5" t="str">
        <f>IFERROR(VLOOKUP(D108,'Order Flow'!$A$4:$Q$103,5,FALSE),"")</f>
        <v/>
      </c>
      <c r="G108" s="5" t="str">
        <f>IFERROR(VLOOKUP(D108,'Order Flow'!$A$4:$Q$103,6,FALSE),"")</f>
        <v/>
      </c>
      <c r="H108" s="5"/>
      <c r="I108" s="5"/>
      <c r="K108" s="5"/>
      <c r="O108" s="8">
        <f t="shared" si="1"/>
        <v>0</v>
      </c>
      <c r="S108" s="7"/>
      <c r="T108" s="5"/>
    </row>
    <row r="109" ht="15.75" customHeight="1">
      <c r="A109" s="7"/>
      <c r="C109" s="5"/>
      <c r="E109" s="5" t="str">
        <f>IFERROR(VLOOKUP(D109,'Order Flow'!$A$4:$Q$103,3,FALSE),"")</f>
        <v/>
      </c>
      <c r="F109" s="5" t="str">
        <f>IFERROR(VLOOKUP(D109,'Order Flow'!$A$4:$Q$103,5,FALSE),"")</f>
        <v/>
      </c>
      <c r="G109" s="5" t="str">
        <f>IFERROR(VLOOKUP(D109,'Order Flow'!$A$4:$Q$103,6,FALSE),"")</f>
        <v/>
      </c>
      <c r="H109" s="5"/>
      <c r="I109" s="5"/>
      <c r="K109" s="5"/>
      <c r="O109" s="8">
        <f t="shared" si="1"/>
        <v>0</v>
      </c>
      <c r="S109" s="7"/>
      <c r="T109" s="5"/>
    </row>
    <row r="110" ht="15.75" customHeight="1">
      <c r="A110" s="7"/>
      <c r="C110" s="5"/>
      <c r="E110" s="5" t="str">
        <f>IFERROR(VLOOKUP(D110,'Order Flow'!$A$4:$Q$103,3,FALSE),"")</f>
        <v/>
      </c>
      <c r="F110" s="5" t="str">
        <f>IFERROR(VLOOKUP(D110,'Order Flow'!$A$4:$Q$103,5,FALSE),"")</f>
        <v/>
      </c>
      <c r="G110" s="5" t="str">
        <f>IFERROR(VLOOKUP(D110,'Order Flow'!$A$4:$Q$103,6,FALSE),"")</f>
        <v/>
      </c>
      <c r="H110" s="5"/>
      <c r="I110" s="5"/>
      <c r="K110" s="5"/>
      <c r="O110" s="8">
        <f t="shared" si="1"/>
        <v>0</v>
      </c>
      <c r="S110" s="7"/>
      <c r="T110" s="5"/>
    </row>
    <row r="111" ht="15.75" customHeight="1">
      <c r="A111" s="7"/>
      <c r="C111" s="5"/>
      <c r="E111" s="5" t="str">
        <f>IFERROR(VLOOKUP(D111,'Order Flow'!$A$4:$Q$103,3,FALSE),"")</f>
        <v/>
      </c>
      <c r="F111" s="5" t="str">
        <f>IFERROR(VLOOKUP(D111,'Order Flow'!$A$4:$Q$103,5,FALSE),"")</f>
        <v/>
      </c>
      <c r="G111" s="5" t="str">
        <f>IFERROR(VLOOKUP(D111,'Order Flow'!$A$4:$Q$103,6,FALSE),"")</f>
        <v/>
      </c>
      <c r="H111" s="5"/>
      <c r="I111" s="5"/>
      <c r="K111" s="5"/>
      <c r="O111" s="8">
        <f t="shared" si="1"/>
        <v>0</v>
      </c>
      <c r="S111" s="7"/>
      <c r="T111" s="5"/>
    </row>
    <row r="112" ht="15.75" customHeight="1">
      <c r="A112" s="7"/>
      <c r="C112" s="5"/>
      <c r="E112" s="5" t="str">
        <f>IFERROR(VLOOKUP(D112,'Order Flow'!$A$4:$Q$103,3,FALSE),"")</f>
        <v/>
      </c>
      <c r="F112" s="5" t="str">
        <f>IFERROR(VLOOKUP(D112,'Order Flow'!$A$4:$Q$103,5,FALSE),"")</f>
        <v/>
      </c>
      <c r="G112" s="5" t="str">
        <f>IFERROR(VLOOKUP(D112,'Order Flow'!$A$4:$Q$103,6,FALSE),"")</f>
        <v/>
      </c>
      <c r="H112" s="5"/>
      <c r="I112" s="5"/>
      <c r="K112" s="5"/>
      <c r="O112" s="8">
        <f t="shared" si="1"/>
        <v>0</v>
      </c>
      <c r="S112" s="7"/>
      <c r="T112" s="5"/>
    </row>
    <row r="113" ht="15.75" customHeight="1">
      <c r="A113" s="7"/>
      <c r="C113" s="5"/>
      <c r="E113" s="5" t="str">
        <f>IFERROR(VLOOKUP(D113,'Order Flow'!$A$4:$Q$103,3,FALSE),"")</f>
        <v/>
      </c>
      <c r="F113" s="5" t="str">
        <f>IFERROR(VLOOKUP(D113,'Order Flow'!$A$4:$Q$103,5,FALSE),"")</f>
        <v/>
      </c>
      <c r="G113" s="5" t="str">
        <f>IFERROR(VLOOKUP(D113,'Order Flow'!$A$4:$Q$103,6,FALSE),"")</f>
        <v/>
      </c>
      <c r="H113" s="5"/>
      <c r="I113" s="5"/>
      <c r="K113" s="5"/>
      <c r="O113" s="8">
        <f t="shared" si="1"/>
        <v>0</v>
      </c>
      <c r="S113" s="7"/>
      <c r="T113" s="5"/>
    </row>
    <row r="114" ht="15.75" customHeight="1">
      <c r="A114" s="7"/>
      <c r="C114" s="5"/>
      <c r="E114" s="5" t="str">
        <f>IFERROR(VLOOKUP(D114,'Order Flow'!$A$4:$Q$103,3,FALSE),"")</f>
        <v/>
      </c>
      <c r="F114" s="5" t="str">
        <f>IFERROR(VLOOKUP(D114,'Order Flow'!$A$4:$Q$103,5,FALSE),"")</f>
        <v/>
      </c>
      <c r="G114" s="5" t="str">
        <f>IFERROR(VLOOKUP(D114,'Order Flow'!$A$4:$Q$103,6,FALSE),"")</f>
        <v/>
      </c>
      <c r="H114" s="5"/>
      <c r="I114" s="5"/>
      <c r="K114" s="5"/>
      <c r="O114" s="8">
        <f t="shared" si="1"/>
        <v>0</v>
      </c>
      <c r="S114" s="7"/>
      <c r="T114" s="5"/>
    </row>
    <row r="115" ht="15.75" customHeight="1">
      <c r="A115" s="7"/>
      <c r="C115" s="5"/>
      <c r="E115" s="5" t="str">
        <f>IFERROR(VLOOKUP(D115,'Order Flow'!$A$4:$Q$103,3,FALSE),"")</f>
        <v/>
      </c>
      <c r="F115" s="5" t="str">
        <f>IFERROR(VLOOKUP(D115,'Order Flow'!$A$4:$Q$103,5,FALSE),"")</f>
        <v/>
      </c>
      <c r="G115" s="5" t="str">
        <f>IFERROR(VLOOKUP(D115,'Order Flow'!$A$4:$Q$103,6,FALSE),"")</f>
        <v/>
      </c>
      <c r="H115" s="5"/>
      <c r="I115" s="5"/>
      <c r="K115" s="5"/>
      <c r="O115" s="8">
        <f t="shared" si="1"/>
        <v>0</v>
      </c>
      <c r="S115" s="7"/>
      <c r="T115" s="5"/>
    </row>
    <row r="116" ht="15.75" customHeight="1">
      <c r="A116" s="7"/>
      <c r="C116" s="5"/>
      <c r="E116" s="5" t="str">
        <f>IFERROR(VLOOKUP(D116,'Order Flow'!$A$4:$Q$103,3,FALSE),"")</f>
        <v/>
      </c>
      <c r="F116" s="5" t="str">
        <f>IFERROR(VLOOKUP(D116,'Order Flow'!$A$4:$Q$103,5,FALSE),"")</f>
        <v/>
      </c>
      <c r="G116" s="5" t="str">
        <f>IFERROR(VLOOKUP(D116,'Order Flow'!$A$4:$Q$103,6,FALSE),"")</f>
        <v/>
      </c>
      <c r="H116" s="5"/>
      <c r="I116" s="5"/>
      <c r="K116" s="5"/>
      <c r="O116" s="8">
        <f t="shared" si="1"/>
        <v>0</v>
      </c>
      <c r="S116" s="7"/>
      <c r="T116" s="5"/>
    </row>
    <row r="117" ht="15.75" customHeight="1">
      <c r="A117" s="7"/>
      <c r="C117" s="5"/>
      <c r="E117" s="5" t="str">
        <f>IFERROR(VLOOKUP(D117,'Order Flow'!$A$4:$Q$103,3,FALSE),"")</f>
        <v/>
      </c>
      <c r="F117" s="5" t="str">
        <f>IFERROR(VLOOKUP(D117,'Order Flow'!$A$4:$Q$103,5,FALSE),"")</f>
        <v/>
      </c>
      <c r="G117" s="5" t="str">
        <f>IFERROR(VLOOKUP(D117,'Order Flow'!$A$4:$Q$103,6,FALSE),"")</f>
        <v/>
      </c>
      <c r="H117" s="5"/>
      <c r="I117" s="5"/>
      <c r="K117" s="5"/>
      <c r="O117" s="8">
        <f t="shared" si="1"/>
        <v>0</v>
      </c>
      <c r="S117" s="7"/>
      <c r="T117" s="5"/>
    </row>
    <row r="118" ht="15.75" customHeight="1">
      <c r="A118" s="7"/>
      <c r="C118" s="5"/>
      <c r="E118" s="5" t="str">
        <f>IFERROR(VLOOKUP(D118,'Order Flow'!$A$4:$Q$103,3,FALSE),"")</f>
        <v/>
      </c>
      <c r="F118" s="5" t="str">
        <f>IFERROR(VLOOKUP(D118,'Order Flow'!$A$4:$Q$103,5,FALSE),"")</f>
        <v/>
      </c>
      <c r="G118" s="5" t="str">
        <f>IFERROR(VLOOKUP(D118,'Order Flow'!$A$4:$Q$103,6,FALSE),"")</f>
        <v/>
      </c>
      <c r="H118" s="5"/>
      <c r="I118" s="5"/>
      <c r="K118" s="5"/>
      <c r="O118" s="8">
        <f t="shared" si="1"/>
        <v>0</v>
      </c>
      <c r="S118" s="7"/>
      <c r="T118" s="5"/>
    </row>
    <row r="119" ht="15.75" customHeight="1">
      <c r="A119" s="7"/>
      <c r="C119" s="5"/>
      <c r="E119" s="5" t="str">
        <f>IFERROR(VLOOKUP(D119,'Order Flow'!$A$4:$Q$103,3,FALSE),"")</f>
        <v/>
      </c>
      <c r="F119" s="5" t="str">
        <f>IFERROR(VLOOKUP(D119,'Order Flow'!$A$4:$Q$103,5,FALSE),"")</f>
        <v/>
      </c>
      <c r="G119" s="5" t="str">
        <f>IFERROR(VLOOKUP(D119,'Order Flow'!$A$4:$Q$103,6,FALSE),"")</f>
        <v/>
      </c>
      <c r="H119" s="5"/>
      <c r="I119" s="5"/>
      <c r="K119" s="5"/>
      <c r="O119" s="8">
        <f t="shared" si="1"/>
        <v>0</v>
      </c>
      <c r="S119" s="7"/>
      <c r="T119" s="5"/>
    </row>
    <row r="120" ht="15.75" customHeight="1">
      <c r="A120" s="7"/>
      <c r="C120" s="5"/>
      <c r="E120" s="5" t="str">
        <f>IFERROR(VLOOKUP(D120,'Order Flow'!$A$4:$Q$103,3,FALSE),"")</f>
        <v/>
      </c>
      <c r="F120" s="5" t="str">
        <f>IFERROR(VLOOKUP(D120,'Order Flow'!$A$4:$Q$103,5,FALSE),"")</f>
        <v/>
      </c>
      <c r="G120" s="5" t="str">
        <f>IFERROR(VLOOKUP(D120,'Order Flow'!$A$4:$Q$103,6,FALSE),"")</f>
        <v/>
      </c>
      <c r="H120" s="5"/>
      <c r="I120" s="5"/>
      <c r="K120" s="5"/>
      <c r="O120" s="8">
        <f t="shared" si="1"/>
        <v>0</v>
      </c>
      <c r="S120" s="7"/>
      <c r="T120" s="5"/>
    </row>
    <row r="121" ht="15.75" customHeight="1">
      <c r="A121" s="7"/>
      <c r="C121" s="5"/>
      <c r="E121" s="5" t="str">
        <f>IFERROR(VLOOKUP(D121,'Order Flow'!$A$4:$Q$103,3,FALSE),"")</f>
        <v/>
      </c>
      <c r="F121" s="5" t="str">
        <f>IFERROR(VLOOKUP(D121,'Order Flow'!$A$4:$Q$103,5,FALSE),"")</f>
        <v/>
      </c>
      <c r="G121" s="5" t="str">
        <f>IFERROR(VLOOKUP(D121,'Order Flow'!$A$4:$Q$103,6,FALSE),"")</f>
        <v/>
      </c>
      <c r="H121" s="5"/>
      <c r="I121" s="5"/>
      <c r="K121" s="5"/>
      <c r="O121" s="8">
        <f t="shared" si="1"/>
        <v>0</v>
      </c>
      <c r="S121" s="7"/>
      <c r="T121" s="5"/>
    </row>
    <row r="122" ht="15.75" customHeight="1">
      <c r="A122" s="7"/>
      <c r="C122" s="5"/>
      <c r="E122" s="5" t="str">
        <f>IFERROR(VLOOKUP(D122,'Order Flow'!$A$4:$Q$103,3,FALSE),"")</f>
        <v/>
      </c>
      <c r="F122" s="5" t="str">
        <f>IFERROR(VLOOKUP(D122,'Order Flow'!$A$4:$Q$103,5,FALSE),"")</f>
        <v/>
      </c>
      <c r="G122" s="5" t="str">
        <f>IFERROR(VLOOKUP(D122,'Order Flow'!$A$4:$Q$103,6,FALSE),"")</f>
        <v/>
      </c>
      <c r="H122" s="5"/>
      <c r="I122" s="5"/>
      <c r="K122" s="5"/>
      <c r="O122" s="8">
        <f t="shared" si="1"/>
        <v>0</v>
      </c>
      <c r="S122" s="7"/>
      <c r="T122" s="5"/>
    </row>
    <row r="123" ht="15.75" customHeight="1">
      <c r="A123" s="7"/>
      <c r="C123" s="5"/>
      <c r="E123" s="5" t="str">
        <f>IFERROR(VLOOKUP(D123,'Order Flow'!$A$4:$Q$103,3,FALSE),"")</f>
        <v/>
      </c>
      <c r="F123" s="5" t="str">
        <f>IFERROR(VLOOKUP(D123,'Order Flow'!$A$4:$Q$103,5,FALSE),"")</f>
        <v/>
      </c>
      <c r="G123" s="5" t="str">
        <f>IFERROR(VLOOKUP(D123,'Order Flow'!$A$4:$Q$103,6,FALSE),"")</f>
        <v/>
      </c>
      <c r="H123" s="5"/>
      <c r="I123" s="5"/>
      <c r="K123" s="5"/>
      <c r="O123" s="8">
        <f t="shared" si="1"/>
        <v>0</v>
      </c>
      <c r="S123" s="7"/>
      <c r="T123" s="5"/>
    </row>
    <row r="124" ht="15.75" customHeight="1">
      <c r="A124" s="7"/>
      <c r="C124" s="5"/>
      <c r="E124" s="5" t="str">
        <f>IFERROR(VLOOKUP(D124,'Order Flow'!$A$4:$Q$103,3,FALSE),"")</f>
        <v/>
      </c>
      <c r="F124" s="5" t="str">
        <f>IFERROR(VLOOKUP(D124,'Order Flow'!$A$4:$Q$103,5,FALSE),"")</f>
        <v/>
      </c>
      <c r="G124" s="5" t="str">
        <f>IFERROR(VLOOKUP(D124,'Order Flow'!$A$4:$Q$103,6,FALSE),"")</f>
        <v/>
      </c>
      <c r="H124" s="5"/>
      <c r="I124" s="5"/>
      <c r="K124" s="5"/>
      <c r="O124" s="8">
        <f t="shared" si="1"/>
        <v>0</v>
      </c>
      <c r="S124" s="7"/>
      <c r="T124" s="5"/>
    </row>
    <row r="125" ht="15.75" customHeight="1">
      <c r="A125" s="7"/>
      <c r="C125" s="5"/>
      <c r="E125" s="5" t="str">
        <f>IFERROR(VLOOKUP(D125,'Order Flow'!$A$4:$Q$103,3,FALSE),"")</f>
        <v/>
      </c>
      <c r="F125" s="5" t="str">
        <f>IFERROR(VLOOKUP(D125,'Order Flow'!$A$4:$Q$103,5,FALSE),"")</f>
        <v/>
      </c>
      <c r="G125" s="5" t="str">
        <f>IFERROR(VLOOKUP(D125,'Order Flow'!$A$4:$Q$103,6,FALSE),"")</f>
        <v/>
      </c>
      <c r="H125" s="5"/>
      <c r="I125" s="5"/>
      <c r="K125" s="5"/>
      <c r="O125" s="8">
        <f t="shared" si="1"/>
        <v>0</v>
      </c>
      <c r="S125" s="7"/>
      <c r="T125" s="5"/>
    </row>
    <row r="126" ht="15.75" customHeight="1">
      <c r="A126" s="7"/>
      <c r="C126" s="5"/>
      <c r="E126" s="5" t="str">
        <f>IFERROR(VLOOKUP(D126,'Order Flow'!$A$4:$Q$103,3,FALSE),"")</f>
        <v/>
      </c>
      <c r="F126" s="5" t="str">
        <f>IFERROR(VLOOKUP(D126,'Order Flow'!$A$4:$Q$103,5,FALSE),"")</f>
        <v/>
      </c>
      <c r="G126" s="5" t="str">
        <f>IFERROR(VLOOKUP(D126,'Order Flow'!$A$4:$Q$103,6,FALSE),"")</f>
        <v/>
      </c>
      <c r="H126" s="5"/>
      <c r="I126" s="5"/>
      <c r="K126" s="5"/>
      <c r="O126" s="8">
        <f t="shared" si="1"/>
        <v>0</v>
      </c>
      <c r="S126" s="7"/>
      <c r="T126" s="5"/>
    </row>
    <row r="127" ht="15.75" customHeight="1">
      <c r="A127" s="7"/>
      <c r="C127" s="5"/>
      <c r="E127" s="5" t="str">
        <f>IFERROR(VLOOKUP(D127,'Order Flow'!$A$4:$Q$103,3,FALSE),"")</f>
        <v/>
      </c>
      <c r="F127" s="5" t="str">
        <f>IFERROR(VLOOKUP(D127,'Order Flow'!$A$4:$Q$103,5,FALSE),"")</f>
        <v/>
      </c>
      <c r="G127" s="5" t="str">
        <f>IFERROR(VLOOKUP(D127,'Order Flow'!$A$4:$Q$103,6,FALSE),"")</f>
        <v/>
      </c>
      <c r="H127" s="5"/>
      <c r="I127" s="5"/>
      <c r="K127" s="5"/>
      <c r="O127" s="8">
        <f t="shared" si="1"/>
        <v>0</v>
      </c>
      <c r="S127" s="7"/>
      <c r="T127" s="5"/>
    </row>
    <row r="128" ht="15.75" customHeight="1">
      <c r="A128" s="7"/>
      <c r="C128" s="5"/>
      <c r="E128" s="5" t="str">
        <f>IFERROR(VLOOKUP(D128,'Order Flow'!$A$4:$Q$103,3,FALSE),"")</f>
        <v/>
      </c>
      <c r="F128" s="5" t="str">
        <f>IFERROR(VLOOKUP(D128,'Order Flow'!$A$4:$Q$103,5,FALSE),"")</f>
        <v/>
      </c>
      <c r="G128" s="5" t="str">
        <f>IFERROR(VLOOKUP(D128,'Order Flow'!$A$4:$Q$103,6,FALSE),"")</f>
        <v/>
      </c>
      <c r="H128" s="5"/>
      <c r="I128" s="5"/>
      <c r="K128" s="5"/>
      <c r="O128" s="8">
        <f t="shared" si="1"/>
        <v>0</v>
      </c>
      <c r="S128" s="7"/>
      <c r="T128" s="5"/>
    </row>
    <row r="129" ht="15.75" customHeight="1">
      <c r="A129" s="7"/>
      <c r="C129" s="5"/>
      <c r="E129" s="5" t="str">
        <f>IFERROR(VLOOKUP(D129,'Order Flow'!$A$4:$Q$103,3,FALSE),"")</f>
        <v/>
      </c>
      <c r="F129" s="5" t="str">
        <f>IFERROR(VLOOKUP(D129,'Order Flow'!$A$4:$Q$103,5,FALSE),"")</f>
        <v/>
      </c>
      <c r="G129" s="5" t="str">
        <f>IFERROR(VLOOKUP(D129,'Order Flow'!$A$4:$Q$103,6,FALSE),"")</f>
        <v/>
      </c>
      <c r="H129" s="5"/>
      <c r="I129" s="5"/>
      <c r="K129" s="5"/>
      <c r="O129" s="8">
        <f t="shared" si="1"/>
        <v>0</v>
      </c>
      <c r="S129" s="7"/>
      <c r="T129" s="5"/>
    </row>
    <row r="130" ht="15.75" customHeight="1">
      <c r="A130" s="7"/>
      <c r="C130" s="5"/>
      <c r="E130" s="5" t="str">
        <f>IFERROR(VLOOKUP(D130,'Order Flow'!$A$4:$Q$103,3,FALSE),"")</f>
        <v/>
      </c>
      <c r="F130" s="5" t="str">
        <f>IFERROR(VLOOKUP(D130,'Order Flow'!$A$4:$Q$103,5,FALSE),"")</f>
        <v/>
      </c>
      <c r="G130" s="5" t="str">
        <f>IFERROR(VLOOKUP(D130,'Order Flow'!$A$4:$Q$103,6,FALSE),"")</f>
        <v/>
      </c>
      <c r="H130" s="5"/>
      <c r="I130" s="5"/>
      <c r="K130" s="5"/>
      <c r="O130" s="8">
        <f t="shared" si="1"/>
        <v>0</v>
      </c>
      <c r="S130" s="7"/>
      <c r="T130" s="5"/>
    </row>
    <row r="131" ht="15.75" customHeight="1">
      <c r="A131" s="7"/>
      <c r="C131" s="5"/>
      <c r="E131" s="5" t="str">
        <f>IFERROR(VLOOKUP(D131,'Order Flow'!$A$4:$Q$103,3,FALSE),"")</f>
        <v/>
      </c>
      <c r="F131" s="5" t="str">
        <f>IFERROR(VLOOKUP(D131,'Order Flow'!$A$4:$Q$103,5,FALSE),"")</f>
        <v/>
      </c>
      <c r="G131" s="5" t="str">
        <f>IFERROR(VLOOKUP(D131,'Order Flow'!$A$4:$Q$103,6,FALSE),"")</f>
        <v/>
      </c>
      <c r="H131" s="5"/>
      <c r="I131" s="5"/>
      <c r="K131" s="5"/>
      <c r="O131" s="8">
        <f t="shared" si="1"/>
        <v>0</v>
      </c>
      <c r="S131" s="7"/>
      <c r="T131" s="5"/>
    </row>
    <row r="132" ht="15.75" customHeight="1">
      <c r="A132" s="7"/>
      <c r="C132" s="5"/>
      <c r="E132" s="5" t="str">
        <f>IFERROR(VLOOKUP(D132,'Order Flow'!$A$4:$Q$103,3,FALSE),"")</f>
        <v/>
      </c>
      <c r="F132" s="5" t="str">
        <f>IFERROR(VLOOKUP(D132,'Order Flow'!$A$4:$Q$103,5,FALSE),"")</f>
        <v/>
      </c>
      <c r="G132" s="5" t="str">
        <f>IFERROR(VLOOKUP(D132,'Order Flow'!$A$4:$Q$103,6,FALSE),"")</f>
        <v/>
      </c>
      <c r="H132" s="5"/>
      <c r="I132" s="5"/>
      <c r="K132" s="5"/>
      <c r="O132" s="8">
        <f t="shared" si="1"/>
        <v>0</v>
      </c>
      <c r="S132" s="7"/>
      <c r="T132" s="5"/>
    </row>
    <row r="133" ht="15.75" customHeight="1">
      <c r="A133" s="7"/>
      <c r="C133" s="5"/>
      <c r="E133" s="5" t="str">
        <f>IFERROR(VLOOKUP(D133,'Order Flow'!$A$4:$Q$103,3,FALSE),"")</f>
        <v/>
      </c>
      <c r="F133" s="5" t="str">
        <f>IFERROR(VLOOKUP(D133,'Order Flow'!$A$4:$Q$103,5,FALSE),"")</f>
        <v/>
      </c>
      <c r="G133" s="5" t="str">
        <f>IFERROR(VLOOKUP(D133,'Order Flow'!$A$4:$Q$103,6,FALSE),"")</f>
        <v/>
      </c>
      <c r="H133" s="5"/>
      <c r="I133" s="5"/>
      <c r="K133" s="5"/>
      <c r="O133" s="8">
        <f t="shared" si="1"/>
        <v>0</v>
      </c>
      <c r="S133" s="7"/>
      <c r="T133" s="5"/>
    </row>
    <row r="134" ht="15.75" customHeight="1">
      <c r="A134" s="7"/>
      <c r="C134" s="5"/>
      <c r="E134" s="5" t="str">
        <f>IFERROR(VLOOKUP(D134,'Order Flow'!$A$4:$Q$103,3,FALSE),"")</f>
        <v/>
      </c>
      <c r="F134" s="5" t="str">
        <f>IFERROR(VLOOKUP(D134,'Order Flow'!$A$4:$Q$103,5,FALSE),"")</f>
        <v/>
      </c>
      <c r="G134" s="5" t="str">
        <f>IFERROR(VLOOKUP(D134,'Order Flow'!$A$4:$Q$103,6,FALSE),"")</f>
        <v/>
      </c>
      <c r="H134" s="5"/>
      <c r="I134" s="5"/>
      <c r="K134" s="5"/>
      <c r="O134" s="8">
        <f t="shared" si="1"/>
        <v>0</v>
      </c>
      <c r="S134" s="7"/>
      <c r="T134" s="5"/>
    </row>
    <row r="135" ht="15.75" customHeight="1">
      <c r="A135" s="7"/>
      <c r="C135" s="5"/>
      <c r="E135" s="5" t="str">
        <f>IFERROR(VLOOKUP(D135,'Order Flow'!$A$4:$Q$103,3,FALSE),"")</f>
        <v/>
      </c>
      <c r="F135" s="5" t="str">
        <f>IFERROR(VLOOKUP(D135,'Order Flow'!$A$4:$Q$103,5,FALSE),"")</f>
        <v/>
      </c>
      <c r="G135" s="5" t="str">
        <f>IFERROR(VLOOKUP(D135,'Order Flow'!$A$4:$Q$103,6,FALSE),"")</f>
        <v/>
      </c>
      <c r="H135" s="5"/>
      <c r="I135" s="5"/>
      <c r="K135" s="5"/>
      <c r="O135" s="8">
        <f t="shared" si="1"/>
        <v>0</v>
      </c>
      <c r="S135" s="7"/>
      <c r="T135" s="5"/>
    </row>
    <row r="136" ht="15.75" customHeight="1">
      <c r="A136" s="7"/>
      <c r="C136" s="5"/>
      <c r="E136" s="5" t="str">
        <f>IFERROR(VLOOKUP(D136,'Order Flow'!$A$4:$Q$103,3,FALSE),"")</f>
        <v/>
      </c>
      <c r="F136" s="5" t="str">
        <f>IFERROR(VLOOKUP(D136,'Order Flow'!$A$4:$Q$103,5,FALSE),"")</f>
        <v/>
      </c>
      <c r="G136" s="5" t="str">
        <f>IFERROR(VLOOKUP(D136,'Order Flow'!$A$4:$Q$103,6,FALSE),"")</f>
        <v/>
      </c>
      <c r="H136" s="5"/>
      <c r="I136" s="5"/>
      <c r="K136" s="5"/>
      <c r="O136" s="8">
        <f t="shared" si="1"/>
        <v>0</v>
      </c>
      <c r="S136" s="7"/>
      <c r="T136" s="5"/>
    </row>
    <row r="137" ht="15.75" customHeight="1">
      <c r="A137" s="7"/>
      <c r="C137" s="5"/>
      <c r="E137" s="5" t="str">
        <f>IFERROR(VLOOKUP(D137,'Order Flow'!$A$4:$Q$103,3,FALSE),"")</f>
        <v/>
      </c>
      <c r="F137" s="5" t="str">
        <f>IFERROR(VLOOKUP(D137,'Order Flow'!$A$4:$Q$103,5,FALSE),"")</f>
        <v/>
      </c>
      <c r="G137" s="5" t="str">
        <f>IFERROR(VLOOKUP(D137,'Order Flow'!$A$4:$Q$103,6,FALSE),"")</f>
        <v/>
      </c>
      <c r="H137" s="5"/>
      <c r="I137" s="5"/>
      <c r="K137" s="5"/>
      <c r="O137" s="8">
        <f t="shared" si="1"/>
        <v>0</v>
      </c>
      <c r="S137" s="7"/>
      <c r="T137" s="5"/>
    </row>
    <row r="138" ht="15.75" customHeight="1">
      <c r="A138" s="7"/>
      <c r="C138" s="5"/>
      <c r="E138" s="5" t="str">
        <f>IFERROR(VLOOKUP(D138,'Order Flow'!$A$4:$Q$103,3,FALSE),"")</f>
        <v/>
      </c>
      <c r="F138" s="5" t="str">
        <f>IFERROR(VLOOKUP(D138,'Order Flow'!$A$4:$Q$103,5,FALSE),"")</f>
        <v/>
      </c>
      <c r="G138" s="5" t="str">
        <f>IFERROR(VLOOKUP(D138,'Order Flow'!$A$4:$Q$103,6,FALSE),"")</f>
        <v/>
      </c>
      <c r="H138" s="5"/>
      <c r="I138" s="5"/>
      <c r="K138" s="5"/>
      <c r="O138" s="8">
        <f t="shared" si="1"/>
        <v>0</v>
      </c>
      <c r="S138" s="7"/>
      <c r="T138" s="5"/>
    </row>
    <row r="139" ht="15.75" customHeight="1">
      <c r="A139" s="7"/>
      <c r="C139" s="5"/>
      <c r="E139" s="5" t="str">
        <f>IFERROR(VLOOKUP(D139,'Order Flow'!$A$4:$Q$103,3,FALSE),"")</f>
        <v/>
      </c>
      <c r="F139" s="5" t="str">
        <f>IFERROR(VLOOKUP(D139,'Order Flow'!$A$4:$Q$103,5,FALSE),"")</f>
        <v/>
      </c>
      <c r="G139" s="5" t="str">
        <f>IFERROR(VLOOKUP(D139,'Order Flow'!$A$4:$Q$103,6,FALSE),"")</f>
        <v/>
      </c>
      <c r="H139" s="5"/>
      <c r="I139" s="5"/>
      <c r="K139" s="5"/>
      <c r="O139" s="8">
        <f t="shared" si="1"/>
        <v>0</v>
      </c>
      <c r="S139" s="7"/>
      <c r="T139" s="5"/>
    </row>
    <row r="140" ht="15.75" customHeight="1">
      <c r="A140" s="7"/>
      <c r="C140" s="5"/>
      <c r="E140" s="5" t="str">
        <f>IFERROR(VLOOKUP(D140,'Order Flow'!$A$4:$Q$103,3,FALSE),"")</f>
        <v/>
      </c>
      <c r="F140" s="5" t="str">
        <f>IFERROR(VLOOKUP(D140,'Order Flow'!$A$4:$Q$103,5,FALSE),"")</f>
        <v/>
      </c>
      <c r="G140" s="5" t="str">
        <f>IFERROR(VLOOKUP(D140,'Order Flow'!$A$4:$Q$103,6,FALSE),"")</f>
        <v/>
      </c>
      <c r="H140" s="5"/>
      <c r="I140" s="5"/>
      <c r="K140" s="5"/>
      <c r="O140" s="8">
        <f t="shared" si="1"/>
        <v>0</v>
      </c>
      <c r="S140" s="7"/>
      <c r="T140" s="5"/>
    </row>
    <row r="141" ht="15.75" customHeight="1">
      <c r="A141" s="7"/>
      <c r="C141" s="5"/>
      <c r="E141" s="5" t="str">
        <f>IFERROR(VLOOKUP(D141,'Order Flow'!$A$4:$Q$103,3,FALSE),"")</f>
        <v/>
      </c>
      <c r="F141" s="5" t="str">
        <f>IFERROR(VLOOKUP(D141,'Order Flow'!$A$4:$Q$103,5,FALSE),"")</f>
        <v/>
      </c>
      <c r="G141" s="5" t="str">
        <f>IFERROR(VLOOKUP(D141,'Order Flow'!$A$4:$Q$103,6,FALSE),"")</f>
        <v/>
      </c>
      <c r="H141" s="5"/>
      <c r="I141" s="5"/>
      <c r="K141" s="5"/>
      <c r="O141" s="8">
        <f t="shared" si="1"/>
        <v>0</v>
      </c>
      <c r="S141" s="7"/>
      <c r="T141" s="5"/>
    </row>
    <row r="142" ht="15.75" customHeight="1">
      <c r="A142" s="7"/>
      <c r="C142" s="5"/>
      <c r="E142" s="5" t="str">
        <f>IFERROR(VLOOKUP(D142,'Order Flow'!$A$4:$Q$103,3,FALSE),"")</f>
        <v/>
      </c>
      <c r="F142" s="5" t="str">
        <f>IFERROR(VLOOKUP(D142,'Order Flow'!$A$4:$Q$103,5,FALSE),"")</f>
        <v/>
      </c>
      <c r="G142" s="5" t="str">
        <f>IFERROR(VLOOKUP(D142,'Order Flow'!$A$4:$Q$103,6,FALSE),"")</f>
        <v/>
      </c>
      <c r="H142" s="5"/>
      <c r="I142" s="5"/>
      <c r="K142" s="5"/>
      <c r="O142" s="8">
        <f t="shared" si="1"/>
        <v>0</v>
      </c>
      <c r="S142" s="7"/>
      <c r="T142" s="5"/>
    </row>
    <row r="143" ht="15.75" customHeight="1">
      <c r="A143" s="7"/>
      <c r="C143" s="5"/>
      <c r="E143" s="5" t="str">
        <f>IFERROR(VLOOKUP(D143,'Order Flow'!$A$4:$Q$103,3,FALSE),"")</f>
        <v/>
      </c>
      <c r="F143" s="5" t="str">
        <f>IFERROR(VLOOKUP(D143,'Order Flow'!$A$4:$Q$103,5,FALSE),"")</f>
        <v/>
      </c>
      <c r="G143" s="5" t="str">
        <f>IFERROR(VLOOKUP(D143,'Order Flow'!$A$4:$Q$103,6,FALSE),"")</f>
        <v/>
      </c>
      <c r="H143" s="5"/>
      <c r="I143" s="5"/>
      <c r="K143" s="5"/>
      <c r="O143" s="8">
        <f t="shared" si="1"/>
        <v>0</v>
      </c>
      <c r="S143" s="7"/>
      <c r="T143" s="5"/>
    </row>
    <row r="144" ht="15.75" customHeight="1">
      <c r="A144" s="7"/>
      <c r="C144" s="5"/>
      <c r="E144" s="5" t="str">
        <f>IFERROR(VLOOKUP(D144,'Order Flow'!$A$4:$Q$103,3,FALSE),"")</f>
        <v/>
      </c>
      <c r="F144" s="5" t="str">
        <f>IFERROR(VLOOKUP(D144,'Order Flow'!$A$4:$Q$103,5,FALSE),"")</f>
        <v/>
      </c>
      <c r="G144" s="5" t="str">
        <f>IFERROR(VLOOKUP(D144,'Order Flow'!$A$4:$Q$103,6,FALSE),"")</f>
        <v/>
      </c>
      <c r="H144" s="5"/>
      <c r="I144" s="5"/>
      <c r="K144" s="5"/>
      <c r="O144" s="8">
        <f t="shared" si="1"/>
        <v>0</v>
      </c>
      <c r="S144" s="7"/>
      <c r="T144" s="5"/>
    </row>
    <row r="145" ht="15.75" customHeight="1">
      <c r="A145" s="7"/>
      <c r="C145" s="5"/>
      <c r="E145" s="5" t="str">
        <f>IFERROR(VLOOKUP(D145,'Order Flow'!$A$4:$Q$103,3,FALSE),"")</f>
        <v/>
      </c>
      <c r="F145" s="5" t="str">
        <f>IFERROR(VLOOKUP(D145,'Order Flow'!$A$4:$Q$103,5,FALSE),"")</f>
        <v/>
      </c>
      <c r="G145" s="5" t="str">
        <f>IFERROR(VLOOKUP(D145,'Order Flow'!$A$4:$Q$103,6,FALSE),"")</f>
        <v/>
      </c>
      <c r="H145" s="5"/>
      <c r="I145" s="5"/>
      <c r="K145" s="5"/>
      <c r="O145" s="8">
        <f t="shared" si="1"/>
        <v>0</v>
      </c>
      <c r="S145" s="7"/>
      <c r="T145" s="5"/>
    </row>
    <row r="146" ht="15.75" customHeight="1">
      <c r="A146" s="7"/>
      <c r="C146" s="5"/>
      <c r="E146" s="5" t="str">
        <f>IFERROR(VLOOKUP(D146,'Order Flow'!$A$4:$Q$103,3,FALSE),"")</f>
        <v/>
      </c>
      <c r="F146" s="5" t="str">
        <f>IFERROR(VLOOKUP(D146,'Order Flow'!$A$4:$Q$103,5,FALSE),"")</f>
        <v/>
      </c>
      <c r="G146" s="5" t="str">
        <f>IFERROR(VLOOKUP(D146,'Order Flow'!$A$4:$Q$103,6,FALSE),"")</f>
        <v/>
      </c>
      <c r="H146" s="5"/>
      <c r="I146" s="5"/>
      <c r="K146" s="5"/>
      <c r="O146" s="8">
        <f t="shared" si="1"/>
        <v>0</v>
      </c>
      <c r="S146" s="7"/>
      <c r="T146" s="5"/>
    </row>
    <row r="147" ht="15.75" customHeight="1">
      <c r="A147" s="7"/>
      <c r="C147" s="5"/>
      <c r="E147" s="5" t="str">
        <f>IFERROR(VLOOKUP(D147,'Order Flow'!$A$4:$Q$103,3,FALSE),"")</f>
        <v/>
      </c>
      <c r="F147" s="5" t="str">
        <f>IFERROR(VLOOKUP(D147,'Order Flow'!$A$4:$Q$103,5,FALSE),"")</f>
        <v/>
      </c>
      <c r="G147" s="5" t="str">
        <f>IFERROR(VLOOKUP(D147,'Order Flow'!$A$4:$Q$103,6,FALSE),"")</f>
        <v/>
      </c>
      <c r="H147" s="5"/>
      <c r="I147" s="5"/>
      <c r="K147" s="5"/>
      <c r="O147" s="8">
        <f t="shared" si="1"/>
        <v>0</v>
      </c>
      <c r="S147" s="7"/>
      <c r="T147" s="5"/>
    </row>
    <row r="148" ht="15.75" customHeight="1">
      <c r="A148" s="7"/>
      <c r="C148" s="5"/>
      <c r="E148" s="5" t="str">
        <f>IFERROR(VLOOKUP(D148,'Order Flow'!$A$4:$Q$103,3,FALSE),"")</f>
        <v/>
      </c>
      <c r="F148" s="5" t="str">
        <f>IFERROR(VLOOKUP(D148,'Order Flow'!$A$4:$Q$103,5,FALSE),"")</f>
        <v/>
      </c>
      <c r="G148" s="5" t="str">
        <f>IFERROR(VLOOKUP(D148,'Order Flow'!$A$4:$Q$103,6,FALSE),"")</f>
        <v/>
      </c>
      <c r="H148" s="5"/>
      <c r="I148" s="5"/>
      <c r="K148" s="5"/>
      <c r="O148" s="8">
        <f t="shared" si="1"/>
        <v>0</v>
      </c>
      <c r="S148" s="7"/>
      <c r="T148" s="5"/>
    </row>
    <row r="149" ht="15.75" customHeight="1">
      <c r="A149" s="7"/>
      <c r="C149" s="5"/>
      <c r="E149" s="5" t="str">
        <f>IFERROR(VLOOKUP(D149,'Order Flow'!$A$4:$Q$103,3,FALSE),"")</f>
        <v/>
      </c>
      <c r="F149" s="5" t="str">
        <f>IFERROR(VLOOKUP(D149,'Order Flow'!$A$4:$Q$103,5,FALSE),"")</f>
        <v/>
      </c>
      <c r="G149" s="5" t="str">
        <f>IFERROR(VLOOKUP(D149,'Order Flow'!$A$4:$Q$103,6,FALSE),"")</f>
        <v/>
      </c>
      <c r="H149" s="5"/>
      <c r="I149" s="5"/>
      <c r="K149" s="5"/>
      <c r="O149" s="8">
        <f t="shared" si="1"/>
        <v>0</v>
      </c>
      <c r="S149" s="7"/>
      <c r="T149" s="5"/>
    </row>
    <row r="150" ht="15.75" customHeight="1">
      <c r="A150" s="7"/>
      <c r="C150" s="5"/>
      <c r="E150" s="5" t="str">
        <f>IFERROR(VLOOKUP(D150,'Order Flow'!$A$4:$Q$103,3,FALSE),"")</f>
        <v/>
      </c>
      <c r="F150" s="5" t="str">
        <f>IFERROR(VLOOKUP(D150,'Order Flow'!$A$4:$Q$103,5,FALSE),"")</f>
        <v/>
      </c>
      <c r="G150" s="5" t="str">
        <f>IFERROR(VLOOKUP(D150,'Order Flow'!$A$4:$Q$103,6,FALSE),"")</f>
        <v/>
      </c>
      <c r="H150" s="5"/>
      <c r="I150" s="5"/>
      <c r="K150" s="5"/>
      <c r="O150" s="8">
        <f t="shared" si="1"/>
        <v>0</v>
      </c>
      <c r="S150" s="7"/>
      <c r="T150" s="5"/>
    </row>
    <row r="151" ht="15.75" customHeight="1">
      <c r="A151" s="7"/>
      <c r="C151" s="5"/>
      <c r="E151" s="5" t="str">
        <f>IFERROR(VLOOKUP(D151,'Order Flow'!$A$4:$Q$103,3,FALSE),"")</f>
        <v/>
      </c>
      <c r="F151" s="5" t="str">
        <f>IFERROR(VLOOKUP(D151,'Order Flow'!$A$4:$Q$103,5,FALSE),"")</f>
        <v/>
      </c>
      <c r="G151" s="5" t="str">
        <f>IFERROR(VLOOKUP(D151,'Order Flow'!$A$4:$Q$103,6,FALSE),"")</f>
        <v/>
      </c>
      <c r="H151" s="5"/>
      <c r="I151" s="5"/>
      <c r="K151" s="5"/>
      <c r="O151" s="8">
        <f t="shared" si="1"/>
        <v>0</v>
      </c>
      <c r="S151" s="7"/>
      <c r="T151" s="5"/>
    </row>
    <row r="152" ht="15.75" customHeight="1">
      <c r="A152" s="7"/>
      <c r="C152" s="5"/>
      <c r="E152" s="5" t="str">
        <f>IFERROR(VLOOKUP(D152,'Order Flow'!$A$4:$Q$103,3,FALSE),"")</f>
        <v/>
      </c>
      <c r="F152" s="5" t="str">
        <f>IFERROR(VLOOKUP(D152,'Order Flow'!$A$4:$Q$103,5,FALSE),"")</f>
        <v/>
      </c>
      <c r="G152" s="5" t="str">
        <f>IFERROR(VLOOKUP(D152,'Order Flow'!$A$4:$Q$103,6,FALSE),"")</f>
        <v/>
      </c>
      <c r="H152" s="5"/>
      <c r="I152" s="5"/>
      <c r="K152" s="5"/>
      <c r="O152" s="8">
        <f t="shared" si="1"/>
        <v>0</v>
      </c>
      <c r="S152" s="7"/>
      <c r="T152" s="5"/>
    </row>
    <row r="153" ht="15.75" customHeight="1">
      <c r="A153" s="7"/>
      <c r="C153" s="5"/>
      <c r="E153" s="5" t="str">
        <f>IFERROR(VLOOKUP(D153,'Order Flow'!$A$4:$Q$103,3,FALSE),"")</f>
        <v/>
      </c>
      <c r="F153" s="5" t="str">
        <f>IFERROR(VLOOKUP(D153,'Order Flow'!$A$4:$Q$103,5,FALSE),"")</f>
        <v/>
      </c>
      <c r="G153" s="5" t="str">
        <f>IFERROR(VLOOKUP(D153,'Order Flow'!$A$4:$Q$103,6,FALSE),"")</f>
        <v/>
      </c>
      <c r="H153" s="5"/>
      <c r="I153" s="5"/>
      <c r="K153" s="5"/>
      <c r="O153" s="8">
        <f t="shared" si="1"/>
        <v>0</v>
      </c>
      <c r="S153" s="7"/>
      <c r="T153" s="5"/>
    </row>
    <row r="154" ht="15.75" customHeight="1">
      <c r="A154" s="7"/>
      <c r="C154" s="5"/>
      <c r="E154" s="5" t="str">
        <f>IFERROR(VLOOKUP(D154,'Order Flow'!$A$4:$Q$103,3,FALSE),"")</f>
        <v/>
      </c>
      <c r="F154" s="5" t="str">
        <f>IFERROR(VLOOKUP(D154,'Order Flow'!$A$4:$Q$103,5,FALSE),"")</f>
        <v/>
      </c>
      <c r="G154" s="5" t="str">
        <f>IFERROR(VLOOKUP(D154,'Order Flow'!$A$4:$Q$103,6,FALSE),"")</f>
        <v/>
      </c>
      <c r="H154" s="5"/>
      <c r="I154" s="5"/>
      <c r="K154" s="5"/>
      <c r="O154" s="8">
        <f t="shared" si="1"/>
        <v>0</v>
      </c>
      <c r="S154" s="7"/>
      <c r="T154" s="5"/>
    </row>
    <row r="155" ht="15.75" customHeight="1">
      <c r="A155" s="7"/>
      <c r="C155" s="5"/>
      <c r="E155" s="5" t="str">
        <f>IFERROR(VLOOKUP(D155,'Order Flow'!$A$4:$Q$103,3,FALSE),"")</f>
        <v/>
      </c>
      <c r="F155" s="5" t="str">
        <f>IFERROR(VLOOKUP(D155,'Order Flow'!$A$4:$Q$103,5,FALSE),"")</f>
        <v/>
      </c>
      <c r="G155" s="5" t="str">
        <f>IFERROR(VLOOKUP(D155,'Order Flow'!$A$4:$Q$103,6,FALSE),"")</f>
        <v/>
      </c>
      <c r="H155" s="5"/>
      <c r="I155" s="5"/>
      <c r="K155" s="5"/>
      <c r="O155" s="8">
        <f t="shared" si="1"/>
        <v>0</v>
      </c>
      <c r="S155" s="7"/>
      <c r="T155" s="5"/>
    </row>
    <row r="156" ht="15.75" customHeight="1">
      <c r="A156" s="7"/>
      <c r="C156" s="5"/>
      <c r="E156" s="5" t="str">
        <f>IFERROR(VLOOKUP(D156,'Order Flow'!$A$4:$Q$103,3,FALSE),"")</f>
        <v/>
      </c>
      <c r="F156" s="5" t="str">
        <f>IFERROR(VLOOKUP(D156,'Order Flow'!$A$4:$Q$103,5,FALSE),"")</f>
        <v/>
      </c>
      <c r="G156" s="5" t="str">
        <f>IFERROR(VLOOKUP(D156,'Order Flow'!$A$4:$Q$103,6,FALSE),"")</f>
        <v/>
      </c>
      <c r="H156" s="5"/>
      <c r="I156" s="5"/>
      <c r="K156" s="5"/>
      <c r="O156" s="8">
        <f t="shared" si="1"/>
        <v>0</v>
      </c>
      <c r="S156" s="7"/>
      <c r="T156" s="5"/>
    </row>
    <row r="157" ht="15.75" customHeight="1">
      <c r="A157" s="7"/>
      <c r="C157" s="5"/>
      <c r="E157" s="5" t="str">
        <f>IFERROR(VLOOKUP(D157,'Order Flow'!$A$4:$Q$103,3,FALSE),"")</f>
        <v/>
      </c>
      <c r="F157" s="5" t="str">
        <f>IFERROR(VLOOKUP(D157,'Order Flow'!$A$4:$Q$103,5,FALSE),"")</f>
        <v/>
      </c>
      <c r="G157" s="5" t="str">
        <f>IFERROR(VLOOKUP(D157,'Order Flow'!$A$4:$Q$103,6,FALSE),"")</f>
        <v/>
      </c>
      <c r="H157" s="5"/>
      <c r="I157" s="5"/>
      <c r="K157" s="5"/>
      <c r="O157" s="8">
        <f t="shared" si="1"/>
        <v>0</v>
      </c>
      <c r="S157" s="7"/>
      <c r="T157" s="5"/>
    </row>
    <row r="158" ht="15.75" customHeight="1">
      <c r="A158" s="7"/>
      <c r="C158" s="5"/>
      <c r="E158" s="5" t="str">
        <f>IFERROR(VLOOKUP(D158,'Order Flow'!$A$4:$Q$103,3,FALSE),"")</f>
        <v/>
      </c>
      <c r="F158" s="5" t="str">
        <f>IFERROR(VLOOKUP(D158,'Order Flow'!$A$4:$Q$103,5,FALSE),"")</f>
        <v/>
      </c>
      <c r="G158" s="5" t="str">
        <f>IFERROR(VLOOKUP(D158,'Order Flow'!$A$4:$Q$103,6,FALSE),"")</f>
        <v/>
      </c>
      <c r="H158" s="5"/>
      <c r="I158" s="5"/>
      <c r="K158" s="5"/>
      <c r="O158" s="8">
        <f t="shared" si="1"/>
        <v>0</v>
      </c>
      <c r="S158" s="7"/>
      <c r="T158" s="5"/>
    </row>
    <row r="159" ht="15.75" customHeight="1">
      <c r="A159" s="7"/>
      <c r="C159" s="5"/>
      <c r="E159" s="5" t="str">
        <f>IFERROR(VLOOKUP(D159,'Order Flow'!$A$4:$Q$103,3,FALSE),"")</f>
        <v/>
      </c>
      <c r="F159" s="5" t="str">
        <f>IFERROR(VLOOKUP(D159,'Order Flow'!$A$4:$Q$103,5,FALSE),"")</f>
        <v/>
      </c>
      <c r="G159" s="5" t="str">
        <f>IFERROR(VLOOKUP(D159,'Order Flow'!$A$4:$Q$103,6,FALSE),"")</f>
        <v/>
      </c>
      <c r="H159" s="5"/>
      <c r="I159" s="5"/>
      <c r="K159" s="5"/>
      <c r="O159" s="8">
        <f t="shared" si="1"/>
        <v>0</v>
      </c>
      <c r="S159" s="7"/>
      <c r="T159" s="5"/>
    </row>
    <row r="160" ht="15.75" customHeight="1">
      <c r="A160" s="7"/>
      <c r="C160" s="5"/>
      <c r="E160" s="5" t="str">
        <f>IFERROR(VLOOKUP(D160,'Order Flow'!$A$4:$Q$103,3,FALSE),"")</f>
        <v/>
      </c>
      <c r="F160" s="5" t="str">
        <f>IFERROR(VLOOKUP(D160,'Order Flow'!$A$4:$Q$103,5,FALSE),"")</f>
        <v/>
      </c>
      <c r="G160" s="5" t="str">
        <f>IFERROR(VLOOKUP(D160,'Order Flow'!$A$4:$Q$103,6,FALSE),"")</f>
        <v/>
      </c>
      <c r="H160" s="5"/>
      <c r="I160" s="5"/>
      <c r="K160" s="5"/>
      <c r="O160" s="8">
        <f t="shared" si="1"/>
        <v>0</v>
      </c>
      <c r="S160" s="7"/>
      <c r="T160" s="5"/>
    </row>
    <row r="161" ht="15.75" customHeight="1">
      <c r="A161" s="7"/>
      <c r="C161" s="5"/>
      <c r="E161" s="5" t="str">
        <f>IFERROR(VLOOKUP(D161,'Order Flow'!$A$4:$Q$103,3,FALSE),"")</f>
        <v/>
      </c>
      <c r="F161" s="5" t="str">
        <f>IFERROR(VLOOKUP(D161,'Order Flow'!$A$4:$Q$103,5,FALSE),"")</f>
        <v/>
      </c>
      <c r="G161" s="5" t="str">
        <f>IFERROR(VLOOKUP(D161,'Order Flow'!$A$4:$Q$103,6,FALSE),"")</f>
        <v/>
      </c>
      <c r="H161" s="5"/>
      <c r="I161" s="5"/>
      <c r="K161" s="5"/>
      <c r="O161" s="8">
        <f t="shared" si="1"/>
        <v>0</v>
      </c>
      <c r="S161" s="7"/>
      <c r="T161" s="5"/>
    </row>
    <row r="162" ht="15.75" customHeight="1">
      <c r="A162" s="7"/>
      <c r="C162" s="5"/>
      <c r="E162" s="5" t="str">
        <f>IFERROR(VLOOKUP(D162,'Order Flow'!$A$4:$Q$103,3,FALSE),"")</f>
        <v/>
      </c>
      <c r="F162" s="5" t="str">
        <f>IFERROR(VLOOKUP(D162,'Order Flow'!$A$4:$Q$103,5,FALSE),"")</f>
        <v/>
      </c>
      <c r="G162" s="5" t="str">
        <f>IFERROR(VLOOKUP(D162,'Order Flow'!$A$4:$Q$103,6,FALSE),"")</f>
        <v/>
      </c>
      <c r="H162" s="5"/>
      <c r="I162" s="5"/>
      <c r="K162" s="5"/>
      <c r="O162" s="8">
        <f t="shared" si="1"/>
        <v>0</v>
      </c>
      <c r="S162" s="7"/>
      <c r="T162" s="5"/>
    </row>
    <row r="163" ht="15.75" customHeight="1">
      <c r="A163" s="7"/>
      <c r="C163" s="5"/>
      <c r="E163" s="5" t="str">
        <f>IFERROR(VLOOKUP(D163,'Order Flow'!$A$4:$Q$103,3,FALSE),"")</f>
        <v/>
      </c>
      <c r="F163" s="5" t="str">
        <f>IFERROR(VLOOKUP(D163,'Order Flow'!$A$4:$Q$103,5,FALSE),"")</f>
        <v/>
      </c>
      <c r="G163" s="5" t="str">
        <f>IFERROR(VLOOKUP(D163,'Order Flow'!$A$4:$Q$103,6,FALSE),"")</f>
        <v/>
      </c>
      <c r="H163" s="5"/>
      <c r="I163" s="5"/>
      <c r="K163" s="5"/>
      <c r="O163" s="8">
        <f t="shared" si="1"/>
        <v>0</v>
      </c>
      <c r="S163" s="7"/>
      <c r="T163" s="5"/>
    </row>
    <row r="164" ht="15.75" customHeight="1">
      <c r="A164" s="7"/>
      <c r="C164" s="5"/>
      <c r="E164" s="5" t="str">
        <f>IFERROR(VLOOKUP(D164,'Order Flow'!$A$4:$Q$103,3,FALSE),"")</f>
        <v/>
      </c>
      <c r="F164" s="5" t="str">
        <f>IFERROR(VLOOKUP(D164,'Order Flow'!$A$4:$Q$103,5,FALSE),"")</f>
        <v/>
      </c>
      <c r="G164" s="5" t="str">
        <f>IFERROR(VLOOKUP(D164,'Order Flow'!$A$4:$Q$103,6,FALSE),"")</f>
        <v/>
      </c>
      <c r="H164" s="5"/>
      <c r="I164" s="5"/>
      <c r="K164" s="5"/>
      <c r="O164" s="8">
        <f t="shared" si="1"/>
        <v>0</v>
      </c>
      <c r="S164" s="7"/>
      <c r="T164" s="5"/>
    </row>
    <row r="165" ht="15.75" customHeight="1">
      <c r="A165" s="7"/>
      <c r="C165" s="5"/>
      <c r="E165" s="5" t="str">
        <f>IFERROR(VLOOKUP(D165,'Order Flow'!$A$4:$Q$103,3,FALSE),"")</f>
        <v/>
      </c>
      <c r="F165" s="5" t="str">
        <f>IFERROR(VLOOKUP(D165,'Order Flow'!$A$4:$Q$103,5,FALSE),"")</f>
        <v/>
      </c>
      <c r="G165" s="5" t="str">
        <f>IFERROR(VLOOKUP(D165,'Order Flow'!$A$4:$Q$103,6,FALSE),"")</f>
        <v/>
      </c>
      <c r="H165" s="5"/>
      <c r="I165" s="5"/>
      <c r="K165" s="5"/>
      <c r="O165" s="8">
        <f t="shared" si="1"/>
        <v>0</v>
      </c>
      <c r="S165" s="7"/>
      <c r="T165" s="5"/>
    </row>
    <row r="166" ht="15.75" customHeight="1">
      <c r="A166" s="7"/>
      <c r="C166" s="5"/>
      <c r="E166" s="5" t="str">
        <f>IFERROR(VLOOKUP(D166,'Order Flow'!$A$4:$Q$103,3,FALSE),"")</f>
        <v/>
      </c>
      <c r="F166" s="5" t="str">
        <f>IFERROR(VLOOKUP(D166,'Order Flow'!$A$4:$Q$103,5,FALSE),"")</f>
        <v/>
      </c>
      <c r="G166" s="5" t="str">
        <f>IFERROR(VLOOKUP(D166,'Order Flow'!$A$4:$Q$103,6,FALSE),"")</f>
        <v/>
      </c>
      <c r="H166" s="5"/>
      <c r="I166" s="5"/>
      <c r="K166" s="5"/>
      <c r="O166" s="8">
        <f t="shared" si="1"/>
        <v>0</v>
      </c>
      <c r="S166" s="7"/>
      <c r="T166" s="5"/>
    </row>
    <row r="167" ht="15.75" customHeight="1">
      <c r="A167" s="7"/>
      <c r="C167" s="5"/>
      <c r="E167" s="5" t="str">
        <f>IFERROR(VLOOKUP(D167,'Order Flow'!$A$4:$Q$103,3,FALSE),"")</f>
        <v/>
      </c>
      <c r="F167" s="5" t="str">
        <f>IFERROR(VLOOKUP(D167,'Order Flow'!$A$4:$Q$103,5,FALSE),"")</f>
        <v/>
      </c>
      <c r="G167" s="5" t="str">
        <f>IFERROR(VLOOKUP(D167,'Order Flow'!$A$4:$Q$103,6,FALSE),"")</f>
        <v/>
      </c>
      <c r="H167" s="5"/>
      <c r="I167" s="5"/>
      <c r="K167" s="5"/>
      <c r="O167" s="8">
        <f t="shared" si="1"/>
        <v>0</v>
      </c>
      <c r="S167" s="7"/>
      <c r="T167" s="5"/>
    </row>
    <row r="168" ht="15.75" customHeight="1">
      <c r="A168" s="7"/>
      <c r="C168" s="5"/>
      <c r="E168" s="5" t="str">
        <f>IFERROR(VLOOKUP(D168,'Order Flow'!$A$4:$Q$103,3,FALSE),"")</f>
        <v/>
      </c>
      <c r="F168" s="5" t="str">
        <f>IFERROR(VLOOKUP(D168,'Order Flow'!$A$4:$Q$103,5,FALSE),"")</f>
        <v/>
      </c>
      <c r="G168" s="5" t="str">
        <f>IFERROR(VLOOKUP(D168,'Order Flow'!$A$4:$Q$103,6,FALSE),"")</f>
        <v/>
      </c>
      <c r="H168" s="5"/>
      <c r="I168" s="5"/>
      <c r="K168" s="5"/>
      <c r="O168" s="8">
        <f t="shared" si="1"/>
        <v>0</v>
      </c>
      <c r="S168" s="7"/>
      <c r="T168" s="5"/>
    </row>
    <row r="169" ht="15.75" customHeight="1">
      <c r="A169" s="7"/>
      <c r="C169" s="5"/>
      <c r="E169" s="5" t="str">
        <f>IFERROR(VLOOKUP(D169,'Order Flow'!$A$4:$Q$103,3,FALSE),"")</f>
        <v/>
      </c>
      <c r="F169" s="5" t="str">
        <f>IFERROR(VLOOKUP(D169,'Order Flow'!$A$4:$Q$103,5,FALSE),"")</f>
        <v/>
      </c>
      <c r="G169" s="5" t="str">
        <f>IFERROR(VLOOKUP(D169,'Order Flow'!$A$4:$Q$103,6,FALSE),"")</f>
        <v/>
      </c>
      <c r="H169" s="5"/>
      <c r="I169" s="5"/>
      <c r="K169" s="5"/>
      <c r="O169" s="8">
        <f t="shared" si="1"/>
        <v>0</v>
      </c>
      <c r="S169" s="7"/>
      <c r="T169" s="5"/>
    </row>
    <row r="170" ht="15.75" customHeight="1">
      <c r="A170" s="7"/>
      <c r="C170" s="5"/>
      <c r="E170" s="5" t="str">
        <f>IFERROR(VLOOKUP(D170,'Order Flow'!$A$4:$Q$103,3,FALSE),"")</f>
        <v/>
      </c>
      <c r="F170" s="5" t="str">
        <f>IFERROR(VLOOKUP(D170,'Order Flow'!$A$4:$Q$103,5,FALSE),"")</f>
        <v/>
      </c>
      <c r="G170" s="5" t="str">
        <f>IFERROR(VLOOKUP(D170,'Order Flow'!$A$4:$Q$103,6,FALSE),"")</f>
        <v/>
      </c>
      <c r="H170" s="5"/>
      <c r="I170" s="5"/>
      <c r="K170" s="5"/>
      <c r="O170" s="8">
        <f t="shared" si="1"/>
        <v>0</v>
      </c>
      <c r="S170" s="7"/>
      <c r="T170" s="5"/>
    </row>
    <row r="171" ht="15.75" customHeight="1">
      <c r="A171" s="7"/>
      <c r="C171" s="5"/>
      <c r="E171" s="5" t="str">
        <f>IFERROR(VLOOKUP(D171,'Order Flow'!$A$4:$Q$103,3,FALSE),"")</f>
        <v/>
      </c>
      <c r="F171" s="5" t="str">
        <f>IFERROR(VLOOKUP(D171,'Order Flow'!$A$4:$Q$103,5,FALSE),"")</f>
        <v/>
      </c>
      <c r="G171" s="5" t="str">
        <f>IFERROR(VLOOKUP(D171,'Order Flow'!$A$4:$Q$103,6,FALSE),"")</f>
        <v/>
      </c>
      <c r="H171" s="5"/>
      <c r="I171" s="5"/>
      <c r="K171" s="5"/>
      <c r="O171" s="8">
        <f t="shared" si="1"/>
        <v>0</v>
      </c>
      <c r="S171" s="7"/>
      <c r="T171" s="5"/>
    </row>
    <row r="172" ht="15.75" customHeight="1">
      <c r="A172" s="7"/>
      <c r="C172" s="5"/>
      <c r="E172" s="5" t="str">
        <f>IFERROR(VLOOKUP(D172,'Order Flow'!$A$4:$Q$103,3,FALSE),"")</f>
        <v/>
      </c>
      <c r="F172" s="5" t="str">
        <f>IFERROR(VLOOKUP(D172,'Order Flow'!$A$4:$Q$103,5,FALSE),"")</f>
        <v/>
      </c>
      <c r="G172" s="5" t="str">
        <f>IFERROR(VLOOKUP(D172,'Order Flow'!$A$4:$Q$103,6,FALSE),"")</f>
        <v/>
      </c>
      <c r="H172" s="5"/>
      <c r="I172" s="5"/>
      <c r="K172" s="5"/>
      <c r="O172" s="8">
        <f t="shared" si="1"/>
        <v>0</v>
      </c>
      <c r="S172" s="7"/>
      <c r="T172" s="5"/>
    </row>
    <row r="173" ht="15.75" customHeight="1">
      <c r="A173" s="7"/>
      <c r="C173" s="5"/>
      <c r="E173" s="5" t="str">
        <f>IFERROR(VLOOKUP(D173,'Order Flow'!$A$4:$Q$103,3,FALSE),"")</f>
        <v/>
      </c>
      <c r="F173" s="5" t="str">
        <f>IFERROR(VLOOKUP(D173,'Order Flow'!$A$4:$Q$103,5,FALSE),"")</f>
        <v/>
      </c>
      <c r="G173" s="5" t="str">
        <f>IFERROR(VLOOKUP(D173,'Order Flow'!$A$4:$Q$103,6,FALSE),"")</f>
        <v/>
      </c>
      <c r="H173" s="5"/>
      <c r="I173" s="5"/>
      <c r="K173" s="5"/>
      <c r="O173" s="8">
        <f t="shared" si="1"/>
        <v>0</v>
      </c>
      <c r="S173" s="7"/>
      <c r="T173" s="5"/>
    </row>
    <row r="174" ht="15.75" customHeight="1">
      <c r="A174" s="7"/>
      <c r="C174" s="5"/>
      <c r="E174" s="5" t="str">
        <f>IFERROR(VLOOKUP(D174,'Order Flow'!$A$4:$Q$103,3,FALSE),"")</f>
        <v/>
      </c>
      <c r="F174" s="5" t="str">
        <f>IFERROR(VLOOKUP(D174,'Order Flow'!$A$4:$Q$103,5,FALSE),"")</f>
        <v/>
      </c>
      <c r="G174" s="5" t="str">
        <f>IFERROR(VLOOKUP(D174,'Order Flow'!$A$4:$Q$103,6,FALSE),"")</f>
        <v/>
      </c>
      <c r="H174" s="5"/>
      <c r="I174" s="5"/>
      <c r="K174" s="5"/>
      <c r="O174" s="8">
        <f t="shared" si="1"/>
        <v>0</v>
      </c>
      <c r="S174" s="7"/>
      <c r="T174" s="5"/>
    </row>
    <row r="175" ht="15.75" customHeight="1">
      <c r="A175" s="7"/>
      <c r="C175" s="5"/>
      <c r="E175" s="5" t="str">
        <f>IFERROR(VLOOKUP(D175,'Order Flow'!$A$4:$Q$103,3,FALSE),"")</f>
        <v/>
      </c>
      <c r="F175" s="5" t="str">
        <f>IFERROR(VLOOKUP(D175,'Order Flow'!$A$4:$Q$103,5,FALSE),"")</f>
        <v/>
      </c>
      <c r="G175" s="5" t="str">
        <f>IFERROR(VLOOKUP(D175,'Order Flow'!$A$4:$Q$103,6,FALSE),"")</f>
        <v/>
      </c>
      <c r="H175" s="5"/>
      <c r="I175" s="5"/>
      <c r="K175" s="5"/>
      <c r="O175" s="8">
        <f t="shared" si="1"/>
        <v>0</v>
      </c>
      <c r="S175" s="7"/>
      <c r="T175" s="5"/>
    </row>
    <row r="176" ht="15.75" customHeight="1">
      <c r="A176" s="7"/>
      <c r="C176" s="5"/>
      <c r="E176" s="5" t="str">
        <f>IFERROR(VLOOKUP(D176,'Order Flow'!$A$4:$Q$103,3,FALSE),"")</f>
        <v/>
      </c>
      <c r="F176" s="5" t="str">
        <f>IFERROR(VLOOKUP(D176,'Order Flow'!$A$4:$Q$103,5,FALSE),"")</f>
        <v/>
      </c>
      <c r="G176" s="5" t="str">
        <f>IFERROR(VLOOKUP(D176,'Order Flow'!$A$4:$Q$103,6,FALSE),"")</f>
        <v/>
      </c>
      <c r="H176" s="5"/>
      <c r="I176" s="5"/>
      <c r="K176" s="5"/>
      <c r="O176" s="8">
        <f t="shared" si="1"/>
        <v>0</v>
      </c>
      <c r="S176" s="7"/>
      <c r="T176" s="5"/>
    </row>
    <row r="177" ht="15.75" customHeight="1">
      <c r="A177" s="7"/>
      <c r="C177" s="5"/>
      <c r="E177" s="5" t="str">
        <f>IFERROR(VLOOKUP(D177,'Order Flow'!$A$4:$Q$103,3,FALSE),"")</f>
        <v/>
      </c>
      <c r="F177" s="5" t="str">
        <f>IFERROR(VLOOKUP(D177,'Order Flow'!$A$4:$Q$103,5,FALSE),"")</f>
        <v/>
      </c>
      <c r="G177" s="5" t="str">
        <f>IFERROR(VLOOKUP(D177,'Order Flow'!$A$4:$Q$103,6,FALSE),"")</f>
        <v/>
      </c>
      <c r="H177" s="5"/>
      <c r="I177" s="5"/>
      <c r="K177" s="5"/>
      <c r="O177" s="8">
        <f t="shared" si="1"/>
        <v>0</v>
      </c>
      <c r="S177" s="7"/>
      <c r="T177" s="5"/>
    </row>
    <row r="178" ht="15.75" customHeight="1">
      <c r="A178" s="7"/>
      <c r="C178" s="5"/>
      <c r="E178" s="5" t="str">
        <f>IFERROR(VLOOKUP(D178,'Order Flow'!$A$4:$Q$103,3,FALSE),"")</f>
        <v/>
      </c>
      <c r="F178" s="5" t="str">
        <f>IFERROR(VLOOKUP(D178,'Order Flow'!$A$4:$Q$103,5,FALSE),"")</f>
        <v/>
      </c>
      <c r="G178" s="5" t="str">
        <f>IFERROR(VLOOKUP(D178,'Order Flow'!$A$4:$Q$103,6,FALSE),"")</f>
        <v/>
      </c>
      <c r="H178" s="5"/>
      <c r="I178" s="5"/>
      <c r="K178" s="5"/>
      <c r="O178" s="8">
        <f t="shared" si="1"/>
        <v>0</v>
      </c>
      <c r="S178" s="7"/>
      <c r="T178" s="5"/>
    </row>
    <row r="179" ht="15.75" customHeight="1">
      <c r="A179" s="7"/>
      <c r="C179" s="5"/>
      <c r="E179" s="5" t="str">
        <f>IFERROR(VLOOKUP(D179,'Order Flow'!$A$4:$Q$103,3,FALSE),"")</f>
        <v/>
      </c>
      <c r="F179" s="5" t="str">
        <f>IFERROR(VLOOKUP(D179,'Order Flow'!$A$4:$Q$103,5,FALSE),"")</f>
        <v/>
      </c>
      <c r="G179" s="5" t="str">
        <f>IFERROR(VLOOKUP(D179,'Order Flow'!$A$4:$Q$103,6,FALSE),"")</f>
        <v/>
      </c>
      <c r="H179" s="5"/>
      <c r="I179" s="5"/>
      <c r="K179" s="5"/>
      <c r="O179" s="8">
        <f t="shared" si="1"/>
        <v>0</v>
      </c>
      <c r="S179" s="7"/>
      <c r="T179" s="5"/>
    </row>
    <row r="180" ht="15.75" customHeight="1">
      <c r="A180" s="7"/>
      <c r="C180" s="5"/>
      <c r="E180" s="5" t="str">
        <f>IFERROR(VLOOKUP(D180,'Order Flow'!$A$4:$Q$103,3,FALSE),"")</f>
        <v/>
      </c>
      <c r="F180" s="5" t="str">
        <f>IFERROR(VLOOKUP(D180,'Order Flow'!$A$4:$Q$103,5,FALSE),"")</f>
        <v/>
      </c>
      <c r="G180" s="5" t="str">
        <f>IFERROR(VLOOKUP(D180,'Order Flow'!$A$4:$Q$103,6,FALSE),"")</f>
        <v/>
      </c>
      <c r="H180" s="5"/>
      <c r="I180" s="5"/>
      <c r="K180" s="5"/>
      <c r="O180" s="8">
        <f t="shared" si="1"/>
        <v>0</v>
      </c>
      <c r="S180" s="7"/>
      <c r="T180" s="5"/>
    </row>
    <row r="181" ht="15.75" customHeight="1">
      <c r="A181" s="7"/>
      <c r="C181" s="5"/>
      <c r="E181" s="5" t="str">
        <f>IFERROR(VLOOKUP(D181,'Order Flow'!$A$4:$Q$103,3,FALSE),"")</f>
        <v/>
      </c>
      <c r="F181" s="5" t="str">
        <f>IFERROR(VLOOKUP(D181,'Order Flow'!$A$4:$Q$103,5,FALSE),"")</f>
        <v/>
      </c>
      <c r="G181" s="5" t="str">
        <f>IFERROR(VLOOKUP(D181,'Order Flow'!$A$4:$Q$103,6,FALSE),"")</f>
        <v/>
      </c>
      <c r="H181" s="5"/>
      <c r="I181" s="5"/>
      <c r="K181" s="5"/>
      <c r="O181" s="8">
        <f t="shared" si="1"/>
        <v>0</v>
      </c>
      <c r="S181" s="7"/>
      <c r="T181" s="5"/>
    </row>
    <row r="182" ht="15.75" customHeight="1">
      <c r="A182" s="7"/>
      <c r="C182" s="5"/>
      <c r="E182" s="5" t="str">
        <f>IFERROR(VLOOKUP(D182,'Order Flow'!$A$4:$Q$103,3,FALSE),"")</f>
        <v/>
      </c>
      <c r="F182" s="5" t="str">
        <f>IFERROR(VLOOKUP(D182,'Order Flow'!$A$4:$Q$103,5,FALSE),"")</f>
        <v/>
      </c>
      <c r="G182" s="5" t="str">
        <f>IFERROR(VLOOKUP(D182,'Order Flow'!$A$4:$Q$103,6,FALSE),"")</f>
        <v/>
      </c>
      <c r="H182" s="5"/>
      <c r="I182" s="5"/>
      <c r="K182" s="5"/>
      <c r="O182" s="8">
        <f t="shared" si="1"/>
        <v>0</v>
      </c>
      <c r="S182" s="7"/>
      <c r="T182" s="5"/>
    </row>
    <row r="183" ht="15.75" customHeight="1">
      <c r="A183" s="7"/>
      <c r="C183" s="5"/>
      <c r="E183" s="5" t="str">
        <f>IFERROR(VLOOKUP(D183,'Order Flow'!$A$4:$Q$103,3,FALSE),"")</f>
        <v/>
      </c>
      <c r="F183" s="5" t="str">
        <f>IFERROR(VLOOKUP(D183,'Order Flow'!$A$4:$Q$103,5,FALSE),"")</f>
        <v/>
      </c>
      <c r="G183" s="5" t="str">
        <f>IFERROR(VLOOKUP(D183,'Order Flow'!$A$4:$Q$103,6,FALSE),"")</f>
        <v/>
      </c>
      <c r="H183" s="5"/>
      <c r="I183" s="5"/>
      <c r="K183" s="5"/>
      <c r="O183" s="8">
        <f t="shared" si="1"/>
        <v>0</v>
      </c>
      <c r="S183" s="7"/>
      <c r="T183" s="5"/>
    </row>
    <row r="184" ht="15.75" customHeight="1">
      <c r="A184" s="7"/>
      <c r="C184" s="5"/>
      <c r="E184" s="5" t="str">
        <f>IFERROR(VLOOKUP(D184,'Order Flow'!$A$4:$Q$103,3,FALSE),"")</f>
        <v/>
      </c>
      <c r="F184" s="5" t="str">
        <f>IFERROR(VLOOKUP(D184,'Order Flow'!$A$4:$Q$103,5,FALSE),"")</f>
        <v/>
      </c>
      <c r="G184" s="5" t="str">
        <f>IFERROR(VLOOKUP(D184,'Order Flow'!$A$4:$Q$103,6,FALSE),"")</f>
        <v/>
      </c>
      <c r="H184" s="5"/>
      <c r="I184" s="5"/>
      <c r="K184" s="5"/>
      <c r="O184" s="8">
        <f t="shared" si="1"/>
        <v>0</v>
      </c>
      <c r="S184" s="7"/>
      <c r="T184" s="5"/>
    </row>
    <row r="185" ht="15.75" customHeight="1">
      <c r="A185" s="7"/>
      <c r="C185" s="5"/>
      <c r="E185" s="5" t="str">
        <f>IFERROR(VLOOKUP(D185,'Order Flow'!$A$4:$Q$103,3,FALSE),"")</f>
        <v/>
      </c>
      <c r="F185" s="5" t="str">
        <f>IFERROR(VLOOKUP(D185,'Order Flow'!$A$4:$Q$103,5,FALSE),"")</f>
        <v/>
      </c>
      <c r="G185" s="5" t="str">
        <f>IFERROR(VLOOKUP(D185,'Order Flow'!$A$4:$Q$103,6,FALSE),"")</f>
        <v/>
      </c>
      <c r="H185" s="5"/>
      <c r="I185" s="5"/>
      <c r="K185" s="5"/>
      <c r="O185" s="8">
        <f t="shared" si="1"/>
        <v>0</v>
      </c>
      <c r="S185" s="7"/>
      <c r="T185" s="5"/>
    </row>
    <row r="186" ht="15.75" customHeight="1">
      <c r="A186" s="7"/>
      <c r="C186" s="5"/>
      <c r="E186" s="5" t="str">
        <f>IFERROR(VLOOKUP(D186,'Order Flow'!$A$4:$Q$103,3,FALSE),"")</f>
        <v/>
      </c>
      <c r="F186" s="5" t="str">
        <f>IFERROR(VLOOKUP(D186,'Order Flow'!$A$4:$Q$103,5,FALSE),"")</f>
        <v/>
      </c>
      <c r="G186" s="5" t="str">
        <f>IFERROR(VLOOKUP(D186,'Order Flow'!$A$4:$Q$103,6,FALSE),"")</f>
        <v/>
      </c>
      <c r="H186" s="5"/>
      <c r="I186" s="5"/>
      <c r="K186" s="5"/>
      <c r="O186" s="8">
        <f t="shared" si="1"/>
        <v>0</v>
      </c>
      <c r="S186" s="7"/>
      <c r="T186" s="5"/>
    </row>
    <row r="187" ht="15.75" customHeight="1">
      <c r="A187" s="7"/>
      <c r="C187" s="5"/>
      <c r="E187" s="5" t="str">
        <f>IFERROR(VLOOKUP(D187,'Order Flow'!$A$4:$Q$103,3,FALSE),"")</f>
        <v/>
      </c>
      <c r="F187" s="5" t="str">
        <f>IFERROR(VLOOKUP(D187,'Order Flow'!$A$4:$Q$103,5,FALSE),"")</f>
        <v/>
      </c>
      <c r="G187" s="5" t="str">
        <f>IFERROR(VLOOKUP(D187,'Order Flow'!$A$4:$Q$103,6,FALSE),"")</f>
        <v/>
      </c>
      <c r="H187" s="5"/>
      <c r="I187" s="5"/>
      <c r="K187" s="5"/>
      <c r="O187" s="8">
        <f t="shared" si="1"/>
        <v>0</v>
      </c>
      <c r="S187" s="7"/>
      <c r="T187" s="5"/>
    </row>
    <row r="188" ht="15.75" customHeight="1">
      <c r="A188" s="7"/>
      <c r="C188" s="5"/>
      <c r="E188" s="5" t="str">
        <f>IFERROR(VLOOKUP(D188,'Order Flow'!$A$4:$Q$103,3,FALSE),"")</f>
        <v/>
      </c>
      <c r="F188" s="5" t="str">
        <f>IFERROR(VLOOKUP(D188,'Order Flow'!$A$4:$Q$103,5,FALSE),"")</f>
        <v/>
      </c>
      <c r="G188" s="5" t="str">
        <f>IFERROR(VLOOKUP(D188,'Order Flow'!$A$4:$Q$103,6,FALSE),"")</f>
        <v/>
      </c>
      <c r="H188" s="5"/>
      <c r="I188" s="5"/>
      <c r="K188" s="5"/>
      <c r="O188" s="8">
        <f t="shared" si="1"/>
        <v>0</v>
      </c>
      <c r="S188" s="7"/>
      <c r="T188" s="5"/>
    </row>
    <row r="189" ht="15.75" customHeight="1">
      <c r="A189" s="7"/>
      <c r="C189" s="5"/>
      <c r="E189" s="5" t="str">
        <f>IFERROR(VLOOKUP(D189,'Order Flow'!$A$4:$Q$103,3,FALSE),"")</f>
        <v/>
      </c>
      <c r="F189" s="5" t="str">
        <f>IFERROR(VLOOKUP(D189,'Order Flow'!$A$4:$Q$103,5,FALSE),"")</f>
        <v/>
      </c>
      <c r="G189" s="5" t="str">
        <f>IFERROR(VLOOKUP(D189,'Order Flow'!$A$4:$Q$103,6,FALSE),"")</f>
        <v/>
      </c>
      <c r="H189" s="5"/>
      <c r="I189" s="5"/>
      <c r="K189" s="5"/>
      <c r="O189" s="8">
        <f t="shared" si="1"/>
        <v>0</v>
      </c>
      <c r="S189" s="7"/>
      <c r="T189" s="5"/>
    </row>
    <row r="190" ht="15.75" customHeight="1">
      <c r="A190" s="7"/>
      <c r="C190" s="5"/>
      <c r="E190" s="5" t="str">
        <f>IFERROR(VLOOKUP(D190,'Order Flow'!$A$4:$Q$103,3,FALSE),"")</f>
        <v/>
      </c>
      <c r="F190" s="5" t="str">
        <f>IFERROR(VLOOKUP(D190,'Order Flow'!$A$4:$Q$103,5,FALSE),"")</f>
        <v/>
      </c>
      <c r="G190" s="5" t="str">
        <f>IFERROR(VLOOKUP(D190,'Order Flow'!$A$4:$Q$103,6,FALSE),"")</f>
        <v/>
      </c>
      <c r="H190" s="5"/>
      <c r="I190" s="5"/>
      <c r="K190" s="5"/>
      <c r="O190" s="8">
        <f t="shared" si="1"/>
        <v>0</v>
      </c>
      <c r="S190" s="7"/>
      <c r="T190" s="5"/>
    </row>
    <row r="191" ht="15.75" customHeight="1">
      <c r="A191" s="7"/>
      <c r="C191" s="5"/>
      <c r="E191" s="5" t="str">
        <f>IFERROR(VLOOKUP(D191,'Order Flow'!$A$4:$Q$103,3,FALSE),"")</f>
        <v/>
      </c>
      <c r="F191" s="5" t="str">
        <f>IFERROR(VLOOKUP(D191,'Order Flow'!$A$4:$Q$103,5,FALSE),"")</f>
        <v/>
      </c>
      <c r="G191" s="5" t="str">
        <f>IFERROR(VLOOKUP(D191,'Order Flow'!$A$4:$Q$103,6,FALSE),"")</f>
        <v/>
      </c>
      <c r="H191" s="5"/>
      <c r="I191" s="5"/>
      <c r="K191" s="5"/>
      <c r="O191" s="8">
        <f t="shared" si="1"/>
        <v>0</v>
      </c>
      <c r="S191" s="7"/>
      <c r="T191" s="5"/>
    </row>
    <row r="192" ht="15.75" customHeight="1">
      <c r="A192" s="7"/>
      <c r="C192" s="5"/>
      <c r="E192" s="5" t="str">
        <f>IFERROR(VLOOKUP(D192,'Order Flow'!$A$4:$Q$103,3,FALSE),"")</f>
        <v/>
      </c>
      <c r="F192" s="5" t="str">
        <f>IFERROR(VLOOKUP(D192,'Order Flow'!$A$4:$Q$103,5,FALSE),"")</f>
        <v/>
      </c>
      <c r="G192" s="5" t="str">
        <f>IFERROR(VLOOKUP(D192,'Order Flow'!$A$4:$Q$103,6,FALSE),"")</f>
        <v/>
      </c>
      <c r="H192" s="5"/>
      <c r="I192" s="5"/>
      <c r="K192" s="5"/>
      <c r="O192" s="8">
        <f t="shared" si="1"/>
        <v>0</v>
      </c>
      <c r="S192" s="7"/>
      <c r="T192" s="5"/>
    </row>
    <row r="193" ht="15.75" customHeight="1">
      <c r="A193" s="7"/>
      <c r="C193" s="5"/>
      <c r="E193" s="5" t="str">
        <f>IFERROR(VLOOKUP(D193,'Order Flow'!$A$4:$Q$103,3,FALSE),"")</f>
        <v/>
      </c>
      <c r="F193" s="5" t="str">
        <f>IFERROR(VLOOKUP(D193,'Order Flow'!$A$4:$Q$103,5,FALSE),"")</f>
        <v/>
      </c>
      <c r="G193" s="5" t="str">
        <f>IFERROR(VLOOKUP(D193,'Order Flow'!$A$4:$Q$103,6,FALSE),"")</f>
        <v/>
      </c>
      <c r="H193" s="5"/>
      <c r="I193" s="5"/>
      <c r="K193" s="5"/>
      <c r="O193" s="8">
        <f t="shared" si="1"/>
        <v>0</v>
      </c>
      <c r="S193" s="7"/>
      <c r="T193" s="5"/>
    </row>
    <row r="194" ht="15.75" customHeight="1">
      <c r="A194" s="7"/>
      <c r="C194" s="5"/>
      <c r="E194" s="5" t="str">
        <f>IFERROR(VLOOKUP(D194,'Order Flow'!$A$4:$Q$103,3,FALSE),"")</f>
        <v/>
      </c>
      <c r="F194" s="5" t="str">
        <f>IFERROR(VLOOKUP(D194,'Order Flow'!$A$4:$Q$103,5,FALSE),"")</f>
        <v/>
      </c>
      <c r="G194" s="5" t="str">
        <f>IFERROR(VLOOKUP(D194,'Order Flow'!$A$4:$Q$103,6,FALSE),"")</f>
        <v/>
      </c>
      <c r="H194" s="5"/>
      <c r="I194" s="5"/>
      <c r="K194" s="5"/>
      <c r="O194" s="8">
        <f t="shared" si="1"/>
        <v>0</v>
      </c>
      <c r="S194" s="7"/>
      <c r="T194" s="5"/>
    </row>
    <row r="195" ht="15.75" customHeight="1">
      <c r="A195" s="7"/>
      <c r="C195" s="5"/>
      <c r="E195" s="5" t="str">
        <f>IFERROR(VLOOKUP(D195,'Order Flow'!$A$4:$Q$103,3,FALSE),"")</f>
        <v/>
      </c>
      <c r="F195" s="5" t="str">
        <f>IFERROR(VLOOKUP(D195,'Order Flow'!$A$4:$Q$103,5,FALSE),"")</f>
        <v/>
      </c>
      <c r="G195" s="5" t="str">
        <f>IFERROR(VLOOKUP(D195,'Order Flow'!$A$4:$Q$103,6,FALSE),"")</f>
        <v/>
      </c>
      <c r="H195" s="5"/>
      <c r="I195" s="5"/>
      <c r="K195" s="5"/>
      <c r="O195" s="8">
        <f t="shared" si="1"/>
        <v>0</v>
      </c>
      <c r="S195" s="7"/>
      <c r="T195" s="5"/>
    </row>
    <row r="196" ht="15.75" customHeight="1">
      <c r="A196" s="7"/>
      <c r="C196" s="5"/>
      <c r="E196" s="5" t="str">
        <f>IFERROR(VLOOKUP(D196,'Order Flow'!$A$4:$Q$103,3,FALSE),"")</f>
        <v/>
      </c>
      <c r="F196" s="5" t="str">
        <f>IFERROR(VLOOKUP(D196,'Order Flow'!$A$4:$Q$103,5,FALSE),"")</f>
        <v/>
      </c>
      <c r="G196" s="5" t="str">
        <f>IFERROR(VLOOKUP(D196,'Order Flow'!$A$4:$Q$103,6,FALSE),"")</f>
        <v/>
      </c>
      <c r="H196" s="5"/>
      <c r="I196" s="5"/>
      <c r="K196" s="5"/>
      <c r="O196" s="8">
        <f t="shared" si="1"/>
        <v>0</v>
      </c>
      <c r="S196" s="7"/>
      <c r="T196" s="5"/>
    </row>
    <row r="197" ht="15.75" customHeight="1">
      <c r="A197" s="7"/>
      <c r="C197" s="5"/>
      <c r="E197" s="5" t="str">
        <f>IFERROR(VLOOKUP(D197,'Order Flow'!$A$4:$Q$103,3,FALSE),"")</f>
        <v/>
      </c>
      <c r="F197" s="5" t="str">
        <f>IFERROR(VLOOKUP(D197,'Order Flow'!$A$4:$Q$103,5,FALSE),"")</f>
        <v/>
      </c>
      <c r="G197" s="5" t="str">
        <f>IFERROR(VLOOKUP(D197,'Order Flow'!$A$4:$Q$103,6,FALSE),"")</f>
        <v/>
      </c>
      <c r="H197" s="5"/>
      <c r="I197" s="5"/>
      <c r="K197" s="5"/>
      <c r="O197" s="8">
        <f t="shared" si="1"/>
        <v>0</v>
      </c>
      <c r="S197" s="7"/>
      <c r="T197" s="5"/>
    </row>
    <row r="198" ht="15.75" customHeight="1">
      <c r="A198" s="7"/>
      <c r="C198" s="5"/>
      <c r="E198" s="5" t="str">
        <f>IFERROR(VLOOKUP(D198,'Order Flow'!$A$4:$Q$103,3,FALSE),"")</f>
        <v/>
      </c>
      <c r="F198" s="5" t="str">
        <f>IFERROR(VLOOKUP(D198,'Order Flow'!$A$4:$Q$103,5,FALSE),"")</f>
        <v/>
      </c>
      <c r="G198" s="5" t="str">
        <f>IFERROR(VLOOKUP(D198,'Order Flow'!$A$4:$Q$103,6,FALSE),"")</f>
        <v/>
      </c>
      <c r="H198" s="5"/>
      <c r="I198" s="5"/>
      <c r="K198" s="5"/>
      <c r="O198" s="8">
        <f t="shared" si="1"/>
        <v>0</v>
      </c>
      <c r="S198" s="7"/>
      <c r="T198" s="5"/>
    </row>
    <row r="199" ht="15.75" customHeight="1">
      <c r="A199" s="7"/>
      <c r="C199" s="5"/>
      <c r="E199" s="5" t="str">
        <f>IFERROR(VLOOKUP(D199,'Order Flow'!$A$4:$Q$103,3,FALSE),"")</f>
        <v/>
      </c>
      <c r="F199" s="5" t="str">
        <f>IFERROR(VLOOKUP(D199,'Order Flow'!$A$4:$Q$103,5,FALSE),"")</f>
        <v/>
      </c>
      <c r="G199" s="5" t="str">
        <f>IFERROR(VLOOKUP(D199,'Order Flow'!$A$4:$Q$103,6,FALSE),"")</f>
        <v/>
      </c>
      <c r="H199" s="5"/>
      <c r="I199" s="5"/>
      <c r="K199" s="5"/>
      <c r="O199" s="8">
        <f t="shared" si="1"/>
        <v>0</v>
      </c>
      <c r="S199" s="7"/>
      <c r="T199" s="5"/>
    </row>
    <row r="200" ht="15.75" customHeight="1">
      <c r="A200" s="7"/>
      <c r="C200" s="5"/>
      <c r="E200" s="5" t="str">
        <f>IFERROR(VLOOKUP(D200,'Order Flow'!$A$4:$Q$103,3,FALSE),"")</f>
        <v/>
      </c>
      <c r="F200" s="5" t="str">
        <f>IFERROR(VLOOKUP(D200,'Order Flow'!$A$4:$Q$103,5,FALSE),"")</f>
        <v/>
      </c>
      <c r="G200" s="5" t="str">
        <f>IFERROR(VLOOKUP(D200,'Order Flow'!$A$4:$Q$103,6,FALSE),"")</f>
        <v/>
      </c>
      <c r="H200" s="5"/>
      <c r="I200" s="5"/>
      <c r="K200" s="5"/>
      <c r="O200" s="8">
        <f t="shared" si="1"/>
        <v>0</v>
      </c>
      <c r="S200" s="7"/>
      <c r="T200" s="5"/>
    </row>
    <row r="201" ht="15.75" customHeight="1">
      <c r="A201" s="7"/>
      <c r="C201" s="5"/>
      <c r="E201" s="5" t="str">
        <f>IFERROR(VLOOKUP(D201,'Order Flow'!$A$4:$Q$103,3,FALSE),"")</f>
        <v/>
      </c>
      <c r="F201" s="5" t="str">
        <f>IFERROR(VLOOKUP(D201,'Order Flow'!$A$4:$Q$103,5,FALSE),"")</f>
        <v/>
      </c>
      <c r="G201" s="5" t="str">
        <f>IFERROR(VLOOKUP(D201,'Order Flow'!$A$4:$Q$103,6,FALSE),"")</f>
        <v/>
      </c>
      <c r="H201" s="5"/>
      <c r="I201" s="5"/>
      <c r="K201" s="5"/>
      <c r="O201" s="8">
        <f t="shared" si="1"/>
        <v>0</v>
      </c>
      <c r="S201" s="7"/>
      <c r="T201" s="5"/>
    </row>
    <row r="202" ht="15.75" customHeight="1">
      <c r="A202" s="7"/>
      <c r="C202" s="5"/>
      <c r="E202" s="5" t="str">
        <f>IFERROR(VLOOKUP(D202,'Order Flow'!$A$4:$Q$103,3,FALSE),"")</f>
        <v/>
      </c>
      <c r="F202" s="5" t="str">
        <f>IFERROR(VLOOKUP(D202,'Order Flow'!$A$4:$Q$103,5,FALSE),"")</f>
        <v/>
      </c>
      <c r="G202" s="5" t="str">
        <f>IFERROR(VLOOKUP(D202,'Order Flow'!$A$4:$Q$103,6,FALSE),"")</f>
        <v/>
      </c>
      <c r="H202" s="5"/>
      <c r="I202" s="5"/>
      <c r="K202" s="5"/>
      <c r="O202" s="8">
        <f t="shared" si="1"/>
        <v>0</v>
      </c>
      <c r="S202" s="7"/>
      <c r="T202" s="5"/>
    </row>
    <row r="203" ht="15.75" customHeight="1">
      <c r="A203" s="7"/>
      <c r="C203" s="5"/>
      <c r="E203" s="5" t="str">
        <f>IFERROR(VLOOKUP(D203,'Order Flow'!$A$4:$Q$103,3,FALSE),"")</f>
        <v/>
      </c>
      <c r="F203" s="5" t="str">
        <f>IFERROR(VLOOKUP(D203,'Order Flow'!$A$4:$Q$103,5,FALSE),"")</f>
        <v/>
      </c>
      <c r="G203" s="5" t="str">
        <f>IFERROR(VLOOKUP(D203,'Order Flow'!$A$4:$Q$103,6,FALSE),"")</f>
        <v/>
      </c>
      <c r="H203" s="5"/>
      <c r="I203" s="5"/>
      <c r="K203" s="5"/>
      <c r="O203" s="8">
        <f t="shared" si="1"/>
        <v>0</v>
      </c>
      <c r="S203" s="7"/>
      <c r="T203" s="5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V1"/>
  </mergeCells>
  <dataValidations>
    <dataValidation type="list" allowBlank="1" sqref="K4:K203">
      <formula1>'Master Data'!$I$4:$I$14</formula1>
    </dataValidation>
    <dataValidation type="list" allowBlank="1" sqref="C4:C203">
      <formula1>"Incoming Vendor QC,In-Process QC,Packing QC,Final Dispatch QC"</formula1>
    </dataValidation>
    <dataValidation type="list" allowBlank="1" sqref="H4:H203">
      <formula1>'Master Data'!$E$4:$E$14</formula1>
    </dataValidation>
    <dataValidation type="list" allowBlank="1" sqref="I4:I203">
      <formula1>'Master Data'!$F$4:$F$14</formula1>
    </dataValidation>
    <dataValidation type="list" allowBlank="1" sqref="T4:T203">
      <formula1>"Yes,No,Pending"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5.0"/>
    <col customWidth="1" min="4" max="4" width="22.0"/>
    <col customWidth="1" min="5" max="9" width="15.0"/>
    <col customWidth="1" min="10" max="10" width="22.0"/>
    <col customWidth="1" min="11" max="13" width="15.0"/>
    <col customWidth="1" min="14" max="14" width="25.0"/>
    <col customWidth="1" min="15" max="26" width="8.63"/>
  </cols>
  <sheetData>
    <row r="1">
      <c r="A1" s="1" t="s">
        <v>117</v>
      </c>
    </row>
    <row r="3">
      <c r="A3" s="3" t="s">
        <v>104</v>
      </c>
      <c r="B3" s="3" t="s">
        <v>118</v>
      </c>
      <c r="C3" s="3" t="s">
        <v>119</v>
      </c>
      <c r="D3" s="3" t="s">
        <v>120</v>
      </c>
      <c r="E3" s="3" t="s">
        <v>121</v>
      </c>
      <c r="F3" s="3" t="s">
        <v>122</v>
      </c>
      <c r="G3" s="3" t="s">
        <v>123</v>
      </c>
      <c r="H3" s="3" t="s">
        <v>124</v>
      </c>
      <c r="I3" s="3" t="s">
        <v>125</v>
      </c>
      <c r="J3" s="3" t="s">
        <v>126</v>
      </c>
      <c r="K3" s="3" t="s">
        <v>127</v>
      </c>
      <c r="L3" s="3" t="s">
        <v>128</v>
      </c>
      <c r="M3" s="3" t="s">
        <v>116</v>
      </c>
      <c r="N3" s="3" t="s">
        <v>47</v>
      </c>
    </row>
    <row r="4">
      <c r="A4" s="7"/>
      <c r="F4" s="5"/>
      <c r="I4" s="5"/>
    </row>
    <row r="5">
      <c r="A5" s="7"/>
      <c r="F5" s="5"/>
      <c r="I5" s="5"/>
    </row>
    <row r="6">
      <c r="A6" s="7"/>
      <c r="F6" s="5"/>
      <c r="I6" s="5"/>
    </row>
    <row r="7">
      <c r="A7" s="7"/>
      <c r="F7" s="5"/>
      <c r="I7" s="5"/>
    </row>
    <row r="8">
      <c r="A8" s="7"/>
      <c r="F8" s="5"/>
      <c r="I8" s="5"/>
    </row>
    <row r="9">
      <c r="A9" s="7"/>
      <c r="F9" s="5"/>
      <c r="I9" s="5"/>
    </row>
    <row r="10">
      <c r="A10" s="7"/>
      <c r="F10" s="5"/>
      <c r="I10" s="5"/>
    </row>
    <row r="11">
      <c r="A11" s="7"/>
      <c r="F11" s="5"/>
      <c r="I11" s="5"/>
    </row>
    <row r="12">
      <c r="A12" s="7"/>
      <c r="F12" s="5"/>
      <c r="I12" s="5"/>
    </row>
    <row r="13">
      <c r="A13" s="7"/>
      <c r="F13" s="5"/>
      <c r="I13" s="5"/>
    </row>
    <row r="14">
      <c r="A14" s="7"/>
      <c r="F14" s="5"/>
      <c r="I14" s="5"/>
    </row>
    <row r="15">
      <c r="A15" s="7"/>
      <c r="F15" s="5"/>
      <c r="I15" s="5"/>
    </row>
    <row r="16">
      <c r="A16" s="7"/>
      <c r="F16" s="5"/>
      <c r="I16" s="5"/>
    </row>
    <row r="17">
      <c r="A17" s="7"/>
      <c r="F17" s="5"/>
      <c r="I17" s="5"/>
    </row>
    <row r="18">
      <c r="A18" s="7"/>
      <c r="F18" s="5"/>
      <c r="I18" s="5"/>
    </row>
    <row r="19">
      <c r="A19" s="7"/>
      <c r="F19" s="5"/>
      <c r="I19" s="5"/>
    </row>
    <row r="20">
      <c r="A20" s="7"/>
      <c r="F20" s="5"/>
      <c r="I20" s="5"/>
    </row>
    <row r="21" ht="15.75" customHeight="1">
      <c r="A21" s="7"/>
      <c r="F21" s="5"/>
      <c r="I21" s="5"/>
    </row>
    <row r="22" ht="15.75" customHeight="1">
      <c r="A22" s="7"/>
      <c r="F22" s="5"/>
      <c r="I22" s="5"/>
    </row>
    <row r="23" ht="15.75" customHeight="1">
      <c r="A23" s="7"/>
      <c r="F23" s="5"/>
      <c r="I23" s="5"/>
    </row>
    <row r="24" ht="15.75" customHeight="1">
      <c r="A24" s="7"/>
      <c r="F24" s="5"/>
      <c r="I24" s="5"/>
    </row>
    <row r="25" ht="15.75" customHeight="1">
      <c r="A25" s="7"/>
      <c r="F25" s="5"/>
      <c r="I25" s="5"/>
    </row>
    <row r="26" ht="15.75" customHeight="1">
      <c r="A26" s="7"/>
      <c r="F26" s="5"/>
      <c r="I26" s="5"/>
    </row>
    <row r="27" ht="15.75" customHeight="1">
      <c r="A27" s="7"/>
      <c r="F27" s="5"/>
      <c r="I27" s="5"/>
    </row>
    <row r="28" ht="15.75" customHeight="1">
      <c r="A28" s="7"/>
      <c r="F28" s="5"/>
      <c r="I28" s="5"/>
    </row>
    <row r="29" ht="15.75" customHeight="1">
      <c r="A29" s="7"/>
      <c r="F29" s="5"/>
      <c r="I29" s="5"/>
    </row>
    <row r="30" ht="15.75" customHeight="1">
      <c r="A30" s="7"/>
      <c r="F30" s="5"/>
      <c r="I30" s="5"/>
    </row>
    <row r="31" ht="15.75" customHeight="1">
      <c r="A31" s="7"/>
      <c r="F31" s="5"/>
      <c r="I31" s="5"/>
    </row>
    <row r="32" ht="15.75" customHeight="1">
      <c r="A32" s="7"/>
      <c r="F32" s="5"/>
      <c r="I32" s="5"/>
    </row>
    <row r="33" ht="15.75" customHeight="1">
      <c r="A33" s="7"/>
      <c r="F33" s="5"/>
      <c r="I33" s="5"/>
    </row>
    <row r="34" ht="15.75" customHeight="1">
      <c r="A34" s="7"/>
      <c r="F34" s="5"/>
      <c r="I34" s="5"/>
    </row>
    <row r="35" ht="15.75" customHeight="1">
      <c r="A35" s="7"/>
      <c r="F35" s="5"/>
      <c r="I35" s="5"/>
    </row>
    <row r="36" ht="15.75" customHeight="1">
      <c r="A36" s="7"/>
      <c r="F36" s="5"/>
      <c r="I36" s="5"/>
    </row>
    <row r="37" ht="15.75" customHeight="1">
      <c r="A37" s="7"/>
      <c r="F37" s="5"/>
      <c r="I37" s="5"/>
    </row>
    <row r="38" ht="15.75" customHeight="1">
      <c r="A38" s="7"/>
      <c r="F38" s="5"/>
      <c r="I38" s="5"/>
    </row>
    <row r="39" ht="15.75" customHeight="1">
      <c r="A39" s="7"/>
      <c r="F39" s="5"/>
      <c r="I39" s="5"/>
    </row>
    <row r="40" ht="15.75" customHeight="1">
      <c r="A40" s="7"/>
      <c r="F40" s="5"/>
      <c r="I40" s="5"/>
    </row>
    <row r="41" ht="15.75" customHeight="1">
      <c r="A41" s="7"/>
      <c r="F41" s="5"/>
      <c r="I41" s="5"/>
    </row>
    <row r="42" ht="15.75" customHeight="1">
      <c r="A42" s="7"/>
      <c r="F42" s="5"/>
      <c r="I42" s="5"/>
    </row>
    <row r="43" ht="15.75" customHeight="1">
      <c r="A43" s="7"/>
      <c r="F43" s="5"/>
      <c r="I43" s="5"/>
    </row>
    <row r="44" ht="15.75" customHeight="1">
      <c r="A44" s="7"/>
      <c r="F44" s="5"/>
      <c r="I44" s="5"/>
    </row>
    <row r="45" ht="15.75" customHeight="1">
      <c r="A45" s="7"/>
      <c r="F45" s="5"/>
      <c r="I45" s="5"/>
    </row>
    <row r="46" ht="15.75" customHeight="1">
      <c r="A46" s="7"/>
      <c r="F46" s="5"/>
      <c r="I46" s="5"/>
    </row>
    <row r="47" ht="15.75" customHeight="1">
      <c r="A47" s="7"/>
      <c r="F47" s="5"/>
      <c r="I47" s="5"/>
    </row>
    <row r="48" ht="15.75" customHeight="1">
      <c r="A48" s="7"/>
      <c r="F48" s="5"/>
      <c r="I48" s="5"/>
    </row>
    <row r="49" ht="15.75" customHeight="1">
      <c r="A49" s="7"/>
      <c r="F49" s="5"/>
      <c r="I49" s="5"/>
    </row>
    <row r="50" ht="15.75" customHeight="1">
      <c r="A50" s="7"/>
      <c r="F50" s="5"/>
      <c r="I50" s="5"/>
    </row>
    <row r="51" ht="15.75" customHeight="1">
      <c r="A51" s="7"/>
      <c r="F51" s="5"/>
      <c r="I51" s="5"/>
    </row>
    <row r="52" ht="15.75" customHeight="1">
      <c r="A52" s="7"/>
      <c r="F52" s="5"/>
      <c r="I52" s="5"/>
    </row>
    <row r="53" ht="15.75" customHeight="1">
      <c r="A53" s="7"/>
      <c r="F53" s="5"/>
      <c r="I53" s="5"/>
    </row>
    <row r="54" ht="15.75" customHeight="1">
      <c r="A54" s="7"/>
      <c r="F54" s="5"/>
      <c r="I54" s="5"/>
    </row>
    <row r="55" ht="15.75" customHeight="1">
      <c r="A55" s="7"/>
      <c r="F55" s="5"/>
      <c r="I55" s="5"/>
    </row>
    <row r="56" ht="15.75" customHeight="1">
      <c r="A56" s="7"/>
      <c r="F56" s="5"/>
      <c r="I56" s="5"/>
    </row>
    <row r="57" ht="15.75" customHeight="1">
      <c r="A57" s="7"/>
      <c r="F57" s="5"/>
      <c r="I57" s="5"/>
    </row>
    <row r="58" ht="15.75" customHeight="1">
      <c r="A58" s="7"/>
      <c r="F58" s="5"/>
      <c r="I58" s="5"/>
    </row>
    <row r="59" ht="15.75" customHeight="1">
      <c r="A59" s="7"/>
      <c r="F59" s="5"/>
      <c r="I59" s="5"/>
    </row>
    <row r="60" ht="15.75" customHeight="1">
      <c r="A60" s="7"/>
      <c r="F60" s="5"/>
      <c r="I60" s="5"/>
    </row>
    <row r="61" ht="15.75" customHeight="1">
      <c r="A61" s="7"/>
      <c r="F61" s="5"/>
      <c r="I61" s="5"/>
    </row>
    <row r="62" ht="15.75" customHeight="1">
      <c r="A62" s="7"/>
      <c r="F62" s="5"/>
      <c r="I62" s="5"/>
    </row>
    <row r="63" ht="15.75" customHeight="1">
      <c r="A63" s="7"/>
      <c r="F63" s="5"/>
      <c r="I63" s="5"/>
    </row>
    <row r="64" ht="15.75" customHeight="1">
      <c r="A64" s="7"/>
      <c r="F64" s="5"/>
      <c r="I64" s="5"/>
    </row>
    <row r="65" ht="15.75" customHeight="1">
      <c r="A65" s="7"/>
      <c r="F65" s="5"/>
      <c r="I65" s="5"/>
    </row>
    <row r="66" ht="15.75" customHeight="1">
      <c r="A66" s="7"/>
      <c r="F66" s="5"/>
      <c r="I66" s="5"/>
    </row>
    <row r="67" ht="15.75" customHeight="1">
      <c r="A67" s="7"/>
      <c r="F67" s="5"/>
      <c r="I67" s="5"/>
    </row>
    <row r="68" ht="15.75" customHeight="1">
      <c r="A68" s="7"/>
      <c r="F68" s="5"/>
      <c r="I68" s="5"/>
    </row>
    <row r="69" ht="15.75" customHeight="1">
      <c r="A69" s="7"/>
      <c r="F69" s="5"/>
      <c r="I69" s="5"/>
    </row>
    <row r="70" ht="15.75" customHeight="1">
      <c r="A70" s="7"/>
      <c r="F70" s="5"/>
      <c r="I70" s="5"/>
    </row>
    <row r="71" ht="15.75" customHeight="1">
      <c r="A71" s="7"/>
      <c r="F71" s="5"/>
      <c r="I71" s="5"/>
    </row>
    <row r="72" ht="15.75" customHeight="1">
      <c r="A72" s="7"/>
      <c r="F72" s="5"/>
      <c r="I72" s="5"/>
    </row>
    <row r="73" ht="15.75" customHeight="1">
      <c r="A73" s="7"/>
      <c r="F73" s="5"/>
      <c r="I73" s="5"/>
    </row>
    <row r="74" ht="15.75" customHeight="1">
      <c r="A74" s="7"/>
      <c r="F74" s="5"/>
      <c r="I74" s="5"/>
    </row>
    <row r="75" ht="15.75" customHeight="1">
      <c r="A75" s="7"/>
      <c r="F75" s="5"/>
      <c r="I75" s="5"/>
    </row>
    <row r="76" ht="15.75" customHeight="1">
      <c r="A76" s="7"/>
      <c r="F76" s="5"/>
      <c r="I76" s="5"/>
    </row>
    <row r="77" ht="15.75" customHeight="1">
      <c r="A77" s="7"/>
      <c r="F77" s="5"/>
      <c r="I77" s="5"/>
    </row>
    <row r="78" ht="15.75" customHeight="1">
      <c r="A78" s="7"/>
      <c r="F78" s="5"/>
      <c r="I78" s="5"/>
    </row>
    <row r="79" ht="15.75" customHeight="1">
      <c r="A79" s="7"/>
      <c r="F79" s="5"/>
      <c r="I79" s="5"/>
    </row>
    <row r="80" ht="15.75" customHeight="1">
      <c r="A80" s="7"/>
      <c r="F80" s="5"/>
      <c r="I80" s="5"/>
    </row>
    <row r="81" ht="15.75" customHeight="1">
      <c r="A81" s="7"/>
      <c r="F81" s="5"/>
      <c r="I81" s="5"/>
    </row>
    <row r="82" ht="15.75" customHeight="1">
      <c r="A82" s="7"/>
      <c r="F82" s="5"/>
      <c r="I82" s="5"/>
    </row>
    <row r="83" ht="15.75" customHeight="1">
      <c r="A83" s="7"/>
      <c r="F83" s="5"/>
      <c r="I83" s="5"/>
    </row>
    <row r="84" ht="15.75" customHeight="1">
      <c r="A84" s="7"/>
      <c r="F84" s="5"/>
      <c r="I84" s="5"/>
    </row>
    <row r="85" ht="15.75" customHeight="1">
      <c r="A85" s="7"/>
      <c r="F85" s="5"/>
      <c r="I85" s="5"/>
    </row>
    <row r="86" ht="15.75" customHeight="1">
      <c r="A86" s="7"/>
      <c r="F86" s="5"/>
      <c r="I86" s="5"/>
    </row>
    <row r="87" ht="15.75" customHeight="1">
      <c r="A87" s="7"/>
      <c r="F87" s="5"/>
      <c r="I87" s="5"/>
    </row>
    <row r="88" ht="15.75" customHeight="1">
      <c r="A88" s="7"/>
      <c r="F88" s="5"/>
      <c r="I88" s="5"/>
    </row>
    <row r="89" ht="15.75" customHeight="1">
      <c r="A89" s="7"/>
      <c r="F89" s="5"/>
      <c r="I89" s="5"/>
    </row>
    <row r="90" ht="15.75" customHeight="1">
      <c r="A90" s="7"/>
      <c r="F90" s="5"/>
      <c r="I90" s="5"/>
    </row>
    <row r="91" ht="15.75" customHeight="1">
      <c r="A91" s="7"/>
      <c r="F91" s="5"/>
      <c r="I91" s="5"/>
    </row>
    <row r="92" ht="15.75" customHeight="1">
      <c r="A92" s="7"/>
      <c r="F92" s="5"/>
      <c r="I92" s="5"/>
    </row>
    <row r="93" ht="15.75" customHeight="1">
      <c r="A93" s="7"/>
      <c r="F93" s="5"/>
      <c r="I93" s="5"/>
    </row>
    <row r="94" ht="15.75" customHeight="1">
      <c r="A94" s="7"/>
      <c r="F94" s="5"/>
      <c r="I94" s="5"/>
    </row>
    <row r="95" ht="15.75" customHeight="1">
      <c r="A95" s="7"/>
      <c r="F95" s="5"/>
      <c r="I95" s="5"/>
    </row>
    <row r="96" ht="15.75" customHeight="1">
      <c r="A96" s="7"/>
      <c r="F96" s="5"/>
      <c r="I96" s="5"/>
    </row>
    <row r="97" ht="15.75" customHeight="1">
      <c r="A97" s="7"/>
      <c r="F97" s="5"/>
      <c r="I97" s="5"/>
    </row>
    <row r="98" ht="15.75" customHeight="1">
      <c r="A98" s="7"/>
      <c r="F98" s="5"/>
      <c r="I98" s="5"/>
    </row>
    <row r="99" ht="15.75" customHeight="1">
      <c r="A99" s="7"/>
      <c r="F99" s="5"/>
      <c r="I99" s="5"/>
    </row>
    <row r="100" ht="15.75" customHeight="1">
      <c r="A100" s="7"/>
      <c r="F100" s="5"/>
      <c r="I100" s="5"/>
    </row>
    <row r="101" ht="15.75" customHeight="1">
      <c r="A101" s="7"/>
      <c r="F101" s="5"/>
      <c r="I101" s="5"/>
    </row>
    <row r="102" ht="15.75" customHeight="1">
      <c r="A102" s="7"/>
      <c r="F102" s="5"/>
      <c r="I102" s="5"/>
    </row>
    <row r="103" ht="15.75" customHeight="1">
      <c r="A103" s="7"/>
      <c r="F103" s="5"/>
      <c r="I103" s="5"/>
    </row>
    <row r="104" ht="15.75" customHeight="1">
      <c r="A104" s="7"/>
      <c r="F104" s="5"/>
      <c r="I104" s="5"/>
    </row>
    <row r="105" ht="15.75" customHeight="1">
      <c r="A105" s="7"/>
      <c r="F105" s="5"/>
      <c r="I105" s="5"/>
    </row>
    <row r="106" ht="15.75" customHeight="1">
      <c r="A106" s="7"/>
      <c r="F106" s="5"/>
      <c r="I106" s="5"/>
    </row>
    <row r="107" ht="15.75" customHeight="1">
      <c r="A107" s="7"/>
      <c r="F107" s="5"/>
      <c r="I107" s="5"/>
    </row>
    <row r="108" ht="15.75" customHeight="1">
      <c r="A108" s="7"/>
      <c r="F108" s="5"/>
      <c r="I108" s="5"/>
    </row>
    <row r="109" ht="15.75" customHeight="1">
      <c r="A109" s="7"/>
      <c r="F109" s="5"/>
      <c r="I109" s="5"/>
    </row>
    <row r="110" ht="15.75" customHeight="1">
      <c r="A110" s="7"/>
      <c r="F110" s="5"/>
      <c r="I110" s="5"/>
    </row>
    <row r="111" ht="15.75" customHeight="1">
      <c r="A111" s="7"/>
      <c r="F111" s="5"/>
      <c r="I111" s="5"/>
    </row>
    <row r="112" ht="15.75" customHeight="1">
      <c r="A112" s="7"/>
      <c r="F112" s="5"/>
      <c r="I112" s="5"/>
    </row>
    <row r="113" ht="15.75" customHeight="1">
      <c r="A113" s="7"/>
      <c r="F113" s="5"/>
      <c r="I113" s="5"/>
    </row>
    <row r="114" ht="15.75" customHeight="1">
      <c r="A114" s="7"/>
      <c r="F114" s="5"/>
      <c r="I114" s="5"/>
    </row>
    <row r="115" ht="15.75" customHeight="1">
      <c r="A115" s="7"/>
      <c r="F115" s="5"/>
      <c r="I115" s="5"/>
    </row>
    <row r="116" ht="15.75" customHeight="1">
      <c r="A116" s="7"/>
      <c r="F116" s="5"/>
      <c r="I116" s="5"/>
    </row>
    <row r="117" ht="15.75" customHeight="1">
      <c r="A117" s="7"/>
      <c r="F117" s="5"/>
      <c r="I117" s="5"/>
    </row>
    <row r="118" ht="15.75" customHeight="1">
      <c r="A118" s="7"/>
      <c r="F118" s="5"/>
      <c r="I118" s="5"/>
    </row>
    <row r="119" ht="15.75" customHeight="1">
      <c r="A119" s="7"/>
      <c r="F119" s="5"/>
      <c r="I119" s="5"/>
    </row>
    <row r="120" ht="15.75" customHeight="1">
      <c r="A120" s="7"/>
      <c r="F120" s="5"/>
      <c r="I120" s="5"/>
    </row>
    <row r="121" ht="15.75" customHeight="1">
      <c r="A121" s="7"/>
      <c r="F121" s="5"/>
      <c r="I121" s="5"/>
    </row>
    <row r="122" ht="15.75" customHeight="1">
      <c r="A122" s="7"/>
      <c r="F122" s="5"/>
      <c r="I122" s="5"/>
    </row>
    <row r="123" ht="15.75" customHeight="1">
      <c r="A123" s="7"/>
      <c r="F123" s="5"/>
      <c r="I123" s="5"/>
    </row>
    <row r="124" ht="15.75" customHeight="1">
      <c r="A124" s="7"/>
      <c r="F124" s="5"/>
      <c r="I124" s="5"/>
    </row>
    <row r="125" ht="15.75" customHeight="1">
      <c r="A125" s="7"/>
      <c r="F125" s="5"/>
      <c r="I125" s="5"/>
    </row>
    <row r="126" ht="15.75" customHeight="1">
      <c r="A126" s="7"/>
      <c r="F126" s="5"/>
      <c r="I126" s="5"/>
    </row>
    <row r="127" ht="15.75" customHeight="1">
      <c r="A127" s="7"/>
      <c r="F127" s="5"/>
      <c r="I127" s="5"/>
    </row>
    <row r="128" ht="15.75" customHeight="1">
      <c r="A128" s="7"/>
      <c r="F128" s="5"/>
      <c r="I128" s="5"/>
    </row>
    <row r="129" ht="15.75" customHeight="1">
      <c r="A129" s="7"/>
      <c r="F129" s="5"/>
      <c r="I129" s="5"/>
    </row>
    <row r="130" ht="15.75" customHeight="1">
      <c r="A130" s="7"/>
      <c r="F130" s="5"/>
      <c r="I130" s="5"/>
    </row>
    <row r="131" ht="15.75" customHeight="1">
      <c r="A131" s="7"/>
      <c r="F131" s="5"/>
      <c r="I131" s="5"/>
    </row>
    <row r="132" ht="15.75" customHeight="1">
      <c r="A132" s="7"/>
      <c r="F132" s="5"/>
      <c r="I132" s="5"/>
    </row>
    <row r="133" ht="15.75" customHeight="1">
      <c r="A133" s="7"/>
      <c r="F133" s="5"/>
      <c r="I133" s="5"/>
    </row>
    <row r="134" ht="15.75" customHeight="1">
      <c r="A134" s="7"/>
      <c r="F134" s="5"/>
      <c r="I134" s="5"/>
    </row>
    <row r="135" ht="15.75" customHeight="1">
      <c r="A135" s="7"/>
      <c r="F135" s="5"/>
      <c r="I135" s="5"/>
    </row>
    <row r="136" ht="15.75" customHeight="1">
      <c r="A136" s="7"/>
      <c r="F136" s="5"/>
      <c r="I136" s="5"/>
    </row>
    <row r="137" ht="15.75" customHeight="1">
      <c r="A137" s="7"/>
      <c r="F137" s="5"/>
      <c r="I137" s="5"/>
    </row>
    <row r="138" ht="15.75" customHeight="1">
      <c r="A138" s="7"/>
      <c r="F138" s="5"/>
      <c r="I138" s="5"/>
    </row>
    <row r="139" ht="15.75" customHeight="1">
      <c r="A139" s="7"/>
      <c r="F139" s="5"/>
      <c r="I139" s="5"/>
    </row>
    <row r="140" ht="15.75" customHeight="1">
      <c r="A140" s="7"/>
      <c r="F140" s="5"/>
      <c r="I140" s="5"/>
    </row>
    <row r="141" ht="15.75" customHeight="1">
      <c r="A141" s="7"/>
      <c r="F141" s="5"/>
      <c r="I141" s="5"/>
    </row>
    <row r="142" ht="15.75" customHeight="1">
      <c r="A142" s="7"/>
      <c r="F142" s="5"/>
      <c r="I142" s="5"/>
    </row>
    <row r="143" ht="15.75" customHeight="1">
      <c r="A143" s="7"/>
      <c r="F143" s="5"/>
      <c r="I143" s="5"/>
    </row>
    <row r="144" ht="15.75" customHeight="1">
      <c r="A144" s="7"/>
      <c r="F144" s="5"/>
      <c r="I144" s="5"/>
    </row>
    <row r="145" ht="15.75" customHeight="1">
      <c r="A145" s="7"/>
      <c r="F145" s="5"/>
      <c r="I145" s="5"/>
    </row>
    <row r="146" ht="15.75" customHeight="1">
      <c r="A146" s="7"/>
      <c r="F146" s="5"/>
      <c r="I146" s="5"/>
    </row>
    <row r="147" ht="15.75" customHeight="1">
      <c r="A147" s="7"/>
      <c r="F147" s="5"/>
      <c r="I147" s="5"/>
    </row>
    <row r="148" ht="15.75" customHeight="1">
      <c r="A148" s="7"/>
      <c r="F148" s="5"/>
      <c r="I148" s="5"/>
    </row>
    <row r="149" ht="15.75" customHeight="1">
      <c r="A149" s="7"/>
      <c r="F149" s="5"/>
      <c r="I149" s="5"/>
    </row>
    <row r="150" ht="15.75" customHeight="1">
      <c r="A150" s="7"/>
      <c r="F150" s="5"/>
      <c r="I150" s="5"/>
    </row>
    <row r="151" ht="15.75" customHeight="1">
      <c r="A151" s="7"/>
      <c r="F151" s="5"/>
      <c r="I151" s="5"/>
    </row>
    <row r="152" ht="15.75" customHeight="1">
      <c r="A152" s="7"/>
      <c r="F152" s="5"/>
      <c r="I152" s="5"/>
    </row>
    <row r="153" ht="15.75" customHeight="1">
      <c r="A153" s="7"/>
      <c r="F153" s="5"/>
      <c r="I153" s="5"/>
    </row>
    <row r="154" ht="15.75" customHeight="1">
      <c r="A154" s="7"/>
      <c r="F154" s="5"/>
      <c r="I154" s="5"/>
    </row>
    <row r="155" ht="15.75" customHeight="1">
      <c r="A155" s="7"/>
      <c r="F155" s="5"/>
      <c r="I155" s="5"/>
    </row>
    <row r="156" ht="15.75" customHeight="1">
      <c r="A156" s="7"/>
      <c r="F156" s="5"/>
      <c r="I156" s="5"/>
    </row>
    <row r="157" ht="15.75" customHeight="1">
      <c r="A157" s="7"/>
      <c r="F157" s="5"/>
      <c r="I157" s="5"/>
    </row>
    <row r="158" ht="15.75" customHeight="1">
      <c r="A158" s="7"/>
      <c r="F158" s="5"/>
      <c r="I158" s="5"/>
    </row>
    <row r="159" ht="15.75" customHeight="1">
      <c r="A159" s="7"/>
      <c r="F159" s="5"/>
      <c r="I159" s="5"/>
    </row>
    <row r="160" ht="15.75" customHeight="1">
      <c r="A160" s="7"/>
      <c r="F160" s="5"/>
      <c r="I160" s="5"/>
    </row>
    <row r="161" ht="15.75" customHeight="1">
      <c r="A161" s="7"/>
      <c r="F161" s="5"/>
      <c r="I161" s="5"/>
    </row>
    <row r="162" ht="15.75" customHeight="1">
      <c r="A162" s="7"/>
      <c r="F162" s="5"/>
      <c r="I162" s="5"/>
    </row>
    <row r="163" ht="15.75" customHeight="1">
      <c r="A163" s="7"/>
      <c r="F163" s="5"/>
      <c r="I163" s="5"/>
    </row>
    <row r="164" ht="15.75" customHeight="1">
      <c r="A164" s="7"/>
      <c r="F164" s="5"/>
      <c r="I164" s="5"/>
    </row>
    <row r="165" ht="15.75" customHeight="1">
      <c r="A165" s="7"/>
      <c r="F165" s="5"/>
      <c r="I165" s="5"/>
    </row>
    <row r="166" ht="15.75" customHeight="1">
      <c r="A166" s="7"/>
      <c r="F166" s="5"/>
      <c r="I166" s="5"/>
    </row>
    <row r="167" ht="15.75" customHeight="1">
      <c r="A167" s="7"/>
      <c r="F167" s="5"/>
      <c r="I167" s="5"/>
    </row>
    <row r="168" ht="15.75" customHeight="1">
      <c r="A168" s="7"/>
      <c r="F168" s="5"/>
      <c r="I168" s="5"/>
    </row>
    <row r="169" ht="15.75" customHeight="1">
      <c r="A169" s="7"/>
      <c r="F169" s="5"/>
      <c r="I169" s="5"/>
    </row>
    <row r="170" ht="15.75" customHeight="1">
      <c r="A170" s="7"/>
      <c r="F170" s="5"/>
      <c r="I170" s="5"/>
    </row>
    <row r="171" ht="15.75" customHeight="1">
      <c r="A171" s="7"/>
      <c r="F171" s="5"/>
      <c r="I171" s="5"/>
    </row>
    <row r="172" ht="15.75" customHeight="1">
      <c r="A172" s="7"/>
      <c r="F172" s="5"/>
      <c r="I172" s="5"/>
    </row>
    <row r="173" ht="15.75" customHeight="1">
      <c r="A173" s="7"/>
      <c r="F173" s="5"/>
      <c r="I173" s="5"/>
    </row>
    <row r="174" ht="15.75" customHeight="1">
      <c r="A174" s="7"/>
      <c r="F174" s="5"/>
      <c r="I174" s="5"/>
    </row>
    <row r="175" ht="15.75" customHeight="1">
      <c r="A175" s="7"/>
      <c r="F175" s="5"/>
      <c r="I175" s="5"/>
    </row>
    <row r="176" ht="15.75" customHeight="1">
      <c r="A176" s="7"/>
      <c r="F176" s="5"/>
      <c r="I176" s="5"/>
    </row>
    <row r="177" ht="15.75" customHeight="1">
      <c r="A177" s="7"/>
      <c r="F177" s="5"/>
      <c r="I177" s="5"/>
    </row>
    <row r="178" ht="15.75" customHeight="1">
      <c r="A178" s="7"/>
      <c r="F178" s="5"/>
      <c r="I178" s="5"/>
    </row>
    <row r="179" ht="15.75" customHeight="1">
      <c r="A179" s="7"/>
      <c r="F179" s="5"/>
      <c r="I179" s="5"/>
    </row>
    <row r="180" ht="15.75" customHeight="1">
      <c r="A180" s="7"/>
      <c r="F180" s="5"/>
      <c r="I180" s="5"/>
    </row>
    <row r="181" ht="15.75" customHeight="1">
      <c r="A181" s="7"/>
      <c r="F181" s="5"/>
      <c r="I181" s="5"/>
    </row>
    <row r="182" ht="15.75" customHeight="1">
      <c r="A182" s="7"/>
      <c r="F182" s="5"/>
      <c r="I182" s="5"/>
    </row>
    <row r="183" ht="15.75" customHeight="1">
      <c r="A183" s="7"/>
      <c r="F183" s="5"/>
      <c r="I183" s="5"/>
    </row>
    <row r="184" ht="15.75" customHeight="1">
      <c r="A184" s="7"/>
      <c r="F184" s="5"/>
      <c r="I184" s="5"/>
    </row>
    <row r="185" ht="15.75" customHeight="1">
      <c r="A185" s="7"/>
      <c r="F185" s="5"/>
      <c r="I185" s="5"/>
    </row>
    <row r="186" ht="15.75" customHeight="1">
      <c r="A186" s="7"/>
      <c r="F186" s="5"/>
      <c r="I186" s="5"/>
    </row>
    <row r="187" ht="15.75" customHeight="1">
      <c r="A187" s="7"/>
      <c r="F187" s="5"/>
      <c r="I187" s="5"/>
    </row>
    <row r="188" ht="15.75" customHeight="1">
      <c r="A188" s="7"/>
      <c r="F188" s="5"/>
      <c r="I188" s="5"/>
    </row>
    <row r="189" ht="15.75" customHeight="1">
      <c r="A189" s="7"/>
      <c r="F189" s="5"/>
      <c r="I189" s="5"/>
    </row>
    <row r="190" ht="15.75" customHeight="1">
      <c r="A190" s="7"/>
      <c r="F190" s="5"/>
      <c r="I190" s="5"/>
    </row>
    <row r="191" ht="15.75" customHeight="1">
      <c r="A191" s="7"/>
      <c r="F191" s="5"/>
      <c r="I191" s="5"/>
    </row>
    <row r="192" ht="15.75" customHeight="1">
      <c r="A192" s="7"/>
      <c r="F192" s="5"/>
      <c r="I192" s="5"/>
    </row>
    <row r="193" ht="15.75" customHeight="1">
      <c r="A193" s="7"/>
      <c r="F193" s="5"/>
      <c r="I193" s="5"/>
    </row>
    <row r="194" ht="15.75" customHeight="1">
      <c r="A194" s="7"/>
      <c r="F194" s="5"/>
      <c r="I194" s="5"/>
    </row>
    <row r="195" ht="15.75" customHeight="1">
      <c r="A195" s="7"/>
      <c r="F195" s="5"/>
      <c r="I195" s="5"/>
    </row>
    <row r="196" ht="15.75" customHeight="1">
      <c r="A196" s="7"/>
      <c r="F196" s="5"/>
      <c r="I196" s="5"/>
    </row>
    <row r="197" ht="15.75" customHeight="1">
      <c r="A197" s="7"/>
      <c r="F197" s="5"/>
      <c r="I197" s="5"/>
    </row>
    <row r="198" ht="15.75" customHeight="1">
      <c r="A198" s="7"/>
      <c r="F198" s="5"/>
      <c r="I198" s="5"/>
    </row>
    <row r="199" ht="15.75" customHeight="1">
      <c r="A199" s="7"/>
      <c r="F199" s="5"/>
      <c r="I199" s="5"/>
    </row>
    <row r="200" ht="15.75" customHeight="1">
      <c r="A200" s="7"/>
      <c r="F200" s="5"/>
      <c r="I200" s="5"/>
    </row>
    <row r="201" ht="15.75" customHeight="1">
      <c r="A201" s="7"/>
      <c r="F201" s="5"/>
      <c r="I201" s="5"/>
    </row>
    <row r="202" ht="15.75" customHeight="1">
      <c r="A202" s="7"/>
      <c r="F202" s="5"/>
      <c r="I202" s="5"/>
    </row>
    <row r="203" ht="15.75" customHeight="1">
      <c r="A203" s="7"/>
      <c r="F203" s="5"/>
      <c r="I203" s="5"/>
    </row>
    <row r="204" ht="15.75" customHeight="1">
      <c r="A204" s="7"/>
      <c r="F204" s="5"/>
      <c r="I204" s="5"/>
    </row>
    <row r="205" ht="15.75" customHeight="1">
      <c r="A205" s="7"/>
      <c r="F205" s="5"/>
      <c r="I205" s="5"/>
    </row>
    <row r="206" ht="15.75" customHeight="1">
      <c r="A206" s="7"/>
      <c r="F206" s="5"/>
      <c r="I206" s="5"/>
    </row>
    <row r="207" ht="15.75" customHeight="1">
      <c r="A207" s="7"/>
      <c r="F207" s="5"/>
      <c r="I207" s="5"/>
    </row>
    <row r="208" ht="15.75" customHeight="1">
      <c r="A208" s="7"/>
      <c r="F208" s="5"/>
      <c r="I208" s="5"/>
    </row>
    <row r="209" ht="15.75" customHeight="1">
      <c r="A209" s="7"/>
      <c r="F209" s="5"/>
      <c r="I209" s="5"/>
    </row>
    <row r="210" ht="15.75" customHeight="1">
      <c r="A210" s="7"/>
      <c r="F210" s="5"/>
      <c r="I210" s="5"/>
    </row>
    <row r="211" ht="15.75" customHeight="1">
      <c r="A211" s="7"/>
      <c r="F211" s="5"/>
      <c r="I211" s="5"/>
    </row>
    <row r="212" ht="15.75" customHeight="1">
      <c r="A212" s="7"/>
      <c r="F212" s="5"/>
      <c r="I212" s="5"/>
    </row>
    <row r="213" ht="15.75" customHeight="1">
      <c r="A213" s="7"/>
      <c r="F213" s="5"/>
      <c r="I213" s="5"/>
    </row>
    <row r="214" ht="15.75" customHeight="1">
      <c r="A214" s="7"/>
      <c r="F214" s="5"/>
      <c r="I214" s="5"/>
    </row>
    <row r="215" ht="15.75" customHeight="1">
      <c r="A215" s="7"/>
      <c r="F215" s="5"/>
      <c r="I215" s="5"/>
    </row>
    <row r="216" ht="15.75" customHeight="1">
      <c r="A216" s="7"/>
      <c r="F216" s="5"/>
      <c r="I216" s="5"/>
    </row>
    <row r="217" ht="15.75" customHeight="1">
      <c r="A217" s="7"/>
      <c r="F217" s="5"/>
      <c r="I217" s="5"/>
    </row>
    <row r="218" ht="15.75" customHeight="1">
      <c r="A218" s="7"/>
      <c r="F218" s="5"/>
      <c r="I218" s="5"/>
    </row>
    <row r="219" ht="15.75" customHeight="1">
      <c r="A219" s="7"/>
      <c r="F219" s="5"/>
      <c r="I219" s="5"/>
    </row>
    <row r="220" ht="15.75" customHeight="1">
      <c r="A220" s="7"/>
      <c r="F220" s="5"/>
      <c r="I220" s="5"/>
    </row>
    <row r="221" ht="15.75" customHeight="1">
      <c r="F221" s="5"/>
      <c r="I221" s="5"/>
    </row>
    <row r="222" ht="15.75" customHeight="1">
      <c r="F222" s="5"/>
      <c r="I222" s="5"/>
    </row>
    <row r="223" ht="15.75" customHeight="1">
      <c r="F223" s="5"/>
      <c r="I223" s="5"/>
    </row>
    <row r="224" ht="15.75" customHeight="1">
      <c r="F224" s="5"/>
      <c r="I224" s="5"/>
    </row>
    <row r="225" ht="15.75" customHeight="1">
      <c r="F225" s="5"/>
      <c r="I225" s="5"/>
    </row>
    <row r="226" ht="15.75" customHeight="1">
      <c r="F226" s="5"/>
      <c r="I226" s="5"/>
    </row>
    <row r="227" ht="15.75" customHeight="1">
      <c r="F227" s="5"/>
      <c r="I227" s="5"/>
    </row>
    <row r="228" ht="15.75" customHeight="1">
      <c r="F228" s="5"/>
      <c r="I228" s="5"/>
    </row>
    <row r="229" ht="15.75" customHeight="1">
      <c r="F229" s="5"/>
      <c r="I229" s="5"/>
    </row>
    <row r="230" ht="15.75" customHeight="1">
      <c r="F230" s="5"/>
      <c r="I230" s="5"/>
    </row>
    <row r="231" ht="15.75" customHeight="1">
      <c r="F231" s="5"/>
      <c r="I231" s="5"/>
    </row>
    <row r="232" ht="15.75" customHeight="1">
      <c r="F232" s="5"/>
      <c r="I232" s="5"/>
    </row>
    <row r="233" ht="15.75" customHeight="1">
      <c r="F233" s="5"/>
      <c r="I233" s="5"/>
    </row>
    <row r="234" ht="15.75" customHeight="1">
      <c r="F234" s="5"/>
      <c r="I234" s="5"/>
    </row>
    <row r="235" ht="15.75" customHeight="1">
      <c r="F235" s="5"/>
      <c r="I235" s="5"/>
    </row>
    <row r="236" ht="15.75" customHeight="1">
      <c r="F236" s="5"/>
      <c r="I236" s="5"/>
    </row>
    <row r="237" ht="15.75" customHeight="1">
      <c r="F237" s="5"/>
      <c r="I237" s="5"/>
    </row>
    <row r="238" ht="15.75" customHeight="1">
      <c r="F238" s="5"/>
      <c r="I238" s="5"/>
    </row>
    <row r="239" ht="15.75" customHeight="1">
      <c r="F239" s="5"/>
      <c r="I239" s="5"/>
    </row>
    <row r="240" ht="15.75" customHeight="1">
      <c r="F240" s="5"/>
      <c r="I240" s="5"/>
    </row>
    <row r="241" ht="15.75" customHeight="1">
      <c r="F241" s="5"/>
      <c r="I241" s="5"/>
    </row>
    <row r="242" ht="15.75" customHeight="1">
      <c r="F242" s="5"/>
      <c r="I242" s="5"/>
    </row>
    <row r="243" ht="15.75" customHeight="1">
      <c r="F243" s="5"/>
      <c r="I243" s="5"/>
    </row>
    <row r="244" ht="15.75" customHeight="1">
      <c r="F244" s="5"/>
      <c r="I244" s="5"/>
    </row>
    <row r="245" ht="15.75" customHeight="1">
      <c r="F245" s="5"/>
      <c r="I245" s="5"/>
    </row>
    <row r="246" ht="15.75" customHeight="1">
      <c r="F246" s="5"/>
      <c r="I246" s="5"/>
    </row>
    <row r="247" ht="15.75" customHeight="1">
      <c r="F247" s="5"/>
      <c r="I247" s="5"/>
    </row>
    <row r="248" ht="15.75" customHeight="1">
      <c r="F248" s="5"/>
      <c r="I248" s="5"/>
    </row>
    <row r="249" ht="15.75" customHeight="1">
      <c r="F249" s="5"/>
      <c r="I249" s="5"/>
    </row>
    <row r="250" ht="15.75" customHeight="1">
      <c r="F250" s="5"/>
      <c r="I250" s="5"/>
    </row>
    <row r="251" ht="15.75" customHeight="1">
      <c r="F251" s="5"/>
      <c r="I251" s="5"/>
    </row>
    <row r="252" ht="15.75" customHeight="1">
      <c r="F252" s="5"/>
      <c r="I252" s="5"/>
    </row>
    <row r="253" ht="15.75" customHeight="1">
      <c r="F253" s="5"/>
      <c r="I253" s="5"/>
    </row>
    <row r="254" ht="15.75" customHeight="1">
      <c r="F254" s="5"/>
      <c r="I254" s="5"/>
    </row>
    <row r="255" ht="15.75" customHeight="1">
      <c r="F255" s="5"/>
      <c r="I255" s="5"/>
    </row>
    <row r="256" ht="15.75" customHeight="1">
      <c r="F256" s="5"/>
      <c r="I256" s="5"/>
    </row>
    <row r="257" ht="15.75" customHeight="1">
      <c r="F257" s="5"/>
      <c r="I257" s="5"/>
    </row>
    <row r="258" ht="15.75" customHeight="1">
      <c r="F258" s="5"/>
      <c r="I258" s="5"/>
    </row>
    <row r="259" ht="15.75" customHeight="1">
      <c r="F259" s="5"/>
      <c r="I259" s="5"/>
    </row>
    <row r="260" ht="15.75" customHeight="1">
      <c r="F260" s="5"/>
      <c r="I260" s="5"/>
    </row>
    <row r="261" ht="15.75" customHeight="1">
      <c r="F261" s="5"/>
      <c r="I261" s="5"/>
    </row>
    <row r="262" ht="15.75" customHeight="1">
      <c r="F262" s="5"/>
      <c r="I262" s="5"/>
    </row>
    <row r="263" ht="15.75" customHeight="1">
      <c r="F263" s="5"/>
      <c r="I263" s="5"/>
    </row>
    <row r="264" ht="15.75" customHeight="1">
      <c r="F264" s="5"/>
      <c r="I264" s="5"/>
    </row>
    <row r="265" ht="15.75" customHeight="1">
      <c r="F265" s="5"/>
      <c r="I265" s="5"/>
    </row>
    <row r="266" ht="15.75" customHeight="1">
      <c r="F266" s="5"/>
      <c r="I266" s="5"/>
    </row>
    <row r="267" ht="15.75" customHeight="1">
      <c r="F267" s="5"/>
      <c r="I267" s="5"/>
    </row>
    <row r="268" ht="15.75" customHeight="1">
      <c r="F268" s="5"/>
      <c r="I268" s="5"/>
    </row>
    <row r="269" ht="15.75" customHeight="1">
      <c r="F269" s="5"/>
      <c r="I269" s="5"/>
    </row>
    <row r="270" ht="15.75" customHeight="1">
      <c r="F270" s="5"/>
      <c r="I270" s="5"/>
    </row>
    <row r="271" ht="15.75" customHeight="1">
      <c r="F271" s="5"/>
      <c r="I271" s="5"/>
    </row>
    <row r="272" ht="15.75" customHeight="1">
      <c r="F272" s="5"/>
      <c r="I272" s="5"/>
    </row>
    <row r="273" ht="15.75" customHeight="1">
      <c r="F273" s="5"/>
      <c r="I273" s="5"/>
    </row>
    <row r="274" ht="15.75" customHeight="1">
      <c r="F274" s="5"/>
      <c r="I274" s="5"/>
    </row>
    <row r="275" ht="15.75" customHeight="1">
      <c r="F275" s="5"/>
      <c r="I275" s="5"/>
    </row>
    <row r="276" ht="15.75" customHeight="1">
      <c r="F276" s="5"/>
      <c r="I276" s="5"/>
    </row>
    <row r="277" ht="15.75" customHeight="1">
      <c r="F277" s="5"/>
      <c r="I277" s="5"/>
    </row>
    <row r="278" ht="15.75" customHeight="1">
      <c r="F278" s="5"/>
      <c r="I278" s="5"/>
    </row>
    <row r="279" ht="15.75" customHeight="1">
      <c r="F279" s="5"/>
      <c r="I279" s="5"/>
    </row>
    <row r="280" ht="15.75" customHeight="1">
      <c r="F280" s="5"/>
      <c r="I280" s="5"/>
    </row>
    <row r="281" ht="15.75" customHeight="1">
      <c r="F281" s="5"/>
      <c r="I281" s="5"/>
    </row>
    <row r="282" ht="15.75" customHeight="1">
      <c r="F282" s="5"/>
      <c r="I282" s="5"/>
    </row>
    <row r="283" ht="15.75" customHeight="1">
      <c r="F283" s="5"/>
      <c r="I283" s="5"/>
    </row>
    <row r="284" ht="15.75" customHeight="1">
      <c r="F284" s="5"/>
      <c r="I284" s="5"/>
    </row>
    <row r="285" ht="15.75" customHeight="1">
      <c r="F285" s="5"/>
      <c r="I285" s="5"/>
    </row>
    <row r="286" ht="15.75" customHeight="1">
      <c r="F286" s="5"/>
      <c r="I286" s="5"/>
    </row>
    <row r="287" ht="15.75" customHeight="1">
      <c r="F287" s="5"/>
      <c r="I287" s="5"/>
    </row>
    <row r="288" ht="15.75" customHeight="1">
      <c r="F288" s="5"/>
      <c r="I288" s="5"/>
    </row>
    <row r="289" ht="15.75" customHeight="1">
      <c r="F289" s="5"/>
      <c r="I289" s="5"/>
    </row>
    <row r="290" ht="15.75" customHeight="1">
      <c r="F290" s="5"/>
      <c r="I290" s="5"/>
    </row>
    <row r="291" ht="15.75" customHeight="1">
      <c r="F291" s="5"/>
      <c r="I291" s="5"/>
    </row>
    <row r="292" ht="15.75" customHeight="1">
      <c r="F292" s="5"/>
      <c r="I292" s="5"/>
    </row>
    <row r="293" ht="15.75" customHeight="1">
      <c r="F293" s="5"/>
      <c r="I293" s="5"/>
    </row>
    <row r="294" ht="15.75" customHeight="1">
      <c r="F294" s="5"/>
      <c r="I294" s="5"/>
    </row>
    <row r="295" ht="15.75" customHeight="1">
      <c r="F295" s="5"/>
      <c r="I295" s="5"/>
    </row>
    <row r="296" ht="15.75" customHeight="1">
      <c r="F296" s="5"/>
      <c r="I296" s="5"/>
    </row>
    <row r="297" ht="15.75" customHeight="1">
      <c r="F297" s="5"/>
      <c r="I297" s="5"/>
    </row>
    <row r="298" ht="15.75" customHeight="1">
      <c r="F298" s="5"/>
      <c r="I298" s="5"/>
    </row>
    <row r="299" ht="15.75" customHeight="1">
      <c r="F299" s="5"/>
      <c r="I299" s="5"/>
    </row>
    <row r="300" ht="15.75" customHeight="1">
      <c r="F300" s="5"/>
      <c r="I300" s="5"/>
    </row>
    <row r="301" ht="15.75" customHeight="1">
      <c r="F301" s="5"/>
      <c r="I301" s="5"/>
    </row>
    <row r="302" ht="15.75" customHeight="1">
      <c r="F302" s="5"/>
      <c r="I302" s="5"/>
    </row>
    <row r="303" ht="15.75" customHeight="1">
      <c r="F303" s="5"/>
      <c r="I303" s="5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dataValidations>
    <dataValidation type="list" allowBlank="1" sqref="I4:I303">
      <formula1>"Nos,Kg,Metre,Set,Bag,Box"</formula1>
    </dataValidation>
    <dataValidation type="list" allowBlank="1" sqref="F4:F303">
      <formula1>'Master Data'!$J$4:$J$14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5.0"/>
    <col customWidth="1" min="9" max="10" width="20.0"/>
    <col customWidth="1" min="11" max="17" width="15.0"/>
    <col customWidth="1" min="18" max="18" width="25.0"/>
    <col customWidth="1" min="19" max="26" width="8.63"/>
  </cols>
  <sheetData>
    <row r="1">
      <c r="A1" s="1" t="s">
        <v>129</v>
      </c>
    </row>
    <row r="3">
      <c r="A3" s="3" t="s">
        <v>130</v>
      </c>
      <c r="B3" s="3" t="s">
        <v>5</v>
      </c>
      <c r="C3" s="3" t="s">
        <v>10</v>
      </c>
      <c r="D3" s="3" t="s">
        <v>12</v>
      </c>
      <c r="E3" s="3" t="s">
        <v>16</v>
      </c>
      <c r="F3" s="3" t="s">
        <v>32</v>
      </c>
      <c r="G3" s="3" t="s">
        <v>131</v>
      </c>
      <c r="H3" s="3" t="s">
        <v>132</v>
      </c>
      <c r="I3" s="3" t="s">
        <v>133</v>
      </c>
      <c r="J3" s="3" t="s">
        <v>134</v>
      </c>
      <c r="K3" s="3" t="s">
        <v>135</v>
      </c>
      <c r="L3" s="3" t="s">
        <v>136</v>
      </c>
      <c r="M3" s="3" t="s">
        <v>137</v>
      </c>
      <c r="N3" s="3" t="s">
        <v>138</v>
      </c>
      <c r="O3" s="3" t="s">
        <v>139</v>
      </c>
      <c r="P3" s="3" t="s">
        <v>140</v>
      </c>
      <c r="Q3" s="3" t="s">
        <v>17</v>
      </c>
      <c r="R3" s="3" t="s">
        <v>47</v>
      </c>
    </row>
    <row r="4">
      <c r="A4" s="7"/>
      <c r="C4" s="5" t="str">
        <f>IFERROR(VLOOKUP(B4,'Order Flow'!$A$4:$Q$103,3,FALSE),"")</f>
        <v/>
      </c>
      <c r="D4" s="5" t="str">
        <f>IFERROR(VLOOKUP(B4,'Order Flow'!$A$4:$Q$103,4,FALSE),"")</f>
        <v/>
      </c>
      <c r="E4" s="5" t="str">
        <f>IFERROR(VLOOKUP(B4,'Order Flow'!$A$4:$Q$103,5,FALSE),"")</f>
        <v/>
      </c>
      <c r="K4" s="5"/>
      <c r="L4" s="5"/>
      <c r="M4" s="5"/>
      <c r="N4" s="5"/>
      <c r="O4" s="5"/>
      <c r="Q4" s="5"/>
    </row>
    <row r="5">
      <c r="A5" s="7"/>
      <c r="C5" s="5" t="str">
        <f>IFERROR(VLOOKUP(B5,'Order Flow'!$A$4:$Q$103,3,FALSE),"")</f>
        <v/>
      </c>
      <c r="D5" s="5" t="str">
        <f>IFERROR(VLOOKUP(B5,'Order Flow'!$A$4:$Q$103,4,FALSE),"")</f>
        <v/>
      </c>
      <c r="E5" s="5" t="str">
        <f>IFERROR(VLOOKUP(B5,'Order Flow'!$A$4:$Q$103,5,FALSE),"")</f>
        <v/>
      </c>
      <c r="K5" s="5"/>
      <c r="L5" s="5"/>
      <c r="M5" s="5"/>
      <c r="N5" s="5"/>
      <c r="O5" s="5"/>
      <c r="Q5" s="5"/>
    </row>
    <row r="6">
      <c r="A6" s="7"/>
      <c r="C6" s="5" t="str">
        <f>IFERROR(VLOOKUP(B6,'Order Flow'!$A$4:$Q$103,3,FALSE),"")</f>
        <v/>
      </c>
      <c r="D6" s="5" t="str">
        <f>IFERROR(VLOOKUP(B6,'Order Flow'!$A$4:$Q$103,4,FALSE),"")</f>
        <v/>
      </c>
      <c r="E6" s="5" t="str">
        <f>IFERROR(VLOOKUP(B6,'Order Flow'!$A$4:$Q$103,5,FALSE),"")</f>
        <v/>
      </c>
      <c r="K6" s="5"/>
      <c r="L6" s="5"/>
      <c r="M6" s="5"/>
      <c r="N6" s="5"/>
      <c r="O6" s="5"/>
      <c r="Q6" s="5"/>
    </row>
    <row r="7">
      <c r="A7" s="7"/>
      <c r="C7" s="5" t="str">
        <f>IFERROR(VLOOKUP(B7,'Order Flow'!$A$4:$Q$103,3,FALSE),"")</f>
        <v/>
      </c>
      <c r="D7" s="5" t="str">
        <f>IFERROR(VLOOKUP(B7,'Order Flow'!$A$4:$Q$103,4,FALSE),"")</f>
        <v/>
      </c>
      <c r="E7" s="5" t="str">
        <f>IFERROR(VLOOKUP(B7,'Order Flow'!$A$4:$Q$103,5,FALSE),"")</f>
        <v/>
      </c>
      <c r="K7" s="5"/>
      <c r="L7" s="5"/>
      <c r="M7" s="5"/>
      <c r="N7" s="5"/>
      <c r="O7" s="5"/>
      <c r="Q7" s="5"/>
    </row>
    <row r="8">
      <c r="A8" s="7"/>
      <c r="C8" s="5" t="str">
        <f>IFERROR(VLOOKUP(B8,'Order Flow'!$A$4:$Q$103,3,FALSE),"")</f>
        <v/>
      </c>
      <c r="D8" s="5" t="str">
        <f>IFERROR(VLOOKUP(B8,'Order Flow'!$A$4:$Q$103,4,FALSE),"")</f>
        <v/>
      </c>
      <c r="E8" s="5" t="str">
        <f>IFERROR(VLOOKUP(B8,'Order Flow'!$A$4:$Q$103,5,FALSE),"")</f>
        <v/>
      </c>
      <c r="K8" s="5"/>
      <c r="L8" s="5"/>
      <c r="M8" s="5"/>
      <c r="N8" s="5"/>
      <c r="O8" s="5"/>
      <c r="Q8" s="5"/>
    </row>
    <row r="9">
      <c r="A9" s="7"/>
      <c r="C9" s="5" t="str">
        <f>IFERROR(VLOOKUP(B9,'Order Flow'!$A$4:$Q$103,3,FALSE),"")</f>
        <v/>
      </c>
      <c r="D9" s="5" t="str">
        <f>IFERROR(VLOOKUP(B9,'Order Flow'!$A$4:$Q$103,4,FALSE),"")</f>
        <v/>
      </c>
      <c r="E9" s="5" t="str">
        <f>IFERROR(VLOOKUP(B9,'Order Flow'!$A$4:$Q$103,5,FALSE),"")</f>
        <v/>
      </c>
      <c r="K9" s="5"/>
      <c r="L9" s="5"/>
      <c r="M9" s="5"/>
      <c r="N9" s="5"/>
      <c r="O9" s="5"/>
      <c r="Q9" s="5"/>
    </row>
    <row r="10">
      <c r="A10" s="7"/>
      <c r="C10" s="5" t="str">
        <f>IFERROR(VLOOKUP(B10,'Order Flow'!$A$4:$Q$103,3,FALSE),"")</f>
        <v/>
      </c>
      <c r="D10" s="5" t="str">
        <f>IFERROR(VLOOKUP(B10,'Order Flow'!$A$4:$Q$103,4,FALSE),"")</f>
        <v/>
      </c>
      <c r="E10" s="5" t="str">
        <f>IFERROR(VLOOKUP(B10,'Order Flow'!$A$4:$Q$103,5,FALSE),"")</f>
        <v/>
      </c>
      <c r="K10" s="5"/>
      <c r="L10" s="5"/>
      <c r="M10" s="5"/>
      <c r="N10" s="5"/>
      <c r="O10" s="5"/>
      <c r="Q10" s="5"/>
    </row>
    <row r="11">
      <c r="A11" s="7"/>
      <c r="C11" s="5" t="str">
        <f>IFERROR(VLOOKUP(B11,'Order Flow'!$A$4:$Q$103,3,FALSE),"")</f>
        <v/>
      </c>
      <c r="D11" s="5" t="str">
        <f>IFERROR(VLOOKUP(B11,'Order Flow'!$A$4:$Q$103,4,FALSE),"")</f>
        <v/>
      </c>
      <c r="E11" s="5" t="str">
        <f>IFERROR(VLOOKUP(B11,'Order Flow'!$A$4:$Q$103,5,FALSE),"")</f>
        <v/>
      </c>
      <c r="K11" s="5"/>
      <c r="L11" s="5"/>
      <c r="M11" s="5"/>
      <c r="N11" s="5"/>
      <c r="O11" s="5"/>
      <c r="Q11" s="5"/>
    </row>
    <row r="12">
      <c r="A12" s="7"/>
      <c r="C12" s="5" t="str">
        <f>IFERROR(VLOOKUP(B12,'Order Flow'!$A$4:$Q$103,3,FALSE),"")</f>
        <v/>
      </c>
      <c r="D12" s="5" t="str">
        <f>IFERROR(VLOOKUP(B12,'Order Flow'!$A$4:$Q$103,4,FALSE),"")</f>
        <v/>
      </c>
      <c r="E12" s="5" t="str">
        <f>IFERROR(VLOOKUP(B12,'Order Flow'!$A$4:$Q$103,5,FALSE),"")</f>
        <v/>
      </c>
      <c r="K12" s="5"/>
      <c r="L12" s="5"/>
      <c r="M12" s="5"/>
      <c r="N12" s="5"/>
      <c r="O12" s="5"/>
      <c r="Q12" s="5"/>
    </row>
    <row r="13">
      <c r="A13" s="7"/>
      <c r="C13" s="5" t="str">
        <f>IFERROR(VLOOKUP(B13,'Order Flow'!$A$4:$Q$103,3,FALSE),"")</f>
        <v/>
      </c>
      <c r="D13" s="5" t="str">
        <f>IFERROR(VLOOKUP(B13,'Order Flow'!$A$4:$Q$103,4,FALSE),"")</f>
        <v/>
      </c>
      <c r="E13" s="5" t="str">
        <f>IFERROR(VLOOKUP(B13,'Order Flow'!$A$4:$Q$103,5,FALSE),"")</f>
        <v/>
      </c>
      <c r="K13" s="5"/>
      <c r="L13" s="5"/>
      <c r="M13" s="5"/>
      <c r="N13" s="5"/>
      <c r="O13" s="5"/>
      <c r="Q13" s="5"/>
    </row>
    <row r="14">
      <c r="A14" s="7"/>
      <c r="C14" s="5" t="str">
        <f>IFERROR(VLOOKUP(B14,'Order Flow'!$A$4:$Q$103,3,FALSE),"")</f>
        <v/>
      </c>
      <c r="D14" s="5" t="str">
        <f>IFERROR(VLOOKUP(B14,'Order Flow'!$A$4:$Q$103,4,FALSE),"")</f>
        <v/>
      </c>
      <c r="E14" s="5" t="str">
        <f>IFERROR(VLOOKUP(B14,'Order Flow'!$A$4:$Q$103,5,FALSE),"")</f>
        <v/>
      </c>
      <c r="K14" s="5"/>
      <c r="L14" s="5"/>
      <c r="M14" s="5"/>
      <c r="N14" s="5"/>
      <c r="O14" s="5"/>
      <c r="Q14" s="5"/>
    </row>
    <row r="15">
      <c r="A15" s="7"/>
      <c r="C15" s="5" t="str">
        <f>IFERROR(VLOOKUP(B15,'Order Flow'!$A$4:$Q$103,3,FALSE),"")</f>
        <v/>
      </c>
      <c r="D15" s="5" t="str">
        <f>IFERROR(VLOOKUP(B15,'Order Flow'!$A$4:$Q$103,4,FALSE),"")</f>
        <v/>
      </c>
      <c r="E15" s="5" t="str">
        <f>IFERROR(VLOOKUP(B15,'Order Flow'!$A$4:$Q$103,5,FALSE),"")</f>
        <v/>
      </c>
      <c r="K15" s="5"/>
      <c r="L15" s="5"/>
      <c r="M15" s="5"/>
      <c r="N15" s="5"/>
      <c r="O15" s="5"/>
      <c r="Q15" s="5"/>
    </row>
    <row r="16">
      <c r="A16" s="7"/>
      <c r="C16" s="5" t="str">
        <f>IFERROR(VLOOKUP(B16,'Order Flow'!$A$4:$Q$103,3,FALSE),"")</f>
        <v/>
      </c>
      <c r="D16" s="5" t="str">
        <f>IFERROR(VLOOKUP(B16,'Order Flow'!$A$4:$Q$103,4,FALSE),"")</f>
        <v/>
      </c>
      <c r="E16" s="5" t="str">
        <f>IFERROR(VLOOKUP(B16,'Order Flow'!$A$4:$Q$103,5,FALSE),"")</f>
        <v/>
      </c>
      <c r="K16" s="5"/>
      <c r="L16" s="5"/>
      <c r="M16" s="5"/>
      <c r="N16" s="5"/>
      <c r="O16" s="5"/>
      <c r="Q16" s="5"/>
    </row>
    <row r="17">
      <c r="A17" s="7"/>
      <c r="C17" s="5" t="str">
        <f>IFERROR(VLOOKUP(B17,'Order Flow'!$A$4:$Q$103,3,FALSE),"")</f>
        <v/>
      </c>
      <c r="D17" s="5" t="str">
        <f>IFERROR(VLOOKUP(B17,'Order Flow'!$A$4:$Q$103,4,FALSE),"")</f>
        <v/>
      </c>
      <c r="E17" s="5" t="str">
        <f>IFERROR(VLOOKUP(B17,'Order Flow'!$A$4:$Q$103,5,FALSE),"")</f>
        <v/>
      </c>
      <c r="K17" s="5"/>
      <c r="L17" s="5"/>
      <c r="M17" s="5"/>
      <c r="N17" s="5"/>
      <c r="O17" s="5"/>
      <c r="Q17" s="5"/>
    </row>
    <row r="18">
      <c r="A18" s="7"/>
      <c r="C18" s="5" t="str">
        <f>IFERROR(VLOOKUP(B18,'Order Flow'!$A$4:$Q$103,3,FALSE),"")</f>
        <v/>
      </c>
      <c r="D18" s="5" t="str">
        <f>IFERROR(VLOOKUP(B18,'Order Flow'!$A$4:$Q$103,4,FALSE),"")</f>
        <v/>
      </c>
      <c r="E18" s="5" t="str">
        <f>IFERROR(VLOOKUP(B18,'Order Flow'!$A$4:$Q$103,5,FALSE),"")</f>
        <v/>
      </c>
      <c r="K18" s="5"/>
      <c r="L18" s="5"/>
      <c r="M18" s="5"/>
      <c r="N18" s="5"/>
      <c r="O18" s="5"/>
      <c r="Q18" s="5"/>
    </row>
    <row r="19">
      <c r="A19" s="7"/>
      <c r="C19" s="5" t="str">
        <f>IFERROR(VLOOKUP(B19,'Order Flow'!$A$4:$Q$103,3,FALSE),"")</f>
        <v/>
      </c>
      <c r="D19" s="5" t="str">
        <f>IFERROR(VLOOKUP(B19,'Order Flow'!$A$4:$Q$103,4,FALSE),"")</f>
        <v/>
      </c>
      <c r="E19" s="5" t="str">
        <f>IFERROR(VLOOKUP(B19,'Order Flow'!$A$4:$Q$103,5,FALSE),"")</f>
        <v/>
      </c>
      <c r="K19" s="5"/>
      <c r="L19" s="5"/>
      <c r="M19" s="5"/>
      <c r="N19" s="5"/>
      <c r="O19" s="5"/>
      <c r="Q19" s="5"/>
    </row>
    <row r="20">
      <c r="A20" s="7"/>
      <c r="C20" s="5" t="str">
        <f>IFERROR(VLOOKUP(B20,'Order Flow'!$A$4:$Q$103,3,FALSE),"")</f>
        <v/>
      </c>
      <c r="D20" s="5" t="str">
        <f>IFERROR(VLOOKUP(B20,'Order Flow'!$A$4:$Q$103,4,FALSE),"")</f>
        <v/>
      </c>
      <c r="E20" s="5" t="str">
        <f>IFERROR(VLOOKUP(B20,'Order Flow'!$A$4:$Q$103,5,FALSE),"")</f>
        <v/>
      </c>
      <c r="K20" s="5"/>
      <c r="L20" s="5"/>
      <c r="M20" s="5"/>
      <c r="N20" s="5"/>
      <c r="O20" s="5"/>
      <c r="Q20" s="5"/>
    </row>
    <row r="21" ht="15.75" customHeight="1">
      <c r="A21" s="7"/>
      <c r="C21" s="5" t="str">
        <f>IFERROR(VLOOKUP(B21,'Order Flow'!$A$4:$Q$103,3,FALSE),"")</f>
        <v/>
      </c>
      <c r="D21" s="5" t="str">
        <f>IFERROR(VLOOKUP(B21,'Order Flow'!$A$4:$Q$103,4,FALSE),"")</f>
        <v/>
      </c>
      <c r="E21" s="5" t="str">
        <f>IFERROR(VLOOKUP(B21,'Order Flow'!$A$4:$Q$103,5,FALSE),"")</f>
        <v/>
      </c>
      <c r="K21" s="5"/>
      <c r="L21" s="5"/>
      <c r="M21" s="5"/>
      <c r="N21" s="5"/>
      <c r="O21" s="5"/>
      <c r="Q21" s="5"/>
    </row>
    <row r="22" ht="15.75" customHeight="1">
      <c r="A22" s="7"/>
      <c r="C22" s="5" t="str">
        <f>IFERROR(VLOOKUP(B22,'Order Flow'!$A$4:$Q$103,3,FALSE),"")</f>
        <v/>
      </c>
      <c r="D22" s="5" t="str">
        <f>IFERROR(VLOOKUP(B22,'Order Flow'!$A$4:$Q$103,4,FALSE),"")</f>
        <v/>
      </c>
      <c r="E22" s="5" t="str">
        <f>IFERROR(VLOOKUP(B22,'Order Flow'!$A$4:$Q$103,5,FALSE),"")</f>
        <v/>
      </c>
      <c r="K22" s="5"/>
      <c r="L22" s="5"/>
      <c r="M22" s="5"/>
      <c r="N22" s="5"/>
      <c r="O22" s="5"/>
      <c r="Q22" s="5"/>
    </row>
    <row r="23" ht="15.75" customHeight="1">
      <c r="A23" s="7"/>
      <c r="C23" s="5" t="str">
        <f>IFERROR(VLOOKUP(B23,'Order Flow'!$A$4:$Q$103,3,FALSE),"")</f>
        <v/>
      </c>
      <c r="D23" s="5" t="str">
        <f>IFERROR(VLOOKUP(B23,'Order Flow'!$A$4:$Q$103,4,FALSE),"")</f>
        <v/>
      </c>
      <c r="E23" s="5" t="str">
        <f>IFERROR(VLOOKUP(B23,'Order Flow'!$A$4:$Q$103,5,FALSE),"")</f>
        <v/>
      </c>
      <c r="K23" s="5"/>
      <c r="L23" s="5"/>
      <c r="M23" s="5"/>
      <c r="N23" s="5"/>
      <c r="O23" s="5"/>
      <c r="Q23" s="5"/>
    </row>
    <row r="24" ht="15.75" customHeight="1">
      <c r="A24" s="7"/>
      <c r="C24" s="5" t="str">
        <f>IFERROR(VLOOKUP(B24,'Order Flow'!$A$4:$Q$103,3,FALSE),"")</f>
        <v/>
      </c>
      <c r="D24" s="5" t="str">
        <f>IFERROR(VLOOKUP(B24,'Order Flow'!$A$4:$Q$103,4,FALSE),"")</f>
        <v/>
      </c>
      <c r="E24" s="5" t="str">
        <f>IFERROR(VLOOKUP(B24,'Order Flow'!$A$4:$Q$103,5,FALSE),"")</f>
        <v/>
      </c>
      <c r="K24" s="5"/>
      <c r="L24" s="5"/>
      <c r="M24" s="5"/>
      <c r="N24" s="5"/>
      <c r="O24" s="5"/>
      <c r="Q24" s="5"/>
    </row>
    <row r="25" ht="15.75" customHeight="1">
      <c r="A25" s="7"/>
      <c r="C25" s="5" t="str">
        <f>IFERROR(VLOOKUP(B25,'Order Flow'!$A$4:$Q$103,3,FALSE),"")</f>
        <v/>
      </c>
      <c r="D25" s="5" t="str">
        <f>IFERROR(VLOOKUP(B25,'Order Flow'!$A$4:$Q$103,4,FALSE),"")</f>
        <v/>
      </c>
      <c r="E25" s="5" t="str">
        <f>IFERROR(VLOOKUP(B25,'Order Flow'!$A$4:$Q$103,5,FALSE),"")</f>
        <v/>
      </c>
      <c r="K25" s="5"/>
      <c r="L25" s="5"/>
      <c r="M25" s="5"/>
      <c r="N25" s="5"/>
      <c r="O25" s="5"/>
      <c r="Q25" s="5"/>
    </row>
    <row r="26" ht="15.75" customHeight="1">
      <c r="A26" s="7"/>
      <c r="C26" s="5" t="str">
        <f>IFERROR(VLOOKUP(B26,'Order Flow'!$A$4:$Q$103,3,FALSE),"")</f>
        <v/>
      </c>
      <c r="D26" s="5" t="str">
        <f>IFERROR(VLOOKUP(B26,'Order Flow'!$A$4:$Q$103,4,FALSE),"")</f>
        <v/>
      </c>
      <c r="E26" s="5" t="str">
        <f>IFERROR(VLOOKUP(B26,'Order Flow'!$A$4:$Q$103,5,FALSE),"")</f>
        <v/>
      </c>
      <c r="K26" s="5"/>
      <c r="L26" s="5"/>
      <c r="M26" s="5"/>
      <c r="N26" s="5"/>
      <c r="O26" s="5"/>
      <c r="Q26" s="5"/>
    </row>
    <row r="27" ht="15.75" customHeight="1">
      <c r="A27" s="7"/>
      <c r="C27" s="5" t="str">
        <f>IFERROR(VLOOKUP(B27,'Order Flow'!$A$4:$Q$103,3,FALSE),"")</f>
        <v/>
      </c>
      <c r="D27" s="5" t="str">
        <f>IFERROR(VLOOKUP(B27,'Order Flow'!$A$4:$Q$103,4,FALSE),"")</f>
        <v/>
      </c>
      <c r="E27" s="5" t="str">
        <f>IFERROR(VLOOKUP(B27,'Order Flow'!$A$4:$Q$103,5,FALSE),"")</f>
        <v/>
      </c>
      <c r="K27" s="5"/>
      <c r="L27" s="5"/>
      <c r="M27" s="5"/>
      <c r="N27" s="5"/>
      <c r="O27" s="5"/>
      <c r="Q27" s="5"/>
    </row>
    <row r="28" ht="15.75" customHeight="1">
      <c r="A28" s="7"/>
      <c r="C28" s="5" t="str">
        <f>IFERROR(VLOOKUP(B28,'Order Flow'!$A$4:$Q$103,3,FALSE),"")</f>
        <v/>
      </c>
      <c r="D28" s="5" t="str">
        <f>IFERROR(VLOOKUP(B28,'Order Flow'!$A$4:$Q$103,4,FALSE),"")</f>
        <v/>
      </c>
      <c r="E28" s="5" t="str">
        <f>IFERROR(VLOOKUP(B28,'Order Flow'!$A$4:$Q$103,5,FALSE),"")</f>
        <v/>
      </c>
      <c r="K28" s="5"/>
      <c r="L28" s="5"/>
      <c r="M28" s="5"/>
      <c r="N28" s="5"/>
      <c r="O28" s="5"/>
      <c r="Q28" s="5"/>
    </row>
    <row r="29" ht="15.75" customHeight="1">
      <c r="A29" s="7"/>
      <c r="C29" s="5" t="str">
        <f>IFERROR(VLOOKUP(B29,'Order Flow'!$A$4:$Q$103,3,FALSE),"")</f>
        <v/>
      </c>
      <c r="D29" s="5" t="str">
        <f>IFERROR(VLOOKUP(B29,'Order Flow'!$A$4:$Q$103,4,FALSE),"")</f>
        <v/>
      </c>
      <c r="E29" s="5" t="str">
        <f>IFERROR(VLOOKUP(B29,'Order Flow'!$A$4:$Q$103,5,FALSE),"")</f>
        <v/>
      </c>
      <c r="K29" s="5"/>
      <c r="L29" s="5"/>
      <c r="M29" s="5"/>
      <c r="N29" s="5"/>
      <c r="O29" s="5"/>
      <c r="Q29" s="5"/>
    </row>
    <row r="30" ht="15.75" customHeight="1">
      <c r="A30" s="7"/>
      <c r="C30" s="5" t="str">
        <f>IFERROR(VLOOKUP(B30,'Order Flow'!$A$4:$Q$103,3,FALSE),"")</f>
        <v/>
      </c>
      <c r="D30" s="5" t="str">
        <f>IFERROR(VLOOKUP(B30,'Order Flow'!$A$4:$Q$103,4,FALSE),"")</f>
        <v/>
      </c>
      <c r="E30" s="5" t="str">
        <f>IFERROR(VLOOKUP(B30,'Order Flow'!$A$4:$Q$103,5,FALSE),"")</f>
        <v/>
      </c>
      <c r="K30" s="5"/>
      <c r="L30" s="5"/>
      <c r="M30" s="5"/>
      <c r="N30" s="5"/>
      <c r="O30" s="5"/>
      <c r="Q30" s="5"/>
    </row>
    <row r="31" ht="15.75" customHeight="1">
      <c r="A31" s="7"/>
      <c r="C31" s="5" t="str">
        <f>IFERROR(VLOOKUP(B31,'Order Flow'!$A$4:$Q$103,3,FALSE),"")</f>
        <v/>
      </c>
      <c r="D31" s="5" t="str">
        <f>IFERROR(VLOOKUP(B31,'Order Flow'!$A$4:$Q$103,4,FALSE),"")</f>
        <v/>
      </c>
      <c r="E31" s="5" t="str">
        <f>IFERROR(VLOOKUP(B31,'Order Flow'!$A$4:$Q$103,5,FALSE),"")</f>
        <v/>
      </c>
      <c r="K31" s="5"/>
      <c r="L31" s="5"/>
      <c r="M31" s="5"/>
      <c r="N31" s="5"/>
      <c r="O31" s="5"/>
      <c r="Q31" s="5"/>
    </row>
    <row r="32" ht="15.75" customHeight="1">
      <c r="A32" s="7"/>
      <c r="C32" s="5" t="str">
        <f>IFERROR(VLOOKUP(B32,'Order Flow'!$A$4:$Q$103,3,FALSE),"")</f>
        <v/>
      </c>
      <c r="D32" s="5" t="str">
        <f>IFERROR(VLOOKUP(B32,'Order Flow'!$A$4:$Q$103,4,FALSE),"")</f>
        <v/>
      </c>
      <c r="E32" s="5" t="str">
        <f>IFERROR(VLOOKUP(B32,'Order Flow'!$A$4:$Q$103,5,FALSE),"")</f>
        <v/>
      </c>
      <c r="K32" s="5"/>
      <c r="L32" s="5"/>
      <c r="M32" s="5"/>
      <c r="N32" s="5"/>
      <c r="O32" s="5"/>
      <c r="Q32" s="5"/>
    </row>
    <row r="33" ht="15.75" customHeight="1">
      <c r="A33" s="7"/>
      <c r="C33" s="5" t="str">
        <f>IFERROR(VLOOKUP(B33,'Order Flow'!$A$4:$Q$103,3,FALSE),"")</f>
        <v/>
      </c>
      <c r="D33" s="5" t="str">
        <f>IFERROR(VLOOKUP(B33,'Order Flow'!$A$4:$Q$103,4,FALSE),"")</f>
        <v/>
      </c>
      <c r="E33" s="5" t="str">
        <f>IFERROR(VLOOKUP(B33,'Order Flow'!$A$4:$Q$103,5,FALSE),"")</f>
        <v/>
      </c>
      <c r="K33" s="5"/>
      <c r="L33" s="5"/>
      <c r="M33" s="5"/>
      <c r="N33" s="5"/>
      <c r="O33" s="5"/>
      <c r="Q33" s="5"/>
    </row>
    <row r="34" ht="15.75" customHeight="1">
      <c r="A34" s="7"/>
      <c r="C34" s="5" t="str">
        <f>IFERROR(VLOOKUP(B34,'Order Flow'!$A$4:$Q$103,3,FALSE),"")</f>
        <v/>
      </c>
      <c r="D34" s="5" t="str">
        <f>IFERROR(VLOOKUP(B34,'Order Flow'!$A$4:$Q$103,4,FALSE),"")</f>
        <v/>
      </c>
      <c r="E34" s="5" t="str">
        <f>IFERROR(VLOOKUP(B34,'Order Flow'!$A$4:$Q$103,5,FALSE),"")</f>
        <v/>
      </c>
      <c r="K34" s="5"/>
      <c r="L34" s="5"/>
      <c r="M34" s="5"/>
      <c r="N34" s="5"/>
      <c r="O34" s="5"/>
      <c r="Q34" s="5"/>
    </row>
    <row r="35" ht="15.75" customHeight="1">
      <c r="A35" s="7"/>
      <c r="C35" s="5" t="str">
        <f>IFERROR(VLOOKUP(B35,'Order Flow'!$A$4:$Q$103,3,FALSE),"")</f>
        <v/>
      </c>
      <c r="D35" s="5" t="str">
        <f>IFERROR(VLOOKUP(B35,'Order Flow'!$A$4:$Q$103,4,FALSE),"")</f>
        <v/>
      </c>
      <c r="E35" s="5" t="str">
        <f>IFERROR(VLOOKUP(B35,'Order Flow'!$A$4:$Q$103,5,FALSE),"")</f>
        <v/>
      </c>
      <c r="K35" s="5"/>
      <c r="L35" s="5"/>
      <c r="M35" s="5"/>
      <c r="N35" s="5"/>
      <c r="O35" s="5"/>
      <c r="Q35" s="5"/>
    </row>
    <row r="36" ht="15.75" customHeight="1">
      <c r="A36" s="7"/>
      <c r="C36" s="5" t="str">
        <f>IFERROR(VLOOKUP(B36,'Order Flow'!$A$4:$Q$103,3,FALSE),"")</f>
        <v/>
      </c>
      <c r="D36" s="5" t="str">
        <f>IFERROR(VLOOKUP(B36,'Order Flow'!$A$4:$Q$103,4,FALSE),"")</f>
        <v/>
      </c>
      <c r="E36" s="5" t="str">
        <f>IFERROR(VLOOKUP(B36,'Order Flow'!$A$4:$Q$103,5,FALSE),"")</f>
        <v/>
      </c>
      <c r="K36" s="5"/>
      <c r="L36" s="5"/>
      <c r="M36" s="5"/>
      <c r="N36" s="5"/>
      <c r="O36" s="5"/>
      <c r="Q36" s="5"/>
    </row>
    <row r="37" ht="15.75" customHeight="1">
      <c r="A37" s="7"/>
      <c r="C37" s="5" t="str">
        <f>IFERROR(VLOOKUP(B37,'Order Flow'!$A$4:$Q$103,3,FALSE),"")</f>
        <v/>
      </c>
      <c r="D37" s="5" t="str">
        <f>IFERROR(VLOOKUP(B37,'Order Flow'!$A$4:$Q$103,4,FALSE),"")</f>
        <v/>
      </c>
      <c r="E37" s="5" t="str">
        <f>IFERROR(VLOOKUP(B37,'Order Flow'!$A$4:$Q$103,5,FALSE),"")</f>
        <v/>
      </c>
      <c r="K37" s="5"/>
      <c r="L37" s="5"/>
      <c r="M37" s="5"/>
      <c r="N37" s="5"/>
      <c r="O37" s="5"/>
      <c r="Q37" s="5"/>
    </row>
    <row r="38" ht="15.75" customHeight="1">
      <c r="A38" s="7"/>
      <c r="C38" s="5" t="str">
        <f>IFERROR(VLOOKUP(B38,'Order Flow'!$A$4:$Q$103,3,FALSE),"")</f>
        <v/>
      </c>
      <c r="D38" s="5" t="str">
        <f>IFERROR(VLOOKUP(B38,'Order Flow'!$A$4:$Q$103,4,FALSE),"")</f>
        <v/>
      </c>
      <c r="E38" s="5" t="str">
        <f>IFERROR(VLOOKUP(B38,'Order Flow'!$A$4:$Q$103,5,FALSE),"")</f>
        <v/>
      </c>
      <c r="K38" s="5"/>
      <c r="L38" s="5"/>
      <c r="M38" s="5"/>
      <c r="N38" s="5"/>
      <c r="O38" s="5"/>
      <c r="Q38" s="5"/>
    </row>
    <row r="39" ht="15.75" customHeight="1">
      <c r="A39" s="7"/>
      <c r="C39" s="5" t="str">
        <f>IFERROR(VLOOKUP(B39,'Order Flow'!$A$4:$Q$103,3,FALSE),"")</f>
        <v/>
      </c>
      <c r="D39" s="5" t="str">
        <f>IFERROR(VLOOKUP(B39,'Order Flow'!$A$4:$Q$103,4,FALSE),"")</f>
        <v/>
      </c>
      <c r="E39" s="5" t="str">
        <f>IFERROR(VLOOKUP(B39,'Order Flow'!$A$4:$Q$103,5,FALSE),"")</f>
        <v/>
      </c>
      <c r="K39" s="5"/>
      <c r="L39" s="5"/>
      <c r="M39" s="5"/>
      <c r="N39" s="5"/>
      <c r="O39" s="5"/>
      <c r="Q39" s="5"/>
    </row>
    <row r="40" ht="15.75" customHeight="1">
      <c r="A40" s="7"/>
      <c r="C40" s="5" t="str">
        <f>IFERROR(VLOOKUP(B40,'Order Flow'!$A$4:$Q$103,3,FALSE),"")</f>
        <v/>
      </c>
      <c r="D40" s="5" t="str">
        <f>IFERROR(VLOOKUP(B40,'Order Flow'!$A$4:$Q$103,4,FALSE),"")</f>
        <v/>
      </c>
      <c r="E40" s="5" t="str">
        <f>IFERROR(VLOOKUP(B40,'Order Flow'!$A$4:$Q$103,5,FALSE),"")</f>
        <v/>
      </c>
      <c r="K40" s="5"/>
      <c r="L40" s="5"/>
      <c r="M40" s="5"/>
      <c r="N40" s="5"/>
      <c r="O40" s="5"/>
      <c r="Q40" s="5"/>
    </row>
    <row r="41" ht="15.75" customHeight="1">
      <c r="A41" s="7"/>
      <c r="C41" s="5" t="str">
        <f>IFERROR(VLOOKUP(B41,'Order Flow'!$A$4:$Q$103,3,FALSE),"")</f>
        <v/>
      </c>
      <c r="D41" s="5" t="str">
        <f>IFERROR(VLOOKUP(B41,'Order Flow'!$A$4:$Q$103,4,FALSE),"")</f>
        <v/>
      </c>
      <c r="E41" s="5" t="str">
        <f>IFERROR(VLOOKUP(B41,'Order Flow'!$A$4:$Q$103,5,FALSE),"")</f>
        <v/>
      </c>
      <c r="K41" s="5"/>
      <c r="L41" s="5"/>
      <c r="M41" s="5"/>
      <c r="N41" s="5"/>
      <c r="O41" s="5"/>
      <c r="Q41" s="5"/>
    </row>
    <row r="42" ht="15.75" customHeight="1">
      <c r="A42" s="7"/>
      <c r="C42" s="5" t="str">
        <f>IFERROR(VLOOKUP(B42,'Order Flow'!$A$4:$Q$103,3,FALSE),"")</f>
        <v/>
      </c>
      <c r="D42" s="5" t="str">
        <f>IFERROR(VLOOKUP(B42,'Order Flow'!$A$4:$Q$103,4,FALSE),"")</f>
        <v/>
      </c>
      <c r="E42" s="5" t="str">
        <f>IFERROR(VLOOKUP(B42,'Order Flow'!$A$4:$Q$103,5,FALSE),"")</f>
        <v/>
      </c>
      <c r="K42" s="5"/>
      <c r="L42" s="5"/>
      <c r="M42" s="5"/>
      <c r="N42" s="5"/>
      <c r="O42" s="5"/>
      <c r="Q42" s="5"/>
    </row>
    <row r="43" ht="15.75" customHeight="1">
      <c r="A43" s="7"/>
      <c r="C43" s="5" t="str">
        <f>IFERROR(VLOOKUP(B43,'Order Flow'!$A$4:$Q$103,3,FALSE),"")</f>
        <v/>
      </c>
      <c r="D43" s="5" t="str">
        <f>IFERROR(VLOOKUP(B43,'Order Flow'!$A$4:$Q$103,4,FALSE),"")</f>
        <v/>
      </c>
      <c r="E43" s="5" t="str">
        <f>IFERROR(VLOOKUP(B43,'Order Flow'!$A$4:$Q$103,5,FALSE),"")</f>
        <v/>
      </c>
      <c r="K43" s="5"/>
      <c r="L43" s="5"/>
      <c r="M43" s="5"/>
      <c r="N43" s="5"/>
      <c r="O43" s="5"/>
      <c r="Q43" s="5"/>
    </row>
    <row r="44" ht="15.75" customHeight="1">
      <c r="A44" s="7"/>
      <c r="C44" s="5" t="str">
        <f>IFERROR(VLOOKUP(B44,'Order Flow'!$A$4:$Q$103,3,FALSE),"")</f>
        <v/>
      </c>
      <c r="D44" s="5" t="str">
        <f>IFERROR(VLOOKUP(B44,'Order Flow'!$A$4:$Q$103,4,FALSE),"")</f>
        <v/>
      </c>
      <c r="E44" s="5" t="str">
        <f>IFERROR(VLOOKUP(B44,'Order Flow'!$A$4:$Q$103,5,FALSE),"")</f>
        <v/>
      </c>
      <c r="K44" s="5"/>
      <c r="L44" s="5"/>
      <c r="M44" s="5"/>
      <c r="N44" s="5"/>
      <c r="O44" s="5"/>
      <c r="Q44" s="5"/>
    </row>
    <row r="45" ht="15.75" customHeight="1">
      <c r="A45" s="7"/>
      <c r="C45" s="5" t="str">
        <f>IFERROR(VLOOKUP(B45,'Order Flow'!$A$4:$Q$103,3,FALSE),"")</f>
        <v/>
      </c>
      <c r="D45" s="5" t="str">
        <f>IFERROR(VLOOKUP(B45,'Order Flow'!$A$4:$Q$103,4,FALSE),"")</f>
        <v/>
      </c>
      <c r="E45" s="5" t="str">
        <f>IFERROR(VLOOKUP(B45,'Order Flow'!$A$4:$Q$103,5,FALSE),"")</f>
        <v/>
      </c>
      <c r="K45" s="5"/>
      <c r="L45" s="5"/>
      <c r="M45" s="5"/>
      <c r="N45" s="5"/>
      <c r="O45" s="5"/>
      <c r="Q45" s="5"/>
    </row>
    <row r="46" ht="15.75" customHeight="1">
      <c r="A46" s="7"/>
      <c r="C46" s="5" t="str">
        <f>IFERROR(VLOOKUP(B46,'Order Flow'!$A$4:$Q$103,3,FALSE),"")</f>
        <v/>
      </c>
      <c r="D46" s="5" t="str">
        <f>IFERROR(VLOOKUP(B46,'Order Flow'!$A$4:$Q$103,4,FALSE),"")</f>
        <v/>
      </c>
      <c r="E46" s="5" t="str">
        <f>IFERROR(VLOOKUP(B46,'Order Flow'!$A$4:$Q$103,5,FALSE),"")</f>
        <v/>
      </c>
      <c r="K46" s="5"/>
      <c r="L46" s="5"/>
      <c r="M46" s="5"/>
      <c r="N46" s="5"/>
      <c r="O46" s="5"/>
      <c r="Q46" s="5"/>
    </row>
    <row r="47" ht="15.75" customHeight="1">
      <c r="A47" s="7"/>
      <c r="C47" s="5" t="str">
        <f>IFERROR(VLOOKUP(B47,'Order Flow'!$A$4:$Q$103,3,FALSE),"")</f>
        <v/>
      </c>
      <c r="D47" s="5" t="str">
        <f>IFERROR(VLOOKUP(B47,'Order Flow'!$A$4:$Q$103,4,FALSE),"")</f>
        <v/>
      </c>
      <c r="E47" s="5" t="str">
        <f>IFERROR(VLOOKUP(B47,'Order Flow'!$A$4:$Q$103,5,FALSE),"")</f>
        <v/>
      </c>
      <c r="K47" s="5"/>
      <c r="L47" s="5"/>
      <c r="M47" s="5"/>
      <c r="N47" s="5"/>
      <c r="O47" s="5"/>
      <c r="Q47" s="5"/>
    </row>
    <row r="48" ht="15.75" customHeight="1">
      <c r="A48" s="7"/>
      <c r="C48" s="5" t="str">
        <f>IFERROR(VLOOKUP(B48,'Order Flow'!$A$4:$Q$103,3,FALSE),"")</f>
        <v/>
      </c>
      <c r="D48" s="5" t="str">
        <f>IFERROR(VLOOKUP(B48,'Order Flow'!$A$4:$Q$103,4,FALSE),"")</f>
        <v/>
      </c>
      <c r="E48" s="5" t="str">
        <f>IFERROR(VLOOKUP(B48,'Order Flow'!$A$4:$Q$103,5,FALSE),"")</f>
        <v/>
      </c>
      <c r="K48" s="5"/>
      <c r="L48" s="5"/>
      <c r="M48" s="5"/>
      <c r="N48" s="5"/>
      <c r="O48" s="5"/>
      <c r="Q48" s="5"/>
    </row>
    <row r="49" ht="15.75" customHeight="1">
      <c r="A49" s="7"/>
      <c r="C49" s="5" t="str">
        <f>IFERROR(VLOOKUP(B49,'Order Flow'!$A$4:$Q$103,3,FALSE),"")</f>
        <v/>
      </c>
      <c r="D49" s="5" t="str">
        <f>IFERROR(VLOOKUP(B49,'Order Flow'!$A$4:$Q$103,4,FALSE),"")</f>
        <v/>
      </c>
      <c r="E49" s="5" t="str">
        <f>IFERROR(VLOOKUP(B49,'Order Flow'!$A$4:$Q$103,5,FALSE),"")</f>
        <v/>
      </c>
      <c r="K49" s="5"/>
      <c r="L49" s="5"/>
      <c r="M49" s="5"/>
      <c r="N49" s="5"/>
      <c r="O49" s="5"/>
      <c r="Q49" s="5"/>
    </row>
    <row r="50" ht="15.75" customHeight="1">
      <c r="A50" s="7"/>
      <c r="C50" s="5" t="str">
        <f>IFERROR(VLOOKUP(B50,'Order Flow'!$A$4:$Q$103,3,FALSE),"")</f>
        <v/>
      </c>
      <c r="D50" s="5" t="str">
        <f>IFERROR(VLOOKUP(B50,'Order Flow'!$A$4:$Q$103,4,FALSE),"")</f>
        <v/>
      </c>
      <c r="E50" s="5" t="str">
        <f>IFERROR(VLOOKUP(B50,'Order Flow'!$A$4:$Q$103,5,FALSE),"")</f>
        <v/>
      </c>
      <c r="K50" s="5"/>
      <c r="L50" s="5"/>
      <c r="M50" s="5"/>
      <c r="N50" s="5"/>
      <c r="O50" s="5"/>
      <c r="Q50" s="5"/>
    </row>
    <row r="51" ht="15.75" customHeight="1">
      <c r="A51" s="7"/>
      <c r="C51" s="5" t="str">
        <f>IFERROR(VLOOKUP(B51,'Order Flow'!$A$4:$Q$103,3,FALSE),"")</f>
        <v/>
      </c>
      <c r="D51" s="5" t="str">
        <f>IFERROR(VLOOKUP(B51,'Order Flow'!$A$4:$Q$103,4,FALSE),"")</f>
        <v/>
      </c>
      <c r="E51" s="5" t="str">
        <f>IFERROR(VLOOKUP(B51,'Order Flow'!$A$4:$Q$103,5,FALSE),"")</f>
        <v/>
      </c>
      <c r="K51" s="5"/>
      <c r="L51" s="5"/>
      <c r="M51" s="5"/>
      <c r="N51" s="5"/>
      <c r="O51" s="5"/>
      <c r="Q51" s="5"/>
    </row>
    <row r="52" ht="15.75" customHeight="1">
      <c r="A52" s="7"/>
      <c r="C52" s="5" t="str">
        <f>IFERROR(VLOOKUP(B52,'Order Flow'!$A$4:$Q$103,3,FALSE),"")</f>
        <v/>
      </c>
      <c r="D52" s="5" t="str">
        <f>IFERROR(VLOOKUP(B52,'Order Flow'!$A$4:$Q$103,4,FALSE),"")</f>
        <v/>
      </c>
      <c r="E52" s="5" t="str">
        <f>IFERROR(VLOOKUP(B52,'Order Flow'!$A$4:$Q$103,5,FALSE),"")</f>
        <v/>
      </c>
      <c r="K52" s="5"/>
      <c r="L52" s="5"/>
      <c r="M52" s="5"/>
      <c r="N52" s="5"/>
      <c r="O52" s="5"/>
      <c r="Q52" s="5"/>
    </row>
    <row r="53" ht="15.75" customHeight="1">
      <c r="A53" s="7"/>
      <c r="C53" s="5" t="str">
        <f>IFERROR(VLOOKUP(B53,'Order Flow'!$A$4:$Q$103,3,FALSE),"")</f>
        <v/>
      </c>
      <c r="D53" s="5" t="str">
        <f>IFERROR(VLOOKUP(B53,'Order Flow'!$A$4:$Q$103,4,FALSE),"")</f>
        <v/>
      </c>
      <c r="E53" s="5" t="str">
        <f>IFERROR(VLOOKUP(B53,'Order Flow'!$A$4:$Q$103,5,FALSE),"")</f>
        <v/>
      </c>
      <c r="K53" s="5"/>
      <c r="L53" s="5"/>
      <c r="M53" s="5"/>
      <c r="N53" s="5"/>
      <c r="O53" s="5"/>
      <c r="Q53" s="5"/>
    </row>
    <row r="54" ht="15.75" customHeight="1">
      <c r="A54" s="7"/>
      <c r="C54" s="5" t="str">
        <f>IFERROR(VLOOKUP(B54,'Order Flow'!$A$4:$Q$103,3,FALSE),"")</f>
        <v/>
      </c>
      <c r="D54" s="5" t="str">
        <f>IFERROR(VLOOKUP(B54,'Order Flow'!$A$4:$Q$103,4,FALSE),"")</f>
        <v/>
      </c>
      <c r="E54" s="5" t="str">
        <f>IFERROR(VLOOKUP(B54,'Order Flow'!$A$4:$Q$103,5,FALSE),"")</f>
        <v/>
      </c>
      <c r="K54" s="5"/>
      <c r="L54" s="5"/>
      <c r="M54" s="5"/>
      <c r="N54" s="5"/>
      <c r="O54" s="5"/>
      <c r="Q54" s="5"/>
    </row>
    <row r="55" ht="15.75" customHeight="1">
      <c r="A55" s="7"/>
      <c r="C55" s="5" t="str">
        <f>IFERROR(VLOOKUP(B55,'Order Flow'!$A$4:$Q$103,3,FALSE),"")</f>
        <v/>
      </c>
      <c r="D55" s="5" t="str">
        <f>IFERROR(VLOOKUP(B55,'Order Flow'!$A$4:$Q$103,4,FALSE),"")</f>
        <v/>
      </c>
      <c r="E55" s="5" t="str">
        <f>IFERROR(VLOOKUP(B55,'Order Flow'!$A$4:$Q$103,5,FALSE),"")</f>
        <v/>
      </c>
      <c r="K55" s="5"/>
      <c r="L55" s="5"/>
      <c r="M55" s="5"/>
      <c r="N55" s="5"/>
      <c r="O55" s="5"/>
      <c r="Q55" s="5"/>
    </row>
    <row r="56" ht="15.75" customHeight="1">
      <c r="A56" s="7"/>
      <c r="C56" s="5" t="str">
        <f>IFERROR(VLOOKUP(B56,'Order Flow'!$A$4:$Q$103,3,FALSE),"")</f>
        <v/>
      </c>
      <c r="D56" s="5" t="str">
        <f>IFERROR(VLOOKUP(B56,'Order Flow'!$A$4:$Q$103,4,FALSE),"")</f>
        <v/>
      </c>
      <c r="E56" s="5" t="str">
        <f>IFERROR(VLOOKUP(B56,'Order Flow'!$A$4:$Q$103,5,FALSE),"")</f>
        <v/>
      </c>
      <c r="K56" s="5"/>
      <c r="L56" s="5"/>
      <c r="M56" s="5"/>
      <c r="N56" s="5"/>
      <c r="O56" s="5"/>
      <c r="Q56" s="5"/>
    </row>
    <row r="57" ht="15.75" customHeight="1">
      <c r="A57" s="7"/>
      <c r="C57" s="5" t="str">
        <f>IFERROR(VLOOKUP(B57,'Order Flow'!$A$4:$Q$103,3,FALSE),"")</f>
        <v/>
      </c>
      <c r="D57" s="5" t="str">
        <f>IFERROR(VLOOKUP(B57,'Order Flow'!$A$4:$Q$103,4,FALSE),"")</f>
        <v/>
      </c>
      <c r="E57" s="5" t="str">
        <f>IFERROR(VLOOKUP(B57,'Order Flow'!$A$4:$Q$103,5,FALSE),"")</f>
        <v/>
      </c>
      <c r="K57" s="5"/>
      <c r="L57" s="5"/>
      <c r="M57" s="5"/>
      <c r="N57" s="5"/>
      <c r="O57" s="5"/>
      <c r="Q57" s="5"/>
    </row>
    <row r="58" ht="15.75" customHeight="1">
      <c r="A58" s="7"/>
      <c r="C58" s="5" t="str">
        <f>IFERROR(VLOOKUP(B58,'Order Flow'!$A$4:$Q$103,3,FALSE),"")</f>
        <v/>
      </c>
      <c r="D58" s="5" t="str">
        <f>IFERROR(VLOOKUP(B58,'Order Flow'!$A$4:$Q$103,4,FALSE),"")</f>
        <v/>
      </c>
      <c r="E58" s="5" t="str">
        <f>IFERROR(VLOOKUP(B58,'Order Flow'!$A$4:$Q$103,5,FALSE),"")</f>
        <v/>
      </c>
      <c r="K58" s="5"/>
      <c r="L58" s="5"/>
      <c r="M58" s="5"/>
      <c r="N58" s="5"/>
      <c r="O58" s="5"/>
      <c r="Q58" s="5"/>
    </row>
    <row r="59" ht="15.75" customHeight="1">
      <c r="A59" s="7"/>
      <c r="C59" s="5" t="str">
        <f>IFERROR(VLOOKUP(B59,'Order Flow'!$A$4:$Q$103,3,FALSE),"")</f>
        <v/>
      </c>
      <c r="D59" s="5" t="str">
        <f>IFERROR(VLOOKUP(B59,'Order Flow'!$A$4:$Q$103,4,FALSE),"")</f>
        <v/>
      </c>
      <c r="E59" s="5" t="str">
        <f>IFERROR(VLOOKUP(B59,'Order Flow'!$A$4:$Q$103,5,FALSE),"")</f>
        <v/>
      </c>
      <c r="K59" s="5"/>
      <c r="L59" s="5"/>
      <c r="M59" s="5"/>
      <c r="N59" s="5"/>
      <c r="O59" s="5"/>
      <c r="Q59" s="5"/>
    </row>
    <row r="60" ht="15.75" customHeight="1">
      <c r="A60" s="7"/>
      <c r="C60" s="5" t="str">
        <f>IFERROR(VLOOKUP(B60,'Order Flow'!$A$4:$Q$103,3,FALSE),"")</f>
        <v/>
      </c>
      <c r="D60" s="5" t="str">
        <f>IFERROR(VLOOKUP(B60,'Order Flow'!$A$4:$Q$103,4,FALSE),"")</f>
        <v/>
      </c>
      <c r="E60" s="5" t="str">
        <f>IFERROR(VLOOKUP(B60,'Order Flow'!$A$4:$Q$103,5,FALSE),"")</f>
        <v/>
      </c>
      <c r="K60" s="5"/>
      <c r="L60" s="5"/>
      <c r="M60" s="5"/>
      <c r="N60" s="5"/>
      <c r="O60" s="5"/>
      <c r="Q60" s="5"/>
    </row>
    <row r="61" ht="15.75" customHeight="1">
      <c r="A61" s="7"/>
      <c r="C61" s="5" t="str">
        <f>IFERROR(VLOOKUP(B61,'Order Flow'!$A$4:$Q$103,3,FALSE),"")</f>
        <v/>
      </c>
      <c r="D61" s="5" t="str">
        <f>IFERROR(VLOOKUP(B61,'Order Flow'!$A$4:$Q$103,4,FALSE),"")</f>
        <v/>
      </c>
      <c r="E61" s="5" t="str">
        <f>IFERROR(VLOOKUP(B61,'Order Flow'!$A$4:$Q$103,5,FALSE),"")</f>
        <v/>
      </c>
      <c r="K61" s="5"/>
      <c r="L61" s="5"/>
      <c r="M61" s="5"/>
      <c r="N61" s="5"/>
      <c r="O61" s="5"/>
      <c r="Q61" s="5"/>
    </row>
    <row r="62" ht="15.75" customHeight="1">
      <c r="A62" s="7"/>
      <c r="C62" s="5" t="str">
        <f>IFERROR(VLOOKUP(B62,'Order Flow'!$A$4:$Q$103,3,FALSE),"")</f>
        <v/>
      </c>
      <c r="D62" s="5" t="str">
        <f>IFERROR(VLOOKUP(B62,'Order Flow'!$A$4:$Q$103,4,FALSE),"")</f>
        <v/>
      </c>
      <c r="E62" s="5" t="str">
        <f>IFERROR(VLOOKUP(B62,'Order Flow'!$A$4:$Q$103,5,FALSE),"")</f>
        <v/>
      </c>
      <c r="K62" s="5"/>
      <c r="L62" s="5"/>
      <c r="M62" s="5"/>
      <c r="N62" s="5"/>
      <c r="O62" s="5"/>
      <c r="Q62" s="5"/>
    </row>
    <row r="63" ht="15.75" customHeight="1">
      <c r="A63" s="7"/>
      <c r="C63" s="5" t="str">
        <f>IFERROR(VLOOKUP(B63,'Order Flow'!$A$4:$Q$103,3,FALSE),"")</f>
        <v/>
      </c>
      <c r="D63" s="5" t="str">
        <f>IFERROR(VLOOKUP(B63,'Order Flow'!$A$4:$Q$103,4,FALSE),"")</f>
        <v/>
      </c>
      <c r="E63" s="5" t="str">
        <f>IFERROR(VLOOKUP(B63,'Order Flow'!$A$4:$Q$103,5,FALSE),"")</f>
        <v/>
      </c>
      <c r="K63" s="5"/>
      <c r="L63" s="5"/>
      <c r="M63" s="5"/>
      <c r="N63" s="5"/>
      <c r="O63" s="5"/>
      <c r="Q63" s="5"/>
    </row>
    <row r="64" ht="15.75" customHeight="1">
      <c r="A64" s="7"/>
      <c r="C64" s="5" t="str">
        <f>IFERROR(VLOOKUP(B64,'Order Flow'!$A$4:$Q$103,3,FALSE),"")</f>
        <v/>
      </c>
      <c r="D64" s="5" t="str">
        <f>IFERROR(VLOOKUP(B64,'Order Flow'!$A$4:$Q$103,4,FALSE),"")</f>
        <v/>
      </c>
      <c r="E64" s="5" t="str">
        <f>IFERROR(VLOOKUP(B64,'Order Flow'!$A$4:$Q$103,5,FALSE),"")</f>
        <v/>
      </c>
      <c r="K64" s="5"/>
      <c r="L64" s="5"/>
      <c r="M64" s="5"/>
      <c r="N64" s="5"/>
      <c r="O64" s="5"/>
      <c r="Q64" s="5"/>
    </row>
    <row r="65" ht="15.75" customHeight="1">
      <c r="A65" s="7"/>
      <c r="C65" s="5" t="str">
        <f>IFERROR(VLOOKUP(B65,'Order Flow'!$A$4:$Q$103,3,FALSE),"")</f>
        <v/>
      </c>
      <c r="D65" s="5" t="str">
        <f>IFERROR(VLOOKUP(B65,'Order Flow'!$A$4:$Q$103,4,FALSE),"")</f>
        <v/>
      </c>
      <c r="E65" s="5" t="str">
        <f>IFERROR(VLOOKUP(B65,'Order Flow'!$A$4:$Q$103,5,FALSE),"")</f>
        <v/>
      </c>
      <c r="K65" s="5"/>
      <c r="L65" s="5"/>
      <c r="M65" s="5"/>
      <c r="N65" s="5"/>
      <c r="O65" s="5"/>
      <c r="Q65" s="5"/>
    </row>
    <row r="66" ht="15.75" customHeight="1">
      <c r="A66" s="7"/>
      <c r="C66" s="5" t="str">
        <f>IFERROR(VLOOKUP(B66,'Order Flow'!$A$4:$Q$103,3,FALSE),"")</f>
        <v/>
      </c>
      <c r="D66" s="5" t="str">
        <f>IFERROR(VLOOKUP(B66,'Order Flow'!$A$4:$Q$103,4,FALSE),"")</f>
        <v/>
      </c>
      <c r="E66" s="5" t="str">
        <f>IFERROR(VLOOKUP(B66,'Order Flow'!$A$4:$Q$103,5,FALSE),"")</f>
        <v/>
      </c>
      <c r="K66" s="5"/>
      <c r="L66" s="5"/>
      <c r="M66" s="5"/>
      <c r="N66" s="5"/>
      <c r="O66" s="5"/>
      <c r="Q66" s="5"/>
    </row>
    <row r="67" ht="15.75" customHeight="1">
      <c r="A67" s="7"/>
      <c r="C67" s="5" t="str">
        <f>IFERROR(VLOOKUP(B67,'Order Flow'!$A$4:$Q$103,3,FALSE),"")</f>
        <v/>
      </c>
      <c r="D67" s="5" t="str">
        <f>IFERROR(VLOOKUP(B67,'Order Flow'!$A$4:$Q$103,4,FALSE),"")</f>
        <v/>
      </c>
      <c r="E67" s="5" t="str">
        <f>IFERROR(VLOOKUP(B67,'Order Flow'!$A$4:$Q$103,5,FALSE),"")</f>
        <v/>
      </c>
      <c r="K67" s="5"/>
      <c r="L67" s="5"/>
      <c r="M67" s="5"/>
      <c r="N67" s="5"/>
      <c r="O67" s="5"/>
      <c r="Q67" s="5"/>
    </row>
    <row r="68" ht="15.75" customHeight="1">
      <c r="A68" s="7"/>
      <c r="C68" s="5" t="str">
        <f>IFERROR(VLOOKUP(B68,'Order Flow'!$A$4:$Q$103,3,FALSE),"")</f>
        <v/>
      </c>
      <c r="D68" s="5" t="str">
        <f>IFERROR(VLOOKUP(B68,'Order Flow'!$A$4:$Q$103,4,FALSE),"")</f>
        <v/>
      </c>
      <c r="E68" s="5" t="str">
        <f>IFERROR(VLOOKUP(B68,'Order Flow'!$A$4:$Q$103,5,FALSE),"")</f>
        <v/>
      </c>
      <c r="K68" s="5"/>
      <c r="L68" s="5"/>
      <c r="M68" s="5"/>
      <c r="N68" s="5"/>
      <c r="O68" s="5"/>
      <c r="Q68" s="5"/>
    </row>
    <row r="69" ht="15.75" customHeight="1">
      <c r="A69" s="7"/>
      <c r="C69" s="5" t="str">
        <f>IFERROR(VLOOKUP(B69,'Order Flow'!$A$4:$Q$103,3,FALSE),"")</f>
        <v/>
      </c>
      <c r="D69" s="5" t="str">
        <f>IFERROR(VLOOKUP(B69,'Order Flow'!$A$4:$Q$103,4,FALSE),"")</f>
        <v/>
      </c>
      <c r="E69" s="5" t="str">
        <f>IFERROR(VLOOKUP(B69,'Order Flow'!$A$4:$Q$103,5,FALSE),"")</f>
        <v/>
      </c>
      <c r="K69" s="5"/>
      <c r="L69" s="5"/>
      <c r="M69" s="5"/>
      <c r="N69" s="5"/>
      <c r="O69" s="5"/>
      <c r="Q69" s="5"/>
    </row>
    <row r="70" ht="15.75" customHeight="1">
      <c r="A70" s="7"/>
      <c r="C70" s="5" t="str">
        <f>IFERROR(VLOOKUP(B70,'Order Flow'!$A$4:$Q$103,3,FALSE),"")</f>
        <v/>
      </c>
      <c r="D70" s="5" t="str">
        <f>IFERROR(VLOOKUP(B70,'Order Flow'!$A$4:$Q$103,4,FALSE),"")</f>
        <v/>
      </c>
      <c r="E70" s="5" t="str">
        <f>IFERROR(VLOOKUP(B70,'Order Flow'!$A$4:$Q$103,5,FALSE),"")</f>
        <v/>
      </c>
      <c r="K70" s="5"/>
      <c r="L70" s="5"/>
      <c r="M70" s="5"/>
      <c r="N70" s="5"/>
      <c r="O70" s="5"/>
      <c r="Q70" s="5"/>
    </row>
    <row r="71" ht="15.75" customHeight="1">
      <c r="A71" s="7"/>
      <c r="C71" s="5" t="str">
        <f>IFERROR(VLOOKUP(B71,'Order Flow'!$A$4:$Q$103,3,FALSE),"")</f>
        <v/>
      </c>
      <c r="D71" s="5" t="str">
        <f>IFERROR(VLOOKUP(B71,'Order Flow'!$A$4:$Q$103,4,FALSE),"")</f>
        <v/>
      </c>
      <c r="E71" s="5" t="str">
        <f>IFERROR(VLOOKUP(B71,'Order Flow'!$A$4:$Q$103,5,FALSE),"")</f>
        <v/>
      </c>
      <c r="K71" s="5"/>
      <c r="L71" s="5"/>
      <c r="M71" s="5"/>
      <c r="N71" s="5"/>
      <c r="O71" s="5"/>
      <c r="Q71" s="5"/>
    </row>
    <row r="72" ht="15.75" customHeight="1">
      <c r="A72" s="7"/>
      <c r="C72" s="5" t="str">
        <f>IFERROR(VLOOKUP(B72,'Order Flow'!$A$4:$Q$103,3,FALSE),"")</f>
        <v/>
      </c>
      <c r="D72" s="5" t="str">
        <f>IFERROR(VLOOKUP(B72,'Order Flow'!$A$4:$Q$103,4,FALSE),"")</f>
        <v/>
      </c>
      <c r="E72" s="5" t="str">
        <f>IFERROR(VLOOKUP(B72,'Order Flow'!$A$4:$Q$103,5,FALSE),"")</f>
        <v/>
      </c>
      <c r="K72" s="5"/>
      <c r="L72" s="5"/>
      <c r="M72" s="5"/>
      <c r="N72" s="5"/>
      <c r="O72" s="5"/>
      <c r="Q72" s="5"/>
    </row>
    <row r="73" ht="15.75" customHeight="1">
      <c r="A73" s="7"/>
      <c r="C73" s="5" t="str">
        <f>IFERROR(VLOOKUP(B73,'Order Flow'!$A$4:$Q$103,3,FALSE),"")</f>
        <v/>
      </c>
      <c r="D73" s="5" t="str">
        <f>IFERROR(VLOOKUP(B73,'Order Flow'!$A$4:$Q$103,4,FALSE),"")</f>
        <v/>
      </c>
      <c r="E73" s="5" t="str">
        <f>IFERROR(VLOOKUP(B73,'Order Flow'!$A$4:$Q$103,5,FALSE),"")</f>
        <v/>
      </c>
      <c r="K73" s="5"/>
      <c r="L73" s="5"/>
      <c r="M73" s="5"/>
      <c r="N73" s="5"/>
      <c r="O73" s="5"/>
      <c r="Q73" s="5"/>
    </row>
    <row r="74" ht="15.75" customHeight="1">
      <c r="A74" s="7"/>
      <c r="C74" s="5" t="str">
        <f>IFERROR(VLOOKUP(B74,'Order Flow'!$A$4:$Q$103,3,FALSE),"")</f>
        <v/>
      </c>
      <c r="D74" s="5" t="str">
        <f>IFERROR(VLOOKUP(B74,'Order Flow'!$A$4:$Q$103,4,FALSE),"")</f>
        <v/>
      </c>
      <c r="E74" s="5" t="str">
        <f>IFERROR(VLOOKUP(B74,'Order Flow'!$A$4:$Q$103,5,FALSE),"")</f>
        <v/>
      </c>
      <c r="K74" s="5"/>
      <c r="L74" s="5"/>
      <c r="M74" s="5"/>
      <c r="N74" s="5"/>
      <c r="O74" s="5"/>
      <c r="Q74" s="5"/>
    </row>
    <row r="75" ht="15.75" customHeight="1">
      <c r="A75" s="7"/>
      <c r="C75" s="5" t="str">
        <f>IFERROR(VLOOKUP(B75,'Order Flow'!$A$4:$Q$103,3,FALSE),"")</f>
        <v/>
      </c>
      <c r="D75" s="5" t="str">
        <f>IFERROR(VLOOKUP(B75,'Order Flow'!$A$4:$Q$103,4,FALSE),"")</f>
        <v/>
      </c>
      <c r="E75" s="5" t="str">
        <f>IFERROR(VLOOKUP(B75,'Order Flow'!$A$4:$Q$103,5,FALSE),"")</f>
        <v/>
      </c>
      <c r="K75" s="5"/>
      <c r="L75" s="5"/>
      <c r="M75" s="5"/>
      <c r="N75" s="5"/>
      <c r="O75" s="5"/>
      <c r="Q75" s="5"/>
    </row>
    <row r="76" ht="15.75" customHeight="1">
      <c r="A76" s="7"/>
      <c r="C76" s="5" t="str">
        <f>IFERROR(VLOOKUP(B76,'Order Flow'!$A$4:$Q$103,3,FALSE),"")</f>
        <v/>
      </c>
      <c r="D76" s="5" t="str">
        <f>IFERROR(VLOOKUP(B76,'Order Flow'!$A$4:$Q$103,4,FALSE),"")</f>
        <v/>
      </c>
      <c r="E76" s="5" t="str">
        <f>IFERROR(VLOOKUP(B76,'Order Flow'!$A$4:$Q$103,5,FALSE),"")</f>
        <v/>
      </c>
      <c r="K76" s="5"/>
      <c r="L76" s="5"/>
      <c r="M76" s="5"/>
      <c r="N76" s="5"/>
      <c r="O76" s="5"/>
      <c r="Q76" s="5"/>
    </row>
    <row r="77" ht="15.75" customHeight="1">
      <c r="A77" s="7"/>
      <c r="C77" s="5" t="str">
        <f>IFERROR(VLOOKUP(B77,'Order Flow'!$A$4:$Q$103,3,FALSE),"")</f>
        <v/>
      </c>
      <c r="D77" s="5" t="str">
        <f>IFERROR(VLOOKUP(B77,'Order Flow'!$A$4:$Q$103,4,FALSE),"")</f>
        <v/>
      </c>
      <c r="E77" s="5" t="str">
        <f>IFERROR(VLOOKUP(B77,'Order Flow'!$A$4:$Q$103,5,FALSE),"")</f>
        <v/>
      </c>
      <c r="K77" s="5"/>
      <c r="L77" s="5"/>
      <c r="M77" s="5"/>
      <c r="N77" s="5"/>
      <c r="O77" s="5"/>
      <c r="Q77" s="5"/>
    </row>
    <row r="78" ht="15.75" customHeight="1">
      <c r="A78" s="7"/>
      <c r="C78" s="5" t="str">
        <f>IFERROR(VLOOKUP(B78,'Order Flow'!$A$4:$Q$103,3,FALSE),"")</f>
        <v/>
      </c>
      <c r="D78" s="5" t="str">
        <f>IFERROR(VLOOKUP(B78,'Order Flow'!$A$4:$Q$103,4,FALSE),"")</f>
        <v/>
      </c>
      <c r="E78" s="5" t="str">
        <f>IFERROR(VLOOKUP(B78,'Order Flow'!$A$4:$Q$103,5,FALSE),"")</f>
        <v/>
      </c>
      <c r="K78" s="5"/>
      <c r="L78" s="5"/>
      <c r="M78" s="5"/>
      <c r="N78" s="5"/>
      <c r="O78" s="5"/>
      <c r="Q78" s="5"/>
    </row>
    <row r="79" ht="15.75" customHeight="1">
      <c r="A79" s="7"/>
      <c r="C79" s="5" t="str">
        <f>IFERROR(VLOOKUP(B79,'Order Flow'!$A$4:$Q$103,3,FALSE),"")</f>
        <v/>
      </c>
      <c r="D79" s="5" t="str">
        <f>IFERROR(VLOOKUP(B79,'Order Flow'!$A$4:$Q$103,4,FALSE),"")</f>
        <v/>
      </c>
      <c r="E79" s="5" t="str">
        <f>IFERROR(VLOOKUP(B79,'Order Flow'!$A$4:$Q$103,5,FALSE),"")</f>
        <v/>
      </c>
      <c r="K79" s="5"/>
      <c r="L79" s="5"/>
      <c r="M79" s="5"/>
      <c r="N79" s="5"/>
      <c r="O79" s="5"/>
      <c r="Q79" s="5"/>
    </row>
    <row r="80" ht="15.75" customHeight="1">
      <c r="A80" s="7"/>
      <c r="C80" s="5" t="str">
        <f>IFERROR(VLOOKUP(B80,'Order Flow'!$A$4:$Q$103,3,FALSE),"")</f>
        <v/>
      </c>
      <c r="D80" s="5" t="str">
        <f>IFERROR(VLOOKUP(B80,'Order Flow'!$A$4:$Q$103,4,FALSE),"")</f>
        <v/>
      </c>
      <c r="E80" s="5" t="str">
        <f>IFERROR(VLOOKUP(B80,'Order Flow'!$A$4:$Q$103,5,FALSE),"")</f>
        <v/>
      </c>
      <c r="K80" s="5"/>
      <c r="L80" s="5"/>
      <c r="M80" s="5"/>
      <c r="N80" s="5"/>
      <c r="O80" s="5"/>
      <c r="Q80" s="5"/>
    </row>
    <row r="81" ht="15.75" customHeight="1">
      <c r="A81" s="7"/>
      <c r="C81" s="5" t="str">
        <f>IFERROR(VLOOKUP(B81,'Order Flow'!$A$4:$Q$103,3,FALSE),"")</f>
        <v/>
      </c>
      <c r="D81" s="5" t="str">
        <f>IFERROR(VLOOKUP(B81,'Order Flow'!$A$4:$Q$103,4,FALSE),"")</f>
        <v/>
      </c>
      <c r="E81" s="5" t="str">
        <f>IFERROR(VLOOKUP(B81,'Order Flow'!$A$4:$Q$103,5,FALSE),"")</f>
        <v/>
      </c>
      <c r="K81" s="5"/>
      <c r="L81" s="5"/>
      <c r="M81" s="5"/>
      <c r="N81" s="5"/>
      <c r="O81" s="5"/>
      <c r="Q81" s="5"/>
    </row>
    <row r="82" ht="15.75" customHeight="1">
      <c r="A82" s="7"/>
      <c r="C82" s="5" t="str">
        <f>IFERROR(VLOOKUP(B82,'Order Flow'!$A$4:$Q$103,3,FALSE),"")</f>
        <v/>
      </c>
      <c r="D82" s="5" t="str">
        <f>IFERROR(VLOOKUP(B82,'Order Flow'!$A$4:$Q$103,4,FALSE),"")</f>
        <v/>
      </c>
      <c r="E82" s="5" t="str">
        <f>IFERROR(VLOOKUP(B82,'Order Flow'!$A$4:$Q$103,5,FALSE),"")</f>
        <v/>
      </c>
      <c r="K82" s="5"/>
      <c r="L82" s="5"/>
      <c r="M82" s="5"/>
      <c r="N82" s="5"/>
      <c r="O82" s="5"/>
      <c r="Q82" s="5"/>
    </row>
    <row r="83" ht="15.75" customHeight="1">
      <c r="A83" s="7"/>
      <c r="C83" s="5" t="str">
        <f>IFERROR(VLOOKUP(B83,'Order Flow'!$A$4:$Q$103,3,FALSE),"")</f>
        <v/>
      </c>
      <c r="D83" s="5" t="str">
        <f>IFERROR(VLOOKUP(B83,'Order Flow'!$A$4:$Q$103,4,FALSE),"")</f>
        <v/>
      </c>
      <c r="E83" s="5" t="str">
        <f>IFERROR(VLOOKUP(B83,'Order Flow'!$A$4:$Q$103,5,FALSE),"")</f>
        <v/>
      </c>
      <c r="K83" s="5"/>
      <c r="L83" s="5"/>
      <c r="M83" s="5"/>
      <c r="N83" s="5"/>
      <c r="O83" s="5"/>
      <c r="Q83" s="5"/>
    </row>
    <row r="84" ht="15.75" customHeight="1">
      <c r="A84" s="7"/>
      <c r="C84" s="5" t="str">
        <f>IFERROR(VLOOKUP(B84,'Order Flow'!$A$4:$Q$103,3,FALSE),"")</f>
        <v/>
      </c>
      <c r="D84" s="5" t="str">
        <f>IFERROR(VLOOKUP(B84,'Order Flow'!$A$4:$Q$103,4,FALSE),"")</f>
        <v/>
      </c>
      <c r="E84" s="5" t="str">
        <f>IFERROR(VLOOKUP(B84,'Order Flow'!$A$4:$Q$103,5,FALSE),"")</f>
        <v/>
      </c>
      <c r="K84" s="5"/>
      <c r="L84" s="5"/>
      <c r="M84" s="5"/>
      <c r="N84" s="5"/>
      <c r="O84" s="5"/>
      <c r="Q84" s="5"/>
    </row>
    <row r="85" ht="15.75" customHeight="1">
      <c r="A85" s="7"/>
      <c r="C85" s="5" t="str">
        <f>IFERROR(VLOOKUP(B85,'Order Flow'!$A$4:$Q$103,3,FALSE),"")</f>
        <v/>
      </c>
      <c r="D85" s="5" t="str">
        <f>IFERROR(VLOOKUP(B85,'Order Flow'!$A$4:$Q$103,4,FALSE),"")</f>
        <v/>
      </c>
      <c r="E85" s="5" t="str">
        <f>IFERROR(VLOOKUP(B85,'Order Flow'!$A$4:$Q$103,5,FALSE),"")</f>
        <v/>
      </c>
      <c r="K85" s="5"/>
      <c r="L85" s="5"/>
      <c r="M85" s="5"/>
      <c r="N85" s="5"/>
      <c r="O85" s="5"/>
      <c r="Q85" s="5"/>
    </row>
    <row r="86" ht="15.75" customHeight="1">
      <c r="A86" s="7"/>
      <c r="C86" s="5" t="str">
        <f>IFERROR(VLOOKUP(B86,'Order Flow'!$A$4:$Q$103,3,FALSE),"")</f>
        <v/>
      </c>
      <c r="D86" s="5" t="str">
        <f>IFERROR(VLOOKUP(B86,'Order Flow'!$A$4:$Q$103,4,FALSE),"")</f>
        <v/>
      </c>
      <c r="E86" s="5" t="str">
        <f>IFERROR(VLOOKUP(B86,'Order Flow'!$A$4:$Q$103,5,FALSE),"")</f>
        <v/>
      </c>
      <c r="K86" s="5"/>
      <c r="L86" s="5"/>
      <c r="M86" s="5"/>
      <c r="N86" s="5"/>
      <c r="O86" s="5"/>
      <c r="Q86" s="5"/>
    </row>
    <row r="87" ht="15.75" customHeight="1">
      <c r="A87" s="7"/>
      <c r="C87" s="5" t="str">
        <f>IFERROR(VLOOKUP(B87,'Order Flow'!$A$4:$Q$103,3,FALSE),"")</f>
        <v/>
      </c>
      <c r="D87" s="5" t="str">
        <f>IFERROR(VLOOKUP(B87,'Order Flow'!$A$4:$Q$103,4,FALSE),"")</f>
        <v/>
      </c>
      <c r="E87" s="5" t="str">
        <f>IFERROR(VLOOKUP(B87,'Order Flow'!$A$4:$Q$103,5,FALSE),"")</f>
        <v/>
      </c>
      <c r="K87" s="5"/>
      <c r="L87" s="5"/>
      <c r="M87" s="5"/>
      <c r="N87" s="5"/>
      <c r="O87" s="5"/>
      <c r="Q87" s="5"/>
    </row>
    <row r="88" ht="15.75" customHeight="1">
      <c r="A88" s="7"/>
      <c r="C88" s="5" t="str">
        <f>IFERROR(VLOOKUP(B88,'Order Flow'!$A$4:$Q$103,3,FALSE),"")</f>
        <v/>
      </c>
      <c r="D88" s="5" t="str">
        <f>IFERROR(VLOOKUP(B88,'Order Flow'!$A$4:$Q$103,4,FALSE),"")</f>
        <v/>
      </c>
      <c r="E88" s="5" t="str">
        <f>IFERROR(VLOOKUP(B88,'Order Flow'!$A$4:$Q$103,5,FALSE),"")</f>
        <v/>
      </c>
      <c r="K88" s="5"/>
      <c r="L88" s="5"/>
      <c r="M88" s="5"/>
      <c r="N88" s="5"/>
      <c r="O88" s="5"/>
      <c r="Q88" s="5"/>
    </row>
    <row r="89" ht="15.75" customHeight="1">
      <c r="A89" s="7"/>
      <c r="C89" s="5" t="str">
        <f>IFERROR(VLOOKUP(B89,'Order Flow'!$A$4:$Q$103,3,FALSE),"")</f>
        <v/>
      </c>
      <c r="D89" s="5" t="str">
        <f>IFERROR(VLOOKUP(B89,'Order Flow'!$A$4:$Q$103,4,FALSE),"")</f>
        <v/>
      </c>
      <c r="E89" s="5" t="str">
        <f>IFERROR(VLOOKUP(B89,'Order Flow'!$A$4:$Q$103,5,FALSE),"")</f>
        <v/>
      </c>
      <c r="K89" s="5"/>
      <c r="L89" s="5"/>
      <c r="M89" s="5"/>
      <c r="N89" s="5"/>
      <c r="O89" s="5"/>
      <c r="Q89" s="5"/>
    </row>
    <row r="90" ht="15.75" customHeight="1">
      <c r="A90" s="7"/>
      <c r="C90" s="5" t="str">
        <f>IFERROR(VLOOKUP(B90,'Order Flow'!$A$4:$Q$103,3,FALSE),"")</f>
        <v/>
      </c>
      <c r="D90" s="5" t="str">
        <f>IFERROR(VLOOKUP(B90,'Order Flow'!$A$4:$Q$103,4,FALSE),"")</f>
        <v/>
      </c>
      <c r="E90" s="5" t="str">
        <f>IFERROR(VLOOKUP(B90,'Order Flow'!$A$4:$Q$103,5,FALSE),"")</f>
        <v/>
      </c>
      <c r="K90" s="5"/>
      <c r="L90" s="5"/>
      <c r="M90" s="5"/>
      <c r="N90" s="5"/>
      <c r="O90" s="5"/>
      <c r="Q90" s="5"/>
    </row>
    <row r="91" ht="15.75" customHeight="1">
      <c r="A91" s="7"/>
      <c r="C91" s="5" t="str">
        <f>IFERROR(VLOOKUP(B91,'Order Flow'!$A$4:$Q$103,3,FALSE),"")</f>
        <v/>
      </c>
      <c r="D91" s="5" t="str">
        <f>IFERROR(VLOOKUP(B91,'Order Flow'!$A$4:$Q$103,4,FALSE),"")</f>
        <v/>
      </c>
      <c r="E91" s="5" t="str">
        <f>IFERROR(VLOOKUP(B91,'Order Flow'!$A$4:$Q$103,5,FALSE),"")</f>
        <v/>
      </c>
      <c r="K91" s="5"/>
      <c r="L91" s="5"/>
      <c r="M91" s="5"/>
      <c r="N91" s="5"/>
      <c r="O91" s="5"/>
      <c r="Q91" s="5"/>
    </row>
    <row r="92" ht="15.75" customHeight="1">
      <c r="A92" s="7"/>
      <c r="C92" s="5" t="str">
        <f>IFERROR(VLOOKUP(B92,'Order Flow'!$A$4:$Q$103,3,FALSE),"")</f>
        <v/>
      </c>
      <c r="D92" s="5" t="str">
        <f>IFERROR(VLOOKUP(B92,'Order Flow'!$A$4:$Q$103,4,FALSE),"")</f>
        <v/>
      </c>
      <c r="E92" s="5" t="str">
        <f>IFERROR(VLOOKUP(B92,'Order Flow'!$A$4:$Q$103,5,FALSE),"")</f>
        <v/>
      </c>
      <c r="K92" s="5"/>
      <c r="L92" s="5"/>
      <c r="M92" s="5"/>
      <c r="N92" s="5"/>
      <c r="O92" s="5"/>
      <c r="Q92" s="5"/>
    </row>
    <row r="93" ht="15.75" customHeight="1">
      <c r="A93" s="7"/>
      <c r="C93" s="5" t="str">
        <f>IFERROR(VLOOKUP(B93,'Order Flow'!$A$4:$Q$103,3,FALSE),"")</f>
        <v/>
      </c>
      <c r="D93" s="5" t="str">
        <f>IFERROR(VLOOKUP(B93,'Order Flow'!$A$4:$Q$103,4,FALSE),"")</f>
        <v/>
      </c>
      <c r="E93" s="5" t="str">
        <f>IFERROR(VLOOKUP(B93,'Order Flow'!$A$4:$Q$103,5,FALSE),"")</f>
        <v/>
      </c>
      <c r="K93" s="5"/>
      <c r="L93" s="5"/>
      <c r="M93" s="5"/>
      <c r="N93" s="5"/>
      <c r="O93" s="5"/>
      <c r="Q93" s="5"/>
    </row>
    <row r="94" ht="15.75" customHeight="1">
      <c r="A94" s="7"/>
      <c r="C94" s="5" t="str">
        <f>IFERROR(VLOOKUP(B94,'Order Flow'!$A$4:$Q$103,3,FALSE),"")</f>
        <v/>
      </c>
      <c r="D94" s="5" t="str">
        <f>IFERROR(VLOOKUP(B94,'Order Flow'!$A$4:$Q$103,4,FALSE),"")</f>
        <v/>
      </c>
      <c r="E94" s="5" t="str">
        <f>IFERROR(VLOOKUP(B94,'Order Flow'!$A$4:$Q$103,5,FALSE),"")</f>
        <v/>
      </c>
      <c r="K94" s="5"/>
      <c r="L94" s="5"/>
      <c r="M94" s="5"/>
      <c r="N94" s="5"/>
      <c r="O94" s="5"/>
      <c r="Q94" s="5"/>
    </row>
    <row r="95" ht="15.75" customHeight="1">
      <c r="A95" s="7"/>
      <c r="C95" s="5" t="str">
        <f>IFERROR(VLOOKUP(B95,'Order Flow'!$A$4:$Q$103,3,FALSE),"")</f>
        <v/>
      </c>
      <c r="D95" s="5" t="str">
        <f>IFERROR(VLOOKUP(B95,'Order Flow'!$A$4:$Q$103,4,FALSE),"")</f>
        <v/>
      </c>
      <c r="E95" s="5" t="str">
        <f>IFERROR(VLOOKUP(B95,'Order Flow'!$A$4:$Q$103,5,FALSE),"")</f>
        <v/>
      </c>
      <c r="K95" s="5"/>
      <c r="L95" s="5"/>
      <c r="M95" s="5"/>
      <c r="N95" s="5"/>
      <c r="O95" s="5"/>
      <c r="Q95" s="5"/>
    </row>
    <row r="96" ht="15.75" customHeight="1">
      <c r="A96" s="7"/>
      <c r="C96" s="5" t="str">
        <f>IFERROR(VLOOKUP(B96,'Order Flow'!$A$4:$Q$103,3,FALSE),"")</f>
        <v/>
      </c>
      <c r="D96" s="5" t="str">
        <f>IFERROR(VLOOKUP(B96,'Order Flow'!$A$4:$Q$103,4,FALSE),"")</f>
        <v/>
      </c>
      <c r="E96" s="5" t="str">
        <f>IFERROR(VLOOKUP(B96,'Order Flow'!$A$4:$Q$103,5,FALSE),"")</f>
        <v/>
      </c>
      <c r="K96" s="5"/>
      <c r="L96" s="5"/>
      <c r="M96" s="5"/>
      <c r="N96" s="5"/>
      <c r="O96" s="5"/>
      <c r="Q96" s="5"/>
    </row>
    <row r="97" ht="15.75" customHeight="1">
      <c r="A97" s="7"/>
      <c r="C97" s="5" t="str">
        <f>IFERROR(VLOOKUP(B97,'Order Flow'!$A$4:$Q$103,3,FALSE),"")</f>
        <v/>
      </c>
      <c r="D97" s="5" t="str">
        <f>IFERROR(VLOOKUP(B97,'Order Flow'!$A$4:$Q$103,4,FALSE),"")</f>
        <v/>
      </c>
      <c r="E97" s="5" t="str">
        <f>IFERROR(VLOOKUP(B97,'Order Flow'!$A$4:$Q$103,5,FALSE),"")</f>
        <v/>
      </c>
      <c r="K97" s="5"/>
      <c r="L97" s="5"/>
      <c r="M97" s="5"/>
      <c r="N97" s="5"/>
      <c r="O97" s="5"/>
      <c r="Q97" s="5"/>
    </row>
    <row r="98" ht="15.75" customHeight="1">
      <c r="A98" s="7"/>
      <c r="C98" s="5" t="str">
        <f>IFERROR(VLOOKUP(B98,'Order Flow'!$A$4:$Q$103,3,FALSE),"")</f>
        <v/>
      </c>
      <c r="D98" s="5" t="str">
        <f>IFERROR(VLOOKUP(B98,'Order Flow'!$A$4:$Q$103,4,FALSE),"")</f>
        <v/>
      </c>
      <c r="E98" s="5" t="str">
        <f>IFERROR(VLOOKUP(B98,'Order Flow'!$A$4:$Q$103,5,FALSE),"")</f>
        <v/>
      </c>
      <c r="K98" s="5"/>
      <c r="L98" s="5"/>
      <c r="M98" s="5"/>
      <c r="N98" s="5"/>
      <c r="O98" s="5"/>
      <c r="Q98" s="5"/>
    </row>
    <row r="99" ht="15.75" customHeight="1">
      <c r="A99" s="7"/>
      <c r="C99" s="5" t="str">
        <f>IFERROR(VLOOKUP(B99,'Order Flow'!$A$4:$Q$103,3,FALSE),"")</f>
        <v/>
      </c>
      <c r="D99" s="5" t="str">
        <f>IFERROR(VLOOKUP(B99,'Order Flow'!$A$4:$Q$103,4,FALSE),"")</f>
        <v/>
      </c>
      <c r="E99" s="5" t="str">
        <f>IFERROR(VLOOKUP(B99,'Order Flow'!$A$4:$Q$103,5,FALSE),"")</f>
        <v/>
      </c>
      <c r="K99" s="5"/>
      <c r="L99" s="5"/>
      <c r="M99" s="5"/>
      <c r="N99" s="5"/>
      <c r="O99" s="5"/>
      <c r="Q99" s="5"/>
    </row>
    <row r="100" ht="15.75" customHeight="1">
      <c r="A100" s="7"/>
      <c r="C100" s="5" t="str">
        <f>IFERROR(VLOOKUP(B100,'Order Flow'!$A$4:$Q$103,3,FALSE),"")</f>
        <v/>
      </c>
      <c r="D100" s="5" t="str">
        <f>IFERROR(VLOOKUP(B100,'Order Flow'!$A$4:$Q$103,4,FALSE),"")</f>
        <v/>
      </c>
      <c r="E100" s="5" t="str">
        <f>IFERROR(VLOOKUP(B100,'Order Flow'!$A$4:$Q$103,5,FALSE),"")</f>
        <v/>
      </c>
      <c r="K100" s="5"/>
      <c r="L100" s="5"/>
      <c r="M100" s="5"/>
      <c r="N100" s="5"/>
      <c r="O100" s="5"/>
      <c r="Q100" s="5"/>
    </row>
    <row r="101" ht="15.75" customHeight="1">
      <c r="A101" s="7"/>
      <c r="C101" s="5" t="str">
        <f>IFERROR(VLOOKUP(B101,'Order Flow'!$A$4:$Q$103,3,FALSE),"")</f>
        <v/>
      </c>
      <c r="D101" s="5" t="str">
        <f>IFERROR(VLOOKUP(B101,'Order Flow'!$A$4:$Q$103,4,FALSE),"")</f>
        <v/>
      </c>
      <c r="E101" s="5" t="str">
        <f>IFERROR(VLOOKUP(B101,'Order Flow'!$A$4:$Q$103,5,FALSE),"")</f>
        <v/>
      </c>
      <c r="K101" s="5"/>
      <c r="L101" s="5"/>
      <c r="M101" s="5"/>
      <c r="N101" s="5"/>
      <c r="O101" s="5"/>
      <c r="Q101" s="5"/>
    </row>
    <row r="102" ht="15.75" customHeight="1">
      <c r="A102" s="7"/>
      <c r="C102" s="5" t="str">
        <f>IFERROR(VLOOKUP(B102,'Order Flow'!$A$4:$Q$103,3,FALSE),"")</f>
        <v/>
      </c>
      <c r="D102" s="5" t="str">
        <f>IFERROR(VLOOKUP(B102,'Order Flow'!$A$4:$Q$103,4,FALSE),"")</f>
        <v/>
      </c>
      <c r="E102" s="5" t="str">
        <f>IFERROR(VLOOKUP(B102,'Order Flow'!$A$4:$Q$103,5,FALSE),"")</f>
        <v/>
      </c>
      <c r="K102" s="5"/>
      <c r="L102" s="5"/>
      <c r="M102" s="5"/>
      <c r="N102" s="5"/>
      <c r="O102" s="5"/>
      <c r="Q102" s="5"/>
    </row>
    <row r="103" ht="15.75" customHeight="1">
      <c r="A103" s="7"/>
      <c r="C103" s="5" t="str">
        <f>IFERROR(VLOOKUP(B103,'Order Flow'!$A$4:$Q$103,3,FALSE),"")</f>
        <v/>
      </c>
      <c r="D103" s="5" t="str">
        <f>IFERROR(VLOOKUP(B103,'Order Flow'!$A$4:$Q$103,4,FALSE),"")</f>
        <v/>
      </c>
      <c r="E103" s="5" t="str">
        <f>IFERROR(VLOOKUP(B103,'Order Flow'!$A$4:$Q$103,5,FALSE),"")</f>
        <v/>
      </c>
      <c r="K103" s="5"/>
      <c r="L103" s="5"/>
      <c r="M103" s="5"/>
      <c r="N103" s="5"/>
      <c r="O103" s="5"/>
      <c r="Q103" s="5"/>
    </row>
    <row r="104" ht="15.75" customHeight="1">
      <c r="A104" s="7"/>
      <c r="C104" s="5" t="str">
        <f>IFERROR(VLOOKUP(B104,'Order Flow'!$A$4:$Q$103,3,FALSE),"")</f>
        <v/>
      </c>
      <c r="D104" s="5" t="str">
        <f>IFERROR(VLOOKUP(B104,'Order Flow'!$A$4:$Q$103,4,FALSE),"")</f>
        <v/>
      </c>
      <c r="E104" s="5" t="str">
        <f>IFERROR(VLOOKUP(B104,'Order Flow'!$A$4:$Q$103,5,FALSE),"")</f>
        <v/>
      </c>
      <c r="K104" s="5"/>
      <c r="L104" s="5"/>
      <c r="M104" s="5"/>
      <c r="N104" s="5"/>
      <c r="O104" s="5"/>
      <c r="Q104" s="5"/>
    </row>
    <row r="105" ht="15.75" customHeight="1">
      <c r="A105" s="7"/>
      <c r="C105" s="5" t="str">
        <f>IFERROR(VLOOKUP(B105,'Order Flow'!$A$4:$Q$103,3,FALSE),"")</f>
        <v/>
      </c>
      <c r="D105" s="5" t="str">
        <f>IFERROR(VLOOKUP(B105,'Order Flow'!$A$4:$Q$103,4,FALSE),"")</f>
        <v/>
      </c>
      <c r="E105" s="5" t="str">
        <f>IFERROR(VLOOKUP(B105,'Order Flow'!$A$4:$Q$103,5,FALSE),"")</f>
        <v/>
      </c>
      <c r="K105" s="5"/>
      <c r="L105" s="5"/>
      <c r="M105" s="5"/>
      <c r="N105" s="5"/>
      <c r="O105" s="5"/>
      <c r="Q105" s="5"/>
    </row>
    <row r="106" ht="15.75" customHeight="1">
      <c r="A106" s="7"/>
      <c r="C106" s="5" t="str">
        <f>IFERROR(VLOOKUP(B106,'Order Flow'!$A$4:$Q$103,3,FALSE),"")</f>
        <v/>
      </c>
      <c r="D106" s="5" t="str">
        <f>IFERROR(VLOOKUP(B106,'Order Flow'!$A$4:$Q$103,4,FALSE),"")</f>
        <v/>
      </c>
      <c r="E106" s="5" t="str">
        <f>IFERROR(VLOOKUP(B106,'Order Flow'!$A$4:$Q$103,5,FALSE),"")</f>
        <v/>
      </c>
      <c r="K106" s="5"/>
      <c r="L106" s="5"/>
      <c r="M106" s="5"/>
      <c r="N106" s="5"/>
      <c r="O106" s="5"/>
      <c r="Q106" s="5"/>
    </row>
    <row r="107" ht="15.75" customHeight="1">
      <c r="A107" s="7"/>
      <c r="C107" s="5" t="str">
        <f>IFERROR(VLOOKUP(B107,'Order Flow'!$A$4:$Q$103,3,FALSE),"")</f>
        <v/>
      </c>
      <c r="D107" s="5" t="str">
        <f>IFERROR(VLOOKUP(B107,'Order Flow'!$A$4:$Q$103,4,FALSE),"")</f>
        <v/>
      </c>
      <c r="E107" s="5" t="str">
        <f>IFERROR(VLOOKUP(B107,'Order Flow'!$A$4:$Q$103,5,FALSE),"")</f>
        <v/>
      </c>
      <c r="K107" s="5"/>
      <c r="L107" s="5"/>
      <c r="M107" s="5"/>
      <c r="N107" s="5"/>
      <c r="O107" s="5"/>
      <c r="Q107" s="5"/>
    </row>
    <row r="108" ht="15.75" customHeight="1">
      <c r="A108" s="7"/>
      <c r="C108" s="5" t="str">
        <f>IFERROR(VLOOKUP(B108,'Order Flow'!$A$4:$Q$103,3,FALSE),"")</f>
        <v/>
      </c>
      <c r="D108" s="5" t="str">
        <f>IFERROR(VLOOKUP(B108,'Order Flow'!$A$4:$Q$103,4,FALSE),"")</f>
        <v/>
      </c>
      <c r="E108" s="5" t="str">
        <f>IFERROR(VLOOKUP(B108,'Order Flow'!$A$4:$Q$103,5,FALSE),"")</f>
        <v/>
      </c>
      <c r="K108" s="5"/>
      <c r="L108" s="5"/>
      <c r="M108" s="5"/>
      <c r="N108" s="5"/>
      <c r="O108" s="5"/>
      <c r="Q108" s="5"/>
    </row>
    <row r="109" ht="15.75" customHeight="1">
      <c r="A109" s="7"/>
      <c r="C109" s="5" t="str">
        <f>IFERROR(VLOOKUP(B109,'Order Flow'!$A$4:$Q$103,3,FALSE),"")</f>
        <v/>
      </c>
      <c r="D109" s="5" t="str">
        <f>IFERROR(VLOOKUP(B109,'Order Flow'!$A$4:$Q$103,4,FALSE),"")</f>
        <v/>
      </c>
      <c r="E109" s="5" t="str">
        <f>IFERROR(VLOOKUP(B109,'Order Flow'!$A$4:$Q$103,5,FALSE),"")</f>
        <v/>
      </c>
      <c r="K109" s="5"/>
      <c r="L109" s="5"/>
      <c r="M109" s="5"/>
      <c r="N109" s="5"/>
      <c r="O109" s="5"/>
      <c r="Q109" s="5"/>
    </row>
    <row r="110" ht="15.75" customHeight="1">
      <c r="A110" s="7"/>
      <c r="C110" s="5" t="str">
        <f>IFERROR(VLOOKUP(B110,'Order Flow'!$A$4:$Q$103,3,FALSE),"")</f>
        <v/>
      </c>
      <c r="D110" s="5" t="str">
        <f>IFERROR(VLOOKUP(B110,'Order Flow'!$A$4:$Q$103,4,FALSE),"")</f>
        <v/>
      </c>
      <c r="E110" s="5" t="str">
        <f>IFERROR(VLOOKUP(B110,'Order Flow'!$A$4:$Q$103,5,FALSE),"")</f>
        <v/>
      </c>
      <c r="K110" s="5"/>
      <c r="L110" s="5"/>
      <c r="M110" s="5"/>
      <c r="N110" s="5"/>
      <c r="O110" s="5"/>
      <c r="Q110" s="5"/>
    </row>
    <row r="111" ht="15.75" customHeight="1">
      <c r="A111" s="7"/>
      <c r="C111" s="5" t="str">
        <f>IFERROR(VLOOKUP(B111,'Order Flow'!$A$4:$Q$103,3,FALSE),"")</f>
        <v/>
      </c>
      <c r="D111" s="5" t="str">
        <f>IFERROR(VLOOKUP(B111,'Order Flow'!$A$4:$Q$103,4,FALSE),"")</f>
        <v/>
      </c>
      <c r="E111" s="5" t="str">
        <f>IFERROR(VLOOKUP(B111,'Order Flow'!$A$4:$Q$103,5,FALSE),"")</f>
        <v/>
      </c>
      <c r="K111" s="5"/>
      <c r="L111" s="5"/>
      <c r="M111" s="5"/>
      <c r="N111" s="5"/>
      <c r="O111" s="5"/>
      <c r="Q111" s="5"/>
    </row>
    <row r="112" ht="15.75" customHeight="1">
      <c r="A112" s="7"/>
      <c r="C112" s="5" t="str">
        <f>IFERROR(VLOOKUP(B112,'Order Flow'!$A$4:$Q$103,3,FALSE),"")</f>
        <v/>
      </c>
      <c r="D112" s="5" t="str">
        <f>IFERROR(VLOOKUP(B112,'Order Flow'!$A$4:$Q$103,4,FALSE),"")</f>
        <v/>
      </c>
      <c r="E112" s="5" t="str">
        <f>IFERROR(VLOOKUP(B112,'Order Flow'!$A$4:$Q$103,5,FALSE),"")</f>
        <v/>
      </c>
      <c r="K112" s="5"/>
      <c r="L112" s="5"/>
      <c r="M112" s="5"/>
      <c r="N112" s="5"/>
      <c r="O112" s="5"/>
      <c r="Q112" s="5"/>
    </row>
    <row r="113" ht="15.75" customHeight="1">
      <c r="A113" s="7"/>
      <c r="C113" s="5" t="str">
        <f>IFERROR(VLOOKUP(B113,'Order Flow'!$A$4:$Q$103,3,FALSE),"")</f>
        <v/>
      </c>
      <c r="D113" s="5" t="str">
        <f>IFERROR(VLOOKUP(B113,'Order Flow'!$A$4:$Q$103,4,FALSE),"")</f>
        <v/>
      </c>
      <c r="E113" s="5" t="str">
        <f>IFERROR(VLOOKUP(B113,'Order Flow'!$A$4:$Q$103,5,FALSE),"")</f>
        <v/>
      </c>
      <c r="K113" s="5"/>
      <c r="L113" s="5"/>
      <c r="M113" s="5"/>
      <c r="N113" s="5"/>
      <c r="O113" s="5"/>
      <c r="Q113" s="5"/>
    </row>
    <row r="114" ht="15.75" customHeight="1">
      <c r="A114" s="7"/>
      <c r="C114" s="5" t="str">
        <f>IFERROR(VLOOKUP(B114,'Order Flow'!$A$4:$Q$103,3,FALSE),"")</f>
        <v/>
      </c>
      <c r="D114" s="5" t="str">
        <f>IFERROR(VLOOKUP(B114,'Order Flow'!$A$4:$Q$103,4,FALSE),"")</f>
        <v/>
      </c>
      <c r="E114" s="5" t="str">
        <f>IFERROR(VLOOKUP(B114,'Order Flow'!$A$4:$Q$103,5,FALSE),"")</f>
        <v/>
      </c>
      <c r="K114" s="5"/>
      <c r="L114" s="5"/>
      <c r="M114" s="5"/>
      <c r="N114" s="5"/>
      <c r="O114" s="5"/>
      <c r="Q114" s="5"/>
    </row>
    <row r="115" ht="15.75" customHeight="1">
      <c r="A115" s="7"/>
      <c r="C115" s="5" t="str">
        <f>IFERROR(VLOOKUP(B115,'Order Flow'!$A$4:$Q$103,3,FALSE),"")</f>
        <v/>
      </c>
      <c r="D115" s="5" t="str">
        <f>IFERROR(VLOOKUP(B115,'Order Flow'!$A$4:$Q$103,4,FALSE),"")</f>
        <v/>
      </c>
      <c r="E115" s="5" t="str">
        <f>IFERROR(VLOOKUP(B115,'Order Flow'!$A$4:$Q$103,5,FALSE),"")</f>
        <v/>
      </c>
      <c r="K115" s="5"/>
      <c r="L115" s="5"/>
      <c r="M115" s="5"/>
      <c r="N115" s="5"/>
      <c r="O115" s="5"/>
      <c r="Q115" s="5"/>
    </row>
    <row r="116" ht="15.75" customHeight="1">
      <c r="A116" s="7"/>
      <c r="C116" s="5" t="str">
        <f>IFERROR(VLOOKUP(B116,'Order Flow'!$A$4:$Q$103,3,FALSE),"")</f>
        <v/>
      </c>
      <c r="D116" s="5" t="str">
        <f>IFERROR(VLOOKUP(B116,'Order Flow'!$A$4:$Q$103,4,FALSE),"")</f>
        <v/>
      </c>
      <c r="E116" s="5" t="str">
        <f>IFERROR(VLOOKUP(B116,'Order Flow'!$A$4:$Q$103,5,FALSE),"")</f>
        <v/>
      </c>
      <c r="K116" s="5"/>
      <c r="L116" s="5"/>
      <c r="M116" s="5"/>
      <c r="N116" s="5"/>
      <c r="O116" s="5"/>
      <c r="Q116" s="5"/>
    </row>
    <row r="117" ht="15.75" customHeight="1">
      <c r="A117" s="7"/>
      <c r="C117" s="5" t="str">
        <f>IFERROR(VLOOKUP(B117,'Order Flow'!$A$4:$Q$103,3,FALSE),"")</f>
        <v/>
      </c>
      <c r="D117" s="5" t="str">
        <f>IFERROR(VLOOKUP(B117,'Order Flow'!$A$4:$Q$103,4,FALSE),"")</f>
        <v/>
      </c>
      <c r="E117" s="5" t="str">
        <f>IFERROR(VLOOKUP(B117,'Order Flow'!$A$4:$Q$103,5,FALSE),"")</f>
        <v/>
      </c>
      <c r="K117" s="5"/>
      <c r="L117" s="5"/>
      <c r="M117" s="5"/>
      <c r="N117" s="5"/>
      <c r="O117" s="5"/>
      <c r="Q117" s="5"/>
    </row>
    <row r="118" ht="15.75" customHeight="1">
      <c r="A118" s="7"/>
      <c r="C118" s="5" t="str">
        <f>IFERROR(VLOOKUP(B118,'Order Flow'!$A$4:$Q$103,3,FALSE),"")</f>
        <v/>
      </c>
      <c r="D118" s="5" t="str">
        <f>IFERROR(VLOOKUP(B118,'Order Flow'!$A$4:$Q$103,4,FALSE),"")</f>
        <v/>
      </c>
      <c r="E118" s="5" t="str">
        <f>IFERROR(VLOOKUP(B118,'Order Flow'!$A$4:$Q$103,5,FALSE),"")</f>
        <v/>
      </c>
      <c r="K118" s="5"/>
      <c r="L118" s="5"/>
      <c r="M118" s="5"/>
      <c r="N118" s="5"/>
      <c r="O118" s="5"/>
      <c r="Q118" s="5"/>
    </row>
    <row r="119" ht="15.75" customHeight="1">
      <c r="A119" s="7"/>
      <c r="C119" s="5" t="str">
        <f>IFERROR(VLOOKUP(B119,'Order Flow'!$A$4:$Q$103,3,FALSE),"")</f>
        <v/>
      </c>
      <c r="D119" s="5" t="str">
        <f>IFERROR(VLOOKUP(B119,'Order Flow'!$A$4:$Q$103,4,FALSE),"")</f>
        <v/>
      </c>
      <c r="E119" s="5" t="str">
        <f>IFERROR(VLOOKUP(B119,'Order Flow'!$A$4:$Q$103,5,FALSE),"")</f>
        <v/>
      </c>
      <c r="K119" s="5"/>
      <c r="L119" s="5"/>
      <c r="M119" s="5"/>
      <c r="N119" s="5"/>
      <c r="O119" s="5"/>
      <c r="Q119" s="5"/>
    </row>
    <row r="120" ht="15.75" customHeight="1">
      <c r="A120" s="7"/>
      <c r="C120" s="5" t="str">
        <f>IFERROR(VLOOKUP(B120,'Order Flow'!$A$4:$Q$103,3,FALSE),"")</f>
        <v/>
      </c>
      <c r="D120" s="5" t="str">
        <f>IFERROR(VLOOKUP(B120,'Order Flow'!$A$4:$Q$103,4,FALSE),"")</f>
        <v/>
      </c>
      <c r="E120" s="5" t="str">
        <f>IFERROR(VLOOKUP(B120,'Order Flow'!$A$4:$Q$103,5,FALSE),"")</f>
        <v/>
      </c>
      <c r="K120" s="5"/>
      <c r="L120" s="5"/>
      <c r="M120" s="5"/>
      <c r="N120" s="5"/>
      <c r="O120" s="5"/>
      <c r="Q120" s="5"/>
    </row>
    <row r="121" ht="15.75" customHeight="1">
      <c r="A121" s="7"/>
      <c r="C121" s="5" t="str">
        <f>IFERROR(VLOOKUP(B121,'Order Flow'!$A$4:$Q$103,3,FALSE),"")</f>
        <v/>
      </c>
      <c r="D121" s="5" t="str">
        <f>IFERROR(VLOOKUP(B121,'Order Flow'!$A$4:$Q$103,4,FALSE),"")</f>
        <v/>
      </c>
      <c r="E121" s="5" t="str">
        <f>IFERROR(VLOOKUP(B121,'Order Flow'!$A$4:$Q$103,5,FALSE),"")</f>
        <v/>
      </c>
      <c r="K121" s="5"/>
      <c r="L121" s="5"/>
      <c r="M121" s="5"/>
      <c r="N121" s="5"/>
      <c r="O121" s="5"/>
      <c r="Q121" s="5"/>
    </row>
    <row r="122" ht="15.75" customHeight="1">
      <c r="A122" s="7"/>
      <c r="C122" s="5" t="str">
        <f>IFERROR(VLOOKUP(B122,'Order Flow'!$A$4:$Q$103,3,FALSE),"")</f>
        <v/>
      </c>
      <c r="D122" s="5" t="str">
        <f>IFERROR(VLOOKUP(B122,'Order Flow'!$A$4:$Q$103,4,FALSE),"")</f>
        <v/>
      </c>
      <c r="E122" s="5" t="str">
        <f>IFERROR(VLOOKUP(B122,'Order Flow'!$A$4:$Q$103,5,FALSE),"")</f>
        <v/>
      </c>
      <c r="K122" s="5"/>
      <c r="L122" s="5"/>
      <c r="M122" s="5"/>
      <c r="N122" s="5"/>
      <c r="O122" s="5"/>
      <c r="Q122" s="5"/>
    </row>
    <row r="123" ht="15.75" customHeight="1">
      <c r="A123" s="7"/>
      <c r="C123" s="5" t="str">
        <f>IFERROR(VLOOKUP(B123,'Order Flow'!$A$4:$Q$103,3,FALSE),"")</f>
        <v/>
      </c>
      <c r="D123" s="5" t="str">
        <f>IFERROR(VLOOKUP(B123,'Order Flow'!$A$4:$Q$103,4,FALSE),"")</f>
        <v/>
      </c>
      <c r="E123" s="5" t="str">
        <f>IFERROR(VLOOKUP(B123,'Order Flow'!$A$4:$Q$103,5,FALSE),"")</f>
        <v/>
      </c>
      <c r="K123" s="5"/>
      <c r="L123" s="5"/>
      <c r="M123" s="5"/>
      <c r="N123" s="5"/>
      <c r="O123" s="5"/>
      <c r="Q123" s="5"/>
    </row>
    <row r="124" ht="15.75" customHeight="1">
      <c r="A124" s="7"/>
      <c r="C124" s="5" t="str">
        <f>IFERROR(VLOOKUP(B124,'Order Flow'!$A$4:$Q$103,3,FALSE),"")</f>
        <v/>
      </c>
      <c r="D124" s="5" t="str">
        <f>IFERROR(VLOOKUP(B124,'Order Flow'!$A$4:$Q$103,4,FALSE),"")</f>
        <v/>
      </c>
      <c r="E124" s="5" t="str">
        <f>IFERROR(VLOOKUP(B124,'Order Flow'!$A$4:$Q$103,5,FALSE),"")</f>
        <v/>
      </c>
      <c r="K124" s="5"/>
      <c r="L124" s="5"/>
      <c r="M124" s="5"/>
      <c r="N124" s="5"/>
      <c r="O124" s="5"/>
      <c r="Q124" s="5"/>
    </row>
    <row r="125" ht="15.75" customHeight="1">
      <c r="A125" s="7"/>
      <c r="C125" s="5" t="str">
        <f>IFERROR(VLOOKUP(B125,'Order Flow'!$A$4:$Q$103,3,FALSE),"")</f>
        <v/>
      </c>
      <c r="D125" s="5" t="str">
        <f>IFERROR(VLOOKUP(B125,'Order Flow'!$A$4:$Q$103,4,FALSE),"")</f>
        <v/>
      </c>
      <c r="E125" s="5" t="str">
        <f>IFERROR(VLOOKUP(B125,'Order Flow'!$A$4:$Q$103,5,FALSE),"")</f>
        <v/>
      </c>
      <c r="K125" s="5"/>
      <c r="L125" s="5"/>
      <c r="M125" s="5"/>
      <c r="N125" s="5"/>
      <c r="O125" s="5"/>
      <c r="Q125" s="5"/>
    </row>
    <row r="126" ht="15.75" customHeight="1">
      <c r="A126" s="7"/>
      <c r="C126" s="5" t="str">
        <f>IFERROR(VLOOKUP(B126,'Order Flow'!$A$4:$Q$103,3,FALSE),"")</f>
        <v/>
      </c>
      <c r="D126" s="5" t="str">
        <f>IFERROR(VLOOKUP(B126,'Order Flow'!$A$4:$Q$103,4,FALSE),"")</f>
        <v/>
      </c>
      <c r="E126" s="5" t="str">
        <f>IFERROR(VLOOKUP(B126,'Order Flow'!$A$4:$Q$103,5,FALSE),"")</f>
        <v/>
      </c>
      <c r="K126" s="5"/>
      <c r="L126" s="5"/>
      <c r="M126" s="5"/>
      <c r="N126" s="5"/>
      <c r="O126" s="5"/>
      <c r="Q126" s="5"/>
    </row>
    <row r="127" ht="15.75" customHeight="1">
      <c r="A127" s="7"/>
      <c r="C127" s="5" t="str">
        <f>IFERROR(VLOOKUP(B127,'Order Flow'!$A$4:$Q$103,3,FALSE),"")</f>
        <v/>
      </c>
      <c r="D127" s="5" t="str">
        <f>IFERROR(VLOOKUP(B127,'Order Flow'!$A$4:$Q$103,4,FALSE),"")</f>
        <v/>
      </c>
      <c r="E127" s="5" t="str">
        <f>IFERROR(VLOOKUP(B127,'Order Flow'!$A$4:$Q$103,5,FALSE),"")</f>
        <v/>
      </c>
      <c r="K127" s="5"/>
      <c r="L127" s="5"/>
      <c r="M127" s="5"/>
      <c r="N127" s="5"/>
      <c r="O127" s="5"/>
      <c r="Q127" s="5"/>
    </row>
    <row r="128" ht="15.75" customHeight="1">
      <c r="A128" s="7"/>
      <c r="C128" s="5" t="str">
        <f>IFERROR(VLOOKUP(B128,'Order Flow'!$A$4:$Q$103,3,FALSE),"")</f>
        <v/>
      </c>
      <c r="D128" s="5" t="str">
        <f>IFERROR(VLOOKUP(B128,'Order Flow'!$A$4:$Q$103,4,FALSE),"")</f>
        <v/>
      </c>
      <c r="E128" s="5" t="str">
        <f>IFERROR(VLOOKUP(B128,'Order Flow'!$A$4:$Q$103,5,FALSE),"")</f>
        <v/>
      </c>
      <c r="K128" s="5"/>
      <c r="L128" s="5"/>
      <c r="M128" s="5"/>
      <c r="N128" s="5"/>
      <c r="O128" s="5"/>
      <c r="Q128" s="5"/>
    </row>
    <row r="129" ht="15.75" customHeight="1">
      <c r="A129" s="7"/>
      <c r="C129" s="5" t="str">
        <f>IFERROR(VLOOKUP(B129,'Order Flow'!$A$4:$Q$103,3,FALSE),"")</f>
        <v/>
      </c>
      <c r="D129" s="5" t="str">
        <f>IFERROR(VLOOKUP(B129,'Order Flow'!$A$4:$Q$103,4,FALSE),"")</f>
        <v/>
      </c>
      <c r="E129" s="5" t="str">
        <f>IFERROR(VLOOKUP(B129,'Order Flow'!$A$4:$Q$103,5,FALSE),"")</f>
        <v/>
      </c>
      <c r="K129" s="5"/>
      <c r="L129" s="5"/>
      <c r="M129" s="5"/>
      <c r="N129" s="5"/>
      <c r="O129" s="5"/>
      <c r="Q129" s="5"/>
    </row>
    <row r="130" ht="15.75" customHeight="1">
      <c r="A130" s="7"/>
      <c r="C130" s="5" t="str">
        <f>IFERROR(VLOOKUP(B130,'Order Flow'!$A$4:$Q$103,3,FALSE),"")</f>
        <v/>
      </c>
      <c r="D130" s="5" t="str">
        <f>IFERROR(VLOOKUP(B130,'Order Flow'!$A$4:$Q$103,4,FALSE),"")</f>
        <v/>
      </c>
      <c r="E130" s="5" t="str">
        <f>IFERROR(VLOOKUP(B130,'Order Flow'!$A$4:$Q$103,5,FALSE),"")</f>
        <v/>
      </c>
      <c r="K130" s="5"/>
      <c r="L130" s="5"/>
      <c r="M130" s="5"/>
      <c r="N130" s="5"/>
      <c r="O130" s="5"/>
      <c r="Q130" s="5"/>
    </row>
    <row r="131" ht="15.75" customHeight="1">
      <c r="A131" s="7"/>
      <c r="C131" s="5" t="str">
        <f>IFERROR(VLOOKUP(B131,'Order Flow'!$A$4:$Q$103,3,FALSE),"")</f>
        <v/>
      </c>
      <c r="D131" s="5" t="str">
        <f>IFERROR(VLOOKUP(B131,'Order Flow'!$A$4:$Q$103,4,FALSE),"")</f>
        <v/>
      </c>
      <c r="E131" s="5" t="str">
        <f>IFERROR(VLOOKUP(B131,'Order Flow'!$A$4:$Q$103,5,FALSE),"")</f>
        <v/>
      </c>
      <c r="K131" s="5"/>
      <c r="L131" s="5"/>
      <c r="M131" s="5"/>
      <c r="N131" s="5"/>
      <c r="O131" s="5"/>
      <c r="Q131" s="5"/>
    </row>
    <row r="132" ht="15.75" customHeight="1">
      <c r="A132" s="7"/>
      <c r="C132" s="5" t="str">
        <f>IFERROR(VLOOKUP(B132,'Order Flow'!$A$4:$Q$103,3,FALSE),"")</f>
        <v/>
      </c>
      <c r="D132" s="5" t="str">
        <f>IFERROR(VLOOKUP(B132,'Order Flow'!$A$4:$Q$103,4,FALSE),"")</f>
        <v/>
      </c>
      <c r="E132" s="5" t="str">
        <f>IFERROR(VLOOKUP(B132,'Order Flow'!$A$4:$Q$103,5,FALSE),"")</f>
        <v/>
      </c>
      <c r="K132" s="5"/>
      <c r="L132" s="5"/>
      <c r="M132" s="5"/>
      <c r="N132" s="5"/>
      <c r="O132" s="5"/>
      <c r="Q132" s="5"/>
    </row>
    <row r="133" ht="15.75" customHeight="1">
      <c r="A133" s="7"/>
      <c r="C133" s="5" t="str">
        <f>IFERROR(VLOOKUP(B133,'Order Flow'!$A$4:$Q$103,3,FALSE),"")</f>
        <v/>
      </c>
      <c r="D133" s="5" t="str">
        <f>IFERROR(VLOOKUP(B133,'Order Flow'!$A$4:$Q$103,4,FALSE),"")</f>
        <v/>
      </c>
      <c r="E133" s="5" t="str">
        <f>IFERROR(VLOOKUP(B133,'Order Flow'!$A$4:$Q$103,5,FALSE),"")</f>
        <v/>
      </c>
      <c r="K133" s="5"/>
      <c r="L133" s="5"/>
      <c r="M133" s="5"/>
      <c r="N133" s="5"/>
      <c r="O133" s="5"/>
      <c r="Q133" s="5"/>
    </row>
    <row r="134" ht="15.75" customHeight="1">
      <c r="A134" s="7"/>
      <c r="C134" s="5" t="str">
        <f>IFERROR(VLOOKUP(B134,'Order Flow'!$A$4:$Q$103,3,FALSE),"")</f>
        <v/>
      </c>
      <c r="D134" s="5" t="str">
        <f>IFERROR(VLOOKUP(B134,'Order Flow'!$A$4:$Q$103,4,FALSE),"")</f>
        <v/>
      </c>
      <c r="E134" s="5" t="str">
        <f>IFERROR(VLOOKUP(B134,'Order Flow'!$A$4:$Q$103,5,FALSE),"")</f>
        <v/>
      </c>
      <c r="K134" s="5"/>
      <c r="L134" s="5"/>
      <c r="M134" s="5"/>
      <c r="N134" s="5"/>
      <c r="O134" s="5"/>
      <c r="Q134" s="5"/>
    </row>
    <row r="135" ht="15.75" customHeight="1">
      <c r="A135" s="7"/>
      <c r="C135" s="5" t="str">
        <f>IFERROR(VLOOKUP(B135,'Order Flow'!$A$4:$Q$103,3,FALSE),"")</f>
        <v/>
      </c>
      <c r="D135" s="5" t="str">
        <f>IFERROR(VLOOKUP(B135,'Order Flow'!$A$4:$Q$103,4,FALSE),"")</f>
        <v/>
      </c>
      <c r="E135" s="5" t="str">
        <f>IFERROR(VLOOKUP(B135,'Order Flow'!$A$4:$Q$103,5,FALSE),"")</f>
        <v/>
      </c>
      <c r="K135" s="5"/>
      <c r="L135" s="5"/>
      <c r="M135" s="5"/>
      <c r="N135" s="5"/>
      <c r="O135" s="5"/>
      <c r="Q135" s="5"/>
    </row>
    <row r="136" ht="15.75" customHeight="1">
      <c r="A136" s="7"/>
      <c r="C136" s="5" t="str">
        <f>IFERROR(VLOOKUP(B136,'Order Flow'!$A$4:$Q$103,3,FALSE),"")</f>
        <v/>
      </c>
      <c r="D136" s="5" t="str">
        <f>IFERROR(VLOOKUP(B136,'Order Flow'!$A$4:$Q$103,4,FALSE),"")</f>
        <v/>
      </c>
      <c r="E136" s="5" t="str">
        <f>IFERROR(VLOOKUP(B136,'Order Flow'!$A$4:$Q$103,5,FALSE),"")</f>
        <v/>
      </c>
      <c r="K136" s="5"/>
      <c r="L136" s="5"/>
      <c r="M136" s="5"/>
      <c r="N136" s="5"/>
      <c r="O136" s="5"/>
      <c r="Q136" s="5"/>
    </row>
    <row r="137" ht="15.75" customHeight="1">
      <c r="A137" s="7"/>
      <c r="C137" s="5" t="str">
        <f>IFERROR(VLOOKUP(B137,'Order Flow'!$A$4:$Q$103,3,FALSE),"")</f>
        <v/>
      </c>
      <c r="D137" s="5" t="str">
        <f>IFERROR(VLOOKUP(B137,'Order Flow'!$A$4:$Q$103,4,FALSE),"")</f>
        <v/>
      </c>
      <c r="E137" s="5" t="str">
        <f>IFERROR(VLOOKUP(B137,'Order Flow'!$A$4:$Q$103,5,FALSE),"")</f>
        <v/>
      </c>
      <c r="K137" s="5"/>
      <c r="L137" s="5"/>
      <c r="M137" s="5"/>
      <c r="N137" s="5"/>
      <c r="O137" s="5"/>
      <c r="Q137" s="5"/>
    </row>
    <row r="138" ht="15.75" customHeight="1">
      <c r="A138" s="7"/>
      <c r="C138" s="5" t="str">
        <f>IFERROR(VLOOKUP(B138,'Order Flow'!$A$4:$Q$103,3,FALSE),"")</f>
        <v/>
      </c>
      <c r="D138" s="5" t="str">
        <f>IFERROR(VLOOKUP(B138,'Order Flow'!$A$4:$Q$103,4,FALSE),"")</f>
        <v/>
      </c>
      <c r="E138" s="5" t="str">
        <f>IFERROR(VLOOKUP(B138,'Order Flow'!$A$4:$Q$103,5,FALSE),"")</f>
        <v/>
      </c>
      <c r="K138" s="5"/>
      <c r="L138" s="5"/>
      <c r="M138" s="5"/>
      <c r="N138" s="5"/>
      <c r="O138" s="5"/>
      <c r="Q138" s="5"/>
    </row>
    <row r="139" ht="15.75" customHeight="1">
      <c r="A139" s="7"/>
      <c r="C139" s="5" t="str">
        <f>IFERROR(VLOOKUP(B139,'Order Flow'!$A$4:$Q$103,3,FALSE),"")</f>
        <v/>
      </c>
      <c r="D139" s="5" t="str">
        <f>IFERROR(VLOOKUP(B139,'Order Flow'!$A$4:$Q$103,4,FALSE),"")</f>
        <v/>
      </c>
      <c r="E139" s="5" t="str">
        <f>IFERROR(VLOOKUP(B139,'Order Flow'!$A$4:$Q$103,5,FALSE),"")</f>
        <v/>
      </c>
      <c r="K139" s="5"/>
      <c r="L139" s="5"/>
      <c r="M139" s="5"/>
      <c r="N139" s="5"/>
      <c r="O139" s="5"/>
      <c r="Q139" s="5"/>
    </row>
    <row r="140" ht="15.75" customHeight="1">
      <c r="A140" s="7"/>
      <c r="C140" s="5" t="str">
        <f>IFERROR(VLOOKUP(B140,'Order Flow'!$A$4:$Q$103,3,FALSE),"")</f>
        <v/>
      </c>
      <c r="D140" s="5" t="str">
        <f>IFERROR(VLOOKUP(B140,'Order Flow'!$A$4:$Q$103,4,FALSE),"")</f>
        <v/>
      </c>
      <c r="E140" s="5" t="str">
        <f>IFERROR(VLOOKUP(B140,'Order Flow'!$A$4:$Q$103,5,FALSE),"")</f>
        <v/>
      </c>
      <c r="K140" s="5"/>
      <c r="L140" s="5"/>
      <c r="M140" s="5"/>
      <c r="N140" s="5"/>
      <c r="O140" s="5"/>
      <c r="Q140" s="5"/>
    </row>
    <row r="141" ht="15.75" customHeight="1">
      <c r="A141" s="7"/>
      <c r="C141" s="5" t="str">
        <f>IFERROR(VLOOKUP(B141,'Order Flow'!$A$4:$Q$103,3,FALSE),"")</f>
        <v/>
      </c>
      <c r="D141" s="5" t="str">
        <f>IFERROR(VLOOKUP(B141,'Order Flow'!$A$4:$Q$103,4,FALSE),"")</f>
        <v/>
      </c>
      <c r="E141" s="5" t="str">
        <f>IFERROR(VLOOKUP(B141,'Order Flow'!$A$4:$Q$103,5,FALSE),"")</f>
        <v/>
      </c>
      <c r="K141" s="5"/>
      <c r="L141" s="5"/>
      <c r="M141" s="5"/>
      <c r="N141" s="5"/>
      <c r="O141" s="5"/>
      <c r="Q141" s="5"/>
    </row>
    <row r="142" ht="15.75" customHeight="1">
      <c r="A142" s="7"/>
      <c r="C142" s="5" t="str">
        <f>IFERROR(VLOOKUP(B142,'Order Flow'!$A$4:$Q$103,3,FALSE),"")</f>
        <v/>
      </c>
      <c r="D142" s="5" t="str">
        <f>IFERROR(VLOOKUP(B142,'Order Flow'!$A$4:$Q$103,4,FALSE),"")</f>
        <v/>
      </c>
      <c r="E142" s="5" t="str">
        <f>IFERROR(VLOOKUP(B142,'Order Flow'!$A$4:$Q$103,5,FALSE),"")</f>
        <v/>
      </c>
      <c r="K142" s="5"/>
      <c r="L142" s="5"/>
      <c r="M142" s="5"/>
      <c r="N142" s="5"/>
      <c r="O142" s="5"/>
      <c r="Q142" s="5"/>
    </row>
    <row r="143" ht="15.75" customHeight="1">
      <c r="A143" s="7"/>
      <c r="C143" s="5" t="str">
        <f>IFERROR(VLOOKUP(B143,'Order Flow'!$A$4:$Q$103,3,FALSE),"")</f>
        <v/>
      </c>
      <c r="D143" s="5" t="str">
        <f>IFERROR(VLOOKUP(B143,'Order Flow'!$A$4:$Q$103,4,FALSE),"")</f>
        <v/>
      </c>
      <c r="E143" s="5" t="str">
        <f>IFERROR(VLOOKUP(B143,'Order Flow'!$A$4:$Q$103,5,FALSE),"")</f>
        <v/>
      </c>
      <c r="K143" s="5"/>
      <c r="L143" s="5"/>
      <c r="M143" s="5"/>
      <c r="N143" s="5"/>
      <c r="O143" s="5"/>
      <c r="Q143" s="5"/>
    </row>
    <row r="144" ht="15.75" customHeight="1">
      <c r="A144" s="7"/>
      <c r="C144" s="5" t="str">
        <f>IFERROR(VLOOKUP(B144,'Order Flow'!$A$4:$Q$103,3,FALSE),"")</f>
        <v/>
      </c>
      <c r="D144" s="5" t="str">
        <f>IFERROR(VLOOKUP(B144,'Order Flow'!$A$4:$Q$103,4,FALSE),"")</f>
        <v/>
      </c>
      <c r="E144" s="5" t="str">
        <f>IFERROR(VLOOKUP(B144,'Order Flow'!$A$4:$Q$103,5,FALSE),"")</f>
        <v/>
      </c>
      <c r="K144" s="5"/>
      <c r="L144" s="5"/>
      <c r="M144" s="5"/>
      <c r="N144" s="5"/>
      <c r="O144" s="5"/>
      <c r="Q144" s="5"/>
    </row>
    <row r="145" ht="15.75" customHeight="1">
      <c r="A145" s="7"/>
      <c r="C145" s="5" t="str">
        <f>IFERROR(VLOOKUP(B145,'Order Flow'!$A$4:$Q$103,3,FALSE),"")</f>
        <v/>
      </c>
      <c r="D145" s="5" t="str">
        <f>IFERROR(VLOOKUP(B145,'Order Flow'!$A$4:$Q$103,4,FALSE),"")</f>
        <v/>
      </c>
      <c r="E145" s="5" t="str">
        <f>IFERROR(VLOOKUP(B145,'Order Flow'!$A$4:$Q$103,5,FALSE),"")</f>
        <v/>
      </c>
      <c r="K145" s="5"/>
      <c r="L145" s="5"/>
      <c r="M145" s="5"/>
      <c r="N145" s="5"/>
      <c r="O145" s="5"/>
      <c r="Q145" s="5"/>
    </row>
    <row r="146" ht="15.75" customHeight="1">
      <c r="A146" s="7"/>
      <c r="C146" s="5" t="str">
        <f>IFERROR(VLOOKUP(B146,'Order Flow'!$A$4:$Q$103,3,FALSE),"")</f>
        <v/>
      </c>
      <c r="D146" s="5" t="str">
        <f>IFERROR(VLOOKUP(B146,'Order Flow'!$A$4:$Q$103,4,FALSE),"")</f>
        <v/>
      </c>
      <c r="E146" s="5" t="str">
        <f>IFERROR(VLOOKUP(B146,'Order Flow'!$A$4:$Q$103,5,FALSE),"")</f>
        <v/>
      </c>
      <c r="K146" s="5"/>
      <c r="L146" s="5"/>
      <c r="M146" s="5"/>
      <c r="N146" s="5"/>
      <c r="O146" s="5"/>
      <c r="Q146" s="5"/>
    </row>
    <row r="147" ht="15.75" customHeight="1">
      <c r="A147" s="7"/>
      <c r="C147" s="5" t="str">
        <f>IFERROR(VLOOKUP(B147,'Order Flow'!$A$4:$Q$103,3,FALSE),"")</f>
        <v/>
      </c>
      <c r="D147" s="5" t="str">
        <f>IFERROR(VLOOKUP(B147,'Order Flow'!$A$4:$Q$103,4,FALSE),"")</f>
        <v/>
      </c>
      <c r="E147" s="5" t="str">
        <f>IFERROR(VLOOKUP(B147,'Order Flow'!$A$4:$Q$103,5,FALSE),"")</f>
        <v/>
      </c>
      <c r="K147" s="5"/>
      <c r="L147" s="5"/>
      <c r="M147" s="5"/>
      <c r="N147" s="5"/>
      <c r="O147" s="5"/>
      <c r="Q147" s="5"/>
    </row>
    <row r="148" ht="15.75" customHeight="1">
      <c r="A148" s="7"/>
      <c r="C148" s="5" t="str">
        <f>IFERROR(VLOOKUP(B148,'Order Flow'!$A$4:$Q$103,3,FALSE),"")</f>
        <v/>
      </c>
      <c r="D148" s="5" t="str">
        <f>IFERROR(VLOOKUP(B148,'Order Flow'!$A$4:$Q$103,4,FALSE),"")</f>
        <v/>
      </c>
      <c r="E148" s="5" t="str">
        <f>IFERROR(VLOOKUP(B148,'Order Flow'!$A$4:$Q$103,5,FALSE),"")</f>
        <v/>
      </c>
      <c r="K148" s="5"/>
      <c r="L148" s="5"/>
      <c r="M148" s="5"/>
      <c r="N148" s="5"/>
      <c r="O148" s="5"/>
      <c r="Q148" s="5"/>
    </row>
    <row r="149" ht="15.75" customHeight="1">
      <c r="A149" s="7"/>
      <c r="C149" s="5" t="str">
        <f>IFERROR(VLOOKUP(B149,'Order Flow'!$A$4:$Q$103,3,FALSE),"")</f>
        <v/>
      </c>
      <c r="D149" s="5" t="str">
        <f>IFERROR(VLOOKUP(B149,'Order Flow'!$A$4:$Q$103,4,FALSE),"")</f>
        <v/>
      </c>
      <c r="E149" s="5" t="str">
        <f>IFERROR(VLOOKUP(B149,'Order Flow'!$A$4:$Q$103,5,FALSE),"")</f>
        <v/>
      </c>
      <c r="K149" s="5"/>
      <c r="L149" s="5"/>
      <c r="M149" s="5"/>
      <c r="N149" s="5"/>
      <c r="O149" s="5"/>
      <c r="Q149" s="5"/>
    </row>
    <row r="150" ht="15.75" customHeight="1">
      <c r="A150" s="7"/>
      <c r="C150" s="5" t="str">
        <f>IFERROR(VLOOKUP(B150,'Order Flow'!$A$4:$Q$103,3,FALSE),"")</f>
        <v/>
      </c>
      <c r="D150" s="5" t="str">
        <f>IFERROR(VLOOKUP(B150,'Order Flow'!$A$4:$Q$103,4,FALSE),"")</f>
        <v/>
      </c>
      <c r="E150" s="5" t="str">
        <f>IFERROR(VLOOKUP(B150,'Order Flow'!$A$4:$Q$103,5,FALSE),"")</f>
        <v/>
      </c>
      <c r="K150" s="5"/>
      <c r="L150" s="5"/>
      <c r="M150" s="5"/>
      <c r="N150" s="5"/>
      <c r="O150" s="5"/>
      <c r="Q150" s="5"/>
    </row>
    <row r="151" ht="15.75" customHeight="1">
      <c r="A151" s="7"/>
      <c r="C151" s="5" t="str">
        <f>IFERROR(VLOOKUP(B151,'Order Flow'!$A$4:$Q$103,3,FALSE),"")</f>
        <v/>
      </c>
      <c r="D151" s="5" t="str">
        <f>IFERROR(VLOOKUP(B151,'Order Flow'!$A$4:$Q$103,4,FALSE),"")</f>
        <v/>
      </c>
      <c r="E151" s="5" t="str">
        <f>IFERROR(VLOOKUP(B151,'Order Flow'!$A$4:$Q$103,5,FALSE),"")</f>
        <v/>
      </c>
      <c r="K151" s="5"/>
      <c r="L151" s="5"/>
      <c r="M151" s="5"/>
      <c r="N151" s="5"/>
      <c r="O151" s="5"/>
      <c r="Q151" s="5"/>
    </row>
    <row r="152" ht="15.75" customHeight="1">
      <c r="A152" s="7"/>
      <c r="C152" s="5" t="str">
        <f>IFERROR(VLOOKUP(B152,'Order Flow'!$A$4:$Q$103,3,FALSE),"")</f>
        <v/>
      </c>
      <c r="D152" s="5" t="str">
        <f>IFERROR(VLOOKUP(B152,'Order Flow'!$A$4:$Q$103,4,FALSE),"")</f>
        <v/>
      </c>
      <c r="E152" s="5" t="str">
        <f>IFERROR(VLOOKUP(B152,'Order Flow'!$A$4:$Q$103,5,FALSE),"")</f>
        <v/>
      </c>
      <c r="K152" s="5"/>
      <c r="L152" s="5"/>
      <c r="M152" s="5"/>
      <c r="N152" s="5"/>
      <c r="O152" s="5"/>
      <c r="Q152" s="5"/>
    </row>
    <row r="153" ht="15.75" customHeight="1">
      <c r="A153" s="7"/>
      <c r="C153" s="5" t="str">
        <f>IFERROR(VLOOKUP(B153,'Order Flow'!$A$4:$Q$103,3,FALSE),"")</f>
        <v/>
      </c>
      <c r="D153" s="5" t="str">
        <f>IFERROR(VLOOKUP(B153,'Order Flow'!$A$4:$Q$103,4,FALSE),"")</f>
        <v/>
      </c>
      <c r="E153" s="5" t="str">
        <f>IFERROR(VLOOKUP(B153,'Order Flow'!$A$4:$Q$103,5,FALSE),"")</f>
        <v/>
      </c>
      <c r="K153" s="5"/>
      <c r="L153" s="5"/>
      <c r="M153" s="5"/>
      <c r="N153" s="5"/>
      <c r="O153" s="5"/>
      <c r="Q153" s="5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1"/>
  </mergeCells>
  <dataValidations>
    <dataValidation type="list" allowBlank="1" sqref="Q4:Q153">
      <formula1>"Ready,Dispatched,Held,Cancelled"</formula1>
    </dataValidation>
    <dataValidation type="list" allowBlank="1" sqref="K4:O153">
      <formula1>"Yes,No,N/A"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15.0"/>
    <col customWidth="1" min="8" max="8" width="24.0"/>
    <col customWidth="1" min="9" max="9" width="15.0"/>
    <col customWidth="1" min="10" max="10" width="25.0"/>
    <col customWidth="1" min="11" max="11" width="15.0"/>
    <col customWidth="1" min="12" max="26" width="8.63"/>
  </cols>
  <sheetData>
    <row r="1">
      <c r="A1" s="1" t="s">
        <v>141</v>
      </c>
    </row>
    <row r="3">
      <c r="A3" s="3" t="s">
        <v>104</v>
      </c>
      <c r="B3" s="3" t="s">
        <v>142</v>
      </c>
      <c r="C3" s="3" t="s">
        <v>143</v>
      </c>
      <c r="D3" s="3" t="s">
        <v>144</v>
      </c>
      <c r="E3" s="3" t="s">
        <v>145</v>
      </c>
      <c r="F3" s="3" t="s">
        <v>17</v>
      </c>
      <c r="G3" s="3" t="s">
        <v>146</v>
      </c>
      <c r="H3" s="3" t="s">
        <v>147</v>
      </c>
      <c r="I3" s="3" t="s">
        <v>148</v>
      </c>
      <c r="J3" s="3" t="s">
        <v>47</v>
      </c>
      <c r="K3" s="3" t="s">
        <v>140</v>
      </c>
    </row>
    <row r="4">
      <c r="A4" s="7"/>
      <c r="B4" s="5"/>
      <c r="D4" s="9"/>
      <c r="E4" s="9"/>
      <c r="F4" s="5"/>
      <c r="G4" s="5" t="str">
        <f t="shared" ref="G4:G203" si="1">IF(D4="","",MAX(0,(D4-TIME(9,10,0))*1440))</f>
        <v/>
      </c>
    </row>
    <row r="5">
      <c r="A5" s="7"/>
      <c r="B5" s="5"/>
      <c r="D5" s="9"/>
      <c r="E5" s="9"/>
      <c r="F5" s="5"/>
      <c r="G5" s="5" t="str">
        <f t="shared" si="1"/>
        <v/>
      </c>
    </row>
    <row r="6">
      <c r="A6" s="7"/>
      <c r="B6" s="5"/>
      <c r="D6" s="9"/>
      <c r="E6" s="9"/>
      <c r="F6" s="5"/>
      <c r="G6" s="5" t="str">
        <f t="shared" si="1"/>
        <v/>
      </c>
    </row>
    <row r="7">
      <c r="A7" s="7"/>
      <c r="B7" s="5"/>
      <c r="D7" s="9"/>
      <c r="E7" s="9"/>
      <c r="F7" s="5"/>
      <c r="G7" s="5" t="str">
        <f t="shared" si="1"/>
        <v/>
      </c>
    </row>
    <row r="8">
      <c r="A8" s="7"/>
      <c r="B8" s="5"/>
      <c r="D8" s="9"/>
      <c r="E8" s="9"/>
      <c r="F8" s="5"/>
      <c r="G8" s="5" t="str">
        <f t="shared" si="1"/>
        <v/>
      </c>
    </row>
    <row r="9">
      <c r="A9" s="7"/>
      <c r="B9" s="5"/>
      <c r="D9" s="9"/>
      <c r="E9" s="9"/>
      <c r="F9" s="5"/>
      <c r="G9" s="5" t="str">
        <f t="shared" si="1"/>
        <v/>
      </c>
    </row>
    <row r="10">
      <c r="A10" s="7"/>
      <c r="B10" s="5"/>
      <c r="D10" s="9"/>
      <c r="E10" s="9"/>
      <c r="F10" s="5"/>
      <c r="G10" s="5" t="str">
        <f t="shared" si="1"/>
        <v/>
      </c>
    </row>
    <row r="11">
      <c r="A11" s="7"/>
      <c r="B11" s="5"/>
      <c r="D11" s="9"/>
      <c r="E11" s="9"/>
      <c r="F11" s="5"/>
      <c r="G11" s="5" t="str">
        <f t="shared" si="1"/>
        <v/>
      </c>
    </row>
    <row r="12">
      <c r="A12" s="7"/>
      <c r="B12" s="5"/>
      <c r="D12" s="9"/>
      <c r="E12" s="9"/>
      <c r="F12" s="5"/>
      <c r="G12" s="5" t="str">
        <f t="shared" si="1"/>
        <v/>
      </c>
    </row>
    <row r="13">
      <c r="A13" s="7"/>
      <c r="B13" s="5"/>
      <c r="D13" s="9"/>
      <c r="E13" s="9"/>
      <c r="F13" s="5"/>
      <c r="G13" s="5" t="str">
        <f t="shared" si="1"/>
        <v/>
      </c>
    </row>
    <row r="14">
      <c r="A14" s="7"/>
      <c r="B14" s="5"/>
      <c r="D14" s="9"/>
      <c r="E14" s="9"/>
      <c r="F14" s="5"/>
      <c r="G14" s="5" t="str">
        <f t="shared" si="1"/>
        <v/>
      </c>
    </row>
    <row r="15">
      <c r="A15" s="7"/>
      <c r="B15" s="5"/>
      <c r="D15" s="9"/>
      <c r="E15" s="9"/>
      <c r="F15" s="5"/>
      <c r="G15" s="5" t="str">
        <f t="shared" si="1"/>
        <v/>
      </c>
    </row>
    <row r="16">
      <c r="A16" s="7"/>
      <c r="B16" s="5"/>
      <c r="D16" s="9"/>
      <c r="E16" s="9"/>
      <c r="F16" s="5"/>
      <c r="G16" s="5" t="str">
        <f t="shared" si="1"/>
        <v/>
      </c>
    </row>
    <row r="17">
      <c r="A17" s="7"/>
      <c r="B17" s="5"/>
      <c r="D17" s="9"/>
      <c r="E17" s="9"/>
      <c r="F17" s="5"/>
      <c r="G17" s="5" t="str">
        <f t="shared" si="1"/>
        <v/>
      </c>
    </row>
    <row r="18">
      <c r="A18" s="7"/>
      <c r="B18" s="5"/>
      <c r="D18" s="9"/>
      <c r="E18" s="9"/>
      <c r="F18" s="5"/>
      <c r="G18" s="5" t="str">
        <f t="shared" si="1"/>
        <v/>
      </c>
    </row>
    <row r="19">
      <c r="A19" s="7"/>
      <c r="B19" s="5"/>
      <c r="D19" s="9"/>
      <c r="E19" s="9"/>
      <c r="F19" s="5"/>
      <c r="G19" s="5" t="str">
        <f t="shared" si="1"/>
        <v/>
      </c>
    </row>
    <row r="20">
      <c r="A20" s="7"/>
      <c r="B20" s="5"/>
      <c r="D20" s="9"/>
      <c r="E20" s="9"/>
      <c r="F20" s="5"/>
      <c r="G20" s="5" t="str">
        <f t="shared" si="1"/>
        <v/>
      </c>
    </row>
    <row r="21" ht="15.75" customHeight="1">
      <c r="A21" s="7"/>
      <c r="B21" s="5"/>
      <c r="D21" s="9"/>
      <c r="E21" s="9"/>
      <c r="F21" s="5"/>
      <c r="G21" s="5" t="str">
        <f t="shared" si="1"/>
        <v/>
      </c>
    </row>
    <row r="22" ht="15.75" customHeight="1">
      <c r="A22" s="7"/>
      <c r="B22" s="5"/>
      <c r="D22" s="9"/>
      <c r="E22" s="9"/>
      <c r="F22" s="5"/>
      <c r="G22" s="5" t="str">
        <f t="shared" si="1"/>
        <v/>
      </c>
    </row>
    <row r="23" ht="15.75" customHeight="1">
      <c r="A23" s="7"/>
      <c r="B23" s="5"/>
      <c r="D23" s="9"/>
      <c r="E23" s="9"/>
      <c r="F23" s="5"/>
      <c r="G23" s="5" t="str">
        <f t="shared" si="1"/>
        <v/>
      </c>
    </row>
    <row r="24" ht="15.75" customHeight="1">
      <c r="A24" s="7"/>
      <c r="B24" s="5"/>
      <c r="D24" s="9"/>
      <c r="E24" s="9"/>
      <c r="F24" s="5"/>
      <c r="G24" s="5" t="str">
        <f t="shared" si="1"/>
        <v/>
      </c>
    </row>
    <row r="25" ht="15.75" customHeight="1">
      <c r="A25" s="7"/>
      <c r="B25" s="5"/>
      <c r="D25" s="9"/>
      <c r="E25" s="9"/>
      <c r="F25" s="5"/>
      <c r="G25" s="5" t="str">
        <f t="shared" si="1"/>
        <v/>
      </c>
    </row>
    <row r="26" ht="15.75" customHeight="1">
      <c r="A26" s="7"/>
      <c r="B26" s="5"/>
      <c r="D26" s="9"/>
      <c r="E26" s="9"/>
      <c r="F26" s="5"/>
      <c r="G26" s="5" t="str">
        <f t="shared" si="1"/>
        <v/>
      </c>
    </row>
    <row r="27" ht="15.75" customHeight="1">
      <c r="A27" s="7"/>
      <c r="B27" s="5"/>
      <c r="D27" s="9"/>
      <c r="E27" s="9"/>
      <c r="F27" s="5"/>
      <c r="G27" s="5" t="str">
        <f t="shared" si="1"/>
        <v/>
      </c>
    </row>
    <row r="28" ht="15.75" customHeight="1">
      <c r="A28" s="7"/>
      <c r="B28" s="5"/>
      <c r="D28" s="9"/>
      <c r="E28" s="9"/>
      <c r="F28" s="5"/>
      <c r="G28" s="5" t="str">
        <f t="shared" si="1"/>
        <v/>
      </c>
    </row>
    <row r="29" ht="15.75" customHeight="1">
      <c r="A29" s="7"/>
      <c r="B29" s="5"/>
      <c r="D29" s="9"/>
      <c r="E29" s="9"/>
      <c r="F29" s="5"/>
      <c r="G29" s="5" t="str">
        <f t="shared" si="1"/>
        <v/>
      </c>
    </row>
    <row r="30" ht="15.75" customHeight="1">
      <c r="A30" s="7"/>
      <c r="B30" s="5"/>
      <c r="D30" s="9"/>
      <c r="E30" s="9"/>
      <c r="F30" s="5"/>
      <c r="G30" s="5" t="str">
        <f t="shared" si="1"/>
        <v/>
      </c>
    </row>
    <row r="31" ht="15.75" customHeight="1">
      <c r="A31" s="7"/>
      <c r="B31" s="5"/>
      <c r="D31" s="9"/>
      <c r="E31" s="9"/>
      <c r="F31" s="5"/>
      <c r="G31" s="5" t="str">
        <f t="shared" si="1"/>
        <v/>
      </c>
    </row>
    <row r="32" ht="15.75" customHeight="1">
      <c r="A32" s="7"/>
      <c r="B32" s="5"/>
      <c r="D32" s="9"/>
      <c r="E32" s="9"/>
      <c r="F32" s="5"/>
      <c r="G32" s="5" t="str">
        <f t="shared" si="1"/>
        <v/>
      </c>
    </row>
    <row r="33" ht="15.75" customHeight="1">
      <c r="A33" s="7"/>
      <c r="B33" s="5"/>
      <c r="D33" s="9"/>
      <c r="E33" s="9"/>
      <c r="F33" s="5"/>
      <c r="G33" s="5" t="str">
        <f t="shared" si="1"/>
        <v/>
      </c>
    </row>
    <row r="34" ht="15.75" customHeight="1">
      <c r="A34" s="7"/>
      <c r="B34" s="5"/>
      <c r="D34" s="9"/>
      <c r="E34" s="9"/>
      <c r="F34" s="5"/>
      <c r="G34" s="5" t="str">
        <f t="shared" si="1"/>
        <v/>
      </c>
    </row>
    <row r="35" ht="15.75" customHeight="1">
      <c r="A35" s="7"/>
      <c r="B35" s="5"/>
      <c r="D35" s="9"/>
      <c r="E35" s="9"/>
      <c r="F35" s="5"/>
      <c r="G35" s="5" t="str">
        <f t="shared" si="1"/>
        <v/>
      </c>
    </row>
    <row r="36" ht="15.75" customHeight="1">
      <c r="A36" s="7"/>
      <c r="B36" s="5"/>
      <c r="D36" s="9"/>
      <c r="E36" s="9"/>
      <c r="F36" s="5"/>
      <c r="G36" s="5" t="str">
        <f t="shared" si="1"/>
        <v/>
      </c>
    </row>
    <row r="37" ht="15.75" customHeight="1">
      <c r="A37" s="7"/>
      <c r="B37" s="5"/>
      <c r="D37" s="9"/>
      <c r="E37" s="9"/>
      <c r="F37" s="5"/>
      <c r="G37" s="5" t="str">
        <f t="shared" si="1"/>
        <v/>
      </c>
    </row>
    <row r="38" ht="15.75" customHeight="1">
      <c r="A38" s="7"/>
      <c r="B38" s="5"/>
      <c r="D38" s="9"/>
      <c r="E38" s="9"/>
      <c r="F38" s="5"/>
      <c r="G38" s="5" t="str">
        <f t="shared" si="1"/>
        <v/>
      </c>
    </row>
    <row r="39" ht="15.75" customHeight="1">
      <c r="A39" s="7"/>
      <c r="B39" s="5"/>
      <c r="D39" s="9"/>
      <c r="E39" s="9"/>
      <c r="F39" s="5"/>
      <c r="G39" s="5" t="str">
        <f t="shared" si="1"/>
        <v/>
      </c>
    </row>
    <row r="40" ht="15.75" customHeight="1">
      <c r="A40" s="7"/>
      <c r="B40" s="5"/>
      <c r="D40" s="9"/>
      <c r="E40" s="9"/>
      <c r="F40" s="5"/>
      <c r="G40" s="5" t="str">
        <f t="shared" si="1"/>
        <v/>
      </c>
    </row>
    <row r="41" ht="15.75" customHeight="1">
      <c r="A41" s="7"/>
      <c r="B41" s="5"/>
      <c r="D41" s="9"/>
      <c r="E41" s="9"/>
      <c r="F41" s="5"/>
      <c r="G41" s="5" t="str">
        <f t="shared" si="1"/>
        <v/>
      </c>
    </row>
    <row r="42" ht="15.75" customHeight="1">
      <c r="A42" s="7"/>
      <c r="B42" s="5"/>
      <c r="D42" s="9"/>
      <c r="E42" s="9"/>
      <c r="F42" s="5"/>
      <c r="G42" s="5" t="str">
        <f t="shared" si="1"/>
        <v/>
      </c>
    </row>
    <row r="43" ht="15.75" customHeight="1">
      <c r="A43" s="7"/>
      <c r="B43" s="5"/>
      <c r="D43" s="9"/>
      <c r="E43" s="9"/>
      <c r="F43" s="5"/>
      <c r="G43" s="5" t="str">
        <f t="shared" si="1"/>
        <v/>
      </c>
    </row>
    <row r="44" ht="15.75" customHeight="1">
      <c r="A44" s="7"/>
      <c r="B44" s="5"/>
      <c r="D44" s="9"/>
      <c r="E44" s="9"/>
      <c r="F44" s="5"/>
      <c r="G44" s="5" t="str">
        <f t="shared" si="1"/>
        <v/>
      </c>
    </row>
    <row r="45" ht="15.75" customHeight="1">
      <c r="A45" s="7"/>
      <c r="B45" s="5"/>
      <c r="D45" s="9"/>
      <c r="E45" s="9"/>
      <c r="F45" s="5"/>
      <c r="G45" s="5" t="str">
        <f t="shared" si="1"/>
        <v/>
      </c>
    </row>
    <row r="46" ht="15.75" customHeight="1">
      <c r="A46" s="7"/>
      <c r="B46" s="5"/>
      <c r="D46" s="9"/>
      <c r="E46" s="9"/>
      <c r="F46" s="5"/>
      <c r="G46" s="5" t="str">
        <f t="shared" si="1"/>
        <v/>
      </c>
    </row>
    <row r="47" ht="15.75" customHeight="1">
      <c r="A47" s="7"/>
      <c r="B47" s="5"/>
      <c r="D47" s="9"/>
      <c r="E47" s="9"/>
      <c r="F47" s="5"/>
      <c r="G47" s="5" t="str">
        <f t="shared" si="1"/>
        <v/>
      </c>
    </row>
    <row r="48" ht="15.75" customHeight="1">
      <c r="A48" s="7"/>
      <c r="B48" s="5"/>
      <c r="D48" s="9"/>
      <c r="E48" s="9"/>
      <c r="F48" s="5"/>
      <c r="G48" s="5" t="str">
        <f t="shared" si="1"/>
        <v/>
      </c>
    </row>
    <row r="49" ht="15.75" customHeight="1">
      <c r="A49" s="7"/>
      <c r="B49" s="5"/>
      <c r="D49" s="9"/>
      <c r="E49" s="9"/>
      <c r="F49" s="5"/>
      <c r="G49" s="5" t="str">
        <f t="shared" si="1"/>
        <v/>
      </c>
    </row>
    <row r="50" ht="15.75" customHeight="1">
      <c r="A50" s="7"/>
      <c r="B50" s="5"/>
      <c r="D50" s="9"/>
      <c r="E50" s="9"/>
      <c r="F50" s="5"/>
      <c r="G50" s="5" t="str">
        <f t="shared" si="1"/>
        <v/>
      </c>
    </row>
    <row r="51" ht="15.75" customHeight="1">
      <c r="A51" s="7"/>
      <c r="B51" s="5"/>
      <c r="D51" s="9"/>
      <c r="E51" s="9"/>
      <c r="F51" s="5"/>
      <c r="G51" s="5" t="str">
        <f t="shared" si="1"/>
        <v/>
      </c>
    </row>
    <row r="52" ht="15.75" customHeight="1">
      <c r="A52" s="7"/>
      <c r="B52" s="5"/>
      <c r="D52" s="9"/>
      <c r="E52" s="9"/>
      <c r="F52" s="5"/>
      <c r="G52" s="5" t="str">
        <f t="shared" si="1"/>
        <v/>
      </c>
    </row>
    <row r="53" ht="15.75" customHeight="1">
      <c r="A53" s="7"/>
      <c r="B53" s="5"/>
      <c r="D53" s="9"/>
      <c r="E53" s="9"/>
      <c r="F53" s="5"/>
      <c r="G53" s="5" t="str">
        <f t="shared" si="1"/>
        <v/>
      </c>
    </row>
    <row r="54" ht="15.75" customHeight="1">
      <c r="A54" s="7"/>
      <c r="B54" s="5"/>
      <c r="D54" s="9"/>
      <c r="E54" s="9"/>
      <c r="F54" s="5"/>
      <c r="G54" s="5" t="str">
        <f t="shared" si="1"/>
        <v/>
      </c>
    </row>
    <row r="55" ht="15.75" customHeight="1">
      <c r="A55" s="7"/>
      <c r="B55" s="5"/>
      <c r="D55" s="9"/>
      <c r="E55" s="9"/>
      <c r="F55" s="5"/>
      <c r="G55" s="5" t="str">
        <f t="shared" si="1"/>
        <v/>
      </c>
    </row>
    <row r="56" ht="15.75" customHeight="1">
      <c r="A56" s="7"/>
      <c r="B56" s="5"/>
      <c r="D56" s="9"/>
      <c r="E56" s="9"/>
      <c r="F56" s="5"/>
      <c r="G56" s="5" t="str">
        <f t="shared" si="1"/>
        <v/>
      </c>
    </row>
    <row r="57" ht="15.75" customHeight="1">
      <c r="A57" s="7"/>
      <c r="B57" s="5"/>
      <c r="D57" s="9"/>
      <c r="E57" s="9"/>
      <c r="F57" s="5"/>
      <c r="G57" s="5" t="str">
        <f t="shared" si="1"/>
        <v/>
      </c>
    </row>
    <row r="58" ht="15.75" customHeight="1">
      <c r="A58" s="7"/>
      <c r="B58" s="5"/>
      <c r="D58" s="9"/>
      <c r="E58" s="9"/>
      <c r="F58" s="5"/>
      <c r="G58" s="5" t="str">
        <f t="shared" si="1"/>
        <v/>
      </c>
    </row>
    <row r="59" ht="15.75" customHeight="1">
      <c r="A59" s="7"/>
      <c r="B59" s="5"/>
      <c r="D59" s="9"/>
      <c r="E59" s="9"/>
      <c r="F59" s="5"/>
      <c r="G59" s="5" t="str">
        <f t="shared" si="1"/>
        <v/>
      </c>
    </row>
    <row r="60" ht="15.75" customHeight="1">
      <c r="A60" s="7"/>
      <c r="B60" s="5"/>
      <c r="D60" s="9"/>
      <c r="E60" s="9"/>
      <c r="F60" s="5"/>
      <c r="G60" s="5" t="str">
        <f t="shared" si="1"/>
        <v/>
      </c>
    </row>
    <row r="61" ht="15.75" customHeight="1">
      <c r="A61" s="7"/>
      <c r="B61" s="5"/>
      <c r="D61" s="9"/>
      <c r="E61" s="9"/>
      <c r="F61" s="5"/>
      <c r="G61" s="5" t="str">
        <f t="shared" si="1"/>
        <v/>
      </c>
    </row>
    <row r="62" ht="15.75" customHeight="1">
      <c r="A62" s="7"/>
      <c r="B62" s="5"/>
      <c r="D62" s="9"/>
      <c r="E62" s="9"/>
      <c r="F62" s="5"/>
      <c r="G62" s="5" t="str">
        <f t="shared" si="1"/>
        <v/>
      </c>
    </row>
    <row r="63" ht="15.75" customHeight="1">
      <c r="A63" s="7"/>
      <c r="B63" s="5"/>
      <c r="D63" s="9"/>
      <c r="E63" s="9"/>
      <c r="F63" s="5"/>
      <c r="G63" s="5" t="str">
        <f t="shared" si="1"/>
        <v/>
      </c>
    </row>
    <row r="64" ht="15.75" customHeight="1">
      <c r="A64" s="7"/>
      <c r="B64" s="5"/>
      <c r="D64" s="9"/>
      <c r="E64" s="9"/>
      <c r="F64" s="5"/>
      <c r="G64" s="5" t="str">
        <f t="shared" si="1"/>
        <v/>
      </c>
    </row>
    <row r="65" ht="15.75" customHeight="1">
      <c r="A65" s="7"/>
      <c r="B65" s="5"/>
      <c r="D65" s="9"/>
      <c r="E65" s="9"/>
      <c r="F65" s="5"/>
      <c r="G65" s="5" t="str">
        <f t="shared" si="1"/>
        <v/>
      </c>
    </row>
    <row r="66" ht="15.75" customHeight="1">
      <c r="A66" s="7"/>
      <c r="B66" s="5"/>
      <c r="D66" s="9"/>
      <c r="E66" s="9"/>
      <c r="F66" s="5"/>
      <c r="G66" s="5" t="str">
        <f t="shared" si="1"/>
        <v/>
      </c>
    </row>
    <row r="67" ht="15.75" customHeight="1">
      <c r="A67" s="7"/>
      <c r="B67" s="5"/>
      <c r="D67" s="9"/>
      <c r="E67" s="9"/>
      <c r="F67" s="5"/>
      <c r="G67" s="5" t="str">
        <f t="shared" si="1"/>
        <v/>
      </c>
    </row>
    <row r="68" ht="15.75" customHeight="1">
      <c r="A68" s="7"/>
      <c r="B68" s="5"/>
      <c r="D68" s="9"/>
      <c r="E68" s="9"/>
      <c r="F68" s="5"/>
      <c r="G68" s="5" t="str">
        <f t="shared" si="1"/>
        <v/>
      </c>
    </row>
    <row r="69" ht="15.75" customHeight="1">
      <c r="A69" s="7"/>
      <c r="B69" s="5"/>
      <c r="D69" s="9"/>
      <c r="E69" s="9"/>
      <c r="F69" s="5"/>
      <c r="G69" s="5" t="str">
        <f t="shared" si="1"/>
        <v/>
      </c>
    </row>
    <row r="70" ht="15.75" customHeight="1">
      <c r="A70" s="7"/>
      <c r="B70" s="5"/>
      <c r="D70" s="9"/>
      <c r="E70" s="9"/>
      <c r="F70" s="5"/>
      <c r="G70" s="5" t="str">
        <f t="shared" si="1"/>
        <v/>
      </c>
    </row>
    <row r="71" ht="15.75" customHeight="1">
      <c r="A71" s="7"/>
      <c r="B71" s="5"/>
      <c r="D71" s="9"/>
      <c r="E71" s="9"/>
      <c r="F71" s="5"/>
      <c r="G71" s="5" t="str">
        <f t="shared" si="1"/>
        <v/>
      </c>
    </row>
    <row r="72" ht="15.75" customHeight="1">
      <c r="A72" s="7"/>
      <c r="B72" s="5"/>
      <c r="D72" s="9"/>
      <c r="E72" s="9"/>
      <c r="F72" s="5"/>
      <c r="G72" s="5" t="str">
        <f t="shared" si="1"/>
        <v/>
      </c>
    </row>
    <row r="73" ht="15.75" customHeight="1">
      <c r="A73" s="7"/>
      <c r="B73" s="5"/>
      <c r="D73" s="9"/>
      <c r="E73" s="9"/>
      <c r="F73" s="5"/>
      <c r="G73" s="5" t="str">
        <f t="shared" si="1"/>
        <v/>
      </c>
    </row>
    <row r="74" ht="15.75" customHeight="1">
      <c r="A74" s="7"/>
      <c r="B74" s="5"/>
      <c r="D74" s="9"/>
      <c r="E74" s="9"/>
      <c r="F74" s="5"/>
      <c r="G74" s="5" t="str">
        <f t="shared" si="1"/>
        <v/>
      </c>
    </row>
    <row r="75" ht="15.75" customHeight="1">
      <c r="A75" s="7"/>
      <c r="B75" s="5"/>
      <c r="D75" s="9"/>
      <c r="E75" s="9"/>
      <c r="F75" s="5"/>
      <c r="G75" s="5" t="str">
        <f t="shared" si="1"/>
        <v/>
      </c>
    </row>
    <row r="76" ht="15.75" customHeight="1">
      <c r="A76" s="7"/>
      <c r="B76" s="5"/>
      <c r="D76" s="9"/>
      <c r="E76" s="9"/>
      <c r="F76" s="5"/>
      <c r="G76" s="5" t="str">
        <f t="shared" si="1"/>
        <v/>
      </c>
    </row>
    <row r="77" ht="15.75" customHeight="1">
      <c r="A77" s="7"/>
      <c r="B77" s="5"/>
      <c r="D77" s="9"/>
      <c r="E77" s="9"/>
      <c r="F77" s="5"/>
      <c r="G77" s="5" t="str">
        <f t="shared" si="1"/>
        <v/>
      </c>
    </row>
    <row r="78" ht="15.75" customHeight="1">
      <c r="A78" s="7"/>
      <c r="B78" s="5"/>
      <c r="D78" s="9"/>
      <c r="E78" s="9"/>
      <c r="F78" s="5"/>
      <c r="G78" s="5" t="str">
        <f t="shared" si="1"/>
        <v/>
      </c>
    </row>
    <row r="79" ht="15.75" customHeight="1">
      <c r="A79" s="7"/>
      <c r="B79" s="5"/>
      <c r="D79" s="9"/>
      <c r="E79" s="9"/>
      <c r="F79" s="5"/>
      <c r="G79" s="5" t="str">
        <f t="shared" si="1"/>
        <v/>
      </c>
    </row>
    <row r="80" ht="15.75" customHeight="1">
      <c r="A80" s="7"/>
      <c r="B80" s="5"/>
      <c r="D80" s="9"/>
      <c r="E80" s="9"/>
      <c r="F80" s="5"/>
      <c r="G80" s="5" t="str">
        <f t="shared" si="1"/>
        <v/>
      </c>
    </row>
    <row r="81" ht="15.75" customHeight="1">
      <c r="A81" s="7"/>
      <c r="B81" s="5"/>
      <c r="D81" s="9"/>
      <c r="E81" s="9"/>
      <c r="F81" s="5"/>
      <c r="G81" s="5" t="str">
        <f t="shared" si="1"/>
        <v/>
      </c>
    </row>
    <row r="82" ht="15.75" customHeight="1">
      <c r="A82" s="7"/>
      <c r="B82" s="5"/>
      <c r="D82" s="9"/>
      <c r="E82" s="9"/>
      <c r="F82" s="5"/>
      <c r="G82" s="5" t="str">
        <f t="shared" si="1"/>
        <v/>
      </c>
    </row>
    <row r="83" ht="15.75" customHeight="1">
      <c r="A83" s="7"/>
      <c r="B83" s="5"/>
      <c r="D83" s="9"/>
      <c r="E83" s="9"/>
      <c r="F83" s="5"/>
      <c r="G83" s="5" t="str">
        <f t="shared" si="1"/>
        <v/>
      </c>
    </row>
    <row r="84" ht="15.75" customHeight="1">
      <c r="A84" s="7"/>
      <c r="B84" s="5"/>
      <c r="D84" s="9"/>
      <c r="E84" s="9"/>
      <c r="F84" s="5"/>
      <c r="G84" s="5" t="str">
        <f t="shared" si="1"/>
        <v/>
      </c>
    </row>
    <row r="85" ht="15.75" customHeight="1">
      <c r="A85" s="7"/>
      <c r="B85" s="5"/>
      <c r="D85" s="9"/>
      <c r="E85" s="9"/>
      <c r="F85" s="5"/>
      <c r="G85" s="5" t="str">
        <f t="shared" si="1"/>
        <v/>
      </c>
    </row>
    <row r="86" ht="15.75" customHeight="1">
      <c r="A86" s="7"/>
      <c r="B86" s="5"/>
      <c r="D86" s="9"/>
      <c r="E86" s="9"/>
      <c r="F86" s="5"/>
      <c r="G86" s="5" t="str">
        <f t="shared" si="1"/>
        <v/>
      </c>
    </row>
    <row r="87" ht="15.75" customHeight="1">
      <c r="A87" s="7"/>
      <c r="B87" s="5"/>
      <c r="D87" s="9"/>
      <c r="E87" s="9"/>
      <c r="F87" s="5"/>
      <c r="G87" s="5" t="str">
        <f t="shared" si="1"/>
        <v/>
      </c>
    </row>
    <row r="88" ht="15.75" customHeight="1">
      <c r="A88" s="7"/>
      <c r="B88" s="5"/>
      <c r="D88" s="9"/>
      <c r="E88" s="9"/>
      <c r="F88" s="5"/>
      <c r="G88" s="5" t="str">
        <f t="shared" si="1"/>
        <v/>
      </c>
    </row>
    <row r="89" ht="15.75" customHeight="1">
      <c r="A89" s="7"/>
      <c r="B89" s="5"/>
      <c r="D89" s="9"/>
      <c r="E89" s="9"/>
      <c r="F89" s="5"/>
      <c r="G89" s="5" t="str">
        <f t="shared" si="1"/>
        <v/>
      </c>
    </row>
    <row r="90" ht="15.75" customHeight="1">
      <c r="A90" s="7"/>
      <c r="B90" s="5"/>
      <c r="D90" s="9"/>
      <c r="E90" s="9"/>
      <c r="F90" s="5"/>
      <c r="G90" s="5" t="str">
        <f t="shared" si="1"/>
        <v/>
      </c>
    </row>
    <row r="91" ht="15.75" customHeight="1">
      <c r="A91" s="7"/>
      <c r="B91" s="5"/>
      <c r="D91" s="9"/>
      <c r="E91" s="9"/>
      <c r="F91" s="5"/>
      <c r="G91" s="5" t="str">
        <f t="shared" si="1"/>
        <v/>
      </c>
    </row>
    <row r="92" ht="15.75" customHeight="1">
      <c r="A92" s="7"/>
      <c r="B92" s="5"/>
      <c r="D92" s="9"/>
      <c r="E92" s="9"/>
      <c r="F92" s="5"/>
      <c r="G92" s="5" t="str">
        <f t="shared" si="1"/>
        <v/>
      </c>
    </row>
    <row r="93" ht="15.75" customHeight="1">
      <c r="A93" s="7"/>
      <c r="B93" s="5"/>
      <c r="D93" s="9"/>
      <c r="E93" s="9"/>
      <c r="F93" s="5"/>
      <c r="G93" s="5" t="str">
        <f t="shared" si="1"/>
        <v/>
      </c>
    </row>
    <row r="94" ht="15.75" customHeight="1">
      <c r="A94" s="7"/>
      <c r="B94" s="5"/>
      <c r="D94" s="9"/>
      <c r="E94" s="9"/>
      <c r="F94" s="5"/>
      <c r="G94" s="5" t="str">
        <f t="shared" si="1"/>
        <v/>
      </c>
    </row>
    <row r="95" ht="15.75" customHeight="1">
      <c r="A95" s="7"/>
      <c r="B95" s="5"/>
      <c r="D95" s="9"/>
      <c r="E95" s="9"/>
      <c r="F95" s="5"/>
      <c r="G95" s="5" t="str">
        <f t="shared" si="1"/>
        <v/>
      </c>
    </row>
    <row r="96" ht="15.75" customHeight="1">
      <c r="A96" s="7"/>
      <c r="B96" s="5"/>
      <c r="D96" s="9"/>
      <c r="E96" s="9"/>
      <c r="F96" s="5"/>
      <c r="G96" s="5" t="str">
        <f t="shared" si="1"/>
        <v/>
      </c>
    </row>
    <row r="97" ht="15.75" customHeight="1">
      <c r="A97" s="7"/>
      <c r="B97" s="5"/>
      <c r="D97" s="9"/>
      <c r="E97" s="9"/>
      <c r="F97" s="5"/>
      <c r="G97" s="5" t="str">
        <f t="shared" si="1"/>
        <v/>
      </c>
    </row>
    <row r="98" ht="15.75" customHeight="1">
      <c r="A98" s="7"/>
      <c r="B98" s="5"/>
      <c r="D98" s="9"/>
      <c r="E98" s="9"/>
      <c r="F98" s="5"/>
      <c r="G98" s="5" t="str">
        <f t="shared" si="1"/>
        <v/>
      </c>
    </row>
    <row r="99" ht="15.75" customHeight="1">
      <c r="A99" s="7"/>
      <c r="B99" s="5"/>
      <c r="D99" s="9"/>
      <c r="E99" s="9"/>
      <c r="F99" s="5"/>
      <c r="G99" s="5" t="str">
        <f t="shared" si="1"/>
        <v/>
      </c>
    </row>
    <row r="100" ht="15.75" customHeight="1">
      <c r="A100" s="7"/>
      <c r="B100" s="5"/>
      <c r="D100" s="9"/>
      <c r="E100" s="9"/>
      <c r="F100" s="5"/>
      <c r="G100" s="5" t="str">
        <f t="shared" si="1"/>
        <v/>
      </c>
    </row>
    <row r="101" ht="15.75" customHeight="1">
      <c r="A101" s="7"/>
      <c r="B101" s="5"/>
      <c r="D101" s="9"/>
      <c r="E101" s="9"/>
      <c r="F101" s="5"/>
      <c r="G101" s="5" t="str">
        <f t="shared" si="1"/>
        <v/>
      </c>
    </row>
    <row r="102" ht="15.75" customHeight="1">
      <c r="A102" s="7"/>
      <c r="B102" s="5"/>
      <c r="D102" s="9"/>
      <c r="E102" s="9"/>
      <c r="F102" s="5"/>
      <c r="G102" s="5" t="str">
        <f t="shared" si="1"/>
        <v/>
      </c>
    </row>
    <row r="103" ht="15.75" customHeight="1">
      <c r="A103" s="7"/>
      <c r="B103" s="5"/>
      <c r="D103" s="9"/>
      <c r="E103" s="9"/>
      <c r="F103" s="5"/>
      <c r="G103" s="5" t="str">
        <f t="shared" si="1"/>
        <v/>
      </c>
    </row>
    <row r="104" ht="15.75" customHeight="1">
      <c r="A104" s="7"/>
      <c r="B104" s="5"/>
      <c r="D104" s="9"/>
      <c r="E104" s="9"/>
      <c r="F104" s="5"/>
      <c r="G104" s="5" t="str">
        <f t="shared" si="1"/>
        <v/>
      </c>
    </row>
    <row r="105" ht="15.75" customHeight="1">
      <c r="A105" s="7"/>
      <c r="B105" s="5"/>
      <c r="D105" s="9"/>
      <c r="E105" s="9"/>
      <c r="F105" s="5"/>
      <c r="G105" s="5" t="str">
        <f t="shared" si="1"/>
        <v/>
      </c>
    </row>
    <row r="106" ht="15.75" customHeight="1">
      <c r="A106" s="7"/>
      <c r="B106" s="5"/>
      <c r="D106" s="9"/>
      <c r="E106" s="9"/>
      <c r="F106" s="5"/>
      <c r="G106" s="5" t="str">
        <f t="shared" si="1"/>
        <v/>
      </c>
    </row>
    <row r="107" ht="15.75" customHeight="1">
      <c r="A107" s="7"/>
      <c r="B107" s="5"/>
      <c r="D107" s="9"/>
      <c r="E107" s="9"/>
      <c r="F107" s="5"/>
      <c r="G107" s="5" t="str">
        <f t="shared" si="1"/>
        <v/>
      </c>
    </row>
    <row r="108" ht="15.75" customHeight="1">
      <c r="A108" s="7"/>
      <c r="B108" s="5"/>
      <c r="D108" s="9"/>
      <c r="E108" s="9"/>
      <c r="F108" s="5"/>
      <c r="G108" s="5" t="str">
        <f t="shared" si="1"/>
        <v/>
      </c>
    </row>
    <row r="109" ht="15.75" customHeight="1">
      <c r="A109" s="7"/>
      <c r="B109" s="5"/>
      <c r="D109" s="9"/>
      <c r="E109" s="9"/>
      <c r="F109" s="5"/>
      <c r="G109" s="5" t="str">
        <f t="shared" si="1"/>
        <v/>
      </c>
    </row>
    <row r="110" ht="15.75" customHeight="1">
      <c r="A110" s="7"/>
      <c r="B110" s="5"/>
      <c r="D110" s="9"/>
      <c r="E110" s="9"/>
      <c r="F110" s="5"/>
      <c r="G110" s="5" t="str">
        <f t="shared" si="1"/>
        <v/>
      </c>
    </row>
    <row r="111" ht="15.75" customHeight="1">
      <c r="A111" s="7"/>
      <c r="B111" s="5"/>
      <c r="D111" s="9"/>
      <c r="E111" s="9"/>
      <c r="F111" s="5"/>
      <c r="G111" s="5" t="str">
        <f t="shared" si="1"/>
        <v/>
      </c>
    </row>
    <row r="112" ht="15.75" customHeight="1">
      <c r="A112" s="7"/>
      <c r="B112" s="5"/>
      <c r="D112" s="9"/>
      <c r="E112" s="9"/>
      <c r="F112" s="5"/>
      <c r="G112" s="5" t="str">
        <f t="shared" si="1"/>
        <v/>
      </c>
    </row>
    <row r="113" ht="15.75" customHeight="1">
      <c r="A113" s="7"/>
      <c r="B113" s="5"/>
      <c r="D113" s="9"/>
      <c r="E113" s="9"/>
      <c r="F113" s="5"/>
      <c r="G113" s="5" t="str">
        <f t="shared" si="1"/>
        <v/>
      </c>
    </row>
    <row r="114" ht="15.75" customHeight="1">
      <c r="A114" s="7"/>
      <c r="B114" s="5"/>
      <c r="D114" s="9"/>
      <c r="E114" s="9"/>
      <c r="F114" s="5"/>
      <c r="G114" s="5" t="str">
        <f t="shared" si="1"/>
        <v/>
      </c>
    </row>
    <row r="115" ht="15.75" customHeight="1">
      <c r="A115" s="7"/>
      <c r="B115" s="5"/>
      <c r="D115" s="9"/>
      <c r="E115" s="9"/>
      <c r="F115" s="5"/>
      <c r="G115" s="5" t="str">
        <f t="shared" si="1"/>
        <v/>
      </c>
    </row>
    <row r="116" ht="15.75" customHeight="1">
      <c r="A116" s="7"/>
      <c r="B116" s="5"/>
      <c r="D116" s="9"/>
      <c r="E116" s="9"/>
      <c r="F116" s="5"/>
      <c r="G116" s="5" t="str">
        <f t="shared" si="1"/>
        <v/>
      </c>
    </row>
    <row r="117" ht="15.75" customHeight="1">
      <c r="A117" s="7"/>
      <c r="B117" s="5"/>
      <c r="D117" s="9"/>
      <c r="E117" s="9"/>
      <c r="F117" s="5"/>
      <c r="G117" s="5" t="str">
        <f t="shared" si="1"/>
        <v/>
      </c>
    </row>
    <row r="118" ht="15.75" customHeight="1">
      <c r="A118" s="7"/>
      <c r="B118" s="5"/>
      <c r="D118" s="9"/>
      <c r="E118" s="9"/>
      <c r="F118" s="5"/>
      <c r="G118" s="5" t="str">
        <f t="shared" si="1"/>
        <v/>
      </c>
    </row>
    <row r="119" ht="15.75" customHeight="1">
      <c r="A119" s="7"/>
      <c r="B119" s="5"/>
      <c r="D119" s="9"/>
      <c r="E119" s="9"/>
      <c r="F119" s="5"/>
      <c r="G119" s="5" t="str">
        <f t="shared" si="1"/>
        <v/>
      </c>
    </row>
    <row r="120" ht="15.75" customHeight="1">
      <c r="A120" s="7"/>
      <c r="B120" s="5"/>
      <c r="D120" s="9"/>
      <c r="E120" s="9"/>
      <c r="F120" s="5"/>
      <c r="G120" s="5" t="str">
        <f t="shared" si="1"/>
        <v/>
      </c>
    </row>
    <row r="121" ht="15.75" customHeight="1">
      <c r="A121" s="7"/>
      <c r="B121" s="5"/>
      <c r="D121" s="9"/>
      <c r="E121" s="9"/>
      <c r="F121" s="5"/>
      <c r="G121" s="5" t="str">
        <f t="shared" si="1"/>
        <v/>
      </c>
    </row>
    <row r="122" ht="15.75" customHeight="1">
      <c r="A122" s="7"/>
      <c r="B122" s="5"/>
      <c r="D122" s="9"/>
      <c r="E122" s="9"/>
      <c r="F122" s="5"/>
      <c r="G122" s="5" t="str">
        <f t="shared" si="1"/>
        <v/>
      </c>
    </row>
    <row r="123" ht="15.75" customHeight="1">
      <c r="A123" s="7"/>
      <c r="B123" s="5"/>
      <c r="D123" s="9"/>
      <c r="E123" s="9"/>
      <c r="F123" s="5"/>
      <c r="G123" s="5" t="str">
        <f t="shared" si="1"/>
        <v/>
      </c>
    </row>
    <row r="124" ht="15.75" customHeight="1">
      <c r="A124" s="7"/>
      <c r="B124" s="5"/>
      <c r="D124" s="9"/>
      <c r="E124" s="9"/>
      <c r="F124" s="5"/>
      <c r="G124" s="5" t="str">
        <f t="shared" si="1"/>
        <v/>
      </c>
    </row>
    <row r="125" ht="15.75" customHeight="1">
      <c r="A125" s="7"/>
      <c r="B125" s="5"/>
      <c r="D125" s="9"/>
      <c r="E125" s="9"/>
      <c r="F125" s="5"/>
      <c r="G125" s="5" t="str">
        <f t="shared" si="1"/>
        <v/>
      </c>
    </row>
    <row r="126" ht="15.75" customHeight="1">
      <c r="A126" s="7"/>
      <c r="B126" s="5"/>
      <c r="D126" s="9"/>
      <c r="E126" s="9"/>
      <c r="F126" s="5"/>
      <c r="G126" s="5" t="str">
        <f t="shared" si="1"/>
        <v/>
      </c>
    </row>
    <row r="127" ht="15.75" customHeight="1">
      <c r="A127" s="7"/>
      <c r="B127" s="5"/>
      <c r="D127" s="9"/>
      <c r="E127" s="9"/>
      <c r="F127" s="5"/>
      <c r="G127" s="5" t="str">
        <f t="shared" si="1"/>
        <v/>
      </c>
    </row>
    <row r="128" ht="15.75" customHeight="1">
      <c r="A128" s="7"/>
      <c r="B128" s="5"/>
      <c r="D128" s="9"/>
      <c r="E128" s="9"/>
      <c r="F128" s="5"/>
      <c r="G128" s="5" t="str">
        <f t="shared" si="1"/>
        <v/>
      </c>
    </row>
    <row r="129" ht="15.75" customHeight="1">
      <c r="A129" s="7"/>
      <c r="B129" s="5"/>
      <c r="D129" s="9"/>
      <c r="E129" s="9"/>
      <c r="F129" s="5"/>
      <c r="G129" s="5" t="str">
        <f t="shared" si="1"/>
        <v/>
      </c>
    </row>
    <row r="130" ht="15.75" customHeight="1">
      <c r="A130" s="7"/>
      <c r="B130" s="5"/>
      <c r="D130" s="9"/>
      <c r="E130" s="9"/>
      <c r="F130" s="5"/>
      <c r="G130" s="5" t="str">
        <f t="shared" si="1"/>
        <v/>
      </c>
    </row>
    <row r="131" ht="15.75" customHeight="1">
      <c r="A131" s="7"/>
      <c r="B131" s="5"/>
      <c r="D131" s="9"/>
      <c r="E131" s="9"/>
      <c r="F131" s="5"/>
      <c r="G131" s="5" t="str">
        <f t="shared" si="1"/>
        <v/>
      </c>
    </row>
    <row r="132" ht="15.75" customHeight="1">
      <c r="A132" s="7"/>
      <c r="B132" s="5"/>
      <c r="D132" s="9"/>
      <c r="E132" s="9"/>
      <c r="F132" s="5"/>
      <c r="G132" s="5" t="str">
        <f t="shared" si="1"/>
        <v/>
      </c>
    </row>
    <row r="133" ht="15.75" customHeight="1">
      <c r="A133" s="7"/>
      <c r="B133" s="5"/>
      <c r="D133" s="9"/>
      <c r="E133" s="9"/>
      <c r="F133" s="5"/>
      <c r="G133" s="5" t="str">
        <f t="shared" si="1"/>
        <v/>
      </c>
    </row>
    <row r="134" ht="15.75" customHeight="1">
      <c r="A134" s="7"/>
      <c r="B134" s="5"/>
      <c r="D134" s="9"/>
      <c r="E134" s="9"/>
      <c r="F134" s="5"/>
      <c r="G134" s="5" t="str">
        <f t="shared" si="1"/>
        <v/>
      </c>
    </row>
    <row r="135" ht="15.75" customHeight="1">
      <c r="A135" s="7"/>
      <c r="B135" s="5"/>
      <c r="D135" s="9"/>
      <c r="E135" s="9"/>
      <c r="F135" s="5"/>
      <c r="G135" s="5" t="str">
        <f t="shared" si="1"/>
        <v/>
      </c>
    </row>
    <row r="136" ht="15.75" customHeight="1">
      <c r="A136" s="7"/>
      <c r="B136" s="5"/>
      <c r="D136" s="9"/>
      <c r="E136" s="9"/>
      <c r="F136" s="5"/>
      <c r="G136" s="5" t="str">
        <f t="shared" si="1"/>
        <v/>
      </c>
    </row>
    <row r="137" ht="15.75" customHeight="1">
      <c r="A137" s="7"/>
      <c r="B137" s="5"/>
      <c r="D137" s="9"/>
      <c r="E137" s="9"/>
      <c r="F137" s="5"/>
      <c r="G137" s="5" t="str">
        <f t="shared" si="1"/>
        <v/>
      </c>
    </row>
    <row r="138" ht="15.75" customHeight="1">
      <c r="A138" s="7"/>
      <c r="B138" s="5"/>
      <c r="D138" s="9"/>
      <c r="E138" s="9"/>
      <c r="F138" s="5"/>
      <c r="G138" s="5" t="str">
        <f t="shared" si="1"/>
        <v/>
      </c>
    </row>
    <row r="139" ht="15.75" customHeight="1">
      <c r="A139" s="7"/>
      <c r="B139" s="5"/>
      <c r="D139" s="9"/>
      <c r="E139" s="9"/>
      <c r="F139" s="5"/>
      <c r="G139" s="5" t="str">
        <f t="shared" si="1"/>
        <v/>
      </c>
    </row>
    <row r="140" ht="15.75" customHeight="1">
      <c r="A140" s="7"/>
      <c r="B140" s="5"/>
      <c r="D140" s="9"/>
      <c r="E140" s="9"/>
      <c r="F140" s="5"/>
      <c r="G140" s="5" t="str">
        <f t="shared" si="1"/>
        <v/>
      </c>
    </row>
    <row r="141" ht="15.75" customHeight="1">
      <c r="A141" s="7"/>
      <c r="B141" s="5"/>
      <c r="D141" s="9"/>
      <c r="E141" s="9"/>
      <c r="F141" s="5"/>
      <c r="G141" s="5" t="str">
        <f t="shared" si="1"/>
        <v/>
      </c>
    </row>
    <row r="142" ht="15.75" customHeight="1">
      <c r="A142" s="7"/>
      <c r="B142" s="5"/>
      <c r="D142" s="9"/>
      <c r="E142" s="9"/>
      <c r="F142" s="5"/>
      <c r="G142" s="5" t="str">
        <f t="shared" si="1"/>
        <v/>
      </c>
    </row>
    <row r="143" ht="15.75" customHeight="1">
      <c r="A143" s="7"/>
      <c r="B143" s="5"/>
      <c r="D143" s="9"/>
      <c r="E143" s="9"/>
      <c r="F143" s="5"/>
      <c r="G143" s="5" t="str">
        <f t="shared" si="1"/>
        <v/>
      </c>
    </row>
    <row r="144" ht="15.75" customHeight="1">
      <c r="A144" s="7"/>
      <c r="B144" s="5"/>
      <c r="D144" s="9"/>
      <c r="E144" s="9"/>
      <c r="F144" s="5"/>
      <c r="G144" s="5" t="str">
        <f t="shared" si="1"/>
        <v/>
      </c>
    </row>
    <row r="145" ht="15.75" customHeight="1">
      <c r="A145" s="7"/>
      <c r="B145" s="5"/>
      <c r="D145" s="9"/>
      <c r="E145" s="9"/>
      <c r="F145" s="5"/>
      <c r="G145" s="5" t="str">
        <f t="shared" si="1"/>
        <v/>
      </c>
    </row>
    <row r="146" ht="15.75" customHeight="1">
      <c r="A146" s="7"/>
      <c r="B146" s="5"/>
      <c r="D146" s="9"/>
      <c r="E146" s="9"/>
      <c r="F146" s="5"/>
      <c r="G146" s="5" t="str">
        <f t="shared" si="1"/>
        <v/>
      </c>
    </row>
    <row r="147" ht="15.75" customHeight="1">
      <c r="A147" s="7"/>
      <c r="B147" s="5"/>
      <c r="D147" s="9"/>
      <c r="E147" s="9"/>
      <c r="F147" s="5"/>
      <c r="G147" s="5" t="str">
        <f t="shared" si="1"/>
        <v/>
      </c>
    </row>
    <row r="148" ht="15.75" customHeight="1">
      <c r="A148" s="7"/>
      <c r="B148" s="5"/>
      <c r="D148" s="9"/>
      <c r="E148" s="9"/>
      <c r="F148" s="5"/>
      <c r="G148" s="5" t="str">
        <f t="shared" si="1"/>
        <v/>
      </c>
    </row>
    <row r="149" ht="15.75" customHeight="1">
      <c r="A149" s="7"/>
      <c r="B149" s="5"/>
      <c r="D149" s="9"/>
      <c r="E149" s="9"/>
      <c r="F149" s="5"/>
      <c r="G149" s="5" t="str">
        <f t="shared" si="1"/>
        <v/>
      </c>
    </row>
    <row r="150" ht="15.75" customHeight="1">
      <c r="A150" s="7"/>
      <c r="B150" s="5"/>
      <c r="D150" s="9"/>
      <c r="E150" s="9"/>
      <c r="F150" s="5"/>
      <c r="G150" s="5" t="str">
        <f t="shared" si="1"/>
        <v/>
      </c>
    </row>
    <row r="151" ht="15.75" customHeight="1">
      <c r="A151" s="7"/>
      <c r="B151" s="5"/>
      <c r="D151" s="9"/>
      <c r="E151" s="9"/>
      <c r="F151" s="5"/>
      <c r="G151" s="5" t="str">
        <f t="shared" si="1"/>
        <v/>
      </c>
    </row>
    <row r="152" ht="15.75" customHeight="1">
      <c r="A152" s="7"/>
      <c r="B152" s="5"/>
      <c r="D152" s="9"/>
      <c r="E152" s="9"/>
      <c r="F152" s="5"/>
      <c r="G152" s="5" t="str">
        <f t="shared" si="1"/>
        <v/>
      </c>
    </row>
    <row r="153" ht="15.75" customHeight="1">
      <c r="A153" s="7"/>
      <c r="B153" s="5"/>
      <c r="D153" s="9"/>
      <c r="E153" s="9"/>
      <c r="F153" s="5"/>
      <c r="G153" s="5" t="str">
        <f t="shared" si="1"/>
        <v/>
      </c>
    </row>
    <row r="154" ht="15.75" customHeight="1">
      <c r="A154" s="7"/>
      <c r="B154" s="5"/>
      <c r="D154" s="9"/>
      <c r="E154" s="9"/>
      <c r="F154" s="5"/>
      <c r="G154" s="5" t="str">
        <f t="shared" si="1"/>
        <v/>
      </c>
    </row>
    <row r="155" ht="15.75" customHeight="1">
      <c r="A155" s="7"/>
      <c r="B155" s="5"/>
      <c r="D155" s="9"/>
      <c r="E155" s="9"/>
      <c r="F155" s="5"/>
      <c r="G155" s="5" t="str">
        <f t="shared" si="1"/>
        <v/>
      </c>
    </row>
    <row r="156" ht="15.75" customHeight="1">
      <c r="A156" s="7"/>
      <c r="B156" s="5"/>
      <c r="D156" s="9"/>
      <c r="E156" s="9"/>
      <c r="F156" s="5"/>
      <c r="G156" s="5" t="str">
        <f t="shared" si="1"/>
        <v/>
      </c>
    </row>
    <row r="157" ht="15.75" customHeight="1">
      <c r="A157" s="7"/>
      <c r="B157" s="5"/>
      <c r="D157" s="9"/>
      <c r="E157" s="9"/>
      <c r="F157" s="5"/>
      <c r="G157" s="5" t="str">
        <f t="shared" si="1"/>
        <v/>
      </c>
    </row>
    <row r="158" ht="15.75" customHeight="1">
      <c r="A158" s="7"/>
      <c r="B158" s="5"/>
      <c r="D158" s="9"/>
      <c r="E158" s="9"/>
      <c r="F158" s="5"/>
      <c r="G158" s="5" t="str">
        <f t="shared" si="1"/>
        <v/>
      </c>
    </row>
    <row r="159" ht="15.75" customHeight="1">
      <c r="A159" s="7"/>
      <c r="B159" s="5"/>
      <c r="D159" s="9"/>
      <c r="E159" s="9"/>
      <c r="F159" s="5"/>
      <c r="G159" s="5" t="str">
        <f t="shared" si="1"/>
        <v/>
      </c>
    </row>
    <row r="160" ht="15.75" customHeight="1">
      <c r="A160" s="7"/>
      <c r="B160" s="5"/>
      <c r="D160" s="9"/>
      <c r="E160" s="9"/>
      <c r="F160" s="5"/>
      <c r="G160" s="5" t="str">
        <f t="shared" si="1"/>
        <v/>
      </c>
    </row>
    <row r="161" ht="15.75" customHeight="1">
      <c r="A161" s="7"/>
      <c r="B161" s="5"/>
      <c r="D161" s="9"/>
      <c r="E161" s="9"/>
      <c r="F161" s="5"/>
      <c r="G161" s="5" t="str">
        <f t="shared" si="1"/>
        <v/>
      </c>
    </row>
    <row r="162" ht="15.75" customHeight="1">
      <c r="A162" s="7"/>
      <c r="B162" s="5"/>
      <c r="D162" s="9"/>
      <c r="E162" s="9"/>
      <c r="F162" s="5"/>
      <c r="G162" s="5" t="str">
        <f t="shared" si="1"/>
        <v/>
      </c>
    </row>
    <row r="163" ht="15.75" customHeight="1">
      <c r="A163" s="7"/>
      <c r="B163" s="5"/>
      <c r="D163" s="9"/>
      <c r="E163" s="9"/>
      <c r="F163" s="5"/>
      <c r="G163" s="5" t="str">
        <f t="shared" si="1"/>
        <v/>
      </c>
    </row>
    <row r="164" ht="15.75" customHeight="1">
      <c r="A164" s="7"/>
      <c r="B164" s="5"/>
      <c r="D164" s="9"/>
      <c r="E164" s="9"/>
      <c r="F164" s="5"/>
      <c r="G164" s="5" t="str">
        <f t="shared" si="1"/>
        <v/>
      </c>
    </row>
    <row r="165" ht="15.75" customHeight="1">
      <c r="A165" s="7"/>
      <c r="B165" s="5"/>
      <c r="D165" s="9"/>
      <c r="E165" s="9"/>
      <c r="F165" s="5"/>
      <c r="G165" s="5" t="str">
        <f t="shared" si="1"/>
        <v/>
      </c>
    </row>
    <row r="166" ht="15.75" customHeight="1">
      <c r="A166" s="7"/>
      <c r="B166" s="5"/>
      <c r="D166" s="9"/>
      <c r="E166" s="9"/>
      <c r="F166" s="5"/>
      <c r="G166" s="5" t="str">
        <f t="shared" si="1"/>
        <v/>
      </c>
    </row>
    <row r="167" ht="15.75" customHeight="1">
      <c r="A167" s="7"/>
      <c r="B167" s="5"/>
      <c r="D167" s="9"/>
      <c r="E167" s="9"/>
      <c r="F167" s="5"/>
      <c r="G167" s="5" t="str">
        <f t="shared" si="1"/>
        <v/>
      </c>
    </row>
    <row r="168" ht="15.75" customHeight="1">
      <c r="A168" s="7"/>
      <c r="B168" s="5"/>
      <c r="D168" s="9"/>
      <c r="E168" s="9"/>
      <c r="F168" s="5"/>
      <c r="G168" s="5" t="str">
        <f t="shared" si="1"/>
        <v/>
      </c>
    </row>
    <row r="169" ht="15.75" customHeight="1">
      <c r="A169" s="7"/>
      <c r="B169" s="5"/>
      <c r="D169" s="9"/>
      <c r="E169" s="9"/>
      <c r="F169" s="5"/>
      <c r="G169" s="5" t="str">
        <f t="shared" si="1"/>
        <v/>
      </c>
    </row>
    <row r="170" ht="15.75" customHeight="1">
      <c r="A170" s="7"/>
      <c r="B170" s="5"/>
      <c r="D170" s="9"/>
      <c r="E170" s="9"/>
      <c r="F170" s="5"/>
      <c r="G170" s="5" t="str">
        <f t="shared" si="1"/>
        <v/>
      </c>
    </row>
    <row r="171" ht="15.75" customHeight="1">
      <c r="A171" s="7"/>
      <c r="B171" s="5"/>
      <c r="D171" s="9"/>
      <c r="E171" s="9"/>
      <c r="F171" s="5"/>
      <c r="G171" s="5" t="str">
        <f t="shared" si="1"/>
        <v/>
      </c>
    </row>
    <row r="172" ht="15.75" customHeight="1">
      <c r="A172" s="7"/>
      <c r="B172" s="5"/>
      <c r="D172" s="9"/>
      <c r="E172" s="9"/>
      <c r="F172" s="5"/>
      <c r="G172" s="5" t="str">
        <f t="shared" si="1"/>
        <v/>
      </c>
    </row>
    <row r="173" ht="15.75" customHeight="1">
      <c r="A173" s="7"/>
      <c r="B173" s="5"/>
      <c r="D173" s="9"/>
      <c r="E173" s="9"/>
      <c r="F173" s="5"/>
      <c r="G173" s="5" t="str">
        <f t="shared" si="1"/>
        <v/>
      </c>
    </row>
    <row r="174" ht="15.75" customHeight="1">
      <c r="A174" s="7"/>
      <c r="B174" s="5"/>
      <c r="D174" s="9"/>
      <c r="E174" s="9"/>
      <c r="F174" s="5"/>
      <c r="G174" s="5" t="str">
        <f t="shared" si="1"/>
        <v/>
      </c>
    </row>
    <row r="175" ht="15.75" customHeight="1">
      <c r="A175" s="7"/>
      <c r="B175" s="5"/>
      <c r="D175" s="9"/>
      <c r="E175" s="9"/>
      <c r="F175" s="5"/>
      <c r="G175" s="5" t="str">
        <f t="shared" si="1"/>
        <v/>
      </c>
    </row>
    <row r="176" ht="15.75" customHeight="1">
      <c r="A176" s="7"/>
      <c r="B176" s="5"/>
      <c r="D176" s="9"/>
      <c r="E176" s="9"/>
      <c r="F176" s="5"/>
      <c r="G176" s="5" t="str">
        <f t="shared" si="1"/>
        <v/>
      </c>
    </row>
    <row r="177" ht="15.75" customHeight="1">
      <c r="A177" s="7"/>
      <c r="B177" s="5"/>
      <c r="D177" s="9"/>
      <c r="E177" s="9"/>
      <c r="F177" s="5"/>
      <c r="G177" s="5" t="str">
        <f t="shared" si="1"/>
        <v/>
      </c>
    </row>
    <row r="178" ht="15.75" customHeight="1">
      <c r="A178" s="7"/>
      <c r="B178" s="5"/>
      <c r="D178" s="9"/>
      <c r="E178" s="9"/>
      <c r="F178" s="5"/>
      <c r="G178" s="5" t="str">
        <f t="shared" si="1"/>
        <v/>
      </c>
    </row>
    <row r="179" ht="15.75" customHeight="1">
      <c r="A179" s="7"/>
      <c r="B179" s="5"/>
      <c r="D179" s="9"/>
      <c r="E179" s="9"/>
      <c r="F179" s="5"/>
      <c r="G179" s="5" t="str">
        <f t="shared" si="1"/>
        <v/>
      </c>
    </row>
    <row r="180" ht="15.75" customHeight="1">
      <c r="A180" s="7"/>
      <c r="B180" s="5"/>
      <c r="D180" s="9"/>
      <c r="E180" s="9"/>
      <c r="F180" s="5"/>
      <c r="G180" s="5" t="str">
        <f t="shared" si="1"/>
        <v/>
      </c>
    </row>
    <row r="181" ht="15.75" customHeight="1">
      <c r="A181" s="7"/>
      <c r="B181" s="5"/>
      <c r="D181" s="9"/>
      <c r="E181" s="9"/>
      <c r="F181" s="5"/>
      <c r="G181" s="5" t="str">
        <f t="shared" si="1"/>
        <v/>
      </c>
    </row>
    <row r="182" ht="15.75" customHeight="1">
      <c r="A182" s="7"/>
      <c r="B182" s="5"/>
      <c r="D182" s="9"/>
      <c r="E182" s="9"/>
      <c r="F182" s="5"/>
      <c r="G182" s="5" t="str">
        <f t="shared" si="1"/>
        <v/>
      </c>
    </row>
    <row r="183" ht="15.75" customHeight="1">
      <c r="A183" s="7"/>
      <c r="B183" s="5"/>
      <c r="D183" s="9"/>
      <c r="E183" s="9"/>
      <c r="F183" s="5"/>
      <c r="G183" s="5" t="str">
        <f t="shared" si="1"/>
        <v/>
      </c>
    </row>
    <row r="184" ht="15.75" customHeight="1">
      <c r="A184" s="7"/>
      <c r="B184" s="5"/>
      <c r="D184" s="9"/>
      <c r="E184" s="9"/>
      <c r="F184" s="5"/>
      <c r="G184" s="5" t="str">
        <f t="shared" si="1"/>
        <v/>
      </c>
    </row>
    <row r="185" ht="15.75" customHeight="1">
      <c r="A185" s="7"/>
      <c r="B185" s="5"/>
      <c r="D185" s="9"/>
      <c r="E185" s="9"/>
      <c r="F185" s="5"/>
      <c r="G185" s="5" t="str">
        <f t="shared" si="1"/>
        <v/>
      </c>
    </row>
    <row r="186" ht="15.75" customHeight="1">
      <c r="A186" s="7"/>
      <c r="B186" s="5"/>
      <c r="D186" s="9"/>
      <c r="E186" s="9"/>
      <c r="F186" s="5"/>
      <c r="G186" s="5" t="str">
        <f t="shared" si="1"/>
        <v/>
      </c>
    </row>
    <row r="187" ht="15.75" customHeight="1">
      <c r="A187" s="7"/>
      <c r="B187" s="5"/>
      <c r="D187" s="9"/>
      <c r="E187" s="9"/>
      <c r="F187" s="5"/>
      <c r="G187" s="5" t="str">
        <f t="shared" si="1"/>
        <v/>
      </c>
    </row>
    <row r="188" ht="15.75" customHeight="1">
      <c r="A188" s="7"/>
      <c r="B188" s="5"/>
      <c r="D188" s="9"/>
      <c r="E188" s="9"/>
      <c r="F188" s="5"/>
      <c r="G188" s="5" t="str">
        <f t="shared" si="1"/>
        <v/>
      </c>
    </row>
    <row r="189" ht="15.75" customHeight="1">
      <c r="A189" s="7"/>
      <c r="B189" s="5"/>
      <c r="D189" s="9"/>
      <c r="E189" s="9"/>
      <c r="F189" s="5"/>
      <c r="G189" s="5" t="str">
        <f t="shared" si="1"/>
        <v/>
      </c>
    </row>
    <row r="190" ht="15.75" customHeight="1">
      <c r="A190" s="7"/>
      <c r="B190" s="5"/>
      <c r="D190" s="9"/>
      <c r="E190" s="9"/>
      <c r="F190" s="5"/>
      <c r="G190" s="5" t="str">
        <f t="shared" si="1"/>
        <v/>
      </c>
    </row>
    <row r="191" ht="15.75" customHeight="1">
      <c r="A191" s="7"/>
      <c r="B191" s="5"/>
      <c r="D191" s="9"/>
      <c r="E191" s="9"/>
      <c r="F191" s="5"/>
      <c r="G191" s="5" t="str">
        <f t="shared" si="1"/>
        <v/>
      </c>
    </row>
    <row r="192" ht="15.75" customHeight="1">
      <c r="A192" s="7"/>
      <c r="B192" s="5"/>
      <c r="D192" s="9"/>
      <c r="E192" s="9"/>
      <c r="F192" s="5"/>
      <c r="G192" s="5" t="str">
        <f t="shared" si="1"/>
        <v/>
      </c>
    </row>
    <row r="193" ht="15.75" customHeight="1">
      <c r="A193" s="7"/>
      <c r="B193" s="5"/>
      <c r="D193" s="9"/>
      <c r="E193" s="9"/>
      <c r="F193" s="5"/>
      <c r="G193" s="5" t="str">
        <f t="shared" si="1"/>
        <v/>
      </c>
    </row>
    <row r="194" ht="15.75" customHeight="1">
      <c r="A194" s="7"/>
      <c r="B194" s="5"/>
      <c r="D194" s="9"/>
      <c r="E194" s="9"/>
      <c r="F194" s="5"/>
      <c r="G194" s="5" t="str">
        <f t="shared" si="1"/>
        <v/>
      </c>
    </row>
    <row r="195" ht="15.75" customHeight="1">
      <c r="A195" s="7"/>
      <c r="B195" s="5"/>
      <c r="D195" s="9"/>
      <c r="E195" s="9"/>
      <c r="F195" s="5"/>
      <c r="G195" s="5" t="str">
        <f t="shared" si="1"/>
        <v/>
      </c>
    </row>
    <row r="196" ht="15.75" customHeight="1">
      <c r="A196" s="7"/>
      <c r="B196" s="5"/>
      <c r="D196" s="9"/>
      <c r="E196" s="9"/>
      <c r="F196" s="5"/>
      <c r="G196" s="5" t="str">
        <f t="shared" si="1"/>
        <v/>
      </c>
    </row>
    <row r="197" ht="15.75" customHeight="1">
      <c r="A197" s="7"/>
      <c r="B197" s="5"/>
      <c r="D197" s="9"/>
      <c r="E197" s="9"/>
      <c r="F197" s="5"/>
      <c r="G197" s="5" t="str">
        <f t="shared" si="1"/>
        <v/>
      </c>
    </row>
    <row r="198" ht="15.75" customHeight="1">
      <c r="A198" s="7"/>
      <c r="B198" s="5"/>
      <c r="D198" s="9"/>
      <c r="E198" s="9"/>
      <c r="F198" s="5"/>
      <c r="G198" s="5" t="str">
        <f t="shared" si="1"/>
        <v/>
      </c>
    </row>
    <row r="199" ht="15.75" customHeight="1">
      <c r="A199" s="7"/>
      <c r="B199" s="5"/>
      <c r="D199" s="9"/>
      <c r="E199" s="9"/>
      <c r="F199" s="5"/>
      <c r="G199" s="5" t="str">
        <f t="shared" si="1"/>
        <v/>
      </c>
    </row>
    <row r="200" ht="15.75" customHeight="1">
      <c r="A200" s="7"/>
      <c r="B200" s="5"/>
      <c r="D200" s="9"/>
      <c r="E200" s="9"/>
      <c r="F200" s="5"/>
      <c r="G200" s="5" t="str">
        <f t="shared" si="1"/>
        <v/>
      </c>
    </row>
    <row r="201" ht="15.75" customHeight="1">
      <c r="A201" s="7"/>
      <c r="B201" s="5"/>
      <c r="D201" s="9"/>
      <c r="E201" s="9"/>
      <c r="F201" s="5"/>
      <c r="G201" s="5" t="str">
        <f t="shared" si="1"/>
        <v/>
      </c>
    </row>
    <row r="202" ht="15.75" customHeight="1">
      <c r="A202" s="7"/>
      <c r="B202" s="5"/>
      <c r="D202" s="9"/>
      <c r="E202" s="9"/>
      <c r="F202" s="5"/>
      <c r="G202" s="5" t="str">
        <f t="shared" si="1"/>
        <v/>
      </c>
    </row>
    <row r="203" ht="15.75" customHeight="1">
      <c r="A203" s="7"/>
      <c r="B203" s="5"/>
      <c r="D203" s="9"/>
      <c r="E203" s="9"/>
      <c r="F203" s="5"/>
      <c r="G203" s="5" t="str">
        <f t="shared" si="1"/>
        <v/>
      </c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>
    <dataValidation type="list" allowBlank="1" sqref="B4:B203">
      <formula1>'Master Data'!$E$4:$E$14</formula1>
    </dataValidation>
    <dataValidation type="list" allowBlank="1" sqref="F4:F203">
      <formula1>"Present,Absent,Half Day,Leave"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4.0"/>
    <col customWidth="1" min="3" max="3" width="8.63"/>
    <col customWidth="1" min="4" max="4" width="21.0"/>
    <col customWidth="1" min="5" max="5" width="14.0"/>
    <col customWidth="1" min="6" max="6" width="8.63"/>
    <col customWidth="1" min="7" max="7" width="21.0"/>
    <col customWidth="1" min="8" max="8" width="14.0"/>
    <col customWidth="1" min="9" max="9" width="8.63"/>
    <col customWidth="1" min="10" max="10" width="21.0"/>
    <col customWidth="1" min="11" max="11" width="14.0"/>
    <col customWidth="1" min="12" max="26" width="8.63"/>
  </cols>
  <sheetData>
    <row r="1">
      <c r="A1" s="1" t="s">
        <v>149</v>
      </c>
    </row>
    <row r="3">
      <c r="A3" s="10" t="s">
        <v>150</v>
      </c>
      <c r="B3" s="11">
        <f>COUNTIF('Order Flow'!$N$4:$N$103,"&gt;0")</f>
        <v>0</v>
      </c>
      <c r="D3" s="10" t="s">
        <v>151</v>
      </c>
      <c r="E3" s="11">
        <f>SUMIF('Daily Production'!$A$4:$A$203,TODAY(),'Daily Production'!$J$4:$J$203)</f>
        <v>0</v>
      </c>
      <c r="G3" s="10" t="s">
        <v>152</v>
      </c>
      <c r="H3" s="11">
        <f>SUMIF('QC &amp; Wastage'!$A$4:$A$203,TODAY(),'QC &amp; Wastage'!$L$4:$L$203)</f>
        <v>0</v>
      </c>
      <c r="J3" s="10" t="s">
        <v>153</v>
      </c>
      <c r="K3" s="11">
        <f>SUMIF(Dispatch!$A$4:$A$153,TODAY(),Dispatch!$F$4:$F$153)</f>
        <v>0</v>
      </c>
    </row>
    <row r="5">
      <c r="A5" s="10" t="s">
        <v>154</v>
      </c>
      <c r="B5" s="11">
        <f>COUNTIFS('Order Flow'!$N$4:$N$103,"&gt;0",'Order Flow'!$O$4:$O$103,"&lt;0")</f>
        <v>0</v>
      </c>
      <c r="D5" s="10" t="s">
        <v>155</v>
      </c>
      <c r="E5" s="11">
        <f>SUMIF('Daily Production'!$A$4:$A$203,TODAY(),'Daily Production'!$K$4:$K$203)</f>
        <v>0</v>
      </c>
      <c r="G5" s="10" t="s">
        <v>156</v>
      </c>
      <c r="H5" s="11">
        <f>SUMIF('QC &amp; Wastage'!$A$4:$A$203,TODAY(),'QC &amp; Wastage'!$N$4:$N$203)</f>
        <v>0</v>
      </c>
      <c r="J5" s="10" t="s">
        <v>157</v>
      </c>
      <c r="K5" s="11">
        <f>COUNTIF(Dispatch!$Q$4:$Q$153,"Held")</f>
        <v>0</v>
      </c>
    </row>
    <row r="7">
      <c r="D7" s="12" t="s">
        <v>158</v>
      </c>
      <c r="E7" s="8">
        <f>IFERROR(E5/E3,0)</f>
        <v>0</v>
      </c>
    </row>
    <row r="10">
      <c r="A10" s="13" t="s">
        <v>159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10:L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55.0"/>
    <col customWidth="1" min="3" max="4" width="30.0"/>
    <col customWidth="1" min="5" max="26" width="8.63"/>
  </cols>
  <sheetData>
    <row r="1">
      <c r="A1" s="14" t="s">
        <v>160</v>
      </c>
    </row>
    <row r="3">
      <c r="A3" s="3" t="s">
        <v>161</v>
      </c>
      <c r="B3" s="3" t="s">
        <v>162</v>
      </c>
      <c r="C3" s="3" t="s">
        <v>163</v>
      </c>
      <c r="D3" s="3" t="s">
        <v>164</v>
      </c>
    </row>
    <row r="4" ht="37.5" customHeight="1">
      <c r="A4" s="15" t="s">
        <v>165</v>
      </c>
      <c r="B4" s="5" t="s">
        <v>166</v>
      </c>
      <c r="C4" s="16" t="s">
        <v>167</v>
      </c>
      <c r="D4" s="5" t="s">
        <v>168</v>
      </c>
    </row>
    <row r="5" ht="37.5" customHeight="1">
      <c r="A5" s="15" t="s">
        <v>165</v>
      </c>
      <c r="B5" s="5" t="s">
        <v>169</v>
      </c>
      <c r="D5" s="5" t="s">
        <v>170</v>
      </c>
    </row>
    <row r="6" ht="37.5" customHeight="1">
      <c r="A6" s="15" t="s">
        <v>165</v>
      </c>
      <c r="B6" s="5" t="s">
        <v>171</v>
      </c>
      <c r="C6" s="17"/>
      <c r="D6" s="5" t="s">
        <v>172</v>
      </c>
    </row>
    <row r="7" ht="37.5" customHeight="1">
      <c r="A7" s="15" t="s">
        <v>165</v>
      </c>
      <c r="B7" s="5" t="s">
        <v>173</v>
      </c>
      <c r="D7" s="5" t="s">
        <v>174</v>
      </c>
    </row>
    <row r="8" ht="37.5" customHeight="1">
      <c r="A8" s="15" t="s">
        <v>175</v>
      </c>
      <c r="B8" s="5" t="s">
        <v>176</v>
      </c>
      <c r="D8" s="5" t="s">
        <v>177</v>
      </c>
    </row>
    <row r="9" ht="37.5" customHeight="1">
      <c r="A9" s="15" t="s">
        <v>175</v>
      </c>
      <c r="B9" s="5" t="s">
        <v>178</v>
      </c>
      <c r="D9" s="5" t="s">
        <v>179</v>
      </c>
    </row>
    <row r="10" ht="37.5" customHeight="1">
      <c r="A10" s="15" t="s">
        <v>180</v>
      </c>
      <c r="B10" s="5" t="s">
        <v>181</v>
      </c>
      <c r="D10" s="5" t="s">
        <v>182</v>
      </c>
    </row>
    <row r="11" ht="37.5" customHeight="1">
      <c r="A11" s="15" t="s">
        <v>180</v>
      </c>
      <c r="B11" s="5" t="s">
        <v>183</v>
      </c>
      <c r="D11" s="5" t="s">
        <v>184</v>
      </c>
    </row>
    <row r="12" ht="37.5" customHeight="1">
      <c r="A12" s="15" t="s">
        <v>185</v>
      </c>
      <c r="B12" s="5" t="s">
        <v>186</v>
      </c>
      <c r="D12" s="5" t="s">
        <v>187</v>
      </c>
    </row>
    <row r="13" ht="37.5" customHeight="1">
      <c r="A13" s="15" t="s">
        <v>188</v>
      </c>
      <c r="B13" s="5" t="s">
        <v>189</v>
      </c>
      <c r="D13" s="5" t="s">
        <v>190</v>
      </c>
    </row>
    <row r="14" ht="37.5" customHeight="1">
      <c r="A14" s="15" t="s">
        <v>191</v>
      </c>
      <c r="B14" s="5" t="s">
        <v>192</v>
      </c>
      <c r="D14" s="5" t="s">
        <v>193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