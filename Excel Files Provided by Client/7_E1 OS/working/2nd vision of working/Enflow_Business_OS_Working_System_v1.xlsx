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Dashboard" sheetId="1" r:id="rId4"/>
    <sheet state="visible" name="02_Daily_Control" sheetId="2" r:id="rId5"/>
    <sheet state="visible" name="00_Start_Here" sheetId="3" r:id="rId6"/>
    <sheet state="visible" name="99_Lists_Settings" sheetId="4" r:id="rId7"/>
    <sheet state="visible" name="10_Master_Customers" sheetId="5" r:id="rId8"/>
    <sheet state="visible" name="11_Master_Vendors" sheetId="6" r:id="rId9"/>
    <sheet state="visible" name="12_Master_Products" sheetId="7" r:id="rId10"/>
    <sheet state="visible" name="13_Master_Materials" sheetId="8" r:id="rId11"/>
    <sheet state="visible" name="14_Master_Employees" sheetId="9" r:id="rId12"/>
    <sheet state="visible" name="15_Master_Machines" sheetId="10" r:id="rId13"/>
    <sheet state="visible" name="16_Master_Brands" sheetId="11" r:id="rId14"/>
    <sheet state="visible" name="17_BOM" sheetId="12" r:id="rId15"/>
    <sheet state="visible" name="20_Orders" sheetId="13" r:id="rId16"/>
    <sheet state="visible" name="21_Production_Plan" sheetId="14" r:id="rId17"/>
    <sheet state="visible" name="22_Production_Daily" sheetId="15" r:id="rId18"/>
    <sheet state="visible" name="23_Inventory_Ledger" sheetId="16" r:id="rId19"/>
    <sheet state="visible" name="24_QC" sheetId="17" r:id="rId20"/>
    <sheet state="visible" name="25_Wastage" sheetId="18" r:id="rId21"/>
    <sheet state="visible" name="26_Purchasing" sheetId="19" r:id="rId22"/>
    <sheet state="visible" name="27_Dispatch" sheetId="20" r:id="rId23"/>
    <sheet state="visible" name="28_Attendance" sheetId="21" r:id="rId24"/>
    <sheet state="visible" name="29_Maintenance" sheetId="22" r:id="rId25"/>
    <sheet state="visible" name="30_Complaints" sheetId="23" r:id="rId26"/>
    <sheet state="visible" name="40_KPI_Definitions" sheetId="24" r:id="rId27"/>
  </sheets>
  <definedNames>
    <definedName hidden="1" localSheetId="20" name="Z_09171407_5CBE_4994_86C9_A423BD3C3D89_.wvu.FilterData">'28_Attendance'!$A$4:$O$5</definedName>
    <definedName hidden="1" localSheetId="16" name="Z_C4B2F14F_D5F4_4BCA_BE73_998B05C55FD6_.wvu.FilterData">'24_QC'!$A$4:$T$5</definedName>
    <definedName hidden="1" localSheetId="5" name="Z_AADF3FC6_6ED6_44D5_8B51_1BE1BC0C2BEE_.wvu.FilterData">'11_Master_Vendors'!$A$4:$J$5</definedName>
    <definedName hidden="1" localSheetId="1" name="Z_965852F3_B65B_4FF7_861A_B8B5501266A5_.wvu.FilterData">'02_Daily_Control'!$A$4:$B$8</definedName>
    <definedName hidden="1" localSheetId="10" name="Z_AF32B5B2_2FEE_434C_A18E_507FF3395664_.wvu.FilterData">'16_Master_Brands'!$A$4:$F$6</definedName>
    <definedName hidden="1" localSheetId="17" name="Z_76194241_4DAA_4014_8158_7EA40F791FB7_.wvu.FilterData">'25_Wastage'!$A$4:$P$5</definedName>
    <definedName hidden="1" localSheetId="22" name="Z_EC489724_34B4_4C4E_99E3_944EE7CE0B99_.wvu.FilterData">'30_Complaints'!$A$4:$Q$5</definedName>
    <definedName hidden="1" localSheetId="13" name="Z_6F0FED83_7966_4EC0_825B_EE5C72E84015_.wvu.FilterData">'21_Production_Plan'!$A$4:$O$5</definedName>
    <definedName hidden="1" localSheetId="21" name="Z_51422203_4DAE_40A0_B6D2_34FEAA60F206_.wvu.FilterData">'29_Maintenance'!$A$4:$P$5</definedName>
    <definedName hidden="1" localSheetId="18" name="Z_7D245E94_16D1_4FF3_A88C_311D938C3EA9_.wvu.FilterData">'26_Purchasing'!$A$4:$O$5</definedName>
    <definedName hidden="1" localSheetId="11" name="Z_E0CAEDB9_24FA_4270_86EB_AD9282C6FC20_.wvu.FilterData">'17_BOM'!$A$4:$J$8</definedName>
    <definedName hidden="1" localSheetId="14" name="Z_5509FEA1_0F7C_4C17_B2F6_708C2EEA679E_.wvu.FilterData">'22_Production_Daily'!$A$4:$U$5</definedName>
    <definedName hidden="1" localSheetId="12" name="Z_696F45FC_8E81_40D6_ACE0_45EAC381D4B7_.wvu.FilterData">'20_Orders'!$A$4:$N$5</definedName>
    <definedName hidden="1" localSheetId="7" name="Z_03428C4F_B6CE_4CAE_B312_37500C40A75E_.wvu.FilterData">'13_Master_Materials'!$A$4:$L$15</definedName>
    <definedName hidden="1" localSheetId="8" name="Z_FA21A1FF_AF7C_41B2_ABA3_0BF98D2A2AFC_.wvu.FilterData">'14_Master_Employees'!$A$4:$I$6</definedName>
    <definedName hidden="1" localSheetId="2" name="Z_C2793968_28AB_4C88_B43F_4E21968C4879_.wvu.FilterData">'00_Start_Here'!$A$4:$B$12</definedName>
    <definedName hidden="1" localSheetId="15" name="Z_DBD467AE_1844_47B6_93D1_C10B8CD169DD_.wvu.FilterData">'23_Inventory_Ledger'!$A$4:$Q$5</definedName>
    <definedName hidden="1" localSheetId="4" name="Z_12495505_8297_467D_ABAB_799C439B48C0_.wvu.FilterData">'10_Master_Customers'!$A$4:$J$48</definedName>
    <definedName hidden="1" localSheetId="19" name="Z_A76730C1_1583_4F9B_8177_E044F97979EE_.wvu.FilterData">'27_Dispatch'!$A$4:$S$5</definedName>
    <definedName hidden="1" localSheetId="23" name="Z_672F2CF4_29AA_4D47_AD59_511D081EBDD3_.wvu.FilterData">'40_KPI_Definitions'!$A$4:$G$25</definedName>
    <definedName hidden="1" localSheetId="6" name="Z_F978F655_5F9F_414C_88E8_63C0E3D87141_.wvu.FilterData">'12_Master_Products'!$A$4:$P$6</definedName>
    <definedName hidden="1" localSheetId="9" name="Z_E7B33DF5_63DF_4271_90D7_C29B70F1E683_.wvu.FilterData">'15_Master_Machines'!$A$4:$H$5</definedName>
    <definedName hidden="1" localSheetId="3" name="Z_AA240D55_63EC_4D3A_A5A8_AA8EF902AD47_.wvu.FilterData">'99_Lists_Settings'!$A$23:$C$38</definedName>
  </definedNames>
  <calcPr/>
  <customWorkbookViews>
    <customWorkbookView activeSheetId="0" maximized="1" windowHeight="0" windowWidth="0" guid="{09171407-5CBE-4994-86C9-A423BD3C3D89}" name="Attendance filter view"/>
    <customWorkbookView activeSheetId="0" maximized="1" windowHeight="0" windowWidth="0" guid="{C4B2F14F-D5F4-4BCA-BE73-998B05C55FD6}" name="QCRecords filter view"/>
    <customWorkbookView activeSheetId="0" maximized="1" windowHeight="0" windowWidth="0" guid="{AADF3FC6-6ED6-44D5-8B51-1BE1BC0C2BEE}" name="VendorMaster filter view"/>
    <customWorkbookView activeSheetId="0" maximized="1" windowHeight="0" windowWidth="0" guid="{965852F3-B65B-4FF7-861A-B8B5501266A5}" name="DailyControl filter view"/>
    <customWorkbookView activeSheetId="0" maximized="1" windowHeight="0" windowWidth="0" guid="{AF32B5B2-2FEE-434C-A18E-507FF3395664}" name="BrandMaster filter view"/>
    <customWorkbookView activeSheetId="0" maximized="1" windowHeight="0" windowWidth="0" guid="{76194241-4DAA-4014-8158-7EA40F791FB7}" name="Wastage filter view"/>
    <customWorkbookView activeSheetId="0" maximized="1" windowHeight="0" windowWidth="0" guid="{EC489724-34B4-4C4E-99E3-944EE7CE0B99}" name="Complaints filter view"/>
    <customWorkbookView activeSheetId="0" maximized="1" windowHeight="0" windowWidth="0" guid="{6F0FED83-7966-4EC0-825B-EE5C72E84015}" name="ProductionPlan filter view"/>
    <customWorkbookView activeSheetId="0" maximized="1" windowHeight="0" windowWidth="0" guid="{51422203-4DAE-40A0-B6D2-34FEAA60F206}" name="Maintenance filter view"/>
    <customWorkbookView activeSheetId="0" maximized="1" windowHeight="0" windowWidth="0" guid="{7D245E94-16D1-4FF3-A88C-311D938C3EA9}" name="Purchasing filter view"/>
    <customWorkbookView activeSheetId="0" maximized="1" windowHeight="0" windowWidth="0" guid="{E0CAEDB9-24FA-4270-86EB-AD9282C6FC20}" name="BOMMaster filter view"/>
    <customWorkbookView activeSheetId="0" maximized="1" windowHeight="0" windowWidth="0" guid="{5509FEA1-0F7C-4C17-B2F6-708C2EEA679E}" name="ProductionDaily filter view"/>
    <customWorkbookView activeSheetId="0" maximized="1" windowHeight="0" windowWidth="0" guid="{696F45FC-8E81-40D6-ACE0-45EAC381D4B7}" name="Orders filter view"/>
    <customWorkbookView activeSheetId="0" maximized="1" windowHeight="0" windowWidth="0" guid="{03428C4F-B6CE-4CAE-B312-37500C40A75E}" name="MaterialMaster filter view"/>
    <customWorkbookView activeSheetId="0" maximized="1" windowHeight="0" windowWidth="0" guid="{FA21A1FF-AF7C-41B2-ABA3-0BF98D2A2AFC}" name="EmployeeMaster filter view"/>
    <customWorkbookView activeSheetId="0" maximized="1" windowHeight="0" windowWidth="0" guid="{C2793968-28AB-4C88-B43F-4E21968C4879}" name="StartGuide filter view"/>
    <customWorkbookView activeSheetId="0" maximized="1" windowHeight="0" windowWidth="0" guid="{DBD467AE-1844-47B6-93D1-C10B8CD169DD}" name="InventoryLedger filter view"/>
    <customWorkbookView activeSheetId="0" maximized="1" windowHeight="0" windowWidth="0" guid="{12495505-8297-467D-ABAB-799C439B48C0}" name="CustomerMaster filter view"/>
    <customWorkbookView activeSheetId="0" maximized="1" windowHeight="0" windowWidth="0" guid="{A76730C1-1583-4F9B-8177-E044F97979EE}" name="Dispatch filter view"/>
    <customWorkbookView activeSheetId="0" maximized="1" windowHeight="0" windowWidth="0" guid="{672F2CF4-29AA-4D47-AD59-511D081EBDD3}" name="KPIDefinitions filter view"/>
    <customWorkbookView activeSheetId="0" maximized="1" windowHeight="0" windowWidth="0" guid="{F978F655-5F9F-414C-88E8-63C0E3D87141}" name="ProductMaster filter view"/>
    <customWorkbookView activeSheetId="0" maximized="1" windowHeight="0" windowWidth="0" guid="{E7B33DF5-63DF-4271-90D7-C29B70F1E683}" name="MachineMaster filter view"/>
    <customWorkbookView activeSheetId="0" maximized="1" windowHeight="0" windowWidth="0" guid="{AA240D55-63EC-4D3A-A5A8-AA8EF902AD47}" name="SystemParameters filter view"/>
  </customWorkbookViews>
  <extLst>
    <ext uri="GoogleSheetsCustomDataVersion2">
      <go:sheetsCustomData xmlns:go="http://customooxmlschemas.google.com/" r:id="rId28" roundtripDataChecksum="1i3FYSnd4E2d3iHD70Gl4QMf2xuBHQ3XHtd/wFGC/K4="/>
    </ext>
  </extLst>
</workbook>
</file>

<file path=xl/sharedStrings.xml><?xml version="1.0" encoding="utf-8"?>
<sst xmlns="http://schemas.openxmlformats.org/spreadsheetml/2006/main" count="867" uniqueCount="524">
  <si>
    <t>LISTS &amp; SETTINGS</t>
  </si>
  <si>
    <t>ENFLOW MANAGEMENT DASHBOARD</t>
  </si>
  <si>
    <t>Controlled values for dropdowns. Expand these lists as the business finalizes rules.</t>
  </si>
  <si>
    <t>Live management view. Metrics are calculated from working transaction sheets; complete transactions to activate the dashboard.</t>
  </si>
  <si>
    <t>Status</t>
  </si>
  <si>
    <t>Dashboard Date</t>
  </si>
  <si>
    <t>Order Status</t>
  </si>
  <si>
    <t>QC Result</t>
  </si>
  <si>
    <t>DAILY CONTROL CENTER</t>
  </si>
  <si>
    <t>QC Disposition</t>
  </si>
  <si>
    <t>Attendance</t>
  </si>
  <si>
    <t>Transaction Type</t>
  </si>
  <si>
    <t>UOM</t>
  </si>
  <si>
    <t>Brand Type</t>
  </si>
  <si>
    <t>One-page operational control for the manager/operations coordinator. Use transaction sheets for detailed entries.</t>
  </si>
  <si>
    <t>Business Model</t>
  </si>
  <si>
    <t>Priority</t>
  </si>
  <si>
    <t>Yes No</t>
  </si>
  <si>
    <t>Approval Status</t>
  </si>
  <si>
    <t>Work Type</t>
  </si>
  <si>
    <t>Payment Status</t>
  </si>
  <si>
    <t>ENFLOW BUSINESS OS — WORKING SYSTEM v1</t>
  </si>
  <si>
    <t>Control Area</t>
  </si>
  <si>
    <t>Draft</t>
  </si>
  <si>
    <t>New</t>
  </si>
  <si>
    <t>Pass</t>
  </si>
  <si>
    <t>Accept</t>
  </si>
  <si>
    <t>Present</t>
  </si>
  <si>
    <t>Purchase Receipt</t>
  </si>
  <si>
    <t>PCS</t>
  </si>
  <si>
    <t>Own Brand</t>
  </si>
  <si>
    <t>Working operational workbook built from Enflow Business OS Master Database v2. This is an implementation layer; unresolved values remain TO BE DEFINED.</t>
  </si>
  <si>
    <t>Raw Material Supply</t>
  </si>
  <si>
    <t>High</t>
  </si>
  <si>
    <t>Yes</t>
  </si>
  <si>
    <t>Pending</t>
  </si>
  <si>
    <t>Without Cover</t>
  </si>
  <si>
    <t>Not Due</t>
  </si>
  <si>
    <t>Pending Approval</t>
  </si>
  <si>
    <t>Approved</t>
  </si>
  <si>
    <t>Fail</t>
  </si>
  <si>
    <t>Rework</t>
  </si>
  <si>
    <t>Absent</t>
  </si>
  <si>
    <t>Material Issue</t>
  </si>
  <si>
    <t>SET</t>
  </si>
  <si>
    <t>OEM</t>
  </si>
  <si>
    <t>Contract Manufacturing</t>
  </si>
  <si>
    <t>Medium</t>
  </si>
  <si>
    <t>No</t>
  </si>
  <si>
    <t>Item</t>
  </si>
  <si>
    <t>With Cover</t>
  </si>
  <si>
    <t>Due</t>
  </si>
  <si>
    <t>Planned</t>
  </si>
  <si>
    <t>Conditional</t>
  </si>
  <si>
    <t>Scrap</t>
  </si>
  <si>
    <t>Half Day</t>
  </si>
  <si>
    <t>Factory</t>
  </si>
  <si>
    <t>Production Consumption</t>
  </si>
  <si>
    <t>ROLL</t>
  </si>
  <si>
    <t>Non-Branded</t>
  </si>
  <si>
    <t>Purpose</t>
  </si>
  <si>
    <t>Own-Brand Sales</t>
  </si>
  <si>
    <t>Low</t>
  </si>
  <si>
    <t>Rejected</t>
  </si>
  <si>
    <t>Partially Paid</t>
  </si>
  <si>
    <t>In Progress</t>
  </si>
  <si>
    <t>In Production</t>
  </si>
  <si>
    <t>Return</t>
  </si>
  <si>
    <t>Leave</t>
  </si>
  <si>
    <t>Finished Goods Receipt</t>
  </si>
  <si>
    <t>KG</t>
  </si>
  <si>
    <t>Paid</t>
  </si>
  <si>
    <t>On Hold</t>
  </si>
  <si>
    <t>QC Pending</t>
  </si>
  <si>
    <t>TODAY'S OPERATIONS</t>
  </si>
  <si>
    <t>Weekly Off</t>
  </si>
  <si>
    <t>Transfer In</t>
  </si>
  <si>
    <t>MTR</t>
  </si>
  <si>
    <t>Definition</t>
  </si>
  <si>
    <t>Overdue</t>
  </si>
  <si>
    <t>Completed</t>
  </si>
  <si>
    <t>Ready to Dispatch</t>
  </si>
  <si>
    <t>Holiday</t>
  </si>
  <si>
    <t>Transfer Out</t>
  </si>
  <si>
    <t>L</t>
  </si>
  <si>
    <t>Orders due today / overdue, planned production, actual output, rejection, dispatch, manpower.</t>
  </si>
  <si>
    <t>Partially Dispatched</t>
  </si>
  <si>
    <t>Adjustment In</t>
  </si>
  <si>
    <t>DAY</t>
  </si>
  <si>
    <t>Cancelled</t>
  </si>
  <si>
    <t>Dispatched</t>
  </si>
  <si>
    <t>MORNING CHECK</t>
  </si>
  <si>
    <t>Adjustment Out</t>
  </si>
  <si>
    <t>Month Start</t>
  </si>
  <si>
    <t>HOUR</t>
  </si>
  <si>
    <t>Closed</t>
  </si>
  <si>
    <t>Run day-to-day operations in one workbook and preserve a structure that can later be converted to an application.</t>
  </si>
  <si>
    <t>Customer Return</t>
  </si>
  <si>
    <t>Source of truth</t>
  </si>
  <si>
    <t>Vendor Return</t>
  </si>
  <si>
    <t>Material readiness, open orders, machine status, manpower and QC holds.</t>
  </si>
  <si>
    <t>Enflow_Business_OS_Master_Database_v2.docx — Version 2.0 dated 22-Sep-2026.</t>
  </si>
  <si>
    <t>SYSTEM PARAMETERS</t>
  </si>
  <si>
    <t>Design rule</t>
  </si>
  <si>
    <t>END-OF-DAY CHECK</t>
  </si>
  <si>
    <t>Masters are entered once; transactions record what happened; dashboards calculate from transactions.</t>
  </si>
  <si>
    <t>Parameter</t>
  </si>
  <si>
    <t>Production posted, rejection/wastage posted, QC disposition complete, FG receipt posted, dispatch posted, attendance complete.</t>
  </si>
  <si>
    <t>Orders Open</t>
  </si>
  <si>
    <t>Important</t>
  </si>
  <si>
    <t>Value</t>
  </si>
  <si>
    <t>DECISION FLAGS</t>
  </si>
  <si>
    <t>Do not type directly into calculated stock/KPI cells. Use transaction sheets.</t>
  </si>
  <si>
    <t>Low stock, delayed orders, production gap, repeated defects, breakdowns, pending approvals.</t>
  </si>
  <si>
    <t>Source / Note</t>
  </si>
  <si>
    <t>Core flow</t>
  </si>
  <si>
    <t>Orders Due / Open</t>
  </si>
  <si>
    <t>Suggested daily sequence</t>
  </si>
  <si>
    <t>Order → Planning → Material → Production → QC → Packing → Dispatch → Invoice/Collection</t>
  </si>
  <si>
    <t>Company Name</t>
  </si>
  <si>
    <t>1. Review Dashboard</t>
  </si>
  <si>
    <t>Production Today</t>
  </si>
  <si>
    <t>2. Check due/open orders</t>
  </si>
  <si>
    <t>Modules included</t>
  </si>
  <si>
    <t>Enflow Sanitary</t>
  </si>
  <si>
    <t>3. Confirm material readiness</t>
  </si>
  <si>
    <t>4. Review production plan</t>
  </si>
  <si>
    <t>Rejection Today</t>
  </si>
  <si>
    <t>5. Record production + QC + wastage</t>
  </si>
  <si>
    <t>Dashboard, Daily Control, Orders, Planning, Production, Inventory, QC, Wastage, Purchasing, Dispatch, Attendance, Maintenance, Complaints, Masters, BOM, Lists &amp; KPI</t>
  </si>
  <si>
    <t>6. Confirm FG availability</t>
  </si>
  <si>
    <t>7. Prepare/approve dispatch</t>
  </si>
  <si>
    <t>Confirmed in source</t>
  </si>
  <si>
    <t>App-readiness</t>
  </si>
  <si>
    <t>8. Close attendance and daily exceptions</t>
  </si>
  <si>
    <t>Every transaction has an ID, date, status and responsible/approval fields where relevant.</t>
  </si>
  <si>
    <t>Factory Location</t>
  </si>
  <si>
    <t>Anekal 562106</t>
  </si>
  <si>
    <t>Unresolved data</t>
  </si>
  <si>
    <t>Use TO BE DEFINED rather than guessing. Complete the Setup/Lists sheet before live use.</t>
  </si>
  <si>
    <t>Production Target - Without Cover</t>
  </si>
  <si>
    <t>pcs/day</t>
  </si>
  <si>
    <t>Production Target - With Cover</t>
  </si>
  <si>
    <t>Production Labour Rate</t>
  </si>
  <si>
    <t>₹/day/person</t>
  </si>
  <si>
    <t>Overtime Rate</t>
  </si>
  <si>
    <t>Source says ₹100 extra when OT is worked; exact basis TO BE DEFINED</t>
  </si>
  <si>
    <t>Assembly Scrap Reference Min</t>
  </si>
  <si>
    <t>Source estimate 1–2%</t>
  </si>
  <si>
    <t>Assembly Scrap Reference Max</t>
  </si>
  <si>
    <t>On-Time Delivery Target</t>
  </si>
  <si>
    <t>Source KPI</t>
  </si>
  <si>
    <t>Overall Rejection Target</t>
  </si>
  <si>
    <t>Inventory Accuracy Target</t>
  </si>
  <si>
    <t>Dispatch Today</t>
  </si>
  <si>
    <t>Production Achievement Target</t>
  </si>
  <si>
    <t>Wastage Today</t>
  </si>
  <si>
    <t>Open Complaints</t>
  </si>
  <si>
    <t>Low Stock Items</t>
  </si>
  <si>
    <t>First Pass Yield Target</t>
  </si>
  <si>
    <t>Machine Utilization Target</t>
  </si>
  <si>
    <t>On-Time Dispatch Target</t>
  </si>
  <si>
    <t>OPERATING KPIs</t>
  </si>
  <si>
    <t>DECISION SUPPORT / ALERTS</t>
  </si>
  <si>
    <t>Alert</t>
  </si>
  <si>
    <t>Meaning</t>
  </si>
  <si>
    <t>Source Target</t>
  </si>
  <si>
    <t>Orders due</t>
  </si>
  <si>
    <t>Open orders with required date &lt;= dashboard date</t>
  </si>
  <si>
    <t>Material shortage</t>
  </si>
  <si>
    <t>Inventory current stock &lt;= reorder point</t>
  </si>
  <si>
    <t>QC hold</t>
  </si>
  <si>
    <t>QC records with Pending/Fail result</t>
  </si>
  <si>
    <t>Production gap</t>
  </si>
  <si>
    <t>Planned qty &gt; actual output</t>
  </si>
  <si>
    <t>Dispatch pending</t>
  </si>
  <si>
    <t>Approved orders not yet dispatched</t>
  </si>
  <si>
    <t>Complaint overdue</t>
  </si>
  <si>
    <t>Target closure date passed and status not Closed</t>
  </si>
  <si>
    <t>CUSTOMER MASTER</t>
  </si>
  <si>
    <t>One row per customer. Add customer-specific credit and freight rules here.</t>
  </si>
  <si>
    <t>Customer ID</t>
  </si>
  <si>
    <t>VENDOR MASTER</t>
  </si>
  <si>
    <t>Customer Name</t>
  </si>
  <si>
    <t>Vendor-specific MOQ, lead time, payment terms and performance are stored here.</t>
  </si>
  <si>
    <t>Customer Type</t>
  </si>
  <si>
    <t>Vendor ID</t>
  </si>
  <si>
    <t>GSTIN</t>
  </si>
  <si>
    <t>Credit Terms Days</t>
  </si>
  <si>
    <t>Vendor Name</t>
  </si>
  <si>
    <t>Material Category</t>
  </si>
  <si>
    <t>MOQ</t>
  </si>
  <si>
    <t>Freight Rule</t>
  </si>
  <si>
    <t>Lead Time Days</t>
  </si>
  <si>
    <t>Active</t>
  </si>
  <si>
    <t>Payment Terms</t>
  </si>
  <si>
    <t>Notes</t>
  </si>
  <si>
    <t>Approved Status</t>
  </si>
  <si>
    <t>Created At</t>
  </si>
  <si>
    <t>Contact</t>
  </si>
  <si>
    <t>Updated At</t>
  </si>
  <si>
    <t>GST/Tax Details</t>
  </si>
  <si>
    <t>PRODUCT / SKU MASTER</t>
  </si>
  <si>
    <t>Normalize size, diameter, nut variant, brand and packaging instead of using one long product description.</t>
  </si>
  <si>
    <t>SKU</t>
  </si>
  <si>
    <t>Product Family</t>
  </si>
  <si>
    <t>Brand ID</t>
  </si>
  <si>
    <t>Diameter mm</t>
  </si>
  <si>
    <t>Nut Variant</t>
  </si>
  <si>
    <t>Length Value</t>
  </si>
  <si>
    <t>Length UOM</t>
  </si>
  <si>
    <t>MRP</t>
  </si>
  <si>
    <t>Standard Weight</t>
  </si>
  <si>
    <t>Packaging ID</t>
  </si>
  <si>
    <t>Barcode</t>
  </si>
  <si>
    <t>Process Route</t>
  </si>
  <si>
    <t>SKU-TBD</t>
  </si>
  <si>
    <t>PTMT connection pipe</t>
  </si>
  <si>
    <t>MATERIAL MASTER</t>
  </si>
  <si>
    <t>BR-ENFLOW</t>
  </si>
  <si>
    <t>Raw materials, components, packaging and semi-finished pipe are separate stockable items.</t>
  </si>
  <si>
    <t>Round</t>
  </si>
  <si>
    <t>Material ID</t>
  </si>
  <si>
    <t>IN</t>
  </si>
  <si>
    <t>Material Group</t>
  </si>
  <si>
    <t>TO BE DEFINED</t>
  </si>
  <si>
    <t>Material Name</t>
  </si>
  <si>
    <t>Variant</t>
  </si>
  <si>
    <t>Assembly + Packing</t>
  </si>
  <si>
    <t>Starter row; final SKU structure TO BE DEFINED</t>
  </si>
  <si>
    <t>Reorder Point</t>
  </si>
  <si>
    <t>Safety Stock</t>
  </si>
  <si>
    <t>Preferred Vendor ID</t>
  </si>
  <si>
    <t>Hex</t>
  </si>
  <si>
    <t>EMPLOYEE MASTER</t>
  </si>
  <si>
    <t>MAT-13-RN</t>
  </si>
  <si>
    <t>Employee records support attendance, production responsibility and labour costing.</t>
  </si>
  <si>
    <t>13 mm components</t>
  </si>
  <si>
    <t>Employee ID</t>
  </si>
  <si>
    <t>Nut</t>
  </si>
  <si>
    <t>Employee Name</t>
  </si>
  <si>
    <t>MACHINE / WORK CENTRE MASTER</t>
  </si>
  <si>
    <t>Role</t>
  </si>
  <si>
    <t>Department</t>
  </si>
  <si>
    <t>Production planning requires actual machine/work-centre list and capacity; currently TO BE DEFINED.</t>
  </si>
  <si>
    <t>Joining Date</t>
  </si>
  <si>
    <t>Daily Labour Rate</t>
  </si>
  <si>
    <t>Machine ID</t>
  </si>
  <si>
    <t>Example only; final SKU structure TO BE DEFINED</t>
  </si>
  <si>
    <t>OT Rate</t>
  </si>
  <si>
    <t>Machine / Work Centre</t>
  </si>
  <si>
    <t>Process</t>
  </si>
  <si>
    <t>Capacity Per Day</t>
  </si>
  <si>
    <t>EMP-TBD</t>
  </si>
  <si>
    <t>Capacity UOM</t>
  </si>
  <si>
    <t>Shivakumar</t>
  </si>
  <si>
    <t>Available Hours/Day</t>
  </si>
  <si>
    <t>Operations Coordinator</t>
  </si>
  <si>
    <t>MAT-13-HN</t>
  </si>
  <si>
    <t>Operations</t>
  </si>
  <si>
    <t>Attendance, production, QC entries, inventory transactions, dispatch preparation and daily reporting</t>
  </si>
  <si>
    <t>Taha</t>
  </si>
  <si>
    <t>Manager</t>
  </si>
  <si>
    <t>Management</t>
  </si>
  <si>
    <t>Orders, priority, dispatch approval, QC approval, customer communication and planning</t>
  </si>
  <si>
    <t>MAT-13-CAP</t>
  </si>
  <si>
    <t>Cap</t>
  </si>
  <si>
    <t>Common</t>
  </si>
  <si>
    <t>MAT-13-IN</t>
  </si>
  <si>
    <t>Inner</t>
  </si>
  <si>
    <t>MAT-13-KEY</t>
  </si>
  <si>
    <t>Key</t>
  </si>
  <si>
    <t>MAT-13-WASH</t>
  </si>
  <si>
    <t>Washer</t>
  </si>
  <si>
    <t>MAT-COV-3X21</t>
  </si>
  <si>
    <t>Covers</t>
  </si>
  <si>
    <t>Cover</t>
  </si>
  <si>
    <t>3×21</t>
  </si>
  <si>
    <t>MAT-COV-3X26</t>
  </si>
  <si>
    <t>3×26</t>
  </si>
  <si>
    <t>MAT-COV-8X10</t>
  </si>
  <si>
    <t>8×10</t>
  </si>
  <si>
    <t>BRAND MASTER</t>
  </si>
  <si>
    <t>Source identifies Enflow and OEM/contract manufacturing.</t>
  </si>
  <si>
    <t>Brand Name</t>
  </si>
  <si>
    <t>MAT-PIPE-13</t>
  </si>
  <si>
    <t>Pipe</t>
  </si>
  <si>
    <t>Enflow</t>
  </si>
  <si>
    <t>13 mm non-braider</t>
  </si>
  <si>
    <t>BR-OEM-TBD</t>
  </si>
  <si>
    <t>OEM brand list to be completed</t>
  </si>
  <si>
    <t>MAT-PIPE-135</t>
  </si>
  <si>
    <t>13.5 mm braider</t>
  </si>
  <si>
    <t>BOM / PRODUCT COMPOSITION</t>
  </si>
  <si>
    <t>Use one row per parent-component relationship. Exact SKU-level BOM still needs completion.</t>
  </si>
  <si>
    <t>BOM ID</t>
  </si>
  <si>
    <t>Parent SKU</t>
  </si>
  <si>
    <t>Component ID</t>
  </si>
  <si>
    <t>Component Name</t>
  </si>
  <si>
    <t>Qty Per Finished Unit</t>
  </si>
  <si>
    <t>Variant Rule</t>
  </si>
  <si>
    <t>Effective From</t>
  </si>
  <si>
    <t>BOM-TBD</t>
  </si>
  <si>
    <t>Nut Set - Round</t>
  </si>
  <si>
    <t>13 mm Round / 13.5 mm Round</t>
  </si>
  <si>
    <t>Source says 1 nut set per finished pipe</t>
  </si>
  <si>
    <t>Size-specific</t>
  </si>
  <si>
    <t>SALES ORDERS</t>
  </si>
  <si>
    <t>Controlled order record. WhatsApp may communicate an order, but this sheet becomes the system record.</t>
  </si>
  <si>
    <t>Order ID</t>
  </si>
  <si>
    <t>Order Date</t>
  </si>
  <si>
    <t>MAT-LABEL-TBD</t>
  </si>
  <si>
    <t>Label</t>
  </si>
  <si>
    <t>Customer PO No</t>
  </si>
  <si>
    <t>PO Date</t>
  </si>
  <si>
    <t>Qty Ordered</t>
  </si>
  <si>
    <t>Label master needs completion</t>
  </si>
  <si>
    <t>Required Date</t>
  </si>
  <si>
    <t>MAT-PIPE-TBD</t>
  </si>
  <si>
    <t>Approved By</t>
  </si>
  <si>
    <t>Approved At</t>
  </si>
  <si>
    <t>Pipe component</t>
  </si>
  <si>
    <t>PRODUCTION PLAN</t>
  </si>
  <si>
    <t>Converts approved orders into planned work. Due date drives priority.</t>
  </si>
  <si>
    <t>Plan ID</t>
  </si>
  <si>
    <t>Plan Date</t>
  </si>
  <si>
    <t>Qty Planned</t>
  </si>
  <si>
    <t>Planned Start</t>
  </si>
  <si>
    <t>Planned End</t>
  </si>
  <si>
    <t>Manpower Planned</t>
  </si>
  <si>
    <t>Material Ready</t>
  </si>
  <si>
    <t>Planner</t>
  </si>
  <si>
    <t>DAILY PRODUCTION</t>
  </si>
  <si>
    <t>Capture actual shop-floor execution. Required operational fields are based directly on the source process model.</t>
  </si>
  <si>
    <t>Job ID</t>
  </si>
  <si>
    <t>INVENTORY TRANSACTION LEDGER</t>
  </si>
  <si>
    <t>Production Date</t>
  </si>
  <si>
    <t>Stock changes only through transactions. Do not directly edit stock balances.</t>
  </si>
  <si>
    <t>Txn ID</t>
  </si>
  <si>
    <t>Txn Date</t>
  </si>
  <si>
    <t>Process Step</t>
  </si>
  <si>
    <t>Txn Type</t>
  </si>
  <si>
    <t>Item ID</t>
  </si>
  <si>
    <t>Operator ID</t>
  </si>
  <si>
    <t>Item Description</t>
  </si>
  <si>
    <t>Input Qty</t>
  </si>
  <si>
    <t>Output Qty</t>
  </si>
  <si>
    <t>Qty In</t>
  </si>
  <si>
    <t>Rejection Qty</t>
  </si>
  <si>
    <t>Qty Out</t>
  </si>
  <si>
    <t>Rework Qty</t>
  </si>
  <si>
    <t>Reference ID</t>
  </si>
  <si>
    <t>Start Time</t>
  </si>
  <si>
    <t>End Time</t>
  </si>
  <si>
    <t>Downtime Min</t>
  </si>
  <si>
    <t>Order/Job ID</t>
  </si>
  <si>
    <t>QC Status</t>
  </si>
  <si>
    <t>Vendor/Customer ID</t>
  </si>
  <si>
    <t>Defect Code</t>
  </si>
  <si>
    <t>Remarks</t>
  </si>
  <si>
    <t>Location</t>
  </si>
  <si>
    <t>Entered By</t>
  </si>
  <si>
    <t>Reason</t>
  </si>
  <si>
    <t>LIVE STOCK SUMMARY</t>
  </si>
  <si>
    <t>Total In</t>
  </si>
  <si>
    <t>Total Out</t>
  </si>
  <si>
    <t>Current Stock</t>
  </si>
  <si>
    <t>QUALITY CONTROL</t>
  </si>
  <si>
    <t>Incoming, in-process, final and dispatch inspection records. Rejected FG must not become available stock until disposition.</t>
  </si>
  <si>
    <t>QC ID</t>
  </si>
  <si>
    <t>QC Date</t>
  </si>
  <si>
    <t>Stage</t>
  </si>
  <si>
    <t>Job/Order ID</t>
  </si>
  <si>
    <t>SKU/Item ID</t>
  </si>
  <si>
    <t>Supplier/Customer</t>
  </si>
  <si>
    <t>Lot/Batch</t>
  </si>
  <si>
    <t>Sample Qty</t>
  </si>
  <si>
    <t>Inspected Qty</t>
  </si>
  <si>
    <t>Accepted Qty</t>
  </si>
  <si>
    <t>Rejected Qty</t>
  </si>
  <si>
    <t>Result</t>
  </si>
  <si>
    <t>Severity</t>
  </si>
  <si>
    <t>Cause</t>
  </si>
  <si>
    <t>Corrective Action</t>
  </si>
  <si>
    <t>Disposition</t>
  </si>
  <si>
    <t>WASTAGE / SCRAP / REWORK</t>
  </si>
  <si>
    <t>Separate wastage data so material loss, production rejection and rework can be analyzed by cause.</t>
  </si>
  <si>
    <t>Wastage ID</t>
  </si>
  <si>
    <t>Date</t>
  </si>
  <si>
    <t>Item/SKU</t>
  </si>
  <si>
    <t>Qty</t>
  </si>
  <si>
    <t>Wastage Type</t>
  </si>
  <si>
    <t>Defect/Reason</t>
  </si>
  <si>
    <t>Estimated Value</t>
  </si>
  <si>
    <t>Responsible</t>
  </si>
  <si>
    <t>PURCHASING</t>
  </si>
  <si>
    <t>Purchase request/order/receipt reference. Vendor-specific MOQ, lead time and payment terms come from Vendor Master.</t>
  </si>
  <si>
    <t>PO ID</t>
  </si>
  <si>
    <t>Rate</t>
  </si>
  <si>
    <t>Expected Date</t>
  </si>
  <si>
    <t>Qty Received</t>
  </si>
  <si>
    <t>Pending Qty</t>
  </si>
  <si>
    <t>PO Status</t>
  </si>
  <si>
    <t>PACKING &amp; DISPATCH</t>
  </si>
  <si>
    <t>Dispatch control linked to orders. Capture transporter/LR and dispatch approval.</t>
  </si>
  <si>
    <t>Dispatch ID</t>
  </si>
  <si>
    <t>Dispatch Date</t>
  </si>
  <si>
    <t>Packing Checked</t>
  </si>
  <si>
    <t>QC Checked</t>
  </si>
  <si>
    <t>Transporter</t>
  </si>
  <si>
    <t>LR/Reference</t>
  </si>
  <si>
    <t>Vehicle No</t>
  </si>
  <si>
    <t>Dispatch Status</t>
  </si>
  <si>
    <t>Invoice Ref</t>
  </si>
  <si>
    <t>Expected Delivery</t>
  </si>
  <si>
    <t>Actual Delivery</t>
  </si>
  <si>
    <t>On Time</t>
  </si>
  <si>
    <t>ATTENDANCE &amp; OVERTIME</t>
  </si>
  <si>
    <t>Daily attendance is the source for manpower and labour productivity.</t>
  </si>
  <si>
    <t>Attendance ID</t>
  </si>
  <si>
    <t>In Time</t>
  </si>
  <si>
    <t>Out Time</t>
  </si>
  <si>
    <t>OT Hours</t>
  </si>
  <si>
    <t>OT Approved</t>
  </si>
  <si>
    <t>OT Amount</t>
  </si>
  <si>
    <t>MACHINE MAINTENANCE</t>
  </si>
  <si>
    <t>Capture downtime, breakdowns and preventive maintenance for machine utilization.</t>
  </si>
  <si>
    <t>Maintenance ID</t>
  </si>
  <si>
    <t>Type</t>
  </si>
  <si>
    <t>Issue/Work</t>
  </si>
  <si>
    <t>Root Cause</t>
  </si>
  <si>
    <t>Action</t>
  </si>
  <si>
    <t>Spare Used</t>
  </si>
  <si>
    <t>Cost</t>
  </si>
  <si>
    <t>Next PM Date</t>
  </si>
  <si>
    <t>CUSTOMER COMPLAINTS &amp; RETURNS</t>
  </si>
  <si>
    <t>Track issue, RCA, corrective action and closure.</t>
  </si>
  <si>
    <t>Complaint ID</t>
  </si>
  <si>
    <t>Issue Category</t>
  </si>
  <si>
    <t>Description</t>
  </si>
  <si>
    <t>Target Closure</t>
  </si>
  <si>
    <t>Actual Closure</t>
  </si>
  <si>
    <t>Return Qty</t>
  </si>
  <si>
    <t>KPI DICTIONARY</t>
  </si>
  <si>
    <t>Definitions are taken from the source database. Dashboard formulas use transaction data where possible.</t>
  </si>
  <si>
    <t>KPI</t>
  </si>
  <si>
    <t>Target</t>
  </si>
  <si>
    <t>Frequency</t>
  </si>
  <si>
    <t>Source Module</t>
  </si>
  <si>
    <t>Owner</t>
  </si>
  <si>
    <t>Sales Achievement</t>
  </si>
  <si>
    <t>Actual Sales ÷ Target Sales</t>
  </si>
  <si>
    <t>&gt;=100%</t>
  </si>
  <si>
    <t>Monthly</t>
  </si>
  <si>
    <t>Finance / Sales</t>
  </si>
  <si>
    <t>Defined</t>
  </si>
  <si>
    <t>Gross Profit Margin</t>
  </si>
  <si>
    <t>Gross Profit ÷ Sales</t>
  </si>
  <si>
    <t>&gt;=20%*</t>
  </si>
  <si>
    <t>Finance</t>
  </si>
  <si>
    <t>Target changeable based on actual costing</t>
  </si>
  <si>
    <t>On-Time Delivery</t>
  </si>
  <si>
    <t>Orders delivered on time ÷ total orders</t>
  </si>
  <si>
    <t>&gt;=95%</t>
  </si>
  <si>
    <t>Orders / Dispatch</t>
  </si>
  <si>
    <t>Production Achievement</t>
  </si>
  <si>
    <t>Actual ÷ Planned ×100</t>
  </si>
  <si>
    <t>Weekly</t>
  </si>
  <si>
    <t>Planning / Production</t>
  </si>
  <si>
    <t>Production</t>
  </si>
  <si>
    <t>Overall Rejection</t>
  </si>
  <si>
    <t>Rejected pcs ÷ total production</t>
  </si>
  <si>
    <t>&lt;=2%</t>
  </si>
  <si>
    <t>Production / QC</t>
  </si>
  <si>
    <t>QC</t>
  </si>
  <si>
    <t>Customer Complaints</t>
  </si>
  <si>
    <t>Valid complaints/month</t>
  </si>
  <si>
    <t>&lt;=2</t>
  </si>
  <si>
    <t>Complaints</t>
  </si>
  <si>
    <t>Receivable Days</t>
  </si>
  <si>
    <t>Outstanding ÷ average daily sales</t>
  </si>
  <si>
    <t>Within agreed credit</t>
  </si>
  <si>
    <t>Inventory Accuracy</t>
  </si>
  <si>
    <t>Physical vs system stock</t>
  </si>
  <si>
    <t>&gt;=98%</t>
  </si>
  <si>
    <t>Inventory</t>
  </si>
  <si>
    <t>Store</t>
  </si>
  <si>
    <t>Production Efficiency</t>
  </si>
  <si>
    <t>Actual output ÷ standard output ×100</t>
  </si>
  <si>
    <t>&gt;=90%</t>
  </si>
  <si>
    <t>Rework Rate</t>
  </si>
  <si>
    <t>Rework qty ÷ production ×100</t>
  </si>
  <si>
    <t>Machine Utilization</t>
  </si>
  <si>
    <t>Running hours ÷ available hours ×100</t>
  </si>
  <si>
    <t>&gt;=85%</t>
  </si>
  <si>
    <t>Production / Maintenance</t>
  </si>
  <si>
    <t>Unplanned Downtime</t>
  </si>
  <si>
    <t>Downtime ÷ available hours ×100</t>
  </si>
  <si>
    <t>&lt;=5%</t>
  </si>
  <si>
    <t>Maintenance</t>
  </si>
  <si>
    <t>First Pass Yield</t>
  </si>
  <si>
    <t>First-pass accepted qty ÷ inspected qty</t>
  </si>
  <si>
    <t>Leakage</t>
  </si>
  <si>
    <t>Leakage failures ÷ tested qty</t>
  </si>
  <si>
    <t>&lt;=0.5%</t>
  </si>
  <si>
    <t>Material On-Time Delivery</t>
  </si>
  <si>
    <t>On-time receipts ÷ total receipts</t>
  </si>
  <si>
    <t>Purchase</t>
  </si>
  <si>
    <t>Purchasing</t>
  </si>
  <si>
    <t>Supplier Quality Acceptance</t>
  </si>
  <si>
    <t>Accepted qty ÷ received/inspected qty</t>
  </si>
  <si>
    <t>Purchasing / QC</t>
  </si>
  <si>
    <t>Stock Accuracy</t>
  </si>
  <si>
    <t>On-Time Dispatch</t>
  </si>
  <si>
    <t>On-time dispatches ÷ dispatches</t>
  </si>
  <si>
    <t>Dispatch</t>
  </si>
  <si>
    <t>Dispatch Accuracy</t>
  </si>
  <si>
    <t>Correct dispatches ÷ dispatches</t>
  </si>
  <si>
    <t>100%</t>
  </si>
  <si>
    <t>Collection Achievement</t>
  </si>
  <si>
    <t>Collected ÷ due/target collection</t>
  </si>
  <si>
    <t>Machine Availability</t>
  </si>
  <si>
    <t>Available/running basis to be standardized</t>
  </si>
  <si>
    <t>Needs definition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</si>
</sst>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.0%"/>
  </numFmts>
  <fonts count="10">
    <font>
      <sz val="11.0"/>
      <color theme="1"/>
      <name val="Calibri"/>
      <scheme val="minor"/>
    </font>
    <font>
      <b/>
      <sz val="16.0"/>
      <color rgb="FF1F1F1F"/>
      <name val="Calibri"/>
      <scheme val="minor"/>
    </font>
    <font>
      <i/>
      <color rgb="FF666666"/>
      <name val="Calibri"/>
      <scheme val="minor"/>
    </font>
    <font>
      <b/>
      <color rgb="FFFFFFFF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/>
    <font>
      <b/>
      <sz val="18.0"/>
      <color theme="1"/>
      <name val="Calibri"/>
      <scheme val="minor"/>
    </font>
    <font>
      <b/>
      <sz val="13.0"/>
      <color theme="1"/>
      <name val="Calibri"/>
      <scheme val="minor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D9EAF7"/>
        <bgColor rgb="FFD9EAF7"/>
      </patternFill>
    </fill>
    <fill>
      <patternFill patternType="solid">
        <fgColor rgb="FFE2F0D9"/>
        <bgColor rgb="FFE2F0D9"/>
      </patternFill>
    </fill>
  </fills>
  <borders count="11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top/>
      <bottom/>
    </border>
    <border>
      <right/>
      <top/>
      <bottom/>
    </border>
    <border>
      <left/>
      <top/>
    </border>
    <border>
      <right/>
      <top/>
    </border>
    <border>
      <left/>
      <right/>
      <top/>
    </border>
    <border>
      <left/>
      <bottom/>
    </border>
    <border>
      <right/>
      <bottom/>
    </border>
    <border>
      <left/>
      <right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1" fillId="2" fontId="3" numFmtId="0" xfId="0" applyAlignment="1" applyBorder="1" applyFill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1" fillId="3" fontId="5" numFmtId="164" xfId="0" applyAlignment="1" applyBorder="1" applyFill="1" applyFont="1" applyNumberFormat="1">
      <alignment shrinkToFit="0" vertical="top" wrapText="1"/>
    </xf>
    <xf borderId="2" fillId="2" fontId="3" numFmtId="0" xfId="0" applyAlignment="1" applyBorder="1" applyFill="1" applyFont="1">
      <alignment horizontal="left" readingOrder="0" shrinkToFit="0" vertical="top" wrapText="1"/>
    </xf>
    <xf borderId="2" fillId="0" fontId="5" numFmtId="0" xfId="0" applyAlignment="1" applyBorder="1" applyFont="1">
      <alignment shrinkToFit="0" vertical="top" wrapText="1"/>
    </xf>
    <xf borderId="0" fillId="0" fontId="5" numFmtId="164" xfId="0" applyAlignment="1" applyFont="1" applyNumberFormat="1">
      <alignment shrinkToFit="0" vertical="top" wrapText="1"/>
    </xf>
    <xf borderId="3" fillId="4" fontId="4" numFmtId="0" xfId="0" applyAlignment="1" applyBorder="1" applyFill="1" applyFont="1">
      <alignment shrinkToFit="0" vertical="top" wrapText="1"/>
    </xf>
    <xf borderId="4" fillId="0" fontId="6" numFmtId="0" xfId="0" applyBorder="1" applyFont="1"/>
    <xf borderId="1" fillId="4" fontId="4" numFmtId="0" xfId="0" applyAlignment="1" applyBorder="1" applyFill="1" applyFont="1">
      <alignment shrinkToFit="0" vertical="top" wrapText="1"/>
    </xf>
    <xf borderId="2" fillId="3" fontId="5" numFmtId="0" xfId="0" applyAlignment="1" applyBorder="1" applyFill="1" applyFont="1">
      <alignment shrinkToFit="0" vertical="top" wrapText="1"/>
    </xf>
    <xf borderId="5" fillId="5" fontId="7" numFmtId="0" xfId="0" applyAlignment="1" applyBorder="1" applyFill="1" applyFont="1">
      <alignment shrinkToFit="0" vertical="top" wrapText="1"/>
    </xf>
    <xf borderId="6" fillId="0" fontId="6" numFmtId="0" xfId="0" applyBorder="1" applyFont="1"/>
    <xf borderId="7" fillId="5" fontId="7" numFmtId="0" xfId="0" applyAlignment="1" applyBorder="1" applyFill="1" applyFont="1">
      <alignment shrinkToFit="0" vertical="top" wrapText="1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" fillId="3" fontId="5" numFmtId="0" xfId="0" applyBorder="1" applyFill="1" applyFont="1"/>
    <xf borderId="0" fillId="0" fontId="8" numFmtId="0" xfId="0" applyAlignment="1" applyFont="1">
      <alignment shrinkToFit="0" vertical="top" wrapText="1"/>
    </xf>
    <xf borderId="2" fillId="2" fontId="3" numFmtId="0" xfId="0" applyAlignment="1" applyBorder="1" applyFill="1" applyFont="1">
      <alignment shrinkToFit="0" vertical="top" wrapText="1"/>
    </xf>
    <xf borderId="2" fillId="0" fontId="5" numFmtId="0" xfId="0" applyAlignment="1" applyBorder="1" applyFont="1">
      <alignment shrinkToFit="0" vertical="top" wrapText="1"/>
    </xf>
    <xf borderId="2" fillId="0" fontId="5" numFmtId="165" xfId="0" applyAlignment="1" applyBorder="1" applyFont="1" applyNumberFormat="1">
      <alignment shrinkToFit="0" vertical="top" wrapText="1"/>
    </xf>
    <xf borderId="0" fillId="0" fontId="5" numFmtId="164" xfId="0" applyAlignment="1" applyFont="1" applyNumberFormat="1">
      <alignment shrinkToFit="0" vertical="center" wrapText="0"/>
    </xf>
    <xf borderId="0" fillId="0" fontId="5" numFmtId="164" xfId="0" applyFont="1" applyNumberFormat="1"/>
    <xf borderId="0" fillId="0" fontId="9" numFmtId="0" xfId="0" applyAlignment="1" applyFont="1">
      <alignment shrinkToFit="0" vertical="center" wrapText="0"/>
    </xf>
    <xf borderId="0" fillId="0" fontId="9" numFmtId="0" xfId="0" applyFont="1"/>
    <xf borderId="0" fillId="0" fontId="5" numFmtId="0" xfId="0" applyAlignment="1" applyFont="1">
      <alignment shrinkToFit="0" vertical="top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F4CCCC"/>
          <bgColor rgb="FFF4CCCC"/>
        </patternFill>
      </fill>
      <border/>
    </dxf>
  </dxfs>
  <tableStyles count="25">
    <tableStyle count="3" pivot="0" name="01_Dashboard-style">
      <tableStyleElement dxfId="1" type="headerRow"/>
      <tableStyleElement dxfId="2" type="firstRowStripe"/>
      <tableStyleElement dxfId="3" type="secondRowStripe"/>
    </tableStyle>
    <tableStyle count="4" pivot="0" name="99_Lists_Setting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01_Dashboard-style 2">
      <tableStyleElement dxfId="1" type="headerRow"/>
      <tableStyleElement dxfId="2" type="firstRowStripe"/>
      <tableStyleElement dxfId="3" type="secondRowStripe"/>
    </tableStyle>
    <tableStyle count="4" pivot="0" name="00_Start_He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2_Daily_Contro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0_Master_Custom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1_Master_Vendo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2_Master_Produc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3_Master_Materia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4_Master_Employe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5_Master_Machin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6_Master_Brand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7_BO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_Ord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1_Production_Pl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2_Production_Dail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3_Inventory_Ledg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4_Q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5_Wastag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6_Purchas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7_Dispatc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8_Attendan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9_Maintenan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0_Complai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0_KPI_Defini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customschemas.google.com/relationships/workbookmetadata" Target="metadata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7:B23" displayName="Table_1" name="Table_1" id="1">
  <tableColumns count="2">
    <tableColumn name="Alert" id="1"/>
    <tableColumn name="Meaning" id="2"/>
  </tableColumns>
  <tableStyleInfo name="01_Dashboard-style" showColumnStripes="0" showFirstColumn="1" showLastColumn="1" showRowStripes="1"/>
</table>
</file>

<file path=xl/tables/table2.xml><?xml version="1.0" encoding="utf-8"?>
<table xmlns="http://schemas.openxmlformats.org/spreadsheetml/2006/main" ref="A17:C23" displayName="Table_2" name="Table_2" id="5">
  <tableColumns count="3">
    <tableColumn name="Alert" id="1"/>
    <tableColumn name="Meaning" id="2"/>
    <tableColumn name="Source Target" id="3"/>
  </tableColumns>
  <tableStyleInfo name="01_Dashboard-style 2" showColumnStripes="0" showFirstColumn="1" showLastColumn="1" showRowStripes="1"/>
</table>
</file>

<file path=xl/tables/table3.xml><?xml version="1.0" encoding="utf-8"?>
<table xmlns="http://schemas.openxmlformats.org/spreadsheetml/2006/main" ref="A4:B8" displayName="DailyControl" name="DailyControl" id="2">
  <tableColumns count="2">
    <tableColumn name="Control Area" id="1"/>
    <tableColumn name="Purpose" id="2"/>
  </tableColumns>
  <tableStyleInfo name="02_Daily_Control-style" showColumnStripes="0" showFirstColumn="1" showLastColumn="1" showRowStripes="1"/>
</table>
</file>

<file path=xl/tables/table4.xml><?xml version="1.0" encoding="utf-8"?>
<table xmlns="http://schemas.openxmlformats.org/spreadsheetml/2006/main" ref="A4:B12" displayName="StartGuide" name="StartGuide" id="4">
  <tableColumns count="2">
    <tableColumn name="Item" id="1"/>
    <tableColumn name="Definition" id="2"/>
  </tableColumns>
  <tableStyleInfo name="00_Start_Here-style" showColumnStripes="0" showFirstColumn="1" showLastColumn="1" showRowStripes="1"/>
</table>
</file>

<file path=xl/tables/table5.xml><?xml version="1.0" encoding="utf-8"?>
<table xmlns="http://schemas.openxmlformats.org/spreadsheetml/2006/main" ref="A23:C38" displayName="SystemParameters" name="SystemParameters" id="3">
  <tableColumns count="3">
    <tableColumn name="Parameter" id="1"/>
    <tableColumn name="Value" id="2"/>
    <tableColumn name="Source / Note" id="3"/>
  </tableColumns>
  <tableStyleInfo name="99_Lists_Settings-style" showColumnStripes="0" showFirstColumn="1" showLastColumn="1" showRowStripes="1"/>
</table>
</file>

<file path=xl/tables/table6.xml><?xml version="1.0" encoding="utf-8"?>
<table xmlns="http://schemas.openxmlformats.org/spreadsheetml/2006/main" ref="A4:J48" displayName="CustomerMaster" name="CustomerMaster" id="6">
  <tableColumns count="10">
    <tableColumn name="Customer ID" id="1"/>
    <tableColumn name="Customer Name" id="2"/>
    <tableColumn name="Customer Type" id="3"/>
    <tableColumn name="GSTIN" id="4"/>
    <tableColumn name="Credit Terms Days" id="5"/>
    <tableColumn name="Freight Rule" id="6"/>
    <tableColumn name="Active" id="7"/>
    <tableColumn name="Notes" id="8"/>
    <tableColumn name="Created At" id="9"/>
    <tableColumn name="Updated At" id="10"/>
  </tableColumns>
  <tableStyleInfo name="10_Master_Customers-style" showColumnStripes="0" showFirstColumn="1" showLastColumn="1" showRowStripes="1"/>
</table>
</file>

<file path=xl/tables/table7.xml><?xml version="1.0" encoding="utf-8"?>
<table xmlns="http://schemas.openxmlformats.org/spreadsheetml/2006/main" ref="A4:J5" displayName="VendorMaster" name="VendorMaster" id="7">
  <tableColumns count="10">
    <tableColumn name="Vendor ID" id="1"/>
    <tableColumn name="Vendor Name" id="2"/>
    <tableColumn name="Material Category" id="3"/>
    <tableColumn name="MOQ" id="4"/>
    <tableColumn name="Lead Time Days" id="5"/>
    <tableColumn name="Payment Terms" id="6"/>
    <tableColumn name="Approved Status" id="7"/>
    <tableColumn name="Contact" id="8"/>
    <tableColumn name="GST/Tax Details" id="9"/>
    <tableColumn name="Notes" id="10"/>
  </tableColumns>
  <tableStyleInfo name="11_Master_Vendors-style" showColumnStripes="0" showFirstColumn="1" showLastColumn="1" showRowStripes="1"/>
</table>
</file>

<file path=xl/tables/table8.xml><?xml version="1.0" encoding="utf-8"?>
<table xmlns="http://schemas.openxmlformats.org/spreadsheetml/2006/main" ref="A4:P6" displayName="ProductMaster" name="ProductMaster" id="8">
  <tableColumns count="16">
    <tableColumn name="SKU" id="1"/>
    <tableColumn name="Product Family" id="2"/>
    <tableColumn name="Brand ID" id="3"/>
    <tableColumn name="Brand Type" id="4"/>
    <tableColumn name="Diameter mm" id="5"/>
    <tableColumn name="Nut Variant" id="6"/>
    <tableColumn name="Length Value" id="7"/>
    <tableColumn name="Length UOM" id="8"/>
    <tableColumn name="MRP" id="9"/>
    <tableColumn name="Standard Weight" id="10"/>
    <tableColumn name="Packaging ID" id="11"/>
    <tableColumn name="Barcode" id="12"/>
    <tableColumn name="Process Route" id="13"/>
    <tableColumn name="Work Type" id="14"/>
    <tableColumn name="Active" id="15"/>
    <tableColumn name="Notes" id="16"/>
  </tableColumns>
  <tableStyleInfo name="12_Master_Products-style" showColumnStripes="0" showFirstColumn="1" showLastColumn="1" showRowStripes="1"/>
</table>
</file>

<file path=xl/tables/table9.xml><?xml version="1.0" encoding="utf-8"?>
<table xmlns="http://schemas.openxmlformats.org/spreadsheetml/2006/main" ref="A4:L15" displayName="MaterialMaster" name="MaterialMaster" id="9">
  <tableColumns count="12">
    <tableColumn name="Material ID" id="1"/>
    <tableColumn name="Material Group" id="2"/>
    <tableColumn name="Material Name" id="3"/>
    <tableColumn name="Variant" id="4"/>
    <tableColumn name="UOM" id="5"/>
    <tableColumn name="MOQ" id="6"/>
    <tableColumn name="Lead Time Days" id="7"/>
    <tableColumn name="Reorder Point" id="8"/>
    <tableColumn name="Safety Stock" id="9"/>
    <tableColumn name="Preferred Vendor ID" id="10"/>
    <tableColumn name="Active" id="11"/>
    <tableColumn name="Notes" id="12"/>
  </tableColumns>
  <tableStyleInfo name="13_Master_Materials-style" showColumnStripes="0" showFirstColumn="1" showLastColumn="1" showRowStripes="1"/>
</table>
</file>

<file path=xl/tables/table10.xml><?xml version="1.0" encoding="utf-8"?>
<table xmlns="http://schemas.openxmlformats.org/spreadsheetml/2006/main" ref="A4:I6" displayName="EmployeeMaster" name="EmployeeMaster" id="10">
  <tableColumns count="9">
    <tableColumn name="Employee ID" id="1"/>
    <tableColumn name="Employee Name" id="2"/>
    <tableColumn name="Role" id="3"/>
    <tableColumn name="Department" id="4"/>
    <tableColumn name="Joining Date" id="5"/>
    <tableColumn name="Daily Labour Rate" id="6"/>
    <tableColumn name="OT Rate" id="7"/>
    <tableColumn name="Active" id="8"/>
    <tableColumn name="Notes" id="9"/>
  </tableColumns>
  <tableStyleInfo name="14_Master_Employees-style" showColumnStripes="0" showFirstColumn="1" showLastColumn="1" showRowStripes="1"/>
</table>
</file>

<file path=xl/tables/table11.xml><?xml version="1.0" encoding="utf-8"?>
<table xmlns="http://schemas.openxmlformats.org/spreadsheetml/2006/main" ref="A4:H5" displayName="MachineMaster" name="MachineMaster" id="11">
  <tableColumns count="8">
    <tableColumn name="Machine ID" id="1"/>
    <tableColumn name="Machine / Work Centre" id="2"/>
    <tableColumn name="Process" id="3"/>
    <tableColumn name="Capacity Per Day" id="4"/>
    <tableColumn name="Capacity UOM" id="5"/>
    <tableColumn name="Available Hours/Day" id="6"/>
    <tableColumn name="Active" id="7"/>
    <tableColumn name="Notes" id="8"/>
  </tableColumns>
  <tableStyleInfo name="15_Master_Machines-style" showColumnStripes="0" showFirstColumn="1" showLastColumn="1" showRowStripes="1"/>
</table>
</file>

<file path=xl/tables/table12.xml><?xml version="1.0" encoding="utf-8"?>
<table xmlns="http://schemas.openxmlformats.org/spreadsheetml/2006/main" ref="A4:F6" displayName="BrandMaster" name="BrandMaster" id="12">
  <tableColumns count="6">
    <tableColumn name="Brand ID" id="1"/>
    <tableColumn name="Brand Name" id="2"/>
    <tableColumn name="Brand Type" id="3"/>
    <tableColumn name="Customer ID" id="4"/>
    <tableColumn name="Active" id="5"/>
    <tableColumn name="Notes" id="6"/>
  </tableColumns>
  <tableStyleInfo name="16_Master_Brands-style" showColumnStripes="0" showFirstColumn="1" showLastColumn="1" showRowStripes="1"/>
</table>
</file>

<file path=xl/tables/table13.xml><?xml version="1.0" encoding="utf-8"?>
<table xmlns="http://schemas.openxmlformats.org/spreadsheetml/2006/main" ref="A4:J8" displayName="BOMMaster" name="BOMMaster" id="13">
  <tableColumns count="10">
    <tableColumn name="BOM ID" id="1"/>
    <tableColumn name="Parent SKU" id="2"/>
    <tableColumn name="Component ID" id="3"/>
    <tableColumn name="Component Name" id="4"/>
    <tableColumn name="Qty Per Finished Unit" id="5"/>
    <tableColumn name="UOM" id="6"/>
    <tableColumn name="Variant Rule" id="7"/>
    <tableColumn name="Effective From" id="8"/>
    <tableColumn name="Active" id="9"/>
    <tableColumn name="Notes" id="10"/>
  </tableColumns>
  <tableStyleInfo name="17_BOM-style" showColumnStripes="0" showFirstColumn="1" showLastColumn="1" showRowStripes="1"/>
</table>
</file>

<file path=xl/tables/table14.xml><?xml version="1.0" encoding="utf-8"?>
<table xmlns="http://schemas.openxmlformats.org/spreadsheetml/2006/main" ref="A4:N5" displayName="Orders" name="Orders" id="14">
  <tableColumns count="14">
    <tableColumn name="Order ID" id="1"/>
    <tableColumn name="Order Date" id="2"/>
    <tableColumn name="Customer ID" id="3"/>
    <tableColumn name="Customer PO No" id="4"/>
    <tableColumn name="PO Date" id="5"/>
    <tableColumn name="SKU" id="6"/>
    <tableColumn name="Qty Ordered" id="7"/>
    <tableColumn name="UOM" id="8"/>
    <tableColumn name="Required Date" id="9"/>
    <tableColumn name="Priority" id="10"/>
    <tableColumn name="Status" id="11"/>
    <tableColumn name="Approved By" id="12"/>
    <tableColumn name="Approved At" id="13"/>
    <tableColumn name="Notes" id="14"/>
  </tableColumns>
  <tableStyleInfo name="20_Orders-style" showColumnStripes="0" showFirstColumn="1" showLastColumn="1" showRowStripes="1"/>
</table>
</file>

<file path=xl/tables/table15.xml><?xml version="1.0" encoding="utf-8"?>
<table xmlns="http://schemas.openxmlformats.org/spreadsheetml/2006/main" ref="A4:O5" displayName="ProductionPlan" name="ProductionPlan" id="15">
  <tableColumns count="15">
    <tableColumn name="Plan ID" id="1"/>
    <tableColumn name="Plan Date" id="2"/>
    <tableColumn name="Order ID" id="3"/>
    <tableColumn name="SKU" id="4"/>
    <tableColumn name="Qty Planned" id="5"/>
    <tableColumn name="UOM" id="6"/>
    <tableColumn name="Work Type" id="7"/>
    <tableColumn name="Machine ID" id="8"/>
    <tableColumn name="Planned Start" id="9"/>
    <tableColumn name="Planned End" id="10"/>
    <tableColumn name="Manpower Planned" id="11"/>
    <tableColumn name="Material Ready" id="12"/>
    <tableColumn name="Status" id="13"/>
    <tableColumn name="Planner" id="14"/>
    <tableColumn name="Notes" id="15"/>
  </tableColumns>
  <tableStyleInfo name="21_Production_Plan-style" showColumnStripes="0" showFirstColumn="1" showLastColumn="1" showRowStripes="1"/>
</table>
</file>

<file path=xl/tables/table16.xml><?xml version="1.0" encoding="utf-8"?>
<table xmlns="http://schemas.openxmlformats.org/spreadsheetml/2006/main" ref="A4:U5" displayName="ProductionDaily" name="ProductionDaily" id="16">
  <tableColumns count="21">
    <tableColumn name="Job ID" id="1"/>
    <tableColumn name="Production Date" id="2"/>
    <tableColumn name="Plan ID" id="3"/>
    <tableColumn name="Order ID" id="4"/>
    <tableColumn name="SKU" id="5"/>
    <tableColumn name="Process Step" id="6"/>
    <tableColumn name="Machine ID" id="7"/>
    <tableColumn name="Operator ID" id="8"/>
    <tableColumn name="Work Type" id="9"/>
    <tableColumn name="Input Qty" id="10"/>
    <tableColumn name="Output Qty" id="11"/>
    <tableColumn name="Rejection Qty" id="12"/>
    <tableColumn name="Rework Qty" id="13"/>
    <tableColumn name="Start Time" id="14"/>
    <tableColumn name="End Time" id="15"/>
    <tableColumn name="Downtime Min" id="16"/>
    <tableColumn name="QC Status" id="17"/>
    <tableColumn name="Defect Code" id="18"/>
    <tableColumn name="Remarks" id="19"/>
    <tableColumn name="Entered By" id="20"/>
    <tableColumn name="Approved By" id="21"/>
  </tableColumns>
  <tableStyleInfo name="22_Production_Daily-style" showColumnStripes="0" showFirstColumn="1" showLastColumn="1" showRowStripes="1"/>
</table>
</file>

<file path=xl/tables/table17.xml><?xml version="1.0" encoding="utf-8"?>
<table xmlns="http://schemas.openxmlformats.org/spreadsheetml/2006/main" ref="A4:Q5" displayName="InventoryLedger" name="InventoryLedger" id="17">
  <tableColumns count="17">
    <tableColumn name="Txn ID" id="1"/>
    <tableColumn name="Txn Date" id="2"/>
    <tableColumn name="Txn Type" id="3"/>
    <tableColumn name="Item ID" id="4"/>
    <tableColumn name="Item Description" id="5"/>
    <tableColumn name="UOM" id="6"/>
    <tableColumn name="Qty In" id="7"/>
    <tableColumn name="Qty Out" id="8"/>
    <tableColumn name="Reference ID" id="9"/>
    <tableColumn name="Order/Job ID" id="10"/>
    <tableColumn name="Vendor/Customer ID" id="11"/>
    <tableColumn name="QC Status" id="12"/>
    <tableColumn name="Location" id="13"/>
    <tableColumn name="Reason" id="14"/>
    <tableColumn name="Entered By" id="15"/>
    <tableColumn name="Approved By" id="16"/>
    <tableColumn name="Approval Status" id="17"/>
  </tableColumns>
  <tableStyleInfo name="23_Inventory_Ledger-style" showColumnStripes="0" showFirstColumn="1" showLastColumn="1" showRowStripes="1"/>
</table>
</file>

<file path=xl/tables/table18.xml><?xml version="1.0" encoding="utf-8"?>
<table xmlns="http://schemas.openxmlformats.org/spreadsheetml/2006/main" ref="A4:T5" displayName="QCRecords" name="QCRecords" id="18">
  <tableColumns count="20">
    <tableColumn name="QC ID" id="1"/>
    <tableColumn name="QC Date" id="2"/>
    <tableColumn name="Stage" id="3"/>
    <tableColumn name="Job/Order ID" id="4"/>
    <tableColumn name="SKU/Item ID" id="5"/>
    <tableColumn name="Supplier/Customer" id="6"/>
    <tableColumn name="Lot/Batch" id="7"/>
    <tableColumn name="Sample Qty" id="8"/>
    <tableColumn name="Inspected Qty" id="9"/>
    <tableColumn name="Accepted Qty" id="10"/>
    <tableColumn name="Rejected Qty" id="11"/>
    <tableColumn name="Result" id="12"/>
    <tableColumn name="Defect Code" id="13"/>
    <tableColumn name="Severity" id="14"/>
    <tableColumn name="Cause" id="15"/>
    <tableColumn name="Corrective Action" id="16"/>
    <tableColumn name="Disposition" id="17"/>
    <tableColumn name="Approved By" id="18"/>
    <tableColumn name="Approved At" id="19"/>
    <tableColumn name="Remarks" id="20"/>
  </tableColumns>
  <tableStyleInfo name="24_QC-style" showColumnStripes="0" showFirstColumn="1" showLastColumn="1" showRowStripes="1"/>
</table>
</file>

<file path=xl/tables/table19.xml><?xml version="1.0" encoding="utf-8"?>
<table xmlns="http://schemas.openxmlformats.org/spreadsheetml/2006/main" ref="A4:P5" displayName="Wastage" name="Wastage" id="19">
  <tableColumns count="16">
    <tableColumn name="Wastage ID" id="1"/>
    <tableColumn name="Date" id="2"/>
    <tableColumn name="Job ID" id="3"/>
    <tableColumn name="Order ID" id="4"/>
    <tableColumn name="Item/SKU" id="5"/>
    <tableColumn name="Process" id="6"/>
    <tableColumn name="Qty" id="7"/>
    <tableColumn name="UOM" id="8"/>
    <tableColumn name="Wastage Type" id="9"/>
    <tableColumn name="Defect/Reason" id="10"/>
    <tableColumn name="Cause" id="11"/>
    <tableColumn name="Disposition" id="12"/>
    <tableColumn name="Estimated Value" id="13"/>
    <tableColumn name="Responsible" id="14"/>
    <tableColumn name="Approved By" id="15"/>
    <tableColumn name="Remarks" id="16"/>
  </tableColumns>
  <tableStyleInfo name="25_Wastage-style" showColumnStripes="0" showFirstColumn="1" showLastColumn="1" showRowStripes="1"/>
</table>
</file>

<file path=xl/tables/table20.xml><?xml version="1.0" encoding="utf-8"?>
<table xmlns="http://schemas.openxmlformats.org/spreadsheetml/2006/main" ref="A4:O5" displayName="Purchasing" name="Purchasing" id="20">
  <tableColumns count="15">
    <tableColumn name="PO ID" id="1"/>
    <tableColumn name="PO Date" id="2"/>
    <tableColumn name="Vendor ID" id="3"/>
    <tableColumn name="Material ID" id="4"/>
    <tableColumn name="Qty Ordered" id="5"/>
    <tableColumn name="UOM" id="6"/>
    <tableColumn name="Rate" id="7"/>
    <tableColumn name="Expected Date" id="8"/>
    <tableColumn name="Qty Received" id="9"/>
    <tableColumn name="Pending Qty" id="10"/>
    <tableColumn name="QC Status" id="11"/>
    <tableColumn name="PO Status" id="12"/>
    <tableColumn name="Payment Status" id="13"/>
    <tableColumn name="Approved By" id="14"/>
    <tableColumn name="Notes" id="15"/>
  </tableColumns>
  <tableStyleInfo name="26_Purchasing-style" showColumnStripes="0" showFirstColumn="1" showLastColumn="1" showRowStripes="1"/>
</table>
</file>

<file path=xl/tables/table21.xml><?xml version="1.0" encoding="utf-8"?>
<table xmlns="http://schemas.openxmlformats.org/spreadsheetml/2006/main" ref="A4:S5" displayName="Dispatch" name="Dispatch" id="21">
  <tableColumns count="19">
    <tableColumn name="Dispatch ID" id="1"/>
    <tableColumn name="Dispatch Date" id="2"/>
    <tableColumn name="Order ID" id="3"/>
    <tableColumn name="Customer ID" id="4"/>
    <tableColumn name="SKU" id="5"/>
    <tableColumn name="Qty" id="6"/>
    <tableColumn name="UOM" id="7"/>
    <tableColumn name="Packing Checked" id="8"/>
    <tableColumn name="QC Checked" id="9"/>
    <tableColumn name="Transporter" id="10"/>
    <tableColumn name="LR/Reference" id="11"/>
    <tableColumn name="Vehicle No" id="12"/>
    <tableColumn name="Dispatch Status" id="13"/>
    <tableColumn name="Approved By" id="14"/>
    <tableColumn name="Invoice Ref" id="15"/>
    <tableColumn name="Expected Delivery" id="16"/>
    <tableColumn name="Actual Delivery" id="17"/>
    <tableColumn name="On Time" id="18"/>
    <tableColumn name="Remarks" id="19"/>
  </tableColumns>
  <tableStyleInfo name="27_Dispatch-style" showColumnStripes="0" showFirstColumn="1" showLastColumn="1" showRowStripes="1"/>
</table>
</file>

<file path=xl/tables/table22.xml><?xml version="1.0" encoding="utf-8"?>
<table xmlns="http://schemas.openxmlformats.org/spreadsheetml/2006/main" ref="A4:O5" displayName="Attendance" name="Attendance" id="22">
  <tableColumns count="15">
    <tableColumn name="Attendance ID" id="1"/>
    <tableColumn name="Date" id="2"/>
    <tableColumn name="Employee ID" id="3"/>
    <tableColumn name="Employee Name" id="4"/>
    <tableColumn name="Role" id="5"/>
    <tableColumn name="Status" id="6"/>
    <tableColumn name="In Time" id="7"/>
    <tableColumn name="Out Time" id="8"/>
    <tableColumn name="OT Hours" id="9"/>
    <tableColumn name="OT Approved" id="10"/>
    <tableColumn name="OT Rate" id="11"/>
    <tableColumn name="OT Amount" id="12"/>
    <tableColumn name="Entered By" id="13"/>
    <tableColumn name="Approved By" id="14"/>
    <tableColumn name="Remarks" id="15"/>
  </tableColumns>
  <tableStyleInfo name="28_Attendance-style" showColumnStripes="0" showFirstColumn="1" showLastColumn="1" showRowStripes="1"/>
</table>
</file>

<file path=xl/tables/table23.xml><?xml version="1.0" encoding="utf-8"?>
<table xmlns="http://schemas.openxmlformats.org/spreadsheetml/2006/main" ref="A4:P5" displayName="Maintenance" name="Maintenance" id="23">
  <tableColumns count="16">
    <tableColumn name="Maintenance ID" id="1"/>
    <tableColumn name="Date" id="2"/>
    <tableColumn name="Machine ID" id="3"/>
    <tableColumn name="Type" id="4"/>
    <tableColumn name="Start Time" id="5"/>
    <tableColumn name="End Time" id="6"/>
    <tableColumn name="Downtime Min" id="7"/>
    <tableColumn name="Issue/Work" id="8"/>
    <tableColumn name="Root Cause" id="9"/>
    <tableColumn name="Action" id="10"/>
    <tableColumn name="Spare Used" id="11"/>
    <tableColumn name="Cost" id="12"/>
    <tableColumn name="Responsible" id="13"/>
    <tableColumn name="Status" id="14"/>
    <tableColumn name="Next PM Date" id="15"/>
    <tableColumn name="Remarks" id="16"/>
  </tableColumns>
  <tableStyleInfo name="29_Maintenance-style" showColumnStripes="0" showFirstColumn="1" showLastColumn="1" showRowStripes="1"/>
</table>
</file>

<file path=xl/tables/table24.xml><?xml version="1.0" encoding="utf-8"?>
<table xmlns="http://schemas.openxmlformats.org/spreadsheetml/2006/main" ref="A4:Q5" displayName="Complaints" name="Complaints" id="24">
  <tableColumns count="17">
    <tableColumn name="Complaint ID" id="1"/>
    <tableColumn name="Date" id="2"/>
    <tableColumn name="Customer ID" id="3"/>
    <tableColumn name="Order ID" id="4"/>
    <tableColumn name="SKU" id="5"/>
    <tableColumn name="Issue Category" id="6"/>
    <tableColumn name="Severity" id="7"/>
    <tableColumn name="Description" id="8"/>
    <tableColumn name="Root Cause" id="9"/>
    <tableColumn name="Corrective Action" id="10"/>
    <tableColumn name="Responsible" id="11"/>
    <tableColumn name="Target Closure" id="12"/>
    <tableColumn name="Actual Closure" id="13"/>
    <tableColumn name="Status" id="14"/>
    <tableColumn name="Return Qty" id="15"/>
    <tableColumn name="QC Disposition" id="16"/>
    <tableColumn name="Notes" id="17"/>
  </tableColumns>
  <tableStyleInfo name="30_Complaints-style" showColumnStripes="0" showFirstColumn="1" showLastColumn="1" showRowStripes="1"/>
</table>
</file>

<file path=xl/tables/table25.xml><?xml version="1.0" encoding="utf-8"?>
<table xmlns="http://schemas.openxmlformats.org/spreadsheetml/2006/main" ref="A4:G25" displayName="KPIDefinitions" name="KPIDefinitions" id="25">
  <tableColumns count="7">
    <tableColumn name="KPI" id="1"/>
    <tableColumn name="Definition" id="2"/>
    <tableColumn name="Target" id="3"/>
    <tableColumn name="Frequency" id="4"/>
    <tableColumn name="Source Module" id="5"/>
    <tableColumn name="Owner" id="6"/>
    <tableColumn name="Status" id="7"/>
  </tableColumns>
  <tableStyleInfo name="40_KPI_Defini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9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0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1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2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3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4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5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6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7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8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9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20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1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2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3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4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4.0"/>
    <col customWidth="1" min="2" max="2" width="70.0"/>
    <col customWidth="1" min="3" max="3" width="20.0"/>
    <col customWidth="1" min="4" max="26" width="8.71"/>
  </cols>
  <sheetData>
    <row r="1">
      <c r="A1" s="1" t="s">
        <v>1</v>
      </c>
    </row>
    <row r="2">
      <c r="A2" s="2" t="s">
        <v>3</v>
      </c>
    </row>
    <row r="4">
      <c r="A4" s="4" t="s">
        <v>5</v>
      </c>
      <c r="B4" s="6">
        <f>TODAY()</f>
        <v>46287</v>
      </c>
      <c r="D4" s="5" t="s">
        <v>56</v>
      </c>
      <c r="E4" s="5" t="str">
        <f>'99_Lists_Settings'!B25</f>
        <v>Anekal 562106</v>
      </c>
    </row>
    <row r="5">
      <c r="A5" s="5" t="s">
        <v>93</v>
      </c>
      <c r="B5" s="9">
        <f>EOMONTH(B4,-1)+1</f>
        <v>46266</v>
      </c>
    </row>
    <row r="7">
      <c r="A7" s="10" t="s">
        <v>108</v>
      </c>
      <c r="B7" s="11"/>
      <c r="D7" s="10" t="s">
        <v>116</v>
      </c>
      <c r="E7" s="11"/>
      <c r="G7" s="10" t="s">
        <v>121</v>
      </c>
      <c r="H7" s="11"/>
      <c r="J7" s="12" t="s">
        <v>127</v>
      </c>
    </row>
    <row r="8">
      <c r="A8" s="14">
        <f>COUNTIFS('20_Orders'!K:K,"&lt;&gt;Closed",'20_Orders'!K:K,"&lt;&gt;Cancelled",'20_Orders'!A:A,"&lt;&gt;")</f>
        <v>3</v>
      </c>
      <c r="B8" s="15"/>
      <c r="D8" s="14">
        <f>COUNTIFS('20_Orders'!I:I,"&lt;="&amp;B4,'20_Orders'!K:K,"&lt;&gt;Closed",'20_Orders'!K:K,"&lt;&gt;Cancelled",'20_Orders'!A:A,"&lt;&gt;")</f>
        <v>0</v>
      </c>
      <c r="E8" s="15"/>
      <c r="G8" s="14">
        <f>SUMIFS('22_Production_Daily'!K:K,'22_Production_Daily'!B:B,B4)</f>
        <v>0</v>
      </c>
      <c r="H8" s="15"/>
      <c r="J8" s="16">
        <f>SUMIFS('22_Production_Daily'!L:L,'22_Production_Daily'!B:B,B4)</f>
        <v>0</v>
      </c>
    </row>
    <row r="9">
      <c r="A9" s="17"/>
      <c r="B9" s="18"/>
      <c r="D9" s="17"/>
      <c r="E9" s="18"/>
      <c r="G9" s="17"/>
      <c r="H9" s="18"/>
      <c r="J9" s="19"/>
    </row>
    <row r="11">
      <c r="A11" s="10" t="s">
        <v>154</v>
      </c>
      <c r="B11" s="11"/>
      <c r="D11" s="10" t="s">
        <v>156</v>
      </c>
      <c r="E11" s="11"/>
      <c r="G11" s="10" t="s">
        <v>157</v>
      </c>
      <c r="H11" s="11"/>
      <c r="J11" s="12" t="s">
        <v>158</v>
      </c>
    </row>
    <row r="12">
      <c r="A12" s="14">
        <f>SUMIFS('27_Dispatch'!F:F,'27_Dispatch'!B:B,B4)</f>
        <v>0</v>
      </c>
      <c r="B12" s="15"/>
      <c r="D12" s="14">
        <f>SUMIFS('25_Wastage'!G:G,'25_Wastage'!B:B,B4)</f>
        <v>0</v>
      </c>
      <c r="E12" s="15"/>
      <c r="G12" s="14">
        <f>COUNTIFS('30_Complaints'!N:N,"&lt;&gt;Closed",'30_Complaints'!A:A,"&lt;&gt;")</f>
        <v>3</v>
      </c>
      <c r="H12" s="15"/>
      <c r="J12" s="16">
        <f>COUNTIF('23_Inventory_Ledger'!AA:AA,"REORDER")</f>
        <v>0</v>
      </c>
    </row>
    <row r="13">
      <c r="A13" s="17"/>
      <c r="B13" s="18"/>
      <c r="D13" s="17"/>
      <c r="E13" s="18"/>
      <c r="G13" s="17"/>
      <c r="H13" s="18"/>
      <c r="J13" s="19"/>
    </row>
    <row r="16">
      <c r="A16" s="21" t="s">
        <v>162</v>
      </c>
      <c r="E16" s="21" t="s">
        <v>163</v>
      </c>
    </row>
    <row r="17">
      <c r="A17" s="22" t="s">
        <v>164</v>
      </c>
      <c r="B17" s="22" t="s">
        <v>165</v>
      </c>
      <c r="C17" s="22" t="s">
        <v>166</v>
      </c>
    </row>
    <row r="18">
      <c r="A18" s="23" t="s">
        <v>167</v>
      </c>
      <c r="B18" s="24" t="s">
        <v>168</v>
      </c>
      <c r="C18" s="24">
        <v>0.95</v>
      </c>
    </row>
    <row r="19">
      <c r="A19" s="23" t="s">
        <v>169</v>
      </c>
      <c r="B19" s="24" t="s">
        <v>170</v>
      </c>
      <c r="C19" s="24">
        <v>0.02</v>
      </c>
    </row>
    <row r="20">
      <c r="A20" s="23" t="s">
        <v>171</v>
      </c>
      <c r="B20" s="24" t="s">
        <v>172</v>
      </c>
      <c r="C20" s="24">
        <v>0.02</v>
      </c>
    </row>
    <row r="21" ht="15.75" customHeight="1">
      <c r="A21" s="23" t="s">
        <v>173</v>
      </c>
      <c r="B21" s="24" t="s">
        <v>174</v>
      </c>
      <c r="C21" s="24">
        <v>0.98</v>
      </c>
    </row>
    <row r="22" ht="15.75" customHeight="1">
      <c r="A22" s="23" t="s">
        <v>175</v>
      </c>
      <c r="B22" s="24" t="s">
        <v>176</v>
      </c>
      <c r="C22" s="24">
        <v>0.95</v>
      </c>
    </row>
    <row r="23" ht="15.75" customHeight="1">
      <c r="A23" s="23" t="s">
        <v>177</v>
      </c>
      <c r="B23" s="24" t="s">
        <v>178</v>
      </c>
      <c r="C23" s="24">
        <v>0.95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G8:H9"/>
    <mergeCell ref="J8:J9"/>
    <mergeCell ref="A11:B11"/>
    <mergeCell ref="D11:E11"/>
    <mergeCell ref="G11:H11"/>
    <mergeCell ref="A12:B13"/>
    <mergeCell ref="D12:E13"/>
    <mergeCell ref="G12:H13"/>
    <mergeCell ref="J12:J13"/>
    <mergeCell ref="A1:H1"/>
    <mergeCell ref="A2:J2"/>
    <mergeCell ref="A7:B7"/>
    <mergeCell ref="D7:E7"/>
    <mergeCell ref="G7:H7"/>
    <mergeCell ref="A8:B9"/>
    <mergeCell ref="D8:E9"/>
  </mergeCells>
  <conditionalFormatting sqref="B18:B23">
    <cfRule type="cellIs" dxfId="5" priority="1" operator="lessThan">
      <formula>C18</formula>
    </cfRule>
  </conditionalFormatting>
  <printOptions/>
  <pageMargins bottom="1.0" footer="0.0" header="0.0" left="0.75" right="0.75" top="1.0"/>
  <pageSetup fitToHeight="0"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6.0"/>
    <col customWidth="1" min="2" max="2" width="95.0"/>
    <col customWidth="1" min="3" max="26" width="8.71"/>
  </cols>
  <sheetData>
    <row r="1">
      <c r="A1" s="1" t="s">
        <v>8</v>
      </c>
    </row>
    <row r="2">
      <c r="A2" s="2" t="s">
        <v>14</v>
      </c>
    </row>
    <row r="4">
      <c r="A4" s="7" t="s">
        <v>22</v>
      </c>
      <c r="B4" s="7" t="s">
        <v>60</v>
      </c>
    </row>
    <row r="5">
      <c r="A5" s="8" t="s">
        <v>74</v>
      </c>
      <c r="B5" s="8" t="s">
        <v>85</v>
      </c>
    </row>
    <row r="6">
      <c r="A6" s="8" t="s">
        <v>91</v>
      </c>
      <c r="B6" s="8" t="s">
        <v>100</v>
      </c>
    </row>
    <row r="7">
      <c r="A7" s="8" t="s">
        <v>104</v>
      </c>
      <c r="B7" s="8" t="s">
        <v>107</v>
      </c>
    </row>
    <row r="8">
      <c r="A8" s="8" t="s">
        <v>111</v>
      </c>
      <c r="B8" s="8" t="s">
        <v>113</v>
      </c>
    </row>
    <row r="11">
      <c r="A11" s="4" t="s">
        <v>117</v>
      </c>
    </row>
    <row r="12">
      <c r="A12" s="5" t="s">
        <v>120</v>
      </c>
    </row>
    <row r="13">
      <c r="A13" s="5" t="s">
        <v>122</v>
      </c>
    </row>
    <row r="14">
      <c r="A14" s="5" t="s">
        <v>125</v>
      </c>
    </row>
    <row r="15">
      <c r="A15" s="5" t="s">
        <v>126</v>
      </c>
    </row>
    <row r="16">
      <c r="A16" s="5" t="s">
        <v>128</v>
      </c>
    </row>
    <row r="17">
      <c r="A17" s="5" t="s">
        <v>130</v>
      </c>
    </row>
    <row r="18">
      <c r="A18" s="5" t="s">
        <v>131</v>
      </c>
    </row>
    <row r="19">
      <c r="A19" s="5" t="s">
        <v>134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965852F3-B65B-4FF7-861A-B8B5501266A5}" filter="1" showAutoFilter="1">
      <autoFilter ref="$A$4:$B$8"/>
      <extLst>
        <ext uri="GoogleSheetsCustomDataVersion1">
          <go:sheetsCustomData xmlns:go="http://customooxmlschemas.google.com/" filterViewId="1453255376"/>
        </ext>
      </extLst>
    </customSheetView>
  </customSheetViews>
  <mergeCells count="2">
    <mergeCell ref="A1:F1"/>
    <mergeCell ref="A2:F2"/>
  </mergeCells>
  <printOptions/>
  <pageMargins bottom="1.0" footer="0.0" header="0.0" left="0.75" right="0.75" top="1.0"/>
  <pageSetup fitToHeight="0"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4.0"/>
    <col customWidth="1" min="2" max="2" width="110.0"/>
    <col customWidth="1" min="3" max="26" width="8.71"/>
  </cols>
  <sheetData>
    <row r="1">
      <c r="A1" s="1" t="s">
        <v>21</v>
      </c>
    </row>
    <row r="2">
      <c r="A2" s="2" t="s">
        <v>31</v>
      </c>
    </row>
    <row r="4">
      <c r="A4" s="7" t="s">
        <v>49</v>
      </c>
      <c r="B4" s="7" t="s">
        <v>78</v>
      </c>
    </row>
    <row r="5">
      <c r="A5" s="8" t="s">
        <v>60</v>
      </c>
      <c r="B5" s="8" t="s">
        <v>96</v>
      </c>
    </row>
    <row r="6">
      <c r="A6" s="8" t="s">
        <v>98</v>
      </c>
      <c r="B6" s="8" t="s">
        <v>101</v>
      </c>
    </row>
    <row r="7">
      <c r="A7" s="8" t="s">
        <v>103</v>
      </c>
      <c r="B7" s="8" t="s">
        <v>105</v>
      </c>
    </row>
    <row r="8">
      <c r="A8" s="8" t="s">
        <v>109</v>
      </c>
      <c r="B8" s="8" t="s">
        <v>112</v>
      </c>
    </row>
    <row r="9">
      <c r="A9" s="8" t="s">
        <v>115</v>
      </c>
      <c r="B9" s="8" t="s">
        <v>118</v>
      </c>
    </row>
    <row r="10">
      <c r="A10" s="8" t="s">
        <v>123</v>
      </c>
      <c r="B10" s="8" t="s">
        <v>129</v>
      </c>
    </row>
    <row r="11">
      <c r="A11" s="8" t="s">
        <v>133</v>
      </c>
      <c r="B11" s="8" t="s">
        <v>135</v>
      </c>
    </row>
    <row r="12">
      <c r="A12" s="8" t="s">
        <v>138</v>
      </c>
      <c r="B12" s="8" t="s">
        <v>139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C2793968-28AB-4C88-B43F-4E21968C4879}" filter="1" showAutoFilter="1">
      <autoFilter ref="$A$4:$B$12"/>
      <extLst>
        <ext uri="GoogleSheetsCustomDataVersion1">
          <go:sheetsCustomData xmlns:go="http://customooxmlschemas.google.com/" filterViewId="1183237000"/>
        </ext>
      </extLst>
    </customSheetView>
  </customSheetViews>
  <mergeCells count="2">
    <mergeCell ref="A1:F1"/>
    <mergeCell ref="A2:F2"/>
  </mergeCells>
  <printOptions/>
  <pageMargins bottom="1.0" footer="0.0" header="0.0" left="0.75" right="0.75" top="1.0"/>
  <pageSetup fitToHeight="0"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4.0"/>
    <col customWidth="1" min="2" max="2" width="22.0"/>
    <col customWidth="1" min="3" max="3" width="75.0"/>
    <col customWidth="1" min="4" max="5" width="16.0"/>
    <col customWidth="1" min="6" max="6" width="18.0"/>
    <col customWidth="1" min="7" max="11" width="16.0"/>
    <col customWidth="1" min="12" max="12" width="17.0"/>
    <col customWidth="1" min="13" max="14" width="16.0"/>
    <col customWidth="1" min="15" max="26" width="8.71"/>
  </cols>
  <sheetData>
    <row r="1">
      <c r="A1" s="1" t="s">
        <v>0</v>
      </c>
    </row>
    <row r="2">
      <c r="A2" s="2" t="s">
        <v>2</v>
      </c>
    </row>
    <row r="3">
      <c r="A3" s="3" t="s">
        <v>4</v>
      </c>
      <c r="B3" s="3" t="s">
        <v>6</v>
      </c>
      <c r="C3" s="3" t="s">
        <v>7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15</v>
      </c>
      <c r="J3" s="3" t="s">
        <v>16</v>
      </c>
      <c r="K3" s="3" t="s">
        <v>17</v>
      </c>
      <c r="L3" s="3" t="s">
        <v>18</v>
      </c>
      <c r="M3" s="3" t="s">
        <v>19</v>
      </c>
      <c r="N3" s="3" t="s">
        <v>20</v>
      </c>
    </row>
    <row r="4">
      <c r="A4" s="5" t="s">
        <v>23</v>
      </c>
      <c r="B4" s="5" t="s">
        <v>24</v>
      </c>
      <c r="C4" s="5" t="s">
        <v>25</v>
      </c>
      <c r="D4" s="5" t="s">
        <v>26</v>
      </c>
      <c r="E4" s="5" t="s">
        <v>27</v>
      </c>
      <c r="F4" s="5" t="s">
        <v>28</v>
      </c>
      <c r="G4" s="5" t="s">
        <v>29</v>
      </c>
      <c r="H4" s="5" t="s">
        <v>30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</row>
    <row r="5">
      <c r="A5" s="5" t="s">
        <v>38</v>
      </c>
      <c r="B5" s="5" t="s">
        <v>39</v>
      </c>
      <c r="C5" s="5" t="s">
        <v>40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48</v>
      </c>
      <c r="L5" s="5" t="s">
        <v>39</v>
      </c>
      <c r="M5" s="5" t="s">
        <v>50</v>
      </c>
      <c r="N5" s="5" t="s">
        <v>51</v>
      </c>
    </row>
    <row r="6">
      <c r="A6" s="5" t="s">
        <v>39</v>
      </c>
      <c r="B6" s="5" t="s">
        <v>52</v>
      </c>
      <c r="C6" s="5" t="s">
        <v>53</v>
      </c>
      <c r="D6" s="5" t="s">
        <v>54</v>
      </c>
      <c r="E6" s="5" t="s">
        <v>55</v>
      </c>
      <c r="F6" s="5" t="s">
        <v>57</v>
      </c>
      <c r="G6" s="5" t="s">
        <v>58</v>
      </c>
      <c r="H6" s="5" t="s">
        <v>59</v>
      </c>
      <c r="I6" s="5" t="s">
        <v>61</v>
      </c>
      <c r="J6" s="5" t="s">
        <v>62</v>
      </c>
      <c r="L6" s="5" t="s">
        <v>63</v>
      </c>
      <c r="N6" s="5" t="s">
        <v>64</v>
      </c>
    </row>
    <row r="7">
      <c r="A7" s="5" t="s">
        <v>65</v>
      </c>
      <c r="B7" s="5" t="s">
        <v>66</v>
      </c>
      <c r="C7" s="5" t="s">
        <v>35</v>
      </c>
      <c r="D7" s="5" t="s">
        <v>67</v>
      </c>
      <c r="E7" s="5" t="s">
        <v>68</v>
      </c>
      <c r="F7" s="5" t="s">
        <v>69</v>
      </c>
      <c r="G7" s="5" t="s">
        <v>70</v>
      </c>
      <c r="N7" s="5" t="s">
        <v>71</v>
      </c>
    </row>
    <row r="8">
      <c r="A8" s="5" t="s">
        <v>72</v>
      </c>
      <c r="B8" s="5" t="s">
        <v>73</v>
      </c>
      <c r="D8" s="5" t="s">
        <v>35</v>
      </c>
      <c r="E8" s="5" t="s">
        <v>75</v>
      </c>
      <c r="F8" s="5" t="s">
        <v>76</v>
      </c>
      <c r="G8" s="5" t="s">
        <v>77</v>
      </c>
      <c r="N8" s="5" t="s">
        <v>79</v>
      </c>
    </row>
    <row r="9">
      <c r="A9" s="5" t="s">
        <v>80</v>
      </c>
      <c r="B9" s="5" t="s">
        <v>81</v>
      </c>
      <c r="E9" s="5" t="s">
        <v>82</v>
      </c>
      <c r="F9" s="5" t="s">
        <v>83</v>
      </c>
      <c r="G9" s="5" t="s">
        <v>84</v>
      </c>
    </row>
    <row r="10">
      <c r="A10" s="5" t="s">
        <v>63</v>
      </c>
      <c r="B10" s="5" t="s">
        <v>86</v>
      </c>
      <c r="F10" s="5" t="s">
        <v>87</v>
      </c>
      <c r="G10" s="5" t="s">
        <v>88</v>
      </c>
    </row>
    <row r="11">
      <c r="A11" s="5" t="s">
        <v>89</v>
      </c>
      <c r="B11" s="5" t="s">
        <v>90</v>
      </c>
      <c r="F11" s="5" t="s">
        <v>92</v>
      </c>
      <c r="G11" s="5" t="s">
        <v>94</v>
      </c>
    </row>
    <row r="12">
      <c r="A12" s="5" t="s">
        <v>95</v>
      </c>
      <c r="B12" s="5" t="s">
        <v>95</v>
      </c>
      <c r="F12" s="5" t="s">
        <v>54</v>
      </c>
    </row>
    <row r="13">
      <c r="B13" s="5" t="s">
        <v>89</v>
      </c>
      <c r="F13" s="5" t="s">
        <v>41</v>
      </c>
    </row>
    <row r="14">
      <c r="F14" s="5" t="s">
        <v>97</v>
      </c>
    </row>
    <row r="15">
      <c r="F15" s="5" t="s">
        <v>99</v>
      </c>
    </row>
    <row r="21" ht="15.75" customHeight="1"/>
    <row r="22" ht="15.75" customHeight="1">
      <c r="A22" s="4" t="s">
        <v>102</v>
      </c>
    </row>
    <row r="23" ht="15.75" customHeight="1">
      <c r="A23" s="7" t="s">
        <v>106</v>
      </c>
      <c r="B23" s="7" t="s">
        <v>110</v>
      </c>
      <c r="C23" s="7" t="s">
        <v>114</v>
      </c>
    </row>
    <row r="24" ht="15.75" customHeight="1">
      <c r="A24" s="8" t="s">
        <v>119</v>
      </c>
      <c r="B24" s="13" t="s">
        <v>124</v>
      </c>
      <c r="C24" s="8" t="s">
        <v>132</v>
      </c>
    </row>
    <row r="25" ht="15.75" customHeight="1">
      <c r="A25" s="8" t="s">
        <v>136</v>
      </c>
      <c r="B25" s="13" t="s">
        <v>137</v>
      </c>
      <c r="C25" s="8" t="s">
        <v>132</v>
      </c>
    </row>
    <row r="26" ht="15.75" customHeight="1">
      <c r="A26" s="8" t="s">
        <v>140</v>
      </c>
      <c r="B26" s="13">
        <v>700.0</v>
      </c>
      <c r="C26" s="8" t="s">
        <v>141</v>
      </c>
    </row>
    <row r="27" ht="15.75" customHeight="1">
      <c r="A27" s="8" t="s">
        <v>142</v>
      </c>
      <c r="B27" s="13">
        <v>350.0</v>
      </c>
      <c r="C27" s="8" t="s">
        <v>141</v>
      </c>
    </row>
    <row r="28" ht="15.75" customHeight="1">
      <c r="A28" s="8" t="s">
        <v>143</v>
      </c>
      <c r="B28" s="13">
        <v>350.0</v>
      </c>
      <c r="C28" s="8" t="s">
        <v>144</v>
      </c>
    </row>
    <row r="29" ht="15.75" customHeight="1">
      <c r="A29" s="8" t="s">
        <v>145</v>
      </c>
      <c r="B29" s="13">
        <v>100.0</v>
      </c>
      <c r="C29" s="8" t="s">
        <v>146</v>
      </c>
    </row>
    <row r="30" ht="15.75" customHeight="1">
      <c r="A30" s="8" t="s">
        <v>147</v>
      </c>
      <c r="B30" s="13">
        <v>0.01</v>
      </c>
      <c r="C30" s="8" t="s">
        <v>148</v>
      </c>
    </row>
    <row r="31" ht="15.75" customHeight="1">
      <c r="A31" s="8" t="s">
        <v>149</v>
      </c>
      <c r="B31" s="13">
        <v>0.02</v>
      </c>
      <c r="C31" s="8" t="s">
        <v>148</v>
      </c>
    </row>
    <row r="32" ht="15.75" customHeight="1">
      <c r="A32" s="8" t="s">
        <v>150</v>
      </c>
      <c r="B32" s="13">
        <v>0.95</v>
      </c>
      <c r="C32" s="8" t="s">
        <v>151</v>
      </c>
    </row>
    <row r="33" ht="15.75" customHeight="1">
      <c r="A33" s="8" t="s">
        <v>152</v>
      </c>
      <c r="B33" s="13">
        <v>0.02</v>
      </c>
      <c r="C33" s="8" t="s">
        <v>151</v>
      </c>
    </row>
    <row r="34" ht="15.75" customHeight="1">
      <c r="A34" s="8" t="s">
        <v>153</v>
      </c>
      <c r="B34" s="13">
        <v>0.98</v>
      </c>
      <c r="C34" s="8" t="s">
        <v>151</v>
      </c>
    </row>
    <row r="35" ht="15.75" customHeight="1">
      <c r="A35" s="8" t="s">
        <v>155</v>
      </c>
      <c r="B35" s="13">
        <v>0.95</v>
      </c>
      <c r="C35" s="8" t="s">
        <v>151</v>
      </c>
    </row>
    <row r="36" ht="15.75" customHeight="1">
      <c r="A36" s="8" t="s">
        <v>159</v>
      </c>
      <c r="B36" s="13">
        <v>0.98</v>
      </c>
      <c r="C36" s="8" t="s">
        <v>151</v>
      </c>
    </row>
    <row r="37" ht="15.75" customHeight="1">
      <c r="A37" s="8" t="s">
        <v>160</v>
      </c>
      <c r="B37" s="13">
        <v>0.85</v>
      </c>
      <c r="C37" s="8" t="s">
        <v>151</v>
      </c>
    </row>
    <row r="38" ht="15.75" customHeight="1">
      <c r="A38" s="8" t="s">
        <v>161</v>
      </c>
      <c r="B38" s="13">
        <v>0.95</v>
      </c>
      <c r="C38" s="8" t="s">
        <v>151</v>
      </c>
    </row>
    <row r="39" ht="15.75" customHeight="1">
      <c r="B39" s="20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AA240D55-63EC-4D3A-A5A8-AA8EF902AD47}" filter="1" showAutoFilter="1">
      <autoFilter ref="$A$23:$C$38"/>
      <extLst>
        <ext uri="GoogleSheetsCustomDataVersion1">
          <go:sheetsCustomData xmlns:go="http://customooxmlschemas.google.com/" filterViewId="406363411"/>
        </ext>
      </extLst>
    </customSheetView>
  </customSheetViews>
  <mergeCells count="2">
    <mergeCell ref="A1:H1"/>
    <mergeCell ref="A2:L2"/>
  </mergeCells>
  <printOptions/>
  <pageMargins bottom="1.0" footer="0.0" header="0.0" left="0.75" right="0.75" top="1.0"/>
  <pageSetup fitToHeight="0"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28.0"/>
    <col customWidth="1" min="3" max="3" width="18.0"/>
    <col customWidth="1" min="4" max="4" width="20.0"/>
    <col customWidth="1" min="5" max="5" width="18.0"/>
    <col customWidth="1" min="6" max="6" width="25.0"/>
    <col customWidth="1" min="7" max="7" width="12.0"/>
    <col customWidth="1" min="8" max="8" width="35.0"/>
    <col customWidth="1" min="9" max="10" width="20.0"/>
    <col customWidth="1" min="11" max="26" width="8.71"/>
  </cols>
  <sheetData>
    <row r="1">
      <c r="A1" s="1" t="s">
        <v>179</v>
      </c>
    </row>
    <row r="2">
      <c r="A2" s="2" t="s">
        <v>180</v>
      </c>
    </row>
    <row r="4">
      <c r="A4" s="7" t="s">
        <v>181</v>
      </c>
      <c r="B4" s="7" t="s">
        <v>183</v>
      </c>
      <c r="C4" s="7" t="s">
        <v>185</v>
      </c>
      <c r="D4" s="7" t="s">
        <v>187</v>
      </c>
      <c r="E4" s="7" t="s">
        <v>188</v>
      </c>
      <c r="F4" s="7" t="s">
        <v>192</v>
      </c>
      <c r="G4" s="7" t="s">
        <v>194</v>
      </c>
      <c r="H4" s="7" t="s">
        <v>196</v>
      </c>
      <c r="I4" s="7" t="s">
        <v>198</v>
      </c>
      <c r="J4" s="7" t="s">
        <v>200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12495505-8297-467D-ABAB-799C439B48C0}" filter="1" showAutoFilter="1">
      <autoFilter ref="$A$4:$J$48"/>
      <extLst>
        <ext uri="GoogleSheetsCustomDataVersion1">
          <go:sheetsCustomData xmlns:go="http://customooxmlschemas.google.com/" filterViewId="1107159285"/>
        </ext>
      </extLst>
    </customSheetView>
  </customSheetViews>
  <mergeCells count="2">
    <mergeCell ref="A1:H1"/>
    <mergeCell ref="A2:J2"/>
  </mergeCells>
  <printOptions/>
  <pageMargins bottom="1.0" footer="0.0" header="0.0" left="0.75" right="0.75" top="1.0"/>
  <pageSetup fitToHeight="0"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6.0"/>
    <col customWidth="1" min="2" max="2" width="28.0"/>
    <col customWidth="1" min="3" max="3" width="24.0"/>
    <col customWidth="1" min="4" max="4" width="14.0"/>
    <col customWidth="1" min="5" max="5" width="18.0"/>
    <col customWidth="1" min="6" max="6" width="22.0"/>
    <col customWidth="1" min="7" max="7" width="20.0"/>
    <col customWidth="1" min="8" max="8" width="25.0"/>
    <col customWidth="1" min="9" max="9" width="24.0"/>
    <col customWidth="1" min="10" max="10" width="35.0"/>
    <col customWidth="1" min="11" max="26" width="8.71"/>
  </cols>
  <sheetData>
    <row r="1">
      <c r="A1" s="1" t="s">
        <v>182</v>
      </c>
    </row>
    <row r="2">
      <c r="A2" s="2" t="s">
        <v>184</v>
      </c>
    </row>
    <row r="4">
      <c r="A4" s="7" t="s">
        <v>186</v>
      </c>
      <c r="B4" s="7" t="s">
        <v>189</v>
      </c>
      <c r="C4" s="7" t="s">
        <v>190</v>
      </c>
      <c r="D4" s="7" t="s">
        <v>191</v>
      </c>
      <c r="E4" s="7" t="s">
        <v>193</v>
      </c>
      <c r="F4" s="7" t="s">
        <v>195</v>
      </c>
      <c r="G4" s="7" t="s">
        <v>197</v>
      </c>
      <c r="H4" s="7" t="s">
        <v>199</v>
      </c>
      <c r="I4" s="7" t="s">
        <v>201</v>
      </c>
      <c r="J4" s="7" t="s">
        <v>196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AADF3FC6-6ED6-44D5-8B51-1BE1BC0C2BEE}" filter="1" showAutoFilter="1">
      <autoFilter ref="$A$4:$J$5"/>
      <extLst>
        <ext uri="GoogleSheetsCustomDataVersion1">
          <go:sheetsCustomData xmlns:go="http://customooxmlschemas.google.com/" filterViewId="358072037"/>
        </ext>
      </extLst>
    </customSheetView>
  </customSheetViews>
  <mergeCells count="2">
    <mergeCell ref="A1:H1"/>
    <mergeCell ref="A2:J2"/>
  </mergeCells>
  <printOptions/>
  <pageMargins bottom="1.0" footer="0.0" header="0.0" left="0.75" right="0.75" top="1.0"/>
  <pageSetup fitToHeight="0"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24.0"/>
    <col customWidth="1" min="3" max="3" width="18.0"/>
    <col customWidth="1" min="4" max="4" width="16.0"/>
    <col customWidth="1" min="5" max="5" width="14.0"/>
    <col customWidth="1" min="6" max="6" width="18.0"/>
    <col customWidth="1" min="7" max="7" width="14.0"/>
    <col customWidth="1" min="8" max="8" width="12.0"/>
    <col customWidth="1" min="9" max="9" width="14.0"/>
    <col customWidth="1" min="10" max="11" width="18.0"/>
    <col customWidth="1" min="12" max="12" width="22.0"/>
    <col customWidth="1" min="13" max="13" width="24.0"/>
    <col customWidth="1" min="14" max="14" width="18.0"/>
    <col customWidth="1" min="15" max="15" width="10.0"/>
    <col customWidth="1" min="16" max="16" width="42.0"/>
    <col customWidth="1" min="17" max="26" width="8.71"/>
  </cols>
  <sheetData>
    <row r="1">
      <c r="A1" s="1" t="s">
        <v>202</v>
      </c>
    </row>
    <row r="2">
      <c r="A2" s="2" t="s">
        <v>203</v>
      </c>
    </row>
    <row r="4">
      <c r="A4" s="7" t="s">
        <v>204</v>
      </c>
      <c r="B4" s="7" t="s">
        <v>205</v>
      </c>
      <c r="C4" s="7" t="s">
        <v>206</v>
      </c>
      <c r="D4" s="7" t="s">
        <v>13</v>
      </c>
      <c r="E4" s="7" t="s">
        <v>207</v>
      </c>
      <c r="F4" s="7" t="s">
        <v>208</v>
      </c>
      <c r="G4" s="7" t="s">
        <v>209</v>
      </c>
      <c r="H4" s="7" t="s">
        <v>210</v>
      </c>
      <c r="I4" s="7" t="s">
        <v>211</v>
      </c>
      <c r="J4" s="7" t="s">
        <v>212</v>
      </c>
      <c r="K4" s="7" t="s">
        <v>213</v>
      </c>
      <c r="L4" s="7" t="s">
        <v>214</v>
      </c>
      <c r="M4" s="7" t="s">
        <v>215</v>
      </c>
      <c r="N4" s="7" t="s">
        <v>19</v>
      </c>
      <c r="O4" s="7" t="s">
        <v>194</v>
      </c>
      <c r="P4" s="7" t="s">
        <v>196</v>
      </c>
    </row>
    <row r="5">
      <c r="A5" s="8" t="s">
        <v>216</v>
      </c>
      <c r="B5" s="8" t="s">
        <v>217</v>
      </c>
      <c r="C5" s="8" t="s">
        <v>219</v>
      </c>
      <c r="D5" s="8" t="s">
        <v>30</v>
      </c>
      <c r="E5" s="8">
        <v>13.0</v>
      </c>
      <c r="F5" s="8" t="s">
        <v>221</v>
      </c>
      <c r="G5" s="8">
        <v>18.0</v>
      </c>
      <c r="H5" s="8" t="s">
        <v>223</v>
      </c>
      <c r="I5" s="8" t="s">
        <v>225</v>
      </c>
      <c r="J5" s="8" t="s">
        <v>225</v>
      </c>
      <c r="K5" s="8" t="s">
        <v>225</v>
      </c>
      <c r="L5" s="8" t="s">
        <v>225</v>
      </c>
      <c r="M5" s="8" t="s">
        <v>228</v>
      </c>
      <c r="N5" s="8" t="s">
        <v>36</v>
      </c>
      <c r="O5" s="8" t="s">
        <v>34</v>
      </c>
      <c r="P5" s="8" t="s">
        <v>229</v>
      </c>
    </row>
    <row r="6">
      <c r="A6" s="8" t="s">
        <v>216</v>
      </c>
      <c r="B6" s="8" t="s">
        <v>217</v>
      </c>
      <c r="C6" s="8" t="s">
        <v>219</v>
      </c>
      <c r="D6" s="8" t="s">
        <v>30</v>
      </c>
      <c r="E6" s="8">
        <v>13.5</v>
      </c>
      <c r="F6" s="8" t="s">
        <v>233</v>
      </c>
      <c r="G6" s="8">
        <v>24.0</v>
      </c>
      <c r="H6" s="8" t="s">
        <v>223</v>
      </c>
      <c r="I6" s="8" t="s">
        <v>225</v>
      </c>
      <c r="J6" s="8" t="s">
        <v>225</v>
      </c>
      <c r="K6" s="8" t="s">
        <v>225</v>
      </c>
      <c r="L6" s="8" t="s">
        <v>225</v>
      </c>
      <c r="M6" s="8" t="s">
        <v>228</v>
      </c>
      <c r="N6" s="8" t="s">
        <v>50</v>
      </c>
      <c r="O6" s="8" t="s">
        <v>34</v>
      </c>
      <c r="P6" s="8" t="s">
        <v>248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F978F655-5F9F-414C-88E8-63C0E3D87141}" filter="1" showAutoFilter="1">
      <autoFilter ref="$A$4:$P$6"/>
      <extLst>
        <ext uri="GoogleSheetsCustomDataVersion1">
          <go:sheetsCustomData xmlns:go="http://customooxmlschemas.google.com/" filterViewId="1843161416"/>
        </ext>
      </extLst>
    </customSheetView>
  </customSheetViews>
  <mergeCells count="2">
    <mergeCell ref="A1:H1"/>
    <mergeCell ref="A2:L2"/>
  </mergeCells>
  <printOptions/>
  <pageMargins bottom="1.0" footer="0.0" header="0.0" left="0.75" right="0.75" top="1.0"/>
  <pageSetup fitToHeight="0"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22.0"/>
    <col customWidth="1" min="3" max="3" width="20.0"/>
    <col customWidth="1" min="4" max="4" width="24.0"/>
    <col customWidth="1" min="5" max="5" width="12.0"/>
    <col customWidth="1" min="6" max="6" width="14.0"/>
    <col customWidth="1" min="7" max="7" width="16.0"/>
    <col customWidth="1" min="8" max="8" width="18.0"/>
    <col customWidth="1" min="9" max="9" width="16.0"/>
    <col customWidth="1" min="10" max="10" width="20.0"/>
    <col customWidth="1" min="11" max="11" width="10.0"/>
    <col customWidth="1" min="12" max="12" width="40.0"/>
    <col customWidth="1" min="13" max="26" width="8.71"/>
  </cols>
  <sheetData>
    <row r="1">
      <c r="A1" s="1" t="s">
        <v>218</v>
      </c>
    </row>
    <row r="2">
      <c r="A2" s="2" t="s">
        <v>220</v>
      </c>
    </row>
    <row r="4">
      <c r="A4" s="7" t="s">
        <v>222</v>
      </c>
      <c r="B4" s="7" t="s">
        <v>224</v>
      </c>
      <c r="C4" s="7" t="s">
        <v>226</v>
      </c>
      <c r="D4" s="7" t="s">
        <v>227</v>
      </c>
      <c r="E4" s="7" t="s">
        <v>12</v>
      </c>
      <c r="F4" s="7" t="s">
        <v>191</v>
      </c>
      <c r="G4" s="7" t="s">
        <v>193</v>
      </c>
      <c r="H4" s="7" t="s">
        <v>230</v>
      </c>
      <c r="I4" s="7" t="s">
        <v>231</v>
      </c>
      <c r="J4" s="7" t="s">
        <v>232</v>
      </c>
      <c r="K4" s="7" t="s">
        <v>194</v>
      </c>
      <c r="L4" s="7" t="s">
        <v>196</v>
      </c>
    </row>
    <row r="5">
      <c r="A5" s="8" t="s">
        <v>235</v>
      </c>
      <c r="B5" s="8" t="s">
        <v>237</v>
      </c>
      <c r="C5" s="8" t="s">
        <v>239</v>
      </c>
      <c r="D5" s="8" t="s">
        <v>221</v>
      </c>
      <c r="E5" s="8" t="s">
        <v>29</v>
      </c>
      <c r="F5" s="8" t="s">
        <v>225</v>
      </c>
      <c r="G5" s="8" t="s">
        <v>225</v>
      </c>
      <c r="H5" s="8" t="s">
        <v>225</v>
      </c>
      <c r="I5" s="8" t="s">
        <v>225</v>
      </c>
      <c r="J5" s="8"/>
      <c r="K5" s="8" t="s">
        <v>34</v>
      </c>
      <c r="L5" s="8"/>
    </row>
    <row r="6">
      <c r="A6" s="8" t="s">
        <v>258</v>
      </c>
      <c r="B6" s="8" t="s">
        <v>237</v>
      </c>
      <c r="C6" s="8" t="s">
        <v>239</v>
      </c>
      <c r="D6" s="8" t="s">
        <v>233</v>
      </c>
      <c r="E6" s="8" t="s">
        <v>29</v>
      </c>
      <c r="F6" s="8" t="s">
        <v>225</v>
      </c>
      <c r="G6" s="8" t="s">
        <v>225</v>
      </c>
      <c r="H6" s="8" t="s">
        <v>225</v>
      </c>
      <c r="I6" s="8" t="s">
        <v>225</v>
      </c>
      <c r="J6" s="8"/>
      <c r="K6" s="8" t="s">
        <v>34</v>
      </c>
      <c r="L6" s="8"/>
    </row>
    <row r="7">
      <c r="A7" s="8" t="s">
        <v>265</v>
      </c>
      <c r="B7" s="8" t="s">
        <v>237</v>
      </c>
      <c r="C7" s="8" t="s">
        <v>266</v>
      </c>
      <c r="D7" s="8" t="s">
        <v>267</v>
      </c>
      <c r="E7" s="8" t="s">
        <v>29</v>
      </c>
      <c r="F7" s="8" t="s">
        <v>225</v>
      </c>
      <c r="G7" s="8" t="s">
        <v>225</v>
      </c>
      <c r="H7" s="8" t="s">
        <v>225</v>
      </c>
      <c r="I7" s="8" t="s">
        <v>225</v>
      </c>
      <c r="J7" s="8"/>
      <c r="K7" s="8" t="s">
        <v>34</v>
      </c>
      <c r="L7" s="8"/>
    </row>
    <row r="8">
      <c r="A8" s="8" t="s">
        <v>268</v>
      </c>
      <c r="B8" s="8" t="s">
        <v>237</v>
      </c>
      <c r="C8" s="8" t="s">
        <v>269</v>
      </c>
      <c r="D8" s="8" t="s">
        <v>267</v>
      </c>
      <c r="E8" s="8" t="s">
        <v>29</v>
      </c>
      <c r="F8" s="8" t="s">
        <v>225</v>
      </c>
      <c r="G8" s="8" t="s">
        <v>225</v>
      </c>
      <c r="H8" s="8" t="s">
        <v>225</v>
      </c>
      <c r="I8" s="8" t="s">
        <v>225</v>
      </c>
      <c r="J8" s="8"/>
      <c r="K8" s="8" t="s">
        <v>34</v>
      </c>
      <c r="L8" s="8"/>
    </row>
    <row r="9">
      <c r="A9" s="8" t="s">
        <v>270</v>
      </c>
      <c r="B9" s="8" t="s">
        <v>237</v>
      </c>
      <c r="C9" s="8" t="s">
        <v>271</v>
      </c>
      <c r="D9" s="8" t="s">
        <v>267</v>
      </c>
      <c r="E9" s="8" t="s">
        <v>29</v>
      </c>
      <c r="F9" s="8" t="s">
        <v>225</v>
      </c>
      <c r="G9" s="8" t="s">
        <v>225</v>
      </c>
      <c r="H9" s="8" t="s">
        <v>225</v>
      </c>
      <c r="I9" s="8" t="s">
        <v>225</v>
      </c>
      <c r="J9" s="8"/>
      <c r="K9" s="8" t="s">
        <v>34</v>
      </c>
      <c r="L9" s="8"/>
    </row>
    <row r="10">
      <c r="A10" s="8" t="s">
        <v>272</v>
      </c>
      <c r="B10" s="8" t="s">
        <v>237</v>
      </c>
      <c r="C10" s="8" t="s">
        <v>273</v>
      </c>
      <c r="D10" s="8" t="s">
        <v>267</v>
      </c>
      <c r="E10" s="8" t="s">
        <v>29</v>
      </c>
      <c r="F10" s="8" t="s">
        <v>225</v>
      </c>
      <c r="G10" s="8" t="s">
        <v>225</v>
      </c>
      <c r="H10" s="8" t="s">
        <v>225</v>
      </c>
      <c r="I10" s="8" t="s">
        <v>225</v>
      </c>
      <c r="J10" s="8"/>
      <c r="K10" s="8" t="s">
        <v>34</v>
      </c>
      <c r="L10" s="8"/>
    </row>
    <row r="11">
      <c r="A11" s="8" t="s">
        <v>274</v>
      </c>
      <c r="B11" s="8" t="s">
        <v>275</v>
      </c>
      <c r="C11" s="8" t="s">
        <v>276</v>
      </c>
      <c r="D11" s="8" t="s">
        <v>277</v>
      </c>
      <c r="E11" s="8" t="s">
        <v>29</v>
      </c>
      <c r="F11" s="8" t="s">
        <v>225</v>
      </c>
      <c r="G11" s="8" t="s">
        <v>225</v>
      </c>
      <c r="H11" s="8" t="s">
        <v>225</v>
      </c>
      <c r="I11" s="8" t="s">
        <v>225</v>
      </c>
      <c r="J11" s="8"/>
      <c r="K11" s="8" t="s">
        <v>34</v>
      </c>
      <c r="L11" s="8"/>
    </row>
    <row r="12">
      <c r="A12" s="8" t="s">
        <v>278</v>
      </c>
      <c r="B12" s="8" t="s">
        <v>275</v>
      </c>
      <c r="C12" s="8" t="s">
        <v>276</v>
      </c>
      <c r="D12" s="8" t="s">
        <v>279</v>
      </c>
      <c r="E12" s="8" t="s">
        <v>29</v>
      </c>
      <c r="F12" s="8" t="s">
        <v>225</v>
      </c>
      <c r="G12" s="8" t="s">
        <v>225</v>
      </c>
      <c r="H12" s="8" t="s">
        <v>225</v>
      </c>
      <c r="I12" s="8" t="s">
        <v>225</v>
      </c>
      <c r="J12" s="8"/>
      <c r="K12" s="8" t="s">
        <v>34</v>
      </c>
      <c r="L12" s="8"/>
    </row>
    <row r="13">
      <c r="A13" s="8" t="s">
        <v>280</v>
      </c>
      <c r="B13" s="8" t="s">
        <v>275</v>
      </c>
      <c r="C13" s="8" t="s">
        <v>276</v>
      </c>
      <c r="D13" s="8" t="s">
        <v>281</v>
      </c>
      <c r="E13" s="8" t="s">
        <v>29</v>
      </c>
      <c r="F13" s="8" t="s">
        <v>225</v>
      </c>
      <c r="G13" s="8" t="s">
        <v>225</v>
      </c>
      <c r="H13" s="8" t="s">
        <v>225</v>
      </c>
      <c r="I13" s="8" t="s">
        <v>225</v>
      </c>
      <c r="J13" s="8"/>
      <c r="K13" s="8" t="s">
        <v>34</v>
      </c>
      <c r="L13" s="8"/>
    </row>
    <row r="14">
      <c r="A14" s="8" t="s">
        <v>285</v>
      </c>
      <c r="B14" s="8" t="s">
        <v>286</v>
      </c>
      <c r="C14" s="8" t="s">
        <v>286</v>
      </c>
      <c r="D14" s="8" t="s">
        <v>288</v>
      </c>
      <c r="E14" s="8" t="s">
        <v>77</v>
      </c>
      <c r="F14" s="8" t="s">
        <v>225</v>
      </c>
      <c r="G14" s="8" t="s">
        <v>225</v>
      </c>
      <c r="H14" s="8" t="s">
        <v>225</v>
      </c>
      <c r="I14" s="8" t="s">
        <v>225</v>
      </c>
      <c r="J14" s="8"/>
      <c r="K14" s="8" t="s">
        <v>34</v>
      </c>
      <c r="L14" s="8"/>
    </row>
    <row r="15">
      <c r="A15" s="8" t="s">
        <v>291</v>
      </c>
      <c r="B15" s="8" t="s">
        <v>286</v>
      </c>
      <c r="C15" s="8" t="s">
        <v>286</v>
      </c>
      <c r="D15" s="8" t="s">
        <v>292</v>
      </c>
      <c r="E15" s="8" t="s">
        <v>77</v>
      </c>
      <c r="F15" s="8" t="s">
        <v>225</v>
      </c>
      <c r="G15" s="8" t="s">
        <v>225</v>
      </c>
      <c r="H15" s="8" t="s">
        <v>225</v>
      </c>
      <c r="I15" s="8" t="s">
        <v>225</v>
      </c>
      <c r="J15" s="8"/>
      <c r="K15" s="8" t="s">
        <v>34</v>
      </c>
      <c r="L15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03428C4F-B6CE-4CAE-B312-37500C40A75E}" filter="1" showAutoFilter="1">
      <autoFilter ref="$A$4:$L$15"/>
      <extLst>
        <ext uri="GoogleSheetsCustomDataVersion1">
          <go:sheetsCustomData xmlns:go="http://customooxmlschemas.google.com/" filterViewId="1574206974"/>
        </ext>
      </extLst>
    </customSheetView>
  </customSheetViews>
  <mergeCells count="2">
    <mergeCell ref="A1:H1"/>
    <mergeCell ref="A2:L2"/>
  </mergeCells>
  <printOptions/>
  <pageMargins bottom="1.0" footer="0.0" header="0.0" left="0.75" right="0.75" top="1.0"/>
  <pageSetup fitToHeight="0"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3" width="24.0"/>
    <col customWidth="1" min="4" max="4" width="18.0"/>
    <col customWidth="1" min="5" max="5" width="16.0"/>
    <col customWidth="1" min="6" max="6" width="18.0"/>
    <col customWidth="1" min="7" max="7" width="14.0"/>
    <col customWidth="1" min="8" max="8" width="10.0"/>
    <col customWidth="1" min="9" max="9" width="65.0"/>
    <col customWidth="1" min="10" max="26" width="8.71"/>
  </cols>
  <sheetData>
    <row r="1">
      <c r="A1" s="1" t="s">
        <v>234</v>
      </c>
    </row>
    <row r="2">
      <c r="A2" s="2" t="s">
        <v>236</v>
      </c>
    </row>
    <row r="4">
      <c r="A4" s="7" t="s">
        <v>238</v>
      </c>
      <c r="B4" s="7" t="s">
        <v>240</v>
      </c>
      <c r="C4" s="7" t="s">
        <v>242</v>
      </c>
      <c r="D4" s="7" t="s">
        <v>243</v>
      </c>
      <c r="E4" s="7" t="s">
        <v>245</v>
      </c>
      <c r="F4" s="7" t="s">
        <v>246</v>
      </c>
      <c r="G4" s="7" t="s">
        <v>249</v>
      </c>
      <c r="H4" s="7" t="s">
        <v>194</v>
      </c>
      <c r="I4" s="7" t="s">
        <v>196</v>
      </c>
    </row>
    <row r="5">
      <c r="A5" s="8" t="s">
        <v>253</v>
      </c>
      <c r="B5" s="8" t="s">
        <v>255</v>
      </c>
      <c r="C5" s="8" t="s">
        <v>257</v>
      </c>
      <c r="D5" s="8" t="s">
        <v>259</v>
      </c>
      <c r="E5" s="8" t="s">
        <v>225</v>
      </c>
      <c r="F5" s="8">
        <v>350.0</v>
      </c>
      <c r="G5" s="8">
        <v>100.0</v>
      </c>
      <c r="H5" s="8" t="s">
        <v>34</v>
      </c>
      <c r="I5" s="8" t="s">
        <v>260</v>
      </c>
    </row>
    <row r="6">
      <c r="A6" s="8" t="s">
        <v>253</v>
      </c>
      <c r="B6" s="8" t="s">
        <v>261</v>
      </c>
      <c r="C6" s="8" t="s">
        <v>262</v>
      </c>
      <c r="D6" s="8" t="s">
        <v>263</v>
      </c>
      <c r="E6" s="8" t="s">
        <v>225</v>
      </c>
      <c r="F6" s="8" t="s">
        <v>225</v>
      </c>
      <c r="G6" s="8" t="s">
        <v>225</v>
      </c>
      <c r="H6" s="8" t="s">
        <v>34</v>
      </c>
      <c r="I6" s="8" t="s">
        <v>264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FA21A1FF-AF7C-41B2-ABA3-0BF98D2A2AFC}" filter="1" showAutoFilter="1">
      <autoFilter ref="$A$4:$I$6"/>
      <extLst>
        <ext uri="GoogleSheetsCustomDataVersion1">
          <go:sheetsCustomData xmlns:go="http://customooxmlschemas.google.com/" filterViewId="1326326039"/>
        </ext>
      </extLst>
    </customSheetView>
  </customSheetViews>
  <mergeCells count="2">
    <mergeCell ref="A1:H1"/>
    <mergeCell ref="A2:I2"/>
  </mergeCells>
  <printOptions/>
  <pageMargins bottom="1.0" footer="0.0" header="0.0" left="0.75" right="0.75" top="1.0"/>
  <pageSetup fitToHeight="0"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28.0"/>
    <col customWidth="1" min="3" max="3" width="22.0"/>
    <col customWidth="1" min="4" max="4" width="18.0"/>
    <col customWidth="1" min="5" max="5" width="16.0"/>
    <col customWidth="1" min="6" max="6" width="20.0"/>
    <col customWidth="1" min="7" max="7" width="10.0"/>
    <col customWidth="1" min="8" max="8" width="45.0"/>
    <col customWidth="1" min="9" max="26" width="8.71"/>
  </cols>
  <sheetData>
    <row r="1">
      <c r="A1" s="1" t="s">
        <v>241</v>
      </c>
    </row>
    <row r="2">
      <c r="A2" s="2" t="s">
        <v>244</v>
      </c>
    </row>
    <row r="4">
      <c r="A4" s="7" t="s">
        <v>247</v>
      </c>
      <c r="B4" s="7" t="s">
        <v>250</v>
      </c>
      <c r="C4" s="7" t="s">
        <v>251</v>
      </c>
      <c r="D4" s="7" t="s">
        <v>252</v>
      </c>
      <c r="E4" s="7" t="s">
        <v>254</v>
      </c>
      <c r="F4" s="7" t="s">
        <v>256</v>
      </c>
      <c r="G4" s="7" t="s">
        <v>194</v>
      </c>
      <c r="H4" s="7" t="s">
        <v>196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E7B33DF5-63DF-4271-90D7-C29B70F1E683}" filter="1" showAutoFilter="1">
      <autoFilter ref="$A$4:$H$5"/>
      <extLst>
        <ext uri="GoogleSheetsCustomDataVersion1">
          <go:sheetsCustomData xmlns:go="http://customooxmlschemas.google.com/" filterViewId="1279129470"/>
        </ext>
      </extLst>
    </customSheetView>
  </customSheetViews>
  <mergeCells count="2">
    <mergeCell ref="A1:H1"/>
    <mergeCell ref="A2:H2"/>
  </mergeCells>
  <printOptions/>
  <pageMargins bottom="1.0" footer="0.0" header="0.0" left="0.75" right="0.75" top="1.0"/>
  <pageSetup fitToHeight="0"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25.0"/>
    <col customWidth="1" min="3" max="3" width="18.0"/>
    <col customWidth="1" min="4" max="4" width="20.0"/>
    <col customWidth="1" min="5" max="5" width="10.0"/>
    <col customWidth="1" min="6" max="6" width="45.0"/>
    <col customWidth="1" min="7" max="26" width="8.71"/>
  </cols>
  <sheetData>
    <row r="1">
      <c r="A1" s="1" t="s">
        <v>282</v>
      </c>
    </row>
    <row r="2">
      <c r="A2" s="2" t="s">
        <v>283</v>
      </c>
    </row>
    <row r="4">
      <c r="A4" s="7" t="s">
        <v>206</v>
      </c>
      <c r="B4" s="7" t="s">
        <v>284</v>
      </c>
      <c r="C4" s="7" t="s">
        <v>13</v>
      </c>
      <c r="D4" s="7" t="s">
        <v>181</v>
      </c>
      <c r="E4" s="7" t="s">
        <v>194</v>
      </c>
      <c r="F4" s="7" t="s">
        <v>196</v>
      </c>
    </row>
    <row r="5">
      <c r="A5" s="8" t="s">
        <v>219</v>
      </c>
      <c r="B5" s="8" t="s">
        <v>287</v>
      </c>
      <c r="C5" s="8" t="s">
        <v>30</v>
      </c>
      <c r="D5" s="8"/>
      <c r="E5" s="8" t="s">
        <v>34</v>
      </c>
      <c r="F5" s="8"/>
    </row>
    <row r="6">
      <c r="A6" s="8" t="s">
        <v>289</v>
      </c>
      <c r="B6" s="8" t="s">
        <v>225</v>
      </c>
      <c r="C6" s="8" t="s">
        <v>45</v>
      </c>
      <c r="D6" s="8" t="s">
        <v>225</v>
      </c>
      <c r="E6" s="8" t="s">
        <v>34</v>
      </c>
      <c r="F6" s="8" t="s">
        <v>290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AF32B5B2-2FEE-434C-A18E-507FF3395664}" filter="1" showAutoFilter="1">
      <autoFilter ref="$A$4:$F$6"/>
      <extLst>
        <ext uri="GoogleSheetsCustomDataVersion1">
          <go:sheetsCustomData xmlns:go="http://customooxmlschemas.google.com/" filterViewId="2106284844"/>
        </ext>
      </extLst>
    </customSheetView>
  </customSheetViews>
  <mergeCells count="2">
    <mergeCell ref="A1:F1"/>
    <mergeCell ref="A2:F2"/>
  </mergeCells>
  <printOptions/>
  <pageMargins bottom="1.0" footer="0.0" header="0.0" left="0.75" right="0.75" top="1.0"/>
  <pageSetup fitToHeight="0"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6.0"/>
    <col customWidth="1" min="2" max="3" width="18.0"/>
    <col customWidth="1" min="4" max="4" width="25.0"/>
    <col customWidth="1" min="5" max="5" width="18.0"/>
    <col customWidth="1" min="6" max="6" width="12.0"/>
    <col customWidth="1" min="7" max="7" width="28.0"/>
    <col customWidth="1" min="8" max="8" width="18.0"/>
    <col customWidth="1" min="9" max="9" width="10.0"/>
    <col customWidth="1" min="10" max="10" width="42.0"/>
    <col customWidth="1" min="11" max="26" width="8.71"/>
  </cols>
  <sheetData>
    <row r="1">
      <c r="A1" s="1" t="s">
        <v>293</v>
      </c>
    </row>
    <row r="2">
      <c r="A2" s="2" t="s">
        <v>294</v>
      </c>
    </row>
    <row r="4">
      <c r="A4" s="7" t="s">
        <v>295</v>
      </c>
      <c r="B4" s="7" t="s">
        <v>296</v>
      </c>
      <c r="C4" s="7" t="s">
        <v>297</v>
      </c>
      <c r="D4" s="7" t="s">
        <v>298</v>
      </c>
      <c r="E4" s="7" t="s">
        <v>299</v>
      </c>
      <c r="F4" s="7" t="s">
        <v>12</v>
      </c>
      <c r="G4" s="7" t="s">
        <v>300</v>
      </c>
      <c r="H4" s="7" t="s">
        <v>301</v>
      </c>
      <c r="I4" s="7" t="s">
        <v>194</v>
      </c>
      <c r="J4" s="7" t="s">
        <v>196</v>
      </c>
    </row>
    <row r="5">
      <c r="A5" s="8" t="s">
        <v>302</v>
      </c>
      <c r="B5" s="8" t="s">
        <v>216</v>
      </c>
      <c r="C5" s="8" t="s">
        <v>235</v>
      </c>
      <c r="D5" s="8" t="s">
        <v>303</v>
      </c>
      <c r="E5" s="8">
        <v>1.0</v>
      </c>
      <c r="F5" s="8" t="s">
        <v>44</v>
      </c>
      <c r="G5" s="8" t="s">
        <v>304</v>
      </c>
      <c r="H5" s="8" t="s">
        <v>225</v>
      </c>
      <c r="I5" s="8" t="s">
        <v>34</v>
      </c>
      <c r="J5" s="8" t="s">
        <v>305</v>
      </c>
    </row>
    <row r="6">
      <c r="A6" s="8" t="s">
        <v>302</v>
      </c>
      <c r="B6" s="8" t="s">
        <v>216</v>
      </c>
      <c r="C6" s="8" t="s">
        <v>274</v>
      </c>
      <c r="D6" s="8" t="s">
        <v>276</v>
      </c>
      <c r="E6" s="8">
        <v>1.0</v>
      </c>
      <c r="F6" s="8" t="s">
        <v>29</v>
      </c>
      <c r="G6" s="8" t="s">
        <v>306</v>
      </c>
      <c r="H6" s="8" t="s">
        <v>225</v>
      </c>
      <c r="I6" s="8" t="s">
        <v>34</v>
      </c>
      <c r="J6" s="8"/>
    </row>
    <row r="7">
      <c r="A7" s="8" t="s">
        <v>302</v>
      </c>
      <c r="B7" s="8" t="s">
        <v>216</v>
      </c>
      <c r="C7" s="8" t="s">
        <v>311</v>
      </c>
      <c r="D7" s="8" t="s">
        <v>312</v>
      </c>
      <c r="E7" s="8">
        <v>2.0</v>
      </c>
      <c r="F7" s="8" t="s">
        <v>29</v>
      </c>
      <c r="G7" s="8" t="s">
        <v>306</v>
      </c>
      <c r="H7" s="8" t="s">
        <v>225</v>
      </c>
      <c r="I7" s="8" t="s">
        <v>34</v>
      </c>
      <c r="J7" s="8" t="s">
        <v>316</v>
      </c>
    </row>
    <row r="8">
      <c r="A8" s="8" t="s">
        <v>302</v>
      </c>
      <c r="B8" s="8" t="s">
        <v>216</v>
      </c>
      <c r="C8" s="8" t="s">
        <v>318</v>
      </c>
      <c r="D8" s="8" t="s">
        <v>286</v>
      </c>
      <c r="E8" s="8">
        <v>1.0</v>
      </c>
      <c r="F8" s="8" t="s">
        <v>29</v>
      </c>
      <c r="G8" s="8" t="s">
        <v>306</v>
      </c>
      <c r="H8" s="8" t="s">
        <v>225</v>
      </c>
      <c r="I8" s="8" t="s">
        <v>34</v>
      </c>
      <c r="J8" s="8" t="s">
        <v>321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E0CAEDB9-24FA-4270-86EB-AD9282C6FC20}" filter="1" showAutoFilter="1">
      <autoFilter ref="$A$4:$J$8"/>
      <extLst>
        <ext uri="GoogleSheetsCustomDataVersion1">
          <go:sheetsCustomData xmlns:go="http://customooxmlschemas.google.com/" filterViewId="236559357"/>
        </ext>
      </extLst>
    </customSheetView>
  </customSheetViews>
  <mergeCells count="2">
    <mergeCell ref="A1:H1"/>
    <mergeCell ref="A2:J2"/>
  </mergeCells>
  <printOptions/>
  <pageMargins bottom="1.0" footer="0.0" header="0.0" left="0.75" right="0.75" top="1.0"/>
  <pageSetup fitToHeight="0"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14.0"/>
    <col customWidth="1" min="3" max="3" width="18.0"/>
    <col customWidth="1" min="4" max="4" width="20.0"/>
    <col customWidth="1" min="5" max="5" width="14.0"/>
    <col customWidth="1" min="6" max="6" width="18.0"/>
    <col customWidth="1" min="7" max="7" width="14.0"/>
    <col customWidth="1" min="8" max="8" width="10.0"/>
    <col customWidth="1" min="9" max="9" width="16.0"/>
    <col customWidth="1" min="10" max="10" width="12.0"/>
    <col customWidth="1" min="11" max="11" width="22.0"/>
    <col customWidth="1" min="12" max="12" width="18.0"/>
    <col customWidth="1" min="13" max="13" width="20.0"/>
    <col customWidth="1" min="14" max="14" width="40.0"/>
    <col customWidth="1" min="15" max="26" width="8.71"/>
  </cols>
  <sheetData>
    <row r="1">
      <c r="A1" s="1" t="s">
        <v>307</v>
      </c>
    </row>
    <row r="2">
      <c r="A2" s="2" t="s">
        <v>308</v>
      </c>
    </row>
    <row r="4">
      <c r="A4" s="7" t="s">
        <v>309</v>
      </c>
      <c r="B4" s="7" t="s">
        <v>310</v>
      </c>
      <c r="C4" s="7" t="s">
        <v>181</v>
      </c>
      <c r="D4" s="7" t="s">
        <v>313</v>
      </c>
      <c r="E4" s="7" t="s">
        <v>314</v>
      </c>
      <c r="F4" s="7" t="s">
        <v>204</v>
      </c>
      <c r="G4" s="7" t="s">
        <v>315</v>
      </c>
      <c r="H4" s="7" t="s">
        <v>12</v>
      </c>
      <c r="I4" s="7" t="s">
        <v>317</v>
      </c>
      <c r="J4" s="7" t="s">
        <v>16</v>
      </c>
      <c r="K4" s="7" t="s">
        <v>4</v>
      </c>
      <c r="L4" s="7" t="s">
        <v>319</v>
      </c>
      <c r="M4" s="7" t="s">
        <v>320</v>
      </c>
      <c r="N4" s="7" t="s">
        <v>196</v>
      </c>
    </row>
    <row r="5">
      <c r="B5" s="25"/>
      <c r="E5" s="25"/>
      <c r="I5" s="25"/>
    </row>
    <row r="6">
      <c r="B6" s="26"/>
      <c r="E6" s="26"/>
      <c r="I6" s="26"/>
    </row>
    <row r="7">
      <c r="B7" s="26"/>
      <c r="E7" s="26"/>
      <c r="I7" s="26"/>
    </row>
    <row r="8">
      <c r="B8" s="26"/>
      <c r="E8" s="26"/>
      <c r="I8" s="26"/>
    </row>
    <row r="9">
      <c r="B9" s="26"/>
      <c r="E9" s="26"/>
      <c r="I9" s="26"/>
    </row>
    <row r="10">
      <c r="B10" s="26"/>
      <c r="E10" s="26"/>
      <c r="I10" s="26"/>
    </row>
    <row r="11">
      <c r="B11" s="26"/>
      <c r="E11" s="26"/>
      <c r="I11" s="26"/>
    </row>
    <row r="12">
      <c r="B12" s="26"/>
      <c r="E12" s="26"/>
      <c r="I12" s="26"/>
    </row>
    <row r="13">
      <c r="B13" s="26"/>
      <c r="E13" s="26"/>
      <c r="I13" s="26"/>
    </row>
    <row r="14">
      <c r="B14" s="26"/>
      <c r="E14" s="26"/>
      <c r="I14" s="26"/>
    </row>
    <row r="15">
      <c r="B15" s="26"/>
      <c r="E15" s="26"/>
      <c r="I15" s="26"/>
    </row>
    <row r="16">
      <c r="B16" s="26"/>
      <c r="E16" s="26"/>
      <c r="I16" s="26"/>
    </row>
    <row r="17">
      <c r="B17" s="26"/>
      <c r="E17" s="26"/>
      <c r="I17" s="26"/>
    </row>
    <row r="18">
      <c r="B18" s="26"/>
      <c r="E18" s="26"/>
      <c r="I18" s="26"/>
    </row>
    <row r="19">
      <c r="B19" s="26"/>
      <c r="E19" s="26"/>
      <c r="I19" s="26"/>
    </row>
    <row r="20">
      <c r="B20" s="26"/>
      <c r="E20" s="26"/>
      <c r="I20" s="26"/>
    </row>
    <row r="21" ht="15.75" customHeight="1">
      <c r="B21" s="26"/>
      <c r="E21" s="26"/>
      <c r="I21" s="26"/>
    </row>
    <row r="22" ht="15.75" customHeight="1">
      <c r="B22" s="26"/>
      <c r="E22" s="26"/>
      <c r="I22" s="26"/>
    </row>
    <row r="23" ht="15.75" customHeight="1">
      <c r="B23" s="26"/>
      <c r="E23" s="26"/>
      <c r="I23" s="26"/>
    </row>
    <row r="24" ht="15.75" customHeight="1">
      <c r="B24" s="26"/>
      <c r="E24" s="26"/>
      <c r="I24" s="26"/>
    </row>
    <row r="25" ht="15.75" customHeight="1">
      <c r="B25" s="26"/>
      <c r="E25" s="26"/>
      <c r="I25" s="26"/>
    </row>
    <row r="26" ht="15.75" customHeight="1">
      <c r="B26" s="26"/>
      <c r="E26" s="26"/>
      <c r="I26" s="26"/>
    </row>
    <row r="27" ht="15.75" customHeight="1">
      <c r="B27" s="26"/>
      <c r="E27" s="26"/>
      <c r="I27" s="26"/>
    </row>
    <row r="28" ht="15.75" customHeight="1">
      <c r="B28" s="26"/>
      <c r="E28" s="26"/>
      <c r="I28" s="26"/>
    </row>
    <row r="29" ht="15.75" customHeight="1">
      <c r="B29" s="26"/>
      <c r="E29" s="26"/>
      <c r="I29" s="26"/>
    </row>
    <row r="30" ht="15.75" customHeight="1">
      <c r="B30" s="26"/>
      <c r="E30" s="26"/>
      <c r="I30" s="26"/>
    </row>
    <row r="31" ht="15.75" customHeight="1">
      <c r="B31" s="26"/>
      <c r="E31" s="26"/>
      <c r="I31" s="26"/>
    </row>
    <row r="32" ht="15.75" customHeight="1">
      <c r="B32" s="26"/>
      <c r="E32" s="26"/>
      <c r="I32" s="26"/>
    </row>
    <row r="33" ht="15.75" customHeight="1">
      <c r="B33" s="26"/>
      <c r="E33" s="26"/>
      <c r="I33" s="26"/>
    </row>
    <row r="34" ht="15.75" customHeight="1">
      <c r="B34" s="26"/>
      <c r="E34" s="26"/>
      <c r="I34" s="26"/>
    </row>
    <row r="35" ht="15.75" customHeight="1">
      <c r="B35" s="26"/>
      <c r="E35" s="26"/>
      <c r="I35" s="26"/>
    </row>
    <row r="36" ht="15.75" customHeight="1">
      <c r="B36" s="26"/>
      <c r="E36" s="26"/>
      <c r="I36" s="26"/>
    </row>
    <row r="37" ht="15.75" customHeight="1">
      <c r="B37" s="26"/>
      <c r="E37" s="26"/>
      <c r="I37" s="26"/>
    </row>
    <row r="38" ht="15.75" customHeight="1">
      <c r="B38" s="26"/>
      <c r="E38" s="26"/>
      <c r="I38" s="26"/>
    </row>
    <row r="39" ht="15.75" customHeight="1">
      <c r="B39" s="26"/>
      <c r="E39" s="26"/>
      <c r="I39" s="26"/>
    </row>
    <row r="40" ht="15.75" customHeight="1">
      <c r="B40" s="26"/>
      <c r="E40" s="26"/>
      <c r="I40" s="26"/>
    </row>
    <row r="41" ht="15.75" customHeight="1">
      <c r="B41" s="26"/>
      <c r="E41" s="26"/>
      <c r="I41" s="26"/>
    </row>
    <row r="42" ht="15.75" customHeight="1">
      <c r="B42" s="26"/>
      <c r="E42" s="26"/>
      <c r="I42" s="26"/>
    </row>
    <row r="43" ht="15.75" customHeight="1">
      <c r="B43" s="26"/>
      <c r="E43" s="26"/>
      <c r="I43" s="26"/>
    </row>
    <row r="44" ht="15.75" customHeight="1">
      <c r="B44" s="26"/>
      <c r="E44" s="26"/>
      <c r="I44" s="26"/>
    </row>
    <row r="45" ht="15.75" customHeight="1">
      <c r="B45" s="26"/>
      <c r="E45" s="26"/>
      <c r="I45" s="26"/>
    </row>
    <row r="46" ht="15.75" customHeight="1">
      <c r="B46" s="26"/>
      <c r="E46" s="26"/>
      <c r="I46" s="26"/>
    </row>
    <row r="47" ht="15.75" customHeight="1">
      <c r="B47" s="26"/>
      <c r="E47" s="26"/>
      <c r="I47" s="26"/>
    </row>
    <row r="48" ht="15.75" customHeight="1">
      <c r="B48" s="26"/>
      <c r="E48" s="26"/>
      <c r="I48" s="26"/>
    </row>
    <row r="49" ht="15.75" customHeight="1">
      <c r="B49" s="26"/>
      <c r="E49" s="26"/>
      <c r="I49" s="26"/>
    </row>
    <row r="50" ht="15.75" customHeight="1">
      <c r="B50" s="26"/>
      <c r="E50" s="26"/>
      <c r="I50" s="26"/>
    </row>
    <row r="51" ht="15.75" customHeight="1">
      <c r="B51" s="26"/>
      <c r="E51" s="26"/>
      <c r="I51" s="26"/>
    </row>
    <row r="52" ht="15.75" customHeight="1">
      <c r="B52" s="26"/>
      <c r="E52" s="26"/>
      <c r="I52" s="26"/>
    </row>
    <row r="53" ht="15.75" customHeight="1">
      <c r="B53" s="26"/>
      <c r="E53" s="26"/>
      <c r="I53" s="26"/>
    </row>
    <row r="54" ht="15.75" customHeight="1">
      <c r="B54" s="26"/>
      <c r="E54" s="26"/>
      <c r="I54" s="26"/>
    </row>
    <row r="55" ht="15.75" customHeight="1">
      <c r="B55" s="26"/>
      <c r="E55" s="26"/>
      <c r="I55" s="26"/>
    </row>
    <row r="56" ht="15.75" customHeight="1">
      <c r="B56" s="26"/>
      <c r="E56" s="26"/>
      <c r="I56" s="26"/>
    </row>
    <row r="57" ht="15.75" customHeight="1">
      <c r="B57" s="26"/>
      <c r="E57" s="26"/>
      <c r="I57" s="26"/>
    </row>
    <row r="58" ht="15.75" customHeight="1">
      <c r="B58" s="26"/>
      <c r="E58" s="26"/>
      <c r="I58" s="26"/>
    </row>
    <row r="59" ht="15.75" customHeight="1">
      <c r="B59" s="26"/>
      <c r="E59" s="26"/>
      <c r="I59" s="26"/>
    </row>
    <row r="60" ht="15.75" customHeight="1">
      <c r="B60" s="26"/>
      <c r="E60" s="26"/>
      <c r="I60" s="26"/>
    </row>
    <row r="61" ht="15.75" customHeight="1">
      <c r="B61" s="26"/>
      <c r="E61" s="26"/>
      <c r="I61" s="26"/>
    </row>
    <row r="62" ht="15.75" customHeight="1">
      <c r="B62" s="26"/>
      <c r="E62" s="26"/>
      <c r="I62" s="26"/>
    </row>
    <row r="63" ht="15.75" customHeight="1">
      <c r="B63" s="26"/>
      <c r="E63" s="26"/>
      <c r="I63" s="26"/>
    </row>
    <row r="64" ht="15.75" customHeight="1">
      <c r="B64" s="26"/>
      <c r="E64" s="26"/>
      <c r="I64" s="26"/>
    </row>
    <row r="65" ht="15.75" customHeight="1">
      <c r="B65" s="26"/>
      <c r="E65" s="26"/>
      <c r="I65" s="26"/>
    </row>
    <row r="66" ht="15.75" customHeight="1">
      <c r="B66" s="26"/>
      <c r="E66" s="26"/>
      <c r="I66" s="26"/>
    </row>
    <row r="67" ht="15.75" customHeight="1">
      <c r="B67" s="26"/>
      <c r="E67" s="26"/>
      <c r="I67" s="26"/>
    </row>
    <row r="68" ht="15.75" customHeight="1">
      <c r="B68" s="26"/>
      <c r="E68" s="26"/>
      <c r="I68" s="26"/>
    </row>
    <row r="69" ht="15.75" customHeight="1">
      <c r="B69" s="26"/>
      <c r="E69" s="26"/>
      <c r="I69" s="26"/>
    </row>
    <row r="70" ht="15.75" customHeight="1">
      <c r="B70" s="26"/>
      <c r="E70" s="26"/>
      <c r="I70" s="26"/>
    </row>
    <row r="71" ht="15.75" customHeight="1">
      <c r="B71" s="26"/>
      <c r="E71" s="26"/>
      <c r="I71" s="26"/>
    </row>
    <row r="72" ht="15.75" customHeight="1">
      <c r="B72" s="26"/>
      <c r="E72" s="26"/>
      <c r="I72" s="26"/>
    </row>
    <row r="73" ht="15.75" customHeight="1">
      <c r="B73" s="26"/>
      <c r="E73" s="26"/>
      <c r="I73" s="26"/>
    </row>
    <row r="74" ht="15.75" customHeight="1">
      <c r="B74" s="26"/>
      <c r="E74" s="26"/>
      <c r="I74" s="26"/>
    </row>
    <row r="75" ht="15.75" customHeight="1">
      <c r="B75" s="26"/>
      <c r="E75" s="26"/>
      <c r="I75" s="26"/>
    </row>
    <row r="76" ht="15.75" customHeight="1">
      <c r="B76" s="26"/>
      <c r="E76" s="26"/>
      <c r="I76" s="26"/>
    </row>
    <row r="77" ht="15.75" customHeight="1">
      <c r="B77" s="26"/>
      <c r="E77" s="26"/>
      <c r="I77" s="26"/>
    </row>
    <row r="78" ht="15.75" customHeight="1">
      <c r="B78" s="26"/>
      <c r="E78" s="26"/>
      <c r="I78" s="26"/>
    </row>
    <row r="79" ht="15.75" customHeight="1">
      <c r="B79" s="26"/>
      <c r="E79" s="26"/>
      <c r="I79" s="26"/>
    </row>
    <row r="80" ht="15.75" customHeight="1">
      <c r="B80" s="26"/>
      <c r="E80" s="26"/>
      <c r="I80" s="26"/>
    </row>
    <row r="81" ht="15.75" customHeight="1">
      <c r="B81" s="26"/>
      <c r="E81" s="26"/>
      <c r="I81" s="26"/>
    </row>
    <row r="82" ht="15.75" customHeight="1">
      <c r="B82" s="26"/>
      <c r="E82" s="26"/>
      <c r="I82" s="26"/>
    </row>
    <row r="83" ht="15.75" customHeight="1">
      <c r="B83" s="26"/>
      <c r="E83" s="26"/>
      <c r="I83" s="26"/>
    </row>
    <row r="84" ht="15.75" customHeight="1">
      <c r="B84" s="26"/>
      <c r="E84" s="26"/>
      <c r="I84" s="26"/>
    </row>
    <row r="85" ht="15.75" customHeight="1">
      <c r="B85" s="26"/>
      <c r="E85" s="26"/>
      <c r="I85" s="26"/>
    </row>
    <row r="86" ht="15.75" customHeight="1">
      <c r="B86" s="26"/>
      <c r="E86" s="26"/>
      <c r="I86" s="26"/>
    </row>
    <row r="87" ht="15.75" customHeight="1">
      <c r="B87" s="26"/>
      <c r="E87" s="26"/>
      <c r="I87" s="26"/>
    </row>
    <row r="88" ht="15.75" customHeight="1">
      <c r="B88" s="26"/>
      <c r="E88" s="26"/>
      <c r="I88" s="26"/>
    </row>
    <row r="89" ht="15.75" customHeight="1">
      <c r="B89" s="26"/>
      <c r="E89" s="26"/>
      <c r="I89" s="26"/>
    </row>
    <row r="90" ht="15.75" customHeight="1">
      <c r="B90" s="26"/>
      <c r="E90" s="26"/>
      <c r="I90" s="26"/>
    </row>
    <row r="91" ht="15.75" customHeight="1">
      <c r="B91" s="26"/>
      <c r="E91" s="26"/>
      <c r="I91" s="26"/>
    </row>
    <row r="92" ht="15.75" customHeight="1">
      <c r="B92" s="26"/>
      <c r="E92" s="26"/>
      <c r="I92" s="26"/>
    </row>
    <row r="93" ht="15.75" customHeight="1">
      <c r="B93" s="26"/>
      <c r="E93" s="26"/>
      <c r="I93" s="26"/>
    </row>
    <row r="94" ht="15.75" customHeight="1">
      <c r="B94" s="26"/>
      <c r="E94" s="26"/>
      <c r="I94" s="26"/>
    </row>
    <row r="95" ht="15.75" customHeight="1">
      <c r="B95" s="26"/>
      <c r="E95" s="26"/>
      <c r="I95" s="26"/>
    </row>
    <row r="96" ht="15.75" customHeight="1">
      <c r="B96" s="26"/>
      <c r="E96" s="26"/>
      <c r="I96" s="26"/>
    </row>
    <row r="97" ht="15.75" customHeight="1">
      <c r="B97" s="26"/>
      <c r="E97" s="26"/>
      <c r="I97" s="26"/>
    </row>
    <row r="98" ht="15.75" customHeight="1">
      <c r="B98" s="26"/>
      <c r="E98" s="26"/>
      <c r="I98" s="26"/>
    </row>
    <row r="99" ht="15.75" customHeight="1">
      <c r="B99" s="26"/>
      <c r="E99" s="26"/>
      <c r="I99" s="26"/>
    </row>
    <row r="100" ht="15.75" customHeight="1">
      <c r="B100" s="26"/>
      <c r="E100" s="26"/>
      <c r="I100" s="26"/>
    </row>
    <row r="101" ht="15.75" customHeight="1">
      <c r="B101" s="26"/>
      <c r="E101" s="26"/>
      <c r="I101" s="26"/>
    </row>
    <row r="102" ht="15.75" customHeight="1">
      <c r="B102" s="26"/>
      <c r="E102" s="26"/>
      <c r="I102" s="26"/>
    </row>
    <row r="103" ht="15.75" customHeight="1">
      <c r="B103" s="26"/>
      <c r="E103" s="26"/>
      <c r="I103" s="26"/>
    </row>
    <row r="104" ht="15.75" customHeight="1">
      <c r="B104" s="26"/>
      <c r="E104" s="26"/>
      <c r="I104" s="26"/>
    </row>
    <row r="105" ht="15.75" customHeight="1">
      <c r="B105" s="26"/>
      <c r="E105" s="26"/>
      <c r="I105" s="26"/>
    </row>
    <row r="106" ht="15.75" customHeight="1">
      <c r="B106" s="26"/>
      <c r="E106" s="26"/>
      <c r="I106" s="26"/>
    </row>
    <row r="107" ht="15.75" customHeight="1">
      <c r="B107" s="26"/>
      <c r="E107" s="26"/>
      <c r="I107" s="26"/>
    </row>
    <row r="108" ht="15.75" customHeight="1">
      <c r="B108" s="26"/>
      <c r="E108" s="26"/>
      <c r="I108" s="26"/>
    </row>
    <row r="109" ht="15.75" customHeight="1">
      <c r="B109" s="26"/>
      <c r="E109" s="26"/>
      <c r="I109" s="26"/>
    </row>
    <row r="110" ht="15.75" customHeight="1">
      <c r="B110" s="26"/>
      <c r="E110" s="26"/>
      <c r="I110" s="26"/>
    </row>
    <row r="111" ht="15.75" customHeight="1">
      <c r="B111" s="26"/>
      <c r="E111" s="26"/>
      <c r="I111" s="26"/>
    </row>
    <row r="112" ht="15.75" customHeight="1">
      <c r="B112" s="26"/>
      <c r="E112" s="26"/>
      <c r="I112" s="26"/>
    </row>
    <row r="113" ht="15.75" customHeight="1">
      <c r="B113" s="26"/>
      <c r="E113" s="26"/>
      <c r="I113" s="26"/>
    </row>
    <row r="114" ht="15.75" customHeight="1">
      <c r="B114" s="26"/>
      <c r="E114" s="26"/>
      <c r="I114" s="26"/>
    </row>
    <row r="115" ht="15.75" customHeight="1">
      <c r="B115" s="26"/>
      <c r="E115" s="26"/>
      <c r="I115" s="26"/>
    </row>
    <row r="116" ht="15.75" customHeight="1">
      <c r="B116" s="26"/>
      <c r="E116" s="26"/>
      <c r="I116" s="26"/>
    </row>
    <row r="117" ht="15.75" customHeight="1">
      <c r="B117" s="26"/>
      <c r="E117" s="26"/>
      <c r="I117" s="26"/>
    </row>
    <row r="118" ht="15.75" customHeight="1">
      <c r="B118" s="26"/>
      <c r="E118" s="26"/>
      <c r="I118" s="26"/>
    </row>
    <row r="119" ht="15.75" customHeight="1">
      <c r="B119" s="26"/>
      <c r="E119" s="26"/>
      <c r="I119" s="26"/>
    </row>
    <row r="120" ht="15.75" customHeight="1">
      <c r="B120" s="26"/>
      <c r="E120" s="26"/>
      <c r="I120" s="26"/>
    </row>
    <row r="121" ht="15.75" customHeight="1">
      <c r="B121" s="26"/>
      <c r="E121" s="26"/>
      <c r="I121" s="26"/>
    </row>
    <row r="122" ht="15.75" customHeight="1">
      <c r="B122" s="26"/>
      <c r="E122" s="26"/>
      <c r="I122" s="26"/>
    </row>
    <row r="123" ht="15.75" customHeight="1">
      <c r="B123" s="26"/>
      <c r="E123" s="26"/>
      <c r="I123" s="26"/>
    </row>
    <row r="124" ht="15.75" customHeight="1">
      <c r="B124" s="26"/>
      <c r="E124" s="26"/>
      <c r="I124" s="26"/>
    </row>
    <row r="125" ht="15.75" customHeight="1">
      <c r="B125" s="26"/>
      <c r="E125" s="26"/>
      <c r="I125" s="26"/>
    </row>
    <row r="126" ht="15.75" customHeight="1">
      <c r="B126" s="26"/>
      <c r="E126" s="26"/>
      <c r="I126" s="26"/>
    </row>
    <row r="127" ht="15.75" customHeight="1">
      <c r="B127" s="26"/>
      <c r="E127" s="26"/>
      <c r="I127" s="26"/>
    </row>
    <row r="128" ht="15.75" customHeight="1">
      <c r="B128" s="26"/>
      <c r="E128" s="26"/>
      <c r="I128" s="26"/>
    </row>
    <row r="129" ht="15.75" customHeight="1">
      <c r="B129" s="26"/>
      <c r="E129" s="26"/>
      <c r="I129" s="26"/>
    </row>
    <row r="130" ht="15.75" customHeight="1">
      <c r="B130" s="26"/>
      <c r="E130" s="26"/>
      <c r="I130" s="26"/>
    </row>
    <row r="131" ht="15.75" customHeight="1">
      <c r="B131" s="26"/>
      <c r="E131" s="26"/>
      <c r="I131" s="26"/>
    </row>
    <row r="132" ht="15.75" customHeight="1">
      <c r="B132" s="26"/>
      <c r="E132" s="26"/>
      <c r="I132" s="26"/>
    </row>
    <row r="133" ht="15.75" customHeight="1">
      <c r="B133" s="26"/>
      <c r="E133" s="26"/>
      <c r="I133" s="26"/>
    </row>
    <row r="134" ht="15.75" customHeight="1">
      <c r="B134" s="26"/>
      <c r="E134" s="26"/>
      <c r="I134" s="26"/>
    </row>
    <row r="135" ht="15.75" customHeight="1">
      <c r="B135" s="26"/>
      <c r="E135" s="26"/>
      <c r="I135" s="26"/>
    </row>
    <row r="136" ht="15.75" customHeight="1">
      <c r="B136" s="26"/>
      <c r="E136" s="26"/>
      <c r="I136" s="26"/>
    </row>
    <row r="137" ht="15.75" customHeight="1">
      <c r="B137" s="26"/>
      <c r="E137" s="26"/>
      <c r="I137" s="26"/>
    </row>
    <row r="138" ht="15.75" customHeight="1">
      <c r="B138" s="26"/>
      <c r="E138" s="26"/>
      <c r="I138" s="26"/>
    </row>
    <row r="139" ht="15.75" customHeight="1">
      <c r="B139" s="26"/>
      <c r="E139" s="26"/>
      <c r="I139" s="26"/>
    </row>
    <row r="140" ht="15.75" customHeight="1">
      <c r="B140" s="26"/>
      <c r="E140" s="26"/>
      <c r="I140" s="26"/>
    </row>
    <row r="141" ht="15.75" customHeight="1">
      <c r="B141" s="26"/>
      <c r="E141" s="26"/>
      <c r="I141" s="26"/>
    </row>
    <row r="142" ht="15.75" customHeight="1">
      <c r="B142" s="26"/>
      <c r="E142" s="26"/>
      <c r="I142" s="26"/>
    </row>
    <row r="143" ht="15.75" customHeight="1">
      <c r="B143" s="26"/>
      <c r="E143" s="26"/>
      <c r="I143" s="26"/>
    </row>
    <row r="144" ht="15.75" customHeight="1">
      <c r="B144" s="26"/>
      <c r="E144" s="26"/>
      <c r="I144" s="26"/>
    </row>
    <row r="145" ht="15.75" customHeight="1">
      <c r="B145" s="26"/>
      <c r="E145" s="26"/>
      <c r="I145" s="26"/>
    </row>
    <row r="146" ht="15.75" customHeight="1">
      <c r="B146" s="26"/>
      <c r="E146" s="26"/>
      <c r="I146" s="26"/>
    </row>
    <row r="147" ht="15.75" customHeight="1">
      <c r="B147" s="26"/>
      <c r="E147" s="26"/>
      <c r="I147" s="26"/>
    </row>
    <row r="148" ht="15.75" customHeight="1">
      <c r="B148" s="26"/>
      <c r="E148" s="26"/>
      <c r="I148" s="26"/>
    </row>
    <row r="149" ht="15.75" customHeight="1">
      <c r="B149" s="26"/>
      <c r="E149" s="26"/>
      <c r="I149" s="26"/>
    </row>
    <row r="150" ht="15.75" customHeight="1">
      <c r="B150" s="26"/>
      <c r="E150" s="26"/>
      <c r="I150" s="26"/>
    </row>
    <row r="151" ht="15.75" customHeight="1">
      <c r="B151" s="26"/>
      <c r="E151" s="26"/>
      <c r="I151" s="26"/>
    </row>
    <row r="152" ht="15.75" customHeight="1">
      <c r="B152" s="26"/>
      <c r="E152" s="26"/>
      <c r="I152" s="26"/>
    </row>
    <row r="153" ht="15.75" customHeight="1">
      <c r="B153" s="26"/>
      <c r="E153" s="26"/>
      <c r="I153" s="26"/>
    </row>
    <row r="154" ht="15.75" customHeight="1">
      <c r="B154" s="26"/>
      <c r="E154" s="26"/>
      <c r="I154" s="26"/>
    </row>
    <row r="155" ht="15.75" customHeight="1">
      <c r="B155" s="26"/>
      <c r="E155" s="26"/>
      <c r="I155" s="26"/>
    </row>
    <row r="156" ht="15.75" customHeight="1">
      <c r="B156" s="26"/>
      <c r="E156" s="26"/>
      <c r="I156" s="26"/>
    </row>
    <row r="157" ht="15.75" customHeight="1">
      <c r="B157" s="26"/>
      <c r="E157" s="26"/>
      <c r="I157" s="26"/>
    </row>
    <row r="158" ht="15.75" customHeight="1">
      <c r="B158" s="26"/>
      <c r="E158" s="26"/>
      <c r="I158" s="26"/>
    </row>
    <row r="159" ht="15.75" customHeight="1">
      <c r="B159" s="26"/>
      <c r="E159" s="26"/>
      <c r="I159" s="26"/>
    </row>
    <row r="160" ht="15.75" customHeight="1">
      <c r="B160" s="26"/>
      <c r="E160" s="26"/>
      <c r="I160" s="26"/>
    </row>
    <row r="161" ht="15.75" customHeight="1">
      <c r="B161" s="26"/>
      <c r="E161" s="26"/>
      <c r="I161" s="26"/>
    </row>
    <row r="162" ht="15.75" customHeight="1">
      <c r="B162" s="26"/>
      <c r="E162" s="26"/>
      <c r="I162" s="26"/>
    </row>
    <row r="163" ht="15.75" customHeight="1">
      <c r="B163" s="26"/>
      <c r="E163" s="26"/>
      <c r="I163" s="26"/>
    </row>
    <row r="164" ht="15.75" customHeight="1">
      <c r="B164" s="26"/>
      <c r="E164" s="26"/>
      <c r="I164" s="26"/>
    </row>
    <row r="165" ht="15.75" customHeight="1">
      <c r="B165" s="26"/>
      <c r="E165" s="26"/>
      <c r="I165" s="26"/>
    </row>
    <row r="166" ht="15.75" customHeight="1">
      <c r="B166" s="26"/>
      <c r="E166" s="26"/>
      <c r="I166" s="26"/>
    </row>
    <row r="167" ht="15.75" customHeight="1">
      <c r="B167" s="26"/>
      <c r="E167" s="26"/>
      <c r="I167" s="26"/>
    </row>
    <row r="168" ht="15.75" customHeight="1">
      <c r="B168" s="26"/>
      <c r="E168" s="26"/>
      <c r="I168" s="26"/>
    </row>
    <row r="169" ht="15.75" customHeight="1">
      <c r="B169" s="26"/>
      <c r="E169" s="26"/>
      <c r="I169" s="26"/>
    </row>
    <row r="170" ht="15.75" customHeight="1">
      <c r="B170" s="26"/>
      <c r="E170" s="26"/>
      <c r="I170" s="26"/>
    </row>
    <row r="171" ht="15.75" customHeight="1">
      <c r="B171" s="26"/>
      <c r="E171" s="26"/>
      <c r="I171" s="26"/>
    </row>
    <row r="172" ht="15.75" customHeight="1">
      <c r="B172" s="26"/>
      <c r="E172" s="26"/>
      <c r="I172" s="26"/>
    </row>
    <row r="173" ht="15.75" customHeight="1">
      <c r="B173" s="26"/>
      <c r="E173" s="26"/>
      <c r="I173" s="26"/>
    </row>
    <row r="174" ht="15.75" customHeight="1">
      <c r="B174" s="26"/>
      <c r="E174" s="26"/>
      <c r="I174" s="26"/>
    </row>
    <row r="175" ht="15.75" customHeight="1">
      <c r="B175" s="26"/>
      <c r="E175" s="26"/>
      <c r="I175" s="26"/>
    </row>
    <row r="176" ht="15.75" customHeight="1">
      <c r="B176" s="26"/>
      <c r="E176" s="26"/>
      <c r="I176" s="26"/>
    </row>
    <row r="177" ht="15.75" customHeight="1">
      <c r="B177" s="26"/>
      <c r="E177" s="26"/>
      <c r="I177" s="26"/>
    </row>
    <row r="178" ht="15.75" customHeight="1">
      <c r="B178" s="26"/>
      <c r="E178" s="26"/>
      <c r="I178" s="26"/>
    </row>
    <row r="179" ht="15.75" customHeight="1">
      <c r="B179" s="26"/>
      <c r="E179" s="26"/>
      <c r="I179" s="26"/>
    </row>
    <row r="180" ht="15.75" customHeight="1">
      <c r="B180" s="26"/>
      <c r="E180" s="26"/>
      <c r="I180" s="26"/>
    </row>
    <row r="181" ht="15.75" customHeight="1">
      <c r="B181" s="26"/>
      <c r="E181" s="26"/>
      <c r="I181" s="26"/>
    </row>
    <row r="182" ht="15.75" customHeight="1">
      <c r="B182" s="26"/>
      <c r="E182" s="26"/>
      <c r="I182" s="26"/>
    </row>
    <row r="183" ht="15.75" customHeight="1">
      <c r="B183" s="26"/>
      <c r="E183" s="26"/>
      <c r="I183" s="26"/>
    </row>
    <row r="184" ht="15.75" customHeight="1">
      <c r="B184" s="26"/>
      <c r="E184" s="26"/>
      <c r="I184" s="26"/>
    </row>
    <row r="185" ht="15.75" customHeight="1">
      <c r="B185" s="26"/>
      <c r="E185" s="26"/>
      <c r="I185" s="26"/>
    </row>
    <row r="186" ht="15.75" customHeight="1">
      <c r="B186" s="26"/>
      <c r="E186" s="26"/>
      <c r="I186" s="26"/>
    </row>
    <row r="187" ht="15.75" customHeight="1">
      <c r="B187" s="26"/>
      <c r="E187" s="26"/>
      <c r="I187" s="26"/>
    </row>
    <row r="188" ht="15.75" customHeight="1">
      <c r="B188" s="26"/>
      <c r="E188" s="26"/>
      <c r="I188" s="26"/>
    </row>
    <row r="189" ht="15.75" customHeight="1">
      <c r="B189" s="26"/>
      <c r="E189" s="26"/>
      <c r="I189" s="26"/>
    </row>
    <row r="190" ht="15.75" customHeight="1">
      <c r="B190" s="26"/>
      <c r="E190" s="26"/>
      <c r="I190" s="26"/>
    </row>
    <row r="191" ht="15.75" customHeight="1">
      <c r="B191" s="26"/>
      <c r="E191" s="26"/>
      <c r="I191" s="26"/>
    </row>
    <row r="192" ht="15.75" customHeight="1">
      <c r="B192" s="26"/>
      <c r="E192" s="26"/>
      <c r="I192" s="26"/>
    </row>
    <row r="193" ht="15.75" customHeight="1">
      <c r="B193" s="26"/>
      <c r="E193" s="26"/>
      <c r="I193" s="26"/>
    </row>
    <row r="194" ht="15.75" customHeight="1">
      <c r="B194" s="26"/>
      <c r="E194" s="26"/>
      <c r="I194" s="26"/>
    </row>
    <row r="195" ht="15.75" customHeight="1">
      <c r="B195" s="26"/>
      <c r="E195" s="26"/>
      <c r="I195" s="26"/>
    </row>
    <row r="196" ht="15.75" customHeight="1">
      <c r="B196" s="26"/>
      <c r="E196" s="26"/>
      <c r="I196" s="26"/>
    </row>
    <row r="197" ht="15.75" customHeight="1">
      <c r="B197" s="26"/>
      <c r="E197" s="26"/>
      <c r="I197" s="26"/>
    </row>
    <row r="198" ht="15.75" customHeight="1">
      <c r="B198" s="26"/>
      <c r="E198" s="26"/>
      <c r="I198" s="26"/>
    </row>
    <row r="199" ht="15.75" customHeight="1">
      <c r="B199" s="26"/>
      <c r="E199" s="26"/>
      <c r="I199" s="26"/>
    </row>
    <row r="200" ht="15.75" customHeight="1">
      <c r="B200" s="26"/>
      <c r="E200" s="26"/>
      <c r="I200" s="26"/>
    </row>
    <row r="201" ht="15.75" customHeight="1">
      <c r="B201" s="26"/>
      <c r="E201" s="26"/>
      <c r="I201" s="26"/>
    </row>
    <row r="202" ht="15.75" customHeight="1">
      <c r="B202" s="26"/>
      <c r="E202" s="26"/>
      <c r="I202" s="26"/>
    </row>
    <row r="203" ht="15.75" customHeight="1">
      <c r="B203" s="26"/>
      <c r="E203" s="26"/>
      <c r="I203" s="26"/>
    </row>
    <row r="204" ht="15.75" customHeight="1">
      <c r="B204" s="26"/>
      <c r="E204" s="26"/>
      <c r="I204" s="26"/>
    </row>
    <row r="205" ht="15.75" customHeight="1">
      <c r="B205" s="26"/>
      <c r="E205" s="26"/>
      <c r="I205" s="26"/>
    </row>
    <row r="206" ht="15.75" customHeight="1">
      <c r="B206" s="26"/>
      <c r="E206" s="26"/>
      <c r="I206" s="26"/>
    </row>
    <row r="207" ht="15.75" customHeight="1">
      <c r="B207" s="26"/>
      <c r="E207" s="26"/>
      <c r="I207" s="26"/>
    </row>
    <row r="208" ht="15.75" customHeight="1">
      <c r="B208" s="26"/>
      <c r="E208" s="26"/>
      <c r="I208" s="26"/>
    </row>
    <row r="209" ht="15.75" customHeight="1">
      <c r="B209" s="26"/>
      <c r="E209" s="26"/>
      <c r="I209" s="26"/>
    </row>
    <row r="210" ht="15.75" customHeight="1">
      <c r="B210" s="26"/>
      <c r="E210" s="26"/>
      <c r="I210" s="26"/>
    </row>
    <row r="211" ht="15.75" customHeight="1">
      <c r="B211" s="26"/>
      <c r="E211" s="26"/>
      <c r="I211" s="26"/>
    </row>
    <row r="212" ht="15.75" customHeight="1">
      <c r="B212" s="26"/>
      <c r="E212" s="26"/>
      <c r="I212" s="26"/>
    </row>
    <row r="213" ht="15.75" customHeight="1">
      <c r="B213" s="26"/>
      <c r="E213" s="26"/>
      <c r="I213" s="26"/>
    </row>
    <row r="214" ht="15.75" customHeight="1">
      <c r="B214" s="26"/>
      <c r="E214" s="26"/>
      <c r="I214" s="26"/>
    </row>
    <row r="215" ht="15.75" customHeight="1">
      <c r="B215" s="26"/>
      <c r="E215" s="26"/>
      <c r="I215" s="26"/>
    </row>
    <row r="216" ht="15.75" customHeight="1">
      <c r="B216" s="26"/>
      <c r="E216" s="26"/>
      <c r="I216" s="26"/>
    </row>
    <row r="217" ht="15.75" customHeight="1">
      <c r="B217" s="26"/>
      <c r="E217" s="26"/>
      <c r="I217" s="26"/>
    </row>
    <row r="218" ht="15.75" customHeight="1">
      <c r="B218" s="26"/>
      <c r="E218" s="26"/>
      <c r="I218" s="26"/>
    </row>
    <row r="219" ht="15.75" customHeight="1">
      <c r="B219" s="26"/>
      <c r="E219" s="26"/>
      <c r="I219" s="26"/>
    </row>
    <row r="220" ht="15.75" customHeight="1">
      <c r="B220" s="26"/>
      <c r="E220" s="26"/>
      <c r="I220" s="2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96F45FC-8E81-40D6-ACE0-45EAC381D4B7}" filter="1" showAutoFilter="1">
      <autoFilter ref="$A$4:$N$5"/>
      <extLst>
        <ext uri="GoogleSheetsCustomDataVersion1">
          <go:sheetsCustomData xmlns:go="http://customooxmlschemas.google.com/" filterViewId="1594279188"/>
        </ext>
      </extLst>
    </customSheetView>
  </customSheetViews>
  <mergeCells count="2">
    <mergeCell ref="A1:H1"/>
    <mergeCell ref="A2:L2"/>
  </mergeCells>
  <printOptions/>
  <pageMargins bottom="1.0" footer="0.0" header="0.0" left="0.75" right="0.75" top="1.0"/>
  <pageSetup fitToHeight="0"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14.0"/>
    <col customWidth="1" min="3" max="4" width="18.0"/>
    <col customWidth="1" min="5" max="5" width="14.0"/>
    <col customWidth="1" min="6" max="6" width="10.0"/>
    <col customWidth="1" min="7" max="13" width="18.0"/>
    <col customWidth="1" min="14" max="14" width="20.0"/>
    <col customWidth="1" min="15" max="15" width="35.0"/>
    <col customWidth="1" min="16" max="26" width="8.71"/>
  </cols>
  <sheetData>
    <row r="1">
      <c r="A1" s="1" t="s">
        <v>322</v>
      </c>
    </row>
    <row r="2">
      <c r="A2" s="2" t="s">
        <v>323</v>
      </c>
    </row>
    <row r="4">
      <c r="A4" s="7" t="s">
        <v>324</v>
      </c>
      <c r="B4" s="7" t="s">
        <v>325</v>
      </c>
      <c r="C4" s="7" t="s">
        <v>309</v>
      </c>
      <c r="D4" s="7" t="s">
        <v>204</v>
      </c>
      <c r="E4" s="7" t="s">
        <v>326</v>
      </c>
      <c r="F4" s="7" t="s">
        <v>12</v>
      </c>
      <c r="G4" s="7" t="s">
        <v>19</v>
      </c>
      <c r="H4" s="7" t="s">
        <v>247</v>
      </c>
      <c r="I4" s="7" t="s">
        <v>327</v>
      </c>
      <c r="J4" s="7" t="s">
        <v>328</v>
      </c>
      <c r="K4" s="7" t="s">
        <v>329</v>
      </c>
      <c r="L4" s="7" t="s">
        <v>330</v>
      </c>
      <c r="M4" s="7" t="s">
        <v>4</v>
      </c>
      <c r="N4" s="7" t="s">
        <v>331</v>
      </c>
      <c r="O4" s="7" t="s">
        <v>196</v>
      </c>
    </row>
    <row r="5">
      <c r="B5" s="25"/>
      <c r="I5" s="25"/>
      <c r="J5" s="25"/>
    </row>
    <row r="6">
      <c r="B6" s="26"/>
      <c r="I6" s="26"/>
      <c r="J6" s="26"/>
    </row>
    <row r="7">
      <c r="B7" s="26"/>
      <c r="I7" s="26"/>
      <c r="J7" s="26"/>
    </row>
    <row r="8">
      <c r="B8" s="26"/>
      <c r="I8" s="26"/>
      <c r="J8" s="26"/>
    </row>
    <row r="9">
      <c r="B9" s="26"/>
      <c r="I9" s="26"/>
      <c r="J9" s="26"/>
    </row>
    <row r="10">
      <c r="B10" s="26"/>
      <c r="I10" s="26"/>
      <c r="J10" s="26"/>
    </row>
    <row r="11">
      <c r="B11" s="26"/>
      <c r="I11" s="26"/>
      <c r="J11" s="26"/>
    </row>
    <row r="12">
      <c r="B12" s="26"/>
      <c r="I12" s="26"/>
      <c r="J12" s="26"/>
    </row>
    <row r="13">
      <c r="B13" s="26"/>
      <c r="I13" s="26"/>
      <c r="J13" s="26"/>
    </row>
    <row r="14">
      <c r="B14" s="26"/>
      <c r="I14" s="26"/>
      <c r="J14" s="26"/>
    </row>
    <row r="15">
      <c r="B15" s="26"/>
      <c r="I15" s="26"/>
      <c r="J15" s="26"/>
    </row>
    <row r="16">
      <c r="B16" s="26"/>
      <c r="I16" s="26"/>
      <c r="J16" s="26"/>
    </row>
    <row r="17">
      <c r="B17" s="26"/>
      <c r="I17" s="26"/>
      <c r="J17" s="26"/>
    </row>
    <row r="18">
      <c r="B18" s="26"/>
      <c r="I18" s="26"/>
      <c r="J18" s="26"/>
    </row>
    <row r="19">
      <c r="B19" s="26"/>
      <c r="I19" s="26"/>
      <c r="J19" s="26"/>
    </row>
    <row r="20">
      <c r="B20" s="26"/>
      <c r="I20" s="26"/>
      <c r="J20" s="26"/>
    </row>
    <row r="21" ht="15.75" customHeight="1">
      <c r="B21" s="26"/>
      <c r="I21" s="26"/>
      <c r="J21" s="26"/>
    </row>
    <row r="22" ht="15.75" customHeight="1">
      <c r="B22" s="26"/>
      <c r="I22" s="26"/>
      <c r="J22" s="26"/>
    </row>
    <row r="23" ht="15.75" customHeight="1">
      <c r="B23" s="26"/>
      <c r="I23" s="26"/>
      <c r="J23" s="26"/>
    </row>
    <row r="24" ht="15.75" customHeight="1">
      <c r="B24" s="26"/>
      <c r="I24" s="26"/>
      <c r="J24" s="26"/>
    </row>
    <row r="25" ht="15.75" customHeight="1">
      <c r="B25" s="26"/>
      <c r="I25" s="26"/>
      <c r="J25" s="26"/>
    </row>
    <row r="26" ht="15.75" customHeight="1">
      <c r="B26" s="26"/>
      <c r="I26" s="26"/>
      <c r="J26" s="26"/>
    </row>
    <row r="27" ht="15.75" customHeight="1">
      <c r="B27" s="26"/>
      <c r="I27" s="26"/>
      <c r="J27" s="26"/>
    </row>
    <row r="28" ht="15.75" customHeight="1">
      <c r="B28" s="26"/>
      <c r="I28" s="26"/>
      <c r="J28" s="26"/>
    </row>
    <row r="29" ht="15.75" customHeight="1">
      <c r="B29" s="26"/>
      <c r="I29" s="26"/>
      <c r="J29" s="26"/>
    </row>
    <row r="30" ht="15.75" customHeight="1">
      <c r="B30" s="26"/>
      <c r="I30" s="26"/>
      <c r="J30" s="26"/>
    </row>
    <row r="31" ht="15.75" customHeight="1">
      <c r="B31" s="26"/>
      <c r="I31" s="26"/>
      <c r="J31" s="26"/>
    </row>
    <row r="32" ht="15.75" customHeight="1">
      <c r="B32" s="26"/>
      <c r="I32" s="26"/>
      <c r="J32" s="26"/>
    </row>
    <row r="33" ht="15.75" customHeight="1">
      <c r="B33" s="26"/>
      <c r="I33" s="26"/>
      <c r="J33" s="26"/>
    </row>
    <row r="34" ht="15.75" customHeight="1">
      <c r="B34" s="26"/>
      <c r="I34" s="26"/>
      <c r="J34" s="26"/>
    </row>
    <row r="35" ht="15.75" customHeight="1">
      <c r="B35" s="26"/>
      <c r="I35" s="26"/>
      <c r="J35" s="26"/>
    </row>
    <row r="36" ht="15.75" customHeight="1">
      <c r="B36" s="26"/>
      <c r="I36" s="26"/>
      <c r="J36" s="26"/>
    </row>
    <row r="37" ht="15.75" customHeight="1">
      <c r="B37" s="26"/>
      <c r="I37" s="26"/>
      <c r="J37" s="26"/>
    </row>
    <row r="38" ht="15.75" customHeight="1">
      <c r="B38" s="26"/>
      <c r="I38" s="26"/>
      <c r="J38" s="26"/>
    </row>
    <row r="39" ht="15.75" customHeight="1">
      <c r="B39" s="26"/>
      <c r="I39" s="26"/>
      <c r="J39" s="26"/>
    </row>
    <row r="40" ht="15.75" customHeight="1">
      <c r="B40" s="26"/>
      <c r="I40" s="26"/>
      <c r="J40" s="26"/>
    </row>
    <row r="41" ht="15.75" customHeight="1">
      <c r="B41" s="26"/>
      <c r="I41" s="26"/>
      <c r="J41" s="26"/>
    </row>
    <row r="42" ht="15.75" customHeight="1">
      <c r="B42" s="26"/>
      <c r="I42" s="26"/>
      <c r="J42" s="26"/>
    </row>
    <row r="43" ht="15.75" customHeight="1">
      <c r="B43" s="26"/>
      <c r="I43" s="26"/>
      <c r="J43" s="26"/>
    </row>
    <row r="44" ht="15.75" customHeight="1">
      <c r="B44" s="26"/>
      <c r="I44" s="26"/>
      <c r="J44" s="26"/>
    </row>
    <row r="45" ht="15.75" customHeight="1">
      <c r="B45" s="26"/>
      <c r="I45" s="26"/>
      <c r="J45" s="26"/>
    </row>
    <row r="46" ht="15.75" customHeight="1">
      <c r="B46" s="26"/>
      <c r="I46" s="26"/>
      <c r="J46" s="26"/>
    </row>
    <row r="47" ht="15.75" customHeight="1">
      <c r="B47" s="26"/>
      <c r="I47" s="26"/>
      <c r="J47" s="26"/>
    </row>
    <row r="48" ht="15.75" customHeight="1">
      <c r="B48" s="26"/>
      <c r="I48" s="26"/>
      <c r="J48" s="26"/>
    </row>
    <row r="49" ht="15.75" customHeight="1">
      <c r="B49" s="26"/>
      <c r="I49" s="26"/>
      <c r="J49" s="26"/>
    </row>
    <row r="50" ht="15.75" customHeight="1">
      <c r="B50" s="26"/>
      <c r="I50" s="26"/>
      <c r="J50" s="26"/>
    </row>
    <row r="51" ht="15.75" customHeight="1">
      <c r="B51" s="26"/>
      <c r="I51" s="26"/>
      <c r="J51" s="26"/>
    </row>
    <row r="52" ht="15.75" customHeight="1">
      <c r="B52" s="26"/>
      <c r="I52" s="26"/>
      <c r="J52" s="26"/>
    </row>
    <row r="53" ht="15.75" customHeight="1">
      <c r="B53" s="26"/>
      <c r="I53" s="26"/>
      <c r="J53" s="26"/>
    </row>
    <row r="54" ht="15.75" customHeight="1">
      <c r="B54" s="26"/>
      <c r="I54" s="26"/>
      <c r="J54" s="26"/>
    </row>
    <row r="55" ht="15.75" customHeight="1">
      <c r="B55" s="26"/>
      <c r="I55" s="26"/>
      <c r="J55" s="26"/>
    </row>
    <row r="56" ht="15.75" customHeight="1">
      <c r="B56" s="26"/>
      <c r="I56" s="26"/>
      <c r="J56" s="26"/>
    </row>
    <row r="57" ht="15.75" customHeight="1">
      <c r="B57" s="26"/>
      <c r="I57" s="26"/>
      <c r="J57" s="26"/>
    </row>
    <row r="58" ht="15.75" customHeight="1">
      <c r="B58" s="26"/>
      <c r="I58" s="26"/>
      <c r="J58" s="26"/>
    </row>
    <row r="59" ht="15.75" customHeight="1">
      <c r="B59" s="26"/>
      <c r="I59" s="26"/>
      <c r="J59" s="26"/>
    </row>
    <row r="60" ht="15.75" customHeight="1">
      <c r="B60" s="26"/>
      <c r="I60" s="26"/>
      <c r="J60" s="26"/>
    </row>
    <row r="61" ht="15.75" customHeight="1">
      <c r="B61" s="26"/>
      <c r="I61" s="26"/>
      <c r="J61" s="26"/>
    </row>
    <row r="62" ht="15.75" customHeight="1">
      <c r="B62" s="26"/>
      <c r="I62" s="26"/>
      <c r="J62" s="26"/>
    </row>
    <row r="63" ht="15.75" customHeight="1">
      <c r="B63" s="26"/>
      <c r="I63" s="26"/>
      <c r="J63" s="26"/>
    </row>
    <row r="64" ht="15.75" customHeight="1">
      <c r="B64" s="26"/>
      <c r="I64" s="26"/>
      <c r="J64" s="26"/>
    </row>
    <row r="65" ht="15.75" customHeight="1">
      <c r="B65" s="26"/>
      <c r="I65" s="26"/>
      <c r="J65" s="26"/>
    </row>
    <row r="66" ht="15.75" customHeight="1">
      <c r="B66" s="26"/>
      <c r="I66" s="26"/>
      <c r="J66" s="26"/>
    </row>
    <row r="67" ht="15.75" customHeight="1">
      <c r="B67" s="26"/>
      <c r="I67" s="26"/>
      <c r="J67" s="26"/>
    </row>
    <row r="68" ht="15.75" customHeight="1">
      <c r="B68" s="26"/>
      <c r="I68" s="26"/>
      <c r="J68" s="26"/>
    </row>
    <row r="69" ht="15.75" customHeight="1">
      <c r="B69" s="26"/>
      <c r="I69" s="26"/>
      <c r="J69" s="26"/>
    </row>
    <row r="70" ht="15.75" customHeight="1">
      <c r="B70" s="26"/>
      <c r="I70" s="26"/>
      <c r="J70" s="26"/>
    </row>
    <row r="71" ht="15.75" customHeight="1">
      <c r="B71" s="26"/>
      <c r="I71" s="26"/>
      <c r="J71" s="26"/>
    </row>
    <row r="72" ht="15.75" customHeight="1">
      <c r="B72" s="26"/>
      <c r="I72" s="26"/>
      <c r="J72" s="26"/>
    </row>
    <row r="73" ht="15.75" customHeight="1">
      <c r="B73" s="26"/>
      <c r="I73" s="26"/>
      <c r="J73" s="26"/>
    </row>
    <row r="74" ht="15.75" customHeight="1">
      <c r="B74" s="26"/>
      <c r="I74" s="26"/>
      <c r="J74" s="26"/>
    </row>
    <row r="75" ht="15.75" customHeight="1">
      <c r="B75" s="26"/>
      <c r="I75" s="26"/>
      <c r="J75" s="26"/>
    </row>
    <row r="76" ht="15.75" customHeight="1">
      <c r="B76" s="26"/>
      <c r="I76" s="26"/>
      <c r="J76" s="26"/>
    </row>
    <row r="77" ht="15.75" customHeight="1">
      <c r="B77" s="26"/>
      <c r="I77" s="26"/>
      <c r="J77" s="26"/>
    </row>
    <row r="78" ht="15.75" customHeight="1">
      <c r="B78" s="26"/>
      <c r="I78" s="26"/>
      <c r="J78" s="26"/>
    </row>
    <row r="79" ht="15.75" customHeight="1">
      <c r="B79" s="26"/>
      <c r="I79" s="26"/>
      <c r="J79" s="26"/>
    </row>
    <row r="80" ht="15.75" customHeight="1">
      <c r="B80" s="26"/>
      <c r="I80" s="26"/>
      <c r="J80" s="26"/>
    </row>
    <row r="81" ht="15.75" customHeight="1">
      <c r="B81" s="26"/>
      <c r="I81" s="26"/>
      <c r="J81" s="26"/>
    </row>
    <row r="82" ht="15.75" customHeight="1">
      <c r="B82" s="26"/>
      <c r="I82" s="26"/>
      <c r="J82" s="26"/>
    </row>
    <row r="83" ht="15.75" customHeight="1">
      <c r="B83" s="26"/>
      <c r="I83" s="26"/>
      <c r="J83" s="26"/>
    </row>
    <row r="84" ht="15.75" customHeight="1">
      <c r="B84" s="26"/>
      <c r="I84" s="26"/>
      <c r="J84" s="26"/>
    </row>
    <row r="85" ht="15.75" customHeight="1">
      <c r="B85" s="26"/>
      <c r="I85" s="26"/>
      <c r="J85" s="26"/>
    </row>
    <row r="86" ht="15.75" customHeight="1">
      <c r="B86" s="26"/>
      <c r="I86" s="26"/>
      <c r="J86" s="26"/>
    </row>
    <row r="87" ht="15.75" customHeight="1">
      <c r="B87" s="26"/>
      <c r="I87" s="26"/>
      <c r="J87" s="26"/>
    </row>
    <row r="88" ht="15.75" customHeight="1">
      <c r="B88" s="26"/>
      <c r="I88" s="26"/>
      <c r="J88" s="26"/>
    </row>
    <row r="89" ht="15.75" customHeight="1">
      <c r="B89" s="26"/>
      <c r="I89" s="26"/>
      <c r="J89" s="26"/>
    </row>
    <row r="90" ht="15.75" customHeight="1">
      <c r="B90" s="26"/>
      <c r="I90" s="26"/>
      <c r="J90" s="26"/>
    </row>
    <row r="91" ht="15.75" customHeight="1">
      <c r="B91" s="26"/>
      <c r="I91" s="26"/>
      <c r="J91" s="26"/>
    </row>
    <row r="92" ht="15.75" customHeight="1">
      <c r="B92" s="26"/>
      <c r="I92" s="26"/>
      <c r="J92" s="26"/>
    </row>
    <row r="93" ht="15.75" customHeight="1">
      <c r="B93" s="26"/>
      <c r="I93" s="26"/>
      <c r="J93" s="26"/>
    </row>
    <row r="94" ht="15.75" customHeight="1">
      <c r="B94" s="26"/>
      <c r="I94" s="26"/>
      <c r="J94" s="26"/>
    </row>
    <row r="95" ht="15.75" customHeight="1">
      <c r="B95" s="26"/>
      <c r="I95" s="26"/>
      <c r="J95" s="26"/>
    </row>
    <row r="96" ht="15.75" customHeight="1">
      <c r="B96" s="26"/>
      <c r="I96" s="26"/>
      <c r="J96" s="26"/>
    </row>
    <row r="97" ht="15.75" customHeight="1">
      <c r="B97" s="26"/>
      <c r="I97" s="26"/>
      <c r="J97" s="26"/>
    </row>
    <row r="98" ht="15.75" customHeight="1">
      <c r="B98" s="26"/>
      <c r="I98" s="26"/>
      <c r="J98" s="26"/>
    </row>
    <row r="99" ht="15.75" customHeight="1">
      <c r="B99" s="26"/>
      <c r="I99" s="26"/>
      <c r="J99" s="26"/>
    </row>
    <row r="100" ht="15.75" customHeight="1">
      <c r="B100" s="26"/>
      <c r="I100" s="26"/>
      <c r="J100" s="26"/>
    </row>
    <row r="101" ht="15.75" customHeight="1">
      <c r="B101" s="26"/>
      <c r="I101" s="26"/>
      <c r="J101" s="26"/>
    </row>
    <row r="102" ht="15.75" customHeight="1">
      <c r="B102" s="26"/>
      <c r="I102" s="26"/>
      <c r="J102" s="26"/>
    </row>
    <row r="103" ht="15.75" customHeight="1">
      <c r="B103" s="26"/>
      <c r="I103" s="26"/>
      <c r="J103" s="26"/>
    </row>
    <row r="104" ht="15.75" customHeight="1">
      <c r="B104" s="26"/>
      <c r="I104" s="26"/>
      <c r="J104" s="26"/>
    </row>
    <row r="105" ht="15.75" customHeight="1">
      <c r="B105" s="26"/>
      <c r="I105" s="26"/>
      <c r="J105" s="26"/>
    </row>
    <row r="106" ht="15.75" customHeight="1">
      <c r="B106" s="26"/>
      <c r="I106" s="26"/>
      <c r="J106" s="26"/>
    </row>
    <row r="107" ht="15.75" customHeight="1">
      <c r="B107" s="26"/>
      <c r="I107" s="26"/>
      <c r="J107" s="26"/>
    </row>
    <row r="108" ht="15.75" customHeight="1">
      <c r="B108" s="26"/>
      <c r="I108" s="26"/>
      <c r="J108" s="26"/>
    </row>
    <row r="109" ht="15.75" customHeight="1">
      <c r="B109" s="26"/>
      <c r="I109" s="26"/>
      <c r="J109" s="26"/>
    </row>
    <row r="110" ht="15.75" customHeight="1">
      <c r="B110" s="26"/>
      <c r="I110" s="26"/>
      <c r="J110" s="26"/>
    </row>
    <row r="111" ht="15.75" customHeight="1">
      <c r="B111" s="26"/>
      <c r="I111" s="26"/>
      <c r="J111" s="26"/>
    </row>
    <row r="112" ht="15.75" customHeight="1">
      <c r="B112" s="26"/>
      <c r="I112" s="26"/>
      <c r="J112" s="26"/>
    </row>
    <row r="113" ht="15.75" customHeight="1">
      <c r="B113" s="26"/>
      <c r="I113" s="26"/>
      <c r="J113" s="26"/>
    </row>
    <row r="114" ht="15.75" customHeight="1">
      <c r="B114" s="26"/>
      <c r="I114" s="26"/>
      <c r="J114" s="26"/>
    </row>
    <row r="115" ht="15.75" customHeight="1">
      <c r="B115" s="26"/>
      <c r="I115" s="26"/>
      <c r="J115" s="26"/>
    </row>
    <row r="116" ht="15.75" customHeight="1">
      <c r="B116" s="26"/>
      <c r="I116" s="26"/>
      <c r="J116" s="26"/>
    </row>
    <row r="117" ht="15.75" customHeight="1">
      <c r="B117" s="26"/>
      <c r="I117" s="26"/>
      <c r="J117" s="26"/>
    </row>
    <row r="118" ht="15.75" customHeight="1">
      <c r="B118" s="26"/>
      <c r="I118" s="26"/>
      <c r="J118" s="26"/>
    </row>
    <row r="119" ht="15.75" customHeight="1">
      <c r="B119" s="26"/>
      <c r="I119" s="26"/>
      <c r="J119" s="26"/>
    </row>
    <row r="120" ht="15.75" customHeight="1">
      <c r="B120" s="26"/>
      <c r="I120" s="26"/>
      <c r="J120" s="26"/>
    </row>
    <row r="121" ht="15.75" customHeight="1">
      <c r="B121" s="26"/>
      <c r="I121" s="26"/>
      <c r="J121" s="26"/>
    </row>
    <row r="122" ht="15.75" customHeight="1">
      <c r="B122" s="26"/>
      <c r="I122" s="26"/>
      <c r="J122" s="26"/>
    </row>
    <row r="123" ht="15.75" customHeight="1">
      <c r="B123" s="26"/>
      <c r="I123" s="26"/>
      <c r="J123" s="26"/>
    </row>
    <row r="124" ht="15.75" customHeight="1">
      <c r="B124" s="26"/>
      <c r="I124" s="26"/>
      <c r="J124" s="26"/>
    </row>
    <row r="125" ht="15.75" customHeight="1">
      <c r="B125" s="26"/>
      <c r="I125" s="26"/>
      <c r="J125" s="26"/>
    </row>
    <row r="126" ht="15.75" customHeight="1">
      <c r="B126" s="26"/>
      <c r="I126" s="26"/>
      <c r="J126" s="26"/>
    </row>
    <row r="127" ht="15.75" customHeight="1">
      <c r="B127" s="26"/>
      <c r="I127" s="26"/>
      <c r="J127" s="26"/>
    </row>
    <row r="128" ht="15.75" customHeight="1">
      <c r="B128" s="26"/>
      <c r="I128" s="26"/>
      <c r="J128" s="26"/>
    </row>
    <row r="129" ht="15.75" customHeight="1">
      <c r="B129" s="26"/>
      <c r="I129" s="26"/>
      <c r="J129" s="26"/>
    </row>
    <row r="130" ht="15.75" customHeight="1">
      <c r="B130" s="26"/>
      <c r="I130" s="26"/>
      <c r="J130" s="26"/>
    </row>
    <row r="131" ht="15.75" customHeight="1">
      <c r="B131" s="26"/>
      <c r="I131" s="26"/>
      <c r="J131" s="26"/>
    </row>
    <row r="132" ht="15.75" customHeight="1">
      <c r="B132" s="26"/>
      <c r="I132" s="26"/>
      <c r="J132" s="26"/>
    </row>
    <row r="133" ht="15.75" customHeight="1">
      <c r="B133" s="26"/>
      <c r="I133" s="26"/>
      <c r="J133" s="26"/>
    </row>
    <row r="134" ht="15.75" customHeight="1">
      <c r="B134" s="26"/>
      <c r="I134" s="26"/>
      <c r="J134" s="26"/>
    </row>
    <row r="135" ht="15.75" customHeight="1">
      <c r="B135" s="26"/>
      <c r="I135" s="26"/>
      <c r="J135" s="26"/>
    </row>
    <row r="136" ht="15.75" customHeight="1">
      <c r="B136" s="26"/>
      <c r="I136" s="26"/>
      <c r="J136" s="26"/>
    </row>
    <row r="137" ht="15.75" customHeight="1">
      <c r="B137" s="26"/>
      <c r="I137" s="26"/>
      <c r="J137" s="26"/>
    </row>
    <row r="138" ht="15.75" customHeight="1">
      <c r="B138" s="26"/>
      <c r="I138" s="26"/>
      <c r="J138" s="26"/>
    </row>
    <row r="139" ht="15.75" customHeight="1">
      <c r="B139" s="26"/>
      <c r="I139" s="26"/>
      <c r="J139" s="26"/>
    </row>
    <row r="140" ht="15.75" customHeight="1">
      <c r="B140" s="26"/>
      <c r="I140" s="26"/>
      <c r="J140" s="26"/>
    </row>
    <row r="141" ht="15.75" customHeight="1">
      <c r="B141" s="26"/>
      <c r="I141" s="26"/>
      <c r="J141" s="26"/>
    </row>
    <row r="142" ht="15.75" customHeight="1">
      <c r="B142" s="26"/>
      <c r="I142" s="26"/>
      <c r="J142" s="26"/>
    </row>
    <row r="143" ht="15.75" customHeight="1">
      <c r="B143" s="26"/>
      <c r="I143" s="26"/>
      <c r="J143" s="26"/>
    </row>
    <row r="144" ht="15.75" customHeight="1">
      <c r="B144" s="26"/>
      <c r="I144" s="26"/>
      <c r="J144" s="26"/>
    </row>
    <row r="145" ht="15.75" customHeight="1">
      <c r="B145" s="26"/>
      <c r="I145" s="26"/>
      <c r="J145" s="26"/>
    </row>
    <row r="146" ht="15.75" customHeight="1">
      <c r="B146" s="26"/>
      <c r="I146" s="26"/>
      <c r="J146" s="26"/>
    </row>
    <row r="147" ht="15.75" customHeight="1">
      <c r="B147" s="26"/>
      <c r="I147" s="26"/>
      <c r="J147" s="26"/>
    </row>
    <row r="148" ht="15.75" customHeight="1">
      <c r="B148" s="26"/>
      <c r="I148" s="26"/>
      <c r="J148" s="26"/>
    </row>
    <row r="149" ht="15.75" customHeight="1">
      <c r="B149" s="26"/>
      <c r="I149" s="26"/>
      <c r="J149" s="26"/>
    </row>
    <row r="150" ht="15.75" customHeight="1">
      <c r="B150" s="26"/>
      <c r="I150" s="26"/>
      <c r="J150" s="26"/>
    </row>
    <row r="151" ht="15.75" customHeight="1">
      <c r="B151" s="26"/>
      <c r="I151" s="26"/>
      <c r="J151" s="26"/>
    </row>
    <row r="152" ht="15.75" customHeight="1">
      <c r="B152" s="26"/>
      <c r="I152" s="26"/>
      <c r="J152" s="26"/>
    </row>
    <row r="153" ht="15.75" customHeight="1">
      <c r="B153" s="26"/>
      <c r="I153" s="26"/>
      <c r="J153" s="26"/>
    </row>
    <row r="154" ht="15.75" customHeight="1">
      <c r="B154" s="26"/>
      <c r="I154" s="26"/>
      <c r="J154" s="26"/>
    </row>
    <row r="155" ht="15.75" customHeight="1">
      <c r="B155" s="26"/>
      <c r="I155" s="26"/>
      <c r="J155" s="26"/>
    </row>
    <row r="156" ht="15.75" customHeight="1">
      <c r="B156" s="26"/>
      <c r="I156" s="26"/>
      <c r="J156" s="26"/>
    </row>
    <row r="157" ht="15.75" customHeight="1">
      <c r="B157" s="26"/>
      <c r="I157" s="26"/>
      <c r="J157" s="26"/>
    </row>
    <row r="158" ht="15.75" customHeight="1">
      <c r="B158" s="26"/>
      <c r="I158" s="26"/>
      <c r="J158" s="26"/>
    </row>
    <row r="159" ht="15.75" customHeight="1">
      <c r="B159" s="26"/>
      <c r="I159" s="26"/>
      <c r="J159" s="26"/>
    </row>
    <row r="160" ht="15.75" customHeight="1">
      <c r="B160" s="26"/>
      <c r="I160" s="26"/>
      <c r="J160" s="26"/>
    </row>
    <row r="161" ht="15.75" customHeight="1">
      <c r="B161" s="26"/>
      <c r="I161" s="26"/>
      <c r="J161" s="26"/>
    </row>
    <row r="162" ht="15.75" customHeight="1">
      <c r="B162" s="26"/>
      <c r="I162" s="26"/>
      <c r="J162" s="26"/>
    </row>
    <row r="163" ht="15.75" customHeight="1">
      <c r="B163" s="26"/>
      <c r="I163" s="26"/>
      <c r="J163" s="26"/>
    </row>
    <row r="164" ht="15.75" customHeight="1">
      <c r="B164" s="26"/>
      <c r="I164" s="26"/>
      <c r="J164" s="26"/>
    </row>
    <row r="165" ht="15.75" customHeight="1">
      <c r="B165" s="26"/>
      <c r="I165" s="26"/>
      <c r="J165" s="26"/>
    </row>
    <row r="166" ht="15.75" customHeight="1">
      <c r="B166" s="26"/>
      <c r="I166" s="26"/>
      <c r="J166" s="26"/>
    </row>
    <row r="167" ht="15.75" customHeight="1">
      <c r="B167" s="26"/>
      <c r="I167" s="26"/>
      <c r="J167" s="26"/>
    </row>
    <row r="168" ht="15.75" customHeight="1">
      <c r="B168" s="26"/>
      <c r="I168" s="26"/>
      <c r="J168" s="26"/>
    </row>
    <row r="169" ht="15.75" customHeight="1">
      <c r="B169" s="26"/>
      <c r="I169" s="26"/>
      <c r="J169" s="26"/>
    </row>
    <row r="170" ht="15.75" customHeight="1">
      <c r="B170" s="26"/>
      <c r="I170" s="26"/>
      <c r="J170" s="26"/>
    </row>
    <row r="171" ht="15.75" customHeight="1">
      <c r="B171" s="26"/>
      <c r="I171" s="26"/>
      <c r="J171" s="26"/>
    </row>
    <row r="172" ht="15.75" customHeight="1">
      <c r="B172" s="26"/>
      <c r="I172" s="26"/>
      <c r="J172" s="26"/>
    </row>
    <row r="173" ht="15.75" customHeight="1">
      <c r="B173" s="26"/>
      <c r="I173" s="26"/>
      <c r="J173" s="26"/>
    </row>
    <row r="174" ht="15.75" customHeight="1">
      <c r="B174" s="26"/>
      <c r="I174" s="26"/>
      <c r="J174" s="26"/>
    </row>
    <row r="175" ht="15.75" customHeight="1">
      <c r="B175" s="26"/>
      <c r="I175" s="26"/>
      <c r="J175" s="26"/>
    </row>
    <row r="176" ht="15.75" customHeight="1">
      <c r="B176" s="26"/>
      <c r="I176" s="26"/>
      <c r="J176" s="26"/>
    </row>
    <row r="177" ht="15.75" customHeight="1">
      <c r="B177" s="26"/>
      <c r="I177" s="26"/>
      <c r="J177" s="26"/>
    </row>
    <row r="178" ht="15.75" customHeight="1">
      <c r="B178" s="26"/>
      <c r="I178" s="26"/>
      <c r="J178" s="26"/>
    </row>
    <row r="179" ht="15.75" customHeight="1">
      <c r="B179" s="26"/>
      <c r="I179" s="26"/>
      <c r="J179" s="26"/>
    </row>
    <row r="180" ht="15.75" customHeight="1">
      <c r="B180" s="26"/>
      <c r="I180" s="26"/>
      <c r="J180" s="26"/>
    </row>
    <row r="181" ht="15.75" customHeight="1">
      <c r="B181" s="26"/>
      <c r="I181" s="26"/>
      <c r="J181" s="26"/>
    </row>
    <row r="182" ht="15.75" customHeight="1">
      <c r="B182" s="26"/>
      <c r="I182" s="26"/>
      <c r="J182" s="26"/>
    </row>
    <row r="183" ht="15.75" customHeight="1">
      <c r="B183" s="26"/>
      <c r="I183" s="26"/>
      <c r="J183" s="26"/>
    </row>
    <row r="184" ht="15.75" customHeight="1">
      <c r="B184" s="26"/>
      <c r="I184" s="26"/>
      <c r="J184" s="26"/>
    </row>
    <row r="185" ht="15.75" customHeight="1">
      <c r="B185" s="26"/>
      <c r="I185" s="26"/>
      <c r="J185" s="26"/>
    </row>
    <row r="186" ht="15.75" customHeight="1">
      <c r="B186" s="26"/>
      <c r="I186" s="26"/>
      <c r="J186" s="26"/>
    </row>
    <row r="187" ht="15.75" customHeight="1">
      <c r="B187" s="26"/>
      <c r="I187" s="26"/>
      <c r="J187" s="26"/>
    </row>
    <row r="188" ht="15.75" customHeight="1">
      <c r="B188" s="26"/>
      <c r="I188" s="26"/>
      <c r="J188" s="26"/>
    </row>
    <row r="189" ht="15.75" customHeight="1">
      <c r="B189" s="26"/>
      <c r="I189" s="26"/>
      <c r="J189" s="26"/>
    </row>
    <row r="190" ht="15.75" customHeight="1">
      <c r="B190" s="26"/>
      <c r="I190" s="26"/>
      <c r="J190" s="26"/>
    </row>
    <row r="191" ht="15.75" customHeight="1">
      <c r="B191" s="26"/>
      <c r="I191" s="26"/>
      <c r="J191" s="26"/>
    </row>
    <row r="192" ht="15.75" customHeight="1">
      <c r="B192" s="26"/>
      <c r="I192" s="26"/>
      <c r="J192" s="26"/>
    </row>
    <row r="193" ht="15.75" customHeight="1">
      <c r="B193" s="26"/>
      <c r="I193" s="26"/>
      <c r="J193" s="26"/>
    </row>
    <row r="194" ht="15.75" customHeight="1">
      <c r="B194" s="26"/>
      <c r="I194" s="26"/>
      <c r="J194" s="26"/>
    </row>
    <row r="195" ht="15.75" customHeight="1">
      <c r="B195" s="26"/>
      <c r="I195" s="26"/>
      <c r="J195" s="26"/>
    </row>
    <row r="196" ht="15.75" customHeight="1">
      <c r="B196" s="26"/>
      <c r="I196" s="26"/>
      <c r="J196" s="26"/>
    </row>
    <row r="197" ht="15.75" customHeight="1">
      <c r="B197" s="26"/>
      <c r="I197" s="26"/>
      <c r="J197" s="26"/>
    </row>
    <row r="198" ht="15.75" customHeight="1">
      <c r="B198" s="26"/>
      <c r="I198" s="26"/>
      <c r="J198" s="26"/>
    </row>
    <row r="199" ht="15.75" customHeight="1">
      <c r="B199" s="26"/>
      <c r="I199" s="26"/>
      <c r="J199" s="26"/>
    </row>
    <row r="200" ht="15.75" customHeight="1">
      <c r="B200" s="26"/>
      <c r="I200" s="26"/>
      <c r="J200" s="26"/>
    </row>
    <row r="201" ht="15.75" customHeight="1">
      <c r="B201" s="26"/>
      <c r="I201" s="26"/>
      <c r="J201" s="26"/>
    </row>
    <row r="202" ht="15.75" customHeight="1">
      <c r="B202" s="26"/>
      <c r="I202" s="26"/>
      <c r="J202" s="26"/>
    </row>
    <row r="203" ht="15.75" customHeight="1">
      <c r="B203" s="26"/>
      <c r="I203" s="26"/>
      <c r="J203" s="26"/>
    </row>
    <row r="204" ht="15.75" customHeight="1">
      <c r="B204" s="26"/>
      <c r="I204" s="26"/>
      <c r="J204" s="26"/>
    </row>
    <row r="205" ht="15.75" customHeight="1">
      <c r="B205" s="26"/>
      <c r="I205" s="26"/>
      <c r="J205" s="26"/>
    </row>
    <row r="206" ht="15.75" customHeight="1">
      <c r="B206" s="26"/>
      <c r="I206" s="26"/>
      <c r="J206" s="26"/>
    </row>
    <row r="207" ht="15.75" customHeight="1">
      <c r="B207" s="26"/>
      <c r="I207" s="26"/>
      <c r="J207" s="26"/>
    </row>
    <row r="208" ht="15.75" customHeight="1">
      <c r="B208" s="26"/>
      <c r="I208" s="26"/>
      <c r="J208" s="26"/>
    </row>
    <row r="209" ht="15.75" customHeight="1">
      <c r="B209" s="26"/>
      <c r="I209" s="26"/>
      <c r="J209" s="26"/>
    </row>
    <row r="210" ht="15.75" customHeight="1">
      <c r="B210" s="26"/>
      <c r="I210" s="26"/>
      <c r="J210" s="26"/>
    </row>
    <row r="211" ht="15.75" customHeight="1">
      <c r="B211" s="26"/>
      <c r="I211" s="26"/>
      <c r="J211" s="26"/>
    </row>
    <row r="212" ht="15.75" customHeight="1">
      <c r="B212" s="26"/>
      <c r="I212" s="26"/>
      <c r="J212" s="26"/>
    </row>
    <row r="213" ht="15.75" customHeight="1">
      <c r="B213" s="26"/>
      <c r="I213" s="26"/>
      <c r="J213" s="26"/>
    </row>
    <row r="214" ht="15.75" customHeight="1">
      <c r="B214" s="26"/>
      <c r="I214" s="26"/>
      <c r="J214" s="26"/>
    </row>
    <row r="215" ht="15.75" customHeight="1">
      <c r="B215" s="26"/>
      <c r="I215" s="26"/>
      <c r="J215" s="26"/>
    </row>
    <row r="216" ht="15.75" customHeight="1">
      <c r="B216" s="26"/>
      <c r="I216" s="26"/>
      <c r="J216" s="26"/>
    </row>
    <row r="217" ht="15.75" customHeight="1">
      <c r="B217" s="26"/>
      <c r="I217" s="26"/>
      <c r="J217" s="26"/>
    </row>
    <row r="218" ht="15.75" customHeight="1">
      <c r="B218" s="26"/>
      <c r="I218" s="26"/>
      <c r="J218" s="26"/>
    </row>
    <row r="219" ht="15.75" customHeight="1">
      <c r="B219" s="26"/>
      <c r="I219" s="26"/>
      <c r="J219" s="26"/>
    </row>
    <row r="220" ht="15.75" customHeight="1">
      <c r="B220" s="26"/>
      <c r="I220" s="26"/>
      <c r="J220" s="2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F0FED83-7966-4EC0-825B-EE5C72E84015}" filter="1" showAutoFilter="1">
      <autoFilter ref="$A$4:$O$5"/>
      <extLst>
        <ext uri="GoogleSheetsCustomDataVersion1">
          <go:sheetsCustomData xmlns:go="http://customooxmlschemas.google.com/" filterViewId="1568869422"/>
        </ext>
      </extLst>
    </customSheetView>
  </customSheetViews>
  <mergeCells count="2">
    <mergeCell ref="A1:H1"/>
    <mergeCell ref="A2:L2"/>
  </mergeCells>
  <printOptions/>
  <pageMargins bottom="1.0" footer="0.0" header="0.0" left="0.75" right="0.75" top="1.0"/>
  <pageSetup fitToHeight="0" orientation="landscape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16.0"/>
    <col customWidth="1" min="3" max="5" width="18.0"/>
    <col customWidth="1" min="6" max="6" width="22.0"/>
    <col customWidth="1" min="7" max="9" width="18.0"/>
    <col customWidth="1" min="10" max="11" width="14.0"/>
    <col customWidth="1" min="12" max="12" width="16.0"/>
    <col customWidth="1" min="13" max="15" width="14.0"/>
    <col customWidth="1" min="16" max="17" width="16.0"/>
    <col customWidth="1" min="18" max="18" width="18.0"/>
    <col customWidth="1" min="19" max="19" width="35.0"/>
    <col customWidth="1" min="20" max="21" width="18.0"/>
    <col customWidth="1" min="22" max="26" width="8.71"/>
  </cols>
  <sheetData>
    <row r="1">
      <c r="A1" s="1" t="s">
        <v>332</v>
      </c>
    </row>
    <row r="2">
      <c r="A2" s="2" t="s">
        <v>333</v>
      </c>
    </row>
    <row r="4">
      <c r="A4" s="7" t="s">
        <v>334</v>
      </c>
      <c r="B4" s="7" t="s">
        <v>336</v>
      </c>
      <c r="C4" s="7" t="s">
        <v>324</v>
      </c>
      <c r="D4" s="7" t="s">
        <v>309</v>
      </c>
      <c r="E4" s="7" t="s">
        <v>204</v>
      </c>
      <c r="F4" s="7" t="s">
        <v>340</v>
      </c>
      <c r="G4" s="7" t="s">
        <v>247</v>
      </c>
      <c r="H4" s="7" t="s">
        <v>343</v>
      </c>
      <c r="I4" s="7" t="s">
        <v>19</v>
      </c>
      <c r="J4" s="7" t="s">
        <v>345</v>
      </c>
      <c r="K4" s="7" t="s">
        <v>346</v>
      </c>
      <c r="L4" s="7" t="s">
        <v>348</v>
      </c>
      <c r="M4" s="7" t="s">
        <v>350</v>
      </c>
      <c r="N4" s="7" t="s">
        <v>352</v>
      </c>
      <c r="O4" s="7" t="s">
        <v>353</v>
      </c>
      <c r="P4" s="7" t="s">
        <v>354</v>
      </c>
      <c r="Q4" s="7" t="s">
        <v>356</v>
      </c>
      <c r="R4" s="7" t="s">
        <v>358</v>
      </c>
      <c r="S4" s="7" t="s">
        <v>359</v>
      </c>
      <c r="T4" s="7" t="s">
        <v>361</v>
      </c>
      <c r="U4" s="7" t="s">
        <v>319</v>
      </c>
    </row>
    <row r="5">
      <c r="B5" s="25"/>
    </row>
    <row r="6">
      <c r="B6" s="26"/>
    </row>
    <row r="7">
      <c r="B7" s="26"/>
    </row>
    <row r="8">
      <c r="B8" s="26"/>
    </row>
    <row r="9">
      <c r="B9" s="26"/>
    </row>
    <row r="10">
      <c r="B10" s="26"/>
    </row>
    <row r="11">
      <c r="B11" s="26"/>
    </row>
    <row r="12">
      <c r="B12" s="26"/>
    </row>
    <row r="13">
      <c r="B13" s="26"/>
    </row>
    <row r="14">
      <c r="B14" s="26"/>
    </row>
    <row r="15">
      <c r="B15" s="26"/>
    </row>
    <row r="16">
      <c r="B16" s="26"/>
    </row>
    <row r="17">
      <c r="B17" s="26"/>
    </row>
    <row r="18">
      <c r="B18" s="26"/>
    </row>
    <row r="19">
      <c r="B19" s="26"/>
    </row>
    <row r="20">
      <c r="B20" s="26"/>
    </row>
    <row r="21" ht="15.75" customHeight="1">
      <c r="B21" s="26"/>
    </row>
    <row r="22" ht="15.75" customHeight="1">
      <c r="B22" s="26"/>
    </row>
    <row r="23" ht="15.75" customHeight="1">
      <c r="B23" s="26"/>
    </row>
    <row r="24" ht="15.75" customHeight="1">
      <c r="B24" s="26"/>
    </row>
    <row r="25" ht="15.75" customHeight="1">
      <c r="B25" s="26"/>
    </row>
    <row r="26" ht="15.75" customHeight="1">
      <c r="B26" s="26"/>
    </row>
    <row r="27" ht="15.75" customHeight="1">
      <c r="B27" s="26"/>
    </row>
    <row r="28" ht="15.75" customHeight="1">
      <c r="B28" s="26"/>
    </row>
    <row r="29" ht="15.75" customHeight="1">
      <c r="B29" s="26"/>
    </row>
    <row r="30" ht="15.75" customHeight="1">
      <c r="B30" s="26"/>
    </row>
    <row r="31" ht="15.75" customHeight="1">
      <c r="B31" s="26"/>
    </row>
    <row r="32" ht="15.75" customHeight="1">
      <c r="B32" s="26"/>
    </row>
    <row r="33" ht="15.75" customHeight="1">
      <c r="B33" s="26"/>
    </row>
    <row r="34" ht="15.75" customHeight="1">
      <c r="B34" s="26"/>
    </row>
    <row r="35" ht="15.75" customHeight="1">
      <c r="B35" s="26"/>
    </row>
    <row r="36" ht="15.75" customHeight="1">
      <c r="B36" s="26"/>
    </row>
    <row r="37" ht="15.75" customHeight="1">
      <c r="B37" s="26"/>
    </row>
    <row r="38" ht="15.75" customHeight="1">
      <c r="B38" s="26"/>
    </row>
    <row r="39" ht="15.75" customHeight="1">
      <c r="B39" s="26"/>
    </row>
    <row r="40" ht="15.75" customHeight="1">
      <c r="B40" s="26"/>
    </row>
    <row r="41" ht="15.75" customHeight="1">
      <c r="B41" s="26"/>
    </row>
    <row r="42" ht="15.75" customHeight="1">
      <c r="B42" s="26"/>
    </row>
    <row r="43" ht="15.75" customHeight="1">
      <c r="B43" s="26"/>
    </row>
    <row r="44" ht="15.75" customHeight="1">
      <c r="B44" s="26"/>
    </row>
    <row r="45" ht="15.75" customHeight="1">
      <c r="B45" s="26"/>
    </row>
    <row r="46" ht="15.75" customHeight="1">
      <c r="B46" s="26"/>
    </row>
    <row r="47" ht="15.75" customHeight="1">
      <c r="B47" s="26"/>
    </row>
    <row r="48" ht="15.75" customHeight="1">
      <c r="B48" s="26"/>
    </row>
    <row r="49" ht="15.75" customHeight="1">
      <c r="B49" s="26"/>
    </row>
    <row r="50" ht="15.75" customHeight="1">
      <c r="B50" s="26"/>
    </row>
    <row r="51" ht="15.75" customHeight="1">
      <c r="B51" s="26"/>
    </row>
    <row r="52" ht="15.75" customHeight="1">
      <c r="B52" s="26"/>
    </row>
    <row r="53" ht="15.75" customHeight="1">
      <c r="B53" s="26"/>
    </row>
    <row r="54" ht="15.75" customHeight="1">
      <c r="B54" s="26"/>
    </row>
    <row r="55" ht="15.75" customHeight="1">
      <c r="B55" s="26"/>
    </row>
    <row r="56" ht="15.75" customHeight="1">
      <c r="B56" s="26"/>
    </row>
    <row r="57" ht="15.75" customHeight="1">
      <c r="B57" s="26"/>
    </row>
    <row r="58" ht="15.75" customHeight="1">
      <c r="B58" s="26"/>
    </row>
    <row r="59" ht="15.75" customHeight="1">
      <c r="B59" s="26"/>
    </row>
    <row r="60" ht="15.75" customHeight="1">
      <c r="B60" s="26"/>
    </row>
    <row r="61" ht="15.75" customHeight="1">
      <c r="B61" s="26"/>
    </row>
    <row r="62" ht="15.75" customHeight="1">
      <c r="B62" s="26"/>
    </row>
    <row r="63" ht="15.75" customHeight="1">
      <c r="B63" s="26"/>
    </row>
    <row r="64" ht="15.75" customHeight="1">
      <c r="B64" s="26"/>
    </row>
    <row r="65" ht="15.75" customHeight="1">
      <c r="B65" s="26"/>
    </row>
    <row r="66" ht="15.75" customHeight="1">
      <c r="B66" s="26"/>
    </row>
    <row r="67" ht="15.75" customHeight="1">
      <c r="B67" s="26"/>
    </row>
    <row r="68" ht="15.75" customHeight="1">
      <c r="B68" s="26"/>
    </row>
    <row r="69" ht="15.75" customHeight="1">
      <c r="B69" s="26"/>
    </row>
    <row r="70" ht="15.75" customHeight="1">
      <c r="B70" s="26"/>
    </row>
    <row r="71" ht="15.75" customHeight="1">
      <c r="B71" s="26"/>
    </row>
    <row r="72" ht="15.75" customHeight="1">
      <c r="B72" s="26"/>
    </row>
    <row r="73" ht="15.75" customHeight="1">
      <c r="B73" s="26"/>
    </row>
    <row r="74" ht="15.75" customHeight="1">
      <c r="B74" s="26"/>
    </row>
    <row r="75" ht="15.75" customHeight="1">
      <c r="B75" s="26"/>
    </row>
    <row r="76" ht="15.75" customHeight="1">
      <c r="B76" s="26"/>
    </row>
    <row r="77" ht="15.75" customHeight="1">
      <c r="B77" s="26"/>
    </row>
    <row r="78" ht="15.75" customHeight="1">
      <c r="B78" s="26"/>
    </row>
    <row r="79" ht="15.75" customHeight="1">
      <c r="B79" s="26"/>
    </row>
    <row r="80" ht="15.75" customHeight="1">
      <c r="B80" s="26"/>
    </row>
    <row r="81" ht="15.75" customHeight="1">
      <c r="B81" s="26"/>
    </row>
    <row r="82" ht="15.75" customHeight="1">
      <c r="B82" s="26"/>
    </row>
    <row r="83" ht="15.75" customHeight="1">
      <c r="B83" s="26"/>
    </row>
    <row r="84" ht="15.75" customHeight="1">
      <c r="B84" s="26"/>
    </row>
    <row r="85" ht="15.75" customHeight="1">
      <c r="B85" s="26"/>
    </row>
    <row r="86" ht="15.75" customHeight="1">
      <c r="B86" s="26"/>
    </row>
    <row r="87" ht="15.75" customHeight="1">
      <c r="B87" s="26"/>
    </row>
    <row r="88" ht="15.75" customHeight="1">
      <c r="B88" s="26"/>
    </row>
    <row r="89" ht="15.75" customHeight="1">
      <c r="B89" s="26"/>
    </row>
    <row r="90" ht="15.75" customHeight="1">
      <c r="B90" s="26"/>
    </row>
    <row r="91" ht="15.75" customHeight="1">
      <c r="B91" s="26"/>
    </row>
    <row r="92" ht="15.75" customHeight="1">
      <c r="B92" s="26"/>
    </row>
    <row r="93" ht="15.75" customHeight="1">
      <c r="B93" s="26"/>
    </row>
    <row r="94" ht="15.75" customHeight="1">
      <c r="B94" s="26"/>
    </row>
    <row r="95" ht="15.75" customHeight="1">
      <c r="B95" s="26"/>
    </row>
    <row r="96" ht="15.75" customHeight="1">
      <c r="B96" s="26"/>
    </row>
    <row r="97" ht="15.75" customHeight="1">
      <c r="B97" s="26"/>
    </row>
    <row r="98" ht="15.75" customHeight="1">
      <c r="B98" s="26"/>
    </row>
    <row r="99" ht="15.75" customHeight="1">
      <c r="B99" s="26"/>
    </row>
    <row r="100" ht="15.75" customHeight="1">
      <c r="B100" s="26"/>
    </row>
    <row r="101" ht="15.75" customHeight="1">
      <c r="B101" s="26"/>
    </row>
    <row r="102" ht="15.75" customHeight="1">
      <c r="B102" s="26"/>
    </row>
    <row r="103" ht="15.75" customHeight="1">
      <c r="B103" s="26"/>
    </row>
    <row r="104" ht="15.75" customHeight="1">
      <c r="B104" s="26"/>
    </row>
    <row r="105" ht="15.75" customHeight="1">
      <c r="B105" s="26"/>
    </row>
    <row r="106" ht="15.75" customHeight="1">
      <c r="B106" s="26"/>
    </row>
    <row r="107" ht="15.75" customHeight="1">
      <c r="B107" s="26"/>
    </row>
    <row r="108" ht="15.75" customHeight="1">
      <c r="B108" s="26"/>
    </row>
    <row r="109" ht="15.75" customHeight="1">
      <c r="B109" s="26"/>
    </row>
    <row r="110" ht="15.75" customHeight="1">
      <c r="B110" s="26"/>
    </row>
    <row r="111" ht="15.75" customHeight="1">
      <c r="B111" s="26"/>
    </row>
    <row r="112" ht="15.75" customHeight="1">
      <c r="B112" s="26"/>
    </row>
    <row r="113" ht="15.75" customHeight="1">
      <c r="B113" s="26"/>
    </row>
    <row r="114" ht="15.75" customHeight="1">
      <c r="B114" s="26"/>
    </row>
    <row r="115" ht="15.75" customHeight="1">
      <c r="B115" s="26"/>
    </row>
    <row r="116" ht="15.75" customHeight="1">
      <c r="B116" s="26"/>
    </row>
    <row r="117" ht="15.75" customHeight="1">
      <c r="B117" s="26"/>
    </row>
    <row r="118" ht="15.75" customHeight="1">
      <c r="B118" s="26"/>
    </row>
    <row r="119" ht="15.75" customHeight="1">
      <c r="B119" s="26"/>
    </row>
    <row r="120" ht="15.75" customHeight="1">
      <c r="B120" s="26"/>
    </row>
    <row r="121" ht="15.75" customHeight="1">
      <c r="B121" s="26"/>
    </row>
    <row r="122" ht="15.75" customHeight="1">
      <c r="B122" s="26"/>
    </row>
    <row r="123" ht="15.75" customHeight="1">
      <c r="B123" s="26"/>
    </row>
    <row r="124" ht="15.75" customHeight="1">
      <c r="B124" s="26"/>
    </row>
    <row r="125" ht="15.75" customHeight="1">
      <c r="B125" s="26"/>
    </row>
    <row r="126" ht="15.75" customHeight="1">
      <c r="B126" s="26"/>
    </row>
    <row r="127" ht="15.75" customHeight="1">
      <c r="B127" s="26"/>
    </row>
    <row r="128" ht="15.75" customHeight="1">
      <c r="B128" s="26"/>
    </row>
    <row r="129" ht="15.75" customHeight="1">
      <c r="B129" s="26"/>
    </row>
    <row r="130" ht="15.75" customHeight="1">
      <c r="B130" s="26"/>
    </row>
    <row r="131" ht="15.75" customHeight="1">
      <c r="B131" s="26"/>
    </row>
    <row r="132" ht="15.75" customHeight="1">
      <c r="B132" s="26"/>
    </row>
    <row r="133" ht="15.75" customHeight="1">
      <c r="B133" s="26"/>
    </row>
    <row r="134" ht="15.75" customHeight="1">
      <c r="B134" s="26"/>
    </row>
    <row r="135" ht="15.75" customHeight="1">
      <c r="B135" s="26"/>
    </row>
    <row r="136" ht="15.75" customHeight="1">
      <c r="B136" s="26"/>
    </row>
    <row r="137" ht="15.75" customHeight="1">
      <c r="B137" s="26"/>
    </row>
    <row r="138" ht="15.75" customHeight="1">
      <c r="B138" s="26"/>
    </row>
    <row r="139" ht="15.75" customHeight="1">
      <c r="B139" s="26"/>
    </row>
    <row r="140" ht="15.75" customHeight="1">
      <c r="B140" s="26"/>
    </row>
    <row r="141" ht="15.75" customHeight="1">
      <c r="B141" s="26"/>
    </row>
    <row r="142" ht="15.75" customHeight="1">
      <c r="B142" s="26"/>
    </row>
    <row r="143" ht="15.75" customHeight="1">
      <c r="B143" s="26"/>
    </row>
    <row r="144" ht="15.75" customHeight="1">
      <c r="B144" s="26"/>
    </row>
    <row r="145" ht="15.75" customHeight="1">
      <c r="B145" s="26"/>
    </row>
    <row r="146" ht="15.75" customHeight="1">
      <c r="B146" s="26"/>
    </row>
    <row r="147" ht="15.75" customHeight="1">
      <c r="B147" s="26"/>
    </row>
    <row r="148" ht="15.75" customHeight="1">
      <c r="B148" s="26"/>
    </row>
    <row r="149" ht="15.75" customHeight="1">
      <c r="B149" s="26"/>
    </row>
    <row r="150" ht="15.75" customHeight="1">
      <c r="B150" s="26"/>
    </row>
    <row r="151" ht="15.75" customHeight="1">
      <c r="B151" s="26"/>
    </row>
    <row r="152" ht="15.75" customHeight="1">
      <c r="B152" s="26"/>
    </row>
    <row r="153" ht="15.75" customHeight="1">
      <c r="B153" s="26"/>
    </row>
    <row r="154" ht="15.75" customHeight="1">
      <c r="B154" s="26"/>
    </row>
    <row r="155" ht="15.75" customHeight="1">
      <c r="B155" s="26"/>
    </row>
    <row r="156" ht="15.75" customHeight="1">
      <c r="B156" s="26"/>
    </row>
    <row r="157" ht="15.75" customHeight="1">
      <c r="B157" s="26"/>
    </row>
    <row r="158" ht="15.75" customHeight="1">
      <c r="B158" s="26"/>
    </row>
    <row r="159" ht="15.75" customHeight="1">
      <c r="B159" s="26"/>
    </row>
    <row r="160" ht="15.75" customHeight="1">
      <c r="B160" s="26"/>
    </row>
    <row r="161" ht="15.75" customHeight="1">
      <c r="B161" s="26"/>
    </row>
    <row r="162" ht="15.75" customHeight="1">
      <c r="B162" s="26"/>
    </row>
    <row r="163" ht="15.75" customHeight="1">
      <c r="B163" s="26"/>
    </row>
    <row r="164" ht="15.75" customHeight="1">
      <c r="B164" s="26"/>
    </row>
    <row r="165" ht="15.75" customHeight="1">
      <c r="B165" s="26"/>
    </row>
    <row r="166" ht="15.75" customHeight="1">
      <c r="B166" s="26"/>
    </row>
    <row r="167" ht="15.75" customHeight="1">
      <c r="B167" s="26"/>
    </row>
    <row r="168" ht="15.75" customHeight="1">
      <c r="B168" s="26"/>
    </row>
    <row r="169" ht="15.75" customHeight="1">
      <c r="B169" s="26"/>
    </row>
    <row r="170" ht="15.75" customHeight="1">
      <c r="B170" s="26"/>
    </row>
    <row r="171" ht="15.75" customHeight="1">
      <c r="B171" s="26"/>
    </row>
    <row r="172" ht="15.75" customHeight="1">
      <c r="B172" s="26"/>
    </row>
    <row r="173" ht="15.75" customHeight="1">
      <c r="B173" s="26"/>
    </row>
    <row r="174" ht="15.75" customHeight="1">
      <c r="B174" s="26"/>
    </row>
    <row r="175" ht="15.75" customHeight="1">
      <c r="B175" s="26"/>
    </row>
    <row r="176" ht="15.75" customHeight="1">
      <c r="B176" s="26"/>
    </row>
    <row r="177" ht="15.75" customHeight="1">
      <c r="B177" s="26"/>
    </row>
    <row r="178" ht="15.75" customHeight="1">
      <c r="B178" s="26"/>
    </row>
    <row r="179" ht="15.75" customHeight="1">
      <c r="B179" s="26"/>
    </row>
    <row r="180" ht="15.75" customHeight="1">
      <c r="B180" s="26"/>
    </row>
    <row r="181" ht="15.75" customHeight="1">
      <c r="B181" s="26"/>
    </row>
    <row r="182" ht="15.75" customHeight="1">
      <c r="B182" s="26"/>
    </row>
    <row r="183" ht="15.75" customHeight="1">
      <c r="B183" s="26"/>
    </row>
    <row r="184" ht="15.75" customHeight="1">
      <c r="B184" s="26"/>
    </row>
    <row r="185" ht="15.75" customHeight="1">
      <c r="B185" s="26"/>
    </row>
    <row r="186" ht="15.75" customHeight="1">
      <c r="B186" s="26"/>
    </row>
    <row r="187" ht="15.75" customHeight="1">
      <c r="B187" s="26"/>
    </row>
    <row r="188" ht="15.75" customHeight="1">
      <c r="B188" s="26"/>
    </row>
    <row r="189" ht="15.75" customHeight="1">
      <c r="B189" s="26"/>
    </row>
    <row r="190" ht="15.75" customHeight="1">
      <c r="B190" s="26"/>
    </row>
    <row r="191" ht="15.75" customHeight="1">
      <c r="B191" s="26"/>
    </row>
    <row r="192" ht="15.75" customHeight="1">
      <c r="B192" s="26"/>
    </row>
    <row r="193" ht="15.75" customHeight="1">
      <c r="B193" s="26"/>
    </row>
    <row r="194" ht="15.75" customHeight="1">
      <c r="B194" s="26"/>
    </row>
    <row r="195" ht="15.75" customHeight="1">
      <c r="B195" s="26"/>
    </row>
    <row r="196" ht="15.75" customHeight="1">
      <c r="B196" s="26"/>
    </row>
    <row r="197" ht="15.75" customHeight="1">
      <c r="B197" s="26"/>
    </row>
    <row r="198" ht="15.75" customHeight="1">
      <c r="B198" s="26"/>
    </row>
    <row r="199" ht="15.75" customHeight="1">
      <c r="B199" s="26"/>
    </row>
    <row r="200" ht="15.75" customHeight="1">
      <c r="B200" s="26"/>
    </row>
    <row r="201" ht="15.75" customHeight="1">
      <c r="B201" s="26"/>
    </row>
    <row r="202" ht="15.75" customHeight="1">
      <c r="B202" s="26"/>
    </row>
    <row r="203" ht="15.75" customHeight="1">
      <c r="B203" s="26"/>
    </row>
    <row r="204" ht="15.75" customHeight="1">
      <c r="B204" s="26"/>
    </row>
    <row r="205" ht="15.75" customHeight="1">
      <c r="B205" s="26"/>
    </row>
    <row r="206" ht="15.75" customHeight="1">
      <c r="B206" s="26"/>
    </row>
    <row r="207" ht="15.75" customHeight="1">
      <c r="B207" s="26"/>
    </row>
    <row r="208" ht="15.75" customHeight="1">
      <c r="B208" s="26"/>
    </row>
    <row r="209" ht="15.75" customHeight="1">
      <c r="B209" s="26"/>
    </row>
    <row r="210" ht="15.75" customHeight="1">
      <c r="B210" s="26"/>
    </row>
    <row r="211" ht="15.75" customHeight="1">
      <c r="B211" s="26"/>
    </row>
    <row r="212" ht="15.75" customHeight="1">
      <c r="B212" s="26"/>
    </row>
    <row r="213" ht="15.75" customHeight="1">
      <c r="B213" s="26"/>
    </row>
    <row r="214" ht="15.75" customHeight="1">
      <c r="B214" s="26"/>
    </row>
    <row r="215" ht="15.75" customHeight="1">
      <c r="B215" s="26"/>
    </row>
    <row r="216" ht="15.75" customHeight="1">
      <c r="B216" s="26"/>
    </row>
    <row r="217" ht="15.75" customHeight="1">
      <c r="B217" s="26"/>
    </row>
    <row r="218" ht="15.75" customHeight="1">
      <c r="B218" s="26"/>
    </row>
    <row r="219" ht="15.75" customHeight="1">
      <c r="B219" s="26"/>
    </row>
    <row r="220" ht="15.75" customHeight="1">
      <c r="B220" s="2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5509FEA1-0F7C-4C17-B2F6-708C2EEA679E}" filter="1" showAutoFilter="1">
      <autoFilter ref="$A$4:$U$5"/>
      <extLst>
        <ext uri="GoogleSheetsCustomDataVersion1">
          <go:sheetsCustomData xmlns:go="http://customooxmlschemas.google.com/" filterViewId="315850399"/>
        </ext>
      </extLst>
    </customSheetView>
  </customSheetViews>
  <mergeCells count="2">
    <mergeCell ref="A1:H1"/>
    <mergeCell ref="A2:L2"/>
  </mergeCells>
  <printOptions/>
  <pageMargins bottom="1.0" footer="0.0" header="0.0" left="0.75" right="0.75" top="1.0"/>
  <pageSetup fitToHeight="0" orientation="landscape"/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14.0"/>
    <col customWidth="1" min="3" max="3" width="24.0"/>
    <col customWidth="1" min="4" max="4" width="18.0"/>
    <col customWidth="1" min="5" max="5" width="28.0"/>
    <col customWidth="1" min="6" max="6" width="10.0"/>
    <col customWidth="1" min="7" max="8" width="12.0"/>
    <col customWidth="1" min="9" max="10" width="20.0"/>
    <col customWidth="1" min="11" max="11" width="22.0"/>
    <col customWidth="1" min="12" max="12" width="16.0"/>
    <col customWidth="1" min="13" max="13" width="18.0"/>
    <col customWidth="1" min="14" max="14" width="35.0"/>
    <col customWidth="1" min="15" max="17" width="18.0"/>
    <col customWidth="1" min="18" max="18" width="8.71"/>
    <col customWidth="1" min="19" max="19" width="18.0"/>
    <col customWidth="1" min="20" max="20" width="24.0"/>
    <col customWidth="1" min="21" max="21" width="10.0"/>
    <col customWidth="1" min="22" max="24" width="14.0"/>
    <col customWidth="1" min="25" max="25" width="16.0"/>
    <col customWidth="1" min="26" max="26" width="14.0"/>
    <col customWidth="1" min="27" max="27" width="16.0"/>
  </cols>
  <sheetData>
    <row r="1">
      <c r="A1" s="1" t="s">
        <v>335</v>
      </c>
    </row>
    <row r="2">
      <c r="A2" s="2" t="s">
        <v>337</v>
      </c>
    </row>
    <row r="4">
      <c r="A4" s="7" t="s">
        <v>338</v>
      </c>
      <c r="B4" s="7" t="s">
        <v>339</v>
      </c>
      <c r="C4" s="7" t="s">
        <v>341</v>
      </c>
      <c r="D4" s="7" t="s">
        <v>342</v>
      </c>
      <c r="E4" s="7" t="s">
        <v>344</v>
      </c>
      <c r="F4" s="7" t="s">
        <v>12</v>
      </c>
      <c r="G4" s="7" t="s">
        <v>347</v>
      </c>
      <c r="H4" s="7" t="s">
        <v>349</v>
      </c>
      <c r="I4" s="7" t="s">
        <v>351</v>
      </c>
      <c r="J4" s="7" t="s">
        <v>355</v>
      </c>
      <c r="K4" s="7" t="s">
        <v>357</v>
      </c>
      <c r="L4" s="7" t="s">
        <v>356</v>
      </c>
      <c r="M4" s="7" t="s">
        <v>360</v>
      </c>
      <c r="N4" s="7" t="s">
        <v>362</v>
      </c>
      <c r="O4" s="7" t="s">
        <v>361</v>
      </c>
      <c r="P4" s="7" t="s">
        <v>319</v>
      </c>
      <c r="Q4" s="7" t="s">
        <v>18</v>
      </c>
      <c r="S4" s="3" t="s">
        <v>363</v>
      </c>
    </row>
    <row r="5">
      <c r="B5" s="25"/>
      <c r="S5" s="3" t="s">
        <v>342</v>
      </c>
      <c r="T5" s="3" t="s">
        <v>344</v>
      </c>
      <c r="U5" s="3" t="s">
        <v>12</v>
      </c>
      <c r="V5" s="3" t="s">
        <v>364</v>
      </c>
      <c r="W5" s="3" t="s">
        <v>365</v>
      </c>
      <c r="X5" s="3" t="s">
        <v>366</v>
      </c>
      <c r="Y5" s="3" t="s">
        <v>230</v>
      </c>
      <c r="Z5" s="3" t="s">
        <v>231</v>
      </c>
      <c r="AA5" s="3" t="s">
        <v>4</v>
      </c>
    </row>
    <row r="6">
      <c r="B6" s="26"/>
      <c r="S6" s="5" t="str">
        <f>IF('13_Master_Materials'!A5="","",'13_Master_Materials'!A5)</f>
        <v>MAT-13-RN</v>
      </c>
      <c r="T6" s="5" t="str">
        <f>IF(S6="","",'13_Master_Materials'!C5)</f>
        <v>Nut</v>
      </c>
      <c r="U6" s="5" t="str">
        <f>IF(S6="","",'13_Master_Materials'!E5)</f>
        <v>PCS</v>
      </c>
      <c r="V6" s="5">
        <f t="shared" ref="V6:V55" si="1">IF(S6="","",SUMIFS($G$5:$G$2000,$D$5:$D$2000,S6))</f>
        <v>0</v>
      </c>
      <c r="W6" s="5">
        <f t="shared" ref="W6:W55" si="2">IF(S6="","",SUMIFS($H$5:$H$2000,$D$5:$D$2000,S6))</f>
        <v>0</v>
      </c>
      <c r="X6" s="5">
        <f t="shared" ref="X6:X55" si="3">IF(S6="","",V6-W6)</f>
        <v>0</v>
      </c>
      <c r="Y6" s="5" t="str">
        <f>IF(S6="","",'13_Master_Materials'!H5)</f>
        <v>TO BE DEFINED</v>
      </c>
      <c r="Z6" s="5" t="str">
        <f>IF(S6="","",'13_Master_Materials'!I5)</f>
        <v>TO BE DEFINED</v>
      </c>
      <c r="AA6" s="5" t="str">
        <f t="shared" ref="AA6:AA55" si="4">IF(S6="","",IF(AND(ISNUMBER(Y6),X6&lt;=Y6),"REORDER",IF(AND(ISNUMBER(Z6),X6&lt;=Z6),"SAFETY STOCK","OK")))</f>
        <v>OK</v>
      </c>
    </row>
    <row r="7">
      <c r="B7" s="26"/>
      <c r="S7" s="5" t="str">
        <f>IF('13_Master_Materials'!A6="","",'13_Master_Materials'!A6)</f>
        <v>MAT-13-HN</v>
      </c>
      <c r="T7" s="5" t="str">
        <f>IF(S7="","",'13_Master_Materials'!C6)</f>
        <v>Nut</v>
      </c>
      <c r="U7" s="5" t="str">
        <f>IF(S7="","",'13_Master_Materials'!E6)</f>
        <v>PCS</v>
      </c>
      <c r="V7" s="5">
        <f t="shared" si="1"/>
        <v>0</v>
      </c>
      <c r="W7" s="5">
        <f t="shared" si="2"/>
        <v>0</v>
      </c>
      <c r="X7" s="5">
        <f t="shared" si="3"/>
        <v>0</v>
      </c>
      <c r="Y7" s="5" t="str">
        <f>IF(S7="","",'13_Master_Materials'!H6)</f>
        <v>TO BE DEFINED</v>
      </c>
      <c r="Z7" s="5" t="str">
        <f>IF(S7="","",'13_Master_Materials'!I6)</f>
        <v>TO BE DEFINED</v>
      </c>
      <c r="AA7" s="5" t="str">
        <f t="shared" si="4"/>
        <v>OK</v>
      </c>
    </row>
    <row r="8">
      <c r="B8" s="26"/>
      <c r="S8" s="5" t="str">
        <f>IF('13_Master_Materials'!A7="","",'13_Master_Materials'!A7)</f>
        <v>MAT-13-CAP</v>
      </c>
      <c r="T8" s="5" t="str">
        <f>IF(S8="","",'13_Master_Materials'!C7)</f>
        <v>Cap</v>
      </c>
      <c r="U8" s="5" t="str">
        <f>IF(S8="","",'13_Master_Materials'!E7)</f>
        <v>PCS</v>
      </c>
      <c r="V8" s="5">
        <f t="shared" si="1"/>
        <v>0</v>
      </c>
      <c r="W8" s="5">
        <f t="shared" si="2"/>
        <v>0</v>
      </c>
      <c r="X8" s="5">
        <f t="shared" si="3"/>
        <v>0</v>
      </c>
      <c r="Y8" s="5" t="str">
        <f>IF(S8="","",'13_Master_Materials'!H7)</f>
        <v>TO BE DEFINED</v>
      </c>
      <c r="Z8" s="5" t="str">
        <f>IF(S8="","",'13_Master_Materials'!I7)</f>
        <v>TO BE DEFINED</v>
      </c>
      <c r="AA8" s="5" t="str">
        <f t="shared" si="4"/>
        <v>OK</v>
      </c>
    </row>
    <row r="9">
      <c r="B9" s="26"/>
      <c r="S9" s="5" t="str">
        <f>IF('13_Master_Materials'!A8="","",'13_Master_Materials'!A8)</f>
        <v>MAT-13-IN</v>
      </c>
      <c r="T9" s="5" t="str">
        <f>IF(S9="","",'13_Master_Materials'!C8)</f>
        <v>Inner</v>
      </c>
      <c r="U9" s="5" t="str">
        <f>IF(S9="","",'13_Master_Materials'!E8)</f>
        <v>PCS</v>
      </c>
      <c r="V9" s="5">
        <f t="shared" si="1"/>
        <v>0</v>
      </c>
      <c r="W9" s="5">
        <f t="shared" si="2"/>
        <v>0</v>
      </c>
      <c r="X9" s="5">
        <f t="shared" si="3"/>
        <v>0</v>
      </c>
      <c r="Y9" s="5" t="str">
        <f>IF(S9="","",'13_Master_Materials'!H8)</f>
        <v>TO BE DEFINED</v>
      </c>
      <c r="Z9" s="5" t="str">
        <f>IF(S9="","",'13_Master_Materials'!I8)</f>
        <v>TO BE DEFINED</v>
      </c>
      <c r="AA9" s="5" t="str">
        <f t="shared" si="4"/>
        <v>OK</v>
      </c>
    </row>
    <row r="10">
      <c r="B10" s="26"/>
      <c r="S10" s="5" t="str">
        <f>IF('13_Master_Materials'!A9="","",'13_Master_Materials'!A9)</f>
        <v>MAT-13-KEY</v>
      </c>
      <c r="T10" s="5" t="str">
        <f>IF(S10="","",'13_Master_Materials'!C9)</f>
        <v>Key</v>
      </c>
      <c r="U10" s="5" t="str">
        <f>IF(S10="","",'13_Master_Materials'!E9)</f>
        <v>PCS</v>
      </c>
      <c r="V10" s="5">
        <f t="shared" si="1"/>
        <v>0</v>
      </c>
      <c r="W10" s="5">
        <f t="shared" si="2"/>
        <v>0</v>
      </c>
      <c r="X10" s="5">
        <f t="shared" si="3"/>
        <v>0</v>
      </c>
      <c r="Y10" s="5" t="str">
        <f>IF(S10="","",'13_Master_Materials'!H9)</f>
        <v>TO BE DEFINED</v>
      </c>
      <c r="Z10" s="5" t="str">
        <f>IF(S10="","",'13_Master_Materials'!I9)</f>
        <v>TO BE DEFINED</v>
      </c>
      <c r="AA10" s="5" t="str">
        <f t="shared" si="4"/>
        <v>OK</v>
      </c>
    </row>
    <row r="11">
      <c r="B11" s="26"/>
      <c r="S11" s="5" t="str">
        <f>IF('13_Master_Materials'!A10="","",'13_Master_Materials'!A10)</f>
        <v>MAT-13-WASH</v>
      </c>
      <c r="T11" s="5" t="str">
        <f>IF(S11="","",'13_Master_Materials'!C10)</f>
        <v>Washer</v>
      </c>
      <c r="U11" s="5" t="str">
        <f>IF(S11="","",'13_Master_Materials'!E10)</f>
        <v>PCS</v>
      </c>
      <c r="V11" s="5">
        <f t="shared" si="1"/>
        <v>0</v>
      </c>
      <c r="W11" s="5">
        <f t="shared" si="2"/>
        <v>0</v>
      </c>
      <c r="X11" s="5">
        <f t="shared" si="3"/>
        <v>0</v>
      </c>
      <c r="Y11" s="5" t="str">
        <f>IF(S11="","",'13_Master_Materials'!H10)</f>
        <v>TO BE DEFINED</v>
      </c>
      <c r="Z11" s="5" t="str">
        <f>IF(S11="","",'13_Master_Materials'!I10)</f>
        <v>TO BE DEFINED</v>
      </c>
      <c r="AA11" s="5" t="str">
        <f t="shared" si="4"/>
        <v>OK</v>
      </c>
    </row>
    <row r="12">
      <c r="B12" s="26"/>
      <c r="S12" s="5" t="str">
        <f>IF('13_Master_Materials'!A11="","",'13_Master_Materials'!A11)</f>
        <v>MAT-COV-3X21</v>
      </c>
      <c r="T12" s="5" t="str">
        <f>IF(S12="","",'13_Master_Materials'!C11)</f>
        <v>Cover</v>
      </c>
      <c r="U12" s="5" t="str">
        <f>IF(S12="","",'13_Master_Materials'!E11)</f>
        <v>PCS</v>
      </c>
      <c r="V12" s="5">
        <f t="shared" si="1"/>
        <v>0</v>
      </c>
      <c r="W12" s="5">
        <f t="shared" si="2"/>
        <v>0</v>
      </c>
      <c r="X12" s="5">
        <f t="shared" si="3"/>
        <v>0</v>
      </c>
      <c r="Y12" s="5" t="str">
        <f>IF(S12="","",'13_Master_Materials'!H11)</f>
        <v>TO BE DEFINED</v>
      </c>
      <c r="Z12" s="5" t="str">
        <f>IF(S12="","",'13_Master_Materials'!I11)</f>
        <v>TO BE DEFINED</v>
      </c>
      <c r="AA12" s="5" t="str">
        <f t="shared" si="4"/>
        <v>OK</v>
      </c>
    </row>
    <row r="13">
      <c r="B13" s="26"/>
      <c r="S13" s="5" t="str">
        <f>IF('13_Master_Materials'!A12="","",'13_Master_Materials'!A12)</f>
        <v>MAT-COV-3X26</v>
      </c>
      <c r="T13" s="5" t="str">
        <f>IF(S13="","",'13_Master_Materials'!C12)</f>
        <v>Cover</v>
      </c>
      <c r="U13" s="5" t="str">
        <f>IF(S13="","",'13_Master_Materials'!E12)</f>
        <v>PCS</v>
      </c>
      <c r="V13" s="5">
        <f t="shared" si="1"/>
        <v>0</v>
      </c>
      <c r="W13" s="5">
        <f t="shared" si="2"/>
        <v>0</v>
      </c>
      <c r="X13" s="5">
        <f t="shared" si="3"/>
        <v>0</v>
      </c>
      <c r="Y13" s="5" t="str">
        <f>IF(S13="","",'13_Master_Materials'!H12)</f>
        <v>TO BE DEFINED</v>
      </c>
      <c r="Z13" s="5" t="str">
        <f>IF(S13="","",'13_Master_Materials'!I12)</f>
        <v>TO BE DEFINED</v>
      </c>
      <c r="AA13" s="5" t="str">
        <f t="shared" si="4"/>
        <v>OK</v>
      </c>
    </row>
    <row r="14">
      <c r="B14" s="26"/>
      <c r="S14" s="5" t="str">
        <f>IF('13_Master_Materials'!A13="","",'13_Master_Materials'!A13)</f>
        <v>MAT-COV-8X10</v>
      </c>
      <c r="T14" s="5" t="str">
        <f>IF(S14="","",'13_Master_Materials'!C13)</f>
        <v>Cover</v>
      </c>
      <c r="U14" s="5" t="str">
        <f>IF(S14="","",'13_Master_Materials'!E13)</f>
        <v>PCS</v>
      </c>
      <c r="V14" s="5">
        <f t="shared" si="1"/>
        <v>0</v>
      </c>
      <c r="W14" s="5">
        <f t="shared" si="2"/>
        <v>0</v>
      </c>
      <c r="X14" s="5">
        <f t="shared" si="3"/>
        <v>0</v>
      </c>
      <c r="Y14" s="5" t="str">
        <f>IF(S14="","",'13_Master_Materials'!H13)</f>
        <v>TO BE DEFINED</v>
      </c>
      <c r="Z14" s="5" t="str">
        <f>IF(S14="","",'13_Master_Materials'!I13)</f>
        <v>TO BE DEFINED</v>
      </c>
      <c r="AA14" s="5" t="str">
        <f t="shared" si="4"/>
        <v>OK</v>
      </c>
    </row>
    <row r="15">
      <c r="B15" s="26"/>
      <c r="S15" s="5" t="str">
        <f>IF('13_Master_Materials'!A14="","",'13_Master_Materials'!A14)</f>
        <v>MAT-PIPE-13</v>
      </c>
      <c r="T15" s="5" t="str">
        <f>IF(S15="","",'13_Master_Materials'!C14)</f>
        <v>Pipe</v>
      </c>
      <c r="U15" s="5" t="str">
        <f>IF(S15="","",'13_Master_Materials'!E14)</f>
        <v>MTR</v>
      </c>
      <c r="V15" s="5">
        <f t="shared" si="1"/>
        <v>0</v>
      </c>
      <c r="W15" s="5">
        <f t="shared" si="2"/>
        <v>0</v>
      </c>
      <c r="X15" s="5">
        <f t="shared" si="3"/>
        <v>0</v>
      </c>
      <c r="Y15" s="5" t="str">
        <f>IF(S15="","",'13_Master_Materials'!H14)</f>
        <v>TO BE DEFINED</v>
      </c>
      <c r="Z15" s="5" t="str">
        <f>IF(S15="","",'13_Master_Materials'!I14)</f>
        <v>TO BE DEFINED</v>
      </c>
      <c r="AA15" s="5" t="str">
        <f t="shared" si="4"/>
        <v>OK</v>
      </c>
    </row>
    <row r="16">
      <c r="B16" s="26"/>
      <c r="S16" s="5" t="str">
        <f>IF('13_Master_Materials'!A15="","",'13_Master_Materials'!A15)</f>
        <v>MAT-PIPE-135</v>
      </c>
      <c r="T16" s="5" t="str">
        <f>IF(S16="","",'13_Master_Materials'!C15)</f>
        <v>Pipe</v>
      </c>
      <c r="U16" s="5" t="str">
        <f>IF(S16="","",'13_Master_Materials'!E15)</f>
        <v>MTR</v>
      </c>
      <c r="V16" s="5">
        <f t="shared" si="1"/>
        <v>0</v>
      </c>
      <c r="W16" s="5">
        <f t="shared" si="2"/>
        <v>0</v>
      </c>
      <c r="X16" s="5">
        <f t="shared" si="3"/>
        <v>0</v>
      </c>
      <c r="Y16" s="5" t="str">
        <f>IF(S16="","",'13_Master_Materials'!H15)</f>
        <v>TO BE DEFINED</v>
      </c>
      <c r="Z16" s="5" t="str">
        <f>IF(S16="","",'13_Master_Materials'!I15)</f>
        <v>TO BE DEFINED</v>
      </c>
      <c r="AA16" s="5" t="str">
        <f t="shared" si="4"/>
        <v>OK</v>
      </c>
    </row>
    <row r="17">
      <c r="B17" s="26"/>
      <c r="S17" s="5" t="str">
        <f>IF('13_Master_Materials'!A16="","",'13_Master_Materials'!A16)</f>
        <v/>
      </c>
      <c r="T17" s="5" t="str">
        <f>IF(S17="","",'13_Master_Materials'!C16)</f>
        <v/>
      </c>
      <c r="U17" s="5" t="str">
        <f>IF(S17="","",'13_Master_Materials'!E16)</f>
        <v/>
      </c>
      <c r="V17" s="5" t="str">
        <f t="shared" si="1"/>
        <v/>
      </c>
      <c r="W17" s="5" t="str">
        <f t="shared" si="2"/>
        <v/>
      </c>
      <c r="X17" s="5" t="str">
        <f t="shared" si="3"/>
        <v/>
      </c>
      <c r="Y17" s="5" t="str">
        <f>IF(S17="","",'13_Master_Materials'!H16)</f>
        <v/>
      </c>
      <c r="Z17" s="5" t="str">
        <f>IF(S17="","",'13_Master_Materials'!I16)</f>
        <v/>
      </c>
      <c r="AA17" s="5" t="str">
        <f t="shared" si="4"/>
        <v/>
      </c>
    </row>
    <row r="18">
      <c r="B18" s="26"/>
      <c r="S18" s="5" t="str">
        <f>IF('13_Master_Materials'!A17="","",'13_Master_Materials'!A17)</f>
        <v/>
      </c>
      <c r="T18" s="5" t="str">
        <f>IF(S18="","",'13_Master_Materials'!C17)</f>
        <v/>
      </c>
      <c r="U18" s="5" t="str">
        <f>IF(S18="","",'13_Master_Materials'!E17)</f>
        <v/>
      </c>
      <c r="V18" s="5" t="str">
        <f t="shared" si="1"/>
        <v/>
      </c>
      <c r="W18" s="5" t="str">
        <f t="shared" si="2"/>
        <v/>
      </c>
      <c r="X18" s="5" t="str">
        <f t="shared" si="3"/>
        <v/>
      </c>
      <c r="Y18" s="5" t="str">
        <f>IF(S18="","",'13_Master_Materials'!H17)</f>
        <v/>
      </c>
      <c r="Z18" s="5" t="str">
        <f>IF(S18="","",'13_Master_Materials'!I17)</f>
        <v/>
      </c>
      <c r="AA18" s="5" t="str">
        <f t="shared" si="4"/>
        <v/>
      </c>
    </row>
    <row r="19">
      <c r="B19" s="26"/>
      <c r="S19" s="5" t="str">
        <f>IF('13_Master_Materials'!A18="","",'13_Master_Materials'!A18)</f>
        <v/>
      </c>
      <c r="T19" s="5" t="str">
        <f>IF(S19="","",'13_Master_Materials'!C18)</f>
        <v/>
      </c>
      <c r="U19" s="5" t="str">
        <f>IF(S19="","",'13_Master_Materials'!E18)</f>
        <v/>
      </c>
      <c r="V19" s="5" t="str">
        <f t="shared" si="1"/>
        <v/>
      </c>
      <c r="W19" s="5" t="str">
        <f t="shared" si="2"/>
        <v/>
      </c>
      <c r="X19" s="5" t="str">
        <f t="shared" si="3"/>
        <v/>
      </c>
      <c r="Y19" s="5" t="str">
        <f>IF(S19="","",'13_Master_Materials'!H18)</f>
        <v/>
      </c>
      <c r="Z19" s="5" t="str">
        <f>IF(S19="","",'13_Master_Materials'!I18)</f>
        <v/>
      </c>
      <c r="AA19" s="5" t="str">
        <f t="shared" si="4"/>
        <v/>
      </c>
    </row>
    <row r="20">
      <c r="B20" s="26"/>
      <c r="S20" s="5" t="str">
        <f>IF('13_Master_Materials'!A19="","",'13_Master_Materials'!A19)</f>
        <v/>
      </c>
      <c r="T20" s="5" t="str">
        <f>IF(S20="","",'13_Master_Materials'!C19)</f>
        <v/>
      </c>
      <c r="U20" s="5" t="str">
        <f>IF(S20="","",'13_Master_Materials'!E19)</f>
        <v/>
      </c>
      <c r="V20" s="5" t="str">
        <f t="shared" si="1"/>
        <v/>
      </c>
      <c r="W20" s="5" t="str">
        <f t="shared" si="2"/>
        <v/>
      </c>
      <c r="X20" s="5" t="str">
        <f t="shared" si="3"/>
        <v/>
      </c>
      <c r="Y20" s="5" t="str">
        <f>IF(S20="","",'13_Master_Materials'!H19)</f>
        <v/>
      </c>
      <c r="Z20" s="5" t="str">
        <f>IF(S20="","",'13_Master_Materials'!I19)</f>
        <v/>
      </c>
      <c r="AA20" s="5" t="str">
        <f t="shared" si="4"/>
        <v/>
      </c>
    </row>
    <row r="21" ht="15.75" customHeight="1">
      <c r="B21" s="26"/>
      <c r="S21" s="5" t="str">
        <f>IF('13_Master_Materials'!A20="","",'13_Master_Materials'!A20)</f>
        <v/>
      </c>
      <c r="T21" s="5" t="str">
        <f>IF(S21="","",'13_Master_Materials'!C20)</f>
        <v/>
      </c>
      <c r="U21" s="5" t="str">
        <f>IF(S21="","",'13_Master_Materials'!E20)</f>
        <v/>
      </c>
      <c r="V21" s="5" t="str">
        <f t="shared" si="1"/>
        <v/>
      </c>
      <c r="W21" s="5" t="str">
        <f t="shared" si="2"/>
        <v/>
      </c>
      <c r="X21" s="5" t="str">
        <f t="shared" si="3"/>
        <v/>
      </c>
      <c r="Y21" s="5" t="str">
        <f>IF(S21="","",'13_Master_Materials'!H20)</f>
        <v/>
      </c>
      <c r="Z21" s="5" t="str">
        <f>IF(S21="","",'13_Master_Materials'!I20)</f>
        <v/>
      </c>
      <c r="AA21" s="5" t="str">
        <f t="shared" si="4"/>
        <v/>
      </c>
    </row>
    <row r="22" ht="15.75" customHeight="1">
      <c r="B22" s="26"/>
      <c r="S22" s="5" t="str">
        <f>IF('13_Master_Materials'!A21="","",'13_Master_Materials'!A21)</f>
        <v/>
      </c>
      <c r="T22" s="5" t="str">
        <f>IF(S22="","",'13_Master_Materials'!C21)</f>
        <v/>
      </c>
      <c r="U22" s="5" t="str">
        <f>IF(S22="","",'13_Master_Materials'!E21)</f>
        <v/>
      </c>
      <c r="V22" s="5" t="str">
        <f t="shared" si="1"/>
        <v/>
      </c>
      <c r="W22" s="5" t="str">
        <f t="shared" si="2"/>
        <v/>
      </c>
      <c r="X22" s="5" t="str">
        <f t="shared" si="3"/>
        <v/>
      </c>
      <c r="Y22" s="5" t="str">
        <f>IF(S22="","",'13_Master_Materials'!H21)</f>
        <v/>
      </c>
      <c r="Z22" s="5" t="str">
        <f>IF(S22="","",'13_Master_Materials'!I21)</f>
        <v/>
      </c>
      <c r="AA22" s="5" t="str">
        <f t="shared" si="4"/>
        <v/>
      </c>
    </row>
    <row r="23" ht="15.75" customHeight="1">
      <c r="B23" s="26"/>
      <c r="S23" s="5" t="str">
        <f>IF('13_Master_Materials'!A22="","",'13_Master_Materials'!A22)</f>
        <v/>
      </c>
      <c r="T23" s="5" t="str">
        <f>IF(S23="","",'13_Master_Materials'!C22)</f>
        <v/>
      </c>
      <c r="U23" s="5" t="str">
        <f>IF(S23="","",'13_Master_Materials'!E22)</f>
        <v/>
      </c>
      <c r="V23" s="5" t="str">
        <f t="shared" si="1"/>
        <v/>
      </c>
      <c r="W23" s="5" t="str">
        <f t="shared" si="2"/>
        <v/>
      </c>
      <c r="X23" s="5" t="str">
        <f t="shared" si="3"/>
        <v/>
      </c>
      <c r="Y23" s="5" t="str">
        <f>IF(S23="","",'13_Master_Materials'!H22)</f>
        <v/>
      </c>
      <c r="Z23" s="5" t="str">
        <f>IF(S23="","",'13_Master_Materials'!I22)</f>
        <v/>
      </c>
      <c r="AA23" s="5" t="str">
        <f t="shared" si="4"/>
        <v/>
      </c>
    </row>
    <row r="24" ht="15.75" customHeight="1">
      <c r="B24" s="26"/>
      <c r="S24" s="5" t="str">
        <f>IF('13_Master_Materials'!A23="","",'13_Master_Materials'!A23)</f>
        <v/>
      </c>
      <c r="T24" s="5" t="str">
        <f>IF(S24="","",'13_Master_Materials'!C23)</f>
        <v/>
      </c>
      <c r="U24" s="5" t="str">
        <f>IF(S24="","",'13_Master_Materials'!E23)</f>
        <v/>
      </c>
      <c r="V24" s="5" t="str">
        <f t="shared" si="1"/>
        <v/>
      </c>
      <c r="W24" s="5" t="str">
        <f t="shared" si="2"/>
        <v/>
      </c>
      <c r="X24" s="5" t="str">
        <f t="shared" si="3"/>
        <v/>
      </c>
      <c r="Y24" s="5" t="str">
        <f>IF(S24="","",'13_Master_Materials'!H23)</f>
        <v/>
      </c>
      <c r="Z24" s="5" t="str">
        <f>IF(S24="","",'13_Master_Materials'!I23)</f>
        <v/>
      </c>
      <c r="AA24" s="5" t="str">
        <f t="shared" si="4"/>
        <v/>
      </c>
    </row>
    <row r="25" ht="15.75" customHeight="1">
      <c r="B25" s="26"/>
      <c r="S25" s="5" t="str">
        <f>IF('13_Master_Materials'!A24="","",'13_Master_Materials'!A24)</f>
        <v/>
      </c>
      <c r="T25" s="5" t="str">
        <f>IF(S25="","",'13_Master_Materials'!C24)</f>
        <v/>
      </c>
      <c r="U25" s="5" t="str">
        <f>IF(S25="","",'13_Master_Materials'!E24)</f>
        <v/>
      </c>
      <c r="V25" s="5" t="str">
        <f t="shared" si="1"/>
        <v/>
      </c>
      <c r="W25" s="5" t="str">
        <f t="shared" si="2"/>
        <v/>
      </c>
      <c r="X25" s="5" t="str">
        <f t="shared" si="3"/>
        <v/>
      </c>
      <c r="Y25" s="5" t="str">
        <f>IF(S25="","",'13_Master_Materials'!H24)</f>
        <v/>
      </c>
      <c r="Z25" s="5" t="str">
        <f>IF(S25="","",'13_Master_Materials'!I24)</f>
        <v/>
      </c>
      <c r="AA25" s="5" t="str">
        <f t="shared" si="4"/>
        <v/>
      </c>
    </row>
    <row r="26" ht="15.75" customHeight="1">
      <c r="B26" s="26"/>
      <c r="S26" s="5" t="str">
        <f>IF('13_Master_Materials'!A25="","",'13_Master_Materials'!A25)</f>
        <v/>
      </c>
      <c r="T26" s="5" t="str">
        <f>IF(S26="","",'13_Master_Materials'!C25)</f>
        <v/>
      </c>
      <c r="U26" s="5" t="str">
        <f>IF(S26="","",'13_Master_Materials'!E25)</f>
        <v/>
      </c>
      <c r="V26" s="5" t="str">
        <f t="shared" si="1"/>
        <v/>
      </c>
      <c r="W26" s="5" t="str">
        <f t="shared" si="2"/>
        <v/>
      </c>
      <c r="X26" s="5" t="str">
        <f t="shared" si="3"/>
        <v/>
      </c>
      <c r="Y26" s="5" t="str">
        <f>IF(S26="","",'13_Master_Materials'!H25)</f>
        <v/>
      </c>
      <c r="Z26" s="5" t="str">
        <f>IF(S26="","",'13_Master_Materials'!I25)</f>
        <v/>
      </c>
      <c r="AA26" s="5" t="str">
        <f t="shared" si="4"/>
        <v/>
      </c>
    </row>
    <row r="27" ht="15.75" customHeight="1">
      <c r="B27" s="26"/>
      <c r="S27" s="5" t="str">
        <f>IF('13_Master_Materials'!A26="","",'13_Master_Materials'!A26)</f>
        <v/>
      </c>
      <c r="T27" s="5" t="str">
        <f>IF(S27="","",'13_Master_Materials'!C26)</f>
        <v/>
      </c>
      <c r="U27" s="5" t="str">
        <f>IF(S27="","",'13_Master_Materials'!E26)</f>
        <v/>
      </c>
      <c r="V27" s="5" t="str">
        <f t="shared" si="1"/>
        <v/>
      </c>
      <c r="W27" s="5" t="str">
        <f t="shared" si="2"/>
        <v/>
      </c>
      <c r="X27" s="5" t="str">
        <f t="shared" si="3"/>
        <v/>
      </c>
      <c r="Y27" s="5" t="str">
        <f>IF(S27="","",'13_Master_Materials'!H26)</f>
        <v/>
      </c>
      <c r="Z27" s="5" t="str">
        <f>IF(S27="","",'13_Master_Materials'!I26)</f>
        <v/>
      </c>
      <c r="AA27" s="5" t="str">
        <f t="shared" si="4"/>
        <v/>
      </c>
    </row>
    <row r="28" ht="15.75" customHeight="1">
      <c r="B28" s="26"/>
      <c r="S28" s="5" t="str">
        <f>IF('13_Master_Materials'!A27="","",'13_Master_Materials'!A27)</f>
        <v/>
      </c>
      <c r="T28" s="5" t="str">
        <f>IF(S28="","",'13_Master_Materials'!C27)</f>
        <v/>
      </c>
      <c r="U28" s="5" t="str">
        <f>IF(S28="","",'13_Master_Materials'!E27)</f>
        <v/>
      </c>
      <c r="V28" s="5" t="str">
        <f t="shared" si="1"/>
        <v/>
      </c>
      <c r="W28" s="5" t="str">
        <f t="shared" si="2"/>
        <v/>
      </c>
      <c r="X28" s="5" t="str">
        <f t="shared" si="3"/>
        <v/>
      </c>
      <c r="Y28" s="5" t="str">
        <f>IF(S28="","",'13_Master_Materials'!H27)</f>
        <v/>
      </c>
      <c r="Z28" s="5" t="str">
        <f>IF(S28="","",'13_Master_Materials'!I27)</f>
        <v/>
      </c>
      <c r="AA28" s="5" t="str">
        <f t="shared" si="4"/>
        <v/>
      </c>
    </row>
    <row r="29" ht="15.75" customHeight="1">
      <c r="B29" s="26"/>
      <c r="S29" s="5" t="str">
        <f>IF('13_Master_Materials'!A28="","",'13_Master_Materials'!A28)</f>
        <v/>
      </c>
      <c r="T29" s="5" t="str">
        <f>IF(S29="","",'13_Master_Materials'!C28)</f>
        <v/>
      </c>
      <c r="U29" s="5" t="str">
        <f>IF(S29="","",'13_Master_Materials'!E28)</f>
        <v/>
      </c>
      <c r="V29" s="5" t="str">
        <f t="shared" si="1"/>
        <v/>
      </c>
      <c r="W29" s="5" t="str">
        <f t="shared" si="2"/>
        <v/>
      </c>
      <c r="X29" s="5" t="str">
        <f t="shared" si="3"/>
        <v/>
      </c>
      <c r="Y29" s="5" t="str">
        <f>IF(S29="","",'13_Master_Materials'!H28)</f>
        <v/>
      </c>
      <c r="Z29" s="5" t="str">
        <f>IF(S29="","",'13_Master_Materials'!I28)</f>
        <v/>
      </c>
      <c r="AA29" s="5" t="str">
        <f t="shared" si="4"/>
        <v/>
      </c>
    </row>
    <row r="30" ht="15.75" customHeight="1">
      <c r="B30" s="26"/>
      <c r="S30" s="5" t="str">
        <f>IF('13_Master_Materials'!A29="","",'13_Master_Materials'!A29)</f>
        <v/>
      </c>
      <c r="T30" s="5" t="str">
        <f>IF(S30="","",'13_Master_Materials'!C29)</f>
        <v/>
      </c>
      <c r="U30" s="5" t="str">
        <f>IF(S30="","",'13_Master_Materials'!E29)</f>
        <v/>
      </c>
      <c r="V30" s="5" t="str">
        <f t="shared" si="1"/>
        <v/>
      </c>
      <c r="W30" s="5" t="str">
        <f t="shared" si="2"/>
        <v/>
      </c>
      <c r="X30" s="5" t="str">
        <f t="shared" si="3"/>
        <v/>
      </c>
      <c r="Y30" s="5" t="str">
        <f>IF(S30="","",'13_Master_Materials'!H29)</f>
        <v/>
      </c>
      <c r="Z30" s="5" t="str">
        <f>IF(S30="","",'13_Master_Materials'!I29)</f>
        <v/>
      </c>
      <c r="AA30" s="5" t="str">
        <f t="shared" si="4"/>
        <v/>
      </c>
    </row>
    <row r="31" ht="15.75" customHeight="1">
      <c r="B31" s="26"/>
      <c r="S31" s="5" t="str">
        <f>IF('13_Master_Materials'!A30="","",'13_Master_Materials'!A30)</f>
        <v/>
      </c>
      <c r="T31" s="5" t="str">
        <f>IF(S31="","",'13_Master_Materials'!C30)</f>
        <v/>
      </c>
      <c r="U31" s="5" t="str">
        <f>IF(S31="","",'13_Master_Materials'!E30)</f>
        <v/>
      </c>
      <c r="V31" s="5" t="str">
        <f t="shared" si="1"/>
        <v/>
      </c>
      <c r="W31" s="5" t="str">
        <f t="shared" si="2"/>
        <v/>
      </c>
      <c r="X31" s="5" t="str">
        <f t="shared" si="3"/>
        <v/>
      </c>
      <c r="Y31" s="5" t="str">
        <f>IF(S31="","",'13_Master_Materials'!H30)</f>
        <v/>
      </c>
      <c r="Z31" s="5" t="str">
        <f>IF(S31="","",'13_Master_Materials'!I30)</f>
        <v/>
      </c>
      <c r="AA31" s="5" t="str">
        <f t="shared" si="4"/>
        <v/>
      </c>
    </row>
    <row r="32" ht="15.75" customHeight="1">
      <c r="B32" s="26"/>
      <c r="S32" s="5" t="str">
        <f>IF('13_Master_Materials'!A31="","",'13_Master_Materials'!A31)</f>
        <v/>
      </c>
      <c r="T32" s="5" t="str">
        <f>IF(S32="","",'13_Master_Materials'!C31)</f>
        <v/>
      </c>
      <c r="U32" s="5" t="str">
        <f>IF(S32="","",'13_Master_Materials'!E31)</f>
        <v/>
      </c>
      <c r="V32" s="5" t="str">
        <f t="shared" si="1"/>
        <v/>
      </c>
      <c r="W32" s="5" t="str">
        <f t="shared" si="2"/>
        <v/>
      </c>
      <c r="X32" s="5" t="str">
        <f t="shared" si="3"/>
        <v/>
      </c>
      <c r="Y32" s="5" t="str">
        <f>IF(S32="","",'13_Master_Materials'!H31)</f>
        <v/>
      </c>
      <c r="Z32" s="5" t="str">
        <f>IF(S32="","",'13_Master_Materials'!I31)</f>
        <v/>
      </c>
      <c r="AA32" s="5" t="str">
        <f t="shared" si="4"/>
        <v/>
      </c>
    </row>
    <row r="33" ht="15.75" customHeight="1">
      <c r="B33" s="26"/>
      <c r="S33" s="5" t="str">
        <f>IF('13_Master_Materials'!A32="","",'13_Master_Materials'!A32)</f>
        <v/>
      </c>
      <c r="T33" s="5" t="str">
        <f>IF(S33="","",'13_Master_Materials'!C32)</f>
        <v/>
      </c>
      <c r="U33" s="5" t="str">
        <f>IF(S33="","",'13_Master_Materials'!E32)</f>
        <v/>
      </c>
      <c r="V33" s="5" t="str">
        <f t="shared" si="1"/>
        <v/>
      </c>
      <c r="W33" s="5" t="str">
        <f t="shared" si="2"/>
        <v/>
      </c>
      <c r="X33" s="5" t="str">
        <f t="shared" si="3"/>
        <v/>
      </c>
      <c r="Y33" s="5" t="str">
        <f>IF(S33="","",'13_Master_Materials'!H32)</f>
        <v/>
      </c>
      <c r="Z33" s="5" t="str">
        <f>IF(S33="","",'13_Master_Materials'!I32)</f>
        <v/>
      </c>
      <c r="AA33" s="5" t="str">
        <f t="shared" si="4"/>
        <v/>
      </c>
    </row>
    <row r="34" ht="15.75" customHeight="1">
      <c r="B34" s="26"/>
      <c r="S34" s="5" t="str">
        <f>IF('13_Master_Materials'!A33="","",'13_Master_Materials'!A33)</f>
        <v/>
      </c>
      <c r="T34" s="5" t="str">
        <f>IF(S34="","",'13_Master_Materials'!C33)</f>
        <v/>
      </c>
      <c r="U34" s="5" t="str">
        <f>IF(S34="","",'13_Master_Materials'!E33)</f>
        <v/>
      </c>
      <c r="V34" s="5" t="str">
        <f t="shared" si="1"/>
        <v/>
      </c>
      <c r="W34" s="5" t="str">
        <f t="shared" si="2"/>
        <v/>
      </c>
      <c r="X34" s="5" t="str">
        <f t="shared" si="3"/>
        <v/>
      </c>
      <c r="Y34" s="5" t="str">
        <f>IF(S34="","",'13_Master_Materials'!H33)</f>
        <v/>
      </c>
      <c r="Z34" s="5" t="str">
        <f>IF(S34="","",'13_Master_Materials'!I33)</f>
        <v/>
      </c>
      <c r="AA34" s="5" t="str">
        <f t="shared" si="4"/>
        <v/>
      </c>
    </row>
    <row r="35" ht="15.75" customHeight="1">
      <c r="B35" s="26"/>
      <c r="S35" s="5" t="str">
        <f>IF('13_Master_Materials'!A34="","",'13_Master_Materials'!A34)</f>
        <v/>
      </c>
      <c r="T35" s="5" t="str">
        <f>IF(S35="","",'13_Master_Materials'!C34)</f>
        <v/>
      </c>
      <c r="U35" s="5" t="str">
        <f>IF(S35="","",'13_Master_Materials'!E34)</f>
        <v/>
      </c>
      <c r="V35" s="5" t="str">
        <f t="shared" si="1"/>
        <v/>
      </c>
      <c r="W35" s="5" t="str">
        <f t="shared" si="2"/>
        <v/>
      </c>
      <c r="X35" s="5" t="str">
        <f t="shared" si="3"/>
        <v/>
      </c>
      <c r="Y35" s="5" t="str">
        <f>IF(S35="","",'13_Master_Materials'!H34)</f>
        <v/>
      </c>
      <c r="Z35" s="5" t="str">
        <f>IF(S35="","",'13_Master_Materials'!I34)</f>
        <v/>
      </c>
      <c r="AA35" s="5" t="str">
        <f t="shared" si="4"/>
        <v/>
      </c>
    </row>
    <row r="36" ht="15.75" customHeight="1">
      <c r="B36" s="26"/>
      <c r="S36" s="5" t="str">
        <f>IF('13_Master_Materials'!A35="","",'13_Master_Materials'!A35)</f>
        <v/>
      </c>
      <c r="T36" s="5" t="str">
        <f>IF(S36="","",'13_Master_Materials'!C35)</f>
        <v/>
      </c>
      <c r="U36" s="5" t="str">
        <f>IF(S36="","",'13_Master_Materials'!E35)</f>
        <v/>
      </c>
      <c r="V36" s="5" t="str">
        <f t="shared" si="1"/>
        <v/>
      </c>
      <c r="W36" s="5" t="str">
        <f t="shared" si="2"/>
        <v/>
      </c>
      <c r="X36" s="5" t="str">
        <f t="shared" si="3"/>
        <v/>
      </c>
      <c r="Y36" s="5" t="str">
        <f>IF(S36="","",'13_Master_Materials'!H35)</f>
        <v/>
      </c>
      <c r="Z36" s="5" t="str">
        <f>IF(S36="","",'13_Master_Materials'!I35)</f>
        <v/>
      </c>
      <c r="AA36" s="5" t="str">
        <f t="shared" si="4"/>
        <v/>
      </c>
    </row>
    <row r="37" ht="15.75" customHeight="1">
      <c r="B37" s="26"/>
      <c r="S37" s="5" t="str">
        <f>IF('13_Master_Materials'!A36="","",'13_Master_Materials'!A36)</f>
        <v/>
      </c>
      <c r="T37" s="5" t="str">
        <f>IF(S37="","",'13_Master_Materials'!C36)</f>
        <v/>
      </c>
      <c r="U37" s="5" t="str">
        <f>IF(S37="","",'13_Master_Materials'!E36)</f>
        <v/>
      </c>
      <c r="V37" s="5" t="str">
        <f t="shared" si="1"/>
        <v/>
      </c>
      <c r="W37" s="5" t="str">
        <f t="shared" si="2"/>
        <v/>
      </c>
      <c r="X37" s="5" t="str">
        <f t="shared" si="3"/>
        <v/>
      </c>
      <c r="Y37" s="5" t="str">
        <f>IF(S37="","",'13_Master_Materials'!H36)</f>
        <v/>
      </c>
      <c r="Z37" s="5" t="str">
        <f>IF(S37="","",'13_Master_Materials'!I36)</f>
        <v/>
      </c>
      <c r="AA37" s="5" t="str">
        <f t="shared" si="4"/>
        <v/>
      </c>
    </row>
    <row r="38" ht="15.75" customHeight="1">
      <c r="B38" s="26"/>
      <c r="S38" s="5" t="str">
        <f>IF('13_Master_Materials'!A37="","",'13_Master_Materials'!A37)</f>
        <v/>
      </c>
      <c r="T38" s="5" t="str">
        <f>IF(S38="","",'13_Master_Materials'!C37)</f>
        <v/>
      </c>
      <c r="U38" s="5" t="str">
        <f>IF(S38="","",'13_Master_Materials'!E37)</f>
        <v/>
      </c>
      <c r="V38" s="5" t="str">
        <f t="shared" si="1"/>
        <v/>
      </c>
      <c r="W38" s="5" t="str">
        <f t="shared" si="2"/>
        <v/>
      </c>
      <c r="X38" s="5" t="str">
        <f t="shared" si="3"/>
        <v/>
      </c>
      <c r="Y38" s="5" t="str">
        <f>IF(S38="","",'13_Master_Materials'!H37)</f>
        <v/>
      </c>
      <c r="Z38" s="5" t="str">
        <f>IF(S38="","",'13_Master_Materials'!I37)</f>
        <v/>
      </c>
      <c r="AA38" s="5" t="str">
        <f t="shared" si="4"/>
        <v/>
      </c>
    </row>
    <row r="39" ht="15.75" customHeight="1">
      <c r="B39" s="26"/>
      <c r="S39" s="5" t="str">
        <f>IF('13_Master_Materials'!A38="","",'13_Master_Materials'!A38)</f>
        <v/>
      </c>
      <c r="T39" s="5" t="str">
        <f>IF(S39="","",'13_Master_Materials'!C38)</f>
        <v/>
      </c>
      <c r="U39" s="5" t="str">
        <f>IF(S39="","",'13_Master_Materials'!E38)</f>
        <v/>
      </c>
      <c r="V39" s="5" t="str">
        <f t="shared" si="1"/>
        <v/>
      </c>
      <c r="W39" s="5" t="str">
        <f t="shared" si="2"/>
        <v/>
      </c>
      <c r="X39" s="5" t="str">
        <f t="shared" si="3"/>
        <v/>
      </c>
      <c r="Y39" s="5" t="str">
        <f>IF(S39="","",'13_Master_Materials'!H38)</f>
        <v/>
      </c>
      <c r="Z39" s="5" t="str">
        <f>IF(S39="","",'13_Master_Materials'!I38)</f>
        <v/>
      </c>
      <c r="AA39" s="5" t="str">
        <f t="shared" si="4"/>
        <v/>
      </c>
    </row>
    <row r="40" ht="15.75" customHeight="1">
      <c r="B40" s="26"/>
      <c r="S40" s="5" t="str">
        <f>IF('13_Master_Materials'!A39="","",'13_Master_Materials'!A39)</f>
        <v/>
      </c>
      <c r="T40" s="5" t="str">
        <f>IF(S40="","",'13_Master_Materials'!C39)</f>
        <v/>
      </c>
      <c r="U40" s="5" t="str">
        <f>IF(S40="","",'13_Master_Materials'!E39)</f>
        <v/>
      </c>
      <c r="V40" s="5" t="str">
        <f t="shared" si="1"/>
        <v/>
      </c>
      <c r="W40" s="5" t="str">
        <f t="shared" si="2"/>
        <v/>
      </c>
      <c r="X40" s="5" t="str">
        <f t="shared" si="3"/>
        <v/>
      </c>
      <c r="Y40" s="5" t="str">
        <f>IF(S40="","",'13_Master_Materials'!H39)</f>
        <v/>
      </c>
      <c r="Z40" s="5" t="str">
        <f>IF(S40="","",'13_Master_Materials'!I39)</f>
        <v/>
      </c>
      <c r="AA40" s="5" t="str">
        <f t="shared" si="4"/>
        <v/>
      </c>
    </row>
    <row r="41" ht="15.75" customHeight="1">
      <c r="B41" s="26"/>
      <c r="S41" s="5" t="str">
        <f>IF('13_Master_Materials'!A40="","",'13_Master_Materials'!A40)</f>
        <v/>
      </c>
      <c r="T41" s="5" t="str">
        <f>IF(S41="","",'13_Master_Materials'!C40)</f>
        <v/>
      </c>
      <c r="U41" s="5" t="str">
        <f>IF(S41="","",'13_Master_Materials'!E40)</f>
        <v/>
      </c>
      <c r="V41" s="5" t="str">
        <f t="shared" si="1"/>
        <v/>
      </c>
      <c r="W41" s="5" t="str">
        <f t="shared" si="2"/>
        <v/>
      </c>
      <c r="X41" s="5" t="str">
        <f t="shared" si="3"/>
        <v/>
      </c>
      <c r="Y41" s="5" t="str">
        <f>IF(S41="","",'13_Master_Materials'!H40)</f>
        <v/>
      </c>
      <c r="Z41" s="5" t="str">
        <f>IF(S41="","",'13_Master_Materials'!I40)</f>
        <v/>
      </c>
      <c r="AA41" s="5" t="str">
        <f t="shared" si="4"/>
        <v/>
      </c>
    </row>
    <row r="42" ht="15.75" customHeight="1">
      <c r="B42" s="26"/>
      <c r="S42" s="5" t="str">
        <f>IF('13_Master_Materials'!A41="","",'13_Master_Materials'!A41)</f>
        <v/>
      </c>
      <c r="T42" s="5" t="str">
        <f>IF(S42="","",'13_Master_Materials'!C41)</f>
        <v/>
      </c>
      <c r="U42" s="5" t="str">
        <f>IF(S42="","",'13_Master_Materials'!E41)</f>
        <v/>
      </c>
      <c r="V42" s="5" t="str">
        <f t="shared" si="1"/>
        <v/>
      </c>
      <c r="W42" s="5" t="str">
        <f t="shared" si="2"/>
        <v/>
      </c>
      <c r="X42" s="5" t="str">
        <f t="shared" si="3"/>
        <v/>
      </c>
      <c r="Y42" s="5" t="str">
        <f>IF(S42="","",'13_Master_Materials'!H41)</f>
        <v/>
      </c>
      <c r="Z42" s="5" t="str">
        <f>IF(S42="","",'13_Master_Materials'!I41)</f>
        <v/>
      </c>
      <c r="AA42" s="5" t="str">
        <f t="shared" si="4"/>
        <v/>
      </c>
    </row>
    <row r="43" ht="15.75" customHeight="1">
      <c r="B43" s="26"/>
      <c r="S43" s="5" t="str">
        <f>IF('13_Master_Materials'!A42="","",'13_Master_Materials'!A42)</f>
        <v/>
      </c>
      <c r="T43" s="5" t="str">
        <f>IF(S43="","",'13_Master_Materials'!C42)</f>
        <v/>
      </c>
      <c r="U43" s="5" t="str">
        <f>IF(S43="","",'13_Master_Materials'!E42)</f>
        <v/>
      </c>
      <c r="V43" s="5" t="str">
        <f t="shared" si="1"/>
        <v/>
      </c>
      <c r="W43" s="5" t="str">
        <f t="shared" si="2"/>
        <v/>
      </c>
      <c r="X43" s="5" t="str">
        <f t="shared" si="3"/>
        <v/>
      </c>
      <c r="Y43" s="5" t="str">
        <f>IF(S43="","",'13_Master_Materials'!H42)</f>
        <v/>
      </c>
      <c r="Z43" s="5" t="str">
        <f>IF(S43="","",'13_Master_Materials'!I42)</f>
        <v/>
      </c>
      <c r="AA43" s="5" t="str">
        <f t="shared" si="4"/>
        <v/>
      </c>
    </row>
    <row r="44" ht="15.75" customHeight="1">
      <c r="B44" s="26"/>
      <c r="S44" s="5" t="str">
        <f>IF('13_Master_Materials'!A43="","",'13_Master_Materials'!A43)</f>
        <v/>
      </c>
      <c r="T44" s="5" t="str">
        <f>IF(S44="","",'13_Master_Materials'!C43)</f>
        <v/>
      </c>
      <c r="U44" s="5" t="str">
        <f>IF(S44="","",'13_Master_Materials'!E43)</f>
        <v/>
      </c>
      <c r="V44" s="5" t="str">
        <f t="shared" si="1"/>
        <v/>
      </c>
      <c r="W44" s="5" t="str">
        <f t="shared" si="2"/>
        <v/>
      </c>
      <c r="X44" s="5" t="str">
        <f t="shared" si="3"/>
        <v/>
      </c>
      <c r="Y44" s="5" t="str">
        <f>IF(S44="","",'13_Master_Materials'!H43)</f>
        <v/>
      </c>
      <c r="Z44" s="5" t="str">
        <f>IF(S44="","",'13_Master_Materials'!I43)</f>
        <v/>
      </c>
      <c r="AA44" s="5" t="str">
        <f t="shared" si="4"/>
        <v/>
      </c>
    </row>
    <row r="45" ht="15.75" customHeight="1">
      <c r="B45" s="26"/>
      <c r="S45" s="5" t="str">
        <f>IF('13_Master_Materials'!A44="","",'13_Master_Materials'!A44)</f>
        <v/>
      </c>
      <c r="T45" s="5" t="str">
        <f>IF(S45="","",'13_Master_Materials'!C44)</f>
        <v/>
      </c>
      <c r="U45" s="5" t="str">
        <f>IF(S45="","",'13_Master_Materials'!E44)</f>
        <v/>
      </c>
      <c r="V45" s="5" t="str">
        <f t="shared" si="1"/>
        <v/>
      </c>
      <c r="W45" s="5" t="str">
        <f t="shared" si="2"/>
        <v/>
      </c>
      <c r="X45" s="5" t="str">
        <f t="shared" si="3"/>
        <v/>
      </c>
      <c r="Y45" s="5" t="str">
        <f>IF(S45="","",'13_Master_Materials'!H44)</f>
        <v/>
      </c>
      <c r="Z45" s="5" t="str">
        <f>IF(S45="","",'13_Master_Materials'!I44)</f>
        <v/>
      </c>
      <c r="AA45" s="5" t="str">
        <f t="shared" si="4"/>
        <v/>
      </c>
    </row>
    <row r="46" ht="15.75" customHeight="1">
      <c r="B46" s="26"/>
      <c r="S46" s="5" t="str">
        <f>IF('13_Master_Materials'!A45="","",'13_Master_Materials'!A45)</f>
        <v/>
      </c>
      <c r="T46" s="5" t="str">
        <f>IF(S46="","",'13_Master_Materials'!C45)</f>
        <v/>
      </c>
      <c r="U46" s="5" t="str">
        <f>IF(S46="","",'13_Master_Materials'!E45)</f>
        <v/>
      </c>
      <c r="V46" s="5" t="str">
        <f t="shared" si="1"/>
        <v/>
      </c>
      <c r="W46" s="5" t="str">
        <f t="shared" si="2"/>
        <v/>
      </c>
      <c r="X46" s="5" t="str">
        <f t="shared" si="3"/>
        <v/>
      </c>
      <c r="Y46" s="5" t="str">
        <f>IF(S46="","",'13_Master_Materials'!H45)</f>
        <v/>
      </c>
      <c r="Z46" s="5" t="str">
        <f>IF(S46="","",'13_Master_Materials'!I45)</f>
        <v/>
      </c>
      <c r="AA46" s="5" t="str">
        <f t="shared" si="4"/>
        <v/>
      </c>
    </row>
    <row r="47" ht="15.75" customHeight="1">
      <c r="B47" s="26"/>
      <c r="S47" s="5" t="str">
        <f>IF('13_Master_Materials'!A46="","",'13_Master_Materials'!A46)</f>
        <v/>
      </c>
      <c r="T47" s="5" t="str">
        <f>IF(S47="","",'13_Master_Materials'!C46)</f>
        <v/>
      </c>
      <c r="U47" s="5" t="str">
        <f>IF(S47="","",'13_Master_Materials'!E46)</f>
        <v/>
      </c>
      <c r="V47" s="5" t="str">
        <f t="shared" si="1"/>
        <v/>
      </c>
      <c r="W47" s="5" t="str">
        <f t="shared" si="2"/>
        <v/>
      </c>
      <c r="X47" s="5" t="str">
        <f t="shared" si="3"/>
        <v/>
      </c>
      <c r="Y47" s="5" t="str">
        <f>IF(S47="","",'13_Master_Materials'!H46)</f>
        <v/>
      </c>
      <c r="Z47" s="5" t="str">
        <f>IF(S47="","",'13_Master_Materials'!I46)</f>
        <v/>
      </c>
      <c r="AA47" s="5" t="str">
        <f t="shared" si="4"/>
        <v/>
      </c>
    </row>
    <row r="48" ht="15.75" customHeight="1">
      <c r="B48" s="26"/>
      <c r="S48" s="5" t="str">
        <f>IF('13_Master_Materials'!A47="","",'13_Master_Materials'!A47)</f>
        <v/>
      </c>
      <c r="T48" s="5" t="str">
        <f>IF(S48="","",'13_Master_Materials'!C47)</f>
        <v/>
      </c>
      <c r="U48" s="5" t="str">
        <f>IF(S48="","",'13_Master_Materials'!E47)</f>
        <v/>
      </c>
      <c r="V48" s="5" t="str">
        <f t="shared" si="1"/>
        <v/>
      </c>
      <c r="W48" s="5" t="str">
        <f t="shared" si="2"/>
        <v/>
      </c>
      <c r="X48" s="5" t="str">
        <f t="shared" si="3"/>
        <v/>
      </c>
      <c r="Y48" s="5" t="str">
        <f>IF(S48="","",'13_Master_Materials'!H47)</f>
        <v/>
      </c>
      <c r="Z48" s="5" t="str">
        <f>IF(S48="","",'13_Master_Materials'!I47)</f>
        <v/>
      </c>
      <c r="AA48" s="5" t="str">
        <f t="shared" si="4"/>
        <v/>
      </c>
    </row>
    <row r="49" ht="15.75" customHeight="1">
      <c r="B49" s="26"/>
      <c r="S49" s="5" t="str">
        <f>IF('13_Master_Materials'!A48="","",'13_Master_Materials'!A48)</f>
        <v/>
      </c>
      <c r="T49" s="5" t="str">
        <f>IF(S49="","",'13_Master_Materials'!C48)</f>
        <v/>
      </c>
      <c r="U49" s="5" t="str">
        <f>IF(S49="","",'13_Master_Materials'!E48)</f>
        <v/>
      </c>
      <c r="V49" s="5" t="str">
        <f t="shared" si="1"/>
        <v/>
      </c>
      <c r="W49" s="5" t="str">
        <f t="shared" si="2"/>
        <v/>
      </c>
      <c r="X49" s="5" t="str">
        <f t="shared" si="3"/>
        <v/>
      </c>
      <c r="Y49" s="5" t="str">
        <f>IF(S49="","",'13_Master_Materials'!H48)</f>
        <v/>
      </c>
      <c r="Z49" s="5" t="str">
        <f>IF(S49="","",'13_Master_Materials'!I48)</f>
        <v/>
      </c>
      <c r="AA49" s="5" t="str">
        <f t="shared" si="4"/>
        <v/>
      </c>
    </row>
    <row r="50" ht="15.75" customHeight="1">
      <c r="B50" s="26"/>
      <c r="S50" s="5" t="str">
        <f>IF('13_Master_Materials'!A49="","",'13_Master_Materials'!A49)</f>
        <v/>
      </c>
      <c r="T50" s="5" t="str">
        <f>IF(S50="","",'13_Master_Materials'!C49)</f>
        <v/>
      </c>
      <c r="U50" s="5" t="str">
        <f>IF(S50="","",'13_Master_Materials'!E49)</f>
        <v/>
      </c>
      <c r="V50" s="5" t="str">
        <f t="shared" si="1"/>
        <v/>
      </c>
      <c r="W50" s="5" t="str">
        <f t="shared" si="2"/>
        <v/>
      </c>
      <c r="X50" s="5" t="str">
        <f t="shared" si="3"/>
        <v/>
      </c>
      <c r="Y50" s="5" t="str">
        <f>IF(S50="","",'13_Master_Materials'!H49)</f>
        <v/>
      </c>
      <c r="Z50" s="5" t="str">
        <f>IF(S50="","",'13_Master_Materials'!I49)</f>
        <v/>
      </c>
      <c r="AA50" s="5" t="str">
        <f t="shared" si="4"/>
        <v/>
      </c>
    </row>
    <row r="51" ht="15.75" customHeight="1">
      <c r="B51" s="26"/>
      <c r="S51" s="5" t="str">
        <f>IF('13_Master_Materials'!A50="","",'13_Master_Materials'!A50)</f>
        <v/>
      </c>
      <c r="T51" s="5" t="str">
        <f>IF(S51="","",'13_Master_Materials'!C50)</f>
        <v/>
      </c>
      <c r="U51" s="5" t="str">
        <f>IF(S51="","",'13_Master_Materials'!E50)</f>
        <v/>
      </c>
      <c r="V51" s="5" t="str">
        <f t="shared" si="1"/>
        <v/>
      </c>
      <c r="W51" s="5" t="str">
        <f t="shared" si="2"/>
        <v/>
      </c>
      <c r="X51" s="5" t="str">
        <f t="shared" si="3"/>
        <v/>
      </c>
      <c r="Y51" s="5" t="str">
        <f>IF(S51="","",'13_Master_Materials'!H50)</f>
        <v/>
      </c>
      <c r="Z51" s="5" t="str">
        <f>IF(S51="","",'13_Master_Materials'!I50)</f>
        <v/>
      </c>
      <c r="AA51" s="5" t="str">
        <f t="shared" si="4"/>
        <v/>
      </c>
    </row>
    <row r="52" ht="15.75" customHeight="1">
      <c r="B52" s="26"/>
      <c r="S52" s="5" t="str">
        <f>IF('13_Master_Materials'!A51="","",'13_Master_Materials'!A51)</f>
        <v/>
      </c>
      <c r="T52" s="5" t="str">
        <f>IF(S52="","",'13_Master_Materials'!C51)</f>
        <v/>
      </c>
      <c r="U52" s="5" t="str">
        <f>IF(S52="","",'13_Master_Materials'!E51)</f>
        <v/>
      </c>
      <c r="V52" s="5" t="str">
        <f t="shared" si="1"/>
        <v/>
      </c>
      <c r="W52" s="5" t="str">
        <f t="shared" si="2"/>
        <v/>
      </c>
      <c r="X52" s="5" t="str">
        <f t="shared" si="3"/>
        <v/>
      </c>
      <c r="Y52" s="5" t="str">
        <f>IF(S52="","",'13_Master_Materials'!H51)</f>
        <v/>
      </c>
      <c r="Z52" s="5" t="str">
        <f>IF(S52="","",'13_Master_Materials'!I51)</f>
        <v/>
      </c>
      <c r="AA52" s="5" t="str">
        <f t="shared" si="4"/>
        <v/>
      </c>
    </row>
    <row r="53" ht="15.75" customHeight="1">
      <c r="B53" s="26"/>
      <c r="S53" s="5" t="str">
        <f>IF('13_Master_Materials'!A52="","",'13_Master_Materials'!A52)</f>
        <v/>
      </c>
      <c r="T53" s="5" t="str">
        <f>IF(S53="","",'13_Master_Materials'!C52)</f>
        <v/>
      </c>
      <c r="U53" s="5" t="str">
        <f>IF(S53="","",'13_Master_Materials'!E52)</f>
        <v/>
      </c>
      <c r="V53" s="5" t="str">
        <f t="shared" si="1"/>
        <v/>
      </c>
      <c r="W53" s="5" t="str">
        <f t="shared" si="2"/>
        <v/>
      </c>
      <c r="X53" s="5" t="str">
        <f t="shared" si="3"/>
        <v/>
      </c>
      <c r="Y53" s="5" t="str">
        <f>IF(S53="","",'13_Master_Materials'!H52)</f>
        <v/>
      </c>
      <c r="Z53" s="5" t="str">
        <f>IF(S53="","",'13_Master_Materials'!I52)</f>
        <v/>
      </c>
      <c r="AA53" s="5" t="str">
        <f t="shared" si="4"/>
        <v/>
      </c>
    </row>
    <row r="54" ht="15.75" customHeight="1">
      <c r="B54" s="26"/>
      <c r="S54" s="5" t="str">
        <f>IF('13_Master_Materials'!A53="","",'13_Master_Materials'!A53)</f>
        <v/>
      </c>
      <c r="T54" s="5" t="str">
        <f>IF(S54="","",'13_Master_Materials'!C53)</f>
        <v/>
      </c>
      <c r="U54" s="5" t="str">
        <f>IF(S54="","",'13_Master_Materials'!E53)</f>
        <v/>
      </c>
      <c r="V54" s="5" t="str">
        <f t="shared" si="1"/>
        <v/>
      </c>
      <c r="W54" s="5" t="str">
        <f t="shared" si="2"/>
        <v/>
      </c>
      <c r="X54" s="5" t="str">
        <f t="shared" si="3"/>
        <v/>
      </c>
      <c r="Y54" s="5" t="str">
        <f>IF(S54="","",'13_Master_Materials'!H53)</f>
        <v/>
      </c>
      <c r="Z54" s="5" t="str">
        <f>IF(S54="","",'13_Master_Materials'!I53)</f>
        <v/>
      </c>
      <c r="AA54" s="5" t="str">
        <f t="shared" si="4"/>
        <v/>
      </c>
    </row>
    <row r="55" ht="15.75" customHeight="1">
      <c r="B55" s="26"/>
      <c r="S55" s="5" t="str">
        <f>IF('13_Master_Materials'!A54="","",'13_Master_Materials'!A54)</f>
        <v/>
      </c>
      <c r="T55" s="5" t="str">
        <f>IF(S55="","",'13_Master_Materials'!C54)</f>
        <v/>
      </c>
      <c r="U55" s="5" t="str">
        <f>IF(S55="","",'13_Master_Materials'!E54)</f>
        <v/>
      </c>
      <c r="V55" s="5" t="str">
        <f t="shared" si="1"/>
        <v/>
      </c>
      <c r="W55" s="5" t="str">
        <f t="shared" si="2"/>
        <v/>
      </c>
      <c r="X55" s="5" t="str">
        <f t="shared" si="3"/>
        <v/>
      </c>
      <c r="Y55" s="5" t="str">
        <f>IF(S55="","",'13_Master_Materials'!H54)</f>
        <v/>
      </c>
      <c r="Z55" s="5" t="str">
        <f>IF(S55="","",'13_Master_Materials'!I54)</f>
        <v/>
      </c>
      <c r="AA55" s="5" t="str">
        <f t="shared" si="4"/>
        <v/>
      </c>
    </row>
    <row r="56" ht="15.75" customHeight="1">
      <c r="B56" s="26"/>
    </row>
    <row r="57" ht="15.75" customHeight="1">
      <c r="B57" s="26"/>
    </row>
    <row r="58" ht="15.75" customHeight="1">
      <c r="B58" s="26"/>
    </row>
    <row r="59" ht="15.75" customHeight="1">
      <c r="B59" s="26"/>
    </row>
    <row r="60" ht="15.75" customHeight="1">
      <c r="B60" s="26"/>
    </row>
    <row r="61" ht="15.75" customHeight="1">
      <c r="B61" s="26"/>
    </row>
    <row r="62" ht="15.75" customHeight="1">
      <c r="B62" s="26"/>
    </row>
    <row r="63" ht="15.75" customHeight="1">
      <c r="B63" s="26"/>
    </row>
    <row r="64" ht="15.75" customHeight="1">
      <c r="B64" s="26"/>
    </row>
    <row r="65" ht="15.75" customHeight="1">
      <c r="B65" s="26"/>
    </row>
    <row r="66" ht="15.75" customHeight="1">
      <c r="B66" s="26"/>
    </row>
    <row r="67" ht="15.75" customHeight="1">
      <c r="B67" s="26"/>
    </row>
    <row r="68" ht="15.75" customHeight="1">
      <c r="B68" s="26"/>
    </row>
    <row r="69" ht="15.75" customHeight="1">
      <c r="B69" s="26"/>
    </row>
    <row r="70" ht="15.75" customHeight="1">
      <c r="B70" s="26"/>
    </row>
    <row r="71" ht="15.75" customHeight="1">
      <c r="B71" s="26"/>
    </row>
    <row r="72" ht="15.75" customHeight="1">
      <c r="B72" s="26"/>
    </row>
    <row r="73" ht="15.75" customHeight="1">
      <c r="B73" s="26"/>
    </row>
    <row r="74" ht="15.75" customHeight="1">
      <c r="B74" s="26"/>
    </row>
    <row r="75" ht="15.75" customHeight="1">
      <c r="B75" s="26"/>
    </row>
    <row r="76" ht="15.75" customHeight="1">
      <c r="B76" s="26"/>
    </row>
    <row r="77" ht="15.75" customHeight="1">
      <c r="B77" s="26"/>
    </row>
    <row r="78" ht="15.75" customHeight="1">
      <c r="B78" s="26"/>
    </row>
    <row r="79" ht="15.75" customHeight="1">
      <c r="B79" s="26"/>
    </row>
    <row r="80" ht="15.75" customHeight="1">
      <c r="B80" s="26"/>
    </row>
    <row r="81" ht="15.75" customHeight="1">
      <c r="B81" s="26"/>
    </row>
    <row r="82" ht="15.75" customHeight="1">
      <c r="B82" s="26"/>
    </row>
    <row r="83" ht="15.75" customHeight="1">
      <c r="B83" s="26"/>
    </row>
    <row r="84" ht="15.75" customHeight="1">
      <c r="B84" s="26"/>
    </row>
    <row r="85" ht="15.75" customHeight="1">
      <c r="B85" s="26"/>
    </row>
    <row r="86" ht="15.75" customHeight="1">
      <c r="B86" s="26"/>
    </row>
    <row r="87" ht="15.75" customHeight="1">
      <c r="B87" s="26"/>
    </row>
    <row r="88" ht="15.75" customHeight="1">
      <c r="B88" s="26"/>
    </row>
    <row r="89" ht="15.75" customHeight="1">
      <c r="B89" s="26"/>
    </row>
    <row r="90" ht="15.75" customHeight="1">
      <c r="B90" s="26"/>
    </row>
    <row r="91" ht="15.75" customHeight="1">
      <c r="B91" s="26"/>
    </row>
    <row r="92" ht="15.75" customHeight="1">
      <c r="B92" s="26"/>
    </row>
    <row r="93" ht="15.75" customHeight="1">
      <c r="B93" s="26"/>
    </row>
    <row r="94" ht="15.75" customHeight="1">
      <c r="B94" s="26"/>
    </row>
    <row r="95" ht="15.75" customHeight="1">
      <c r="B95" s="26"/>
    </row>
    <row r="96" ht="15.75" customHeight="1">
      <c r="B96" s="26"/>
    </row>
    <row r="97" ht="15.75" customHeight="1">
      <c r="B97" s="26"/>
    </row>
    <row r="98" ht="15.75" customHeight="1">
      <c r="B98" s="26"/>
    </row>
    <row r="99" ht="15.75" customHeight="1">
      <c r="B99" s="26"/>
    </row>
    <row r="100" ht="15.75" customHeight="1">
      <c r="B100" s="26"/>
    </row>
    <row r="101" ht="15.75" customHeight="1">
      <c r="B101" s="26"/>
    </row>
    <row r="102" ht="15.75" customHeight="1">
      <c r="B102" s="26"/>
    </row>
    <row r="103" ht="15.75" customHeight="1">
      <c r="B103" s="26"/>
    </row>
    <row r="104" ht="15.75" customHeight="1">
      <c r="B104" s="26"/>
    </row>
    <row r="105" ht="15.75" customHeight="1">
      <c r="B105" s="26"/>
    </row>
    <row r="106" ht="15.75" customHeight="1">
      <c r="B106" s="26"/>
    </row>
    <row r="107" ht="15.75" customHeight="1">
      <c r="B107" s="26"/>
    </row>
    <row r="108" ht="15.75" customHeight="1">
      <c r="B108" s="26"/>
    </row>
    <row r="109" ht="15.75" customHeight="1">
      <c r="B109" s="26"/>
    </row>
    <row r="110" ht="15.75" customHeight="1">
      <c r="B110" s="26"/>
    </row>
    <row r="111" ht="15.75" customHeight="1">
      <c r="B111" s="26"/>
    </row>
    <row r="112" ht="15.75" customHeight="1">
      <c r="B112" s="26"/>
    </row>
    <row r="113" ht="15.75" customHeight="1">
      <c r="B113" s="26"/>
    </row>
    <row r="114" ht="15.75" customHeight="1">
      <c r="B114" s="26"/>
    </row>
    <row r="115" ht="15.75" customHeight="1">
      <c r="B115" s="26"/>
    </row>
    <row r="116" ht="15.75" customHeight="1">
      <c r="B116" s="26"/>
    </row>
    <row r="117" ht="15.75" customHeight="1">
      <c r="B117" s="26"/>
    </row>
    <row r="118" ht="15.75" customHeight="1">
      <c r="B118" s="26"/>
    </row>
    <row r="119" ht="15.75" customHeight="1">
      <c r="B119" s="26"/>
    </row>
    <row r="120" ht="15.75" customHeight="1">
      <c r="B120" s="26"/>
    </row>
    <row r="121" ht="15.75" customHeight="1">
      <c r="B121" s="26"/>
    </row>
    <row r="122" ht="15.75" customHeight="1">
      <c r="B122" s="26"/>
    </row>
    <row r="123" ht="15.75" customHeight="1">
      <c r="B123" s="26"/>
    </row>
    <row r="124" ht="15.75" customHeight="1">
      <c r="B124" s="26"/>
    </row>
    <row r="125" ht="15.75" customHeight="1">
      <c r="B125" s="26"/>
    </row>
    <row r="126" ht="15.75" customHeight="1">
      <c r="B126" s="26"/>
    </row>
    <row r="127" ht="15.75" customHeight="1">
      <c r="B127" s="26"/>
    </row>
    <row r="128" ht="15.75" customHeight="1">
      <c r="B128" s="26"/>
    </row>
    <row r="129" ht="15.75" customHeight="1">
      <c r="B129" s="26"/>
    </row>
    <row r="130" ht="15.75" customHeight="1">
      <c r="B130" s="26"/>
    </row>
    <row r="131" ht="15.75" customHeight="1">
      <c r="B131" s="26"/>
    </row>
    <row r="132" ht="15.75" customHeight="1">
      <c r="B132" s="26"/>
    </row>
    <row r="133" ht="15.75" customHeight="1">
      <c r="B133" s="26"/>
    </row>
    <row r="134" ht="15.75" customHeight="1">
      <c r="B134" s="26"/>
    </row>
    <row r="135" ht="15.75" customHeight="1">
      <c r="B135" s="26"/>
    </row>
    <row r="136" ht="15.75" customHeight="1">
      <c r="B136" s="26"/>
    </row>
    <row r="137" ht="15.75" customHeight="1">
      <c r="B137" s="26"/>
    </row>
    <row r="138" ht="15.75" customHeight="1">
      <c r="B138" s="26"/>
    </row>
    <row r="139" ht="15.75" customHeight="1">
      <c r="B139" s="26"/>
    </row>
    <row r="140" ht="15.75" customHeight="1">
      <c r="B140" s="26"/>
    </row>
    <row r="141" ht="15.75" customHeight="1">
      <c r="B141" s="26"/>
    </row>
    <row r="142" ht="15.75" customHeight="1">
      <c r="B142" s="26"/>
    </row>
    <row r="143" ht="15.75" customHeight="1">
      <c r="B143" s="26"/>
    </row>
    <row r="144" ht="15.75" customHeight="1">
      <c r="B144" s="26"/>
    </row>
    <row r="145" ht="15.75" customHeight="1">
      <c r="B145" s="26"/>
    </row>
    <row r="146" ht="15.75" customHeight="1">
      <c r="B146" s="26"/>
    </row>
    <row r="147" ht="15.75" customHeight="1">
      <c r="B147" s="26"/>
    </row>
    <row r="148" ht="15.75" customHeight="1">
      <c r="B148" s="26"/>
    </row>
    <row r="149" ht="15.75" customHeight="1">
      <c r="B149" s="26"/>
    </row>
    <row r="150" ht="15.75" customHeight="1">
      <c r="B150" s="26"/>
    </row>
    <row r="151" ht="15.75" customHeight="1">
      <c r="B151" s="26"/>
    </row>
    <row r="152" ht="15.75" customHeight="1">
      <c r="B152" s="26"/>
    </row>
    <row r="153" ht="15.75" customHeight="1">
      <c r="B153" s="26"/>
    </row>
    <row r="154" ht="15.75" customHeight="1">
      <c r="B154" s="26"/>
    </row>
    <row r="155" ht="15.75" customHeight="1">
      <c r="B155" s="26"/>
    </row>
    <row r="156" ht="15.75" customHeight="1">
      <c r="B156" s="26"/>
    </row>
    <row r="157" ht="15.75" customHeight="1">
      <c r="B157" s="26"/>
    </row>
    <row r="158" ht="15.75" customHeight="1">
      <c r="B158" s="26"/>
    </row>
    <row r="159" ht="15.75" customHeight="1">
      <c r="B159" s="26"/>
    </row>
    <row r="160" ht="15.75" customHeight="1">
      <c r="B160" s="26"/>
    </row>
    <row r="161" ht="15.75" customHeight="1">
      <c r="B161" s="26"/>
    </row>
    <row r="162" ht="15.75" customHeight="1">
      <c r="B162" s="26"/>
    </row>
    <row r="163" ht="15.75" customHeight="1">
      <c r="B163" s="26"/>
    </row>
    <row r="164" ht="15.75" customHeight="1">
      <c r="B164" s="26"/>
    </row>
    <row r="165" ht="15.75" customHeight="1">
      <c r="B165" s="26"/>
    </row>
    <row r="166" ht="15.75" customHeight="1">
      <c r="B166" s="26"/>
    </row>
    <row r="167" ht="15.75" customHeight="1">
      <c r="B167" s="26"/>
    </row>
    <row r="168" ht="15.75" customHeight="1">
      <c r="B168" s="26"/>
    </row>
    <row r="169" ht="15.75" customHeight="1">
      <c r="B169" s="26"/>
    </row>
    <row r="170" ht="15.75" customHeight="1">
      <c r="B170" s="26"/>
    </row>
    <row r="171" ht="15.75" customHeight="1">
      <c r="B171" s="26"/>
    </row>
    <row r="172" ht="15.75" customHeight="1">
      <c r="B172" s="26"/>
    </row>
    <row r="173" ht="15.75" customHeight="1">
      <c r="B173" s="26"/>
    </row>
    <row r="174" ht="15.75" customHeight="1">
      <c r="B174" s="26"/>
    </row>
    <row r="175" ht="15.75" customHeight="1">
      <c r="B175" s="26"/>
    </row>
    <row r="176" ht="15.75" customHeight="1">
      <c r="B176" s="26"/>
    </row>
    <row r="177" ht="15.75" customHeight="1">
      <c r="B177" s="26"/>
    </row>
    <row r="178" ht="15.75" customHeight="1">
      <c r="B178" s="26"/>
    </row>
    <row r="179" ht="15.75" customHeight="1">
      <c r="B179" s="26"/>
    </row>
    <row r="180" ht="15.75" customHeight="1">
      <c r="B180" s="26"/>
    </row>
    <row r="181" ht="15.75" customHeight="1">
      <c r="B181" s="26"/>
    </row>
    <row r="182" ht="15.75" customHeight="1">
      <c r="B182" s="26"/>
    </row>
    <row r="183" ht="15.75" customHeight="1">
      <c r="B183" s="26"/>
    </row>
    <row r="184" ht="15.75" customHeight="1">
      <c r="B184" s="26"/>
    </row>
    <row r="185" ht="15.75" customHeight="1">
      <c r="B185" s="26"/>
    </row>
    <row r="186" ht="15.75" customHeight="1">
      <c r="B186" s="26"/>
    </row>
    <row r="187" ht="15.75" customHeight="1">
      <c r="B187" s="26"/>
    </row>
    <row r="188" ht="15.75" customHeight="1">
      <c r="B188" s="26"/>
    </row>
    <row r="189" ht="15.75" customHeight="1">
      <c r="B189" s="26"/>
    </row>
    <row r="190" ht="15.75" customHeight="1">
      <c r="B190" s="26"/>
    </row>
    <row r="191" ht="15.75" customHeight="1">
      <c r="B191" s="26"/>
    </row>
    <row r="192" ht="15.75" customHeight="1">
      <c r="B192" s="26"/>
    </row>
    <row r="193" ht="15.75" customHeight="1">
      <c r="B193" s="26"/>
    </row>
    <row r="194" ht="15.75" customHeight="1">
      <c r="B194" s="26"/>
    </row>
    <row r="195" ht="15.75" customHeight="1">
      <c r="B195" s="26"/>
    </row>
    <row r="196" ht="15.75" customHeight="1">
      <c r="B196" s="26"/>
    </row>
    <row r="197" ht="15.75" customHeight="1">
      <c r="B197" s="26"/>
    </row>
    <row r="198" ht="15.75" customHeight="1">
      <c r="B198" s="26"/>
    </row>
    <row r="199" ht="15.75" customHeight="1">
      <c r="B199" s="26"/>
    </row>
    <row r="200" ht="15.75" customHeight="1">
      <c r="B200" s="26"/>
    </row>
    <row r="201" ht="15.75" customHeight="1">
      <c r="B201" s="26"/>
    </row>
    <row r="202" ht="15.75" customHeight="1">
      <c r="B202" s="26"/>
    </row>
    <row r="203" ht="15.75" customHeight="1">
      <c r="B203" s="26"/>
    </row>
    <row r="204" ht="15.75" customHeight="1">
      <c r="B204" s="26"/>
    </row>
    <row r="205" ht="15.75" customHeight="1">
      <c r="B205" s="26"/>
    </row>
    <row r="206" ht="15.75" customHeight="1">
      <c r="B206" s="26"/>
    </row>
    <row r="207" ht="15.75" customHeight="1">
      <c r="B207" s="26"/>
    </row>
    <row r="208" ht="15.75" customHeight="1">
      <c r="B208" s="26"/>
    </row>
    <row r="209" ht="15.75" customHeight="1">
      <c r="B209" s="26"/>
    </row>
    <row r="210" ht="15.75" customHeight="1">
      <c r="B210" s="26"/>
    </row>
    <row r="211" ht="15.75" customHeight="1">
      <c r="B211" s="26"/>
    </row>
    <row r="212" ht="15.75" customHeight="1">
      <c r="B212" s="26"/>
    </row>
    <row r="213" ht="15.75" customHeight="1">
      <c r="B213" s="26"/>
    </row>
    <row r="214" ht="15.75" customHeight="1">
      <c r="B214" s="26"/>
    </row>
    <row r="215" ht="15.75" customHeight="1">
      <c r="B215" s="26"/>
    </row>
    <row r="216" ht="15.75" customHeight="1">
      <c r="B216" s="26"/>
    </row>
    <row r="217" ht="15.75" customHeight="1">
      <c r="B217" s="26"/>
    </row>
    <row r="218" ht="15.75" customHeight="1">
      <c r="B218" s="26"/>
    </row>
    <row r="219" ht="15.75" customHeight="1">
      <c r="B219" s="26"/>
    </row>
    <row r="220" ht="15.75" customHeight="1">
      <c r="B220" s="26"/>
    </row>
    <row r="221" ht="15.75" customHeight="1">
      <c r="B221" s="26"/>
    </row>
    <row r="222" ht="15.75" customHeight="1">
      <c r="B222" s="26"/>
    </row>
    <row r="223" ht="15.75" customHeight="1">
      <c r="B223" s="26"/>
    </row>
    <row r="224" ht="15.75" customHeight="1">
      <c r="B224" s="26"/>
    </row>
    <row r="225" ht="15.75" customHeight="1">
      <c r="B225" s="26"/>
    </row>
    <row r="226" ht="15.75" customHeight="1">
      <c r="B226" s="26"/>
    </row>
    <row r="227" ht="15.75" customHeight="1">
      <c r="B227" s="26"/>
    </row>
    <row r="228" ht="15.75" customHeight="1">
      <c r="B228" s="26"/>
    </row>
    <row r="229" ht="15.75" customHeight="1">
      <c r="B229" s="26"/>
    </row>
    <row r="230" ht="15.75" customHeight="1">
      <c r="B230" s="26"/>
    </row>
    <row r="231" ht="15.75" customHeight="1">
      <c r="B231" s="26"/>
    </row>
    <row r="232" ht="15.75" customHeight="1">
      <c r="B232" s="26"/>
    </row>
    <row r="233" ht="15.75" customHeight="1">
      <c r="B233" s="26"/>
    </row>
    <row r="234" ht="15.75" customHeight="1">
      <c r="B234" s="26"/>
    </row>
    <row r="235" ht="15.75" customHeight="1">
      <c r="B235" s="26"/>
    </row>
    <row r="236" ht="15.75" customHeight="1">
      <c r="B236" s="26"/>
    </row>
    <row r="237" ht="15.75" customHeight="1">
      <c r="B237" s="26"/>
    </row>
    <row r="238" ht="15.75" customHeight="1">
      <c r="B238" s="26"/>
    </row>
    <row r="239" ht="15.75" customHeight="1">
      <c r="B239" s="26"/>
    </row>
    <row r="240" ht="15.75" customHeight="1">
      <c r="B240" s="26"/>
    </row>
    <row r="241" ht="15.75" customHeight="1">
      <c r="B241" s="26"/>
    </row>
    <row r="242" ht="15.75" customHeight="1">
      <c r="B242" s="26"/>
    </row>
    <row r="243" ht="15.75" customHeight="1">
      <c r="B243" s="26"/>
    </row>
    <row r="244" ht="15.75" customHeight="1">
      <c r="B244" s="26"/>
    </row>
    <row r="245" ht="15.75" customHeight="1">
      <c r="B245" s="26"/>
    </row>
    <row r="246" ht="15.75" customHeight="1">
      <c r="B246" s="26"/>
    </row>
    <row r="247" ht="15.75" customHeight="1">
      <c r="B247" s="26"/>
    </row>
    <row r="248" ht="15.75" customHeight="1">
      <c r="B248" s="26"/>
    </row>
    <row r="249" ht="15.75" customHeight="1">
      <c r="B249" s="26"/>
    </row>
    <row r="250" ht="15.75" customHeight="1">
      <c r="B250" s="26"/>
    </row>
    <row r="251" ht="15.75" customHeight="1">
      <c r="B251" s="26"/>
    </row>
    <row r="252" ht="15.75" customHeight="1">
      <c r="B252" s="26"/>
    </row>
    <row r="253" ht="15.75" customHeight="1">
      <c r="B253" s="26"/>
    </row>
    <row r="254" ht="15.75" customHeight="1">
      <c r="B254" s="26"/>
    </row>
    <row r="255" ht="15.75" customHeight="1">
      <c r="B255" s="26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BD467AE-1844-47B6-93D1-C10B8CD169DD}" filter="1" showAutoFilter="1">
      <autoFilter ref="$A$4:$Q$5"/>
      <extLst>
        <ext uri="GoogleSheetsCustomDataVersion1">
          <go:sheetsCustomData xmlns:go="http://customooxmlschemas.google.com/" filterViewId="669564038"/>
        </ext>
      </extLst>
    </customSheetView>
  </customSheetViews>
  <mergeCells count="2">
    <mergeCell ref="A1:H1"/>
    <mergeCell ref="A2:L2"/>
  </mergeCells>
  <conditionalFormatting sqref="AA6:AA55">
    <cfRule type="cellIs" dxfId="5" priority="1" operator="equal">
      <formula>"REORDER"</formula>
    </cfRule>
  </conditionalFormatting>
  <printOptions/>
  <pageMargins bottom="1.0" footer="0.0" header="0.0" left="0.75" right="0.75" top="1.0"/>
  <pageSetup fitToHeight="0" orientation="landscape"/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6.0"/>
    <col customWidth="1" min="2" max="2" width="14.0"/>
    <col customWidth="1" min="3" max="5" width="20.0"/>
    <col customWidth="1" min="6" max="6" width="25.0"/>
    <col customWidth="1" min="7" max="7" width="18.0"/>
    <col customWidth="1" min="8" max="12" width="14.0"/>
    <col customWidth="1" min="13" max="13" width="18.0"/>
    <col customWidth="1" min="14" max="14" width="14.0"/>
    <col customWidth="1" min="15" max="15" width="28.0"/>
    <col customWidth="1" min="16" max="16" width="32.0"/>
    <col customWidth="1" min="17" max="17" width="16.0"/>
    <col customWidth="1" min="18" max="19" width="18.0"/>
    <col customWidth="1" min="20" max="20" width="35.0"/>
    <col customWidth="1" min="21" max="26" width="8.71"/>
  </cols>
  <sheetData>
    <row r="1">
      <c r="A1" s="1" t="s">
        <v>367</v>
      </c>
    </row>
    <row r="2">
      <c r="A2" s="2" t="s">
        <v>368</v>
      </c>
    </row>
    <row r="4">
      <c r="A4" s="7" t="s">
        <v>369</v>
      </c>
      <c r="B4" s="7" t="s">
        <v>370</v>
      </c>
      <c r="C4" s="7" t="s">
        <v>371</v>
      </c>
      <c r="D4" s="7" t="s">
        <v>372</v>
      </c>
      <c r="E4" s="7" t="s">
        <v>373</v>
      </c>
      <c r="F4" s="7" t="s">
        <v>374</v>
      </c>
      <c r="G4" s="7" t="s">
        <v>375</v>
      </c>
      <c r="H4" s="7" t="s">
        <v>376</v>
      </c>
      <c r="I4" s="7" t="s">
        <v>377</v>
      </c>
      <c r="J4" s="7" t="s">
        <v>378</v>
      </c>
      <c r="K4" s="7" t="s">
        <v>379</v>
      </c>
      <c r="L4" s="7" t="s">
        <v>380</v>
      </c>
      <c r="M4" s="7" t="s">
        <v>358</v>
      </c>
      <c r="N4" s="7" t="s">
        <v>381</v>
      </c>
      <c r="O4" s="7" t="s">
        <v>382</v>
      </c>
      <c r="P4" s="7" t="s">
        <v>383</v>
      </c>
      <c r="Q4" s="7" t="s">
        <v>384</v>
      </c>
      <c r="R4" s="7" t="s">
        <v>319</v>
      </c>
      <c r="S4" s="7" t="s">
        <v>320</v>
      </c>
      <c r="T4" s="7" t="s">
        <v>359</v>
      </c>
    </row>
    <row r="5">
      <c r="B5" s="25"/>
      <c r="C5" s="27"/>
    </row>
    <row r="6">
      <c r="B6" s="26"/>
      <c r="C6" s="28"/>
    </row>
    <row r="7">
      <c r="B7" s="26"/>
      <c r="C7" s="28"/>
    </row>
    <row r="8">
      <c r="B8" s="26"/>
      <c r="C8" s="28"/>
    </row>
    <row r="9">
      <c r="B9" s="26"/>
      <c r="C9" s="28"/>
    </row>
    <row r="10">
      <c r="B10" s="26"/>
      <c r="C10" s="28"/>
    </row>
    <row r="11">
      <c r="B11" s="26"/>
      <c r="C11" s="28"/>
    </row>
    <row r="12">
      <c r="B12" s="26"/>
      <c r="C12" s="28"/>
    </row>
    <row r="13">
      <c r="B13" s="26"/>
      <c r="C13" s="28"/>
    </row>
    <row r="14">
      <c r="B14" s="26"/>
      <c r="C14" s="28"/>
    </row>
    <row r="15">
      <c r="B15" s="26"/>
      <c r="C15" s="28"/>
    </row>
    <row r="16">
      <c r="B16" s="26"/>
      <c r="C16" s="28"/>
    </row>
    <row r="17">
      <c r="B17" s="26"/>
      <c r="C17" s="28"/>
    </row>
    <row r="18">
      <c r="B18" s="26"/>
      <c r="C18" s="28"/>
    </row>
    <row r="19">
      <c r="B19" s="26"/>
      <c r="C19" s="28"/>
    </row>
    <row r="20">
      <c r="B20" s="26"/>
      <c r="C20" s="28"/>
    </row>
    <row r="21" ht="15.75" customHeight="1">
      <c r="B21" s="26"/>
      <c r="C21" s="28"/>
    </row>
    <row r="22" ht="15.75" customHeight="1">
      <c r="B22" s="26"/>
      <c r="C22" s="28"/>
    </row>
    <row r="23" ht="15.75" customHeight="1">
      <c r="B23" s="26"/>
      <c r="C23" s="28"/>
    </row>
    <row r="24" ht="15.75" customHeight="1">
      <c r="B24" s="26"/>
      <c r="C24" s="28"/>
    </row>
    <row r="25" ht="15.75" customHeight="1">
      <c r="B25" s="26"/>
      <c r="C25" s="28"/>
    </row>
    <row r="26" ht="15.75" customHeight="1">
      <c r="B26" s="26"/>
      <c r="C26" s="28"/>
    </row>
    <row r="27" ht="15.75" customHeight="1">
      <c r="B27" s="26"/>
      <c r="C27" s="28"/>
    </row>
    <row r="28" ht="15.75" customHeight="1">
      <c r="B28" s="26"/>
      <c r="C28" s="28"/>
    </row>
    <row r="29" ht="15.75" customHeight="1">
      <c r="B29" s="26"/>
      <c r="C29" s="28"/>
    </row>
    <row r="30" ht="15.75" customHeight="1">
      <c r="B30" s="26"/>
      <c r="C30" s="28"/>
    </row>
    <row r="31" ht="15.75" customHeight="1">
      <c r="B31" s="26"/>
      <c r="C31" s="28"/>
    </row>
    <row r="32" ht="15.75" customHeight="1">
      <c r="B32" s="26"/>
      <c r="C32" s="28"/>
    </row>
    <row r="33" ht="15.75" customHeight="1">
      <c r="B33" s="26"/>
      <c r="C33" s="28"/>
    </row>
    <row r="34" ht="15.75" customHeight="1">
      <c r="B34" s="26"/>
      <c r="C34" s="28"/>
    </row>
    <row r="35" ht="15.75" customHeight="1">
      <c r="B35" s="26"/>
      <c r="C35" s="28"/>
    </row>
    <row r="36" ht="15.75" customHeight="1">
      <c r="B36" s="26"/>
      <c r="C36" s="28"/>
    </row>
    <row r="37" ht="15.75" customHeight="1">
      <c r="B37" s="26"/>
      <c r="C37" s="28"/>
    </row>
    <row r="38" ht="15.75" customHeight="1">
      <c r="B38" s="26"/>
      <c r="C38" s="28"/>
    </row>
    <row r="39" ht="15.75" customHeight="1">
      <c r="B39" s="26"/>
      <c r="C39" s="28"/>
    </row>
    <row r="40" ht="15.75" customHeight="1">
      <c r="B40" s="26"/>
      <c r="C40" s="28"/>
    </row>
    <row r="41" ht="15.75" customHeight="1">
      <c r="B41" s="26"/>
      <c r="C41" s="28"/>
    </row>
    <row r="42" ht="15.75" customHeight="1">
      <c r="B42" s="26"/>
      <c r="C42" s="28"/>
    </row>
    <row r="43" ht="15.75" customHeight="1">
      <c r="B43" s="26"/>
      <c r="C43" s="28"/>
    </row>
    <row r="44" ht="15.75" customHeight="1">
      <c r="B44" s="26"/>
      <c r="C44" s="28"/>
    </row>
    <row r="45" ht="15.75" customHeight="1">
      <c r="B45" s="26"/>
      <c r="C45" s="28"/>
    </row>
    <row r="46" ht="15.75" customHeight="1">
      <c r="B46" s="26"/>
      <c r="C46" s="28"/>
    </row>
    <row r="47" ht="15.75" customHeight="1">
      <c r="B47" s="26"/>
      <c r="C47" s="28"/>
    </row>
    <row r="48" ht="15.75" customHeight="1">
      <c r="B48" s="26"/>
      <c r="C48" s="28"/>
    </row>
    <row r="49" ht="15.75" customHeight="1">
      <c r="B49" s="26"/>
      <c r="C49" s="28"/>
    </row>
    <row r="50" ht="15.75" customHeight="1">
      <c r="B50" s="26"/>
      <c r="C50" s="28"/>
    </row>
    <row r="51" ht="15.75" customHeight="1">
      <c r="B51" s="26"/>
      <c r="C51" s="28"/>
    </row>
    <row r="52" ht="15.75" customHeight="1">
      <c r="B52" s="26"/>
      <c r="C52" s="28"/>
    </row>
    <row r="53" ht="15.75" customHeight="1">
      <c r="B53" s="26"/>
      <c r="C53" s="28"/>
    </row>
    <row r="54" ht="15.75" customHeight="1">
      <c r="B54" s="26"/>
      <c r="C54" s="28"/>
    </row>
    <row r="55" ht="15.75" customHeight="1">
      <c r="B55" s="26"/>
      <c r="C55" s="28"/>
    </row>
    <row r="56" ht="15.75" customHeight="1">
      <c r="B56" s="26"/>
      <c r="C56" s="28"/>
    </row>
    <row r="57" ht="15.75" customHeight="1">
      <c r="B57" s="26"/>
      <c r="C57" s="28"/>
    </row>
    <row r="58" ht="15.75" customHeight="1">
      <c r="B58" s="26"/>
      <c r="C58" s="28"/>
    </row>
    <row r="59" ht="15.75" customHeight="1">
      <c r="B59" s="26"/>
      <c r="C59" s="28"/>
    </row>
    <row r="60" ht="15.75" customHeight="1">
      <c r="B60" s="26"/>
      <c r="C60" s="28"/>
    </row>
    <row r="61" ht="15.75" customHeight="1">
      <c r="B61" s="26"/>
      <c r="C61" s="28"/>
    </row>
    <row r="62" ht="15.75" customHeight="1">
      <c r="B62" s="26"/>
      <c r="C62" s="28"/>
    </row>
    <row r="63" ht="15.75" customHeight="1">
      <c r="B63" s="26"/>
      <c r="C63" s="28"/>
    </row>
    <row r="64" ht="15.75" customHeight="1">
      <c r="B64" s="26"/>
      <c r="C64" s="28"/>
    </row>
    <row r="65" ht="15.75" customHeight="1">
      <c r="B65" s="26"/>
      <c r="C65" s="28"/>
    </row>
    <row r="66" ht="15.75" customHeight="1">
      <c r="B66" s="26"/>
      <c r="C66" s="28"/>
    </row>
    <row r="67" ht="15.75" customHeight="1">
      <c r="B67" s="26"/>
      <c r="C67" s="28"/>
    </row>
    <row r="68" ht="15.75" customHeight="1">
      <c r="B68" s="26"/>
      <c r="C68" s="28"/>
    </row>
    <row r="69" ht="15.75" customHeight="1">
      <c r="B69" s="26"/>
      <c r="C69" s="28"/>
    </row>
    <row r="70" ht="15.75" customHeight="1">
      <c r="B70" s="26"/>
      <c r="C70" s="28"/>
    </row>
    <row r="71" ht="15.75" customHeight="1">
      <c r="B71" s="26"/>
      <c r="C71" s="28"/>
    </row>
    <row r="72" ht="15.75" customHeight="1">
      <c r="B72" s="26"/>
      <c r="C72" s="28"/>
    </row>
    <row r="73" ht="15.75" customHeight="1">
      <c r="B73" s="26"/>
      <c r="C73" s="28"/>
    </row>
    <row r="74" ht="15.75" customHeight="1">
      <c r="B74" s="26"/>
      <c r="C74" s="28"/>
    </row>
    <row r="75" ht="15.75" customHeight="1">
      <c r="B75" s="26"/>
      <c r="C75" s="28"/>
    </row>
    <row r="76" ht="15.75" customHeight="1">
      <c r="B76" s="26"/>
      <c r="C76" s="28"/>
    </row>
    <row r="77" ht="15.75" customHeight="1">
      <c r="B77" s="26"/>
      <c r="C77" s="28"/>
    </row>
    <row r="78" ht="15.75" customHeight="1">
      <c r="B78" s="26"/>
      <c r="C78" s="28"/>
    </row>
    <row r="79" ht="15.75" customHeight="1">
      <c r="B79" s="26"/>
      <c r="C79" s="28"/>
    </row>
    <row r="80" ht="15.75" customHeight="1">
      <c r="B80" s="26"/>
      <c r="C80" s="28"/>
    </row>
    <row r="81" ht="15.75" customHeight="1">
      <c r="B81" s="26"/>
      <c r="C81" s="28"/>
    </row>
    <row r="82" ht="15.75" customHeight="1">
      <c r="B82" s="26"/>
      <c r="C82" s="28"/>
    </row>
    <row r="83" ht="15.75" customHeight="1">
      <c r="B83" s="26"/>
      <c r="C83" s="28"/>
    </row>
    <row r="84" ht="15.75" customHeight="1">
      <c r="B84" s="26"/>
      <c r="C84" s="28"/>
    </row>
    <row r="85" ht="15.75" customHeight="1">
      <c r="B85" s="26"/>
      <c r="C85" s="28"/>
    </row>
    <row r="86" ht="15.75" customHeight="1">
      <c r="B86" s="26"/>
      <c r="C86" s="28"/>
    </row>
    <row r="87" ht="15.75" customHeight="1">
      <c r="B87" s="26"/>
      <c r="C87" s="28"/>
    </row>
    <row r="88" ht="15.75" customHeight="1">
      <c r="B88" s="26"/>
      <c r="C88" s="28"/>
    </row>
    <row r="89" ht="15.75" customHeight="1">
      <c r="B89" s="26"/>
      <c r="C89" s="28"/>
    </row>
    <row r="90" ht="15.75" customHeight="1">
      <c r="B90" s="26"/>
      <c r="C90" s="28"/>
    </row>
    <row r="91" ht="15.75" customHeight="1">
      <c r="B91" s="26"/>
      <c r="C91" s="28"/>
    </row>
    <row r="92" ht="15.75" customHeight="1">
      <c r="B92" s="26"/>
      <c r="C92" s="28"/>
    </row>
    <row r="93" ht="15.75" customHeight="1">
      <c r="B93" s="26"/>
      <c r="C93" s="28"/>
    </row>
    <row r="94" ht="15.75" customHeight="1">
      <c r="B94" s="26"/>
      <c r="C94" s="28"/>
    </row>
    <row r="95" ht="15.75" customHeight="1">
      <c r="B95" s="26"/>
      <c r="C95" s="28"/>
    </row>
    <row r="96" ht="15.75" customHeight="1">
      <c r="B96" s="26"/>
      <c r="C96" s="28"/>
    </row>
    <row r="97" ht="15.75" customHeight="1">
      <c r="B97" s="26"/>
      <c r="C97" s="28"/>
    </row>
    <row r="98" ht="15.75" customHeight="1">
      <c r="B98" s="26"/>
      <c r="C98" s="28"/>
    </row>
    <row r="99" ht="15.75" customHeight="1">
      <c r="B99" s="26"/>
      <c r="C99" s="28"/>
    </row>
    <row r="100" ht="15.75" customHeight="1">
      <c r="B100" s="26"/>
      <c r="C100" s="28"/>
    </row>
    <row r="101" ht="15.75" customHeight="1">
      <c r="B101" s="26"/>
      <c r="C101" s="28"/>
    </row>
    <row r="102" ht="15.75" customHeight="1">
      <c r="B102" s="26"/>
      <c r="C102" s="28"/>
    </row>
    <row r="103" ht="15.75" customHeight="1">
      <c r="B103" s="26"/>
      <c r="C103" s="28"/>
    </row>
    <row r="104" ht="15.75" customHeight="1">
      <c r="B104" s="26"/>
      <c r="C104" s="28"/>
    </row>
    <row r="105" ht="15.75" customHeight="1">
      <c r="B105" s="26"/>
      <c r="C105" s="28"/>
    </row>
    <row r="106" ht="15.75" customHeight="1">
      <c r="B106" s="26"/>
      <c r="C106" s="28"/>
    </row>
    <row r="107" ht="15.75" customHeight="1">
      <c r="B107" s="26"/>
      <c r="C107" s="28"/>
    </row>
    <row r="108" ht="15.75" customHeight="1">
      <c r="B108" s="26"/>
      <c r="C108" s="28"/>
    </row>
    <row r="109" ht="15.75" customHeight="1">
      <c r="B109" s="26"/>
      <c r="C109" s="28"/>
    </row>
    <row r="110" ht="15.75" customHeight="1">
      <c r="B110" s="26"/>
      <c r="C110" s="28"/>
    </row>
    <row r="111" ht="15.75" customHeight="1">
      <c r="B111" s="26"/>
      <c r="C111" s="28"/>
    </row>
    <row r="112" ht="15.75" customHeight="1">
      <c r="B112" s="26"/>
      <c r="C112" s="28"/>
    </row>
    <row r="113" ht="15.75" customHeight="1">
      <c r="B113" s="26"/>
      <c r="C113" s="28"/>
    </row>
    <row r="114" ht="15.75" customHeight="1">
      <c r="B114" s="26"/>
      <c r="C114" s="28"/>
    </row>
    <row r="115" ht="15.75" customHeight="1">
      <c r="B115" s="26"/>
      <c r="C115" s="28"/>
    </row>
    <row r="116" ht="15.75" customHeight="1">
      <c r="B116" s="26"/>
      <c r="C116" s="28"/>
    </row>
    <row r="117" ht="15.75" customHeight="1">
      <c r="B117" s="26"/>
      <c r="C117" s="28"/>
    </row>
    <row r="118" ht="15.75" customHeight="1">
      <c r="B118" s="26"/>
      <c r="C118" s="28"/>
    </row>
    <row r="119" ht="15.75" customHeight="1">
      <c r="B119" s="26"/>
      <c r="C119" s="28"/>
    </row>
    <row r="120" ht="15.75" customHeight="1">
      <c r="B120" s="26"/>
      <c r="C120" s="28"/>
    </row>
    <row r="121" ht="15.75" customHeight="1">
      <c r="B121" s="26"/>
      <c r="C121" s="28"/>
    </row>
    <row r="122" ht="15.75" customHeight="1">
      <c r="B122" s="26"/>
      <c r="C122" s="28"/>
    </row>
    <row r="123" ht="15.75" customHeight="1">
      <c r="B123" s="26"/>
      <c r="C123" s="28"/>
    </row>
    <row r="124" ht="15.75" customHeight="1">
      <c r="B124" s="26"/>
      <c r="C124" s="28"/>
    </row>
    <row r="125" ht="15.75" customHeight="1">
      <c r="B125" s="26"/>
      <c r="C125" s="28"/>
    </row>
    <row r="126" ht="15.75" customHeight="1">
      <c r="B126" s="26"/>
      <c r="C126" s="28"/>
    </row>
    <row r="127" ht="15.75" customHeight="1">
      <c r="B127" s="26"/>
      <c r="C127" s="28"/>
    </row>
    <row r="128" ht="15.75" customHeight="1">
      <c r="B128" s="26"/>
      <c r="C128" s="28"/>
    </row>
    <row r="129" ht="15.75" customHeight="1">
      <c r="B129" s="26"/>
      <c r="C129" s="28"/>
    </row>
    <row r="130" ht="15.75" customHeight="1">
      <c r="B130" s="26"/>
      <c r="C130" s="28"/>
    </row>
    <row r="131" ht="15.75" customHeight="1">
      <c r="B131" s="26"/>
      <c r="C131" s="28"/>
    </row>
    <row r="132" ht="15.75" customHeight="1">
      <c r="B132" s="26"/>
      <c r="C132" s="28"/>
    </row>
    <row r="133" ht="15.75" customHeight="1">
      <c r="B133" s="26"/>
      <c r="C133" s="28"/>
    </row>
    <row r="134" ht="15.75" customHeight="1">
      <c r="B134" s="26"/>
      <c r="C134" s="28"/>
    </row>
    <row r="135" ht="15.75" customHeight="1">
      <c r="B135" s="26"/>
      <c r="C135" s="28"/>
    </row>
    <row r="136" ht="15.75" customHeight="1">
      <c r="B136" s="26"/>
      <c r="C136" s="28"/>
    </row>
    <row r="137" ht="15.75" customHeight="1">
      <c r="B137" s="26"/>
      <c r="C137" s="28"/>
    </row>
    <row r="138" ht="15.75" customHeight="1">
      <c r="B138" s="26"/>
      <c r="C138" s="28"/>
    </row>
    <row r="139" ht="15.75" customHeight="1">
      <c r="B139" s="26"/>
      <c r="C139" s="28"/>
    </row>
    <row r="140" ht="15.75" customHeight="1">
      <c r="B140" s="26"/>
      <c r="C140" s="28"/>
    </row>
    <row r="141" ht="15.75" customHeight="1">
      <c r="B141" s="26"/>
      <c r="C141" s="28"/>
    </row>
    <row r="142" ht="15.75" customHeight="1">
      <c r="B142" s="26"/>
      <c r="C142" s="28"/>
    </row>
    <row r="143" ht="15.75" customHeight="1">
      <c r="B143" s="26"/>
      <c r="C143" s="28"/>
    </row>
    <row r="144" ht="15.75" customHeight="1">
      <c r="B144" s="26"/>
      <c r="C144" s="28"/>
    </row>
    <row r="145" ht="15.75" customHeight="1">
      <c r="B145" s="26"/>
      <c r="C145" s="28"/>
    </row>
    <row r="146" ht="15.75" customHeight="1">
      <c r="B146" s="26"/>
      <c r="C146" s="28"/>
    </row>
    <row r="147" ht="15.75" customHeight="1">
      <c r="B147" s="26"/>
      <c r="C147" s="28"/>
    </row>
    <row r="148" ht="15.75" customHeight="1">
      <c r="B148" s="26"/>
      <c r="C148" s="28"/>
    </row>
    <row r="149" ht="15.75" customHeight="1">
      <c r="B149" s="26"/>
      <c r="C149" s="28"/>
    </row>
    <row r="150" ht="15.75" customHeight="1">
      <c r="B150" s="26"/>
      <c r="C150" s="28"/>
    </row>
    <row r="151" ht="15.75" customHeight="1">
      <c r="B151" s="26"/>
      <c r="C151" s="28"/>
    </row>
    <row r="152" ht="15.75" customHeight="1">
      <c r="B152" s="26"/>
      <c r="C152" s="28"/>
    </row>
    <row r="153" ht="15.75" customHeight="1">
      <c r="B153" s="26"/>
      <c r="C153" s="28"/>
    </row>
    <row r="154" ht="15.75" customHeight="1">
      <c r="B154" s="26"/>
      <c r="C154" s="28"/>
    </row>
    <row r="155" ht="15.75" customHeight="1">
      <c r="B155" s="26"/>
      <c r="C155" s="28"/>
    </row>
    <row r="156" ht="15.75" customHeight="1">
      <c r="B156" s="26"/>
      <c r="C156" s="28"/>
    </row>
    <row r="157" ht="15.75" customHeight="1">
      <c r="B157" s="26"/>
      <c r="C157" s="28"/>
    </row>
    <row r="158" ht="15.75" customHeight="1">
      <c r="B158" s="26"/>
      <c r="C158" s="28"/>
    </row>
    <row r="159" ht="15.75" customHeight="1">
      <c r="B159" s="26"/>
      <c r="C159" s="28"/>
    </row>
    <row r="160" ht="15.75" customHeight="1">
      <c r="B160" s="26"/>
      <c r="C160" s="28"/>
    </row>
    <row r="161" ht="15.75" customHeight="1">
      <c r="B161" s="26"/>
      <c r="C161" s="28"/>
    </row>
    <row r="162" ht="15.75" customHeight="1">
      <c r="B162" s="26"/>
      <c r="C162" s="28"/>
    </row>
    <row r="163" ht="15.75" customHeight="1">
      <c r="B163" s="26"/>
      <c r="C163" s="28"/>
    </row>
    <row r="164" ht="15.75" customHeight="1">
      <c r="B164" s="26"/>
      <c r="C164" s="28"/>
    </row>
    <row r="165" ht="15.75" customHeight="1">
      <c r="B165" s="26"/>
      <c r="C165" s="28"/>
    </row>
    <row r="166" ht="15.75" customHeight="1">
      <c r="B166" s="26"/>
      <c r="C166" s="28"/>
    </row>
    <row r="167" ht="15.75" customHeight="1">
      <c r="B167" s="26"/>
      <c r="C167" s="28"/>
    </row>
    <row r="168" ht="15.75" customHeight="1">
      <c r="B168" s="26"/>
      <c r="C168" s="28"/>
    </row>
    <row r="169" ht="15.75" customHeight="1">
      <c r="B169" s="26"/>
      <c r="C169" s="28"/>
    </row>
    <row r="170" ht="15.75" customHeight="1">
      <c r="B170" s="26"/>
      <c r="C170" s="28"/>
    </row>
    <row r="171" ht="15.75" customHeight="1">
      <c r="B171" s="26"/>
      <c r="C171" s="28"/>
    </row>
    <row r="172" ht="15.75" customHeight="1">
      <c r="B172" s="26"/>
      <c r="C172" s="28"/>
    </row>
    <row r="173" ht="15.75" customHeight="1">
      <c r="B173" s="26"/>
      <c r="C173" s="28"/>
    </row>
    <row r="174" ht="15.75" customHeight="1">
      <c r="B174" s="26"/>
      <c r="C174" s="28"/>
    </row>
    <row r="175" ht="15.75" customHeight="1">
      <c r="B175" s="26"/>
      <c r="C175" s="28"/>
    </row>
    <row r="176" ht="15.75" customHeight="1">
      <c r="B176" s="26"/>
      <c r="C176" s="28"/>
    </row>
    <row r="177" ht="15.75" customHeight="1">
      <c r="B177" s="26"/>
      <c r="C177" s="28"/>
    </row>
    <row r="178" ht="15.75" customHeight="1">
      <c r="B178" s="26"/>
      <c r="C178" s="28"/>
    </row>
    <row r="179" ht="15.75" customHeight="1">
      <c r="B179" s="26"/>
      <c r="C179" s="28"/>
    </row>
    <row r="180" ht="15.75" customHeight="1">
      <c r="B180" s="26"/>
      <c r="C180" s="28"/>
    </row>
    <row r="181" ht="15.75" customHeight="1">
      <c r="B181" s="26"/>
      <c r="C181" s="28"/>
    </row>
    <row r="182" ht="15.75" customHeight="1">
      <c r="B182" s="26"/>
      <c r="C182" s="28"/>
    </row>
    <row r="183" ht="15.75" customHeight="1">
      <c r="B183" s="26"/>
      <c r="C183" s="28"/>
    </row>
    <row r="184" ht="15.75" customHeight="1">
      <c r="B184" s="26"/>
      <c r="C184" s="28"/>
    </row>
    <row r="185" ht="15.75" customHeight="1">
      <c r="B185" s="26"/>
      <c r="C185" s="28"/>
    </row>
    <row r="186" ht="15.75" customHeight="1">
      <c r="B186" s="26"/>
      <c r="C186" s="28"/>
    </row>
    <row r="187" ht="15.75" customHeight="1">
      <c r="B187" s="26"/>
      <c r="C187" s="28"/>
    </row>
    <row r="188" ht="15.75" customHeight="1">
      <c r="B188" s="26"/>
      <c r="C188" s="28"/>
    </row>
    <row r="189" ht="15.75" customHeight="1">
      <c r="B189" s="26"/>
      <c r="C189" s="28"/>
    </row>
    <row r="190" ht="15.75" customHeight="1">
      <c r="B190" s="26"/>
      <c r="C190" s="28"/>
    </row>
    <row r="191" ht="15.75" customHeight="1">
      <c r="B191" s="26"/>
      <c r="C191" s="28"/>
    </row>
    <row r="192" ht="15.75" customHeight="1">
      <c r="B192" s="26"/>
      <c r="C192" s="28"/>
    </row>
    <row r="193" ht="15.75" customHeight="1">
      <c r="B193" s="26"/>
      <c r="C193" s="28"/>
    </row>
    <row r="194" ht="15.75" customHeight="1">
      <c r="B194" s="26"/>
      <c r="C194" s="28"/>
    </row>
    <row r="195" ht="15.75" customHeight="1">
      <c r="B195" s="26"/>
      <c r="C195" s="28"/>
    </row>
    <row r="196" ht="15.75" customHeight="1">
      <c r="B196" s="26"/>
      <c r="C196" s="28"/>
    </row>
    <row r="197" ht="15.75" customHeight="1">
      <c r="B197" s="26"/>
      <c r="C197" s="28"/>
    </row>
    <row r="198" ht="15.75" customHeight="1">
      <c r="B198" s="26"/>
      <c r="C198" s="28"/>
    </row>
    <row r="199" ht="15.75" customHeight="1">
      <c r="B199" s="26"/>
      <c r="C199" s="28"/>
    </row>
    <row r="200" ht="15.75" customHeight="1">
      <c r="B200" s="26"/>
      <c r="C200" s="28"/>
    </row>
    <row r="201" ht="15.75" customHeight="1">
      <c r="B201" s="26"/>
      <c r="C201" s="28"/>
    </row>
    <row r="202" ht="15.75" customHeight="1">
      <c r="B202" s="26"/>
      <c r="C202" s="28"/>
    </row>
    <row r="203" ht="15.75" customHeight="1">
      <c r="B203" s="26"/>
      <c r="C203" s="28"/>
    </row>
    <row r="204" ht="15.75" customHeight="1">
      <c r="B204" s="26"/>
      <c r="C204" s="28"/>
    </row>
    <row r="205" ht="15.75" customHeight="1">
      <c r="B205" s="26"/>
      <c r="C205" s="28"/>
    </row>
    <row r="206" ht="15.75" customHeight="1">
      <c r="B206" s="26"/>
      <c r="C206" s="28"/>
    </row>
    <row r="207" ht="15.75" customHeight="1">
      <c r="B207" s="26"/>
      <c r="C207" s="28"/>
    </row>
    <row r="208" ht="15.75" customHeight="1">
      <c r="B208" s="26"/>
      <c r="C208" s="28"/>
    </row>
    <row r="209" ht="15.75" customHeight="1">
      <c r="B209" s="26"/>
      <c r="C209" s="28"/>
    </row>
    <row r="210" ht="15.75" customHeight="1">
      <c r="B210" s="26"/>
      <c r="C210" s="28"/>
    </row>
    <row r="211" ht="15.75" customHeight="1">
      <c r="B211" s="26"/>
      <c r="C211" s="28"/>
    </row>
    <row r="212" ht="15.75" customHeight="1">
      <c r="B212" s="26"/>
      <c r="C212" s="28"/>
    </row>
    <row r="213" ht="15.75" customHeight="1">
      <c r="B213" s="26"/>
      <c r="C213" s="28"/>
    </row>
    <row r="214" ht="15.75" customHeight="1">
      <c r="B214" s="26"/>
      <c r="C214" s="28"/>
    </row>
    <row r="215" ht="15.75" customHeight="1">
      <c r="B215" s="26"/>
      <c r="C215" s="28"/>
    </row>
    <row r="216" ht="15.75" customHeight="1">
      <c r="B216" s="26"/>
      <c r="C216" s="28"/>
    </row>
    <row r="217" ht="15.75" customHeight="1">
      <c r="B217" s="26"/>
      <c r="C217" s="28"/>
    </row>
    <row r="218" ht="15.75" customHeight="1">
      <c r="B218" s="26"/>
      <c r="C218" s="28"/>
    </row>
    <row r="219" ht="15.75" customHeight="1">
      <c r="B219" s="26"/>
      <c r="C219" s="28"/>
    </row>
    <row r="220" ht="15.75" customHeight="1">
      <c r="B220" s="26"/>
      <c r="C220" s="28"/>
    </row>
    <row r="221" ht="15.75" customHeight="1">
      <c r="C221" s="28"/>
    </row>
    <row r="222" ht="15.75" customHeight="1">
      <c r="C222" s="28"/>
    </row>
    <row r="223" ht="15.75" customHeight="1">
      <c r="C223" s="28"/>
    </row>
    <row r="224" ht="15.75" customHeight="1">
      <c r="C224" s="28"/>
    </row>
    <row r="225" ht="15.75" customHeight="1">
      <c r="C225" s="28"/>
    </row>
    <row r="226" ht="15.75" customHeight="1">
      <c r="C226" s="28"/>
    </row>
    <row r="227" ht="15.75" customHeight="1">
      <c r="C227" s="28"/>
    </row>
    <row r="228" ht="15.75" customHeight="1">
      <c r="C228" s="28"/>
    </row>
    <row r="229" ht="15.75" customHeight="1">
      <c r="C229" s="28"/>
    </row>
    <row r="230" ht="15.75" customHeight="1">
      <c r="C230" s="28"/>
    </row>
    <row r="231" ht="15.75" customHeight="1">
      <c r="C231" s="28"/>
    </row>
    <row r="232" ht="15.75" customHeight="1">
      <c r="C232" s="28"/>
    </row>
    <row r="233" ht="15.75" customHeight="1">
      <c r="C233" s="28"/>
    </row>
    <row r="234" ht="15.75" customHeight="1">
      <c r="C234" s="28"/>
    </row>
    <row r="235" ht="15.75" customHeight="1">
      <c r="C235" s="28"/>
    </row>
    <row r="236" ht="15.75" customHeight="1">
      <c r="C236" s="28"/>
    </row>
    <row r="237" ht="15.75" customHeight="1">
      <c r="C237" s="28"/>
    </row>
    <row r="238" ht="15.75" customHeight="1">
      <c r="C238" s="28"/>
    </row>
    <row r="239" ht="15.75" customHeight="1">
      <c r="C239" s="28"/>
    </row>
    <row r="240" ht="15.75" customHeight="1">
      <c r="C240" s="28"/>
    </row>
    <row r="241" ht="15.75" customHeight="1">
      <c r="C241" s="28"/>
    </row>
    <row r="242" ht="15.75" customHeight="1">
      <c r="C242" s="28"/>
    </row>
    <row r="243" ht="15.75" customHeight="1">
      <c r="C243" s="28"/>
    </row>
    <row r="244" ht="15.75" customHeight="1">
      <c r="C244" s="28"/>
    </row>
    <row r="245" ht="15.75" customHeight="1">
      <c r="C245" s="28"/>
    </row>
    <row r="246" ht="15.75" customHeight="1">
      <c r="C246" s="28"/>
    </row>
    <row r="247" ht="15.75" customHeight="1">
      <c r="C247" s="28"/>
    </row>
    <row r="248" ht="15.75" customHeight="1">
      <c r="C248" s="28"/>
    </row>
    <row r="249" ht="15.75" customHeight="1">
      <c r="C249" s="28"/>
    </row>
    <row r="250" ht="15.75" customHeight="1">
      <c r="C250" s="28"/>
    </row>
    <row r="251" ht="15.75" customHeight="1">
      <c r="C251" s="28"/>
    </row>
    <row r="252" ht="15.75" customHeight="1">
      <c r="C252" s="28"/>
    </row>
    <row r="253" ht="15.75" customHeight="1">
      <c r="C253" s="28"/>
    </row>
    <row r="254" ht="15.75" customHeight="1">
      <c r="C254" s="28"/>
    </row>
    <row r="255" ht="15.75" customHeight="1">
      <c r="C255" s="28"/>
    </row>
    <row r="256" ht="15.75" customHeight="1">
      <c r="C256" s="28"/>
    </row>
    <row r="257" ht="15.75" customHeight="1">
      <c r="C257" s="28"/>
    </row>
    <row r="258" ht="15.75" customHeight="1">
      <c r="C258" s="28"/>
    </row>
    <row r="259" ht="15.75" customHeight="1">
      <c r="C259" s="28"/>
    </row>
    <row r="260" ht="15.75" customHeight="1">
      <c r="C260" s="28"/>
    </row>
    <row r="261" ht="15.75" customHeight="1">
      <c r="C261" s="28"/>
    </row>
    <row r="262" ht="15.75" customHeight="1">
      <c r="C262" s="28"/>
    </row>
    <row r="263" ht="15.75" customHeight="1">
      <c r="C263" s="28"/>
    </row>
    <row r="264" ht="15.75" customHeight="1">
      <c r="C264" s="28"/>
    </row>
    <row r="265" ht="15.75" customHeight="1">
      <c r="C265" s="28"/>
    </row>
    <row r="266" ht="15.75" customHeight="1">
      <c r="C266" s="28"/>
    </row>
    <row r="267" ht="15.75" customHeight="1">
      <c r="C267" s="28"/>
    </row>
    <row r="268" ht="15.75" customHeight="1">
      <c r="C268" s="28"/>
    </row>
    <row r="269" ht="15.75" customHeight="1">
      <c r="C269" s="28"/>
    </row>
    <row r="270" ht="15.75" customHeight="1">
      <c r="C270" s="28"/>
    </row>
    <row r="271" ht="15.75" customHeight="1">
      <c r="C271" s="28"/>
    </row>
    <row r="272" ht="15.75" customHeight="1">
      <c r="C272" s="28"/>
    </row>
    <row r="273" ht="15.75" customHeight="1">
      <c r="C273" s="28"/>
    </row>
    <row r="274" ht="15.75" customHeight="1">
      <c r="C274" s="28"/>
    </row>
    <row r="275" ht="15.75" customHeight="1">
      <c r="C275" s="28"/>
    </row>
    <row r="276" ht="15.75" customHeight="1">
      <c r="C276" s="28"/>
    </row>
    <row r="277" ht="15.75" customHeight="1">
      <c r="C277" s="28"/>
    </row>
    <row r="278" ht="15.75" customHeight="1">
      <c r="C278" s="28"/>
    </row>
    <row r="279" ht="15.75" customHeight="1">
      <c r="C279" s="28"/>
    </row>
    <row r="280" ht="15.75" customHeight="1">
      <c r="C280" s="28"/>
    </row>
    <row r="281" ht="15.75" customHeight="1">
      <c r="C281" s="28"/>
    </row>
    <row r="282" ht="15.75" customHeight="1">
      <c r="C282" s="28"/>
    </row>
    <row r="283" ht="15.75" customHeight="1">
      <c r="C283" s="28"/>
    </row>
    <row r="284" ht="15.75" customHeight="1">
      <c r="C284" s="28"/>
    </row>
    <row r="285" ht="15.75" customHeight="1">
      <c r="C285" s="28"/>
    </row>
    <row r="286" ht="15.75" customHeight="1">
      <c r="C286" s="28"/>
    </row>
    <row r="287" ht="15.75" customHeight="1">
      <c r="C287" s="28"/>
    </row>
    <row r="288" ht="15.75" customHeight="1">
      <c r="C288" s="28"/>
    </row>
    <row r="289" ht="15.75" customHeight="1">
      <c r="C289" s="28"/>
    </row>
    <row r="290" ht="15.75" customHeight="1">
      <c r="C290" s="28"/>
    </row>
    <row r="291" ht="15.75" customHeight="1">
      <c r="C291" s="28"/>
    </row>
    <row r="292" ht="15.75" customHeight="1">
      <c r="C292" s="28"/>
    </row>
    <row r="293" ht="15.75" customHeight="1">
      <c r="C293" s="28"/>
    </row>
    <row r="294" ht="15.75" customHeight="1">
      <c r="C294" s="28"/>
    </row>
    <row r="295" ht="15.75" customHeight="1">
      <c r="C295" s="28"/>
    </row>
    <row r="296" ht="15.75" customHeight="1">
      <c r="C296" s="28"/>
    </row>
    <row r="297" ht="15.75" customHeight="1">
      <c r="C297" s="28"/>
    </row>
    <row r="298" ht="15.75" customHeight="1">
      <c r="C298" s="28"/>
    </row>
    <row r="299" ht="15.75" customHeight="1">
      <c r="C299" s="28"/>
    </row>
    <row r="300" ht="15.75" customHeight="1">
      <c r="C300" s="28"/>
    </row>
    <row r="301" ht="15.75" customHeight="1">
      <c r="C301" s="28"/>
    </row>
    <row r="302" ht="15.75" customHeight="1">
      <c r="C302" s="28"/>
    </row>
    <row r="303" ht="15.75" customHeight="1">
      <c r="C303" s="28"/>
    </row>
    <row r="304" ht="15.75" customHeight="1">
      <c r="C304" s="28"/>
    </row>
    <row r="305" ht="15.75" customHeight="1">
      <c r="C305" s="28"/>
    </row>
    <row r="306" ht="15.75" customHeight="1">
      <c r="C306" s="28"/>
    </row>
    <row r="307" ht="15.75" customHeight="1">
      <c r="C307" s="28"/>
    </row>
    <row r="308" ht="15.75" customHeight="1">
      <c r="C308" s="28"/>
    </row>
    <row r="309" ht="15.75" customHeight="1">
      <c r="C309" s="28"/>
    </row>
    <row r="310" ht="15.75" customHeight="1">
      <c r="C310" s="28"/>
    </row>
    <row r="311" ht="15.75" customHeight="1">
      <c r="C311" s="28"/>
    </row>
    <row r="312" ht="15.75" customHeight="1">
      <c r="C312" s="28"/>
    </row>
    <row r="313" ht="15.75" customHeight="1">
      <c r="C313" s="28"/>
    </row>
    <row r="314" ht="15.75" customHeight="1">
      <c r="C314" s="28"/>
    </row>
    <row r="315" ht="15.75" customHeight="1">
      <c r="C315" s="28"/>
    </row>
    <row r="316" ht="15.75" customHeight="1">
      <c r="C316" s="28"/>
    </row>
    <row r="317" ht="15.75" customHeight="1">
      <c r="C317" s="28"/>
    </row>
    <row r="318" ht="15.75" customHeight="1">
      <c r="C318" s="28"/>
    </row>
    <row r="319" ht="15.75" customHeight="1">
      <c r="C319" s="28"/>
    </row>
    <row r="320" ht="15.75" customHeight="1">
      <c r="C320" s="28"/>
    </row>
    <row r="321" ht="15.75" customHeight="1">
      <c r="C321" s="28"/>
    </row>
    <row r="322" ht="15.75" customHeight="1">
      <c r="C322" s="28"/>
    </row>
    <row r="323" ht="15.75" customHeight="1">
      <c r="C323" s="28"/>
    </row>
    <row r="324" ht="15.75" customHeight="1">
      <c r="C324" s="28"/>
    </row>
    <row r="325" ht="15.75" customHeight="1">
      <c r="C325" s="28"/>
    </row>
    <row r="326" ht="15.75" customHeight="1">
      <c r="C326" s="28"/>
    </row>
    <row r="327" ht="15.75" customHeight="1">
      <c r="C327" s="28"/>
    </row>
    <row r="328" ht="15.75" customHeight="1">
      <c r="C328" s="28"/>
    </row>
    <row r="329" ht="15.75" customHeight="1">
      <c r="C329" s="28"/>
    </row>
    <row r="330" ht="15.75" customHeight="1">
      <c r="C330" s="28"/>
    </row>
    <row r="331" ht="15.75" customHeight="1">
      <c r="C331" s="28"/>
    </row>
    <row r="332" ht="15.75" customHeight="1">
      <c r="C332" s="28"/>
    </row>
    <row r="333" ht="15.75" customHeight="1">
      <c r="C333" s="28"/>
    </row>
    <row r="334" ht="15.75" customHeight="1">
      <c r="C334" s="28"/>
    </row>
    <row r="335" ht="15.75" customHeight="1">
      <c r="C335" s="28"/>
    </row>
    <row r="336" ht="15.75" customHeight="1">
      <c r="C336" s="28"/>
    </row>
    <row r="337" ht="15.75" customHeight="1">
      <c r="C337" s="28"/>
    </row>
    <row r="338" ht="15.75" customHeight="1">
      <c r="C338" s="28"/>
    </row>
    <row r="339" ht="15.75" customHeight="1">
      <c r="C339" s="28"/>
    </row>
    <row r="340" ht="15.75" customHeight="1">
      <c r="C340" s="28"/>
    </row>
    <row r="341" ht="15.75" customHeight="1">
      <c r="C341" s="28"/>
    </row>
    <row r="342" ht="15.75" customHeight="1">
      <c r="C342" s="28"/>
    </row>
    <row r="343" ht="15.75" customHeight="1">
      <c r="C343" s="28"/>
    </row>
    <row r="344" ht="15.75" customHeight="1">
      <c r="C344" s="28"/>
    </row>
    <row r="345" ht="15.75" customHeight="1">
      <c r="C345" s="28"/>
    </row>
    <row r="346" ht="15.75" customHeight="1">
      <c r="C346" s="28"/>
    </row>
    <row r="347" ht="15.75" customHeight="1">
      <c r="C347" s="28"/>
    </row>
    <row r="348" ht="15.75" customHeight="1">
      <c r="C348" s="28"/>
    </row>
    <row r="349" ht="15.75" customHeight="1">
      <c r="C349" s="28"/>
    </row>
    <row r="350" ht="15.75" customHeight="1">
      <c r="C350" s="28"/>
    </row>
    <row r="351" ht="15.75" customHeight="1">
      <c r="C351" s="28"/>
    </row>
    <row r="352" ht="15.75" customHeight="1">
      <c r="C352" s="28"/>
    </row>
    <row r="353" ht="15.75" customHeight="1">
      <c r="C353" s="28"/>
    </row>
    <row r="354" ht="15.75" customHeight="1">
      <c r="C354" s="28"/>
    </row>
    <row r="355" ht="15.75" customHeight="1">
      <c r="C355" s="28"/>
    </row>
    <row r="356" ht="15.75" customHeight="1">
      <c r="C356" s="28"/>
    </row>
    <row r="357" ht="15.75" customHeight="1">
      <c r="C357" s="28"/>
    </row>
    <row r="358" ht="15.75" customHeight="1">
      <c r="C358" s="28"/>
    </row>
    <row r="359" ht="15.75" customHeight="1">
      <c r="C359" s="28"/>
    </row>
    <row r="360" ht="15.75" customHeight="1">
      <c r="C360" s="28"/>
    </row>
    <row r="361" ht="15.75" customHeight="1">
      <c r="C361" s="28"/>
    </row>
    <row r="362" ht="15.75" customHeight="1">
      <c r="C362" s="28"/>
    </row>
    <row r="363" ht="15.75" customHeight="1">
      <c r="C363" s="28"/>
    </row>
    <row r="364" ht="15.75" customHeight="1">
      <c r="C364" s="28"/>
    </row>
    <row r="365" ht="15.75" customHeight="1">
      <c r="C365" s="28"/>
    </row>
    <row r="366" ht="15.75" customHeight="1">
      <c r="C366" s="28"/>
    </row>
    <row r="367" ht="15.75" customHeight="1">
      <c r="C367" s="28"/>
    </row>
    <row r="368" ht="15.75" customHeight="1">
      <c r="C368" s="28"/>
    </row>
    <row r="369" ht="15.75" customHeight="1">
      <c r="C369" s="28"/>
    </row>
    <row r="370" ht="15.75" customHeight="1">
      <c r="C370" s="28"/>
    </row>
    <row r="371" ht="15.75" customHeight="1">
      <c r="C371" s="28"/>
    </row>
    <row r="372" ht="15.75" customHeight="1">
      <c r="C372" s="28"/>
    </row>
    <row r="373" ht="15.75" customHeight="1">
      <c r="C373" s="28"/>
    </row>
    <row r="374" ht="15.75" customHeight="1">
      <c r="C374" s="28"/>
    </row>
    <row r="375" ht="15.75" customHeight="1">
      <c r="C375" s="28"/>
    </row>
    <row r="376" ht="15.75" customHeight="1">
      <c r="C376" s="28"/>
    </row>
    <row r="377" ht="15.75" customHeight="1">
      <c r="C377" s="28"/>
    </row>
    <row r="378" ht="15.75" customHeight="1">
      <c r="C378" s="28"/>
    </row>
    <row r="379" ht="15.75" customHeight="1">
      <c r="C379" s="28"/>
    </row>
    <row r="380" ht="15.75" customHeight="1">
      <c r="C380" s="28"/>
    </row>
    <row r="381" ht="15.75" customHeight="1">
      <c r="C381" s="28"/>
    </row>
    <row r="382" ht="15.75" customHeight="1">
      <c r="C382" s="28"/>
    </row>
    <row r="383" ht="15.75" customHeight="1">
      <c r="C383" s="28"/>
    </row>
    <row r="384" ht="15.75" customHeight="1">
      <c r="C384" s="28"/>
    </row>
    <row r="385" ht="15.75" customHeight="1">
      <c r="C385" s="28"/>
    </row>
    <row r="386" ht="15.75" customHeight="1">
      <c r="C386" s="28"/>
    </row>
    <row r="387" ht="15.75" customHeight="1">
      <c r="C387" s="28"/>
    </row>
    <row r="388" ht="15.75" customHeight="1">
      <c r="C388" s="28"/>
    </row>
    <row r="389" ht="15.75" customHeight="1">
      <c r="C389" s="28"/>
    </row>
    <row r="390" ht="15.75" customHeight="1">
      <c r="C390" s="28"/>
    </row>
    <row r="391" ht="15.75" customHeight="1">
      <c r="C391" s="28"/>
    </row>
    <row r="392" ht="15.75" customHeight="1">
      <c r="C392" s="28"/>
    </row>
    <row r="393" ht="15.75" customHeight="1">
      <c r="C393" s="28"/>
    </row>
    <row r="394" ht="15.75" customHeight="1">
      <c r="C394" s="28"/>
    </row>
    <row r="395" ht="15.75" customHeight="1">
      <c r="C395" s="28"/>
    </row>
    <row r="396" ht="15.75" customHeight="1">
      <c r="C396" s="28"/>
    </row>
    <row r="397" ht="15.75" customHeight="1">
      <c r="C397" s="28"/>
    </row>
    <row r="398" ht="15.75" customHeight="1">
      <c r="C398" s="28"/>
    </row>
    <row r="399" ht="15.75" customHeight="1">
      <c r="C399" s="28"/>
    </row>
    <row r="400" ht="15.75" customHeight="1">
      <c r="C400" s="28"/>
    </row>
    <row r="401" ht="15.75" customHeight="1">
      <c r="C401" s="28"/>
    </row>
    <row r="402" ht="15.75" customHeight="1">
      <c r="C402" s="28"/>
    </row>
    <row r="403" ht="15.75" customHeight="1">
      <c r="C403" s="28"/>
    </row>
    <row r="404" ht="15.75" customHeight="1">
      <c r="C404" s="28"/>
    </row>
    <row r="405" ht="15.75" customHeight="1">
      <c r="C405" s="28"/>
    </row>
    <row r="406" ht="15.75" customHeight="1">
      <c r="C406" s="28"/>
    </row>
    <row r="407" ht="15.75" customHeight="1">
      <c r="C407" s="28"/>
    </row>
    <row r="408" ht="15.75" customHeight="1">
      <c r="C408" s="28"/>
    </row>
    <row r="409" ht="15.75" customHeight="1">
      <c r="C409" s="28"/>
    </row>
    <row r="410" ht="15.75" customHeight="1">
      <c r="C410" s="28"/>
    </row>
    <row r="411" ht="15.75" customHeight="1">
      <c r="C411" s="28"/>
    </row>
    <row r="412" ht="15.75" customHeight="1">
      <c r="C412" s="28"/>
    </row>
    <row r="413" ht="15.75" customHeight="1">
      <c r="C413" s="28"/>
    </row>
    <row r="414" ht="15.75" customHeight="1">
      <c r="C414" s="28"/>
    </row>
    <row r="415" ht="15.75" customHeight="1">
      <c r="C415" s="28"/>
    </row>
    <row r="416" ht="15.75" customHeight="1">
      <c r="C416" s="28"/>
    </row>
    <row r="417" ht="15.75" customHeight="1">
      <c r="C417" s="28"/>
    </row>
    <row r="418" ht="15.75" customHeight="1">
      <c r="C418" s="28"/>
    </row>
    <row r="419" ht="15.75" customHeight="1">
      <c r="C419" s="28"/>
    </row>
    <row r="420" ht="15.75" customHeight="1">
      <c r="C420" s="28"/>
    </row>
    <row r="421" ht="15.75" customHeight="1">
      <c r="C421" s="28"/>
    </row>
    <row r="422" ht="15.75" customHeight="1">
      <c r="C422" s="28"/>
    </row>
    <row r="423" ht="15.75" customHeight="1">
      <c r="C423" s="28"/>
    </row>
    <row r="424" ht="15.75" customHeight="1">
      <c r="C424" s="28"/>
    </row>
    <row r="425" ht="15.75" customHeight="1">
      <c r="C425" s="28"/>
    </row>
    <row r="426" ht="15.75" customHeight="1">
      <c r="C426" s="28"/>
    </row>
    <row r="427" ht="15.75" customHeight="1">
      <c r="C427" s="28"/>
    </row>
    <row r="428" ht="15.75" customHeight="1">
      <c r="C428" s="28"/>
    </row>
    <row r="429" ht="15.75" customHeight="1">
      <c r="C429" s="28"/>
    </row>
    <row r="430" ht="15.75" customHeight="1">
      <c r="C430" s="28"/>
    </row>
    <row r="431" ht="15.75" customHeight="1">
      <c r="C431" s="28"/>
    </row>
    <row r="432" ht="15.75" customHeight="1">
      <c r="C432" s="28"/>
    </row>
    <row r="433" ht="15.75" customHeight="1">
      <c r="C433" s="28"/>
    </row>
    <row r="434" ht="15.75" customHeight="1">
      <c r="C434" s="28"/>
    </row>
    <row r="435" ht="15.75" customHeight="1">
      <c r="C435" s="28"/>
    </row>
    <row r="436" ht="15.75" customHeight="1">
      <c r="C436" s="28"/>
    </row>
    <row r="437" ht="15.75" customHeight="1">
      <c r="C437" s="28"/>
    </row>
    <row r="438" ht="15.75" customHeight="1">
      <c r="C438" s="28"/>
    </row>
    <row r="439" ht="15.75" customHeight="1">
      <c r="C439" s="28"/>
    </row>
    <row r="440" ht="15.75" customHeight="1">
      <c r="C440" s="28"/>
    </row>
    <row r="441" ht="15.75" customHeight="1">
      <c r="C441" s="28"/>
    </row>
    <row r="442" ht="15.75" customHeight="1">
      <c r="C442" s="28"/>
    </row>
    <row r="443" ht="15.75" customHeight="1">
      <c r="C443" s="28"/>
    </row>
    <row r="444" ht="15.75" customHeight="1">
      <c r="C444" s="28"/>
    </row>
    <row r="445" ht="15.75" customHeight="1">
      <c r="C445" s="28"/>
    </row>
    <row r="446" ht="15.75" customHeight="1">
      <c r="C446" s="28"/>
    </row>
    <row r="447" ht="15.75" customHeight="1">
      <c r="C447" s="28"/>
    </row>
    <row r="448" ht="15.75" customHeight="1">
      <c r="C448" s="28"/>
    </row>
    <row r="449" ht="15.75" customHeight="1">
      <c r="C449" s="28"/>
    </row>
    <row r="450" ht="15.75" customHeight="1">
      <c r="C450" s="28"/>
    </row>
    <row r="451" ht="15.75" customHeight="1">
      <c r="C451" s="28"/>
    </row>
    <row r="452" ht="15.75" customHeight="1">
      <c r="C452" s="28"/>
    </row>
    <row r="453" ht="15.75" customHeight="1">
      <c r="C453" s="28"/>
    </row>
    <row r="454" ht="15.75" customHeight="1">
      <c r="C454" s="28"/>
    </row>
    <row r="455" ht="15.75" customHeight="1">
      <c r="C455" s="28"/>
    </row>
    <row r="456" ht="15.75" customHeight="1">
      <c r="C456" s="28"/>
    </row>
    <row r="457" ht="15.75" customHeight="1">
      <c r="C457" s="28"/>
    </row>
    <row r="458" ht="15.75" customHeight="1">
      <c r="C458" s="28"/>
    </row>
    <row r="459" ht="15.75" customHeight="1">
      <c r="C459" s="28"/>
    </row>
    <row r="460" ht="15.75" customHeight="1">
      <c r="C460" s="28"/>
    </row>
    <row r="461" ht="15.75" customHeight="1">
      <c r="C461" s="28"/>
    </row>
    <row r="462" ht="15.75" customHeight="1">
      <c r="C462" s="28"/>
    </row>
    <row r="463" ht="15.75" customHeight="1">
      <c r="C463" s="28"/>
    </row>
    <row r="464" ht="15.75" customHeight="1">
      <c r="C464" s="28"/>
    </row>
    <row r="465" ht="15.75" customHeight="1">
      <c r="C465" s="28"/>
    </row>
    <row r="466" ht="15.75" customHeight="1">
      <c r="C466" s="28"/>
    </row>
    <row r="467" ht="15.75" customHeight="1">
      <c r="C467" s="28"/>
    </row>
    <row r="468" ht="15.75" customHeight="1">
      <c r="C468" s="28"/>
    </row>
    <row r="469" ht="15.75" customHeight="1">
      <c r="C469" s="28"/>
    </row>
    <row r="470" ht="15.75" customHeight="1">
      <c r="C470" s="28"/>
    </row>
    <row r="471" ht="15.75" customHeight="1">
      <c r="C471" s="28"/>
    </row>
    <row r="472" ht="15.75" customHeight="1">
      <c r="C472" s="28"/>
    </row>
    <row r="473" ht="15.75" customHeight="1">
      <c r="C473" s="28"/>
    </row>
    <row r="474" ht="15.75" customHeight="1">
      <c r="C474" s="28"/>
    </row>
    <row r="475" ht="15.75" customHeight="1">
      <c r="C475" s="28"/>
    </row>
    <row r="476" ht="15.75" customHeight="1">
      <c r="C476" s="28"/>
    </row>
    <row r="477" ht="15.75" customHeight="1">
      <c r="C477" s="28"/>
    </row>
    <row r="478" ht="15.75" customHeight="1">
      <c r="C478" s="28"/>
    </row>
    <row r="479" ht="15.75" customHeight="1">
      <c r="C479" s="28"/>
    </row>
    <row r="480" ht="15.75" customHeight="1">
      <c r="C480" s="28"/>
    </row>
    <row r="481" ht="15.75" customHeight="1">
      <c r="C481" s="28"/>
    </row>
    <row r="482" ht="15.75" customHeight="1">
      <c r="C482" s="28"/>
    </row>
    <row r="483" ht="15.75" customHeight="1">
      <c r="C483" s="28"/>
    </row>
    <row r="484" ht="15.75" customHeight="1">
      <c r="C484" s="28"/>
    </row>
    <row r="485" ht="15.75" customHeight="1">
      <c r="C485" s="28"/>
    </row>
    <row r="486" ht="15.75" customHeight="1">
      <c r="C486" s="28"/>
    </row>
    <row r="487" ht="15.75" customHeight="1">
      <c r="C487" s="28"/>
    </row>
    <row r="488" ht="15.75" customHeight="1">
      <c r="C488" s="28"/>
    </row>
    <row r="489" ht="15.75" customHeight="1">
      <c r="C489" s="28"/>
    </row>
    <row r="490" ht="15.75" customHeight="1">
      <c r="C490" s="28"/>
    </row>
    <row r="491" ht="15.75" customHeight="1">
      <c r="C491" s="28"/>
    </row>
    <row r="492" ht="15.75" customHeight="1">
      <c r="C492" s="28"/>
    </row>
    <row r="493" ht="15.75" customHeight="1">
      <c r="C493" s="28"/>
    </row>
    <row r="494" ht="15.75" customHeight="1">
      <c r="C494" s="28"/>
    </row>
    <row r="495" ht="15.75" customHeight="1">
      <c r="C495" s="28"/>
    </row>
    <row r="496" ht="15.75" customHeight="1">
      <c r="C496" s="28"/>
    </row>
    <row r="497" ht="15.75" customHeight="1">
      <c r="C497" s="28"/>
    </row>
    <row r="498" ht="15.75" customHeight="1">
      <c r="C498" s="28"/>
    </row>
    <row r="499" ht="15.75" customHeight="1">
      <c r="C499" s="28"/>
    </row>
    <row r="500" ht="15.75" customHeight="1">
      <c r="C500" s="28"/>
    </row>
    <row r="501" ht="15.75" customHeight="1">
      <c r="C501" s="28"/>
    </row>
    <row r="502" ht="15.75" customHeight="1">
      <c r="C502" s="28"/>
    </row>
    <row r="503" ht="15.75" customHeight="1">
      <c r="C503" s="28"/>
    </row>
    <row r="504" ht="15.75" customHeight="1">
      <c r="C504" s="28"/>
    </row>
    <row r="505" ht="15.75" customHeight="1">
      <c r="C505" s="28"/>
    </row>
    <row r="506" ht="15.75" customHeight="1">
      <c r="C506" s="28"/>
    </row>
    <row r="507" ht="15.75" customHeight="1">
      <c r="C507" s="28"/>
    </row>
    <row r="508" ht="15.75" customHeight="1">
      <c r="C508" s="28"/>
    </row>
    <row r="509" ht="15.75" customHeight="1">
      <c r="C509" s="28"/>
    </row>
    <row r="510" ht="15.75" customHeight="1">
      <c r="C510" s="28"/>
    </row>
    <row r="511" ht="15.75" customHeight="1">
      <c r="C511" s="28"/>
    </row>
    <row r="512" ht="15.75" customHeight="1">
      <c r="C512" s="28"/>
    </row>
    <row r="513" ht="15.75" customHeight="1">
      <c r="C513" s="28"/>
    </row>
    <row r="514" ht="15.75" customHeight="1">
      <c r="C514" s="28"/>
    </row>
    <row r="515" ht="15.75" customHeight="1">
      <c r="C515" s="28"/>
    </row>
    <row r="516" ht="15.75" customHeight="1">
      <c r="C516" s="28"/>
    </row>
    <row r="517" ht="15.75" customHeight="1">
      <c r="C517" s="28"/>
    </row>
    <row r="518" ht="15.75" customHeight="1">
      <c r="C518" s="28"/>
    </row>
    <row r="519" ht="15.75" customHeight="1">
      <c r="C519" s="28"/>
    </row>
    <row r="520" ht="15.75" customHeight="1">
      <c r="C520" s="28"/>
    </row>
    <row r="521" ht="15.75" customHeight="1">
      <c r="C521" s="28"/>
    </row>
    <row r="522" ht="15.75" customHeight="1">
      <c r="C522" s="28"/>
    </row>
    <row r="523" ht="15.75" customHeight="1">
      <c r="C523" s="28"/>
    </row>
    <row r="524" ht="15.75" customHeight="1">
      <c r="C524" s="28"/>
    </row>
    <row r="525" ht="15.75" customHeight="1">
      <c r="C525" s="28"/>
    </row>
    <row r="526" ht="15.75" customHeight="1">
      <c r="C526" s="28"/>
    </row>
    <row r="527" ht="15.75" customHeight="1">
      <c r="C527" s="28"/>
    </row>
    <row r="528" ht="15.75" customHeight="1">
      <c r="C528" s="28"/>
    </row>
    <row r="529" ht="15.75" customHeight="1">
      <c r="C529" s="28"/>
    </row>
    <row r="530" ht="15.75" customHeight="1">
      <c r="C530" s="28"/>
    </row>
    <row r="531" ht="15.75" customHeight="1">
      <c r="C531" s="28"/>
    </row>
    <row r="532" ht="15.75" customHeight="1">
      <c r="C532" s="28"/>
    </row>
    <row r="533" ht="15.75" customHeight="1">
      <c r="C533" s="28"/>
    </row>
    <row r="534" ht="15.75" customHeight="1">
      <c r="C534" s="28"/>
    </row>
    <row r="535" ht="15.75" customHeight="1">
      <c r="C535" s="28"/>
    </row>
    <row r="536" ht="15.75" customHeight="1">
      <c r="C536" s="28"/>
    </row>
    <row r="537" ht="15.75" customHeight="1">
      <c r="C537" s="28"/>
    </row>
    <row r="538" ht="15.75" customHeight="1">
      <c r="C538" s="28"/>
    </row>
    <row r="539" ht="15.75" customHeight="1">
      <c r="C539" s="28"/>
    </row>
    <row r="540" ht="15.75" customHeight="1">
      <c r="C540" s="28"/>
    </row>
    <row r="541" ht="15.75" customHeight="1">
      <c r="C541" s="28"/>
    </row>
    <row r="542" ht="15.75" customHeight="1">
      <c r="C542" s="28"/>
    </row>
    <row r="543" ht="15.75" customHeight="1">
      <c r="C543" s="28"/>
    </row>
    <row r="544" ht="15.75" customHeight="1">
      <c r="C544" s="28"/>
    </row>
    <row r="545" ht="15.75" customHeight="1">
      <c r="C545" s="28"/>
    </row>
    <row r="546" ht="15.75" customHeight="1">
      <c r="C546" s="28"/>
    </row>
    <row r="547" ht="15.75" customHeight="1">
      <c r="C547" s="28"/>
    </row>
    <row r="548" ht="15.75" customHeight="1">
      <c r="C548" s="28"/>
    </row>
    <row r="549" ht="15.75" customHeight="1">
      <c r="C549" s="28"/>
    </row>
    <row r="550" ht="15.75" customHeight="1">
      <c r="C550" s="28"/>
    </row>
    <row r="551" ht="15.75" customHeight="1">
      <c r="C551" s="28"/>
    </row>
    <row r="552" ht="15.75" customHeight="1">
      <c r="C552" s="28"/>
    </row>
    <row r="553" ht="15.75" customHeight="1">
      <c r="C553" s="28"/>
    </row>
    <row r="554" ht="15.75" customHeight="1">
      <c r="C554" s="28"/>
    </row>
    <row r="555" ht="15.75" customHeight="1">
      <c r="C555" s="28"/>
    </row>
    <row r="556" ht="15.75" customHeight="1">
      <c r="C556" s="28"/>
    </row>
    <row r="557" ht="15.75" customHeight="1">
      <c r="C557" s="28"/>
    </row>
    <row r="558" ht="15.75" customHeight="1">
      <c r="C558" s="28"/>
    </row>
    <row r="559" ht="15.75" customHeight="1">
      <c r="C559" s="28"/>
    </row>
    <row r="560" ht="15.75" customHeight="1">
      <c r="C560" s="28"/>
    </row>
    <row r="561" ht="15.75" customHeight="1">
      <c r="C561" s="28"/>
    </row>
    <row r="562" ht="15.75" customHeight="1">
      <c r="C562" s="28"/>
    </row>
    <row r="563" ht="15.75" customHeight="1">
      <c r="C563" s="28"/>
    </row>
    <row r="564" ht="15.75" customHeight="1">
      <c r="C564" s="28"/>
    </row>
    <row r="565" ht="15.75" customHeight="1">
      <c r="C565" s="28"/>
    </row>
    <row r="566" ht="15.75" customHeight="1">
      <c r="C566" s="28"/>
    </row>
    <row r="567" ht="15.75" customHeight="1">
      <c r="C567" s="28"/>
    </row>
    <row r="568" ht="15.75" customHeight="1">
      <c r="C568" s="28"/>
    </row>
    <row r="569" ht="15.75" customHeight="1">
      <c r="C569" s="28"/>
    </row>
    <row r="570" ht="15.75" customHeight="1">
      <c r="C570" s="28"/>
    </row>
    <row r="571" ht="15.75" customHeight="1">
      <c r="C571" s="28"/>
    </row>
    <row r="572" ht="15.75" customHeight="1">
      <c r="C572" s="28"/>
    </row>
    <row r="573" ht="15.75" customHeight="1">
      <c r="C573" s="28"/>
    </row>
    <row r="574" ht="15.75" customHeight="1">
      <c r="C574" s="28"/>
    </row>
    <row r="575" ht="15.75" customHeight="1">
      <c r="C575" s="28"/>
    </row>
    <row r="576" ht="15.75" customHeight="1">
      <c r="C576" s="28"/>
    </row>
    <row r="577" ht="15.75" customHeight="1">
      <c r="C577" s="28"/>
    </row>
    <row r="578" ht="15.75" customHeight="1">
      <c r="C578" s="28"/>
    </row>
    <row r="579" ht="15.75" customHeight="1">
      <c r="C579" s="28"/>
    </row>
    <row r="580" ht="15.75" customHeight="1">
      <c r="C580" s="28"/>
    </row>
    <row r="581" ht="15.75" customHeight="1">
      <c r="C581" s="28"/>
    </row>
    <row r="582" ht="15.75" customHeight="1">
      <c r="C582" s="28"/>
    </row>
    <row r="583" ht="15.75" customHeight="1">
      <c r="C583" s="28"/>
    </row>
    <row r="584" ht="15.75" customHeight="1">
      <c r="C584" s="28"/>
    </row>
    <row r="585" ht="15.75" customHeight="1">
      <c r="C585" s="28"/>
    </row>
    <row r="586" ht="15.75" customHeight="1">
      <c r="C586" s="28"/>
    </row>
    <row r="587" ht="15.75" customHeight="1">
      <c r="C587" s="28"/>
    </row>
    <row r="588" ht="15.75" customHeight="1">
      <c r="C588" s="28"/>
    </row>
    <row r="589" ht="15.75" customHeight="1">
      <c r="C589" s="28"/>
    </row>
    <row r="590" ht="15.75" customHeight="1">
      <c r="C590" s="28"/>
    </row>
    <row r="591" ht="15.75" customHeight="1">
      <c r="C591" s="28"/>
    </row>
    <row r="592" ht="15.75" customHeight="1">
      <c r="C592" s="28"/>
    </row>
    <row r="593" ht="15.75" customHeight="1">
      <c r="C593" s="28"/>
    </row>
    <row r="594" ht="15.75" customHeight="1">
      <c r="C594" s="28"/>
    </row>
    <row r="595" ht="15.75" customHeight="1">
      <c r="C595" s="28"/>
    </row>
    <row r="596" ht="15.75" customHeight="1">
      <c r="C596" s="28"/>
    </row>
    <row r="597" ht="15.75" customHeight="1">
      <c r="C597" s="28"/>
    </row>
    <row r="598" ht="15.75" customHeight="1">
      <c r="C598" s="28"/>
    </row>
    <row r="599" ht="15.75" customHeight="1">
      <c r="C599" s="28"/>
    </row>
    <row r="600" ht="15.75" customHeight="1">
      <c r="C600" s="28"/>
    </row>
    <row r="601" ht="15.75" customHeight="1">
      <c r="C601" s="28"/>
    </row>
    <row r="602" ht="15.75" customHeight="1">
      <c r="C602" s="28"/>
    </row>
    <row r="603" ht="15.75" customHeight="1">
      <c r="C603" s="28"/>
    </row>
    <row r="604" ht="15.75" customHeight="1">
      <c r="C604" s="28"/>
    </row>
    <row r="605" ht="15.75" customHeight="1">
      <c r="C605" s="28"/>
    </row>
    <row r="606" ht="15.75" customHeight="1">
      <c r="C606" s="28"/>
    </row>
    <row r="607" ht="15.75" customHeight="1">
      <c r="C607" s="28"/>
    </row>
    <row r="608" ht="15.75" customHeight="1">
      <c r="C608" s="28"/>
    </row>
    <row r="609" ht="15.75" customHeight="1">
      <c r="C609" s="28"/>
    </row>
    <row r="610" ht="15.75" customHeight="1">
      <c r="C610" s="28"/>
    </row>
    <row r="611" ht="15.75" customHeight="1">
      <c r="C611" s="28"/>
    </row>
    <row r="612" ht="15.75" customHeight="1">
      <c r="C612" s="28"/>
    </row>
    <row r="613" ht="15.75" customHeight="1">
      <c r="C613" s="28"/>
    </row>
    <row r="614" ht="15.75" customHeight="1">
      <c r="C614" s="28"/>
    </row>
    <row r="615" ht="15.75" customHeight="1">
      <c r="C615" s="28"/>
    </row>
    <row r="616" ht="15.75" customHeight="1">
      <c r="C616" s="28"/>
    </row>
    <row r="617" ht="15.75" customHeight="1">
      <c r="C617" s="28"/>
    </row>
    <row r="618" ht="15.75" customHeight="1">
      <c r="C618" s="28"/>
    </row>
    <row r="619" ht="15.75" customHeight="1">
      <c r="C619" s="28"/>
    </row>
    <row r="620" ht="15.75" customHeight="1">
      <c r="C620" s="28"/>
    </row>
    <row r="621" ht="15.75" customHeight="1">
      <c r="C621" s="28"/>
    </row>
    <row r="622" ht="15.75" customHeight="1">
      <c r="C622" s="28"/>
    </row>
    <row r="623" ht="15.75" customHeight="1">
      <c r="C623" s="28"/>
    </row>
    <row r="624" ht="15.75" customHeight="1">
      <c r="C624" s="28"/>
    </row>
    <row r="625" ht="15.75" customHeight="1">
      <c r="C625" s="28"/>
    </row>
    <row r="626" ht="15.75" customHeight="1">
      <c r="C626" s="28"/>
    </row>
    <row r="627" ht="15.75" customHeight="1">
      <c r="C627" s="28"/>
    </row>
    <row r="628" ht="15.75" customHeight="1">
      <c r="C628" s="28"/>
    </row>
    <row r="629" ht="15.75" customHeight="1">
      <c r="C629" s="28"/>
    </row>
    <row r="630" ht="15.75" customHeight="1">
      <c r="C630" s="28"/>
    </row>
    <row r="631" ht="15.75" customHeight="1">
      <c r="C631" s="28"/>
    </row>
    <row r="632" ht="15.75" customHeight="1">
      <c r="C632" s="28"/>
    </row>
    <row r="633" ht="15.75" customHeight="1">
      <c r="C633" s="28"/>
    </row>
    <row r="634" ht="15.75" customHeight="1">
      <c r="C634" s="28"/>
    </row>
    <row r="635" ht="15.75" customHeight="1">
      <c r="C635" s="28"/>
    </row>
    <row r="636" ht="15.75" customHeight="1">
      <c r="C636" s="28"/>
    </row>
    <row r="637" ht="15.75" customHeight="1">
      <c r="C637" s="28"/>
    </row>
    <row r="638" ht="15.75" customHeight="1">
      <c r="C638" s="28"/>
    </row>
    <row r="639" ht="15.75" customHeight="1">
      <c r="C639" s="28"/>
    </row>
    <row r="640" ht="15.75" customHeight="1">
      <c r="C640" s="28"/>
    </row>
    <row r="641" ht="15.75" customHeight="1">
      <c r="C641" s="28"/>
    </row>
    <row r="642" ht="15.75" customHeight="1">
      <c r="C642" s="28"/>
    </row>
    <row r="643" ht="15.75" customHeight="1">
      <c r="C643" s="28"/>
    </row>
    <row r="644" ht="15.75" customHeight="1">
      <c r="C644" s="28"/>
    </row>
    <row r="645" ht="15.75" customHeight="1">
      <c r="C645" s="28"/>
    </row>
    <row r="646" ht="15.75" customHeight="1">
      <c r="C646" s="28"/>
    </row>
    <row r="647" ht="15.75" customHeight="1">
      <c r="C647" s="28"/>
    </row>
    <row r="648" ht="15.75" customHeight="1">
      <c r="C648" s="28"/>
    </row>
    <row r="649" ht="15.75" customHeight="1">
      <c r="C649" s="28"/>
    </row>
    <row r="650" ht="15.75" customHeight="1">
      <c r="C650" s="28"/>
    </row>
    <row r="651" ht="15.75" customHeight="1">
      <c r="C651" s="28"/>
    </row>
    <row r="652" ht="15.75" customHeight="1">
      <c r="C652" s="28"/>
    </row>
    <row r="653" ht="15.75" customHeight="1">
      <c r="C653" s="28"/>
    </row>
    <row r="654" ht="15.75" customHeight="1">
      <c r="C654" s="28"/>
    </row>
    <row r="655" ht="15.75" customHeight="1">
      <c r="C655" s="28"/>
    </row>
    <row r="656" ht="15.75" customHeight="1">
      <c r="C656" s="28"/>
    </row>
    <row r="657" ht="15.75" customHeight="1">
      <c r="C657" s="28"/>
    </row>
    <row r="658" ht="15.75" customHeight="1">
      <c r="C658" s="28"/>
    </row>
    <row r="659" ht="15.75" customHeight="1">
      <c r="C659" s="28"/>
    </row>
    <row r="660" ht="15.75" customHeight="1">
      <c r="C660" s="28"/>
    </row>
    <row r="661" ht="15.75" customHeight="1">
      <c r="C661" s="28"/>
    </row>
    <row r="662" ht="15.75" customHeight="1">
      <c r="C662" s="28"/>
    </row>
    <row r="663" ht="15.75" customHeight="1">
      <c r="C663" s="28"/>
    </row>
    <row r="664" ht="15.75" customHeight="1">
      <c r="C664" s="28"/>
    </row>
    <row r="665" ht="15.75" customHeight="1">
      <c r="C665" s="28"/>
    </row>
    <row r="666" ht="15.75" customHeight="1">
      <c r="C666" s="28"/>
    </row>
    <row r="667" ht="15.75" customHeight="1">
      <c r="C667" s="28"/>
    </row>
    <row r="668" ht="15.75" customHeight="1">
      <c r="C668" s="28"/>
    </row>
    <row r="669" ht="15.75" customHeight="1">
      <c r="C669" s="28"/>
    </row>
    <row r="670" ht="15.75" customHeight="1">
      <c r="C670" s="28"/>
    </row>
    <row r="671" ht="15.75" customHeight="1">
      <c r="C671" s="28"/>
    </row>
    <row r="672" ht="15.75" customHeight="1">
      <c r="C672" s="28"/>
    </row>
    <row r="673" ht="15.75" customHeight="1">
      <c r="C673" s="28"/>
    </row>
    <row r="674" ht="15.75" customHeight="1">
      <c r="C674" s="28"/>
    </row>
    <row r="675" ht="15.75" customHeight="1">
      <c r="C675" s="28"/>
    </row>
    <row r="676" ht="15.75" customHeight="1">
      <c r="C676" s="28"/>
    </row>
    <row r="677" ht="15.75" customHeight="1">
      <c r="C677" s="28"/>
    </row>
    <row r="678" ht="15.75" customHeight="1">
      <c r="C678" s="28"/>
    </row>
    <row r="679" ht="15.75" customHeight="1">
      <c r="C679" s="28"/>
    </row>
    <row r="680" ht="15.75" customHeight="1">
      <c r="C680" s="28"/>
    </row>
    <row r="681" ht="15.75" customHeight="1">
      <c r="C681" s="28"/>
    </row>
    <row r="682" ht="15.75" customHeight="1">
      <c r="C682" s="28"/>
    </row>
    <row r="683" ht="15.75" customHeight="1">
      <c r="C683" s="28"/>
    </row>
    <row r="684" ht="15.75" customHeight="1">
      <c r="C684" s="28"/>
    </row>
    <row r="685" ht="15.75" customHeight="1">
      <c r="C685" s="28"/>
    </row>
    <row r="686" ht="15.75" customHeight="1">
      <c r="C686" s="28"/>
    </row>
    <row r="687" ht="15.75" customHeight="1">
      <c r="C687" s="28"/>
    </row>
    <row r="688" ht="15.75" customHeight="1">
      <c r="C688" s="28"/>
    </row>
    <row r="689" ht="15.75" customHeight="1">
      <c r="C689" s="28"/>
    </row>
    <row r="690" ht="15.75" customHeight="1">
      <c r="C690" s="28"/>
    </row>
    <row r="691" ht="15.75" customHeight="1">
      <c r="C691" s="28"/>
    </row>
    <row r="692" ht="15.75" customHeight="1">
      <c r="C692" s="28"/>
    </row>
    <row r="693" ht="15.75" customHeight="1">
      <c r="C693" s="28"/>
    </row>
    <row r="694" ht="15.75" customHeight="1">
      <c r="C694" s="28"/>
    </row>
    <row r="695" ht="15.75" customHeight="1">
      <c r="C695" s="28"/>
    </row>
    <row r="696" ht="15.75" customHeight="1">
      <c r="C696" s="28"/>
    </row>
    <row r="697" ht="15.75" customHeight="1">
      <c r="C697" s="28"/>
    </row>
    <row r="698" ht="15.75" customHeight="1">
      <c r="C698" s="28"/>
    </row>
    <row r="699" ht="15.75" customHeight="1">
      <c r="C699" s="28"/>
    </row>
    <row r="700" ht="15.75" customHeight="1">
      <c r="C700" s="28"/>
    </row>
    <row r="701" ht="15.75" customHeight="1">
      <c r="C701" s="28"/>
    </row>
    <row r="702" ht="15.75" customHeight="1">
      <c r="C702" s="28"/>
    </row>
    <row r="703" ht="15.75" customHeight="1">
      <c r="C703" s="28"/>
    </row>
    <row r="704" ht="15.75" customHeight="1">
      <c r="C704" s="28"/>
    </row>
    <row r="705" ht="15.75" customHeight="1">
      <c r="C705" s="28"/>
    </row>
    <row r="706" ht="15.75" customHeight="1">
      <c r="C706" s="28"/>
    </row>
    <row r="707" ht="15.75" customHeight="1">
      <c r="C707" s="28"/>
    </row>
    <row r="708" ht="15.75" customHeight="1">
      <c r="C708" s="28"/>
    </row>
    <row r="709" ht="15.75" customHeight="1">
      <c r="C709" s="28"/>
    </row>
    <row r="710" ht="15.75" customHeight="1">
      <c r="C710" s="28"/>
    </row>
    <row r="711" ht="15.75" customHeight="1">
      <c r="C711" s="28"/>
    </row>
    <row r="712" ht="15.75" customHeight="1">
      <c r="C712" s="28"/>
    </row>
    <row r="713" ht="15.75" customHeight="1">
      <c r="C713" s="28"/>
    </row>
    <row r="714" ht="15.75" customHeight="1">
      <c r="C714" s="28"/>
    </row>
    <row r="715" ht="15.75" customHeight="1">
      <c r="C715" s="28"/>
    </row>
    <row r="716" ht="15.75" customHeight="1">
      <c r="C716" s="28"/>
    </row>
    <row r="717" ht="15.75" customHeight="1">
      <c r="C717" s="28"/>
    </row>
    <row r="718" ht="15.75" customHeight="1">
      <c r="C718" s="28"/>
    </row>
    <row r="719" ht="15.75" customHeight="1">
      <c r="C719" s="28"/>
    </row>
    <row r="720" ht="15.75" customHeight="1">
      <c r="C720" s="28"/>
    </row>
    <row r="721" ht="15.75" customHeight="1">
      <c r="C721" s="28"/>
    </row>
    <row r="722" ht="15.75" customHeight="1">
      <c r="C722" s="28"/>
    </row>
    <row r="723" ht="15.75" customHeight="1">
      <c r="C723" s="28"/>
    </row>
    <row r="724" ht="15.75" customHeight="1">
      <c r="C724" s="28"/>
    </row>
    <row r="725" ht="15.75" customHeight="1">
      <c r="C725" s="28"/>
    </row>
    <row r="726" ht="15.75" customHeight="1">
      <c r="C726" s="28"/>
    </row>
    <row r="727" ht="15.75" customHeight="1">
      <c r="C727" s="28"/>
    </row>
    <row r="728" ht="15.75" customHeight="1">
      <c r="C728" s="28"/>
    </row>
    <row r="729" ht="15.75" customHeight="1">
      <c r="C729" s="28"/>
    </row>
    <row r="730" ht="15.75" customHeight="1">
      <c r="C730" s="28"/>
    </row>
    <row r="731" ht="15.75" customHeight="1">
      <c r="C731" s="28"/>
    </row>
    <row r="732" ht="15.75" customHeight="1">
      <c r="C732" s="28"/>
    </row>
    <row r="733" ht="15.75" customHeight="1">
      <c r="C733" s="28"/>
    </row>
    <row r="734" ht="15.75" customHeight="1">
      <c r="C734" s="28"/>
    </row>
    <row r="735" ht="15.75" customHeight="1">
      <c r="C735" s="28"/>
    </row>
    <row r="736" ht="15.75" customHeight="1">
      <c r="C736" s="28"/>
    </row>
    <row r="737" ht="15.75" customHeight="1">
      <c r="C737" s="28"/>
    </row>
    <row r="738" ht="15.75" customHeight="1">
      <c r="C738" s="28"/>
    </row>
    <row r="739" ht="15.75" customHeight="1">
      <c r="C739" s="28"/>
    </row>
    <row r="740" ht="15.75" customHeight="1">
      <c r="C740" s="28"/>
    </row>
    <row r="741" ht="15.75" customHeight="1">
      <c r="C741" s="28"/>
    </row>
    <row r="742" ht="15.75" customHeight="1">
      <c r="C742" s="28"/>
    </row>
    <row r="743" ht="15.75" customHeight="1">
      <c r="C743" s="28"/>
    </row>
    <row r="744" ht="15.75" customHeight="1">
      <c r="C744" s="28"/>
    </row>
    <row r="745" ht="15.75" customHeight="1">
      <c r="C745" s="28"/>
    </row>
    <row r="746" ht="15.75" customHeight="1">
      <c r="C746" s="28"/>
    </row>
    <row r="747" ht="15.75" customHeight="1">
      <c r="C747" s="28"/>
    </row>
    <row r="748" ht="15.75" customHeight="1">
      <c r="C748" s="28"/>
    </row>
    <row r="749" ht="15.75" customHeight="1">
      <c r="C749" s="28"/>
    </row>
    <row r="750" ht="15.75" customHeight="1">
      <c r="C750" s="28"/>
    </row>
    <row r="751" ht="15.75" customHeight="1">
      <c r="C751" s="28"/>
    </row>
    <row r="752" ht="15.75" customHeight="1">
      <c r="C752" s="28"/>
    </row>
    <row r="753" ht="15.75" customHeight="1">
      <c r="C753" s="28"/>
    </row>
    <row r="754" ht="15.75" customHeight="1">
      <c r="C754" s="28"/>
    </row>
    <row r="755" ht="15.75" customHeight="1">
      <c r="C755" s="28"/>
    </row>
    <row r="756" ht="15.75" customHeight="1">
      <c r="C756" s="28"/>
    </row>
    <row r="757" ht="15.75" customHeight="1">
      <c r="C757" s="28"/>
    </row>
    <row r="758" ht="15.75" customHeight="1">
      <c r="C758" s="28"/>
    </row>
    <row r="759" ht="15.75" customHeight="1">
      <c r="C759" s="28"/>
    </row>
    <row r="760" ht="15.75" customHeight="1">
      <c r="C760" s="28"/>
    </row>
    <row r="761" ht="15.75" customHeight="1">
      <c r="C761" s="28"/>
    </row>
    <row r="762" ht="15.75" customHeight="1">
      <c r="C762" s="28"/>
    </row>
    <row r="763" ht="15.75" customHeight="1">
      <c r="C763" s="28"/>
    </row>
    <row r="764" ht="15.75" customHeight="1">
      <c r="C764" s="28"/>
    </row>
    <row r="765" ht="15.75" customHeight="1">
      <c r="C765" s="28"/>
    </row>
    <row r="766" ht="15.75" customHeight="1">
      <c r="C766" s="28"/>
    </row>
    <row r="767" ht="15.75" customHeight="1">
      <c r="C767" s="28"/>
    </row>
    <row r="768" ht="15.75" customHeight="1">
      <c r="C768" s="28"/>
    </row>
    <row r="769" ht="15.75" customHeight="1">
      <c r="C769" s="28"/>
    </row>
    <row r="770" ht="15.75" customHeight="1">
      <c r="C770" s="28"/>
    </row>
    <row r="771" ht="15.75" customHeight="1">
      <c r="C771" s="28"/>
    </row>
    <row r="772" ht="15.75" customHeight="1">
      <c r="C772" s="28"/>
    </row>
    <row r="773" ht="15.75" customHeight="1">
      <c r="C773" s="28"/>
    </row>
    <row r="774" ht="15.75" customHeight="1">
      <c r="C774" s="28"/>
    </row>
    <row r="775" ht="15.75" customHeight="1">
      <c r="C775" s="28"/>
    </row>
    <row r="776" ht="15.75" customHeight="1">
      <c r="C776" s="28"/>
    </row>
    <row r="777" ht="15.75" customHeight="1">
      <c r="C777" s="28"/>
    </row>
    <row r="778" ht="15.75" customHeight="1">
      <c r="C778" s="28"/>
    </row>
    <row r="779" ht="15.75" customHeight="1">
      <c r="C779" s="28"/>
    </row>
    <row r="780" ht="15.75" customHeight="1">
      <c r="C780" s="28"/>
    </row>
    <row r="781" ht="15.75" customHeight="1">
      <c r="C781" s="28"/>
    </row>
    <row r="782" ht="15.75" customHeight="1">
      <c r="C782" s="28"/>
    </row>
    <row r="783" ht="15.75" customHeight="1">
      <c r="C783" s="28"/>
    </row>
    <row r="784" ht="15.75" customHeight="1">
      <c r="C784" s="28"/>
    </row>
    <row r="785" ht="15.75" customHeight="1">
      <c r="C785" s="28"/>
    </row>
    <row r="786" ht="15.75" customHeight="1">
      <c r="C786" s="28"/>
    </row>
    <row r="787" ht="15.75" customHeight="1">
      <c r="C787" s="28"/>
    </row>
    <row r="788" ht="15.75" customHeight="1">
      <c r="C788" s="28"/>
    </row>
    <row r="789" ht="15.75" customHeight="1">
      <c r="C789" s="28"/>
    </row>
    <row r="790" ht="15.75" customHeight="1">
      <c r="C790" s="28"/>
    </row>
    <row r="791" ht="15.75" customHeight="1">
      <c r="C791" s="28"/>
    </row>
    <row r="792" ht="15.75" customHeight="1">
      <c r="C792" s="28"/>
    </row>
    <row r="793" ht="15.75" customHeight="1">
      <c r="C793" s="28"/>
    </row>
    <row r="794" ht="15.75" customHeight="1">
      <c r="C794" s="28"/>
    </row>
    <row r="795" ht="15.75" customHeight="1">
      <c r="C795" s="28"/>
    </row>
    <row r="796" ht="15.75" customHeight="1">
      <c r="C796" s="28"/>
    </row>
    <row r="797" ht="15.75" customHeight="1">
      <c r="C797" s="28"/>
    </row>
    <row r="798" ht="15.75" customHeight="1">
      <c r="C798" s="28"/>
    </row>
    <row r="799" ht="15.75" customHeight="1">
      <c r="C799" s="28"/>
    </row>
    <row r="800" ht="15.75" customHeight="1">
      <c r="C800" s="28"/>
    </row>
    <row r="801" ht="15.75" customHeight="1">
      <c r="C801" s="28"/>
    </row>
    <row r="802" ht="15.75" customHeight="1">
      <c r="C802" s="28"/>
    </row>
    <row r="803" ht="15.75" customHeight="1">
      <c r="C803" s="28"/>
    </row>
    <row r="804" ht="15.75" customHeight="1">
      <c r="C804" s="28"/>
    </row>
    <row r="805" ht="15.75" customHeight="1">
      <c r="C805" s="28"/>
    </row>
    <row r="806" ht="15.75" customHeight="1">
      <c r="C806" s="28"/>
    </row>
    <row r="807" ht="15.75" customHeight="1">
      <c r="C807" s="28"/>
    </row>
    <row r="808" ht="15.75" customHeight="1">
      <c r="C808" s="28"/>
    </row>
    <row r="809" ht="15.75" customHeight="1">
      <c r="C809" s="28"/>
    </row>
    <row r="810" ht="15.75" customHeight="1">
      <c r="C810" s="28"/>
    </row>
    <row r="811" ht="15.75" customHeight="1">
      <c r="C811" s="28"/>
    </row>
    <row r="812" ht="15.75" customHeight="1">
      <c r="C812" s="28"/>
    </row>
    <row r="813" ht="15.75" customHeight="1">
      <c r="C813" s="28"/>
    </row>
    <row r="814" ht="15.75" customHeight="1">
      <c r="C814" s="28"/>
    </row>
    <row r="815" ht="15.75" customHeight="1">
      <c r="C815" s="28"/>
    </row>
    <row r="816" ht="15.75" customHeight="1">
      <c r="C816" s="28"/>
    </row>
    <row r="817" ht="15.75" customHeight="1">
      <c r="C817" s="28"/>
    </row>
    <row r="818" ht="15.75" customHeight="1">
      <c r="C818" s="28"/>
    </row>
    <row r="819" ht="15.75" customHeight="1">
      <c r="C819" s="28"/>
    </row>
    <row r="820" ht="15.75" customHeight="1">
      <c r="C820" s="28"/>
    </row>
    <row r="821" ht="15.75" customHeight="1">
      <c r="C821" s="28"/>
    </row>
    <row r="822" ht="15.75" customHeight="1">
      <c r="C822" s="28"/>
    </row>
    <row r="823" ht="15.75" customHeight="1">
      <c r="C823" s="28"/>
    </row>
    <row r="824" ht="15.75" customHeight="1">
      <c r="C824" s="28"/>
    </row>
    <row r="825" ht="15.75" customHeight="1">
      <c r="C825" s="28"/>
    </row>
    <row r="826" ht="15.75" customHeight="1">
      <c r="C826" s="28"/>
    </row>
    <row r="827" ht="15.75" customHeight="1">
      <c r="C827" s="28"/>
    </row>
    <row r="828" ht="15.75" customHeight="1">
      <c r="C828" s="28"/>
    </row>
    <row r="829" ht="15.75" customHeight="1">
      <c r="C829" s="28"/>
    </row>
    <row r="830" ht="15.75" customHeight="1">
      <c r="C830" s="28"/>
    </row>
    <row r="831" ht="15.75" customHeight="1">
      <c r="C831" s="28"/>
    </row>
    <row r="832" ht="15.75" customHeight="1">
      <c r="C832" s="28"/>
    </row>
    <row r="833" ht="15.75" customHeight="1">
      <c r="C833" s="28"/>
    </row>
    <row r="834" ht="15.75" customHeight="1">
      <c r="C834" s="28"/>
    </row>
    <row r="835" ht="15.75" customHeight="1">
      <c r="C835" s="28"/>
    </row>
    <row r="836" ht="15.75" customHeight="1">
      <c r="C836" s="28"/>
    </row>
    <row r="837" ht="15.75" customHeight="1">
      <c r="C837" s="28"/>
    </row>
    <row r="838" ht="15.75" customHeight="1">
      <c r="C838" s="28"/>
    </row>
    <row r="839" ht="15.75" customHeight="1">
      <c r="C839" s="28"/>
    </row>
    <row r="840" ht="15.75" customHeight="1">
      <c r="C840" s="28"/>
    </row>
    <row r="841" ht="15.75" customHeight="1">
      <c r="C841" s="28"/>
    </row>
    <row r="842" ht="15.75" customHeight="1">
      <c r="C842" s="28"/>
    </row>
    <row r="843" ht="15.75" customHeight="1">
      <c r="C843" s="28"/>
    </row>
    <row r="844" ht="15.75" customHeight="1">
      <c r="C844" s="28"/>
    </row>
    <row r="845" ht="15.75" customHeight="1">
      <c r="C845" s="28"/>
    </row>
    <row r="846" ht="15.75" customHeight="1">
      <c r="C846" s="28"/>
    </row>
    <row r="847" ht="15.75" customHeight="1">
      <c r="C847" s="28"/>
    </row>
    <row r="848" ht="15.75" customHeight="1">
      <c r="C848" s="28"/>
    </row>
    <row r="849" ht="15.75" customHeight="1">
      <c r="C849" s="28"/>
    </row>
    <row r="850" ht="15.75" customHeight="1">
      <c r="C850" s="28"/>
    </row>
    <row r="851" ht="15.75" customHeight="1">
      <c r="C851" s="28"/>
    </row>
    <row r="852" ht="15.75" customHeight="1">
      <c r="C852" s="28"/>
    </row>
    <row r="853" ht="15.75" customHeight="1">
      <c r="C853" s="28"/>
    </row>
    <row r="854" ht="15.75" customHeight="1">
      <c r="C854" s="28"/>
    </row>
    <row r="855" ht="15.75" customHeight="1">
      <c r="C855" s="28"/>
    </row>
    <row r="856" ht="15.75" customHeight="1">
      <c r="C856" s="28"/>
    </row>
    <row r="857" ht="15.75" customHeight="1">
      <c r="C857" s="28"/>
    </row>
    <row r="858" ht="15.75" customHeight="1">
      <c r="C858" s="28"/>
    </row>
    <row r="859" ht="15.75" customHeight="1">
      <c r="C859" s="28"/>
    </row>
    <row r="860" ht="15.75" customHeight="1">
      <c r="C860" s="28"/>
    </row>
    <row r="861" ht="15.75" customHeight="1">
      <c r="C861" s="28"/>
    </row>
    <row r="862" ht="15.75" customHeight="1">
      <c r="C862" s="28"/>
    </row>
    <row r="863" ht="15.75" customHeight="1">
      <c r="C863" s="28"/>
    </row>
    <row r="864" ht="15.75" customHeight="1">
      <c r="C864" s="28"/>
    </row>
    <row r="865" ht="15.75" customHeight="1">
      <c r="C865" s="28"/>
    </row>
    <row r="866" ht="15.75" customHeight="1">
      <c r="C866" s="28"/>
    </row>
    <row r="867" ht="15.75" customHeight="1">
      <c r="C867" s="28"/>
    </row>
    <row r="868" ht="15.75" customHeight="1">
      <c r="C868" s="28"/>
    </row>
    <row r="869" ht="15.75" customHeight="1">
      <c r="C869" s="28"/>
    </row>
    <row r="870" ht="15.75" customHeight="1">
      <c r="C870" s="28"/>
    </row>
    <row r="871" ht="15.75" customHeight="1">
      <c r="C871" s="28"/>
    </row>
    <row r="872" ht="15.75" customHeight="1">
      <c r="C872" s="28"/>
    </row>
    <row r="873" ht="15.75" customHeight="1">
      <c r="C873" s="28"/>
    </row>
    <row r="874" ht="15.75" customHeight="1">
      <c r="C874" s="28"/>
    </row>
    <row r="875" ht="15.75" customHeight="1">
      <c r="C875" s="28"/>
    </row>
    <row r="876" ht="15.75" customHeight="1">
      <c r="C876" s="28"/>
    </row>
    <row r="877" ht="15.75" customHeight="1">
      <c r="C877" s="28"/>
    </row>
    <row r="878" ht="15.75" customHeight="1">
      <c r="C878" s="28"/>
    </row>
    <row r="879" ht="15.75" customHeight="1">
      <c r="C879" s="28"/>
    </row>
    <row r="880" ht="15.75" customHeight="1">
      <c r="C880" s="28"/>
    </row>
    <row r="881" ht="15.75" customHeight="1">
      <c r="C881" s="28"/>
    </row>
    <row r="882" ht="15.75" customHeight="1">
      <c r="C882" s="28"/>
    </row>
    <row r="883" ht="15.75" customHeight="1">
      <c r="C883" s="28"/>
    </row>
    <row r="884" ht="15.75" customHeight="1">
      <c r="C884" s="28"/>
    </row>
    <row r="885" ht="15.75" customHeight="1">
      <c r="C885" s="28"/>
    </row>
    <row r="886" ht="15.75" customHeight="1">
      <c r="C886" s="28"/>
    </row>
    <row r="887" ht="15.75" customHeight="1">
      <c r="C887" s="28"/>
    </row>
    <row r="888" ht="15.75" customHeight="1">
      <c r="C888" s="28"/>
    </row>
    <row r="889" ht="15.75" customHeight="1">
      <c r="C889" s="28"/>
    </row>
    <row r="890" ht="15.75" customHeight="1">
      <c r="C890" s="28"/>
    </row>
    <row r="891" ht="15.75" customHeight="1">
      <c r="C891" s="28"/>
    </row>
    <row r="892" ht="15.75" customHeight="1">
      <c r="C892" s="28"/>
    </row>
    <row r="893" ht="15.75" customHeight="1">
      <c r="C893" s="28"/>
    </row>
    <row r="894" ht="15.75" customHeight="1">
      <c r="C894" s="28"/>
    </row>
    <row r="895" ht="15.75" customHeight="1">
      <c r="C895" s="28"/>
    </row>
    <row r="896" ht="15.75" customHeight="1">
      <c r="C896" s="28"/>
    </row>
    <row r="897" ht="15.75" customHeight="1">
      <c r="C897" s="28"/>
    </row>
    <row r="898" ht="15.75" customHeight="1">
      <c r="C898" s="28"/>
    </row>
    <row r="899" ht="15.75" customHeight="1">
      <c r="C899" s="28"/>
    </row>
    <row r="900" ht="15.75" customHeight="1">
      <c r="C900" s="28"/>
    </row>
    <row r="901" ht="15.75" customHeight="1">
      <c r="C901" s="28"/>
    </row>
    <row r="902" ht="15.75" customHeight="1">
      <c r="C902" s="28"/>
    </row>
    <row r="903" ht="15.75" customHeight="1">
      <c r="C903" s="28"/>
    </row>
    <row r="904" ht="15.75" customHeight="1">
      <c r="C904" s="28"/>
    </row>
    <row r="905" ht="15.75" customHeight="1">
      <c r="C905" s="28"/>
    </row>
    <row r="906" ht="15.75" customHeight="1">
      <c r="C906" s="28"/>
    </row>
    <row r="907" ht="15.75" customHeight="1">
      <c r="C907" s="28"/>
    </row>
    <row r="908" ht="15.75" customHeight="1">
      <c r="C908" s="28"/>
    </row>
    <row r="909" ht="15.75" customHeight="1">
      <c r="C909" s="28"/>
    </row>
    <row r="910" ht="15.75" customHeight="1">
      <c r="C910" s="28"/>
    </row>
    <row r="911" ht="15.75" customHeight="1">
      <c r="C911" s="28"/>
    </row>
    <row r="912" ht="15.75" customHeight="1">
      <c r="C912" s="28"/>
    </row>
    <row r="913" ht="15.75" customHeight="1">
      <c r="C913" s="28"/>
    </row>
    <row r="914" ht="15.75" customHeight="1">
      <c r="C914" s="28"/>
    </row>
    <row r="915" ht="15.75" customHeight="1">
      <c r="C915" s="28"/>
    </row>
    <row r="916" ht="15.75" customHeight="1">
      <c r="C916" s="28"/>
    </row>
    <row r="917" ht="15.75" customHeight="1">
      <c r="C917" s="28"/>
    </row>
    <row r="918" ht="15.75" customHeight="1">
      <c r="C918" s="28"/>
    </row>
    <row r="919" ht="15.75" customHeight="1">
      <c r="C919" s="28"/>
    </row>
    <row r="920" ht="15.75" customHeight="1">
      <c r="C920" s="28"/>
    </row>
    <row r="921" ht="15.75" customHeight="1">
      <c r="C921" s="28"/>
    </row>
    <row r="922" ht="15.75" customHeight="1">
      <c r="C922" s="28"/>
    </row>
    <row r="923" ht="15.75" customHeight="1">
      <c r="C923" s="28"/>
    </row>
    <row r="924" ht="15.75" customHeight="1">
      <c r="C924" s="28"/>
    </row>
    <row r="925" ht="15.75" customHeight="1">
      <c r="C925" s="28"/>
    </row>
    <row r="926" ht="15.75" customHeight="1">
      <c r="C926" s="28"/>
    </row>
    <row r="927" ht="15.75" customHeight="1">
      <c r="C927" s="28"/>
    </row>
    <row r="928" ht="15.75" customHeight="1">
      <c r="C928" s="28"/>
    </row>
    <row r="929" ht="15.75" customHeight="1">
      <c r="C929" s="28"/>
    </row>
    <row r="930" ht="15.75" customHeight="1">
      <c r="C930" s="28"/>
    </row>
    <row r="931" ht="15.75" customHeight="1">
      <c r="C931" s="28"/>
    </row>
    <row r="932" ht="15.75" customHeight="1">
      <c r="C932" s="28"/>
    </row>
    <row r="933" ht="15.75" customHeight="1">
      <c r="C933" s="28"/>
    </row>
    <row r="934" ht="15.75" customHeight="1">
      <c r="C934" s="28"/>
    </row>
    <row r="935" ht="15.75" customHeight="1">
      <c r="C935" s="28"/>
    </row>
    <row r="936" ht="15.75" customHeight="1">
      <c r="C936" s="28"/>
    </row>
    <row r="937" ht="15.75" customHeight="1">
      <c r="C937" s="28"/>
    </row>
    <row r="938" ht="15.75" customHeight="1">
      <c r="C938" s="28"/>
    </row>
    <row r="939" ht="15.75" customHeight="1">
      <c r="C939" s="28"/>
    </row>
    <row r="940" ht="15.75" customHeight="1">
      <c r="C940" s="28"/>
    </row>
    <row r="941" ht="15.75" customHeight="1">
      <c r="C941" s="28"/>
    </row>
    <row r="942" ht="15.75" customHeight="1">
      <c r="C942" s="28"/>
    </row>
    <row r="943" ht="15.75" customHeight="1">
      <c r="C943" s="28"/>
    </row>
    <row r="944" ht="15.75" customHeight="1">
      <c r="C944" s="28"/>
    </row>
    <row r="945" ht="15.75" customHeight="1">
      <c r="C945" s="28"/>
    </row>
    <row r="946" ht="15.75" customHeight="1">
      <c r="C946" s="28"/>
    </row>
    <row r="947" ht="15.75" customHeight="1">
      <c r="C947" s="28"/>
    </row>
    <row r="948" ht="15.75" customHeight="1">
      <c r="C948" s="28"/>
    </row>
    <row r="949" ht="15.75" customHeight="1">
      <c r="C949" s="28"/>
    </row>
    <row r="950" ht="15.75" customHeight="1">
      <c r="C950" s="28"/>
    </row>
    <row r="951" ht="15.75" customHeight="1">
      <c r="C951" s="28"/>
    </row>
    <row r="952" ht="15.75" customHeight="1">
      <c r="C952" s="28"/>
    </row>
    <row r="953" ht="15.75" customHeight="1">
      <c r="C953" s="28"/>
    </row>
    <row r="954" ht="15.75" customHeight="1">
      <c r="C954" s="28"/>
    </row>
    <row r="955" ht="15.75" customHeight="1">
      <c r="C955" s="28"/>
    </row>
    <row r="956" ht="15.75" customHeight="1">
      <c r="C956" s="28"/>
    </row>
    <row r="957" ht="15.75" customHeight="1">
      <c r="C957" s="28"/>
    </row>
    <row r="958" ht="15.75" customHeight="1">
      <c r="C958" s="28"/>
    </row>
    <row r="959" ht="15.75" customHeight="1">
      <c r="C959" s="28"/>
    </row>
    <row r="960" ht="15.75" customHeight="1">
      <c r="C960" s="28"/>
    </row>
    <row r="961" ht="15.75" customHeight="1">
      <c r="C961" s="28"/>
    </row>
    <row r="962" ht="15.75" customHeight="1">
      <c r="C962" s="28"/>
    </row>
    <row r="963" ht="15.75" customHeight="1">
      <c r="C963" s="28"/>
    </row>
    <row r="964" ht="15.75" customHeight="1">
      <c r="C964" s="28"/>
    </row>
    <row r="965" ht="15.75" customHeight="1">
      <c r="C965" s="28"/>
    </row>
    <row r="966" ht="15.75" customHeight="1">
      <c r="C966" s="28"/>
    </row>
    <row r="967" ht="15.75" customHeight="1">
      <c r="C967" s="28"/>
    </row>
    <row r="968" ht="15.75" customHeight="1">
      <c r="C968" s="28"/>
    </row>
    <row r="969" ht="15.75" customHeight="1">
      <c r="C969" s="28"/>
    </row>
    <row r="970" ht="15.75" customHeight="1">
      <c r="C970" s="28"/>
    </row>
    <row r="971" ht="15.75" customHeight="1">
      <c r="C971" s="28"/>
    </row>
    <row r="972" ht="15.75" customHeight="1">
      <c r="C972" s="28"/>
    </row>
    <row r="973" ht="15.75" customHeight="1">
      <c r="C973" s="28"/>
    </row>
    <row r="974" ht="15.75" customHeight="1">
      <c r="C974" s="28"/>
    </row>
    <row r="975" ht="15.75" customHeight="1">
      <c r="C975" s="28"/>
    </row>
    <row r="976" ht="15.75" customHeight="1">
      <c r="C976" s="28"/>
    </row>
    <row r="977" ht="15.75" customHeight="1">
      <c r="C977" s="28"/>
    </row>
    <row r="978" ht="15.75" customHeight="1">
      <c r="C978" s="28"/>
    </row>
    <row r="979" ht="15.75" customHeight="1">
      <c r="C979" s="28"/>
    </row>
    <row r="980" ht="15.75" customHeight="1">
      <c r="C980" s="28"/>
    </row>
    <row r="981" ht="15.75" customHeight="1">
      <c r="C981" s="28"/>
    </row>
    <row r="982" ht="15.75" customHeight="1">
      <c r="C982" s="28"/>
    </row>
    <row r="983" ht="15.75" customHeight="1">
      <c r="C983" s="28"/>
    </row>
    <row r="984" ht="15.75" customHeight="1">
      <c r="C984" s="28"/>
    </row>
    <row r="985" ht="15.75" customHeight="1">
      <c r="C985" s="28"/>
    </row>
    <row r="986" ht="15.75" customHeight="1">
      <c r="C986" s="28"/>
    </row>
    <row r="987" ht="15.75" customHeight="1">
      <c r="C987" s="28"/>
    </row>
    <row r="988" ht="15.75" customHeight="1">
      <c r="C988" s="28"/>
    </row>
    <row r="989" ht="15.75" customHeight="1">
      <c r="C989" s="28"/>
    </row>
    <row r="990" ht="15.75" customHeight="1">
      <c r="C990" s="28"/>
    </row>
    <row r="991" ht="15.75" customHeight="1">
      <c r="C991" s="28"/>
    </row>
    <row r="992" ht="15.75" customHeight="1">
      <c r="C992" s="28"/>
    </row>
    <row r="993" ht="15.75" customHeight="1">
      <c r="C993" s="28"/>
    </row>
    <row r="994" ht="15.75" customHeight="1">
      <c r="C994" s="28"/>
    </row>
    <row r="995" ht="15.75" customHeight="1">
      <c r="C995" s="28"/>
    </row>
    <row r="996" ht="15.75" customHeight="1">
      <c r="C996" s="28"/>
    </row>
    <row r="997" ht="15.75" customHeight="1">
      <c r="C997" s="28"/>
    </row>
    <row r="998" ht="15.75" customHeight="1">
      <c r="C998" s="28"/>
    </row>
    <row r="999" ht="15.75" customHeight="1">
      <c r="C999" s="28"/>
    </row>
    <row r="1000" ht="15.75" customHeight="1">
      <c r="C1000" s="28"/>
    </row>
  </sheetData>
  <customSheetViews>
    <customSheetView guid="{C4B2F14F-D5F4-4BCA-BE73-998B05C55FD6}" filter="1" showAutoFilter="1">
      <autoFilter ref="$A$4:$T$5"/>
      <extLst>
        <ext uri="GoogleSheetsCustomDataVersion1">
          <go:sheetsCustomData xmlns:go="http://customooxmlschemas.google.com/" filterViewId="712304627"/>
        </ext>
      </extLst>
    </customSheetView>
  </customSheetViews>
  <mergeCells count="2">
    <mergeCell ref="A1:H1"/>
    <mergeCell ref="A2:L2"/>
  </mergeCells>
  <dataValidations>
    <dataValidation type="list" allowBlank="1" sqref="C5:C1000">
      <formula1>"Incoming Inspection,In-Process Inspection,Final Inspection,Dispatch Inspection"</formula1>
    </dataValidation>
  </dataValidations>
  <printOptions/>
  <pageMargins bottom="1.0" footer="0.0" header="0.0" left="0.75" right="0.75" top="1.0"/>
  <pageSetup fitToHeight="0" orientation="landscape"/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14.0"/>
    <col customWidth="1" min="3" max="4" width="18.0"/>
    <col customWidth="1" min="5" max="6" width="20.0"/>
    <col customWidth="1" min="7" max="7" width="14.0"/>
    <col customWidth="1" min="8" max="8" width="10.0"/>
    <col customWidth="1" min="9" max="9" width="20.0"/>
    <col customWidth="1" min="10" max="10" width="25.0"/>
    <col customWidth="1" min="11" max="11" width="30.0"/>
    <col customWidth="1" min="12" max="13" width="18.0"/>
    <col customWidth="1" min="14" max="14" width="20.0"/>
    <col customWidth="1" min="15" max="15" width="18.0"/>
    <col customWidth="1" min="16" max="16" width="35.0"/>
    <col customWidth="1" min="17" max="26" width="8.71"/>
  </cols>
  <sheetData>
    <row r="1">
      <c r="A1" s="1" t="s">
        <v>385</v>
      </c>
    </row>
    <row r="2">
      <c r="A2" s="2" t="s">
        <v>386</v>
      </c>
    </row>
    <row r="4">
      <c r="A4" s="7" t="s">
        <v>387</v>
      </c>
      <c r="B4" s="7" t="s">
        <v>388</v>
      </c>
      <c r="C4" s="7" t="s">
        <v>334</v>
      </c>
      <c r="D4" s="7" t="s">
        <v>309</v>
      </c>
      <c r="E4" s="7" t="s">
        <v>389</v>
      </c>
      <c r="F4" s="7" t="s">
        <v>251</v>
      </c>
      <c r="G4" s="7" t="s">
        <v>390</v>
      </c>
      <c r="H4" s="7" t="s">
        <v>12</v>
      </c>
      <c r="I4" s="7" t="s">
        <v>391</v>
      </c>
      <c r="J4" s="7" t="s">
        <v>392</v>
      </c>
      <c r="K4" s="7" t="s">
        <v>382</v>
      </c>
      <c r="L4" s="7" t="s">
        <v>384</v>
      </c>
      <c r="M4" s="7" t="s">
        <v>393</v>
      </c>
      <c r="N4" s="7" t="s">
        <v>394</v>
      </c>
      <c r="O4" s="7" t="s">
        <v>319</v>
      </c>
      <c r="P4" s="7" t="s">
        <v>359</v>
      </c>
    </row>
    <row r="5">
      <c r="B5" s="25"/>
    </row>
    <row r="6">
      <c r="B6" s="26"/>
    </row>
    <row r="7">
      <c r="B7" s="26"/>
    </row>
    <row r="8">
      <c r="B8" s="26"/>
    </row>
    <row r="9">
      <c r="B9" s="26"/>
    </row>
    <row r="10">
      <c r="B10" s="26"/>
    </row>
    <row r="11">
      <c r="B11" s="26"/>
    </row>
    <row r="12">
      <c r="B12" s="26"/>
    </row>
    <row r="13">
      <c r="B13" s="26"/>
    </row>
    <row r="14">
      <c r="B14" s="26"/>
    </row>
    <row r="15">
      <c r="B15" s="26"/>
    </row>
    <row r="16">
      <c r="B16" s="26"/>
    </row>
    <row r="17">
      <c r="B17" s="26"/>
    </row>
    <row r="18">
      <c r="B18" s="26"/>
    </row>
    <row r="19">
      <c r="B19" s="26"/>
    </row>
    <row r="20">
      <c r="B20" s="26"/>
    </row>
    <row r="21" ht="15.75" customHeight="1">
      <c r="B21" s="26"/>
    </row>
    <row r="22" ht="15.75" customHeight="1">
      <c r="B22" s="26"/>
    </row>
    <row r="23" ht="15.75" customHeight="1">
      <c r="B23" s="26"/>
    </row>
    <row r="24" ht="15.75" customHeight="1">
      <c r="B24" s="26"/>
    </row>
    <row r="25" ht="15.75" customHeight="1">
      <c r="B25" s="26"/>
    </row>
    <row r="26" ht="15.75" customHeight="1">
      <c r="B26" s="26"/>
    </row>
    <row r="27" ht="15.75" customHeight="1">
      <c r="B27" s="26"/>
    </row>
    <row r="28" ht="15.75" customHeight="1">
      <c r="B28" s="26"/>
    </row>
    <row r="29" ht="15.75" customHeight="1">
      <c r="B29" s="26"/>
    </row>
    <row r="30" ht="15.75" customHeight="1">
      <c r="B30" s="26"/>
    </row>
    <row r="31" ht="15.75" customHeight="1">
      <c r="B31" s="26"/>
    </row>
    <row r="32" ht="15.75" customHeight="1">
      <c r="B32" s="26"/>
    </row>
    <row r="33" ht="15.75" customHeight="1">
      <c r="B33" s="26"/>
    </row>
    <row r="34" ht="15.75" customHeight="1">
      <c r="B34" s="26"/>
    </row>
    <row r="35" ht="15.75" customHeight="1">
      <c r="B35" s="26"/>
    </row>
    <row r="36" ht="15.75" customHeight="1">
      <c r="B36" s="26"/>
    </row>
    <row r="37" ht="15.75" customHeight="1">
      <c r="B37" s="26"/>
    </row>
    <row r="38" ht="15.75" customHeight="1">
      <c r="B38" s="26"/>
    </row>
    <row r="39" ht="15.75" customHeight="1">
      <c r="B39" s="26"/>
    </row>
    <row r="40" ht="15.75" customHeight="1">
      <c r="B40" s="26"/>
    </row>
    <row r="41" ht="15.75" customHeight="1">
      <c r="B41" s="26"/>
    </row>
    <row r="42" ht="15.75" customHeight="1">
      <c r="B42" s="26"/>
    </row>
    <row r="43" ht="15.75" customHeight="1">
      <c r="B43" s="26"/>
    </row>
    <row r="44" ht="15.75" customHeight="1">
      <c r="B44" s="26"/>
    </row>
    <row r="45" ht="15.75" customHeight="1">
      <c r="B45" s="26"/>
    </row>
    <row r="46" ht="15.75" customHeight="1">
      <c r="B46" s="26"/>
    </row>
    <row r="47" ht="15.75" customHeight="1">
      <c r="B47" s="26"/>
    </row>
    <row r="48" ht="15.75" customHeight="1">
      <c r="B48" s="26"/>
    </row>
    <row r="49" ht="15.75" customHeight="1">
      <c r="B49" s="26"/>
    </row>
    <row r="50" ht="15.75" customHeight="1">
      <c r="B50" s="26"/>
    </row>
    <row r="51" ht="15.75" customHeight="1">
      <c r="B51" s="26"/>
    </row>
    <row r="52" ht="15.75" customHeight="1">
      <c r="B52" s="26"/>
    </row>
    <row r="53" ht="15.75" customHeight="1">
      <c r="B53" s="26"/>
    </row>
    <row r="54" ht="15.75" customHeight="1">
      <c r="B54" s="26"/>
    </row>
    <row r="55" ht="15.75" customHeight="1">
      <c r="B55" s="26"/>
    </row>
    <row r="56" ht="15.75" customHeight="1">
      <c r="B56" s="26"/>
    </row>
    <row r="57" ht="15.75" customHeight="1">
      <c r="B57" s="26"/>
    </row>
    <row r="58" ht="15.75" customHeight="1">
      <c r="B58" s="26"/>
    </row>
    <row r="59" ht="15.75" customHeight="1">
      <c r="B59" s="26"/>
    </row>
    <row r="60" ht="15.75" customHeight="1">
      <c r="B60" s="26"/>
    </row>
    <row r="61" ht="15.75" customHeight="1">
      <c r="B61" s="26"/>
    </row>
    <row r="62" ht="15.75" customHeight="1">
      <c r="B62" s="26"/>
    </row>
    <row r="63" ht="15.75" customHeight="1">
      <c r="B63" s="26"/>
    </row>
    <row r="64" ht="15.75" customHeight="1">
      <c r="B64" s="26"/>
    </row>
    <row r="65" ht="15.75" customHeight="1">
      <c r="B65" s="26"/>
    </row>
    <row r="66" ht="15.75" customHeight="1">
      <c r="B66" s="26"/>
    </row>
    <row r="67" ht="15.75" customHeight="1">
      <c r="B67" s="26"/>
    </row>
    <row r="68" ht="15.75" customHeight="1">
      <c r="B68" s="26"/>
    </row>
    <row r="69" ht="15.75" customHeight="1">
      <c r="B69" s="26"/>
    </row>
    <row r="70" ht="15.75" customHeight="1">
      <c r="B70" s="26"/>
    </row>
    <row r="71" ht="15.75" customHeight="1">
      <c r="B71" s="26"/>
    </row>
    <row r="72" ht="15.75" customHeight="1">
      <c r="B72" s="26"/>
    </row>
    <row r="73" ht="15.75" customHeight="1">
      <c r="B73" s="26"/>
    </row>
    <row r="74" ht="15.75" customHeight="1">
      <c r="B74" s="26"/>
    </row>
    <row r="75" ht="15.75" customHeight="1">
      <c r="B75" s="26"/>
    </row>
    <row r="76" ht="15.75" customHeight="1">
      <c r="B76" s="26"/>
    </row>
    <row r="77" ht="15.75" customHeight="1">
      <c r="B77" s="26"/>
    </row>
    <row r="78" ht="15.75" customHeight="1">
      <c r="B78" s="26"/>
    </row>
    <row r="79" ht="15.75" customHeight="1">
      <c r="B79" s="26"/>
    </row>
    <row r="80" ht="15.75" customHeight="1">
      <c r="B80" s="26"/>
    </row>
    <row r="81" ht="15.75" customHeight="1">
      <c r="B81" s="26"/>
    </row>
    <row r="82" ht="15.75" customHeight="1">
      <c r="B82" s="26"/>
    </row>
    <row r="83" ht="15.75" customHeight="1">
      <c r="B83" s="26"/>
    </row>
    <row r="84" ht="15.75" customHeight="1">
      <c r="B84" s="26"/>
    </row>
    <row r="85" ht="15.75" customHeight="1">
      <c r="B85" s="26"/>
    </row>
    <row r="86" ht="15.75" customHeight="1">
      <c r="B86" s="26"/>
    </row>
    <row r="87" ht="15.75" customHeight="1">
      <c r="B87" s="26"/>
    </row>
    <row r="88" ht="15.75" customHeight="1">
      <c r="B88" s="26"/>
    </row>
    <row r="89" ht="15.75" customHeight="1">
      <c r="B89" s="26"/>
    </row>
    <row r="90" ht="15.75" customHeight="1">
      <c r="B90" s="26"/>
    </row>
    <row r="91" ht="15.75" customHeight="1">
      <c r="B91" s="26"/>
    </row>
    <row r="92" ht="15.75" customHeight="1">
      <c r="B92" s="26"/>
    </row>
    <row r="93" ht="15.75" customHeight="1">
      <c r="B93" s="26"/>
    </row>
    <row r="94" ht="15.75" customHeight="1">
      <c r="B94" s="26"/>
    </row>
    <row r="95" ht="15.75" customHeight="1">
      <c r="B95" s="26"/>
    </row>
    <row r="96" ht="15.75" customHeight="1">
      <c r="B96" s="26"/>
    </row>
    <row r="97" ht="15.75" customHeight="1">
      <c r="B97" s="26"/>
    </row>
    <row r="98" ht="15.75" customHeight="1">
      <c r="B98" s="26"/>
    </row>
    <row r="99" ht="15.75" customHeight="1">
      <c r="B99" s="26"/>
    </row>
    <row r="100" ht="15.75" customHeight="1">
      <c r="B100" s="26"/>
    </row>
    <row r="101" ht="15.75" customHeight="1">
      <c r="B101" s="26"/>
    </row>
    <row r="102" ht="15.75" customHeight="1">
      <c r="B102" s="26"/>
    </row>
    <row r="103" ht="15.75" customHeight="1">
      <c r="B103" s="26"/>
    </row>
    <row r="104" ht="15.75" customHeight="1">
      <c r="B104" s="26"/>
    </row>
    <row r="105" ht="15.75" customHeight="1">
      <c r="B105" s="26"/>
    </row>
    <row r="106" ht="15.75" customHeight="1">
      <c r="B106" s="26"/>
    </row>
    <row r="107" ht="15.75" customHeight="1">
      <c r="B107" s="26"/>
    </row>
    <row r="108" ht="15.75" customHeight="1">
      <c r="B108" s="26"/>
    </row>
    <row r="109" ht="15.75" customHeight="1">
      <c r="B109" s="26"/>
    </row>
    <row r="110" ht="15.75" customHeight="1">
      <c r="B110" s="26"/>
    </row>
    <row r="111" ht="15.75" customHeight="1">
      <c r="B111" s="26"/>
    </row>
    <row r="112" ht="15.75" customHeight="1">
      <c r="B112" s="26"/>
    </row>
    <row r="113" ht="15.75" customHeight="1">
      <c r="B113" s="26"/>
    </row>
    <row r="114" ht="15.75" customHeight="1">
      <c r="B114" s="26"/>
    </row>
    <row r="115" ht="15.75" customHeight="1">
      <c r="B115" s="26"/>
    </row>
    <row r="116" ht="15.75" customHeight="1">
      <c r="B116" s="26"/>
    </row>
    <row r="117" ht="15.75" customHeight="1">
      <c r="B117" s="26"/>
    </row>
    <row r="118" ht="15.75" customHeight="1">
      <c r="B118" s="26"/>
    </row>
    <row r="119" ht="15.75" customHeight="1">
      <c r="B119" s="26"/>
    </row>
    <row r="120" ht="15.75" customHeight="1">
      <c r="B120" s="26"/>
    </row>
    <row r="121" ht="15.75" customHeight="1">
      <c r="B121" s="26"/>
    </row>
    <row r="122" ht="15.75" customHeight="1">
      <c r="B122" s="26"/>
    </row>
    <row r="123" ht="15.75" customHeight="1">
      <c r="B123" s="26"/>
    </row>
    <row r="124" ht="15.75" customHeight="1">
      <c r="B124" s="26"/>
    </row>
    <row r="125" ht="15.75" customHeight="1">
      <c r="B125" s="26"/>
    </row>
    <row r="126" ht="15.75" customHeight="1">
      <c r="B126" s="26"/>
    </row>
    <row r="127" ht="15.75" customHeight="1">
      <c r="B127" s="26"/>
    </row>
    <row r="128" ht="15.75" customHeight="1">
      <c r="B128" s="26"/>
    </row>
    <row r="129" ht="15.75" customHeight="1">
      <c r="B129" s="26"/>
    </row>
    <row r="130" ht="15.75" customHeight="1">
      <c r="B130" s="26"/>
    </row>
    <row r="131" ht="15.75" customHeight="1">
      <c r="B131" s="26"/>
    </row>
    <row r="132" ht="15.75" customHeight="1">
      <c r="B132" s="26"/>
    </row>
    <row r="133" ht="15.75" customHeight="1">
      <c r="B133" s="26"/>
    </row>
    <row r="134" ht="15.75" customHeight="1">
      <c r="B134" s="26"/>
    </row>
    <row r="135" ht="15.75" customHeight="1">
      <c r="B135" s="26"/>
    </row>
    <row r="136" ht="15.75" customHeight="1">
      <c r="B136" s="26"/>
    </row>
    <row r="137" ht="15.75" customHeight="1">
      <c r="B137" s="26"/>
    </row>
    <row r="138" ht="15.75" customHeight="1">
      <c r="B138" s="26"/>
    </row>
    <row r="139" ht="15.75" customHeight="1">
      <c r="B139" s="26"/>
    </row>
    <row r="140" ht="15.75" customHeight="1">
      <c r="B140" s="26"/>
    </row>
    <row r="141" ht="15.75" customHeight="1">
      <c r="B141" s="26"/>
    </row>
    <row r="142" ht="15.75" customHeight="1">
      <c r="B142" s="26"/>
    </row>
    <row r="143" ht="15.75" customHeight="1">
      <c r="B143" s="26"/>
    </row>
    <row r="144" ht="15.75" customHeight="1">
      <c r="B144" s="26"/>
    </row>
    <row r="145" ht="15.75" customHeight="1">
      <c r="B145" s="26"/>
    </row>
    <row r="146" ht="15.75" customHeight="1">
      <c r="B146" s="26"/>
    </row>
    <row r="147" ht="15.75" customHeight="1">
      <c r="B147" s="26"/>
    </row>
    <row r="148" ht="15.75" customHeight="1">
      <c r="B148" s="26"/>
    </row>
    <row r="149" ht="15.75" customHeight="1">
      <c r="B149" s="26"/>
    </row>
    <row r="150" ht="15.75" customHeight="1">
      <c r="B150" s="26"/>
    </row>
    <row r="151" ht="15.75" customHeight="1">
      <c r="B151" s="26"/>
    </row>
    <row r="152" ht="15.75" customHeight="1">
      <c r="B152" s="26"/>
    </row>
    <row r="153" ht="15.75" customHeight="1">
      <c r="B153" s="26"/>
    </row>
    <row r="154" ht="15.75" customHeight="1">
      <c r="B154" s="26"/>
    </row>
    <row r="155" ht="15.75" customHeight="1">
      <c r="B155" s="26"/>
    </row>
    <row r="156" ht="15.75" customHeight="1">
      <c r="B156" s="26"/>
    </row>
    <row r="157" ht="15.75" customHeight="1">
      <c r="B157" s="26"/>
    </row>
    <row r="158" ht="15.75" customHeight="1">
      <c r="B158" s="26"/>
    </row>
    <row r="159" ht="15.75" customHeight="1">
      <c r="B159" s="26"/>
    </row>
    <row r="160" ht="15.75" customHeight="1">
      <c r="B160" s="26"/>
    </row>
    <row r="161" ht="15.75" customHeight="1">
      <c r="B161" s="26"/>
    </row>
    <row r="162" ht="15.75" customHeight="1">
      <c r="B162" s="26"/>
    </row>
    <row r="163" ht="15.75" customHeight="1">
      <c r="B163" s="26"/>
    </row>
    <row r="164" ht="15.75" customHeight="1">
      <c r="B164" s="26"/>
    </row>
    <row r="165" ht="15.75" customHeight="1">
      <c r="B165" s="26"/>
    </row>
    <row r="166" ht="15.75" customHeight="1">
      <c r="B166" s="26"/>
    </row>
    <row r="167" ht="15.75" customHeight="1">
      <c r="B167" s="26"/>
    </row>
    <row r="168" ht="15.75" customHeight="1">
      <c r="B168" s="26"/>
    </row>
    <row r="169" ht="15.75" customHeight="1">
      <c r="B169" s="26"/>
    </row>
    <row r="170" ht="15.75" customHeight="1">
      <c r="B170" s="26"/>
    </row>
    <row r="171" ht="15.75" customHeight="1">
      <c r="B171" s="26"/>
    </row>
    <row r="172" ht="15.75" customHeight="1">
      <c r="B172" s="26"/>
    </row>
    <row r="173" ht="15.75" customHeight="1">
      <c r="B173" s="26"/>
    </row>
    <row r="174" ht="15.75" customHeight="1">
      <c r="B174" s="26"/>
    </row>
    <row r="175" ht="15.75" customHeight="1">
      <c r="B175" s="26"/>
    </row>
    <row r="176" ht="15.75" customHeight="1">
      <c r="B176" s="26"/>
    </row>
    <row r="177" ht="15.75" customHeight="1">
      <c r="B177" s="26"/>
    </row>
    <row r="178" ht="15.75" customHeight="1">
      <c r="B178" s="26"/>
    </row>
    <row r="179" ht="15.75" customHeight="1">
      <c r="B179" s="26"/>
    </row>
    <row r="180" ht="15.75" customHeight="1">
      <c r="B180" s="26"/>
    </row>
    <row r="181" ht="15.75" customHeight="1">
      <c r="B181" s="26"/>
    </row>
    <row r="182" ht="15.75" customHeight="1">
      <c r="B182" s="26"/>
    </row>
    <row r="183" ht="15.75" customHeight="1">
      <c r="B183" s="26"/>
    </row>
    <row r="184" ht="15.75" customHeight="1">
      <c r="B184" s="26"/>
    </row>
    <row r="185" ht="15.75" customHeight="1">
      <c r="B185" s="26"/>
    </row>
    <row r="186" ht="15.75" customHeight="1">
      <c r="B186" s="26"/>
    </row>
    <row r="187" ht="15.75" customHeight="1">
      <c r="B187" s="26"/>
    </row>
    <row r="188" ht="15.75" customHeight="1">
      <c r="B188" s="26"/>
    </row>
    <row r="189" ht="15.75" customHeight="1">
      <c r="B189" s="26"/>
    </row>
    <row r="190" ht="15.75" customHeight="1">
      <c r="B190" s="26"/>
    </row>
    <row r="191" ht="15.75" customHeight="1">
      <c r="B191" s="26"/>
    </row>
    <row r="192" ht="15.75" customHeight="1">
      <c r="B192" s="26"/>
    </row>
    <row r="193" ht="15.75" customHeight="1">
      <c r="B193" s="26"/>
    </row>
    <row r="194" ht="15.75" customHeight="1">
      <c r="B194" s="26"/>
    </row>
    <row r="195" ht="15.75" customHeight="1">
      <c r="B195" s="26"/>
    </row>
    <row r="196" ht="15.75" customHeight="1">
      <c r="B196" s="26"/>
    </row>
    <row r="197" ht="15.75" customHeight="1">
      <c r="B197" s="26"/>
    </row>
    <row r="198" ht="15.75" customHeight="1">
      <c r="B198" s="26"/>
    </row>
    <row r="199" ht="15.75" customHeight="1">
      <c r="B199" s="26"/>
    </row>
    <row r="200" ht="15.75" customHeight="1">
      <c r="B200" s="26"/>
    </row>
    <row r="201" ht="15.75" customHeight="1">
      <c r="B201" s="26"/>
    </row>
    <row r="202" ht="15.75" customHeight="1">
      <c r="B202" s="26"/>
    </row>
    <row r="203" ht="15.75" customHeight="1">
      <c r="B203" s="26"/>
    </row>
    <row r="204" ht="15.75" customHeight="1">
      <c r="B204" s="26"/>
    </row>
    <row r="205" ht="15.75" customHeight="1">
      <c r="B205" s="26"/>
    </row>
    <row r="206" ht="15.75" customHeight="1">
      <c r="B206" s="26"/>
    </row>
    <row r="207" ht="15.75" customHeight="1">
      <c r="B207" s="26"/>
    </row>
    <row r="208" ht="15.75" customHeight="1">
      <c r="B208" s="26"/>
    </row>
    <row r="209" ht="15.75" customHeight="1">
      <c r="B209" s="26"/>
    </row>
    <row r="210" ht="15.75" customHeight="1">
      <c r="B210" s="26"/>
    </row>
    <row r="211" ht="15.75" customHeight="1">
      <c r="B211" s="26"/>
    </row>
    <row r="212" ht="15.75" customHeight="1">
      <c r="B212" s="26"/>
    </row>
    <row r="213" ht="15.75" customHeight="1">
      <c r="B213" s="26"/>
    </row>
    <row r="214" ht="15.75" customHeight="1">
      <c r="B214" s="26"/>
    </row>
    <row r="215" ht="15.75" customHeight="1">
      <c r="B215" s="26"/>
    </row>
    <row r="216" ht="15.75" customHeight="1">
      <c r="B216" s="26"/>
    </row>
    <row r="217" ht="15.75" customHeight="1">
      <c r="B217" s="26"/>
    </row>
    <row r="218" ht="15.75" customHeight="1">
      <c r="B218" s="26"/>
    </row>
    <row r="219" ht="15.75" customHeight="1">
      <c r="B219" s="26"/>
    </row>
    <row r="220" ht="15.75" customHeight="1">
      <c r="B220" s="2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76194241-4DAA-4014-8158-7EA40F791FB7}" filter="1" showAutoFilter="1">
      <autoFilter ref="$A$4:$P$5"/>
      <extLst>
        <ext uri="GoogleSheetsCustomDataVersion1">
          <go:sheetsCustomData xmlns:go="http://customooxmlschemas.google.com/" filterViewId="332715556"/>
        </ext>
      </extLst>
    </customSheetView>
  </customSheetViews>
  <mergeCells count="2">
    <mergeCell ref="A1:H1"/>
    <mergeCell ref="A2:L2"/>
  </mergeCells>
  <printOptions/>
  <pageMargins bottom="1.0" footer="0.0" header="0.0" left="0.75" right="0.75" top="1.0"/>
  <pageSetup fitToHeight="0" orientation="landscape"/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14.0"/>
    <col customWidth="1" min="3" max="4" width="18.0"/>
    <col customWidth="1" min="5" max="5" width="14.0"/>
    <col customWidth="1" min="6" max="6" width="10.0"/>
    <col customWidth="1" min="7" max="7" width="14.0"/>
    <col customWidth="1" min="8" max="8" width="16.0"/>
    <col customWidth="1" min="9" max="10" width="14.0"/>
    <col customWidth="1" min="11" max="11" width="16.0"/>
    <col customWidth="1" min="12" max="14" width="18.0"/>
    <col customWidth="1" min="15" max="15" width="35.0"/>
    <col customWidth="1" min="16" max="26" width="8.71"/>
  </cols>
  <sheetData>
    <row r="1">
      <c r="A1" s="1" t="s">
        <v>395</v>
      </c>
    </row>
    <row r="2">
      <c r="A2" s="2" t="s">
        <v>396</v>
      </c>
    </row>
    <row r="4">
      <c r="A4" s="7" t="s">
        <v>397</v>
      </c>
      <c r="B4" s="7" t="s">
        <v>314</v>
      </c>
      <c r="C4" s="7" t="s">
        <v>186</v>
      </c>
      <c r="D4" s="7" t="s">
        <v>222</v>
      </c>
      <c r="E4" s="7" t="s">
        <v>315</v>
      </c>
      <c r="F4" s="7" t="s">
        <v>12</v>
      </c>
      <c r="G4" s="7" t="s">
        <v>398</v>
      </c>
      <c r="H4" s="7" t="s">
        <v>399</v>
      </c>
      <c r="I4" s="7" t="s">
        <v>400</v>
      </c>
      <c r="J4" s="7" t="s">
        <v>401</v>
      </c>
      <c r="K4" s="7" t="s">
        <v>356</v>
      </c>
      <c r="L4" s="7" t="s">
        <v>402</v>
      </c>
      <c r="M4" s="7" t="s">
        <v>20</v>
      </c>
      <c r="N4" s="7" t="s">
        <v>319</v>
      </c>
      <c r="O4" s="7" t="s">
        <v>196</v>
      </c>
    </row>
    <row r="5">
      <c r="B5" s="25"/>
      <c r="H5" s="25"/>
      <c r="J5" s="29" t="str">
        <f t="shared" ref="J5:J1004" si="1">IF(OR(E5="",I5=""),"",E5-I5)</f>
        <v/>
      </c>
    </row>
    <row r="6">
      <c r="B6" s="26"/>
      <c r="H6" s="26"/>
      <c r="J6" s="5" t="str">
        <f t="shared" si="1"/>
        <v/>
      </c>
    </row>
    <row r="7">
      <c r="B7" s="26"/>
      <c r="H7" s="26"/>
      <c r="J7" s="5" t="str">
        <f t="shared" si="1"/>
        <v/>
      </c>
    </row>
    <row r="8">
      <c r="B8" s="26"/>
      <c r="H8" s="26"/>
      <c r="J8" s="5" t="str">
        <f t="shared" si="1"/>
        <v/>
      </c>
    </row>
    <row r="9">
      <c r="B9" s="26"/>
      <c r="H9" s="26"/>
      <c r="J9" s="5" t="str">
        <f t="shared" si="1"/>
        <v/>
      </c>
    </row>
    <row r="10">
      <c r="B10" s="26"/>
      <c r="H10" s="26"/>
      <c r="J10" s="5" t="str">
        <f t="shared" si="1"/>
        <v/>
      </c>
    </row>
    <row r="11">
      <c r="B11" s="26"/>
      <c r="H11" s="26"/>
      <c r="J11" s="5" t="str">
        <f t="shared" si="1"/>
        <v/>
      </c>
    </row>
    <row r="12">
      <c r="B12" s="26"/>
      <c r="H12" s="26"/>
      <c r="J12" s="5" t="str">
        <f t="shared" si="1"/>
        <v/>
      </c>
    </row>
    <row r="13">
      <c r="B13" s="26"/>
      <c r="H13" s="26"/>
      <c r="J13" s="5" t="str">
        <f t="shared" si="1"/>
        <v/>
      </c>
    </row>
    <row r="14">
      <c r="B14" s="26"/>
      <c r="H14" s="26"/>
      <c r="J14" s="5" t="str">
        <f t="shared" si="1"/>
        <v/>
      </c>
    </row>
    <row r="15">
      <c r="B15" s="26"/>
      <c r="H15" s="26"/>
      <c r="J15" s="5" t="str">
        <f t="shared" si="1"/>
        <v/>
      </c>
    </row>
    <row r="16">
      <c r="B16" s="26"/>
      <c r="H16" s="26"/>
      <c r="J16" s="5" t="str">
        <f t="shared" si="1"/>
        <v/>
      </c>
    </row>
    <row r="17">
      <c r="B17" s="26"/>
      <c r="H17" s="26"/>
      <c r="J17" s="5" t="str">
        <f t="shared" si="1"/>
        <v/>
      </c>
    </row>
    <row r="18">
      <c r="B18" s="26"/>
      <c r="H18" s="26"/>
      <c r="J18" s="5" t="str">
        <f t="shared" si="1"/>
        <v/>
      </c>
    </row>
    <row r="19">
      <c r="B19" s="26"/>
      <c r="H19" s="26"/>
      <c r="J19" s="5" t="str">
        <f t="shared" si="1"/>
        <v/>
      </c>
    </row>
    <row r="20">
      <c r="B20" s="26"/>
      <c r="H20" s="26"/>
      <c r="J20" s="5" t="str">
        <f t="shared" si="1"/>
        <v/>
      </c>
    </row>
    <row r="21" ht="15.75" customHeight="1">
      <c r="B21" s="26"/>
      <c r="H21" s="26"/>
      <c r="J21" s="5" t="str">
        <f t="shared" si="1"/>
        <v/>
      </c>
    </row>
    <row r="22" ht="15.75" customHeight="1">
      <c r="B22" s="26"/>
      <c r="H22" s="26"/>
      <c r="J22" s="5" t="str">
        <f t="shared" si="1"/>
        <v/>
      </c>
    </row>
    <row r="23" ht="15.75" customHeight="1">
      <c r="B23" s="26"/>
      <c r="H23" s="26"/>
      <c r="J23" s="5" t="str">
        <f t="shared" si="1"/>
        <v/>
      </c>
    </row>
    <row r="24" ht="15.75" customHeight="1">
      <c r="B24" s="26"/>
      <c r="H24" s="26"/>
      <c r="J24" s="5" t="str">
        <f t="shared" si="1"/>
        <v/>
      </c>
    </row>
    <row r="25" ht="15.75" customHeight="1">
      <c r="B25" s="26"/>
      <c r="H25" s="26"/>
      <c r="J25" s="5" t="str">
        <f t="shared" si="1"/>
        <v/>
      </c>
    </row>
    <row r="26" ht="15.75" customHeight="1">
      <c r="B26" s="26"/>
      <c r="H26" s="26"/>
      <c r="J26" s="5" t="str">
        <f t="shared" si="1"/>
        <v/>
      </c>
    </row>
    <row r="27" ht="15.75" customHeight="1">
      <c r="B27" s="26"/>
      <c r="H27" s="26"/>
      <c r="J27" s="5" t="str">
        <f t="shared" si="1"/>
        <v/>
      </c>
    </row>
    <row r="28" ht="15.75" customHeight="1">
      <c r="B28" s="26"/>
      <c r="H28" s="26"/>
      <c r="J28" s="5" t="str">
        <f t="shared" si="1"/>
        <v/>
      </c>
    </row>
    <row r="29" ht="15.75" customHeight="1">
      <c r="B29" s="26"/>
      <c r="H29" s="26"/>
      <c r="J29" s="5" t="str">
        <f t="shared" si="1"/>
        <v/>
      </c>
    </row>
    <row r="30" ht="15.75" customHeight="1">
      <c r="B30" s="26"/>
      <c r="H30" s="26"/>
      <c r="J30" s="5" t="str">
        <f t="shared" si="1"/>
        <v/>
      </c>
    </row>
    <row r="31" ht="15.75" customHeight="1">
      <c r="B31" s="26"/>
      <c r="H31" s="26"/>
      <c r="J31" s="5" t="str">
        <f t="shared" si="1"/>
        <v/>
      </c>
    </row>
    <row r="32" ht="15.75" customHeight="1">
      <c r="B32" s="26"/>
      <c r="H32" s="26"/>
      <c r="J32" s="5" t="str">
        <f t="shared" si="1"/>
        <v/>
      </c>
    </row>
    <row r="33" ht="15.75" customHeight="1">
      <c r="B33" s="26"/>
      <c r="H33" s="26"/>
      <c r="J33" s="5" t="str">
        <f t="shared" si="1"/>
        <v/>
      </c>
    </row>
    <row r="34" ht="15.75" customHeight="1">
      <c r="B34" s="26"/>
      <c r="H34" s="26"/>
      <c r="J34" s="5" t="str">
        <f t="shared" si="1"/>
        <v/>
      </c>
    </row>
    <row r="35" ht="15.75" customHeight="1">
      <c r="B35" s="26"/>
      <c r="H35" s="26"/>
      <c r="J35" s="5" t="str">
        <f t="shared" si="1"/>
        <v/>
      </c>
    </row>
    <row r="36" ht="15.75" customHeight="1">
      <c r="B36" s="26"/>
      <c r="H36" s="26"/>
      <c r="J36" s="5" t="str">
        <f t="shared" si="1"/>
        <v/>
      </c>
    </row>
    <row r="37" ht="15.75" customHeight="1">
      <c r="B37" s="26"/>
      <c r="H37" s="26"/>
      <c r="J37" s="5" t="str">
        <f t="shared" si="1"/>
        <v/>
      </c>
    </row>
    <row r="38" ht="15.75" customHeight="1">
      <c r="B38" s="26"/>
      <c r="H38" s="26"/>
      <c r="J38" s="5" t="str">
        <f t="shared" si="1"/>
        <v/>
      </c>
    </row>
    <row r="39" ht="15.75" customHeight="1">
      <c r="B39" s="26"/>
      <c r="H39" s="26"/>
      <c r="J39" s="5" t="str">
        <f t="shared" si="1"/>
        <v/>
      </c>
    </row>
    <row r="40" ht="15.75" customHeight="1">
      <c r="B40" s="26"/>
      <c r="H40" s="26"/>
      <c r="J40" s="5" t="str">
        <f t="shared" si="1"/>
        <v/>
      </c>
    </row>
    <row r="41" ht="15.75" customHeight="1">
      <c r="B41" s="26"/>
      <c r="H41" s="26"/>
      <c r="J41" s="5" t="str">
        <f t="shared" si="1"/>
        <v/>
      </c>
    </row>
    <row r="42" ht="15.75" customHeight="1">
      <c r="B42" s="26"/>
      <c r="H42" s="26"/>
      <c r="J42" s="5" t="str">
        <f t="shared" si="1"/>
        <v/>
      </c>
    </row>
    <row r="43" ht="15.75" customHeight="1">
      <c r="B43" s="26"/>
      <c r="H43" s="26"/>
      <c r="J43" s="5" t="str">
        <f t="shared" si="1"/>
        <v/>
      </c>
    </row>
    <row r="44" ht="15.75" customHeight="1">
      <c r="B44" s="26"/>
      <c r="H44" s="26"/>
      <c r="J44" s="5" t="str">
        <f t="shared" si="1"/>
        <v/>
      </c>
    </row>
    <row r="45" ht="15.75" customHeight="1">
      <c r="B45" s="26"/>
      <c r="H45" s="26"/>
      <c r="J45" s="5" t="str">
        <f t="shared" si="1"/>
        <v/>
      </c>
    </row>
    <row r="46" ht="15.75" customHeight="1">
      <c r="B46" s="26"/>
      <c r="H46" s="26"/>
      <c r="J46" s="5" t="str">
        <f t="shared" si="1"/>
        <v/>
      </c>
    </row>
    <row r="47" ht="15.75" customHeight="1">
      <c r="B47" s="26"/>
      <c r="H47" s="26"/>
      <c r="J47" s="5" t="str">
        <f t="shared" si="1"/>
        <v/>
      </c>
    </row>
    <row r="48" ht="15.75" customHeight="1">
      <c r="B48" s="26"/>
      <c r="H48" s="26"/>
      <c r="J48" s="5" t="str">
        <f t="shared" si="1"/>
        <v/>
      </c>
    </row>
    <row r="49" ht="15.75" customHeight="1">
      <c r="B49" s="26"/>
      <c r="H49" s="26"/>
      <c r="J49" s="5" t="str">
        <f t="shared" si="1"/>
        <v/>
      </c>
    </row>
    <row r="50" ht="15.75" customHeight="1">
      <c r="B50" s="26"/>
      <c r="H50" s="26"/>
      <c r="J50" s="5" t="str">
        <f t="shared" si="1"/>
        <v/>
      </c>
    </row>
    <row r="51" ht="15.75" customHeight="1">
      <c r="B51" s="26"/>
      <c r="H51" s="26"/>
      <c r="J51" s="5" t="str">
        <f t="shared" si="1"/>
        <v/>
      </c>
    </row>
    <row r="52" ht="15.75" customHeight="1">
      <c r="B52" s="26"/>
      <c r="H52" s="26"/>
      <c r="J52" s="5" t="str">
        <f t="shared" si="1"/>
        <v/>
      </c>
    </row>
    <row r="53" ht="15.75" customHeight="1">
      <c r="B53" s="26"/>
      <c r="H53" s="26"/>
      <c r="J53" s="5" t="str">
        <f t="shared" si="1"/>
        <v/>
      </c>
    </row>
    <row r="54" ht="15.75" customHeight="1">
      <c r="B54" s="26"/>
      <c r="H54" s="26"/>
      <c r="J54" s="5" t="str">
        <f t="shared" si="1"/>
        <v/>
      </c>
    </row>
    <row r="55" ht="15.75" customHeight="1">
      <c r="B55" s="26"/>
      <c r="H55" s="26"/>
      <c r="J55" s="5" t="str">
        <f t="shared" si="1"/>
        <v/>
      </c>
    </row>
    <row r="56" ht="15.75" customHeight="1">
      <c r="B56" s="26"/>
      <c r="H56" s="26"/>
      <c r="J56" s="5" t="str">
        <f t="shared" si="1"/>
        <v/>
      </c>
    </row>
    <row r="57" ht="15.75" customHeight="1">
      <c r="B57" s="26"/>
      <c r="H57" s="26"/>
      <c r="J57" s="5" t="str">
        <f t="shared" si="1"/>
        <v/>
      </c>
    </row>
    <row r="58" ht="15.75" customHeight="1">
      <c r="B58" s="26"/>
      <c r="H58" s="26"/>
      <c r="J58" s="5" t="str">
        <f t="shared" si="1"/>
        <v/>
      </c>
    </row>
    <row r="59" ht="15.75" customHeight="1">
      <c r="B59" s="26"/>
      <c r="H59" s="26"/>
      <c r="J59" s="5" t="str">
        <f t="shared" si="1"/>
        <v/>
      </c>
    </row>
    <row r="60" ht="15.75" customHeight="1">
      <c r="B60" s="26"/>
      <c r="H60" s="26"/>
      <c r="J60" s="5" t="str">
        <f t="shared" si="1"/>
        <v/>
      </c>
    </row>
    <row r="61" ht="15.75" customHeight="1">
      <c r="B61" s="26"/>
      <c r="H61" s="26"/>
      <c r="J61" s="5" t="str">
        <f t="shared" si="1"/>
        <v/>
      </c>
    </row>
    <row r="62" ht="15.75" customHeight="1">
      <c r="B62" s="26"/>
      <c r="H62" s="26"/>
      <c r="J62" s="5" t="str">
        <f t="shared" si="1"/>
        <v/>
      </c>
    </row>
    <row r="63" ht="15.75" customHeight="1">
      <c r="B63" s="26"/>
      <c r="H63" s="26"/>
      <c r="J63" s="5" t="str">
        <f t="shared" si="1"/>
        <v/>
      </c>
    </row>
    <row r="64" ht="15.75" customHeight="1">
      <c r="B64" s="26"/>
      <c r="H64" s="26"/>
      <c r="J64" s="5" t="str">
        <f t="shared" si="1"/>
        <v/>
      </c>
    </row>
    <row r="65" ht="15.75" customHeight="1">
      <c r="B65" s="26"/>
      <c r="H65" s="26"/>
      <c r="J65" s="5" t="str">
        <f t="shared" si="1"/>
        <v/>
      </c>
    </row>
    <row r="66" ht="15.75" customHeight="1">
      <c r="B66" s="26"/>
      <c r="H66" s="26"/>
      <c r="J66" s="5" t="str">
        <f t="shared" si="1"/>
        <v/>
      </c>
    </row>
    <row r="67" ht="15.75" customHeight="1">
      <c r="B67" s="26"/>
      <c r="H67" s="26"/>
      <c r="J67" s="5" t="str">
        <f t="shared" si="1"/>
        <v/>
      </c>
    </row>
    <row r="68" ht="15.75" customHeight="1">
      <c r="B68" s="26"/>
      <c r="H68" s="26"/>
      <c r="J68" s="5" t="str">
        <f t="shared" si="1"/>
        <v/>
      </c>
    </row>
    <row r="69" ht="15.75" customHeight="1">
      <c r="B69" s="26"/>
      <c r="H69" s="26"/>
      <c r="J69" s="5" t="str">
        <f t="shared" si="1"/>
        <v/>
      </c>
    </row>
    <row r="70" ht="15.75" customHeight="1">
      <c r="B70" s="26"/>
      <c r="H70" s="26"/>
      <c r="J70" s="5" t="str">
        <f t="shared" si="1"/>
        <v/>
      </c>
    </row>
    <row r="71" ht="15.75" customHeight="1">
      <c r="B71" s="26"/>
      <c r="H71" s="26"/>
      <c r="J71" s="5" t="str">
        <f t="shared" si="1"/>
        <v/>
      </c>
    </row>
    <row r="72" ht="15.75" customHeight="1">
      <c r="B72" s="26"/>
      <c r="H72" s="26"/>
      <c r="J72" s="5" t="str">
        <f t="shared" si="1"/>
        <v/>
      </c>
    </row>
    <row r="73" ht="15.75" customHeight="1">
      <c r="B73" s="26"/>
      <c r="H73" s="26"/>
      <c r="J73" s="5" t="str">
        <f t="shared" si="1"/>
        <v/>
      </c>
    </row>
    <row r="74" ht="15.75" customHeight="1">
      <c r="B74" s="26"/>
      <c r="H74" s="26"/>
      <c r="J74" s="5" t="str">
        <f t="shared" si="1"/>
        <v/>
      </c>
    </row>
    <row r="75" ht="15.75" customHeight="1">
      <c r="B75" s="26"/>
      <c r="H75" s="26"/>
      <c r="J75" s="5" t="str">
        <f t="shared" si="1"/>
        <v/>
      </c>
    </row>
    <row r="76" ht="15.75" customHeight="1">
      <c r="B76" s="26"/>
      <c r="H76" s="26"/>
      <c r="J76" s="5" t="str">
        <f t="shared" si="1"/>
        <v/>
      </c>
    </row>
    <row r="77" ht="15.75" customHeight="1">
      <c r="B77" s="26"/>
      <c r="H77" s="26"/>
      <c r="J77" s="5" t="str">
        <f t="shared" si="1"/>
        <v/>
      </c>
    </row>
    <row r="78" ht="15.75" customHeight="1">
      <c r="B78" s="26"/>
      <c r="H78" s="26"/>
      <c r="J78" s="5" t="str">
        <f t="shared" si="1"/>
        <v/>
      </c>
    </row>
    <row r="79" ht="15.75" customHeight="1">
      <c r="B79" s="26"/>
      <c r="H79" s="26"/>
      <c r="J79" s="5" t="str">
        <f t="shared" si="1"/>
        <v/>
      </c>
    </row>
    <row r="80" ht="15.75" customHeight="1">
      <c r="B80" s="26"/>
      <c r="H80" s="26"/>
      <c r="J80" s="5" t="str">
        <f t="shared" si="1"/>
        <v/>
      </c>
    </row>
    <row r="81" ht="15.75" customHeight="1">
      <c r="B81" s="26"/>
      <c r="H81" s="26"/>
      <c r="J81" s="5" t="str">
        <f t="shared" si="1"/>
        <v/>
      </c>
    </row>
    <row r="82" ht="15.75" customHeight="1">
      <c r="B82" s="26"/>
      <c r="H82" s="26"/>
      <c r="J82" s="5" t="str">
        <f t="shared" si="1"/>
        <v/>
      </c>
    </row>
    <row r="83" ht="15.75" customHeight="1">
      <c r="B83" s="26"/>
      <c r="H83" s="26"/>
      <c r="J83" s="5" t="str">
        <f t="shared" si="1"/>
        <v/>
      </c>
    </row>
    <row r="84" ht="15.75" customHeight="1">
      <c r="B84" s="26"/>
      <c r="H84" s="26"/>
      <c r="J84" s="5" t="str">
        <f t="shared" si="1"/>
        <v/>
      </c>
    </row>
    <row r="85" ht="15.75" customHeight="1">
      <c r="B85" s="26"/>
      <c r="H85" s="26"/>
      <c r="J85" s="5" t="str">
        <f t="shared" si="1"/>
        <v/>
      </c>
    </row>
    <row r="86" ht="15.75" customHeight="1">
      <c r="B86" s="26"/>
      <c r="H86" s="26"/>
      <c r="J86" s="5" t="str">
        <f t="shared" si="1"/>
        <v/>
      </c>
    </row>
    <row r="87" ht="15.75" customHeight="1">
      <c r="B87" s="26"/>
      <c r="H87" s="26"/>
      <c r="J87" s="5" t="str">
        <f t="shared" si="1"/>
        <v/>
      </c>
    </row>
    <row r="88" ht="15.75" customHeight="1">
      <c r="B88" s="26"/>
      <c r="H88" s="26"/>
      <c r="J88" s="5" t="str">
        <f t="shared" si="1"/>
        <v/>
      </c>
    </row>
    <row r="89" ht="15.75" customHeight="1">
      <c r="B89" s="26"/>
      <c r="H89" s="26"/>
      <c r="J89" s="5" t="str">
        <f t="shared" si="1"/>
        <v/>
      </c>
    </row>
    <row r="90" ht="15.75" customHeight="1">
      <c r="B90" s="26"/>
      <c r="H90" s="26"/>
      <c r="J90" s="5" t="str">
        <f t="shared" si="1"/>
        <v/>
      </c>
    </row>
    <row r="91" ht="15.75" customHeight="1">
      <c r="B91" s="26"/>
      <c r="H91" s="26"/>
      <c r="J91" s="5" t="str">
        <f t="shared" si="1"/>
        <v/>
      </c>
    </row>
    <row r="92" ht="15.75" customHeight="1">
      <c r="B92" s="26"/>
      <c r="H92" s="26"/>
      <c r="J92" s="5" t="str">
        <f t="shared" si="1"/>
        <v/>
      </c>
    </row>
    <row r="93" ht="15.75" customHeight="1">
      <c r="B93" s="26"/>
      <c r="H93" s="26"/>
      <c r="J93" s="5" t="str">
        <f t="shared" si="1"/>
        <v/>
      </c>
    </row>
    <row r="94" ht="15.75" customHeight="1">
      <c r="B94" s="26"/>
      <c r="H94" s="26"/>
      <c r="J94" s="5" t="str">
        <f t="shared" si="1"/>
        <v/>
      </c>
    </row>
    <row r="95" ht="15.75" customHeight="1">
      <c r="B95" s="26"/>
      <c r="H95" s="26"/>
      <c r="J95" s="5" t="str">
        <f t="shared" si="1"/>
        <v/>
      </c>
    </row>
    <row r="96" ht="15.75" customHeight="1">
      <c r="B96" s="26"/>
      <c r="H96" s="26"/>
      <c r="J96" s="5" t="str">
        <f t="shared" si="1"/>
        <v/>
      </c>
    </row>
    <row r="97" ht="15.75" customHeight="1">
      <c r="B97" s="26"/>
      <c r="H97" s="26"/>
      <c r="J97" s="5" t="str">
        <f t="shared" si="1"/>
        <v/>
      </c>
    </row>
    <row r="98" ht="15.75" customHeight="1">
      <c r="B98" s="26"/>
      <c r="H98" s="26"/>
      <c r="J98" s="5" t="str">
        <f t="shared" si="1"/>
        <v/>
      </c>
    </row>
    <row r="99" ht="15.75" customHeight="1">
      <c r="B99" s="26"/>
      <c r="H99" s="26"/>
      <c r="J99" s="5" t="str">
        <f t="shared" si="1"/>
        <v/>
      </c>
    </row>
    <row r="100" ht="15.75" customHeight="1">
      <c r="B100" s="26"/>
      <c r="H100" s="26"/>
      <c r="J100" s="5" t="str">
        <f t="shared" si="1"/>
        <v/>
      </c>
    </row>
    <row r="101" ht="15.75" customHeight="1">
      <c r="B101" s="26"/>
      <c r="H101" s="26"/>
      <c r="J101" s="5" t="str">
        <f t="shared" si="1"/>
        <v/>
      </c>
    </row>
    <row r="102" ht="15.75" customHeight="1">
      <c r="B102" s="26"/>
      <c r="H102" s="26"/>
      <c r="J102" s="5" t="str">
        <f t="shared" si="1"/>
        <v/>
      </c>
    </row>
    <row r="103" ht="15.75" customHeight="1">
      <c r="B103" s="26"/>
      <c r="H103" s="26"/>
      <c r="J103" s="5" t="str">
        <f t="shared" si="1"/>
        <v/>
      </c>
    </row>
    <row r="104" ht="15.75" customHeight="1">
      <c r="B104" s="26"/>
      <c r="H104" s="26"/>
      <c r="J104" s="5" t="str">
        <f t="shared" si="1"/>
        <v/>
      </c>
    </row>
    <row r="105" ht="15.75" customHeight="1">
      <c r="B105" s="26"/>
      <c r="H105" s="26"/>
      <c r="J105" s="5" t="str">
        <f t="shared" si="1"/>
        <v/>
      </c>
    </row>
    <row r="106" ht="15.75" customHeight="1">
      <c r="B106" s="26"/>
      <c r="H106" s="26"/>
      <c r="J106" s="5" t="str">
        <f t="shared" si="1"/>
        <v/>
      </c>
    </row>
    <row r="107" ht="15.75" customHeight="1">
      <c r="B107" s="26"/>
      <c r="H107" s="26"/>
      <c r="J107" s="5" t="str">
        <f t="shared" si="1"/>
        <v/>
      </c>
    </row>
    <row r="108" ht="15.75" customHeight="1">
      <c r="B108" s="26"/>
      <c r="H108" s="26"/>
      <c r="J108" s="5" t="str">
        <f t="shared" si="1"/>
        <v/>
      </c>
    </row>
    <row r="109" ht="15.75" customHeight="1">
      <c r="B109" s="26"/>
      <c r="H109" s="26"/>
      <c r="J109" s="5" t="str">
        <f t="shared" si="1"/>
        <v/>
      </c>
    </row>
    <row r="110" ht="15.75" customHeight="1">
      <c r="B110" s="26"/>
      <c r="H110" s="26"/>
      <c r="J110" s="5" t="str">
        <f t="shared" si="1"/>
        <v/>
      </c>
    </row>
    <row r="111" ht="15.75" customHeight="1">
      <c r="B111" s="26"/>
      <c r="H111" s="26"/>
      <c r="J111" s="5" t="str">
        <f t="shared" si="1"/>
        <v/>
      </c>
    </row>
    <row r="112" ht="15.75" customHeight="1">
      <c r="B112" s="26"/>
      <c r="H112" s="26"/>
      <c r="J112" s="5" t="str">
        <f t="shared" si="1"/>
        <v/>
      </c>
    </row>
    <row r="113" ht="15.75" customHeight="1">
      <c r="B113" s="26"/>
      <c r="H113" s="26"/>
      <c r="J113" s="5" t="str">
        <f t="shared" si="1"/>
        <v/>
      </c>
    </row>
    <row r="114" ht="15.75" customHeight="1">
      <c r="B114" s="26"/>
      <c r="H114" s="26"/>
      <c r="J114" s="5" t="str">
        <f t="shared" si="1"/>
        <v/>
      </c>
    </row>
    <row r="115" ht="15.75" customHeight="1">
      <c r="B115" s="26"/>
      <c r="H115" s="26"/>
      <c r="J115" s="5" t="str">
        <f t="shared" si="1"/>
        <v/>
      </c>
    </row>
    <row r="116" ht="15.75" customHeight="1">
      <c r="B116" s="26"/>
      <c r="H116" s="26"/>
      <c r="J116" s="5" t="str">
        <f t="shared" si="1"/>
        <v/>
      </c>
    </row>
    <row r="117" ht="15.75" customHeight="1">
      <c r="B117" s="26"/>
      <c r="H117" s="26"/>
      <c r="J117" s="5" t="str">
        <f t="shared" si="1"/>
        <v/>
      </c>
    </row>
    <row r="118" ht="15.75" customHeight="1">
      <c r="B118" s="26"/>
      <c r="H118" s="26"/>
      <c r="J118" s="5" t="str">
        <f t="shared" si="1"/>
        <v/>
      </c>
    </row>
    <row r="119" ht="15.75" customHeight="1">
      <c r="B119" s="26"/>
      <c r="H119" s="26"/>
      <c r="J119" s="5" t="str">
        <f t="shared" si="1"/>
        <v/>
      </c>
    </row>
    <row r="120" ht="15.75" customHeight="1">
      <c r="B120" s="26"/>
      <c r="H120" s="26"/>
      <c r="J120" s="5" t="str">
        <f t="shared" si="1"/>
        <v/>
      </c>
    </row>
    <row r="121" ht="15.75" customHeight="1">
      <c r="B121" s="26"/>
      <c r="H121" s="26"/>
      <c r="J121" s="5" t="str">
        <f t="shared" si="1"/>
        <v/>
      </c>
    </row>
    <row r="122" ht="15.75" customHeight="1">
      <c r="B122" s="26"/>
      <c r="H122" s="26"/>
      <c r="J122" s="5" t="str">
        <f t="shared" si="1"/>
        <v/>
      </c>
    </row>
    <row r="123" ht="15.75" customHeight="1">
      <c r="B123" s="26"/>
      <c r="H123" s="26"/>
      <c r="J123" s="5" t="str">
        <f t="shared" si="1"/>
        <v/>
      </c>
    </row>
    <row r="124" ht="15.75" customHeight="1">
      <c r="B124" s="26"/>
      <c r="H124" s="26"/>
      <c r="J124" s="5" t="str">
        <f t="shared" si="1"/>
        <v/>
      </c>
    </row>
    <row r="125" ht="15.75" customHeight="1">
      <c r="B125" s="26"/>
      <c r="H125" s="26"/>
      <c r="J125" s="5" t="str">
        <f t="shared" si="1"/>
        <v/>
      </c>
    </row>
    <row r="126" ht="15.75" customHeight="1">
      <c r="B126" s="26"/>
      <c r="H126" s="26"/>
      <c r="J126" s="5" t="str">
        <f t="shared" si="1"/>
        <v/>
      </c>
    </row>
    <row r="127" ht="15.75" customHeight="1">
      <c r="B127" s="26"/>
      <c r="H127" s="26"/>
      <c r="J127" s="5" t="str">
        <f t="shared" si="1"/>
        <v/>
      </c>
    </row>
    <row r="128" ht="15.75" customHeight="1">
      <c r="B128" s="26"/>
      <c r="H128" s="26"/>
      <c r="J128" s="5" t="str">
        <f t="shared" si="1"/>
        <v/>
      </c>
    </row>
    <row r="129" ht="15.75" customHeight="1">
      <c r="B129" s="26"/>
      <c r="H129" s="26"/>
      <c r="J129" s="5" t="str">
        <f t="shared" si="1"/>
        <v/>
      </c>
    </row>
    <row r="130" ht="15.75" customHeight="1">
      <c r="B130" s="26"/>
      <c r="H130" s="26"/>
      <c r="J130" s="5" t="str">
        <f t="shared" si="1"/>
        <v/>
      </c>
    </row>
    <row r="131" ht="15.75" customHeight="1">
      <c r="B131" s="26"/>
      <c r="H131" s="26"/>
      <c r="J131" s="5" t="str">
        <f t="shared" si="1"/>
        <v/>
      </c>
    </row>
    <row r="132" ht="15.75" customHeight="1">
      <c r="B132" s="26"/>
      <c r="H132" s="26"/>
      <c r="J132" s="5" t="str">
        <f t="shared" si="1"/>
        <v/>
      </c>
    </row>
    <row r="133" ht="15.75" customHeight="1">
      <c r="B133" s="26"/>
      <c r="H133" s="26"/>
      <c r="J133" s="5" t="str">
        <f t="shared" si="1"/>
        <v/>
      </c>
    </row>
    <row r="134" ht="15.75" customHeight="1">
      <c r="B134" s="26"/>
      <c r="H134" s="26"/>
      <c r="J134" s="5" t="str">
        <f t="shared" si="1"/>
        <v/>
      </c>
    </row>
    <row r="135" ht="15.75" customHeight="1">
      <c r="B135" s="26"/>
      <c r="H135" s="26"/>
      <c r="J135" s="5" t="str">
        <f t="shared" si="1"/>
        <v/>
      </c>
    </row>
    <row r="136" ht="15.75" customHeight="1">
      <c r="B136" s="26"/>
      <c r="H136" s="26"/>
      <c r="J136" s="5" t="str">
        <f t="shared" si="1"/>
        <v/>
      </c>
    </row>
    <row r="137" ht="15.75" customHeight="1">
      <c r="B137" s="26"/>
      <c r="H137" s="26"/>
      <c r="J137" s="5" t="str">
        <f t="shared" si="1"/>
        <v/>
      </c>
    </row>
    <row r="138" ht="15.75" customHeight="1">
      <c r="B138" s="26"/>
      <c r="H138" s="26"/>
      <c r="J138" s="5" t="str">
        <f t="shared" si="1"/>
        <v/>
      </c>
    </row>
    <row r="139" ht="15.75" customHeight="1">
      <c r="B139" s="26"/>
      <c r="H139" s="26"/>
      <c r="J139" s="5" t="str">
        <f t="shared" si="1"/>
        <v/>
      </c>
    </row>
    <row r="140" ht="15.75" customHeight="1">
      <c r="B140" s="26"/>
      <c r="H140" s="26"/>
      <c r="J140" s="5" t="str">
        <f t="shared" si="1"/>
        <v/>
      </c>
    </row>
    <row r="141" ht="15.75" customHeight="1">
      <c r="B141" s="26"/>
      <c r="H141" s="26"/>
      <c r="J141" s="5" t="str">
        <f t="shared" si="1"/>
        <v/>
      </c>
    </row>
    <row r="142" ht="15.75" customHeight="1">
      <c r="B142" s="26"/>
      <c r="H142" s="26"/>
      <c r="J142" s="5" t="str">
        <f t="shared" si="1"/>
        <v/>
      </c>
    </row>
    <row r="143" ht="15.75" customHeight="1">
      <c r="B143" s="26"/>
      <c r="H143" s="26"/>
      <c r="J143" s="5" t="str">
        <f t="shared" si="1"/>
        <v/>
      </c>
    </row>
    <row r="144" ht="15.75" customHeight="1">
      <c r="B144" s="26"/>
      <c r="H144" s="26"/>
      <c r="J144" s="5" t="str">
        <f t="shared" si="1"/>
        <v/>
      </c>
    </row>
    <row r="145" ht="15.75" customHeight="1">
      <c r="B145" s="26"/>
      <c r="H145" s="26"/>
      <c r="J145" s="5" t="str">
        <f t="shared" si="1"/>
        <v/>
      </c>
    </row>
    <row r="146" ht="15.75" customHeight="1">
      <c r="B146" s="26"/>
      <c r="H146" s="26"/>
      <c r="J146" s="5" t="str">
        <f t="shared" si="1"/>
        <v/>
      </c>
    </row>
    <row r="147" ht="15.75" customHeight="1">
      <c r="B147" s="26"/>
      <c r="H147" s="26"/>
      <c r="J147" s="5" t="str">
        <f t="shared" si="1"/>
        <v/>
      </c>
    </row>
    <row r="148" ht="15.75" customHeight="1">
      <c r="B148" s="26"/>
      <c r="H148" s="26"/>
      <c r="J148" s="5" t="str">
        <f t="shared" si="1"/>
        <v/>
      </c>
    </row>
    <row r="149" ht="15.75" customHeight="1">
      <c r="B149" s="26"/>
      <c r="H149" s="26"/>
      <c r="J149" s="5" t="str">
        <f t="shared" si="1"/>
        <v/>
      </c>
    </row>
    <row r="150" ht="15.75" customHeight="1">
      <c r="B150" s="26"/>
      <c r="H150" s="26"/>
      <c r="J150" s="5" t="str">
        <f t="shared" si="1"/>
        <v/>
      </c>
    </row>
    <row r="151" ht="15.75" customHeight="1">
      <c r="B151" s="26"/>
      <c r="H151" s="26"/>
      <c r="J151" s="5" t="str">
        <f t="shared" si="1"/>
        <v/>
      </c>
    </row>
    <row r="152" ht="15.75" customHeight="1">
      <c r="B152" s="26"/>
      <c r="H152" s="26"/>
      <c r="J152" s="5" t="str">
        <f t="shared" si="1"/>
        <v/>
      </c>
    </row>
    <row r="153" ht="15.75" customHeight="1">
      <c r="B153" s="26"/>
      <c r="H153" s="26"/>
      <c r="J153" s="5" t="str">
        <f t="shared" si="1"/>
        <v/>
      </c>
    </row>
    <row r="154" ht="15.75" customHeight="1">
      <c r="B154" s="26"/>
      <c r="H154" s="26"/>
      <c r="J154" s="5" t="str">
        <f t="shared" si="1"/>
        <v/>
      </c>
    </row>
    <row r="155" ht="15.75" customHeight="1">
      <c r="B155" s="26"/>
      <c r="H155" s="26"/>
      <c r="J155" s="5" t="str">
        <f t="shared" si="1"/>
        <v/>
      </c>
    </row>
    <row r="156" ht="15.75" customHeight="1">
      <c r="B156" s="26"/>
      <c r="H156" s="26"/>
      <c r="J156" s="5" t="str">
        <f t="shared" si="1"/>
        <v/>
      </c>
    </row>
    <row r="157" ht="15.75" customHeight="1">
      <c r="B157" s="26"/>
      <c r="H157" s="26"/>
      <c r="J157" s="5" t="str">
        <f t="shared" si="1"/>
        <v/>
      </c>
    </row>
    <row r="158" ht="15.75" customHeight="1">
      <c r="B158" s="26"/>
      <c r="H158" s="26"/>
      <c r="J158" s="5" t="str">
        <f t="shared" si="1"/>
        <v/>
      </c>
    </row>
    <row r="159" ht="15.75" customHeight="1">
      <c r="B159" s="26"/>
      <c r="H159" s="26"/>
      <c r="J159" s="5" t="str">
        <f t="shared" si="1"/>
        <v/>
      </c>
    </row>
    <row r="160" ht="15.75" customHeight="1">
      <c r="B160" s="26"/>
      <c r="H160" s="26"/>
      <c r="J160" s="5" t="str">
        <f t="shared" si="1"/>
        <v/>
      </c>
    </row>
    <row r="161" ht="15.75" customHeight="1">
      <c r="B161" s="26"/>
      <c r="H161" s="26"/>
      <c r="J161" s="5" t="str">
        <f t="shared" si="1"/>
        <v/>
      </c>
    </row>
    <row r="162" ht="15.75" customHeight="1">
      <c r="B162" s="26"/>
      <c r="H162" s="26"/>
      <c r="J162" s="5" t="str">
        <f t="shared" si="1"/>
        <v/>
      </c>
    </row>
    <row r="163" ht="15.75" customHeight="1">
      <c r="B163" s="26"/>
      <c r="H163" s="26"/>
      <c r="J163" s="5" t="str">
        <f t="shared" si="1"/>
        <v/>
      </c>
    </row>
    <row r="164" ht="15.75" customHeight="1">
      <c r="B164" s="26"/>
      <c r="H164" s="26"/>
      <c r="J164" s="5" t="str">
        <f t="shared" si="1"/>
        <v/>
      </c>
    </row>
    <row r="165" ht="15.75" customHeight="1">
      <c r="B165" s="26"/>
      <c r="H165" s="26"/>
      <c r="J165" s="5" t="str">
        <f t="shared" si="1"/>
        <v/>
      </c>
    </row>
    <row r="166" ht="15.75" customHeight="1">
      <c r="B166" s="26"/>
      <c r="H166" s="26"/>
      <c r="J166" s="5" t="str">
        <f t="shared" si="1"/>
        <v/>
      </c>
    </row>
    <row r="167" ht="15.75" customHeight="1">
      <c r="B167" s="26"/>
      <c r="H167" s="26"/>
      <c r="J167" s="5" t="str">
        <f t="shared" si="1"/>
        <v/>
      </c>
    </row>
    <row r="168" ht="15.75" customHeight="1">
      <c r="B168" s="26"/>
      <c r="H168" s="26"/>
      <c r="J168" s="5" t="str">
        <f t="shared" si="1"/>
        <v/>
      </c>
    </row>
    <row r="169" ht="15.75" customHeight="1">
      <c r="B169" s="26"/>
      <c r="H169" s="26"/>
      <c r="J169" s="5" t="str">
        <f t="shared" si="1"/>
        <v/>
      </c>
    </row>
    <row r="170" ht="15.75" customHeight="1">
      <c r="B170" s="26"/>
      <c r="H170" s="26"/>
      <c r="J170" s="5" t="str">
        <f t="shared" si="1"/>
        <v/>
      </c>
    </row>
    <row r="171" ht="15.75" customHeight="1">
      <c r="B171" s="26"/>
      <c r="H171" s="26"/>
      <c r="J171" s="5" t="str">
        <f t="shared" si="1"/>
        <v/>
      </c>
    </row>
    <row r="172" ht="15.75" customHeight="1">
      <c r="B172" s="26"/>
      <c r="H172" s="26"/>
      <c r="J172" s="5" t="str">
        <f t="shared" si="1"/>
        <v/>
      </c>
    </row>
    <row r="173" ht="15.75" customHeight="1">
      <c r="B173" s="26"/>
      <c r="H173" s="26"/>
      <c r="J173" s="5" t="str">
        <f t="shared" si="1"/>
        <v/>
      </c>
    </row>
    <row r="174" ht="15.75" customHeight="1">
      <c r="B174" s="26"/>
      <c r="H174" s="26"/>
      <c r="J174" s="5" t="str">
        <f t="shared" si="1"/>
        <v/>
      </c>
    </row>
    <row r="175" ht="15.75" customHeight="1">
      <c r="B175" s="26"/>
      <c r="H175" s="26"/>
      <c r="J175" s="5" t="str">
        <f t="shared" si="1"/>
        <v/>
      </c>
    </row>
    <row r="176" ht="15.75" customHeight="1">
      <c r="B176" s="26"/>
      <c r="H176" s="26"/>
      <c r="J176" s="5" t="str">
        <f t="shared" si="1"/>
        <v/>
      </c>
    </row>
    <row r="177" ht="15.75" customHeight="1">
      <c r="B177" s="26"/>
      <c r="H177" s="26"/>
      <c r="J177" s="5" t="str">
        <f t="shared" si="1"/>
        <v/>
      </c>
    </row>
    <row r="178" ht="15.75" customHeight="1">
      <c r="B178" s="26"/>
      <c r="H178" s="26"/>
      <c r="J178" s="5" t="str">
        <f t="shared" si="1"/>
        <v/>
      </c>
    </row>
    <row r="179" ht="15.75" customHeight="1">
      <c r="B179" s="26"/>
      <c r="H179" s="26"/>
      <c r="J179" s="5" t="str">
        <f t="shared" si="1"/>
        <v/>
      </c>
    </row>
    <row r="180" ht="15.75" customHeight="1">
      <c r="B180" s="26"/>
      <c r="H180" s="26"/>
      <c r="J180" s="5" t="str">
        <f t="shared" si="1"/>
        <v/>
      </c>
    </row>
    <row r="181" ht="15.75" customHeight="1">
      <c r="B181" s="26"/>
      <c r="H181" s="26"/>
      <c r="J181" s="5" t="str">
        <f t="shared" si="1"/>
        <v/>
      </c>
    </row>
    <row r="182" ht="15.75" customHeight="1">
      <c r="B182" s="26"/>
      <c r="H182" s="26"/>
      <c r="J182" s="5" t="str">
        <f t="shared" si="1"/>
        <v/>
      </c>
    </row>
    <row r="183" ht="15.75" customHeight="1">
      <c r="B183" s="26"/>
      <c r="H183" s="26"/>
      <c r="J183" s="5" t="str">
        <f t="shared" si="1"/>
        <v/>
      </c>
    </row>
    <row r="184" ht="15.75" customHeight="1">
      <c r="B184" s="26"/>
      <c r="H184" s="26"/>
      <c r="J184" s="5" t="str">
        <f t="shared" si="1"/>
        <v/>
      </c>
    </row>
    <row r="185" ht="15.75" customHeight="1">
      <c r="B185" s="26"/>
      <c r="H185" s="26"/>
      <c r="J185" s="5" t="str">
        <f t="shared" si="1"/>
        <v/>
      </c>
    </row>
    <row r="186" ht="15.75" customHeight="1">
      <c r="B186" s="26"/>
      <c r="H186" s="26"/>
      <c r="J186" s="5" t="str">
        <f t="shared" si="1"/>
        <v/>
      </c>
    </row>
    <row r="187" ht="15.75" customHeight="1">
      <c r="B187" s="26"/>
      <c r="H187" s="26"/>
      <c r="J187" s="5" t="str">
        <f t="shared" si="1"/>
        <v/>
      </c>
    </row>
    <row r="188" ht="15.75" customHeight="1">
      <c r="B188" s="26"/>
      <c r="H188" s="26"/>
      <c r="J188" s="5" t="str">
        <f t="shared" si="1"/>
        <v/>
      </c>
    </row>
    <row r="189" ht="15.75" customHeight="1">
      <c r="B189" s="26"/>
      <c r="H189" s="26"/>
      <c r="J189" s="5" t="str">
        <f t="shared" si="1"/>
        <v/>
      </c>
    </row>
    <row r="190" ht="15.75" customHeight="1">
      <c r="B190" s="26"/>
      <c r="H190" s="26"/>
      <c r="J190" s="5" t="str">
        <f t="shared" si="1"/>
        <v/>
      </c>
    </row>
    <row r="191" ht="15.75" customHeight="1">
      <c r="B191" s="26"/>
      <c r="H191" s="26"/>
      <c r="J191" s="5" t="str">
        <f t="shared" si="1"/>
        <v/>
      </c>
    </row>
    <row r="192" ht="15.75" customHeight="1">
      <c r="B192" s="26"/>
      <c r="H192" s="26"/>
      <c r="J192" s="5" t="str">
        <f t="shared" si="1"/>
        <v/>
      </c>
    </row>
    <row r="193" ht="15.75" customHeight="1">
      <c r="B193" s="26"/>
      <c r="H193" s="26"/>
      <c r="J193" s="5" t="str">
        <f t="shared" si="1"/>
        <v/>
      </c>
    </row>
    <row r="194" ht="15.75" customHeight="1">
      <c r="B194" s="26"/>
      <c r="H194" s="26"/>
      <c r="J194" s="5" t="str">
        <f t="shared" si="1"/>
        <v/>
      </c>
    </row>
    <row r="195" ht="15.75" customHeight="1">
      <c r="B195" s="26"/>
      <c r="H195" s="26"/>
      <c r="J195" s="5" t="str">
        <f t="shared" si="1"/>
        <v/>
      </c>
    </row>
    <row r="196" ht="15.75" customHeight="1">
      <c r="B196" s="26"/>
      <c r="H196" s="26"/>
      <c r="J196" s="5" t="str">
        <f t="shared" si="1"/>
        <v/>
      </c>
    </row>
    <row r="197" ht="15.75" customHeight="1">
      <c r="B197" s="26"/>
      <c r="H197" s="26"/>
      <c r="J197" s="5" t="str">
        <f t="shared" si="1"/>
        <v/>
      </c>
    </row>
    <row r="198" ht="15.75" customHeight="1">
      <c r="B198" s="26"/>
      <c r="H198" s="26"/>
      <c r="J198" s="5" t="str">
        <f t="shared" si="1"/>
        <v/>
      </c>
    </row>
    <row r="199" ht="15.75" customHeight="1">
      <c r="B199" s="26"/>
      <c r="H199" s="26"/>
      <c r="J199" s="5" t="str">
        <f t="shared" si="1"/>
        <v/>
      </c>
    </row>
    <row r="200" ht="15.75" customHeight="1">
      <c r="B200" s="26"/>
      <c r="H200" s="26"/>
      <c r="J200" s="5" t="str">
        <f t="shared" si="1"/>
        <v/>
      </c>
    </row>
    <row r="201" ht="15.75" customHeight="1">
      <c r="B201" s="26"/>
      <c r="H201" s="26"/>
      <c r="J201" s="5" t="str">
        <f t="shared" si="1"/>
        <v/>
      </c>
    </row>
    <row r="202" ht="15.75" customHeight="1">
      <c r="B202" s="26"/>
      <c r="H202" s="26"/>
      <c r="J202" s="5" t="str">
        <f t="shared" si="1"/>
        <v/>
      </c>
    </row>
    <row r="203" ht="15.75" customHeight="1">
      <c r="B203" s="26"/>
      <c r="H203" s="26"/>
      <c r="J203" s="5" t="str">
        <f t="shared" si="1"/>
        <v/>
      </c>
    </row>
    <row r="204" ht="15.75" customHeight="1">
      <c r="B204" s="26"/>
      <c r="H204" s="26"/>
      <c r="J204" s="5" t="str">
        <f t="shared" si="1"/>
        <v/>
      </c>
    </row>
    <row r="205" ht="15.75" customHeight="1">
      <c r="B205" s="26"/>
      <c r="H205" s="26"/>
      <c r="J205" s="5" t="str">
        <f t="shared" si="1"/>
        <v/>
      </c>
    </row>
    <row r="206" ht="15.75" customHeight="1">
      <c r="B206" s="26"/>
      <c r="H206" s="26"/>
      <c r="J206" s="5" t="str">
        <f t="shared" si="1"/>
        <v/>
      </c>
    </row>
    <row r="207" ht="15.75" customHeight="1">
      <c r="B207" s="26"/>
      <c r="H207" s="26"/>
      <c r="J207" s="5" t="str">
        <f t="shared" si="1"/>
        <v/>
      </c>
    </row>
    <row r="208" ht="15.75" customHeight="1">
      <c r="B208" s="26"/>
      <c r="H208" s="26"/>
      <c r="J208" s="5" t="str">
        <f t="shared" si="1"/>
        <v/>
      </c>
    </row>
    <row r="209" ht="15.75" customHeight="1">
      <c r="B209" s="26"/>
      <c r="H209" s="26"/>
      <c r="J209" s="5" t="str">
        <f t="shared" si="1"/>
        <v/>
      </c>
    </row>
    <row r="210" ht="15.75" customHeight="1">
      <c r="B210" s="26"/>
      <c r="H210" s="26"/>
      <c r="J210" s="5" t="str">
        <f t="shared" si="1"/>
        <v/>
      </c>
    </row>
    <row r="211" ht="15.75" customHeight="1">
      <c r="B211" s="26"/>
      <c r="H211" s="26"/>
      <c r="J211" s="5" t="str">
        <f t="shared" si="1"/>
        <v/>
      </c>
    </row>
    <row r="212" ht="15.75" customHeight="1">
      <c r="B212" s="26"/>
      <c r="H212" s="26"/>
      <c r="J212" s="5" t="str">
        <f t="shared" si="1"/>
        <v/>
      </c>
    </row>
    <row r="213" ht="15.75" customHeight="1">
      <c r="B213" s="26"/>
      <c r="H213" s="26"/>
      <c r="J213" s="5" t="str">
        <f t="shared" si="1"/>
        <v/>
      </c>
    </row>
    <row r="214" ht="15.75" customHeight="1">
      <c r="B214" s="26"/>
      <c r="H214" s="26"/>
      <c r="J214" s="5" t="str">
        <f t="shared" si="1"/>
        <v/>
      </c>
    </row>
    <row r="215" ht="15.75" customHeight="1">
      <c r="B215" s="26"/>
      <c r="H215" s="26"/>
      <c r="J215" s="5" t="str">
        <f t="shared" si="1"/>
        <v/>
      </c>
    </row>
    <row r="216" ht="15.75" customHeight="1">
      <c r="B216" s="26"/>
      <c r="H216" s="26"/>
      <c r="J216" s="5" t="str">
        <f t="shared" si="1"/>
        <v/>
      </c>
    </row>
    <row r="217" ht="15.75" customHeight="1">
      <c r="B217" s="26"/>
      <c r="H217" s="26"/>
      <c r="J217" s="5" t="str">
        <f t="shared" si="1"/>
        <v/>
      </c>
    </row>
    <row r="218" ht="15.75" customHeight="1">
      <c r="B218" s="26"/>
      <c r="H218" s="26"/>
      <c r="J218" s="5" t="str">
        <f t="shared" si="1"/>
        <v/>
      </c>
    </row>
    <row r="219" ht="15.75" customHeight="1">
      <c r="B219" s="26"/>
      <c r="H219" s="26"/>
      <c r="J219" s="5" t="str">
        <f t="shared" si="1"/>
        <v/>
      </c>
    </row>
    <row r="220" ht="15.75" customHeight="1">
      <c r="B220" s="26"/>
      <c r="H220" s="26"/>
      <c r="J220" s="5" t="str">
        <f t="shared" si="1"/>
        <v/>
      </c>
    </row>
    <row r="221" ht="15.75" customHeight="1">
      <c r="B221" s="26"/>
      <c r="H221" s="26"/>
      <c r="J221" s="5" t="str">
        <f t="shared" si="1"/>
        <v/>
      </c>
    </row>
    <row r="222" ht="15.75" customHeight="1">
      <c r="B222" s="26"/>
      <c r="H222" s="26"/>
      <c r="J222" s="5" t="str">
        <f t="shared" si="1"/>
        <v/>
      </c>
    </row>
    <row r="223" ht="15.75" customHeight="1">
      <c r="B223" s="26"/>
      <c r="H223" s="26"/>
      <c r="J223" s="5" t="str">
        <f t="shared" si="1"/>
        <v/>
      </c>
    </row>
    <row r="224" ht="15.75" customHeight="1">
      <c r="B224" s="26"/>
      <c r="H224" s="26"/>
      <c r="J224" s="5" t="str">
        <f t="shared" si="1"/>
        <v/>
      </c>
    </row>
    <row r="225" ht="15.75" customHeight="1">
      <c r="B225" s="26"/>
      <c r="H225" s="26"/>
      <c r="J225" s="5" t="str">
        <f t="shared" si="1"/>
        <v/>
      </c>
    </row>
    <row r="226" ht="15.75" customHeight="1">
      <c r="B226" s="26"/>
      <c r="H226" s="26"/>
      <c r="J226" s="5" t="str">
        <f t="shared" si="1"/>
        <v/>
      </c>
    </row>
    <row r="227" ht="15.75" customHeight="1">
      <c r="B227" s="26"/>
      <c r="H227" s="26"/>
      <c r="J227" s="5" t="str">
        <f t="shared" si="1"/>
        <v/>
      </c>
    </row>
    <row r="228" ht="15.75" customHeight="1">
      <c r="B228" s="26"/>
      <c r="H228" s="26"/>
      <c r="J228" s="5" t="str">
        <f t="shared" si="1"/>
        <v/>
      </c>
    </row>
    <row r="229" ht="15.75" customHeight="1">
      <c r="B229" s="26"/>
      <c r="H229" s="26"/>
      <c r="J229" s="5" t="str">
        <f t="shared" si="1"/>
        <v/>
      </c>
    </row>
    <row r="230" ht="15.75" customHeight="1">
      <c r="B230" s="26"/>
      <c r="H230" s="26"/>
      <c r="J230" s="5" t="str">
        <f t="shared" si="1"/>
        <v/>
      </c>
    </row>
    <row r="231" ht="15.75" customHeight="1">
      <c r="B231" s="26"/>
      <c r="H231" s="26"/>
      <c r="J231" s="5" t="str">
        <f t="shared" si="1"/>
        <v/>
      </c>
    </row>
    <row r="232" ht="15.75" customHeight="1">
      <c r="B232" s="26"/>
      <c r="H232" s="26"/>
      <c r="J232" s="5" t="str">
        <f t="shared" si="1"/>
        <v/>
      </c>
    </row>
    <row r="233" ht="15.75" customHeight="1">
      <c r="B233" s="26"/>
      <c r="H233" s="26"/>
      <c r="J233" s="5" t="str">
        <f t="shared" si="1"/>
        <v/>
      </c>
    </row>
    <row r="234" ht="15.75" customHeight="1">
      <c r="B234" s="26"/>
      <c r="H234" s="26"/>
      <c r="J234" s="5" t="str">
        <f t="shared" si="1"/>
        <v/>
      </c>
    </row>
    <row r="235" ht="15.75" customHeight="1">
      <c r="B235" s="26"/>
      <c r="H235" s="26"/>
      <c r="J235" s="5" t="str">
        <f t="shared" si="1"/>
        <v/>
      </c>
    </row>
    <row r="236" ht="15.75" customHeight="1">
      <c r="B236" s="26"/>
      <c r="H236" s="26"/>
      <c r="J236" s="5" t="str">
        <f t="shared" si="1"/>
        <v/>
      </c>
    </row>
    <row r="237" ht="15.75" customHeight="1">
      <c r="B237" s="26"/>
      <c r="H237" s="26"/>
      <c r="J237" s="5" t="str">
        <f t="shared" si="1"/>
        <v/>
      </c>
    </row>
    <row r="238" ht="15.75" customHeight="1">
      <c r="B238" s="26"/>
      <c r="H238" s="26"/>
      <c r="J238" s="5" t="str">
        <f t="shared" si="1"/>
        <v/>
      </c>
    </row>
    <row r="239" ht="15.75" customHeight="1">
      <c r="B239" s="26"/>
      <c r="H239" s="26"/>
      <c r="J239" s="5" t="str">
        <f t="shared" si="1"/>
        <v/>
      </c>
    </row>
    <row r="240" ht="15.75" customHeight="1">
      <c r="B240" s="26"/>
      <c r="H240" s="26"/>
      <c r="J240" s="5" t="str">
        <f t="shared" si="1"/>
        <v/>
      </c>
    </row>
    <row r="241" ht="15.75" customHeight="1">
      <c r="B241" s="26"/>
      <c r="H241" s="26"/>
      <c r="J241" s="5" t="str">
        <f t="shared" si="1"/>
        <v/>
      </c>
    </row>
    <row r="242" ht="15.75" customHeight="1">
      <c r="B242" s="26"/>
      <c r="H242" s="26"/>
      <c r="J242" s="5" t="str">
        <f t="shared" si="1"/>
        <v/>
      </c>
    </row>
    <row r="243" ht="15.75" customHeight="1">
      <c r="B243" s="26"/>
      <c r="H243" s="26"/>
      <c r="J243" s="5" t="str">
        <f t="shared" si="1"/>
        <v/>
      </c>
    </row>
    <row r="244" ht="15.75" customHeight="1">
      <c r="B244" s="26"/>
      <c r="H244" s="26"/>
      <c r="J244" s="5" t="str">
        <f t="shared" si="1"/>
        <v/>
      </c>
    </row>
    <row r="245" ht="15.75" customHeight="1">
      <c r="B245" s="26"/>
      <c r="H245" s="26"/>
      <c r="J245" s="5" t="str">
        <f t="shared" si="1"/>
        <v/>
      </c>
    </row>
    <row r="246" ht="15.75" customHeight="1">
      <c r="B246" s="26"/>
      <c r="H246" s="26"/>
      <c r="J246" s="5" t="str">
        <f t="shared" si="1"/>
        <v/>
      </c>
    </row>
    <row r="247" ht="15.75" customHeight="1">
      <c r="B247" s="26"/>
      <c r="H247" s="26"/>
      <c r="J247" s="5" t="str">
        <f t="shared" si="1"/>
        <v/>
      </c>
    </row>
    <row r="248" ht="15.75" customHeight="1">
      <c r="B248" s="26"/>
      <c r="H248" s="26"/>
      <c r="J248" s="5" t="str">
        <f t="shared" si="1"/>
        <v/>
      </c>
    </row>
    <row r="249" ht="15.75" customHeight="1">
      <c r="B249" s="26"/>
      <c r="H249" s="26"/>
      <c r="J249" s="5" t="str">
        <f t="shared" si="1"/>
        <v/>
      </c>
    </row>
    <row r="250" ht="15.75" customHeight="1">
      <c r="B250" s="26"/>
      <c r="H250" s="26"/>
      <c r="J250" s="5" t="str">
        <f t="shared" si="1"/>
        <v/>
      </c>
    </row>
    <row r="251" ht="15.75" customHeight="1">
      <c r="B251" s="26"/>
      <c r="H251" s="26"/>
      <c r="J251" s="5" t="str">
        <f t="shared" si="1"/>
        <v/>
      </c>
    </row>
    <row r="252" ht="15.75" customHeight="1">
      <c r="B252" s="26"/>
      <c r="H252" s="26"/>
      <c r="J252" s="5" t="str">
        <f t="shared" si="1"/>
        <v/>
      </c>
    </row>
    <row r="253" ht="15.75" customHeight="1">
      <c r="B253" s="26"/>
      <c r="H253" s="26"/>
      <c r="J253" s="5" t="str">
        <f t="shared" si="1"/>
        <v/>
      </c>
    </row>
    <row r="254" ht="15.75" customHeight="1">
      <c r="B254" s="26"/>
      <c r="H254" s="26"/>
      <c r="J254" s="5" t="str">
        <f t="shared" si="1"/>
        <v/>
      </c>
    </row>
    <row r="255" ht="15.75" customHeight="1">
      <c r="B255" s="26"/>
      <c r="H255" s="26"/>
      <c r="J255" s="5" t="str">
        <f t="shared" si="1"/>
        <v/>
      </c>
    </row>
    <row r="256" ht="15.75" customHeight="1">
      <c r="B256" s="26"/>
      <c r="H256" s="26"/>
      <c r="J256" s="5" t="str">
        <f t="shared" si="1"/>
        <v/>
      </c>
    </row>
    <row r="257" ht="15.75" customHeight="1">
      <c r="B257" s="26"/>
      <c r="H257" s="26"/>
      <c r="J257" s="5" t="str">
        <f t="shared" si="1"/>
        <v/>
      </c>
    </row>
    <row r="258" ht="15.75" customHeight="1">
      <c r="B258" s="26"/>
      <c r="H258" s="26"/>
      <c r="J258" s="5" t="str">
        <f t="shared" si="1"/>
        <v/>
      </c>
    </row>
    <row r="259" ht="15.75" customHeight="1">
      <c r="B259" s="26"/>
      <c r="H259" s="26"/>
      <c r="J259" s="5" t="str">
        <f t="shared" si="1"/>
        <v/>
      </c>
    </row>
    <row r="260" ht="15.75" customHeight="1">
      <c r="B260" s="26"/>
      <c r="H260" s="26"/>
      <c r="J260" s="5" t="str">
        <f t="shared" si="1"/>
        <v/>
      </c>
    </row>
    <row r="261" ht="15.75" customHeight="1">
      <c r="B261" s="26"/>
      <c r="H261" s="26"/>
      <c r="J261" s="5" t="str">
        <f t="shared" si="1"/>
        <v/>
      </c>
    </row>
    <row r="262" ht="15.75" customHeight="1">
      <c r="B262" s="26"/>
      <c r="H262" s="26"/>
      <c r="J262" s="5" t="str">
        <f t="shared" si="1"/>
        <v/>
      </c>
    </row>
    <row r="263" ht="15.75" customHeight="1">
      <c r="B263" s="26"/>
      <c r="H263" s="26"/>
      <c r="J263" s="5" t="str">
        <f t="shared" si="1"/>
        <v/>
      </c>
    </row>
    <row r="264" ht="15.75" customHeight="1">
      <c r="B264" s="26"/>
      <c r="H264" s="26"/>
      <c r="J264" s="5" t="str">
        <f t="shared" si="1"/>
        <v/>
      </c>
    </row>
    <row r="265" ht="15.75" customHeight="1">
      <c r="B265" s="26"/>
      <c r="H265" s="26"/>
      <c r="J265" s="5" t="str">
        <f t="shared" si="1"/>
        <v/>
      </c>
    </row>
    <row r="266" ht="15.75" customHeight="1">
      <c r="B266" s="26"/>
      <c r="H266" s="26"/>
      <c r="J266" s="5" t="str">
        <f t="shared" si="1"/>
        <v/>
      </c>
    </row>
    <row r="267" ht="15.75" customHeight="1">
      <c r="B267" s="26"/>
      <c r="H267" s="26"/>
      <c r="J267" s="5" t="str">
        <f t="shared" si="1"/>
        <v/>
      </c>
    </row>
    <row r="268" ht="15.75" customHeight="1">
      <c r="B268" s="26"/>
      <c r="H268" s="26"/>
      <c r="J268" s="5" t="str">
        <f t="shared" si="1"/>
        <v/>
      </c>
    </row>
    <row r="269" ht="15.75" customHeight="1">
      <c r="B269" s="26"/>
      <c r="H269" s="26"/>
      <c r="J269" s="5" t="str">
        <f t="shared" si="1"/>
        <v/>
      </c>
    </row>
    <row r="270" ht="15.75" customHeight="1">
      <c r="B270" s="26"/>
      <c r="H270" s="26"/>
      <c r="J270" s="5" t="str">
        <f t="shared" si="1"/>
        <v/>
      </c>
    </row>
    <row r="271" ht="15.75" customHeight="1">
      <c r="B271" s="26"/>
      <c r="H271" s="26"/>
      <c r="J271" s="5" t="str">
        <f t="shared" si="1"/>
        <v/>
      </c>
    </row>
    <row r="272" ht="15.75" customHeight="1">
      <c r="B272" s="26"/>
      <c r="H272" s="26"/>
      <c r="J272" s="5" t="str">
        <f t="shared" si="1"/>
        <v/>
      </c>
    </row>
    <row r="273" ht="15.75" customHeight="1">
      <c r="B273" s="26"/>
      <c r="H273" s="26"/>
      <c r="J273" s="5" t="str">
        <f t="shared" si="1"/>
        <v/>
      </c>
    </row>
    <row r="274" ht="15.75" customHeight="1">
      <c r="B274" s="26"/>
      <c r="H274" s="26"/>
      <c r="J274" s="5" t="str">
        <f t="shared" si="1"/>
        <v/>
      </c>
    </row>
    <row r="275" ht="15.75" customHeight="1">
      <c r="B275" s="26"/>
      <c r="H275" s="26"/>
      <c r="J275" s="5" t="str">
        <f t="shared" si="1"/>
        <v/>
      </c>
    </row>
    <row r="276" ht="15.75" customHeight="1">
      <c r="B276" s="26"/>
      <c r="H276" s="26"/>
      <c r="J276" s="5" t="str">
        <f t="shared" si="1"/>
        <v/>
      </c>
    </row>
    <row r="277" ht="15.75" customHeight="1">
      <c r="B277" s="26"/>
      <c r="H277" s="26"/>
      <c r="J277" s="5" t="str">
        <f t="shared" si="1"/>
        <v/>
      </c>
    </row>
    <row r="278" ht="15.75" customHeight="1">
      <c r="B278" s="26"/>
      <c r="H278" s="26"/>
      <c r="J278" s="5" t="str">
        <f t="shared" si="1"/>
        <v/>
      </c>
    </row>
    <row r="279" ht="15.75" customHeight="1">
      <c r="B279" s="26"/>
      <c r="H279" s="26"/>
      <c r="J279" s="5" t="str">
        <f t="shared" si="1"/>
        <v/>
      </c>
    </row>
    <row r="280" ht="15.75" customHeight="1">
      <c r="B280" s="26"/>
      <c r="H280" s="26"/>
      <c r="J280" s="5" t="str">
        <f t="shared" si="1"/>
        <v/>
      </c>
    </row>
    <row r="281" ht="15.75" customHeight="1">
      <c r="B281" s="26"/>
      <c r="H281" s="26"/>
      <c r="J281" s="5" t="str">
        <f t="shared" si="1"/>
        <v/>
      </c>
    </row>
    <row r="282" ht="15.75" customHeight="1">
      <c r="B282" s="26"/>
      <c r="H282" s="26"/>
      <c r="J282" s="5" t="str">
        <f t="shared" si="1"/>
        <v/>
      </c>
    </row>
    <row r="283" ht="15.75" customHeight="1">
      <c r="B283" s="26"/>
      <c r="H283" s="26"/>
      <c r="J283" s="5" t="str">
        <f t="shared" si="1"/>
        <v/>
      </c>
    </row>
    <row r="284" ht="15.75" customHeight="1">
      <c r="B284" s="26"/>
      <c r="H284" s="26"/>
      <c r="J284" s="5" t="str">
        <f t="shared" si="1"/>
        <v/>
      </c>
    </row>
    <row r="285" ht="15.75" customHeight="1">
      <c r="B285" s="26"/>
      <c r="H285" s="26"/>
      <c r="J285" s="5" t="str">
        <f t="shared" si="1"/>
        <v/>
      </c>
    </row>
    <row r="286" ht="15.75" customHeight="1">
      <c r="B286" s="26"/>
      <c r="H286" s="26"/>
      <c r="J286" s="5" t="str">
        <f t="shared" si="1"/>
        <v/>
      </c>
    </row>
    <row r="287" ht="15.75" customHeight="1">
      <c r="B287" s="26"/>
      <c r="H287" s="26"/>
      <c r="J287" s="5" t="str">
        <f t="shared" si="1"/>
        <v/>
      </c>
    </row>
    <row r="288" ht="15.75" customHeight="1">
      <c r="B288" s="26"/>
      <c r="H288" s="26"/>
      <c r="J288" s="5" t="str">
        <f t="shared" si="1"/>
        <v/>
      </c>
    </row>
    <row r="289" ht="15.75" customHeight="1">
      <c r="B289" s="26"/>
      <c r="H289" s="26"/>
      <c r="J289" s="5" t="str">
        <f t="shared" si="1"/>
        <v/>
      </c>
    </row>
    <row r="290" ht="15.75" customHeight="1">
      <c r="B290" s="26"/>
      <c r="H290" s="26"/>
      <c r="J290" s="5" t="str">
        <f t="shared" si="1"/>
        <v/>
      </c>
    </row>
    <row r="291" ht="15.75" customHeight="1">
      <c r="B291" s="26"/>
      <c r="H291" s="26"/>
      <c r="J291" s="5" t="str">
        <f t="shared" si="1"/>
        <v/>
      </c>
    </row>
    <row r="292" ht="15.75" customHeight="1">
      <c r="B292" s="26"/>
      <c r="H292" s="26"/>
      <c r="J292" s="5" t="str">
        <f t="shared" si="1"/>
        <v/>
      </c>
    </row>
    <row r="293" ht="15.75" customHeight="1">
      <c r="B293" s="26"/>
      <c r="H293" s="26"/>
      <c r="J293" s="5" t="str">
        <f t="shared" si="1"/>
        <v/>
      </c>
    </row>
    <row r="294" ht="15.75" customHeight="1">
      <c r="B294" s="26"/>
      <c r="H294" s="26"/>
      <c r="J294" s="5" t="str">
        <f t="shared" si="1"/>
        <v/>
      </c>
    </row>
    <row r="295" ht="15.75" customHeight="1">
      <c r="B295" s="26"/>
      <c r="H295" s="26"/>
      <c r="J295" s="5" t="str">
        <f t="shared" si="1"/>
        <v/>
      </c>
    </row>
    <row r="296" ht="15.75" customHeight="1">
      <c r="B296" s="26"/>
      <c r="H296" s="26"/>
      <c r="J296" s="5" t="str">
        <f t="shared" si="1"/>
        <v/>
      </c>
    </row>
    <row r="297" ht="15.75" customHeight="1">
      <c r="B297" s="26"/>
      <c r="H297" s="26"/>
      <c r="J297" s="5" t="str">
        <f t="shared" si="1"/>
        <v/>
      </c>
    </row>
    <row r="298" ht="15.75" customHeight="1">
      <c r="B298" s="26"/>
      <c r="H298" s="26"/>
      <c r="J298" s="5" t="str">
        <f t="shared" si="1"/>
        <v/>
      </c>
    </row>
    <row r="299" ht="15.75" customHeight="1">
      <c r="B299" s="26"/>
      <c r="H299" s="26"/>
      <c r="J299" s="5" t="str">
        <f t="shared" si="1"/>
        <v/>
      </c>
    </row>
    <row r="300" ht="15.75" customHeight="1">
      <c r="B300" s="26"/>
      <c r="H300" s="26"/>
      <c r="J300" s="5" t="str">
        <f t="shared" si="1"/>
        <v/>
      </c>
    </row>
    <row r="301" ht="15.75" customHeight="1">
      <c r="B301" s="26"/>
      <c r="H301" s="26"/>
      <c r="J301" s="5" t="str">
        <f t="shared" si="1"/>
        <v/>
      </c>
    </row>
    <row r="302" ht="15.75" customHeight="1">
      <c r="B302" s="26"/>
      <c r="H302" s="26"/>
      <c r="J302" s="5" t="str">
        <f t="shared" si="1"/>
        <v/>
      </c>
    </row>
    <row r="303" ht="15.75" customHeight="1">
      <c r="B303" s="26"/>
      <c r="H303" s="26"/>
      <c r="J303" s="5" t="str">
        <f t="shared" si="1"/>
        <v/>
      </c>
    </row>
    <row r="304" ht="15.75" customHeight="1">
      <c r="B304" s="26"/>
      <c r="H304" s="26"/>
      <c r="J304" s="5" t="str">
        <f t="shared" si="1"/>
        <v/>
      </c>
    </row>
    <row r="305" ht="15.75" customHeight="1">
      <c r="B305" s="26"/>
      <c r="H305" s="26"/>
      <c r="J305" s="5" t="str">
        <f t="shared" si="1"/>
        <v/>
      </c>
    </row>
    <row r="306" ht="15.75" customHeight="1">
      <c r="B306" s="26"/>
      <c r="H306" s="26"/>
      <c r="J306" s="5" t="str">
        <f t="shared" si="1"/>
        <v/>
      </c>
    </row>
    <row r="307" ht="15.75" customHeight="1">
      <c r="B307" s="26"/>
      <c r="H307" s="26"/>
      <c r="J307" s="5" t="str">
        <f t="shared" si="1"/>
        <v/>
      </c>
    </row>
    <row r="308" ht="15.75" customHeight="1">
      <c r="B308" s="26"/>
      <c r="H308" s="26"/>
      <c r="J308" s="5" t="str">
        <f t="shared" si="1"/>
        <v/>
      </c>
    </row>
    <row r="309" ht="15.75" customHeight="1">
      <c r="B309" s="26"/>
      <c r="H309" s="26"/>
      <c r="J309" s="5" t="str">
        <f t="shared" si="1"/>
        <v/>
      </c>
    </row>
    <row r="310" ht="15.75" customHeight="1">
      <c r="B310" s="26"/>
      <c r="H310" s="26"/>
      <c r="J310" s="5" t="str">
        <f t="shared" si="1"/>
        <v/>
      </c>
    </row>
    <row r="311" ht="15.75" customHeight="1">
      <c r="B311" s="26"/>
      <c r="H311" s="26"/>
      <c r="J311" s="5" t="str">
        <f t="shared" si="1"/>
        <v/>
      </c>
    </row>
    <row r="312" ht="15.75" customHeight="1">
      <c r="B312" s="26"/>
      <c r="H312" s="26"/>
      <c r="J312" s="5" t="str">
        <f t="shared" si="1"/>
        <v/>
      </c>
    </row>
    <row r="313" ht="15.75" customHeight="1">
      <c r="B313" s="26"/>
      <c r="H313" s="26"/>
      <c r="J313" s="5" t="str">
        <f t="shared" si="1"/>
        <v/>
      </c>
    </row>
    <row r="314" ht="15.75" customHeight="1">
      <c r="B314" s="26"/>
      <c r="H314" s="26"/>
      <c r="J314" s="5" t="str">
        <f t="shared" si="1"/>
        <v/>
      </c>
    </row>
    <row r="315" ht="15.75" customHeight="1">
      <c r="B315" s="26"/>
      <c r="H315" s="26"/>
      <c r="J315" s="5" t="str">
        <f t="shared" si="1"/>
        <v/>
      </c>
    </row>
    <row r="316" ht="15.75" customHeight="1">
      <c r="B316" s="26"/>
      <c r="H316" s="26"/>
      <c r="J316" s="5" t="str">
        <f t="shared" si="1"/>
        <v/>
      </c>
    </row>
    <row r="317" ht="15.75" customHeight="1">
      <c r="B317" s="26"/>
      <c r="H317" s="26"/>
      <c r="J317" s="5" t="str">
        <f t="shared" si="1"/>
        <v/>
      </c>
    </row>
    <row r="318" ht="15.75" customHeight="1">
      <c r="B318" s="26"/>
      <c r="H318" s="26"/>
      <c r="J318" s="5" t="str">
        <f t="shared" si="1"/>
        <v/>
      </c>
    </row>
    <row r="319" ht="15.75" customHeight="1">
      <c r="B319" s="26"/>
      <c r="H319" s="26"/>
      <c r="J319" s="5" t="str">
        <f t="shared" si="1"/>
        <v/>
      </c>
    </row>
    <row r="320" ht="15.75" customHeight="1">
      <c r="B320" s="26"/>
      <c r="H320" s="26"/>
      <c r="J320" s="5" t="str">
        <f t="shared" si="1"/>
        <v/>
      </c>
    </row>
    <row r="321" ht="15.75" customHeight="1">
      <c r="B321" s="26"/>
      <c r="H321" s="26"/>
      <c r="J321" s="5" t="str">
        <f t="shared" si="1"/>
        <v/>
      </c>
    </row>
    <row r="322" ht="15.75" customHeight="1">
      <c r="B322" s="26"/>
      <c r="H322" s="26"/>
      <c r="J322" s="5" t="str">
        <f t="shared" si="1"/>
        <v/>
      </c>
    </row>
    <row r="323" ht="15.75" customHeight="1">
      <c r="B323" s="26"/>
      <c r="H323" s="26"/>
      <c r="J323" s="5" t="str">
        <f t="shared" si="1"/>
        <v/>
      </c>
    </row>
    <row r="324" ht="15.75" customHeight="1">
      <c r="B324" s="26"/>
      <c r="H324" s="26"/>
      <c r="J324" s="5" t="str">
        <f t="shared" si="1"/>
        <v/>
      </c>
    </row>
    <row r="325" ht="15.75" customHeight="1">
      <c r="B325" s="26"/>
      <c r="H325" s="26"/>
      <c r="J325" s="5" t="str">
        <f t="shared" si="1"/>
        <v/>
      </c>
    </row>
    <row r="326" ht="15.75" customHeight="1">
      <c r="B326" s="26"/>
      <c r="H326" s="26"/>
      <c r="J326" s="5" t="str">
        <f t="shared" si="1"/>
        <v/>
      </c>
    </row>
    <row r="327" ht="15.75" customHeight="1">
      <c r="B327" s="26"/>
      <c r="H327" s="26"/>
      <c r="J327" s="5" t="str">
        <f t="shared" si="1"/>
        <v/>
      </c>
    </row>
    <row r="328" ht="15.75" customHeight="1">
      <c r="B328" s="26"/>
      <c r="H328" s="26"/>
      <c r="J328" s="5" t="str">
        <f t="shared" si="1"/>
        <v/>
      </c>
    </row>
    <row r="329" ht="15.75" customHeight="1">
      <c r="B329" s="26"/>
      <c r="H329" s="26"/>
      <c r="J329" s="5" t="str">
        <f t="shared" si="1"/>
        <v/>
      </c>
    </row>
    <row r="330" ht="15.75" customHeight="1">
      <c r="B330" s="26"/>
      <c r="H330" s="26"/>
      <c r="J330" s="5" t="str">
        <f t="shared" si="1"/>
        <v/>
      </c>
    </row>
    <row r="331" ht="15.75" customHeight="1">
      <c r="B331" s="26"/>
      <c r="H331" s="26"/>
      <c r="J331" s="5" t="str">
        <f t="shared" si="1"/>
        <v/>
      </c>
    </row>
    <row r="332" ht="15.75" customHeight="1">
      <c r="B332" s="26"/>
      <c r="H332" s="26"/>
      <c r="J332" s="5" t="str">
        <f t="shared" si="1"/>
        <v/>
      </c>
    </row>
    <row r="333" ht="15.75" customHeight="1">
      <c r="B333" s="26"/>
      <c r="H333" s="26"/>
      <c r="J333" s="5" t="str">
        <f t="shared" si="1"/>
        <v/>
      </c>
    </row>
    <row r="334" ht="15.75" customHeight="1">
      <c r="B334" s="26"/>
      <c r="H334" s="26"/>
      <c r="J334" s="5" t="str">
        <f t="shared" si="1"/>
        <v/>
      </c>
    </row>
    <row r="335" ht="15.75" customHeight="1">
      <c r="B335" s="26"/>
      <c r="H335" s="26"/>
      <c r="J335" s="5" t="str">
        <f t="shared" si="1"/>
        <v/>
      </c>
    </row>
    <row r="336" ht="15.75" customHeight="1">
      <c r="B336" s="26"/>
      <c r="H336" s="26"/>
      <c r="J336" s="5" t="str">
        <f t="shared" si="1"/>
        <v/>
      </c>
    </row>
    <row r="337" ht="15.75" customHeight="1">
      <c r="B337" s="26"/>
      <c r="H337" s="26"/>
      <c r="J337" s="5" t="str">
        <f t="shared" si="1"/>
        <v/>
      </c>
    </row>
    <row r="338" ht="15.75" customHeight="1">
      <c r="B338" s="26"/>
      <c r="H338" s="26"/>
      <c r="J338" s="5" t="str">
        <f t="shared" si="1"/>
        <v/>
      </c>
    </row>
    <row r="339" ht="15.75" customHeight="1">
      <c r="B339" s="26"/>
      <c r="H339" s="26"/>
      <c r="J339" s="5" t="str">
        <f t="shared" si="1"/>
        <v/>
      </c>
    </row>
    <row r="340" ht="15.75" customHeight="1">
      <c r="B340" s="26"/>
      <c r="H340" s="26"/>
      <c r="J340" s="5" t="str">
        <f t="shared" si="1"/>
        <v/>
      </c>
    </row>
    <row r="341" ht="15.75" customHeight="1">
      <c r="B341" s="26"/>
      <c r="H341" s="26"/>
      <c r="J341" s="5" t="str">
        <f t="shared" si="1"/>
        <v/>
      </c>
    </row>
    <row r="342" ht="15.75" customHeight="1">
      <c r="B342" s="26"/>
      <c r="H342" s="26"/>
      <c r="J342" s="5" t="str">
        <f t="shared" si="1"/>
        <v/>
      </c>
    </row>
    <row r="343" ht="15.75" customHeight="1">
      <c r="B343" s="26"/>
      <c r="H343" s="26"/>
      <c r="J343" s="5" t="str">
        <f t="shared" si="1"/>
        <v/>
      </c>
    </row>
    <row r="344" ht="15.75" customHeight="1">
      <c r="B344" s="26"/>
      <c r="H344" s="26"/>
      <c r="J344" s="5" t="str">
        <f t="shared" si="1"/>
        <v/>
      </c>
    </row>
    <row r="345" ht="15.75" customHeight="1">
      <c r="B345" s="26"/>
      <c r="H345" s="26"/>
      <c r="J345" s="5" t="str">
        <f t="shared" si="1"/>
        <v/>
      </c>
    </row>
    <row r="346" ht="15.75" customHeight="1">
      <c r="B346" s="26"/>
      <c r="H346" s="26"/>
      <c r="J346" s="5" t="str">
        <f t="shared" si="1"/>
        <v/>
      </c>
    </row>
    <row r="347" ht="15.75" customHeight="1">
      <c r="B347" s="26"/>
      <c r="H347" s="26"/>
      <c r="J347" s="5" t="str">
        <f t="shared" si="1"/>
        <v/>
      </c>
    </row>
    <row r="348" ht="15.75" customHeight="1">
      <c r="B348" s="26"/>
      <c r="H348" s="26"/>
      <c r="J348" s="5" t="str">
        <f t="shared" si="1"/>
        <v/>
      </c>
    </row>
    <row r="349" ht="15.75" customHeight="1">
      <c r="B349" s="26"/>
      <c r="H349" s="26"/>
      <c r="J349" s="5" t="str">
        <f t="shared" si="1"/>
        <v/>
      </c>
    </row>
    <row r="350" ht="15.75" customHeight="1">
      <c r="B350" s="26"/>
      <c r="H350" s="26"/>
      <c r="J350" s="5" t="str">
        <f t="shared" si="1"/>
        <v/>
      </c>
    </row>
    <row r="351" ht="15.75" customHeight="1">
      <c r="B351" s="26"/>
      <c r="H351" s="26"/>
      <c r="J351" s="5" t="str">
        <f t="shared" si="1"/>
        <v/>
      </c>
    </row>
    <row r="352" ht="15.75" customHeight="1">
      <c r="B352" s="26"/>
      <c r="H352" s="26"/>
      <c r="J352" s="5" t="str">
        <f t="shared" si="1"/>
        <v/>
      </c>
    </row>
    <row r="353" ht="15.75" customHeight="1">
      <c r="B353" s="26"/>
      <c r="H353" s="26"/>
      <c r="J353" s="5" t="str">
        <f t="shared" si="1"/>
        <v/>
      </c>
    </row>
    <row r="354" ht="15.75" customHeight="1">
      <c r="B354" s="26"/>
      <c r="H354" s="26"/>
      <c r="J354" s="5" t="str">
        <f t="shared" si="1"/>
        <v/>
      </c>
    </row>
    <row r="355" ht="15.75" customHeight="1">
      <c r="B355" s="26"/>
      <c r="H355" s="26"/>
      <c r="J355" s="5" t="str">
        <f t="shared" si="1"/>
        <v/>
      </c>
    </row>
    <row r="356" ht="15.75" customHeight="1">
      <c r="B356" s="26"/>
      <c r="H356" s="26"/>
      <c r="J356" s="5" t="str">
        <f t="shared" si="1"/>
        <v/>
      </c>
    </row>
    <row r="357" ht="15.75" customHeight="1">
      <c r="B357" s="26"/>
      <c r="H357" s="26"/>
      <c r="J357" s="5" t="str">
        <f t="shared" si="1"/>
        <v/>
      </c>
    </row>
    <row r="358" ht="15.75" customHeight="1">
      <c r="B358" s="26"/>
      <c r="H358" s="26"/>
      <c r="J358" s="5" t="str">
        <f t="shared" si="1"/>
        <v/>
      </c>
    </row>
    <row r="359" ht="15.75" customHeight="1">
      <c r="B359" s="26"/>
      <c r="H359" s="26"/>
      <c r="J359" s="5" t="str">
        <f t="shared" si="1"/>
        <v/>
      </c>
    </row>
    <row r="360" ht="15.75" customHeight="1">
      <c r="B360" s="26"/>
      <c r="H360" s="26"/>
      <c r="J360" s="5" t="str">
        <f t="shared" si="1"/>
        <v/>
      </c>
    </row>
    <row r="361" ht="15.75" customHeight="1">
      <c r="B361" s="26"/>
      <c r="H361" s="26"/>
      <c r="J361" s="5" t="str">
        <f t="shared" si="1"/>
        <v/>
      </c>
    </row>
    <row r="362" ht="15.75" customHeight="1">
      <c r="B362" s="26"/>
      <c r="H362" s="26"/>
      <c r="J362" s="5" t="str">
        <f t="shared" si="1"/>
        <v/>
      </c>
    </row>
    <row r="363" ht="15.75" customHeight="1">
      <c r="B363" s="26"/>
      <c r="H363" s="26"/>
      <c r="J363" s="5" t="str">
        <f t="shared" si="1"/>
        <v/>
      </c>
    </row>
    <row r="364" ht="15.75" customHeight="1">
      <c r="B364" s="26"/>
      <c r="H364" s="26"/>
      <c r="J364" s="5" t="str">
        <f t="shared" si="1"/>
        <v/>
      </c>
    </row>
    <row r="365" ht="15.75" customHeight="1">
      <c r="B365" s="26"/>
      <c r="H365" s="26"/>
      <c r="J365" s="5" t="str">
        <f t="shared" si="1"/>
        <v/>
      </c>
    </row>
    <row r="366" ht="15.75" customHeight="1">
      <c r="B366" s="26"/>
      <c r="H366" s="26"/>
      <c r="J366" s="5" t="str">
        <f t="shared" si="1"/>
        <v/>
      </c>
    </row>
    <row r="367" ht="15.75" customHeight="1">
      <c r="B367" s="26"/>
      <c r="H367" s="26"/>
      <c r="J367" s="5" t="str">
        <f t="shared" si="1"/>
        <v/>
      </c>
    </row>
    <row r="368" ht="15.75" customHeight="1">
      <c r="B368" s="26"/>
      <c r="H368" s="26"/>
      <c r="J368" s="5" t="str">
        <f t="shared" si="1"/>
        <v/>
      </c>
    </row>
    <row r="369" ht="15.75" customHeight="1">
      <c r="B369" s="26"/>
      <c r="H369" s="26"/>
      <c r="J369" s="5" t="str">
        <f t="shared" si="1"/>
        <v/>
      </c>
    </row>
    <row r="370" ht="15.75" customHeight="1">
      <c r="B370" s="26"/>
      <c r="H370" s="26"/>
      <c r="J370" s="5" t="str">
        <f t="shared" si="1"/>
        <v/>
      </c>
    </row>
    <row r="371" ht="15.75" customHeight="1">
      <c r="B371" s="26"/>
      <c r="H371" s="26"/>
      <c r="J371" s="5" t="str">
        <f t="shared" si="1"/>
        <v/>
      </c>
    </row>
    <row r="372" ht="15.75" customHeight="1">
      <c r="B372" s="26"/>
      <c r="H372" s="26"/>
      <c r="J372" s="5" t="str">
        <f t="shared" si="1"/>
        <v/>
      </c>
    </row>
    <row r="373" ht="15.75" customHeight="1">
      <c r="B373" s="26"/>
      <c r="H373" s="26"/>
      <c r="J373" s="5" t="str">
        <f t="shared" si="1"/>
        <v/>
      </c>
    </row>
    <row r="374" ht="15.75" customHeight="1">
      <c r="B374" s="26"/>
      <c r="H374" s="26"/>
      <c r="J374" s="5" t="str">
        <f t="shared" si="1"/>
        <v/>
      </c>
    </row>
    <row r="375" ht="15.75" customHeight="1">
      <c r="B375" s="26"/>
      <c r="H375" s="26"/>
      <c r="J375" s="5" t="str">
        <f t="shared" si="1"/>
        <v/>
      </c>
    </row>
    <row r="376" ht="15.75" customHeight="1">
      <c r="B376" s="26"/>
      <c r="H376" s="26"/>
      <c r="J376" s="5" t="str">
        <f t="shared" si="1"/>
        <v/>
      </c>
    </row>
    <row r="377" ht="15.75" customHeight="1">
      <c r="B377" s="26"/>
      <c r="H377" s="26"/>
      <c r="J377" s="5" t="str">
        <f t="shared" si="1"/>
        <v/>
      </c>
    </row>
    <row r="378" ht="15.75" customHeight="1">
      <c r="B378" s="26"/>
      <c r="H378" s="26"/>
      <c r="J378" s="5" t="str">
        <f t="shared" si="1"/>
        <v/>
      </c>
    </row>
    <row r="379" ht="15.75" customHeight="1">
      <c r="B379" s="26"/>
      <c r="H379" s="26"/>
      <c r="J379" s="5" t="str">
        <f t="shared" si="1"/>
        <v/>
      </c>
    </row>
    <row r="380" ht="15.75" customHeight="1">
      <c r="B380" s="26"/>
      <c r="H380" s="26"/>
      <c r="J380" s="5" t="str">
        <f t="shared" si="1"/>
        <v/>
      </c>
    </row>
    <row r="381" ht="15.75" customHeight="1">
      <c r="B381" s="26"/>
      <c r="H381" s="26"/>
      <c r="J381" s="5" t="str">
        <f t="shared" si="1"/>
        <v/>
      </c>
    </row>
    <row r="382" ht="15.75" customHeight="1">
      <c r="B382" s="26"/>
      <c r="H382" s="26"/>
      <c r="J382" s="5" t="str">
        <f t="shared" si="1"/>
        <v/>
      </c>
    </row>
    <row r="383" ht="15.75" customHeight="1">
      <c r="B383" s="26"/>
      <c r="H383" s="26"/>
      <c r="J383" s="5" t="str">
        <f t="shared" si="1"/>
        <v/>
      </c>
    </row>
    <row r="384" ht="15.75" customHeight="1">
      <c r="B384" s="26"/>
      <c r="H384" s="26"/>
      <c r="J384" s="5" t="str">
        <f t="shared" si="1"/>
        <v/>
      </c>
    </row>
    <row r="385" ht="15.75" customHeight="1">
      <c r="B385" s="26"/>
      <c r="H385" s="26"/>
      <c r="J385" s="5" t="str">
        <f t="shared" si="1"/>
        <v/>
      </c>
    </row>
    <row r="386" ht="15.75" customHeight="1">
      <c r="B386" s="26"/>
      <c r="H386" s="26"/>
      <c r="J386" s="5" t="str">
        <f t="shared" si="1"/>
        <v/>
      </c>
    </row>
    <row r="387" ht="15.75" customHeight="1">
      <c r="B387" s="26"/>
      <c r="H387" s="26"/>
      <c r="J387" s="5" t="str">
        <f t="shared" si="1"/>
        <v/>
      </c>
    </row>
    <row r="388" ht="15.75" customHeight="1">
      <c r="B388" s="26"/>
      <c r="H388" s="26"/>
      <c r="J388" s="5" t="str">
        <f t="shared" si="1"/>
        <v/>
      </c>
    </row>
    <row r="389" ht="15.75" customHeight="1">
      <c r="B389" s="26"/>
      <c r="H389" s="26"/>
      <c r="J389" s="5" t="str">
        <f t="shared" si="1"/>
        <v/>
      </c>
    </row>
    <row r="390" ht="15.75" customHeight="1">
      <c r="B390" s="26"/>
      <c r="H390" s="26"/>
      <c r="J390" s="5" t="str">
        <f t="shared" si="1"/>
        <v/>
      </c>
    </row>
    <row r="391" ht="15.75" customHeight="1">
      <c r="B391" s="26"/>
      <c r="H391" s="26"/>
      <c r="J391" s="5" t="str">
        <f t="shared" si="1"/>
        <v/>
      </c>
    </row>
    <row r="392" ht="15.75" customHeight="1">
      <c r="B392" s="26"/>
      <c r="H392" s="26"/>
      <c r="J392" s="5" t="str">
        <f t="shared" si="1"/>
        <v/>
      </c>
    </row>
    <row r="393" ht="15.75" customHeight="1">
      <c r="B393" s="26"/>
      <c r="H393" s="26"/>
      <c r="J393" s="5" t="str">
        <f t="shared" si="1"/>
        <v/>
      </c>
    </row>
    <row r="394" ht="15.75" customHeight="1">
      <c r="B394" s="26"/>
      <c r="H394" s="26"/>
      <c r="J394" s="5" t="str">
        <f t="shared" si="1"/>
        <v/>
      </c>
    </row>
    <row r="395" ht="15.75" customHeight="1">
      <c r="B395" s="26"/>
      <c r="H395" s="26"/>
      <c r="J395" s="5" t="str">
        <f t="shared" si="1"/>
        <v/>
      </c>
    </row>
    <row r="396" ht="15.75" customHeight="1">
      <c r="B396" s="26"/>
      <c r="H396" s="26"/>
      <c r="J396" s="5" t="str">
        <f t="shared" si="1"/>
        <v/>
      </c>
    </row>
    <row r="397" ht="15.75" customHeight="1">
      <c r="B397" s="26"/>
      <c r="H397" s="26"/>
      <c r="J397" s="5" t="str">
        <f t="shared" si="1"/>
        <v/>
      </c>
    </row>
    <row r="398" ht="15.75" customHeight="1">
      <c r="B398" s="26"/>
      <c r="H398" s="26"/>
      <c r="J398" s="5" t="str">
        <f t="shared" si="1"/>
        <v/>
      </c>
    </row>
    <row r="399" ht="15.75" customHeight="1">
      <c r="B399" s="26"/>
      <c r="H399" s="26"/>
      <c r="J399" s="5" t="str">
        <f t="shared" si="1"/>
        <v/>
      </c>
    </row>
    <row r="400" ht="15.75" customHeight="1">
      <c r="B400" s="26"/>
      <c r="H400" s="26"/>
      <c r="J400" s="5" t="str">
        <f t="shared" si="1"/>
        <v/>
      </c>
    </row>
    <row r="401" ht="15.75" customHeight="1">
      <c r="B401" s="26"/>
      <c r="H401" s="26"/>
      <c r="J401" s="5" t="str">
        <f t="shared" si="1"/>
        <v/>
      </c>
    </row>
    <row r="402" ht="15.75" customHeight="1">
      <c r="B402" s="26"/>
      <c r="H402" s="26"/>
      <c r="J402" s="5" t="str">
        <f t="shared" si="1"/>
        <v/>
      </c>
    </row>
    <row r="403" ht="15.75" customHeight="1">
      <c r="B403" s="26"/>
      <c r="H403" s="26"/>
      <c r="J403" s="5" t="str">
        <f t="shared" si="1"/>
        <v/>
      </c>
    </row>
    <row r="404" ht="15.75" customHeight="1">
      <c r="B404" s="26"/>
      <c r="H404" s="26"/>
      <c r="J404" s="5" t="str">
        <f t="shared" si="1"/>
        <v/>
      </c>
    </row>
    <row r="405" ht="15.75" customHeight="1">
      <c r="B405" s="26"/>
      <c r="H405" s="26"/>
      <c r="J405" s="5" t="str">
        <f t="shared" si="1"/>
        <v/>
      </c>
    </row>
    <row r="406" ht="15.75" customHeight="1">
      <c r="B406" s="26"/>
      <c r="H406" s="26"/>
      <c r="J406" s="5" t="str">
        <f t="shared" si="1"/>
        <v/>
      </c>
    </row>
    <row r="407" ht="15.75" customHeight="1">
      <c r="B407" s="26"/>
      <c r="H407" s="26"/>
      <c r="J407" s="5" t="str">
        <f t="shared" si="1"/>
        <v/>
      </c>
    </row>
    <row r="408" ht="15.75" customHeight="1">
      <c r="B408" s="26"/>
      <c r="H408" s="26"/>
      <c r="J408" s="5" t="str">
        <f t="shared" si="1"/>
        <v/>
      </c>
    </row>
    <row r="409" ht="15.75" customHeight="1">
      <c r="B409" s="26"/>
      <c r="H409" s="26"/>
      <c r="J409" s="5" t="str">
        <f t="shared" si="1"/>
        <v/>
      </c>
    </row>
    <row r="410" ht="15.75" customHeight="1">
      <c r="B410" s="26"/>
      <c r="H410" s="26"/>
      <c r="J410" s="5" t="str">
        <f t="shared" si="1"/>
        <v/>
      </c>
    </row>
    <row r="411" ht="15.75" customHeight="1">
      <c r="B411" s="26"/>
      <c r="H411" s="26"/>
      <c r="J411" s="5" t="str">
        <f t="shared" si="1"/>
        <v/>
      </c>
    </row>
    <row r="412" ht="15.75" customHeight="1">
      <c r="B412" s="26"/>
      <c r="H412" s="26"/>
      <c r="J412" s="5" t="str">
        <f t="shared" si="1"/>
        <v/>
      </c>
    </row>
    <row r="413" ht="15.75" customHeight="1">
      <c r="B413" s="26"/>
      <c r="H413" s="26"/>
      <c r="J413" s="5" t="str">
        <f t="shared" si="1"/>
        <v/>
      </c>
    </row>
    <row r="414" ht="15.75" customHeight="1">
      <c r="B414" s="26"/>
      <c r="H414" s="26"/>
      <c r="J414" s="5" t="str">
        <f t="shared" si="1"/>
        <v/>
      </c>
    </row>
    <row r="415" ht="15.75" customHeight="1">
      <c r="B415" s="26"/>
      <c r="H415" s="26"/>
      <c r="J415" s="5" t="str">
        <f t="shared" si="1"/>
        <v/>
      </c>
    </row>
    <row r="416" ht="15.75" customHeight="1">
      <c r="B416" s="26"/>
      <c r="H416" s="26"/>
      <c r="J416" s="5" t="str">
        <f t="shared" si="1"/>
        <v/>
      </c>
    </row>
    <row r="417" ht="15.75" customHeight="1">
      <c r="B417" s="26"/>
      <c r="H417" s="26"/>
      <c r="J417" s="5" t="str">
        <f t="shared" si="1"/>
        <v/>
      </c>
    </row>
    <row r="418" ht="15.75" customHeight="1">
      <c r="B418" s="26"/>
      <c r="H418" s="26"/>
      <c r="J418" s="5" t="str">
        <f t="shared" si="1"/>
        <v/>
      </c>
    </row>
    <row r="419" ht="15.75" customHeight="1">
      <c r="B419" s="26"/>
      <c r="H419" s="26"/>
      <c r="J419" s="5" t="str">
        <f t="shared" si="1"/>
        <v/>
      </c>
    </row>
    <row r="420" ht="15.75" customHeight="1">
      <c r="B420" s="26"/>
      <c r="H420" s="26"/>
      <c r="J420" s="5" t="str">
        <f t="shared" si="1"/>
        <v/>
      </c>
    </row>
    <row r="421" ht="15.75" customHeight="1">
      <c r="B421" s="26"/>
      <c r="H421" s="26"/>
      <c r="J421" s="5" t="str">
        <f t="shared" si="1"/>
        <v/>
      </c>
    </row>
    <row r="422" ht="15.75" customHeight="1">
      <c r="B422" s="26"/>
      <c r="H422" s="26"/>
      <c r="J422" s="5" t="str">
        <f t="shared" si="1"/>
        <v/>
      </c>
    </row>
    <row r="423" ht="15.75" customHeight="1">
      <c r="B423" s="26"/>
      <c r="H423" s="26"/>
      <c r="J423" s="5" t="str">
        <f t="shared" si="1"/>
        <v/>
      </c>
    </row>
    <row r="424" ht="15.75" customHeight="1">
      <c r="B424" s="26"/>
      <c r="H424" s="26"/>
      <c r="J424" s="5" t="str">
        <f t="shared" si="1"/>
        <v/>
      </c>
    </row>
    <row r="425" ht="15.75" customHeight="1">
      <c r="B425" s="26"/>
      <c r="H425" s="26"/>
      <c r="J425" s="5" t="str">
        <f t="shared" si="1"/>
        <v/>
      </c>
    </row>
    <row r="426" ht="15.75" customHeight="1">
      <c r="B426" s="26"/>
      <c r="H426" s="26"/>
      <c r="J426" s="5" t="str">
        <f t="shared" si="1"/>
        <v/>
      </c>
    </row>
    <row r="427" ht="15.75" customHeight="1">
      <c r="B427" s="26"/>
      <c r="H427" s="26"/>
      <c r="J427" s="5" t="str">
        <f t="shared" si="1"/>
        <v/>
      </c>
    </row>
    <row r="428" ht="15.75" customHeight="1">
      <c r="B428" s="26"/>
      <c r="H428" s="26"/>
      <c r="J428" s="5" t="str">
        <f t="shared" si="1"/>
        <v/>
      </c>
    </row>
    <row r="429" ht="15.75" customHeight="1">
      <c r="B429" s="26"/>
      <c r="H429" s="26"/>
      <c r="J429" s="5" t="str">
        <f t="shared" si="1"/>
        <v/>
      </c>
    </row>
    <row r="430" ht="15.75" customHeight="1">
      <c r="B430" s="26"/>
      <c r="H430" s="26"/>
      <c r="J430" s="5" t="str">
        <f t="shared" si="1"/>
        <v/>
      </c>
    </row>
    <row r="431" ht="15.75" customHeight="1">
      <c r="B431" s="26"/>
      <c r="H431" s="26"/>
      <c r="J431" s="5" t="str">
        <f t="shared" si="1"/>
        <v/>
      </c>
    </row>
    <row r="432" ht="15.75" customHeight="1">
      <c r="B432" s="26"/>
      <c r="H432" s="26"/>
      <c r="J432" s="5" t="str">
        <f t="shared" si="1"/>
        <v/>
      </c>
    </row>
    <row r="433" ht="15.75" customHeight="1">
      <c r="B433" s="26"/>
      <c r="H433" s="26"/>
      <c r="J433" s="5" t="str">
        <f t="shared" si="1"/>
        <v/>
      </c>
    </row>
    <row r="434" ht="15.75" customHeight="1">
      <c r="B434" s="26"/>
      <c r="H434" s="26"/>
      <c r="J434" s="5" t="str">
        <f t="shared" si="1"/>
        <v/>
      </c>
    </row>
    <row r="435" ht="15.75" customHeight="1">
      <c r="B435" s="26"/>
      <c r="H435" s="26"/>
      <c r="J435" s="5" t="str">
        <f t="shared" si="1"/>
        <v/>
      </c>
    </row>
    <row r="436" ht="15.75" customHeight="1">
      <c r="B436" s="26"/>
      <c r="H436" s="26"/>
      <c r="J436" s="5" t="str">
        <f t="shared" si="1"/>
        <v/>
      </c>
    </row>
    <row r="437" ht="15.75" customHeight="1">
      <c r="B437" s="26"/>
      <c r="H437" s="26"/>
      <c r="J437" s="5" t="str">
        <f t="shared" si="1"/>
        <v/>
      </c>
    </row>
    <row r="438" ht="15.75" customHeight="1">
      <c r="B438" s="26"/>
      <c r="H438" s="26"/>
      <c r="J438" s="5" t="str">
        <f t="shared" si="1"/>
        <v/>
      </c>
    </row>
    <row r="439" ht="15.75" customHeight="1">
      <c r="B439" s="26"/>
      <c r="H439" s="26"/>
      <c r="J439" s="5" t="str">
        <f t="shared" si="1"/>
        <v/>
      </c>
    </row>
    <row r="440" ht="15.75" customHeight="1">
      <c r="B440" s="26"/>
      <c r="H440" s="26"/>
      <c r="J440" s="5" t="str">
        <f t="shared" si="1"/>
        <v/>
      </c>
    </row>
    <row r="441" ht="15.75" customHeight="1">
      <c r="B441" s="26"/>
      <c r="H441" s="26"/>
      <c r="J441" s="5" t="str">
        <f t="shared" si="1"/>
        <v/>
      </c>
    </row>
    <row r="442" ht="15.75" customHeight="1">
      <c r="B442" s="26"/>
      <c r="H442" s="26"/>
      <c r="J442" s="5" t="str">
        <f t="shared" si="1"/>
        <v/>
      </c>
    </row>
    <row r="443" ht="15.75" customHeight="1">
      <c r="B443" s="26"/>
      <c r="H443" s="26"/>
      <c r="J443" s="5" t="str">
        <f t="shared" si="1"/>
        <v/>
      </c>
    </row>
    <row r="444" ht="15.75" customHeight="1">
      <c r="B444" s="26"/>
      <c r="H444" s="26"/>
      <c r="J444" s="5" t="str">
        <f t="shared" si="1"/>
        <v/>
      </c>
    </row>
    <row r="445" ht="15.75" customHeight="1">
      <c r="B445" s="26"/>
      <c r="H445" s="26"/>
      <c r="J445" s="5" t="str">
        <f t="shared" si="1"/>
        <v/>
      </c>
    </row>
    <row r="446" ht="15.75" customHeight="1">
      <c r="B446" s="26"/>
      <c r="H446" s="26"/>
      <c r="J446" s="5" t="str">
        <f t="shared" si="1"/>
        <v/>
      </c>
    </row>
    <row r="447" ht="15.75" customHeight="1">
      <c r="B447" s="26"/>
      <c r="H447" s="26"/>
      <c r="J447" s="5" t="str">
        <f t="shared" si="1"/>
        <v/>
      </c>
    </row>
    <row r="448" ht="15.75" customHeight="1">
      <c r="B448" s="26"/>
      <c r="H448" s="26"/>
      <c r="J448" s="5" t="str">
        <f t="shared" si="1"/>
        <v/>
      </c>
    </row>
    <row r="449" ht="15.75" customHeight="1">
      <c r="B449" s="26"/>
      <c r="H449" s="26"/>
      <c r="J449" s="5" t="str">
        <f t="shared" si="1"/>
        <v/>
      </c>
    </row>
    <row r="450" ht="15.75" customHeight="1">
      <c r="B450" s="26"/>
      <c r="H450" s="26"/>
      <c r="J450" s="5" t="str">
        <f t="shared" si="1"/>
        <v/>
      </c>
    </row>
    <row r="451" ht="15.75" customHeight="1">
      <c r="B451" s="26"/>
      <c r="H451" s="26"/>
      <c r="J451" s="5" t="str">
        <f t="shared" si="1"/>
        <v/>
      </c>
    </row>
    <row r="452" ht="15.75" customHeight="1">
      <c r="B452" s="26"/>
      <c r="H452" s="26"/>
      <c r="J452" s="5" t="str">
        <f t="shared" si="1"/>
        <v/>
      </c>
    </row>
    <row r="453" ht="15.75" customHeight="1">
      <c r="B453" s="26"/>
      <c r="H453" s="26"/>
      <c r="J453" s="5" t="str">
        <f t="shared" si="1"/>
        <v/>
      </c>
    </row>
    <row r="454" ht="15.75" customHeight="1">
      <c r="B454" s="26"/>
      <c r="H454" s="26"/>
      <c r="J454" s="5" t="str">
        <f t="shared" si="1"/>
        <v/>
      </c>
    </row>
    <row r="455" ht="15.75" customHeight="1">
      <c r="B455" s="26"/>
      <c r="H455" s="26"/>
      <c r="J455" s="5" t="str">
        <f t="shared" si="1"/>
        <v/>
      </c>
    </row>
    <row r="456" ht="15.75" customHeight="1">
      <c r="B456" s="26"/>
      <c r="H456" s="26"/>
      <c r="J456" s="5" t="str">
        <f t="shared" si="1"/>
        <v/>
      </c>
    </row>
    <row r="457" ht="15.75" customHeight="1">
      <c r="B457" s="26"/>
      <c r="H457" s="26"/>
      <c r="J457" s="5" t="str">
        <f t="shared" si="1"/>
        <v/>
      </c>
    </row>
    <row r="458" ht="15.75" customHeight="1">
      <c r="B458" s="26"/>
      <c r="H458" s="26"/>
      <c r="J458" s="5" t="str">
        <f t="shared" si="1"/>
        <v/>
      </c>
    </row>
    <row r="459" ht="15.75" customHeight="1">
      <c r="B459" s="26"/>
      <c r="H459" s="26"/>
      <c r="J459" s="5" t="str">
        <f t="shared" si="1"/>
        <v/>
      </c>
    </row>
    <row r="460" ht="15.75" customHeight="1">
      <c r="B460" s="26"/>
      <c r="H460" s="26"/>
      <c r="J460" s="5" t="str">
        <f t="shared" si="1"/>
        <v/>
      </c>
    </row>
    <row r="461" ht="15.75" customHeight="1">
      <c r="B461" s="26"/>
      <c r="H461" s="26"/>
      <c r="J461" s="5" t="str">
        <f t="shared" si="1"/>
        <v/>
      </c>
    </row>
    <row r="462" ht="15.75" customHeight="1">
      <c r="B462" s="26"/>
      <c r="H462" s="26"/>
      <c r="J462" s="5" t="str">
        <f t="shared" si="1"/>
        <v/>
      </c>
    </row>
    <row r="463" ht="15.75" customHeight="1">
      <c r="B463" s="26"/>
      <c r="H463" s="26"/>
      <c r="J463" s="5" t="str">
        <f t="shared" si="1"/>
        <v/>
      </c>
    </row>
    <row r="464" ht="15.75" customHeight="1">
      <c r="B464" s="26"/>
      <c r="H464" s="26"/>
      <c r="J464" s="5" t="str">
        <f t="shared" si="1"/>
        <v/>
      </c>
    </row>
    <row r="465" ht="15.75" customHeight="1">
      <c r="B465" s="26"/>
      <c r="H465" s="26"/>
      <c r="J465" s="5" t="str">
        <f t="shared" si="1"/>
        <v/>
      </c>
    </row>
    <row r="466" ht="15.75" customHeight="1">
      <c r="B466" s="26"/>
      <c r="H466" s="26"/>
      <c r="J466" s="5" t="str">
        <f t="shared" si="1"/>
        <v/>
      </c>
    </row>
    <row r="467" ht="15.75" customHeight="1">
      <c r="B467" s="26"/>
      <c r="H467" s="26"/>
      <c r="J467" s="5" t="str">
        <f t="shared" si="1"/>
        <v/>
      </c>
    </row>
    <row r="468" ht="15.75" customHeight="1">
      <c r="B468" s="26"/>
      <c r="H468" s="26"/>
      <c r="J468" s="5" t="str">
        <f t="shared" si="1"/>
        <v/>
      </c>
    </row>
    <row r="469" ht="15.75" customHeight="1">
      <c r="B469" s="26"/>
      <c r="H469" s="26"/>
      <c r="J469" s="5" t="str">
        <f t="shared" si="1"/>
        <v/>
      </c>
    </row>
    <row r="470" ht="15.75" customHeight="1">
      <c r="B470" s="26"/>
      <c r="H470" s="26"/>
      <c r="J470" s="5" t="str">
        <f t="shared" si="1"/>
        <v/>
      </c>
    </row>
    <row r="471" ht="15.75" customHeight="1">
      <c r="B471" s="26"/>
      <c r="H471" s="26"/>
      <c r="J471" s="5" t="str">
        <f t="shared" si="1"/>
        <v/>
      </c>
    </row>
    <row r="472" ht="15.75" customHeight="1">
      <c r="B472" s="26"/>
      <c r="H472" s="26"/>
      <c r="J472" s="5" t="str">
        <f t="shared" si="1"/>
        <v/>
      </c>
    </row>
    <row r="473" ht="15.75" customHeight="1">
      <c r="B473" s="26"/>
      <c r="H473" s="26"/>
      <c r="J473" s="5" t="str">
        <f t="shared" si="1"/>
        <v/>
      </c>
    </row>
    <row r="474" ht="15.75" customHeight="1">
      <c r="B474" s="26"/>
      <c r="H474" s="26"/>
      <c r="J474" s="5" t="str">
        <f t="shared" si="1"/>
        <v/>
      </c>
    </row>
    <row r="475" ht="15.75" customHeight="1">
      <c r="B475" s="26"/>
      <c r="H475" s="26"/>
      <c r="J475" s="5" t="str">
        <f t="shared" si="1"/>
        <v/>
      </c>
    </row>
    <row r="476" ht="15.75" customHeight="1">
      <c r="B476" s="26"/>
      <c r="H476" s="26"/>
      <c r="J476" s="5" t="str">
        <f t="shared" si="1"/>
        <v/>
      </c>
    </row>
    <row r="477" ht="15.75" customHeight="1">
      <c r="B477" s="26"/>
      <c r="H477" s="26"/>
      <c r="J477" s="5" t="str">
        <f t="shared" si="1"/>
        <v/>
      </c>
    </row>
    <row r="478" ht="15.75" customHeight="1">
      <c r="B478" s="26"/>
      <c r="H478" s="26"/>
      <c r="J478" s="5" t="str">
        <f t="shared" si="1"/>
        <v/>
      </c>
    </row>
    <row r="479" ht="15.75" customHeight="1">
      <c r="B479" s="26"/>
      <c r="H479" s="26"/>
      <c r="J479" s="5" t="str">
        <f t="shared" si="1"/>
        <v/>
      </c>
    </row>
    <row r="480" ht="15.75" customHeight="1">
      <c r="B480" s="26"/>
      <c r="H480" s="26"/>
      <c r="J480" s="5" t="str">
        <f t="shared" si="1"/>
        <v/>
      </c>
    </row>
    <row r="481" ht="15.75" customHeight="1">
      <c r="B481" s="26"/>
      <c r="H481" s="26"/>
      <c r="J481" s="5" t="str">
        <f t="shared" si="1"/>
        <v/>
      </c>
    </row>
    <row r="482" ht="15.75" customHeight="1">
      <c r="B482" s="26"/>
      <c r="H482" s="26"/>
      <c r="J482" s="5" t="str">
        <f t="shared" si="1"/>
        <v/>
      </c>
    </row>
    <row r="483" ht="15.75" customHeight="1">
      <c r="B483" s="26"/>
      <c r="H483" s="26"/>
      <c r="J483" s="5" t="str">
        <f t="shared" si="1"/>
        <v/>
      </c>
    </row>
    <row r="484" ht="15.75" customHeight="1">
      <c r="B484" s="26"/>
      <c r="H484" s="26"/>
      <c r="J484" s="5" t="str">
        <f t="shared" si="1"/>
        <v/>
      </c>
    </row>
    <row r="485" ht="15.75" customHeight="1">
      <c r="B485" s="26"/>
      <c r="H485" s="26"/>
      <c r="J485" s="5" t="str">
        <f t="shared" si="1"/>
        <v/>
      </c>
    </row>
    <row r="486" ht="15.75" customHeight="1">
      <c r="B486" s="26"/>
      <c r="H486" s="26"/>
      <c r="J486" s="5" t="str">
        <f t="shared" si="1"/>
        <v/>
      </c>
    </row>
    <row r="487" ht="15.75" customHeight="1">
      <c r="B487" s="26"/>
      <c r="H487" s="26"/>
      <c r="J487" s="5" t="str">
        <f t="shared" si="1"/>
        <v/>
      </c>
    </row>
    <row r="488" ht="15.75" customHeight="1">
      <c r="B488" s="26"/>
      <c r="H488" s="26"/>
      <c r="J488" s="5" t="str">
        <f t="shared" si="1"/>
        <v/>
      </c>
    </row>
    <row r="489" ht="15.75" customHeight="1">
      <c r="B489" s="26"/>
      <c r="H489" s="26"/>
      <c r="J489" s="5" t="str">
        <f t="shared" si="1"/>
        <v/>
      </c>
    </row>
    <row r="490" ht="15.75" customHeight="1">
      <c r="B490" s="26"/>
      <c r="H490" s="26"/>
      <c r="J490" s="5" t="str">
        <f t="shared" si="1"/>
        <v/>
      </c>
    </row>
    <row r="491" ht="15.75" customHeight="1">
      <c r="B491" s="26"/>
      <c r="H491" s="26"/>
      <c r="J491" s="5" t="str">
        <f t="shared" si="1"/>
        <v/>
      </c>
    </row>
    <row r="492" ht="15.75" customHeight="1">
      <c r="B492" s="26"/>
      <c r="H492" s="26"/>
      <c r="J492" s="5" t="str">
        <f t="shared" si="1"/>
        <v/>
      </c>
    </row>
    <row r="493" ht="15.75" customHeight="1">
      <c r="B493" s="26"/>
      <c r="H493" s="26"/>
      <c r="J493" s="5" t="str">
        <f t="shared" si="1"/>
        <v/>
      </c>
    </row>
    <row r="494" ht="15.75" customHeight="1">
      <c r="B494" s="26"/>
      <c r="H494" s="26"/>
      <c r="J494" s="5" t="str">
        <f t="shared" si="1"/>
        <v/>
      </c>
    </row>
    <row r="495" ht="15.75" customHeight="1">
      <c r="B495" s="26"/>
      <c r="H495" s="26"/>
      <c r="J495" s="5" t="str">
        <f t="shared" si="1"/>
        <v/>
      </c>
    </row>
    <row r="496" ht="15.75" customHeight="1">
      <c r="B496" s="26"/>
      <c r="H496" s="26"/>
      <c r="J496" s="5" t="str">
        <f t="shared" si="1"/>
        <v/>
      </c>
    </row>
    <row r="497" ht="15.75" customHeight="1">
      <c r="B497" s="26"/>
      <c r="H497" s="26"/>
      <c r="J497" s="5" t="str">
        <f t="shared" si="1"/>
        <v/>
      </c>
    </row>
    <row r="498" ht="15.75" customHeight="1">
      <c r="B498" s="26"/>
      <c r="H498" s="26"/>
      <c r="J498" s="5" t="str">
        <f t="shared" si="1"/>
        <v/>
      </c>
    </row>
    <row r="499" ht="15.75" customHeight="1">
      <c r="B499" s="26"/>
      <c r="H499" s="26"/>
      <c r="J499" s="5" t="str">
        <f t="shared" si="1"/>
        <v/>
      </c>
    </row>
    <row r="500" ht="15.75" customHeight="1">
      <c r="B500" s="26"/>
      <c r="H500" s="26"/>
      <c r="J500" s="5" t="str">
        <f t="shared" si="1"/>
        <v/>
      </c>
    </row>
    <row r="501" ht="15.75" customHeight="1">
      <c r="B501" s="26"/>
      <c r="H501" s="26"/>
      <c r="J501" s="5" t="str">
        <f t="shared" si="1"/>
        <v/>
      </c>
    </row>
    <row r="502" ht="15.75" customHeight="1">
      <c r="B502" s="26"/>
      <c r="H502" s="26"/>
      <c r="J502" s="5" t="str">
        <f t="shared" si="1"/>
        <v/>
      </c>
    </row>
    <row r="503" ht="15.75" customHeight="1">
      <c r="B503" s="26"/>
      <c r="H503" s="26"/>
      <c r="J503" s="5" t="str">
        <f t="shared" si="1"/>
        <v/>
      </c>
    </row>
    <row r="504" ht="15.75" customHeight="1">
      <c r="B504" s="26"/>
      <c r="H504" s="26"/>
      <c r="J504" s="5" t="str">
        <f t="shared" si="1"/>
        <v/>
      </c>
    </row>
    <row r="505" ht="15.75" customHeight="1">
      <c r="B505" s="26"/>
      <c r="H505" s="26"/>
      <c r="J505" s="5" t="str">
        <f t="shared" si="1"/>
        <v/>
      </c>
    </row>
    <row r="506" ht="15.75" customHeight="1">
      <c r="B506" s="26"/>
      <c r="H506" s="26"/>
      <c r="J506" s="5" t="str">
        <f t="shared" si="1"/>
        <v/>
      </c>
    </row>
    <row r="507" ht="15.75" customHeight="1">
      <c r="B507" s="26"/>
      <c r="H507" s="26"/>
      <c r="J507" s="5" t="str">
        <f t="shared" si="1"/>
        <v/>
      </c>
    </row>
    <row r="508" ht="15.75" customHeight="1">
      <c r="B508" s="26"/>
      <c r="H508" s="26"/>
      <c r="J508" s="5" t="str">
        <f t="shared" si="1"/>
        <v/>
      </c>
    </row>
    <row r="509" ht="15.75" customHeight="1">
      <c r="B509" s="26"/>
      <c r="H509" s="26"/>
      <c r="J509" s="5" t="str">
        <f t="shared" si="1"/>
        <v/>
      </c>
    </row>
    <row r="510" ht="15.75" customHeight="1">
      <c r="B510" s="26"/>
      <c r="H510" s="26"/>
      <c r="J510" s="5" t="str">
        <f t="shared" si="1"/>
        <v/>
      </c>
    </row>
    <row r="511" ht="15.75" customHeight="1">
      <c r="B511" s="26"/>
      <c r="H511" s="26"/>
      <c r="J511" s="5" t="str">
        <f t="shared" si="1"/>
        <v/>
      </c>
    </row>
    <row r="512" ht="15.75" customHeight="1">
      <c r="B512" s="26"/>
      <c r="H512" s="26"/>
      <c r="J512" s="5" t="str">
        <f t="shared" si="1"/>
        <v/>
      </c>
    </row>
    <row r="513" ht="15.75" customHeight="1">
      <c r="B513" s="26"/>
      <c r="H513" s="26"/>
      <c r="J513" s="5" t="str">
        <f t="shared" si="1"/>
        <v/>
      </c>
    </row>
    <row r="514" ht="15.75" customHeight="1">
      <c r="B514" s="26"/>
      <c r="H514" s="26"/>
      <c r="J514" s="5" t="str">
        <f t="shared" si="1"/>
        <v/>
      </c>
    </row>
    <row r="515" ht="15.75" customHeight="1">
      <c r="B515" s="26"/>
      <c r="H515" s="26"/>
      <c r="J515" s="5" t="str">
        <f t="shared" si="1"/>
        <v/>
      </c>
    </row>
    <row r="516" ht="15.75" customHeight="1">
      <c r="B516" s="26"/>
      <c r="H516" s="26"/>
      <c r="J516" s="5" t="str">
        <f t="shared" si="1"/>
        <v/>
      </c>
    </row>
    <row r="517" ht="15.75" customHeight="1">
      <c r="B517" s="26"/>
      <c r="H517" s="26"/>
      <c r="J517" s="5" t="str">
        <f t="shared" si="1"/>
        <v/>
      </c>
    </row>
    <row r="518" ht="15.75" customHeight="1">
      <c r="B518" s="26"/>
      <c r="H518" s="26"/>
      <c r="J518" s="5" t="str">
        <f t="shared" si="1"/>
        <v/>
      </c>
    </row>
    <row r="519" ht="15.75" customHeight="1">
      <c r="B519" s="26"/>
      <c r="H519" s="26"/>
      <c r="J519" s="5" t="str">
        <f t="shared" si="1"/>
        <v/>
      </c>
    </row>
    <row r="520" ht="15.75" customHeight="1">
      <c r="B520" s="26"/>
      <c r="H520" s="26"/>
      <c r="J520" s="5" t="str">
        <f t="shared" si="1"/>
        <v/>
      </c>
    </row>
    <row r="521" ht="15.75" customHeight="1">
      <c r="B521" s="26"/>
      <c r="H521" s="26"/>
      <c r="J521" s="5" t="str">
        <f t="shared" si="1"/>
        <v/>
      </c>
    </row>
    <row r="522" ht="15.75" customHeight="1">
      <c r="B522" s="26"/>
      <c r="H522" s="26"/>
      <c r="J522" s="5" t="str">
        <f t="shared" si="1"/>
        <v/>
      </c>
    </row>
    <row r="523" ht="15.75" customHeight="1">
      <c r="B523" s="26"/>
      <c r="H523" s="26"/>
      <c r="J523" s="5" t="str">
        <f t="shared" si="1"/>
        <v/>
      </c>
    </row>
    <row r="524" ht="15.75" customHeight="1">
      <c r="B524" s="26"/>
      <c r="H524" s="26"/>
      <c r="J524" s="5" t="str">
        <f t="shared" si="1"/>
        <v/>
      </c>
    </row>
    <row r="525" ht="15.75" customHeight="1">
      <c r="B525" s="26"/>
      <c r="H525" s="26"/>
      <c r="J525" s="5" t="str">
        <f t="shared" si="1"/>
        <v/>
      </c>
    </row>
    <row r="526" ht="15.75" customHeight="1">
      <c r="B526" s="26"/>
      <c r="H526" s="26"/>
      <c r="J526" s="5" t="str">
        <f t="shared" si="1"/>
        <v/>
      </c>
    </row>
    <row r="527" ht="15.75" customHeight="1">
      <c r="B527" s="26"/>
      <c r="H527" s="26"/>
      <c r="J527" s="5" t="str">
        <f t="shared" si="1"/>
        <v/>
      </c>
    </row>
    <row r="528" ht="15.75" customHeight="1">
      <c r="B528" s="26"/>
      <c r="H528" s="26"/>
      <c r="J528" s="5" t="str">
        <f t="shared" si="1"/>
        <v/>
      </c>
    </row>
    <row r="529" ht="15.75" customHeight="1">
      <c r="B529" s="26"/>
      <c r="H529" s="26"/>
      <c r="J529" s="5" t="str">
        <f t="shared" si="1"/>
        <v/>
      </c>
    </row>
    <row r="530" ht="15.75" customHeight="1">
      <c r="B530" s="26"/>
      <c r="H530" s="26"/>
      <c r="J530" s="5" t="str">
        <f t="shared" si="1"/>
        <v/>
      </c>
    </row>
    <row r="531" ht="15.75" customHeight="1">
      <c r="B531" s="26"/>
      <c r="H531" s="26"/>
      <c r="J531" s="5" t="str">
        <f t="shared" si="1"/>
        <v/>
      </c>
    </row>
    <row r="532" ht="15.75" customHeight="1">
      <c r="B532" s="26"/>
      <c r="H532" s="26"/>
      <c r="J532" s="5" t="str">
        <f t="shared" si="1"/>
        <v/>
      </c>
    </row>
    <row r="533" ht="15.75" customHeight="1">
      <c r="B533" s="26"/>
      <c r="H533" s="26"/>
      <c r="J533" s="5" t="str">
        <f t="shared" si="1"/>
        <v/>
      </c>
    </row>
    <row r="534" ht="15.75" customHeight="1">
      <c r="B534" s="26"/>
      <c r="H534" s="26"/>
      <c r="J534" s="5" t="str">
        <f t="shared" si="1"/>
        <v/>
      </c>
    </row>
    <row r="535" ht="15.75" customHeight="1">
      <c r="B535" s="26"/>
      <c r="H535" s="26"/>
      <c r="J535" s="5" t="str">
        <f t="shared" si="1"/>
        <v/>
      </c>
    </row>
    <row r="536" ht="15.75" customHeight="1">
      <c r="B536" s="26"/>
      <c r="H536" s="26"/>
      <c r="J536" s="5" t="str">
        <f t="shared" si="1"/>
        <v/>
      </c>
    </row>
    <row r="537" ht="15.75" customHeight="1">
      <c r="B537" s="26"/>
      <c r="H537" s="26"/>
      <c r="J537" s="5" t="str">
        <f t="shared" si="1"/>
        <v/>
      </c>
    </row>
    <row r="538" ht="15.75" customHeight="1">
      <c r="B538" s="26"/>
      <c r="H538" s="26"/>
      <c r="J538" s="5" t="str">
        <f t="shared" si="1"/>
        <v/>
      </c>
    </row>
    <row r="539" ht="15.75" customHeight="1">
      <c r="B539" s="26"/>
      <c r="H539" s="26"/>
      <c r="J539" s="5" t="str">
        <f t="shared" si="1"/>
        <v/>
      </c>
    </row>
    <row r="540" ht="15.75" customHeight="1">
      <c r="B540" s="26"/>
      <c r="H540" s="26"/>
      <c r="J540" s="5" t="str">
        <f t="shared" si="1"/>
        <v/>
      </c>
    </row>
    <row r="541" ht="15.75" customHeight="1">
      <c r="B541" s="26"/>
      <c r="H541" s="26"/>
      <c r="J541" s="5" t="str">
        <f t="shared" si="1"/>
        <v/>
      </c>
    </row>
    <row r="542" ht="15.75" customHeight="1">
      <c r="B542" s="26"/>
      <c r="H542" s="26"/>
      <c r="J542" s="5" t="str">
        <f t="shared" si="1"/>
        <v/>
      </c>
    </row>
    <row r="543" ht="15.75" customHeight="1">
      <c r="B543" s="26"/>
      <c r="H543" s="26"/>
      <c r="J543" s="5" t="str">
        <f t="shared" si="1"/>
        <v/>
      </c>
    </row>
    <row r="544" ht="15.75" customHeight="1">
      <c r="B544" s="26"/>
      <c r="H544" s="26"/>
      <c r="J544" s="5" t="str">
        <f t="shared" si="1"/>
        <v/>
      </c>
    </row>
    <row r="545" ht="15.75" customHeight="1">
      <c r="B545" s="26"/>
      <c r="H545" s="26"/>
      <c r="J545" s="5" t="str">
        <f t="shared" si="1"/>
        <v/>
      </c>
    </row>
    <row r="546" ht="15.75" customHeight="1">
      <c r="B546" s="26"/>
      <c r="H546" s="26"/>
      <c r="J546" s="5" t="str">
        <f t="shared" si="1"/>
        <v/>
      </c>
    </row>
    <row r="547" ht="15.75" customHeight="1">
      <c r="B547" s="26"/>
      <c r="H547" s="26"/>
      <c r="J547" s="5" t="str">
        <f t="shared" si="1"/>
        <v/>
      </c>
    </row>
    <row r="548" ht="15.75" customHeight="1">
      <c r="B548" s="26"/>
      <c r="H548" s="26"/>
      <c r="J548" s="5" t="str">
        <f t="shared" si="1"/>
        <v/>
      </c>
    </row>
    <row r="549" ht="15.75" customHeight="1">
      <c r="B549" s="26"/>
      <c r="H549" s="26"/>
      <c r="J549" s="5" t="str">
        <f t="shared" si="1"/>
        <v/>
      </c>
    </row>
    <row r="550" ht="15.75" customHeight="1">
      <c r="B550" s="26"/>
      <c r="H550" s="26"/>
      <c r="J550" s="5" t="str">
        <f t="shared" si="1"/>
        <v/>
      </c>
    </row>
    <row r="551" ht="15.75" customHeight="1">
      <c r="B551" s="26"/>
      <c r="H551" s="26"/>
      <c r="J551" s="5" t="str">
        <f t="shared" si="1"/>
        <v/>
      </c>
    </row>
    <row r="552" ht="15.75" customHeight="1">
      <c r="B552" s="26"/>
      <c r="H552" s="26"/>
      <c r="J552" s="5" t="str">
        <f t="shared" si="1"/>
        <v/>
      </c>
    </row>
    <row r="553" ht="15.75" customHeight="1">
      <c r="B553" s="26"/>
      <c r="H553" s="26"/>
      <c r="J553" s="5" t="str">
        <f t="shared" si="1"/>
        <v/>
      </c>
    </row>
    <row r="554" ht="15.75" customHeight="1">
      <c r="B554" s="26"/>
      <c r="H554" s="26"/>
      <c r="J554" s="5" t="str">
        <f t="shared" si="1"/>
        <v/>
      </c>
    </row>
    <row r="555" ht="15.75" customHeight="1">
      <c r="B555" s="26"/>
      <c r="H555" s="26"/>
      <c r="J555" s="5" t="str">
        <f t="shared" si="1"/>
        <v/>
      </c>
    </row>
    <row r="556" ht="15.75" customHeight="1">
      <c r="B556" s="26"/>
      <c r="H556" s="26"/>
      <c r="J556" s="5" t="str">
        <f t="shared" si="1"/>
        <v/>
      </c>
    </row>
    <row r="557" ht="15.75" customHeight="1">
      <c r="B557" s="26"/>
      <c r="H557" s="26"/>
      <c r="J557" s="5" t="str">
        <f t="shared" si="1"/>
        <v/>
      </c>
    </row>
    <row r="558" ht="15.75" customHeight="1">
      <c r="B558" s="26"/>
      <c r="H558" s="26"/>
      <c r="J558" s="5" t="str">
        <f t="shared" si="1"/>
        <v/>
      </c>
    </row>
    <row r="559" ht="15.75" customHeight="1">
      <c r="B559" s="26"/>
      <c r="H559" s="26"/>
      <c r="J559" s="5" t="str">
        <f t="shared" si="1"/>
        <v/>
      </c>
    </row>
    <row r="560" ht="15.75" customHeight="1">
      <c r="B560" s="26"/>
      <c r="H560" s="26"/>
      <c r="J560" s="5" t="str">
        <f t="shared" si="1"/>
        <v/>
      </c>
    </row>
    <row r="561" ht="15.75" customHeight="1">
      <c r="B561" s="26"/>
      <c r="H561" s="26"/>
      <c r="J561" s="5" t="str">
        <f t="shared" si="1"/>
        <v/>
      </c>
    </row>
    <row r="562" ht="15.75" customHeight="1">
      <c r="B562" s="26"/>
      <c r="H562" s="26"/>
      <c r="J562" s="5" t="str">
        <f t="shared" si="1"/>
        <v/>
      </c>
    </row>
    <row r="563" ht="15.75" customHeight="1">
      <c r="B563" s="26"/>
      <c r="H563" s="26"/>
      <c r="J563" s="5" t="str">
        <f t="shared" si="1"/>
        <v/>
      </c>
    </row>
    <row r="564" ht="15.75" customHeight="1">
      <c r="B564" s="26"/>
      <c r="H564" s="26"/>
      <c r="J564" s="5" t="str">
        <f t="shared" si="1"/>
        <v/>
      </c>
    </row>
    <row r="565" ht="15.75" customHeight="1">
      <c r="B565" s="26"/>
      <c r="H565" s="26"/>
      <c r="J565" s="5" t="str">
        <f t="shared" si="1"/>
        <v/>
      </c>
    </row>
    <row r="566" ht="15.75" customHeight="1">
      <c r="B566" s="26"/>
      <c r="H566" s="26"/>
      <c r="J566" s="5" t="str">
        <f t="shared" si="1"/>
        <v/>
      </c>
    </row>
    <row r="567" ht="15.75" customHeight="1">
      <c r="B567" s="26"/>
      <c r="H567" s="26"/>
      <c r="J567" s="5" t="str">
        <f t="shared" si="1"/>
        <v/>
      </c>
    </row>
    <row r="568" ht="15.75" customHeight="1">
      <c r="B568" s="26"/>
      <c r="H568" s="26"/>
      <c r="J568" s="5" t="str">
        <f t="shared" si="1"/>
        <v/>
      </c>
    </row>
    <row r="569" ht="15.75" customHeight="1">
      <c r="B569" s="26"/>
      <c r="H569" s="26"/>
      <c r="J569" s="5" t="str">
        <f t="shared" si="1"/>
        <v/>
      </c>
    </row>
    <row r="570" ht="15.75" customHeight="1">
      <c r="B570" s="26"/>
      <c r="H570" s="26"/>
      <c r="J570" s="5" t="str">
        <f t="shared" si="1"/>
        <v/>
      </c>
    </row>
    <row r="571" ht="15.75" customHeight="1">
      <c r="B571" s="26"/>
      <c r="H571" s="26"/>
      <c r="J571" s="5" t="str">
        <f t="shared" si="1"/>
        <v/>
      </c>
    </row>
    <row r="572" ht="15.75" customHeight="1">
      <c r="B572" s="26"/>
      <c r="H572" s="26"/>
      <c r="J572" s="5" t="str">
        <f t="shared" si="1"/>
        <v/>
      </c>
    </row>
    <row r="573" ht="15.75" customHeight="1">
      <c r="B573" s="26"/>
      <c r="H573" s="26"/>
      <c r="J573" s="5" t="str">
        <f t="shared" si="1"/>
        <v/>
      </c>
    </row>
    <row r="574" ht="15.75" customHeight="1">
      <c r="B574" s="26"/>
      <c r="H574" s="26"/>
      <c r="J574" s="5" t="str">
        <f t="shared" si="1"/>
        <v/>
      </c>
    </row>
    <row r="575" ht="15.75" customHeight="1">
      <c r="B575" s="26"/>
      <c r="H575" s="26"/>
      <c r="J575" s="5" t="str">
        <f t="shared" si="1"/>
        <v/>
      </c>
    </row>
    <row r="576" ht="15.75" customHeight="1">
      <c r="B576" s="26"/>
      <c r="H576" s="26"/>
      <c r="J576" s="5" t="str">
        <f t="shared" si="1"/>
        <v/>
      </c>
    </row>
    <row r="577" ht="15.75" customHeight="1">
      <c r="B577" s="26"/>
      <c r="H577" s="26"/>
      <c r="J577" s="5" t="str">
        <f t="shared" si="1"/>
        <v/>
      </c>
    </row>
    <row r="578" ht="15.75" customHeight="1">
      <c r="B578" s="26"/>
      <c r="H578" s="26"/>
      <c r="J578" s="5" t="str">
        <f t="shared" si="1"/>
        <v/>
      </c>
    </row>
    <row r="579" ht="15.75" customHeight="1">
      <c r="B579" s="26"/>
      <c r="H579" s="26"/>
      <c r="J579" s="5" t="str">
        <f t="shared" si="1"/>
        <v/>
      </c>
    </row>
    <row r="580" ht="15.75" customHeight="1">
      <c r="B580" s="26"/>
      <c r="H580" s="26"/>
      <c r="J580" s="5" t="str">
        <f t="shared" si="1"/>
        <v/>
      </c>
    </row>
    <row r="581" ht="15.75" customHeight="1">
      <c r="B581" s="26"/>
      <c r="H581" s="26"/>
      <c r="J581" s="5" t="str">
        <f t="shared" si="1"/>
        <v/>
      </c>
    </row>
    <row r="582" ht="15.75" customHeight="1">
      <c r="B582" s="26"/>
      <c r="H582" s="26"/>
      <c r="J582" s="5" t="str">
        <f t="shared" si="1"/>
        <v/>
      </c>
    </row>
    <row r="583" ht="15.75" customHeight="1">
      <c r="B583" s="26"/>
      <c r="H583" s="26"/>
      <c r="J583" s="5" t="str">
        <f t="shared" si="1"/>
        <v/>
      </c>
    </row>
    <row r="584" ht="15.75" customHeight="1">
      <c r="B584" s="26"/>
      <c r="H584" s="26"/>
      <c r="J584" s="5" t="str">
        <f t="shared" si="1"/>
        <v/>
      </c>
    </row>
    <row r="585" ht="15.75" customHeight="1">
      <c r="B585" s="26"/>
      <c r="H585" s="26"/>
      <c r="J585" s="5" t="str">
        <f t="shared" si="1"/>
        <v/>
      </c>
    </row>
    <row r="586" ht="15.75" customHeight="1">
      <c r="B586" s="26"/>
      <c r="H586" s="26"/>
      <c r="J586" s="5" t="str">
        <f t="shared" si="1"/>
        <v/>
      </c>
    </row>
    <row r="587" ht="15.75" customHeight="1">
      <c r="B587" s="26"/>
      <c r="H587" s="26"/>
      <c r="J587" s="5" t="str">
        <f t="shared" si="1"/>
        <v/>
      </c>
    </row>
    <row r="588" ht="15.75" customHeight="1">
      <c r="B588" s="26"/>
      <c r="H588" s="26"/>
      <c r="J588" s="5" t="str">
        <f t="shared" si="1"/>
        <v/>
      </c>
    </row>
    <row r="589" ht="15.75" customHeight="1">
      <c r="B589" s="26"/>
      <c r="H589" s="26"/>
      <c r="J589" s="5" t="str">
        <f t="shared" si="1"/>
        <v/>
      </c>
    </row>
    <row r="590" ht="15.75" customHeight="1">
      <c r="B590" s="26"/>
      <c r="H590" s="26"/>
      <c r="J590" s="5" t="str">
        <f t="shared" si="1"/>
        <v/>
      </c>
    </row>
    <row r="591" ht="15.75" customHeight="1">
      <c r="B591" s="26"/>
      <c r="H591" s="26"/>
      <c r="J591" s="5" t="str">
        <f t="shared" si="1"/>
        <v/>
      </c>
    </row>
    <row r="592" ht="15.75" customHeight="1">
      <c r="B592" s="26"/>
      <c r="H592" s="26"/>
      <c r="J592" s="5" t="str">
        <f t="shared" si="1"/>
        <v/>
      </c>
    </row>
    <row r="593" ht="15.75" customHeight="1">
      <c r="B593" s="26"/>
      <c r="H593" s="26"/>
      <c r="J593" s="5" t="str">
        <f t="shared" si="1"/>
        <v/>
      </c>
    </row>
    <row r="594" ht="15.75" customHeight="1">
      <c r="B594" s="26"/>
      <c r="H594" s="26"/>
      <c r="J594" s="5" t="str">
        <f t="shared" si="1"/>
        <v/>
      </c>
    </row>
    <row r="595" ht="15.75" customHeight="1">
      <c r="B595" s="26"/>
      <c r="H595" s="26"/>
      <c r="J595" s="5" t="str">
        <f t="shared" si="1"/>
        <v/>
      </c>
    </row>
    <row r="596" ht="15.75" customHeight="1">
      <c r="B596" s="26"/>
      <c r="H596" s="26"/>
      <c r="J596" s="5" t="str">
        <f t="shared" si="1"/>
        <v/>
      </c>
    </row>
    <row r="597" ht="15.75" customHeight="1">
      <c r="B597" s="26"/>
      <c r="H597" s="26"/>
      <c r="J597" s="5" t="str">
        <f t="shared" si="1"/>
        <v/>
      </c>
    </row>
    <row r="598" ht="15.75" customHeight="1">
      <c r="B598" s="26"/>
      <c r="H598" s="26"/>
      <c r="J598" s="5" t="str">
        <f t="shared" si="1"/>
        <v/>
      </c>
    </row>
    <row r="599" ht="15.75" customHeight="1">
      <c r="B599" s="26"/>
      <c r="H599" s="26"/>
      <c r="J599" s="5" t="str">
        <f t="shared" si="1"/>
        <v/>
      </c>
    </row>
    <row r="600" ht="15.75" customHeight="1">
      <c r="B600" s="26"/>
      <c r="H600" s="26"/>
      <c r="J600" s="5" t="str">
        <f t="shared" si="1"/>
        <v/>
      </c>
    </row>
    <row r="601" ht="15.75" customHeight="1">
      <c r="B601" s="26"/>
      <c r="H601" s="26"/>
      <c r="J601" s="5" t="str">
        <f t="shared" si="1"/>
        <v/>
      </c>
    </row>
    <row r="602" ht="15.75" customHeight="1">
      <c r="B602" s="26"/>
      <c r="H602" s="26"/>
      <c r="J602" s="5" t="str">
        <f t="shared" si="1"/>
        <v/>
      </c>
    </row>
    <row r="603" ht="15.75" customHeight="1">
      <c r="B603" s="26"/>
      <c r="H603" s="26"/>
      <c r="J603" s="5" t="str">
        <f t="shared" si="1"/>
        <v/>
      </c>
    </row>
    <row r="604" ht="15.75" customHeight="1">
      <c r="B604" s="26"/>
      <c r="H604" s="26"/>
      <c r="J604" s="5" t="str">
        <f t="shared" si="1"/>
        <v/>
      </c>
    </row>
    <row r="605" ht="15.75" customHeight="1">
      <c r="B605" s="26"/>
      <c r="H605" s="26"/>
      <c r="J605" s="5" t="str">
        <f t="shared" si="1"/>
        <v/>
      </c>
    </row>
    <row r="606" ht="15.75" customHeight="1">
      <c r="B606" s="26"/>
      <c r="H606" s="26"/>
      <c r="J606" s="5" t="str">
        <f t="shared" si="1"/>
        <v/>
      </c>
    </row>
    <row r="607" ht="15.75" customHeight="1">
      <c r="B607" s="26"/>
      <c r="H607" s="26"/>
      <c r="J607" s="5" t="str">
        <f t="shared" si="1"/>
        <v/>
      </c>
    </row>
    <row r="608" ht="15.75" customHeight="1">
      <c r="B608" s="26"/>
      <c r="H608" s="26"/>
      <c r="J608" s="5" t="str">
        <f t="shared" si="1"/>
        <v/>
      </c>
    </row>
    <row r="609" ht="15.75" customHeight="1">
      <c r="B609" s="26"/>
      <c r="H609" s="26"/>
      <c r="J609" s="5" t="str">
        <f t="shared" si="1"/>
        <v/>
      </c>
    </row>
    <row r="610" ht="15.75" customHeight="1">
      <c r="B610" s="26"/>
      <c r="H610" s="26"/>
      <c r="J610" s="5" t="str">
        <f t="shared" si="1"/>
        <v/>
      </c>
    </row>
    <row r="611" ht="15.75" customHeight="1">
      <c r="B611" s="26"/>
      <c r="H611" s="26"/>
      <c r="J611" s="5" t="str">
        <f t="shared" si="1"/>
        <v/>
      </c>
    </row>
    <row r="612" ht="15.75" customHeight="1">
      <c r="B612" s="26"/>
      <c r="H612" s="26"/>
      <c r="J612" s="5" t="str">
        <f t="shared" si="1"/>
        <v/>
      </c>
    </row>
    <row r="613" ht="15.75" customHeight="1">
      <c r="B613" s="26"/>
      <c r="H613" s="26"/>
      <c r="J613" s="5" t="str">
        <f t="shared" si="1"/>
        <v/>
      </c>
    </row>
    <row r="614" ht="15.75" customHeight="1">
      <c r="B614" s="26"/>
      <c r="H614" s="26"/>
      <c r="J614" s="5" t="str">
        <f t="shared" si="1"/>
        <v/>
      </c>
    </row>
    <row r="615" ht="15.75" customHeight="1">
      <c r="B615" s="26"/>
      <c r="H615" s="26"/>
      <c r="J615" s="5" t="str">
        <f t="shared" si="1"/>
        <v/>
      </c>
    </row>
    <row r="616" ht="15.75" customHeight="1">
      <c r="B616" s="26"/>
      <c r="H616" s="26"/>
      <c r="J616" s="5" t="str">
        <f t="shared" si="1"/>
        <v/>
      </c>
    </row>
    <row r="617" ht="15.75" customHeight="1">
      <c r="B617" s="26"/>
      <c r="H617" s="26"/>
      <c r="J617" s="5" t="str">
        <f t="shared" si="1"/>
        <v/>
      </c>
    </row>
    <row r="618" ht="15.75" customHeight="1">
      <c r="B618" s="26"/>
      <c r="H618" s="26"/>
      <c r="J618" s="5" t="str">
        <f t="shared" si="1"/>
        <v/>
      </c>
    </row>
    <row r="619" ht="15.75" customHeight="1">
      <c r="B619" s="26"/>
      <c r="H619" s="26"/>
      <c r="J619" s="5" t="str">
        <f t="shared" si="1"/>
        <v/>
      </c>
    </row>
    <row r="620" ht="15.75" customHeight="1">
      <c r="B620" s="26"/>
      <c r="H620" s="26"/>
      <c r="J620" s="5" t="str">
        <f t="shared" si="1"/>
        <v/>
      </c>
    </row>
    <row r="621" ht="15.75" customHeight="1">
      <c r="B621" s="26"/>
      <c r="H621" s="26"/>
      <c r="J621" s="5" t="str">
        <f t="shared" si="1"/>
        <v/>
      </c>
    </row>
    <row r="622" ht="15.75" customHeight="1">
      <c r="B622" s="26"/>
      <c r="H622" s="26"/>
      <c r="J622" s="5" t="str">
        <f t="shared" si="1"/>
        <v/>
      </c>
    </row>
    <row r="623" ht="15.75" customHeight="1">
      <c r="B623" s="26"/>
      <c r="H623" s="26"/>
      <c r="J623" s="5" t="str">
        <f t="shared" si="1"/>
        <v/>
      </c>
    </row>
    <row r="624" ht="15.75" customHeight="1">
      <c r="B624" s="26"/>
      <c r="H624" s="26"/>
      <c r="J624" s="5" t="str">
        <f t="shared" si="1"/>
        <v/>
      </c>
    </row>
    <row r="625" ht="15.75" customHeight="1">
      <c r="B625" s="26"/>
      <c r="H625" s="26"/>
      <c r="J625" s="5" t="str">
        <f t="shared" si="1"/>
        <v/>
      </c>
    </row>
    <row r="626" ht="15.75" customHeight="1">
      <c r="B626" s="26"/>
      <c r="H626" s="26"/>
      <c r="J626" s="5" t="str">
        <f t="shared" si="1"/>
        <v/>
      </c>
    </row>
    <row r="627" ht="15.75" customHeight="1">
      <c r="B627" s="26"/>
      <c r="H627" s="26"/>
      <c r="J627" s="5" t="str">
        <f t="shared" si="1"/>
        <v/>
      </c>
    </row>
    <row r="628" ht="15.75" customHeight="1">
      <c r="B628" s="26"/>
      <c r="H628" s="26"/>
      <c r="J628" s="5" t="str">
        <f t="shared" si="1"/>
        <v/>
      </c>
    </row>
    <row r="629" ht="15.75" customHeight="1">
      <c r="B629" s="26"/>
      <c r="H629" s="26"/>
      <c r="J629" s="5" t="str">
        <f t="shared" si="1"/>
        <v/>
      </c>
    </row>
    <row r="630" ht="15.75" customHeight="1">
      <c r="B630" s="26"/>
      <c r="H630" s="26"/>
      <c r="J630" s="5" t="str">
        <f t="shared" si="1"/>
        <v/>
      </c>
    </row>
    <row r="631" ht="15.75" customHeight="1">
      <c r="B631" s="26"/>
      <c r="H631" s="26"/>
      <c r="J631" s="5" t="str">
        <f t="shared" si="1"/>
        <v/>
      </c>
    </row>
    <row r="632" ht="15.75" customHeight="1">
      <c r="B632" s="26"/>
      <c r="H632" s="26"/>
      <c r="J632" s="5" t="str">
        <f t="shared" si="1"/>
        <v/>
      </c>
    </row>
    <row r="633" ht="15.75" customHeight="1">
      <c r="B633" s="26"/>
      <c r="H633" s="26"/>
      <c r="J633" s="5" t="str">
        <f t="shared" si="1"/>
        <v/>
      </c>
    </row>
    <row r="634" ht="15.75" customHeight="1">
      <c r="B634" s="26"/>
      <c r="H634" s="26"/>
      <c r="J634" s="5" t="str">
        <f t="shared" si="1"/>
        <v/>
      </c>
    </row>
    <row r="635" ht="15.75" customHeight="1">
      <c r="B635" s="26"/>
      <c r="H635" s="26"/>
      <c r="J635" s="5" t="str">
        <f t="shared" si="1"/>
        <v/>
      </c>
    </row>
    <row r="636" ht="15.75" customHeight="1">
      <c r="B636" s="26"/>
      <c r="H636" s="26"/>
      <c r="J636" s="5" t="str">
        <f t="shared" si="1"/>
        <v/>
      </c>
    </row>
    <row r="637" ht="15.75" customHeight="1">
      <c r="B637" s="26"/>
      <c r="H637" s="26"/>
      <c r="J637" s="5" t="str">
        <f t="shared" si="1"/>
        <v/>
      </c>
    </row>
    <row r="638" ht="15.75" customHeight="1">
      <c r="B638" s="26"/>
      <c r="H638" s="26"/>
      <c r="J638" s="5" t="str">
        <f t="shared" si="1"/>
        <v/>
      </c>
    </row>
    <row r="639" ht="15.75" customHeight="1">
      <c r="B639" s="26"/>
      <c r="H639" s="26"/>
      <c r="J639" s="5" t="str">
        <f t="shared" si="1"/>
        <v/>
      </c>
    </row>
    <row r="640" ht="15.75" customHeight="1">
      <c r="B640" s="26"/>
      <c r="H640" s="26"/>
      <c r="J640" s="5" t="str">
        <f t="shared" si="1"/>
        <v/>
      </c>
    </row>
    <row r="641" ht="15.75" customHeight="1">
      <c r="B641" s="26"/>
      <c r="H641" s="26"/>
      <c r="J641" s="5" t="str">
        <f t="shared" si="1"/>
        <v/>
      </c>
    </row>
    <row r="642" ht="15.75" customHeight="1">
      <c r="B642" s="26"/>
      <c r="H642" s="26"/>
      <c r="J642" s="5" t="str">
        <f t="shared" si="1"/>
        <v/>
      </c>
    </row>
    <row r="643" ht="15.75" customHeight="1">
      <c r="B643" s="26"/>
      <c r="H643" s="26"/>
      <c r="J643" s="5" t="str">
        <f t="shared" si="1"/>
        <v/>
      </c>
    </row>
    <row r="644" ht="15.75" customHeight="1">
      <c r="B644" s="26"/>
      <c r="H644" s="26"/>
      <c r="J644" s="5" t="str">
        <f t="shared" si="1"/>
        <v/>
      </c>
    </row>
    <row r="645" ht="15.75" customHeight="1">
      <c r="B645" s="26"/>
      <c r="H645" s="26"/>
      <c r="J645" s="5" t="str">
        <f t="shared" si="1"/>
        <v/>
      </c>
    </row>
    <row r="646" ht="15.75" customHeight="1">
      <c r="B646" s="26"/>
      <c r="H646" s="26"/>
      <c r="J646" s="5" t="str">
        <f t="shared" si="1"/>
        <v/>
      </c>
    </row>
    <row r="647" ht="15.75" customHeight="1">
      <c r="B647" s="26"/>
      <c r="H647" s="26"/>
      <c r="J647" s="5" t="str">
        <f t="shared" si="1"/>
        <v/>
      </c>
    </row>
    <row r="648" ht="15.75" customHeight="1">
      <c r="B648" s="26"/>
      <c r="H648" s="26"/>
      <c r="J648" s="5" t="str">
        <f t="shared" si="1"/>
        <v/>
      </c>
    </row>
    <row r="649" ht="15.75" customHeight="1">
      <c r="B649" s="26"/>
      <c r="H649" s="26"/>
      <c r="J649" s="5" t="str">
        <f t="shared" si="1"/>
        <v/>
      </c>
    </row>
    <row r="650" ht="15.75" customHeight="1">
      <c r="B650" s="26"/>
      <c r="H650" s="26"/>
      <c r="J650" s="5" t="str">
        <f t="shared" si="1"/>
        <v/>
      </c>
    </row>
    <row r="651" ht="15.75" customHeight="1">
      <c r="B651" s="26"/>
      <c r="H651" s="26"/>
      <c r="J651" s="5" t="str">
        <f t="shared" si="1"/>
        <v/>
      </c>
    </row>
    <row r="652" ht="15.75" customHeight="1">
      <c r="B652" s="26"/>
      <c r="H652" s="26"/>
      <c r="J652" s="5" t="str">
        <f t="shared" si="1"/>
        <v/>
      </c>
    </row>
    <row r="653" ht="15.75" customHeight="1">
      <c r="B653" s="26"/>
      <c r="H653" s="26"/>
      <c r="J653" s="5" t="str">
        <f t="shared" si="1"/>
        <v/>
      </c>
    </row>
    <row r="654" ht="15.75" customHeight="1">
      <c r="B654" s="26"/>
      <c r="H654" s="26"/>
      <c r="J654" s="5" t="str">
        <f t="shared" si="1"/>
        <v/>
      </c>
    </row>
    <row r="655" ht="15.75" customHeight="1">
      <c r="B655" s="26"/>
      <c r="H655" s="26"/>
      <c r="J655" s="5" t="str">
        <f t="shared" si="1"/>
        <v/>
      </c>
    </row>
    <row r="656" ht="15.75" customHeight="1">
      <c r="B656" s="26"/>
      <c r="H656" s="26"/>
      <c r="J656" s="5" t="str">
        <f t="shared" si="1"/>
        <v/>
      </c>
    </row>
    <row r="657" ht="15.75" customHeight="1">
      <c r="B657" s="26"/>
      <c r="H657" s="26"/>
      <c r="J657" s="5" t="str">
        <f t="shared" si="1"/>
        <v/>
      </c>
    </row>
    <row r="658" ht="15.75" customHeight="1">
      <c r="B658" s="26"/>
      <c r="H658" s="26"/>
      <c r="J658" s="5" t="str">
        <f t="shared" si="1"/>
        <v/>
      </c>
    </row>
    <row r="659" ht="15.75" customHeight="1">
      <c r="B659" s="26"/>
      <c r="H659" s="26"/>
      <c r="J659" s="5" t="str">
        <f t="shared" si="1"/>
        <v/>
      </c>
    </row>
    <row r="660" ht="15.75" customHeight="1">
      <c r="B660" s="26"/>
      <c r="H660" s="26"/>
      <c r="J660" s="5" t="str">
        <f t="shared" si="1"/>
        <v/>
      </c>
    </row>
    <row r="661" ht="15.75" customHeight="1">
      <c r="B661" s="26"/>
      <c r="H661" s="26"/>
      <c r="J661" s="5" t="str">
        <f t="shared" si="1"/>
        <v/>
      </c>
    </row>
    <row r="662" ht="15.75" customHeight="1">
      <c r="B662" s="26"/>
      <c r="H662" s="26"/>
      <c r="J662" s="5" t="str">
        <f t="shared" si="1"/>
        <v/>
      </c>
    </row>
    <row r="663" ht="15.75" customHeight="1">
      <c r="B663" s="26"/>
      <c r="H663" s="26"/>
      <c r="J663" s="5" t="str">
        <f t="shared" si="1"/>
        <v/>
      </c>
    </row>
    <row r="664" ht="15.75" customHeight="1">
      <c r="B664" s="26"/>
      <c r="H664" s="26"/>
      <c r="J664" s="5" t="str">
        <f t="shared" si="1"/>
        <v/>
      </c>
    </row>
    <row r="665" ht="15.75" customHeight="1">
      <c r="B665" s="26"/>
      <c r="H665" s="26"/>
      <c r="J665" s="5" t="str">
        <f t="shared" si="1"/>
        <v/>
      </c>
    </row>
    <row r="666" ht="15.75" customHeight="1">
      <c r="B666" s="26"/>
      <c r="H666" s="26"/>
      <c r="J666" s="5" t="str">
        <f t="shared" si="1"/>
        <v/>
      </c>
    </row>
    <row r="667" ht="15.75" customHeight="1">
      <c r="B667" s="26"/>
      <c r="H667" s="26"/>
      <c r="J667" s="5" t="str">
        <f t="shared" si="1"/>
        <v/>
      </c>
    </row>
    <row r="668" ht="15.75" customHeight="1">
      <c r="B668" s="26"/>
      <c r="H668" s="26"/>
      <c r="J668" s="5" t="str">
        <f t="shared" si="1"/>
        <v/>
      </c>
    </row>
    <row r="669" ht="15.75" customHeight="1">
      <c r="B669" s="26"/>
      <c r="H669" s="26"/>
      <c r="J669" s="5" t="str">
        <f t="shared" si="1"/>
        <v/>
      </c>
    </row>
    <row r="670" ht="15.75" customHeight="1">
      <c r="B670" s="26"/>
      <c r="H670" s="26"/>
      <c r="J670" s="5" t="str">
        <f t="shared" si="1"/>
        <v/>
      </c>
    </row>
    <row r="671" ht="15.75" customHeight="1">
      <c r="B671" s="26"/>
      <c r="H671" s="26"/>
      <c r="J671" s="5" t="str">
        <f t="shared" si="1"/>
        <v/>
      </c>
    </row>
    <row r="672" ht="15.75" customHeight="1">
      <c r="B672" s="26"/>
      <c r="H672" s="26"/>
      <c r="J672" s="5" t="str">
        <f t="shared" si="1"/>
        <v/>
      </c>
    </row>
    <row r="673" ht="15.75" customHeight="1">
      <c r="B673" s="26"/>
      <c r="H673" s="26"/>
      <c r="J673" s="5" t="str">
        <f t="shared" si="1"/>
        <v/>
      </c>
    </row>
    <row r="674" ht="15.75" customHeight="1">
      <c r="B674" s="26"/>
      <c r="H674" s="26"/>
      <c r="J674" s="5" t="str">
        <f t="shared" si="1"/>
        <v/>
      </c>
    </row>
    <row r="675" ht="15.75" customHeight="1">
      <c r="B675" s="26"/>
      <c r="H675" s="26"/>
      <c r="J675" s="5" t="str">
        <f t="shared" si="1"/>
        <v/>
      </c>
    </row>
    <row r="676" ht="15.75" customHeight="1">
      <c r="B676" s="26"/>
      <c r="H676" s="26"/>
      <c r="J676" s="5" t="str">
        <f t="shared" si="1"/>
        <v/>
      </c>
    </row>
    <row r="677" ht="15.75" customHeight="1">
      <c r="B677" s="26"/>
      <c r="H677" s="26"/>
      <c r="J677" s="5" t="str">
        <f t="shared" si="1"/>
        <v/>
      </c>
    </row>
    <row r="678" ht="15.75" customHeight="1">
      <c r="B678" s="26"/>
      <c r="H678" s="26"/>
      <c r="J678" s="5" t="str">
        <f t="shared" si="1"/>
        <v/>
      </c>
    </row>
    <row r="679" ht="15.75" customHeight="1">
      <c r="B679" s="26"/>
      <c r="H679" s="26"/>
      <c r="J679" s="5" t="str">
        <f t="shared" si="1"/>
        <v/>
      </c>
    </row>
    <row r="680" ht="15.75" customHeight="1">
      <c r="B680" s="26"/>
      <c r="H680" s="26"/>
      <c r="J680" s="5" t="str">
        <f t="shared" si="1"/>
        <v/>
      </c>
    </row>
    <row r="681" ht="15.75" customHeight="1">
      <c r="B681" s="26"/>
      <c r="H681" s="26"/>
      <c r="J681" s="5" t="str">
        <f t="shared" si="1"/>
        <v/>
      </c>
    </row>
    <row r="682" ht="15.75" customHeight="1">
      <c r="B682" s="26"/>
      <c r="H682" s="26"/>
      <c r="J682" s="5" t="str">
        <f t="shared" si="1"/>
        <v/>
      </c>
    </row>
    <row r="683" ht="15.75" customHeight="1">
      <c r="B683" s="26"/>
      <c r="H683" s="26"/>
      <c r="J683" s="5" t="str">
        <f t="shared" si="1"/>
        <v/>
      </c>
    </row>
    <row r="684" ht="15.75" customHeight="1">
      <c r="B684" s="26"/>
      <c r="H684" s="26"/>
      <c r="J684" s="5" t="str">
        <f t="shared" si="1"/>
        <v/>
      </c>
    </row>
    <row r="685" ht="15.75" customHeight="1">
      <c r="B685" s="26"/>
      <c r="H685" s="26"/>
      <c r="J685" s="5" t="str">
        <f t="shared" si="1"/>
        <v/>
      </c>
    </row>
    <row r="686" ht="15.75" customHeight="1">
      <c r="B686" s="26"/>
      <c r="H686" s="26"/>
      <c r="J686" s="5" t="str">
        <f t="shared" si="1"/>
        <v/>
      </c>
    </row>
    <row r="687" ht="15.75" customHeight="1">
      <c r="B687" s="26"/>
      <c r="H687" s="26"/>
      <c r="J687" s="5" t="str">
        <f t="shared" si="1"/>
        <v/>
      </c>
    </row>
    <row r="688" ht="15.75" customHeight="1">
      <c r="B688" s="26"/>
      <c r="H688" s="26"/>
      <c r="J688" s="5" t="str">
        <f t="shared" si="1"/>
        <v/>
      </c>
    </row>
    <row r="689" ht="15.75" customHeight="1">
      <c r="B689" s="26"/>
      <c r="H689" s="26"/>
      <c r="J689" s="5" t="str">
        <f t="shared" si="1"/>
        <v/>
      </c>
    </row>
    <row r="690" ht="15.75" customHeight="1">
      <c r="B690" s="26"/>
      <c r="H690" s="26"/>
      <c r="J690" s="5" t="str">
        <f t="shared" si="1"/>
        <v/>
      </c>
    </row>
    <row r="691" ht="15.75" customHeight="1">
      <c r="B691" s="26"/>
      <c r="H691" s="26"/>
      <c r="J691" s="5" t="str">
        <f t="shared" si="1"/>
        <v/>
      </c>
    </row>
    <row r="692" ht="15.75" customHeight="1">
      <c r="B692" s="26"/>
      <c r="H692" s="26"/>
      <c r="J692" s="5" t="str">
        <f t="shared" si="1"/>
        <v/>
      </c>
    </row>
    <row r="693" ht="15.75" customHeight="1">
      <c r="B693" s="26"/>
      <c r="H693" s="26"/>
      <c r="J693" s="5" t="str">
        <f t="shared" si="1"/>
        <v/>
      </c>
    </row>
    <row r="694" ht="15.75" customHeight="1">
      <c r="B694" s="26"/>
      <c r="H694" s="26"/>
      <c r="J694" s="5" t="str">
        <f t="shared" si="1"/>
        <v/>
      </c>
    </row>
    <row r="695" ht="15.75" customHeight="1">
      <c r="B695" s="26"/>
      <c r="H695" s="26"/>
      <c r="J695" s="5" t="str">
        <f t="shared" si="1"/>
        <v/>
      </c>
    </row>
    <row r="696" ht="15.75" customHeight="1">
      <c r="B696" s="26"/>
      <c r="H696" s="26"/>
      <c r="J696" s="5" t="str">
        <f t="shared" si="1"/>
        <v/>
      </c>
    </row>
    <row r="697" ht="15.75" customHeight="1">
      <c r="B697" s="26"/>
      <c r="H697" s="26"/>
      <c r="J697" s="5" t="str">
        <f t="shared" si="1"/>
        <v/>
      </c>
    </row>
    <row r="698" ht="15.75" customHeight="1">
      <c r="B698" s="26"/>
      <c r="H698" s="26"/>
      <c r="J698" s="5" t="str">
        <f t="shared" si="1"/>
        <v/>
      </c>
    </row>
    <row r="699" ht="15.75" customHeight="1">
      <c r="B699" s="26"/>
      <c r="H699" s="26"/>
      <c r="J699" s="5" t="str">
        <f t="shared" si="1"/>
        <v/>
      </c>
    </row>
    <row r="700" ht="15.75" customHeight="1">
      <c r="B700" s="26"/>
      <c r="H700" s="26"/>
      <c r="J700" s="5" t="str">
        <f t="shared" si="1"/>
        <v/>
      </c>
    </row>
    <row r="701" ht="15.75" customHeight="1">
      <c r="B701" s="26"/>
      <c r="H701" s="26"/>
      <c r="J701" s="5" t="str">
        <f t="shared" si="1"/>
        <v/>
      </c>
    </row>
    <row r="702" ht="15.75" customHeight="1">
      <c r="B702" s="26"/>
      <c r="H702" s="26"/>
      <c r="J702" s="5" t="str">
        <f t="shared" si="1"/>
        <v/>
      </c>
    </row>
    <row r="703" ht="15.75" customHeight="1">
      <c r="B703" s="26"/>
      <c r="H703" s="26"/>
      <c r="J703" s="5" t="str">
        <f t="shared" si="1"/>
        <v/>
      </c>
    </row>
    <row r="704" ht="15.75" customHeight="1">
      <c r="B704" s="26"/>
      <c r="H704" s="26"/>
      <c r="J704" s="5" t="str">
        <f t="shared" si="1"/>
        <v/>
      </c>
    </row>
    <row r="705" ht="15.75" customHeight="1">
      <c r="B705" s="26"/>
      <c r="H705" s="26"/>
      <c r="J705" s="5" t="str">
        <f t="shared" si="1"/>
        <v/>
      </c>
    </row>
    <row r="706" ht="15.75" customHeight="1">
      <c r="B706" s="26"/>
      <c r="H706" s="26"/>
      <c r="J706" s="5" t="str">
        <f t="shared" si="1"/>
        <v/>
      </c>
    </row>
    <row r="707" ht="15.75" customHeight="1">
      <c r="B707" s="26"/>
      <c r="H707" s="26"/>
      <c r="J707" s="5" t="str">
        <f t="shared" si="1"/>
        <v/>
      </c>
    </row>
    <row r="708" ht="15.75" customHeight="1">
      <c r="B708" s="26"/>
      <c r="H708" s="26"/>
      <c r="J708" s="5" t="str">
        <f t="shared" si="1"/>
        <v/>
      </c>
    </row>
    <row r="709" ht="15.75" customHeight="1">
      <c r="B709" s="26"/>
      <c r="H709" s="26"/>
      <c r="J709" s="5" t="str">
        <f t="shared" si="1"/>
        <v/>
      </c>
    </row>
    <row r="710" ht="15.75" customHeight="1">
      <c r="B710" s="26"/>
      <c r="H710" s="26"/>
      <c r="J710" s="5" t="str">
        <f t="shared" si="1"/>
        <v/>
      </c>
    </row>
    <row r="711" ht="15.75" customHeight="1">
      <c r="B711" s="26"/>
      <c r="H711" s="26"/>
      <c r="J711" s="5" t="str">
        <f t="shared" si="1"/>
        <v/>
      </c>
    </row>
    <row r="712" ht="15.75" customHeight="1">
      <c r="B712" s="26"/>
      <c r="H712" s="26"/>
      <c r="J712" s="5" t="str">
        <f t="shared" si="1"/>
        <v/>
      </c>
    </row>
    <row r="713" ht="15.75" customHeight="1">
      <c r="B713" s="26"/>
      <c r="H713" s="26"/>
      <c r="J713" s="5" t="str">
        <f t="shared" si="1"/>
        <v/>
      </c>
    </row>
    <row r="714" ht="15.75" customHeight="1">
      <c r="B714" s="26"/>
      <c r="H714" s="26"/>
      <c r="J714" s="5" t="str">
        <f t="shared" si="1"/>
        <v/>
      </c>
    </row>
    <row r="715" ht="15.75" customHeight="1">
      <c r="B715" s="26"/>
      <c r="H715" s="26"/>
      <c r="J715" s="5" t="str">
        <f t="shared" si="1"/>
        <v/>
      </c>
    </row>
    <row r="716" ht="15.75" customHeight="1">
      <c r="B716" s="26"/>
      <c r="H716" s="26"/>
      <c r="J716" s="5" t="str">
        <f t="shared" si="1"/>
        <v/>
      </c>
    </row>
    <row r="717" ht="15.75" customHeight="1">
      <c r="B717" s="26"/>
      <c r="H717" s="26"/>
      <c r="J717" s="5" t="str">
        <f t="shared" si="1"/>
        <v/>
      </c>
    </row>
    <row r="718" ht="15.75" customHeight="1">
      <c r="B718" s="26"/>
      <c r="H718" s="26"/>
      <c r="J718" s="5" t="str">
        <f t="shared" si="1"/>
        <v/>
      </c>
    </row>
    <row r="719" ht="15.75" customHeight="1">
      <c r="B719" s="26"/>
      <c r="H719" s="26"/>
      <c r="J719" s="5" t="str">
        <f t="shared" si="1"/>
        <v/>
      </c>
    </row>
    <row r="720" ht="15.75" customHeight="1">
      <c r="B720" s="26"/>
      <c r="H720" s="26"/>
      <c r="J720" s="5" t="str">
        <f t="shared" si="1"/>
        <v/>
      </c>
    </row>
    <row r="721" ht="15.75" customHeight="1">
      <c r="B721" s="26"/>
      <c r="H721" s="26"/>
      <c r="J721" s="5" t="str">
        <f t="shared" si="1"/>
        <v/>
      </c>
    </row>
    <row r="722" ht="15.75" customHeight="1">
      <c r="B722" s="26"/>
      <c r="H722" s="26"/>
      <c r="J722" s="5" t="str">
        <f t="shared" si="1"/>
        <v/>
      </c>
    </row>
    <row r="723" ht="15.75" customHeight="1">
      <c r="B723" s="26"/>
      <c r="H723" s="26"/>
      <c r="J723" s="5" t="str">
        <f t="shared" si="1"/>
        <v/>
      </c>
    </row>
    <row r="724" ht="15.75" customHeight="1">
      <c r="B724" s="26"/>
      <c r="H724" s="26"/>
      <c r="J724" s="5" t="str">
        <f t="shared" si="1"/>
        <v/>
      </c>
    </row>
    <row r="725" ht="15.75" customHeight="1">
      <c r="B725" s="26"/>
      <c r="H725" s="26"/>
      <c r="J725" s="5" t="str">
        <f t="shared" si="1"/>
        <v/>
      </c>
    </row>
    <row r="726" ht="15.75" customHeight="1">
      <c r="B726" s="26"/>
      <c r="H726" s="26"/>
      <c r="J726" s="5" t="str">
        <f t="shared" si="1"/>
        <v/>
      </c>
    </row>
    <row r="727" ht="15.75" customHeight="1">
      <c r="B727" s="26"/>
      <c r="H727" s="26"/>
      <c r="J727" s="5" t="str">
        <f t="shared" si="1"/>
        <v/>
      </c>
    </row>
    <row r="728" ht="15.75" customHeight="1">
      <c r="B728" s="26"/>
      <c r="H728" s="26"/>
      <c r="J728" s="5" t="str">
        <f t="shared" si="1"/>
        <v/>
      </c>
    </row>
    <row r="729" ht="15.75" customHeight="1">
      <c r="B729" s="26"/>
      <c r="H729" s="26"/>
      <c r="J729" s="5" t="str">
        <f t="shared" si="1"/>
        <v/>
      </c>
    </row>
    <row r="730" ht="15.75" customHeight="1">
      <c r="B730" s="26"/>
      <c r="H730" s="26"/>
      <c r="J730" s="5" t="str">
        <f t="shared" si="1"/>
        <v/>
      </c>
    </row>
    <row r="731" ht="15.75" customHeight="1">
      <c r="B731" s="26"/>
      <c r="H731" s="26"/>
      <c r="J731" s="5" t="str">
        <f t="shared" si="1"/>
        <v/>
      </c>
    </row>
    <row r="732" ht="15.75" customHeight="1">
      <c r="B732" s="26"/>
      <c r="H732" s="26"/>
      <c r="J732" s="5" t="str">
        <f t="shared" si="1"/>
        <v/>
      </c>
    </row>
    <row r="733" ht="15.75" customHeight="1">
      <c r="B733" s="26"/>
      <c r="H733" s="26"/>
      <c r="J733" s="5" t="str">
        <f t="shared" si="1"/>
        <v/>
      </c>
    </row>
    <row r="734" ht="15.75" customHeight="1">
      <c r="B734" s="26"/>
      <c r="H734" s="26"/>
      <c r="J734" s="5" t="str">
        <f t="shared" si="1"/>
        <v/>
      </c>
    </row>
    <row r="735" ht="15.75" customHeight="1">
      <c r="B735" s="26"/>
      <c r="H735" s="26"/>
      <c r="J735" s="5" t="str">
        <f t="shared" si="1"/>
        <v/>
      </c>
    </row>
    <row r="736" ht="15.75" customHeight="1">
      <c r="B736" s="26"/>
      <c r="H736" s="26"/>
      <c r="J736" s="5" t="str">
        <f t="shared" si="1"/>
        <v/>
      </c>
    </row>
    <row r="737" ht="15.75" customHeight="1">
      <c r="B737" s="26"/>
      <c r="H737" s="26"/>
      <c r="J737" s="5" t="str">
        <f t="shared" si="1"/>
        <v/>
      </c>
    </row>
    <row r="738" ht="15.75" customHeight="1">
      <c r="B738" s="26"/>
      <c r="H738" s="26"/>
      <c r="J738" s="5" t="str">
        <f t="shared" si="1"/>
        <v/>
      </c>
    </row>
    <row r="739" ht="15.75" customHeight="1">
      <c r="B739" s="26"/>
      <c r="H739" s="26"/>
      <c r="J739" s="5" t="str">
        <f t="shared" si="1"/>
        <v/>
      </c>
    </row>
    <row r="740" ht="15.75" customHeight="1">
      <c r="B740" s="26"/>
      <c r="H740" s="26"/>
      <c r="J740" s="5" t="str">
        <f t="shared" si="1"/>
        <v/>
      </c>
    </row>
    <row r="741" ht="15.75" customHeight="1">
      <c r="B741" s="26"/>
      <c r="H741" s="26"/>
      <c r="J741" s="5" t="str">
        <f t="shared" si="1"/>
        <v/>
      </c>
    </row>
    <row r="742" ht="15.75" customHeight="1">
      <c r="B742" s="26"/>
      <c r="H742" s="26"/>
      <c r="J742" s="5" t="str">
        <f t="shared" si="1"/>
        <v/>
      </c>
    </row>
    <row r="743" ht="15.75" customHeight="1">
      <c r="B743" s="26"/>
      <c r="H743" s="26"/>
      <c r="J743" s="5" t="str">
        <f t="shared" si="1"/>
        <v/>
      </c>
    </row>
    <row r="744" ht="15.75" customHeight="1">
      <c r="B744" s="26"/>
      <c r="H744" s="26"/>
      <c r="J744" s="5" t="str">
        <f t="shared" si="1"/>
        <v/>
      </c>
    </row>
    <row r="745" ht="15.75" customHeight="1">
      <c r="B745" s="26"/>
      <c r="H745" s="26"/>
      <c r="J745" s="5" t="str">
        <f t="shared" si="1"/>
        <v/>
      </c>
    </row>
    <row r="746" ht="15.75" customHeight="1">
      <c r="B746" s="26"/>
      <c r="H746" s="26"/>
      <c r="J746" s="5" t="str">
        <f t="shared" si="1"/>
        <v/>
      </c>
    </row>
    <row r="747" ht="15.75" customHeight="1">
      <c r="B747" s="26"/>
      <c r="H747" s="26"/>
      <c r="J747" s="5" t="str">
        <f t="shared" si="1"/>
        <v/>
      </c>
    </row>
    <row r="748" ht="15.75" customHeight="1">
      <c r="B748" s="26"/>
      <c r="H748" s="26"/>
      <c r="J748" s="5" t="str">
        <f t="shared" si="1"/>
        <v/>
      </c>
    </row>
    <row r="749" ht="15.75" customHeight="1">
      <c r="B749" s="26"/>
      <c r="H749" s="26"/>
      <c r="J749" s="5" t="str">
        <f t="shared" si="1"/>
        <v/>
      </c>
    </row>
    <row r="750" ht="15.75" customHeight="1">
      <c r="B750" s="26"/>
      <c r="H750" s="26"/>
      <c r="J750" s="5" t="str">
        <f t="shared" si="1"/>
        <v/>
      </c>
    </row>
    <row r="751" ht="15.75" customHeight="1">
      <c r="B751" s="26"/>
      <c r="H751" s="26"/>
      <c r="J751" s="5" t="str">
        <f t="shared" si="1"/>
        <v/>
      </c>
    </row>
    <row r="752" ht="15.75" customHeight="1">
      <c r="B752" s="26"/>
      <c r="H752" s="26"/>
      <c r="J752" s="5" t="str">
        <f t="shared" si="1"/>
        <v/>
      </c>
    </row>
    <row r="753" ht="15.75" customHeight="1">
      <c r="B753" s="26"/>
      <c r="H753" s="26"/>
      <c r="J753" s="5" t="str">
        <f t="shared" si="1"/>
        <v/>
      </c>
    </row>
    <row r="754" ht="15.75" customHeight="1">
      <c r="B754" s="26"/>
      <c r="H754" s="26"/>
      <c r="J754" s="5" t="str">
        <f t="shared" si="1"/>
        <v/>
      </c>
    </row>
    <row r="755" ht="15.75" customHeight="1">
      <c r="B755" s="26"/>
      <c r="H755" s="26"/>
      <c r="J755" s="5" t="str">
        <f t="shared" si="1"/>
        <v/>
      </c>
    </row>
    <row r="756" ht="15.75" customHeight="1">
      <c r="B756" s="26"/>
      <c r="H756" s="26"/>
      <c r="J756" s="5" t="str">
        <f t="shared" si="1"/>
        <v/>
      </c>
    </row>
    <row r="757" ht="15.75" customHeight="1">
      <c r="B757" s="26"/>
      <c r="H757" s="26"/>
      <c r="J757" s="5" t="str">
        <f t="shared" si="1"/>
        <v/>
      </c>
    </row>
    <row r="758" ht="15.75" customHeight="1">
      <c r="B758" s="26"/>
      <c r="H758" s="26"/>
      <c r="J758" s="5" t="str">
        <f t="shared" si="1"/>
        <v/>
      </c>
    </row>
    <row r="759" ht="15.75" customHeight="1">
      <c r="B759" s="26"/>
      <c r="H759" s="26"/>
      <c r="J759" s="5" t="str">
        <f t="shared" si="1"/>
        <v/>
      </c>
    </row>
    <row r="760" ht="15.75" customHeight="1">
      <c r="B760" s="26"/>
      <c r="H760" s="26"/>
      <c r="J760" s="5" t="str">
        <f t="shared" si="1"/>
        <v/>
      </c>
    </row>
    <row r="761" ht="15.75" customHeight="1">
      <c r="B761" s="26"/>
      <c r="H761" s="26"/>
      <c r="J761" s="5" t="str">
        <f t="shared" si="1"/>
        <v/>
      </c>
    </row>
    <row r="762" ht="15.75" customHeight="1">
      <c r="B762" s="26"/>
      <c r="H762" s="26"/>
      <c r="J762" s="5" t="str">
        <f t="shared" si="1"/>
        <v/>
      </c>
    </row>
    <row r="763" ht="15.75" customHeight="1">
      <c r="B763" s="26"/>
      <c r="H763" s="26"/>
      <c r="J763" s="5" t="str">
        <f t="shared" si="1"/>
        <v/>
      </c>
    </row>
    <row r="764" ht="15.75" customHeight="1">
      <c r="B764" s="26"/>
      <c r="H764" s="26"/>
      <c r="J764" s="5" t="str">
        <f t="shared" si="1"/>
        <v/>
      </c>
    </row>
    <row r="765" ht="15.75" customHeight="1">
      <c r="B765" s="26"/>
      <c r="H765" s="26"/>
      <c r="J765" s="5" t="str">
        <f t="shared" si="1"/>
        <v/>
      </c>
    </row>
    <row r="766" ht="15.75" customHeight="1">
      <c r="B766" s="26"/>
      <c r="H766" s="26"/>
      <c r="J766" s="5" t="str">
        <f t="shared" si="1"/>
        <v/>
      </c>
    </row>
    <row r="767" ht="15.75" customHeight="1">
      <c r="B767" s="26"/>
      <c r="H767" s="26"/>
      <c r="J767" s="5" t="str">
        <f t="shared" si="1"/>
        <v/>
      </c>
    </row>
    <row r="768" ht="15.75" customHeight="1">
      <c r="B768" s="26"/>
      <c r="H768" s="26"/>
      <c r="J768" s="5" t="str">
        <f t="shared" si="1"/>
        <v/>
      </c>
    </row>
    <row r="769" ht="15.75" customHeight="1">
      <c r="B769" s="26"/>
      <c r="H769" s="26"/>
      <c r="J769" s="5" t="str">
        <f t="shared" si="1"/>
        <v/>
      </c>
    </row>
    <row r="770" ht="15.75" customHeight="1">
      <c r="B770" s="26"/>
      <c r="H770" s="26"/>
      <c r="J770" s="5" t="str">
        <f t="shared" si="1"/>
        <v/>
      </c>
    </row>
    <row r="771" ht="15.75" customHeight="1">
      <c r="B771" s="26"/>
      <c r="H771" s="26"/>
      <c r="J771" s="5" t="str">
        <f t="shared" si="1"/>
        <v/>
      </c>
    </row>
    <row r="772" ht="15.75" customHeight="1">
      <c r="B772" s="26"/>
      <c r="H772" s="26"/>
      <c r="J772" s="5" t="str">
        <f t="shared" si="1"/>
        <v/>
      </c>
    </row>
    <row r="773" ht="15.75" customHeight="1">
      <c r="B773" s="26"/>
      <c r="H773" s="26"/>
      <c r="J773" s="5" t="str">
        <f t="shared" si="1"/>
        <v/>
      </c>
    </row>
    <row r="774" ht="15.75" customHeight="1">
      <c r="B774" s="26"/>
      <c r="H774" s="26"/>
      <c r="J774" s="5" t="str">
        <f t="shared" si="1"/>
        <v/>
      </c>
    </row>
    <row r="775" ht="15.75" customHeight="1">
      <c r="B775" s="26"/>
      <c r="H775" s="26"/>
      <c r="J775" s="5" t="str">
        <f t="shared" si="1"/>
        <v/>
      </c>
    </row>
    <row r="776" ht="15.75" customHeight="1">
      <c r="B776" s="26"/>
      <c r="H776" s="26"/>
      <c r="J776" s="5" t="str">
        <f t="shared" si="1"/>
        <v/>
      </c>
    </row>
    <row r="777" ht="15.75" customHeight="1">
      <c r="B777" s="26"/>
      <c r="H777" s="26"/>
      <c r="J777" s="5" t="str">
        <f t="shared" si="1"/>
        <v/>
      </c>
    </row>
    <row r="778" ht="15.75" customHeight="1">
      <c r="B778" s="26"/>
      <c r="H778" s="26"/>
      <c r="J778" s="5" t="str">
        <f t="shared" si="1"/>
        <v/>
      </c>
    </row>
    <row r="779" ht="15.75" customHeight="1">
      <c r="B779" s="26"/>
      <c r="H779" s="26"/>
      <c r="J779" s="5" t="str">
        <f t="shared" si="1"/>
        <v/>
      </c>
    </row>
    <row r="780" ht="15.75" customHeight="1">
      <c r="B780" s="26"/>
      <c r="H780" s="26"/>
      <c r="J780" s="5" t="str">
        <f t="shared" si="1"/>
        <v/>
      </c>
    </row>
    <row r="781" ht="15.75" customHeight="1">
      <c r="B781" s="26"/>
      <c r="H781" s="26"/>
      <c r="J781" s="5" t="str">
        <f t="shared" si="1"/>
        <v/>
      </c>
    </row>
    <row r="782" ht="15.75" customHeight="1">
      <c r="B782" s="26"/>
      <c r="H782" s="26"/>
      <c r="J782" s="5" t="str">
        <f t="shared" si="1"/>
        <v/>
      </c>
    </row>
    <row r="783" ht="15.75" customHeight="1">
      <c r="B783" s="26"/>
      <c r="H783" s="26"/>
      <c r="J783" s="5" t="str">
        <f t="shared" si="1"/>
        <v/>
      </c>
    </row>
    <row r="784" ht="15.75" customHeight="1">
      <c r="B784" s="26"/>
      <c r="H784" s="26"/>
      <c r="J784" s="5" t="str">
        <f t="shared" si="1"/>
        <v/>
      </c>
    </row>
    <row r="785" ht="15.75" customHeight="1">
      <c r="B785" s="26"/>
      <c r="H785" s="26"/>
      <c r="J785" s="5" t="str">
        <f t="shared" si="1"/>
        <v/>
      </c>
    </row>
    <row r="786" ht="15.75" customHeight="1">
      <c r="B786" s="26"/>
      <c r="H786" s="26"/>
      <c r="J786" s="5" t="str">
        <f t="shared" si="1"/>
        <v/>
      </c>
    </row>
    <row r="787" ht="15.75" customHeight="1">
      <c r="B787" s="26"/>
      <c r="H787" s="26"/>
      <c r="J787" s="5" t="str">
        <f t="shared" si="1"/>
        <v/>
      </c>
    </row>
    <row r="788" ht="15.75" customHeight="1">
      <c r="B788" s="26"/>
      <c r="H788" s="26"/>
      <c r="J788" s="5" t="str">
        <f t="shared" si="1"/>
        <v/>
      </c>
    </row>
    <row r="789" ht="15.75" customHeight="1">
      <c r="B789" s="26"/>
      <c r="H789" s="26"/>
      <c r="J789" s="5" t="str">
        <f t="shared" si="1"/>
        <v/>
      </c>
    </row>
    <row r="790" ht="15.75" customHeight="1">
      <c r="B790" s="26"/>
      <c r="H790" s="26"/>
      <c r="J790" s="5" t="str">
        <f t="shared" si="1"/>
        <v/>
      </c>
    </row>
    <row r="791" ht="15.75" customHeight="1">
      <c r="B791" s="26"/>
      <c r="H791" s="26"/>
      <c r="J791" s="5" t="str">
        <f t="shared" si="1"/>
        <v/>
      </c>
    </row>
    <row r="792" ht="15.75" customHeight="1">
      <c r="B792" s="26"/>
      <c r="H792" s="26"/>
      <c r="J792" s="5" t="str">
        <f t="shared" si="1"/>
        <v/>
      </c>
    </row>
    <row r="793" ht="15.75" customHeight="1">
      <c r="B793" s="26"/>
      <c r="H793" s="26"/>
      <c r="J793" s="5" t="str">
        <f t="shared" si="1"/>
        <v/>
      </c>
    </row>
    <row r="794" ht="15.75" customHeight="1">
      <c r="B794" s="26"/>
      <c r="H794" s="26"/>
      <c r="J794" s="5" t="str">
        <f t="shared" si="1"/>
        <v/>
      </c>
    </row>
    <row r="795" ht="15.75" customHeight="1">
      <c r="B795" s="26"/>
      <c r="H795" s="26"/>
      <c r="J795" s="5" t="str">
        <f t="shared" si="1"/>
        <v/>
      </c>
    </row>
    <row r="796" ht="15.75" customHeight="1">
      <c r="B796" s="26"/>
      <c r="H796" s="26"/>
      <c r="J796" s="5" t="str">
        <f t="shared" si="1"/>
        <v/>
      </c>
    </row>
    <row r="797" ht="15.75" customHeight="1">
      <c r="B797" s="26"/>
      <c r="H797" s="26"/>
      <c r="J797" s="5" t="str">
        <f t="shared" si="1"/>
        <v/>
      </c>
    </row>
    <row r="798" ht="15.75" customHeight="1">
      <c r="B798" s="26"/>
      <c r="H798" s="26"/>
      <c r="J798" s="5" t="str">
        <f t="shared" si="1"/>
        <v/>
      </c>
    </row>
    <row r="799" ht="15.75" customHeight="1">
      <c r="B799" s="26"/>
      <c r="H799" s="26"/>
      <c r="J799" s="5" t="str">
        <f t="shared" si="1"/>
        <v/>
      </c>
    </row>
    <row r="800" ht="15.75" customHeight="1">
      <c r="B800" s="26"/>
      <c r="H800" s="26"/>
      <c r="J800" s="5" t="str">
        <f t="shared" si="1"/>
        <v/>
      </c>
    </row>
    <row r="801" ht="15.75" customHeight="1">
      <c r="B801" s="26"/>
      <c r="H801" s="26"/>
      <c r="J801" s="5" t="str">
        <f t="shared" si="1"/>
        <v/>
      </c>
    </row>
    <row r="802" ht="15.75" customHeight="1">
      <c r="B802" s="26"/>
      <c r="H802" s="26"/>
      <c r="J802" s="5" t="str">
        <f t="shared" si="1"/>
        <v/>
      </c>
    </row>
    <row r="803" ht="15.75" customHeight="1">
      <c r="B803" s="26"/>
      <c r="H803" s="26"/>
      <c r="J803" s="5" t="str">
        <f t="shared" si="1"/>
        <v/>
      </c>
    </row>
    <row r="804" ht="15.75" customHeight="1">
      <c r="B804" s="26"/>
      <c r="H804" s="26"/>
      <c r="J804" s="5" t="str">
        <f t="shared" si="1"/>
        <v/>
      </c>
    </row>
    <row r="805" ht="15.75" customHeight="1">
      <c r="B805" s="26"/>
      <c r="H805" s="26"/>
      <c r="J805" s="5" t="str">
        <f t="shared" si="1"/>
        <v/>
      </c>
    </row>
    <row r="806" ht="15.75" customHeight="1">
      <c r="B806" s="26"/>
      <c r="H806" s="26"/>
      <c r="J806" s="5" t="str">
        <f t="shared" si="1"/>
        <v/>
      </c>
    </row>
    <row r="807" ht="15.75" customHeight="1">
      <c r="B807" s="26"/>
      <c r="H807" s="26"/>
      <c r="J807" s="5" t="str">
        <f t="shared" si="1"/>
        <v/>
      </c>
    </row>
    <row r="808" ht="15.75" customHeight="1">
      <c r="B808" s="26"/>
      <c r="H808" s="26"/>
      <c r="J808" s="5" t="str">
        <f t="shared" si="1"/>
        <v/>
      </c>
    </row>
    <row r="809" ht="15.75" customHeight="1">
      <c r="B809" s="26"/>
      <c r="H809" s="26"/>
      <c r="J809" s="5" t="str">
        <f t="shared" si="1"/>
        <v/>
      </c>
    </row>
    <row r="810" ht="15.75" customHeight="1">
      <c r="B810" s="26"/>
      <c r="H810" s="26"/>
      <c r="J810" s="5" t="str">
        <f t="shared" si="1"/>
        <v/>
      </c>
    </row>
    <row r="811" ht="15.75" customHeight="1">
      <c r="B811" s="26"/>
      <c r="H811" s="26"/>
      <c r="J811" s="5" t="str">
        <f t="shared" si="1"/>
        <v/>
      </c>
    </row>
    <row r="812" ht="15.75" customHeight="1">
      <c r="B812" s="26"/>
      <c r="H812" s="26"/>
      <c r="J812" s="5" t="str">
        <f t="shared" si="1"/>
        <v/>
      </c>
    </row>
    <row r="813" ht="15.75" customHeight="1">
      <c r="B813" s="26"/>
      <c r="H813" s="26"/>
      <c r="J813" s="5" t="str">
        <f t="shared" si="1"/>
        <v/>
      </c>
    </row>
    <row r="814" ht="15.75" customHeight="1">
      <c r="B814" s="26"/>
      <c r="H814" s="26"/>
      <c r="J814" s="5" t="str">
        <f t="shared" si="1"/>
        <v/>
      </c>
    </row>
    <row r="815" ht="15.75" customHeight="1">
      <c r="B815" s="26"/>
      <c r="H815" s="26"/>
      <c r="J815" s="5" t="str">
        <f t="shared" si="1"/>
        <v/>
      </c>
    </row>
    <row r="816" ht="15.75" customHeight="1">
      <c r="B816" s="26"/>
      <c r="H816" s="26"/>
      <c r="J816" s="5" t="str">
        <f t="shared" si="1"/>
        <v/>
      </c>
    </row>
    <row r="817" ht="15.75" customHeight="1">
      <c r="B817" s="26"/>
      <c r="H817" s="26"/>
      <c r="J817" s="5" t="str">
        <f t="shared" si="1"/>
        <v/>
      </c>
    </row>
    <row r="818" ht="15.75" customHeight="1">
      <c r="B818" s="26"/>
      <c r="H818" s="26"/>
      <c r="J818" s="5" t="str">
        <f t="shared" si="1"/>
        <v/>
      </c>
    </row>
    <row r="819" ht="15.75" customHeight="1">
      <c r="B819" s="26"/>
      <c r="H819" s="26"/>
      <c r="J819" s="5" t="str">
        <f t="shared" si="1"/>
        <v/>
      </c>
    </row>
    <row r="820" ht="15.75" customHeight="1">
      <c r="B820" s="26"/>
      <c r="H820" s="26"/>
      <c r="J820" s="5" t="str">
        <f t="shared" si="1"/>
        <v/>
      </c>
    </row>
    <row r="821" ht="15.75" customHeight="1">
      <c r="B821" s="26"/>
      <c r="H821" s="26"/>
      <c r="J821" s="5" t="str">
        <f t="shared" si="1"/>
        <v/>
      </c>
    </row>
    <row r="822" ht="15.75" customHeight="1">
      <c r="B822" s="26"/>
      <c r="H822" s="26"/>
      <c r="J822" s="5" t="str">
        <f t="shared" si="1"/>
        <v/>
      </c>
    </row>
    <row r="823" ht="15.75" customHeight="1">
      <c r="B823" s="26"/>
      <c r="H823" s="26"/>
      <c r="J823" s="5" t="str">
        <f t="shared" si="1"/>
        <v/>
      </c>
    </row>
    <row r="824" ht="15.75" customHeight="1">
      <c r="B824" s="26"/>
      <c r="H824" s="26"/>
      <c r="J824" s="5" t="str">
        <f t="shared" si="1"/>
        <v/>
      </c>
    </row>
    <row r="825" ht="15.75" customHeight="1">
      <c r="B825" s="26"/>
      <c r="H825" s="26"/>
      <c r="J825" s="5" t="str">
        <f t="shared" si="1"/>
        <v/>
      </c>
    </row>
    <row r="826" ht="15.75" customHeight="1">
      <c r="B826" s="26"/>
      <c r="H826" s="26"/>
      <c r="J826" s="5" t="str">
        <f t="shared" si="1"/>
        <v/>
      </c>
    </row>
    <row r="827" ht="15.75" customHeight="1">
      <c r="B827" s="26"/>
      <c r="H827" s="26"/>
      <c r="J827" s="5" t="str">
        <f t="shared" si="1"/>
        <v/>
      </c>
    </row>
    <row r="828" ht="15.75" customHeight="1">
      <c r="B828" s="26"/>
      <c r="H828" s="26"/>
      <c r="J828" s="5" t="str">
        <f t="shared" si="1"/>
        <v/>
      </c>
    </row>
    <row r="829" ht="15.75" customHeight="1">
      <c r="B829" s="26"/>
      <c r="H829" s="26"/>
      <c r="J829" s="5" t="str">
        <f t="shared" si="1"/>
        <v/>
      </c>
    </row>
    <row r="830" ht="15.75" customHeight="1">
      <c r="B830" s="26"/>
      <c r="H830" s="26"/>
      <c r="J830" s="5" t="str">
        <f t="shared" si="1"/>
        <v/>
      </c>
    </row>
    <row r="831" ht="15.75" customHeight="1">
      <c r="B831" s="26"/>
      <c r="H831" s="26"/>
      <c r="J831" s="5" t="str">
        <f t="shared" si="1"/>
        <v/>
      </c>
    </row>
    <row r="832" ht="15.75" customHeight="1">
      <c r="B832" s="26"/>
      <c r="H832" s="26"/>
      <c r="J832" s="5" t="str">
        <f t="shared" si="1"/>
        <v/>
      </c>
    </row>
    <row r="833" ht="15.75" customHeight="1">
      <c r="B833" s="26"/>
      <c r="H833" s="26"/>
      <c r="J833" s="5" t="str">
        <f t="shared" si="1"/>
        <v/>
      </c>
    </row>
    <row r="834" ht="15.75" customHeight="1">
      <c r="B834" s="26"/>
      <c r="H834" s="26"/>
      <c r="J834" s="5" t="str">
        <f t="shared" si="1"/>
        <v/>
      </c>
    </row>
    <row r="835" ht="15.75" customHeight="1">
      <c r="B835" s="26"/>
      <c r="H835" s="26"/>
      <c r="J835" s="5" t="str">
        <f t="shared" si="1"/>
        <v/>
      </c>
    </row>
    <row r="836" ht="15.75" customHeight="1">
      <c r="B836" s="26"/>
      <c r="H836" s="26"/>
      <c r="J836" s="5" t="str">
        <f t="shared" si="1"/>
        <v/>
      </c>
    </row>
    <row r="837" ht="15.75" customHeight="1">
      <c r="B837" s="26"/>
      <c r="H837" s="26"/>
      <c r="J837" s="5" t="str">
        <f t="shared" si="1"/>
        <v/>
      </c>
    </row>
    <row r="838" ht="15.75" customHeight="1">
      <c r="B838" s="26"/>
      <c r="H838" s="26"/>
      <c r="J838" s="5" t="str">
        <f t="shared" si="1"/>
        <v/>
      </c>
    </row>
    <row r="839" ht="15.75" customHeight="1">
      <c r="B839" s="26"/>
      <c r="H839" s="26"/>
      <c r="J839" s="5" t="str">
        <f t="shared" si="1"/>
        <v/>
      </c>
    </row>
    <row r="840" ht="15.75" customHeight="1">
      <c r="B840" s="26"/>
      <c r="H840" s="26"/>
      <c r="J840" s="5" t="str">
        <f t="shared" si="1"/>
        <v/>
      </c>
    </row>
    <row r="841" ht="15.75" customHeight="1">
      <c r="B841" s="26"/>
      <c r="H841" s="26"/>
      <c r="J841" s="5" t="str">
        <f t="shared" si="1"/>
        <v/>
      </c>
    </row>
    <row r="842" ht="15.75" customHeight="1">
      <c r="B842" s="26"/>
      <c r="H842" s="26"/>
      <c r="J842" s="5" t="str">
        <f t="shared" si="1"/>
        <v/>
      </c>
    </row>
    <row r="843" ht="15.75" customHeight="1">
      <c r="B843" s="26"/>
      <c r="H843" s="26"/>
      <c r="J843" s="5" t="str">
        <f t="shared" si="1"/>
        <v/>
      </c>
    </row>
    <row r="844" ht="15.75" customHeight="1">
      <c r="B844" s="26"/>
      <c r="H844" s="26"/>
      <c r="J844" s="5" t="str">
        <f t="shared" si="1"/>
        <v/>
      </c>
    </row>
    <row r="845" ht="15.75" customHeight="1">
      <c r="B845" s="26"/>
      <c r="H845" s="26"/>
      <c r="J845" s="5" t="str">
        <f t="shared" si="1"/>
        <v/>
      </c>
    </row>
    <row r="846" ht="15.75" customHeight="1">
      <c r="B846" s="26"/>
      <c r="H846" s="26"/>
      <c r="J846" s="5" t="str">
        <f t="shared" si="1"/>
        <v/>
      </c>
    </row>
    <row r="847" ht="15.75" customHeight="1">
      <c r="B847" s="26"/>
      <c r="H847" s="26"/>
      <c r="J847" s="5" t="str">
        <f t="shared" si="1"/>
        <v/>
      </c>
    </row>
    <row r="848" ht="15.75" customHeight="1">
      <c r="B848" s="26"/>
      <c r="H848" s="26"/>
      <c r="J848" s="5" t="str">
        <f t="shared" si="1"/>
        <v/>
      </c>
    </row>
    <row r="849" ht="15.75" customHeight="1">
      <c r="B849" s="26"/>
      <c r="H849" s="26"/>
      <c r="J849" s="5" t="str">
        <f t="shared" si="1"/>
        <v/>
      </c>
    </row>
    <row r="850" ht="15.75" customHeight="1">
      <c r="B850" s="26"/>
      <c r="H850" s="26"/>
      <c r="J850" s="5" t="str">
        <f t="shared" si="1"/>
        <v/>
      </c>
    </row>
    <row r="851" ht="15.75" customHeight="1">
      <c r="B851" s="26"/>
      <c r="H851" s="26"/>
      <c r="J851" s="5" t="str">
        <f t="shared" si="1"/>
        <v/>
      </c>
    </row>
    <row r="852" ht="15.75" customHeight="1">
      <c r="B852" s="26"/>
      <c r="H852" s="26"/>
      <c r="J852" s="5" t="str">
        <f t="shared" si="1"/>
        <v/>
      </c>
    </row>
    <row r="853" ht="15.75" customHeight="1">
      <c r="B853" s="26"/>
      <c r="H853" s="26"/>
      <c r="J853" s="5" t="str">
        <f t="shared" si="1"/>
        <v/>
      </c>
    </row>
    <row r="854" ht="15.75" customHeight="1">
      <c r="B854" s="26"/>
      <c r="H854" s="26"/>
      <c r="J854" s="5" t="str">
        <f t="shared" si="1"/>
        <v/>
      </c>
    </row>
    <row r="855" ht="15.75" customHeight="1">
      <c r="B855" s="26"/>
      <c r="H855" s="26"/>
      <c r="J855" s="5" t="str">
        <f t="shared" si="1"/>
        <v/>
      </c>
    </row>
    <row r="856" ht="15.75" customHeight="1">
      <c r="B856" s="26"/>
      <c r="H856" s="26"/>
      <c r="J856" s="5" t="str">
        <f t="shared" si="1"/>
        <v/>
      </c>
    </row>
    <row r="857" ht="15.75" customHeight="1">
      <c r="B857" s="26"/>
      <c r="H857" s="26"/>
      <c r="J857" s="5" t="str">
        <f t="shared" si="1"/>
        <v/>
      </c>
    </row>
    <row r="858" ht="15.75" customHeight="1">
      <c r="B858" s="26"/>
      <c r="H858" s="26"/>
      <c r="J858" s="5" t="str">
        <f t="shared" si="1"/>
        <v/>
      </c>
    </row>
    <row r="859" ht="15.75" customHeight="1">
      <c r="B859" s="26"/>
      <c r="H859" s="26"/>
      <c r="J859" s="5" t="str">
        <f t="shared" si="1"/>
        <v/>
      </c>
    </row>
    <row r="860" ht="15.75" customHeight="1">
      <c r="B860" s="26"/>
      <c r="H860" s="26"/>
      <c r="J860" s="5" t="str">
        <f t="shared" si="1"/>
        <v/>
      </c>
    </row>
    <row r="861" ht="15.75" customHeight="1">
      <c r="B861" s="26"/>
      <c r="H861" s="26"/>
      <c r="J861" s="5" t="str">
        <f t="shared" si="1"/>
        <v/>
      </c>
    </row>
    <row r="862" ht="15.75" customHeight="1">
      <c r="B862" s="26"/>
      <c r="H862" s="26"/>
      <c r="J862" s="5" t="str">
        <f t="shared" si="1"/>
        <v/>
      </c>
    </row>
    <row r="863" ht="15.75" customHeight="1">
      <c r="B863" s="26"/>
      <c r="H863" s="26"/>
      <c r="J863" s="5" t="str">
        <f t="shared" si="1"/>
        <v/>
      </c>
    </row>
    <row r="864" ht="15.75" customHeight="1">
      <c r="B864" s="26"/>
      <c r="H864" s="26"/>
      <c r="J864" s="5" t="str">
        <f t="shared" si="1"/>
        <v/>
      </c>
    </row>
    <row r="865" ht="15.75" customHeight="1">
      <c r="B865" s="26"/>
      <c r="H865" s="26"/>
      <c r="J865" s="5" t="str">
        <f t="shared" si="1"/>
        <v/>
      </c>
    </row>
    <row r="866" ht="15.75" customHeight="1">
      <c r="B866" s="26"/>
      <c r="H866" s="26"/>
      <c r="J866" s="5" t="str">
        <f t="shared" si="1"/>
        <v/>
      </c>
    </row>
    <row r="867" ht="15.75" customHeight="1">
      <c r="B867" s="26"/>
      <c r="H867" s="26"/>
      <c r="J867" s="5" t="str">
        <f t="shared" si="1"/>
        <v/>
      </c>
    </row>
    <row r="868" ht="15.75" customHeight="1">
      <c r="B868" s="26"/>
      <c r="H868" s="26"/>
      <c r="J868" s="5" t="str">
        <f t="shared" si="1"/>
        <v/>
      </c>
    </row>
    <row r="869" ht="15.75" customHeight="1">
      <c r="B869" s="26"/>
      <c r="H869" s="26"/>
      <c r="J869" s="5" t="str">
        <f t="shared" si="1"/>
        <v/>
      </c>
    </row>
    <row r="870" ht="15.75" customHeight="1">
      <c r="B870" s="26"/>
      <c r="H870" s="26"/>
      <c r="J870" s="5" t="str">
        <f t="shared" si="1"/>
        <v/>
      </c>
    </row>
    <row r="871" ht="15.75" customHeight="1">
      <c r="B871" s="26"/>
      <c r="H871" s="26"/>
      <c r="J871" s="5" t="str">
        <f t="shared" si="1"/>
        <v/>
      </c>
    </row>
    <row r="872" ht="15.75" customHeight="1">
      <c r="B872" s="26"/>
      <c r="H872" s="26"/>
      <c r="J872" s="5" t="str">
        <f t="shared" si="1"/>
        <v/>
      </c>
    </row>
    <row r="873" ht="15.75" customHeight="1">
      <c r="B873" s="26"/>
      <c r="H873" s="26"/>
      <c r="J873" s="5" t="str">
        <f t="shared" si="1"/>
        <v/>
      </c>
    </row>
    <row r="874" ht="15.75" customHeight="1">
      <c r="B874" s="26"/>
      <c r="H874" s="26"/>
      <c r="J874" s="5" t="str">
        <f t="shared" si="1"/>
        <v/>
      </c>
    </row>
    <row r="875" ht="15.75" customHeight="1">
      <c r="B875" s="26"/>
      <c r="H875" s="26"/>
      <c r="J875" s="5" t="str">
        <f t="shared" si="1"/>
        <v/>
      </c>
    </row>
    <row r="876" ht="15.75" customHeight="1">
      <c r="B876" s="26"/>
      <c r="H876" s="26"/>
      <c r="J876" s="5" t="str">
        <f t="shared" si="1"/>
        <v/>
      </c>
    </row>
    <row r="877" ht="15.75" customHeight="1">
      <c r="B877" s="26"/>
      <c r="H877" s="26"/>
      <c r="J877" s="5" t="str">
        <f t="shared" si="1"/>
        <v/>
      </c>
    </row>
    <row r="878" ht="15.75" customHeight="1">
      <c r="B878" s="26"/>
      <c r="H878" s="26"/>
      <c r="J878" s="5" t="str">
        <f t="shared" si="1"/>
        <v/>
      </c>
    </row>
    <row r="879" ht="15.75" customHeight="1">
      <c r="B879" s="26"/>
      <c r="H879" s="26"/>
      <c r="J879" s="5" t="str">
        <f t="shared" si="1"/>
        <v/>
      </c>
    </row>
    <row r="880" ht="15.75" customHeight="1">
      <c r="B880" s="26"/>
      <c r="H880" s="26"/>
      <c r="J880" s="5" t="str">
        <f t="shared" si="1"/>
        <v/>
      </c>
    </row>
    <row r="881" ht="15.75" customHeight="1">
      <c r="B881" s="26"/>
      <c r="H881" s="26"/>
      <c r="J881" s="5" t="str">
        <f t="shared" si="1"/>
        <v/>
      </c>
    </row>
    <row r="882" ht="15.75" customHeight="1">
      <c r="B882" s="26"/>
      <c r="H882" s="26"/>
      <c r="J882" s="5" t="str">
        <f t="shared" si="1"/>
        <v/>
      </c>
    </row>
    <row r="883" ht="15.75" customHeight="1">
      <c r="B883" s="26"/>
      <c r="H883" s="26"/>
      <c r="J883" s="5" t="str">
        <f t="shared" si="1"/>
        <v/>
      </c>
    </row>
    <row r="884" ht="15.75" customHeight="1">
      <c r="B884" s="26"/>
      <c r="H884" s="26"/>
      <c r="J884" s="5" t="str">
        <f t="shared" si="1"/>
        <v/>
      </c>
    </row>
    <row r="885" ht="15.75" customHeight="1">
      <c r="B885" s="26"/>
      <c r="H885" s="26"/>
      <c r="J885" s="5" t="str">
        <f t="shared" si="1"/>
        <v/>
      </c>
    </row>
    <row r="886" ht="15.75" customHeight="1">
      <c r="B886" s="26"/>
      <c r="H886" s="26"/>
      <c r="J886" s="5" t="str">
        <f t="shared" si="1"/>
        <v/>
      </c>
    </row>
    <row r="887" ht="15.75" customHeight="1">
      <c r="B887" s="26"/>
      <c r="H887" s="26"/>
      <c r="J887" s="5" t="str">
        <f t="shared" si="1"/>
        <v/>
      </c>
    </row>
    <row r="888" ht="15.75" customHeight="1">
      <c r="B888" s="26"/>
      <c r="H888" s="26"/>
      <c r="J888" s="5" t="str">
        <f t="shared" si="1"/>
        <v/>
      </c>
    </row>
    <row r="889" ht="15.75" customHeight="1">
      <c r="B889" s="26"/>
      <c r="H889" s="26"/>
      <c r="J889" s="5" t="str">
        <f t="shared" si="1"/>
        <v/>
      </c>
    </row>
    <row r="890" ht="15.75" customHeight="1">
      <c r="B890" s="26"/>
      <c r="H890" s="26"/>
      <c r="J890" s="5" t="str">
        <f t="shared" si="1"/>
        <v/>
      </c>
    </row>
    <row r="891" ht="15.75" customHeight="1">
      <c r="B891" s="26"/>
      <c r="H891" s="26"/>
      <c r="J891" s="5" t="str">
        <f t="shared" si="1"/>
        <v/>
      </c>
    </row>
    <row r="892" ht="15.75" customHeight="1">
      <c r="B892" s="26"/>
      <c r="H892" s="26"/>
      <c r="J892" s="5" t="str">
        <f t="shared" si="1"/>
        <v/>
      </c>
    </row>
    <row r="893" ht="15.75" customHeight="1">
      <c r="B893" s="26"/>
      <c r="H893" s="26"/>
      <c r="J893" s="5" t="str">
        <f t="shared" si="1"/>
        <v/>
      </c>
    </row>
    <row r="894" ht="15.75" customHeight="1">
      <c r="B894" s="26"/>
      <c r="H894" s="26"/>
      <c r="J894" s="5" t="str">
        <f t="shared" si="1"/>
        <v/>
      </c>
    </row>
    <row r="895" ht="15.75" customHeight="1">
      <c r="B895" s="26"/>
      <c r="H895" s="26"/>
      <c r="J895" s="5" t="str">
        <f t="shared" si="1"/>
        <v/>
      </c>
    </row>
    <row r="896" ht="15.75" customHeight="1">
      <c r="B896" s="26"/>
      <c r="H896" s="26"/>
      <c r="J896" s="5" t="str">
        <f t="shared" si="1"/>
        <v/>
      </c>
    </row>
    <row r="897" ht="15.75" customHeight="1">
      <c r="B897" s="26"/>
      <c r="H897" s="26"/>
      <c r="J897" s="5" t="str">
        <f t="shared" si="1"/>
        <v/>
      </c>
    </row>
    <row r="898" ht="15.75" customHeight="1">
      <c r="B898" s="26"/>
      <c r="H898" s="26"/>
      <c r="J898" s="5" t="str">
        <f t="shared" si="1"/>
        <v/>
      </c>
    </row>
    <row r="899" ht="15.75" customHeight="1">
      <c r="B899" s="26"/>
      <c r="H899" s="26"/>
      <c r="J899" s="5" t="str">
        <f t="shared" si="1"/>
        <v/>
      </c>
    </row>
    <row r="900" ht="15.75" customHeight="1">
      <c r="B900" s="26"/>
      <c r="H900" s="26"/>
      <c r="J900" s="5" t="str">
        <f t="shared" si="1"/>
        <v/>
      </c>
    </row>
    <row r="901" ht="15.75" customHeight="1">
      <c r="B901" s="26"/>
      <c r="H901" s="26"/>
      <c r="J901" s="5" t="str">
        <f t="shared" si="1"/>
        <v/>
      </c>
    </row>
    <row r="902" ht="15.75" customHeight="1">
      <c r="B902" s="26"/>
      <c r="H902" s="26"/>
      <c r="J902" s="5" t="str">
        <f t="shared" si="1"/>
        <v/>
      </c>
    </row>
    <row r="903" ht="15.75" customHeight="1">
      <c r="B903" s="26"/>
      <c r="H903" s="26"/>
      <c r="J903" s="5" t="str">
        <f t="shared" si="1"/>
        <v/>
      </c>
    </row>
    <row r="904" ht="15.75" customHeight="1">
      <c r="B904" s="26"/>
      <c r="H904" s="26"/>
      <c r="J904" s="5" t="str">
        <f t="shared" si="1"/>
        <v/>
      </c>
    </row>
    <row r="905" ht="15.75" customHeight="1">
      <c r="B905" s="26"/>
      <c r="H905" s="26"/>
      <c r="J905" s="5" t="str">
        <f t="shared" si="1"/>
        <v/>
      </c>
    </row>
    <row r="906" ht="15.75" customHeight="1">
      <c r="B906" s="26"/>
      <c r="H906" s="26"/>
      <c r="J906" s="5" t="str">
        <f t="shared" si="1"/>
        <v/>
      </c>
    </row>
    <row r="907" ht="15.75" customHeight="1">
      <c r="B907" s="26"/>
      <c r="H907" s="26"/>
      <c r="J907" s="5" t="str">
        <f t="shared" si="1"/>
        <v/>
      </c>
    </row>
    <row r="908" ht="15.75" customHeight="1">
      <c r="B908" s="26"/>
      <c r="H908" s="26"/>
      <c r="J908" s="5" t="str">
        <f t="shared" si="1"/>
        <v/>
      </c>
    </row>
    <row r="909" ht="15.75" customHeight="1">
      <c r="B909" s="26"/>
      <c r="H909" s="26"/>
      <c r="J909" s="5" t="str">
        <f t="shared" si="1"/>
        <v/>
      </c>
    </row>
    <row r="910" ht="15.75" customHeight="1">
      <c r="B910" s="26"/>
      <c r="H910" s="26"/>
      <c r="J910" s="5" t="str">
        <f t="shared" si="1"/>
        <v/>
      </c>
    </row>
    <row r="911" ht="15.75" customHeight="1">
      <c r="B911" s="26"/>
      <c r="H911" s="26"/>
      <c r="J911" s="5" t="str">
        <f t="shared" si="1"/>
        <v/>
      </c>
    </row>
    <row r="912" ht="15.75" customHeight="1">
      <c r="B912" s="26"/>
      <c r="H912" s="26"/>
      <c r="J912" s="5" t="str">
        <f t="shared" si="1"/>
        <v/>
      </c>
    </row>
    <row r="913" ht="15.75" customHeight="1">
      <c r="B913" s="26"/>
      <c r="H913" s="26"/>
      <c r="J913" s="5" t="str">
        <f t="shared" si="1"/>
        <v/>
      </c>
    </row>
    <row r="914" ht="15.75" customHeight="1">
      <c r="B914" s="26"/>
      <c r="H914" s="26"/>
      <c r="J914" s="5" t="str">
        <f t="shared" si="1"/>
        <v/>
      </c>
    </row>
    <row r="915" ht="15.75" customHeight="1">
      <c r="B915" s="26"/>
      <c r="H915" s="26"/>
      <c r="J915" s="5" t="str">
        <f t="shared" si="1"/>
        <v/>
      </c>
    </row>
    <row r="916" ht="15.75" customHeight="1">
      <c r="B916" s="26"/>
      <c r="H916" s="26"/>
      <c r="J916" s="5" t="str">
        <f t="shared" si="1"/>
        <v/>
      </c>
    </row>
    <row r="917" ht="15.75" customHeight="1">
      <c r="B917" s="26"/>
      <c r="H917" s="26"/>
      <c r="J917" s="5" t="str">
        <f t="shared" si="1"/>
        <v/>
      </c>
    </row>
    <row r="918" ht="15.75" customHeight="1">
      <c r="B918" s="26"/>
      <c r="H918" s="26"/>
      <c r="J918" s="5" t="str">
        <f t="shared" si="1"/>
        <v/>
      </c>
    </row>
    <row r="919" ht="15.75" customHeight="1">
      <c r="B919" s="26"/>
      <c r="H919" s="26"/>
      <c r="J919" s="5" t="str">
        <f t="shared" si="1"/>
        <v/>
      </c>
    </row>
    <row r="920" ht="15.75" customHeight="1">
      <c r="B920" s="26"/>
      <c r="H920" s="26"/>
      <c r="J920" s="5" t="str">
        <f t="shared" si="1"/>
        <v/>
      </c>
    </row>
    <row r="921" ht="15.75" customHeight="1">
      <c r="B921" s="26"/>
      <c r="H921" s="26"/>
      <c r="J921" s="5" t="str">
        <f t="shared" si="1"/>
        <v/>
      </c>
    </row>
    <row r="922" ht="15.75" customHeight="1">
      <c r="B922" s="26"/>
      <c r="H922" s="26"/>
      <c r="J922" s="5" t="str">
        <f t="shared" si="1"/>
        <v/>
      </c>
    </row>
    <row r="923" ht="15.75" customHeight="1">
      <c r="B923" s="26"/>
      <c r="H923" s="26"/>
      <c r="J923" s="5" t="str">
        <f t="shared" si="1"/>
        <v/>
      </c>
    </row>
    <row r="924" ht="15.75" customHeight="1">
      <c r="B924" s="26"/>
      <c r="H924" s="26"/>
      <c r="J924" s="5" t="str">
        <f t="shared" si="1"/>
        <v/>
      </c>
    </row>
    <row r="925" ht="15.75" customHeight="1">
      <c r="B925" s="26"/>
      <c r="H925" s="26"/>
      <c r="J925" s="5" t="str">
        <f t="shared" si="1"/>
        <v/>
      </c>
    </row>
    <row r="926" ht="15.75" customHeight="1">
      <c r="B926" s="26"/>
      <c r="H926" s="26"/>
      <c r="J926" s="5" t="str">
        <f t="shared" si="1"/>
        <v/>
      </c>
    </row>
    <row r="927" ht="15.75" customHeight="1">
      <c r="B927" s="26"/>
      <c r="H927" s="26"/>
      <c r="J927" s="5" t="str">
        <f t="shared" si="1"/>
        <v/>
      </c>
    </row>
    <row r="928" ht="15.75" customHeight="1">
      <c r="B928" s="26"/>
      <c r="H928" s="26"/>
      <c r="J928" s="5" t="str">
        <f t="shared" si="1"/>
        <v/>
      </c>
    </row>
    <row r="929" ht="15.75" customHeight="1">
      <c r="B929" s="26"/>
      <c r="H929" s="26"/>
      <c r="J929" s="5" t="str">
        <f t="shared" si="1"/>
        <v/>
      </c>
    </row>
    <row r="930" ht="15.75" customHeight="1">
      <c r="B930" s="26"/>
      <c r="H930" s="26"/>
      <c r="J930" s="5" t="str">
        <f t="shared" si="1"/>
        <v/>
      </c>
    </row>
    <row r="931" ht="15.75" customHeight="1">
      <c r="B931" s="26"/>
      <c r="H931" s="26"/>
      <c r="J931" s="5" t="str">
        <f t="shared" si="1"/>
        <v/>
      </c>
    </row>
    <row r="932" ht="15.75" customHeight="1">
      <c r="B932" s="26"/>
      <c r="H932" s="26"/>
      <c r="J932" s="5" t="str">
        <f t="shared" si="1"/>
        <v/>
      </c>
    </row>
    <row r="933" ht="15.75" customHeight="1">
      <c r="B933" s="26"/>
      <c r="H933" s="26"/>
      <c r="J933" s="5" t="str">
        <f t="shared" si="1"/>
        <v/>
      </c>
    </row>
    <row r="934" ht="15.75" customHeight="1">
      <c r="B934" s="26"/>
      <c r="H934" s="26"/>
      <c r="J934" s="5" t="str">
        <f t="shared" si="1"/>
        <v/>
      </c>
    </row>
    <row r="935" ht="15.75" customHeight="1">
      <c r="B935" s="26"/>
      <c r="H935" s="26"/>
      <c r="J935" s="5" t="str">
        <f t="shared" si="1"/>
        <v/>
      </c>
    </row>
    <row r="936" ht="15.75" customHeight="1">
      <c r="B936" s="26"/>
      <c r="H936" s="26"/>
      <c r="J936" s="5" t="str">
        <f t="shared" si="1"/>
        <v/>
      </c>
    </row>
    <row r="937" ht="15.75" customHeight="1">
      <c r="B937" s="26"/>
      <c r="H937" s="26"/>
      <c r="J937" s="5" t="str">
        <f t="shared" si="1"/>
        <v/>
      </c>
    </row>
    <row r="938" ht="15.75" customHeight="1">
      <c r="B938" s="26"/>
      <c r="H938" s="26"/>
      <c r="J938" s="5" t="str">
        <f t="shared" si="1"/>
        <v/>
      </c>
    </row>
    <row r="939" ht="15.75" customHeight="1">
      <c r="B939" s="26"/>
      <c r="H939" s="26"/>
      <c r="J939" s="5" t="str">
        <f t="shared" si="1"/>
        <v/>
      </c>
    </row>
    <row r="940" ht="15.75" customHeight="1">
      <c r="B940" s="26"/>
      <c r="H940" s="26"/>
      <c r="J940" s="5" t="str">
        <f t="shared" si="1"/>
        <v/>
      </c>
    </row>
    <row r="941" ht="15.75" customHeight="1">
      <c r="B941" s="26"/>
      <c r="H941" s="26"/>
      <c r="J941" s="5" t="str">
        <f t="shared" si="1"/>
        <v/>
      </c>
    </row>
    <row r="942" ht="15.75" customHeight="1">
      <c r="B942" s="26"/>
      <c r="H942" s="26"/>
      <c r="J942" s="5" t="str">
        <f t="shared" si="1"/>
        <v/>
      </c>
    </row>
    <row r="943" ht="15.75" customHeight="1">
      <c r="B943" s="26"/>
      <c r="H943" s="26"/>
      <c r="J943" s="5" t="str">
        <f t="shared" si="1"/>
        <v/>
      </c>
    </row>
    <row r="944" ht="15.75" customHeight="1">
      <c r="B944" s="26"/>
      <c r="H944" s="26"/>
      <c r="J944" s="5" t="str">
        <f t="shared" si="1"/>
        <v/>
      </c>
    </row>
    <row r="945" ht="15.75" customHeight="1">
      <c r="B945" s="26"/>
      <c r="H945" s="26"/>
      <c r="J945" s="5" t="str">
        <f t="shared" si="1"/>
        <v/>
      </c>
    </row>
    <row r="946" ht="15.75" customHeight="1">
      <c r="B946" s="26"/>
      <c r="H946" s="26"/>
      <c r="J946" s="5" t="str">
        <f t="shared" si="1"/>
        <v/>
      </c>
    </row>
    <row r="947" ht="15.75" customHeight="1">
      <c r="B947" s="26"/>
      <c r="H947" s="26"/>
      <c r="J947" s="5" t="str">
        <f t="shared" si="1"/>
        <v/>
      </c>
    </row>
    <row r="948" ht="15.75" customHeight="1">
      <c r="B948" s="26"/>
      <c r="H948" s="26"/>
      <c r="J948" s="5" t="str">
        <f t="shared" si="1"/>
        <v/>
      </c>
    </row>
    <row r="949" ht="15.75" customHeight="1">
      <c r="B949" s="26"/>
      <c r="H949" s="26"/>
      <c r="J949" s="5" t="str">
        <f t="shared" si="1"/>
        <v/>
      </c>
    </row>
    <row r="950" ht="15.75" customHeight="1">
      <c r="B950" s="26"/>
      <c r="H950" s="26"/>
      <c r="J950" s="5" t="str">
        <f t="shared" si="1"/>
        <v/>
      </c>
    </row>
    <row r="951" ht="15.75" customHeight="1">
      <c r="B951" s="26"/>
      <c r="H951" s="26"/>
      <c r="J951" s="5" t="str">
        <f t="shared" si="1"/>
        <v/>
      </c>
    </row>
    <row r="952" ht="15.75" customHeight="1">
      <c r="B952" s="26"/>
      <c r="H952" s="26"/>
      <c r="J952" s="5" t="str">
        <f t="shared" si="1"/>
        <v/>
      </c>
    </row>
    <row r="953" ht="15.75" customHeight="1">
      <c r="B953" s="26"/>
      <c r="H953" s="26"/>
      <c r="J953" s="5" t="str">
        <f t="shared" si="1"/>
        <v/>
      </c>
    </row>
    <row r="954" ht="15.75" customHeight="1">
      <c r="B954" s="26"/>
      <c r="H954" s="26"/>
      <c r="J954" s="5" t="str">
        <f t="shared" si="1"/>
        <v/>
      </c>
    </row>
    <row r="955" ht="15.75" customHeight="1">
      <c r="B955" s="26"/>
      <c r="H955" s="26"/>
      <c r="J955" s="5" t="str">
        <f t="shared" si="1"/>
        <v/>
      </c>
    </row>
    <row r="956" ht="15.75" customHeight="1">
      <c r="B956" s="26"/>
      <c r="H956" s="26"/>
      <c r="J956" s="5" t="str">
        <f t="shared" si="1"/>
        <v/>
      </c>
    </row>
    <row r="957" ht="15.75" customHeight="1">
      <c r="B957" s="26"/>
      <c r="H957" s="26"/>
      <c r="J957" s="5" t="str">
        <f t="shared" si="1"/>
        <v/>
      </c>
    </row>
    <row r="958" ht="15.75" customHeight="1">
      <c r="B958" s="26"/>
      <c r="H958" s="26"/>
      <c r="J958" s="5" t="str">
        <f t="shared" si="1"/>
        <v/>
      </c>
    </row>
    <row r="959" ht="15.75" customHeight="1">
      <c r="B959" s="26"/>
      <c r="H959" s="26"/>
      <c r="J959" s="5" t="str">
        <f t="shared" si="1"/>
        <v/>
      </c>
    </row>
    <row r="960" ht="15.75" customHeight="1">
      <c r="B960" s="26"/>
      <c r="H960" s="26"/>
      <c r="J960" s="5" t="str">
        <f t="shared" si="1"/>
        <v/>
      </c>
    </row>
    <row r="961" ht="15.75" customHeight="1">
      <c r="B961" s="26"/>
      <c r="H961" s="26"/>
      <c r="J961" s="5" t="str">
        <f t="shared" si="1"/>
        <v/>
      </c>
    </row>
    <row r="962" ht="15.75" customHeight="1">
      <c r="B962" s="26"/>
      <c r="H962" s="26"/>
      <c r="J962" s="5" t="str">
        <f t="shared" si="1"/>
        <v/>
      </c>
    </row>
    <row r="963" ht="15.75" customHeight="1">
      <c r="B963" s="26"/>
      <c r="H963" s="26"/>
      <c r="J963" s="5" t="str">
        <f t="shared" si="1"/>
        <v/>
      </c>
    </row>
    <row r="964" ht="15.75" customHeight="1">
      <c r="B964" s="26"/>
      <c r="H964" s="26"/>
      <c r="J964" s="5" t="str">
        <f t="shared" si="1"/>
        <v/>
      </c>
    </row>
    <row r="965" ht="15.75" customHeight="1">
      <c r="B965" s="26"/>
      <c r="H965" s="26"/>
      <c r="J965" s="5" t="str">
        <f t="shared" si="1"/>
        <v/>
      </c>
    </row>
    <row r="966" ht="15.75" customHeight="1">
      <c r="B966" s="26"/>
      <c r="H966" s="26"/>
      <c r="J966" s="5" t="str">
        <f t="shared" si="1"/>
        <v/>
      </c>
    </row>
    <row r="967" ht="15.75" customHeight="1">
      <c r="B967" s="26"/>
      <c r="H967" s="26"/>
      <c r="J967" s="5" t="str">
        <f t="shared" si="1"/>
        <v/>
      </c>
    </row>
    <row r="968" ht="15.75" customHeight="1">
      <c r="B968" s="26"/>
      <c r="H968" s="26"/>
      <c r="J968" s="5" t="str">
        <f t="shared" si="1"/>
        <v/>
      </c>
    </row>
    <row r="969" ht="15.75" customHeight="1">
      <c r="B969" s="26"/>
      <c r="H969" s="26"/>
      <c r="J969" s="5" t="str">
        <f t="shared" si="1"/>
        <v/>
      </c>
    </row>
    <row r="970" ht="15.75" customHeight="1">
      <c r="B970" s="26"/>
      <c r="H970" s="26"/>
      <c r="J970" s="5" t="str">
        <f t="shared" si="1"/>
        <v/>
      </c>
    </row>
    <row r="971" ht="15.75" customHeight="1">
      <c r="B971" s="26"/>
      <c r="H971" s="26"/>
      <c r="J971" s="5" t="str">
        <f t="shared" si="1"/>
        <v/>
      </c>
    </row>
    <row r="972" ht="15.75" customHeight="1">
      <c r="B972" s="26"/>
      <c r="H972" s="26"/>
      <c r="J972" s="5" t="str">
        <f t="shared" si="1"/>
        <v/>
      </c>
    </row>
    <row r="973" ht="15.75" customHeight="1">
      <c r="B973" s="26"/>
      <c r="H973" s="26"/>
      <c r="J973" s="5" t="str">
        <f t="shared" si="1"/>
        <v/>
      </c>
    </row>
    <row r="974" ht="15.75" customHeight="1">
      <c r="B974" s="26"/>
      <c r="H974" s="26"/>
      <c r="J974" s="5" t="str">
        <f t="shared" si="1"/>
        <v/>
      </c>
    </row>
    <row r="975" ht="15.75" customHeight="1">
      <c r="B975" s="26"/>
      <c r="H975" s="26"/>
      <c r="J975" s="5" t="str">
        <f t="shared" si="1"/>
        <v/>
      </c>
    </row>
    <row r="976" ht="15.75" customHeight="1">
      <c r="B976" s="26"/>
      <c r="H976" s="26"/>
      <c r="J976" s="5" t="str">
        <f t="shared" si="1"/>
        <v/>
      </c>
    </row>
    <row r="977" ht="15.75" customHeight="1">
      <c r="B977" s="26"/>
      <c r="H977" s="26"/>
      <c r="J977" s="5" t="str">
        <f t="shared" si="1"/>
        <v/>
      </c>
    </row>
    <row r="978" ht="15.75" customHeight="1">
      <c r="B978" s="26"/>
      <c r="H978" s="26"/>
      <c r="J978" s="5" t="str">
        <f t="shared" si="1"/>
        <v/>
      </c>
    </row>
    <row r="979" ht="15.75" customHeight="1">
      <c r="B979" s="26"/>
      <c r="H979" s="26"/>
      <c r="J979" s="5" t="str">
        <f t="shared" si="1"/>
        <v/>
      </c>
    </row>
    <row r="980" ht="15.75" customHeight="1">
      <c r="B980" s="26"/>
      <c r="H980" s="26"/>
      <c r="J980" s="5" t="str">
        <f t="shared" si="1"/>
        <v/>
      </c>
    </row>
    <row r="981" ht="15.75" customHeight="1">
      <c r="B981" s="26"/>
      <c r="H981" s="26"/>
      <c r="J981" s="5" t="str">
        <f t="shared" si="1"/>
        <v/>
      </c>
    </row>
    <row r="982" ht="15.75" customHeight="1">
      <c r="B982" s="26"/>
      <c r="H982" s="26"/>
      <c r="J982" s="5" t="str">
        <f t="shared" si="1"/>
        <v/>
      </c>
    </row>
    <row r="983" ht="15.75" customHeight="1">
      <c r="B983" s="26"/>
      <c r="H983" s="26"/>
      <c r="J983" s="5" t="str">
        <f t="shared" si="1"/>
        <v/>
      </c>
    </row>
    <row r="984" ht="15.75" customHeight="1">
      <c r="B984" s="26"/>
      <c r="H984" s="26"/>
      <c r="J984" s="5" t="str">
        <f t="shared" si="1"/>
        <v/>
      </c>
    </row>
    <row r="985" ht="15.75" customHeight="1">
      <c r="B985" s="26"/>
      <c r="H985" s="26"/>
      <c r="J985" s="5" t="str">
        <f t="shared" si="1"/>
        <v/>
      </c>
    </row>
    <row r="986" ht="15.75" customHeight="1">
      <c r="B986" s="26"/>
      <c r="H986" s="26"/>
      <c r="J986" s="5" t="str">
        <f t="shared" si="1"/>
        <v/>
      </c>
    </row>
    <row r="987" ht="15.75" customHeight="1">
      <c r="B987" s="26"/>
      <c r="H987" s="26"/>
      <c r="J987" s="5" t="str">
        <f t="shared" si="1"/>
        <v/>
      </c>
    </row>
    <row r="988" ht="15.75" customHeight="1">
      <c r="B988" s="26"/>
      <c r="H988" s="26"/>
      <c r="J988" s="5" t="str">
        <f t="shared" si="1"/>
        <v/>
      </c>
    </row>
    <row r="989" ht="15.75" customHeight="1">
      <c r="B989" s="26"/>
      <c r="H989" s="26"/>
      <c r="J989" s="5" t="str">
        <f t="shared" si="1"/>
        <v/>
      </c>
    </row>
    <row r="990" ht="15.75" customHeight="1">
      <c r="B990" s="26"/>
      <c r="H990" s="26"/>
      <c r="J990" s="5" t="str">
        <f t="shared" si="1"/>
        <v/>
      </c>
    </row>
    <row r="991" ht="15.75" customHeight="1">
      <c r="B991" s="26"/>
      <c r="H991" s="26"/>
      <c r="J991" s="5" t="str">
        <f t="shared" si="1"/>
        <v/>
      </c>
    </row>
    <row r="992" ht="15.75" customHeight="1">
      <c r="B992" s="26"/>
      <c r="H992" s="26"/>
      <c r="J992" s="5" t="str">
        <f t="shared" si="1"/>
        <v/>
      </c>
    </row>
    <row r="993" ht="15.75" customHeight="1">
      <c r="B993" s="26"/>
      <c r="H993" s="26"/>
      <c r="J993" s="5" t="str">
        <f t="shared" si="1"/>
        <v/>
      </c>
    </row>
    <row r="994" ht="15.75" customHeight="1">
      <c r="B994" s="26"/>
      <c r="H994" s="26"/>
      <c r="J994" s="5" t="str">
        <f t="shared" si="1"/>
        <v/>
      </c>
    </row>
    <row r="995" ht="15.75" customHeight="1">
      <c r="B995" s="26"/>
      <c r="H995" s="26"/>
      <c r="J995" s="5" t="str">
        <f t="shared" si="1"/>
        <v/>
      </c>
    </row>
    <row r="996" ht="15.75" customHeight="1">
      <c r="B996" s="26"/>
      <c r="H996" s="26"/>
      <c r="J996" s="5" t="str">
        <f t="shared" si="1"/>
        <v/>
      </c>
    </row>
    <row r="997" ht="15.75" customHeight="1">
      <c r="B997" s="26"/>
      <c r="H997" s="26"/>
      <c r="J997" s="5" t="str">
        <f t="shared" si="1"/>
        <v/>
      </c>
    </row>
    <row r="998" ht="15.75" customHeight="1">
      <c r="B998" s="26"/>
      <c r="H998" s="26"/>
      <c r="J998" s="5" t="str">
        <f t="shared" si="1"/>
        <v/>
      </c>
    </row>
    <row r="999" ht="15.75" customHeight="1">
      <c r="B999" s="26"/>
      <c r="H999" s="26"/>
      <c r="J999" s="5" t="str">
        <f t="shared" si="1"/>
        <v/>
      </c>
    </row>
    <row r="1000" ht="15.75" customHeight="1">
      <c r="B1000" s="26"/>
      <c r="H1000" s="26"/>
      <c r="J1000" s="5" t="str">
        <f t="shared" si="1"/>
        <v/>
      </c>
    </row>
    <row r="1001" ht="15.75" customHeight="1">
      <c r="J1001" s="5" t="str">
        <f t="shared" si="1"/>
        <v/>
      </c>
    </row>
    <row r="1002" ht="15.75" customHeight="1">
      <c r="J1002" s="5" t="str">
        <f t="shared" si="1"/>
        <v/>
      </c>
    </row>
    <row r="1003" ht="15.75" customHeight="1">
      <c r="J1003" s="5" t="str">
        <f t="shared" si="1"/>
        <v/>
      </c>
    </row>
    <row r="1004" ht="15.75" customHeight="1">
      <c r="J1004" s="5" t="str">
        <f t="shared" si="1"/>
        <v/>
      </c>
    </row>
  </sheetData>
  <customSheetViews>
    <customSheetView guid="{7D245E94-16D1-4FF3-A88C-311D938C3EA9}" filter="1" showAutoFilter="1">
      <autoFilter ref="$A$4:$O$5"/>
      <extLst>
        <ext uri="GoogleSheetsCustomDataVersion1">
          <go:sheetsCustomData xmlns:go="http://customooxmlschemas.google.com/" filterViewId="75624488"/>
        </ext>
      </extLst>
    </customSheetView>
  </customSheetViews>
  <mergeCells count="2">
    <mergeCell ref="A1:H1"/>
    <mergeCell ref="A2:L2"/>
  </mergeCells>
  <printOptions/>
  <pageMargins bottom="1.0" footer="0.0" header="0.0" left="0.75" right="0.75" top="1.0"/>
  <pageSetup fitToHeight="0" orientation="landscape"/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14.0"/>
    <col customWidth="1" min="3" max="5" width="18.0"/>
    <col customWidth="1" min="6" max="6" width="12.0"/>
    <col customWidth="1" min="7" max="7" width="10.0"/>
    <col customWidth="1" min="8" max="8" width="18.0"/>
    <col customWidth="1" min="9" max="9" width="14.0"/>
    <col customWidth="1" min="10" max="10" width="22.0"/>
    <col customWidth="1" min="11" max="11" width="20.0"/>
    <col customWidth="1" min="12" max="12" width="18.0"/>
    <col customWidth="1" min="13" max="13" width="20.0"/>
    <col customWidth="1" min="14" max="14" width="18.0"/>
    <col customWidth="1" min="15" max="15" width="20.0"/>
    <col customWidth="1" min="16" max="17" width="18.0"/>
    <col customWidth="1" min="18" max="18" width="12.0"/>
    <col customWidth="1" min="19" max="19" width="35.0"/>
    <col customWidth="1" min="20" max="26" width="8.71"/>
  </cols>
  <sheetData>
    <row r="1">
      <c r="A1" s="1" t="s">
        <v>403</v>
      </c>
    </row>
    <row r="2">
      <c r="A2" s="2" t="s">
        <v>404</v>
      </c>
    </row>
    <row r="4">
      <c r="A4" s="7" t="s">
        <v>405</v>
      </c>
      <c r="B4" s="7" t="s">
        <v>406</v>
      </c>
      <c r="C4" s="7" t="s">
        <v>309</v>
      </c>
      <c r="D4" s="7" t="s">
        <v>181</v>
      </c>
      <c r="E4" s="7" t="s">
        <v>204</v>
      </c>
      <c r="F4" s="7" t="s">
        <v>390</v>
      </c>
      <c r="G4" s="7" t="s">
        <v>12</v>
      </c>
      <c r="H4" s="7" t="s">
        <v>407</v>
      </c>
      <c r="I4" s="7" t="s">
        <v>408</v>
      </c>
      <c r="J4" s="7" t="s">
        <v>409</v>
      </c>
      <c r="K4" s="7" t="s">
        <v>410</v>
      </c>
      <c r="L4" s="7" t="s">
        <v>411</v>
      </c>
      <c r="M4" s="7" t="s">
        <v>412</v>
      </c>
      <c r="N4" s="7" t="s">
        <v>319</v>
      </c>
      <c r="O4" s="7" t="s">
        <v>413</v>
      </c>
      <c r="P4" s="7" t="s">
        <v>414</v>
      </c>
      <c r="Q4" s="7" t="s">
        <v>415</v>
      </c>
      <c r="R4" s="7" t="s">
        <v>416</v>
      </c>
      <c r="S4" s="7" t="s">
        <v>359</v>
      </c>
    </row>
    <row r="5">
      <c r="B5" s="25"/>
      <c r="P5" s="25"/>
      <c r="Q5" s="25"/>
      <c r="R5" s="29" t="str">
        <f t="shared" ref="R5:R1004" si="1">IF(OR(P5="",Q5=""),"",IF(Q5&lt;=P5,"Yes","No"))</f>
        <v/>
      </c>
    </row>
    <row r="6">
      <c r="B6" s="26"/>
      <c r="P6" s="26"/>
      <c r="Q6" s="26"/>
      <c r="R6" s="5" t="str">
        <f t="shared" si="1"/>
        <v/>
      </c>
    </row>
    <row r="7">
      <c r="B7" s="26"/>
      <c r="P7" s="26"/>
      <c r="Q7" s="26"/>
      <c r="R7" s="5" t="str">
        <f t="shared" si="1"/>
        <v/>
      </c>
    </row>
    <row r="8">
      <c r="B8" s="26"/>
      <c r="P8" s="26"/>
      <c r="Q8" s="26"/>
      <c r="R8" s="5" t="str">
        <f t="shared" si="1"/>
        <v/>
      </c>
    </row>
    <row r="9">
      <c r="B9" s="26"/>
      <c r="P9" s="26"/>
      <c r="Q9" s="26"/>
      <c r="R9" s="5" t="str">
        <f t="shared" si="1"/>
        <v/>
      </c>
    </row>
    <row r="10">
      <c r="B10" s="26"/>
      <c r="P10" s="26"/>
      <c r="Q10" s="26"/>
      <c r="R10" s="5" t="str">
        <f t="shared" si="1"/>
        <v/>
      </c>
    </row>
    <row r="11">
      <c r="B11" s="26"/>
      <c r="P11" s="26"/>
      <c r="Q11" s="26"/>
      <c r="R11" s="5" t="str">
        <f t="shared" si="1"/>
        <v/>
      </c>
    </row>
    <row r="12">
      <c r="B12" s="26"/>
      <c r="P12" s="26"/>
      <c r="Q12" s="26"/>
      <c r="R12" s="5" t="str">
        <f t="shared" si="1"/>
        <v/>
      </c>
    </row>
    <row r="13">
      <c r="B13" s="26"/>
      <c r="P13" s="26"/>
      <c r="Q13" s="26"/>
      <c r="R13" s="5" t="str">
        <f t="shared" si="1"/>
        <v/>
      </c>
    </row>
    <row r="14">
      <c r="B14" s="26"/>
      <c r="P14" s="26"/>
      <c r="Q14" s="26"/>
      <c r="R14" s="5" t="str">
        <f t="shared" si="1"/>
        <v/>
      </c>
    </row>
    <row r="15">
      <c r="B15" s="26"/>
      <c r="P15" s="26"/>
      <c r="Q15" s="26"/>
      <c r="R15" s="5" t="str">
        <f t="shared" si="1"/>
        <v/>
      </c>
    </row>
    <row r="16">
      <c r="B16" s="26"/>
      <c r="P16" s="26"/>
      <c r="Q16" s="26"/>
      <c r="R16" s="5" t="str">
        <f t="shared" si="1"/>
        <v/>
      </c>
    </row>
    <row r="17">
      <c r="B17" s="26"/>
      <c r="P17" s="26"/>
      <c r="Q17" s="26"/>
      <c r="R17" s="5" t="str">
        <f t="shared" si="1"/>
        <v/>
      </c>
    </row>
    <row r="18">
      <c r="B18" s="26"/>
      <c r="P18" s="26"/>
      <c r="Q18" s="26"/>
      <c r="R18" s="5" t="str">
        <f t="shared" si="1"/>
        <v/>
      </c>
    </row>
    <row r="19">
      <c r="B19" s="26"/>
      <c r="P19" s="26"/>
      <c r="Q19" s="26"/>
      <c r="R19" s="5" t="str">
        <f t="shared" si="1"/>
        <v/>
      </c>
    </row>
    <row r="20">
      <c r="B20" s="26"/>
      <c r="P20" s="26"/>
      <c r="Q20" s="26"/>
      <c r="R20" s="5" t="str">
        <f t="shared" si="1"/>
        <v/>
      </c>
    </row>
    <row r="21" ht="15.75" customHeight="1">
      <c r="B21" s="26"/>
      <c r="P21" s="26"/>
      <c r="Q21" s="26"/>
      <c r="R21" s="5" t="str">
        <f t="shared" si="1"/>
        <v/>
      </c>
    </row>
    <row r="22" ht="15.75" customHeight="1">
      <c r="B22" s="26"/>
      <c r="P22" s="26"/>
      <c r="Q22" s="26"/>
      <c r="R22" s="5" t="str">
        <f t="shared" si="1"/>
        <v/>
      </c>
    </row>
    <row r="23" ht="15.75" customHeight="1">
      <c r="B23" s="26"/>
      <c r="P23" s="26"/>
      <c r="Q23" s="26"/>
      <c r="R23" s="5" t="str">
        <f t="shared" si="1"/>
        <v/>
      </c>
    </row>
    <row r="24" ht="15.75" customHeight="1">
      <c r="B24" s="26"/>
      <c r="P24" s="26"/>
      <c r="Q24" s="26"/>
      <c r="R24" s="5" t="str">
        <f t="shared" si="1"/>
        <v/>
      </c>
    </row>
    <row r="25" ht="15.75" customHeight="1">
      <c r="B25" s="26"/>
      <c r="P25" s="26"/>
      <c r="Q25" s="26"/>
      <c r="R25" s="5" t="str">
        <f t="shared" si="1"/>
        <v/>
      </c>
    </row>
    <row r="26" ht="15.75" customHeight="1">
      <c r="B26" s="26"/>
      <c r="P26" s="26"/>
      <c r="Q26" s="26"/>
      <c r="R26" s="5" t="str">
        <f t="shared" si="1"/>
        <v/>
      </c>
    </row>
    <row r="27" ht="15.75" customHeight="1">
      <c r="B27" s="26"/>
      <c r="P27" s="26"/>
      <c r="Q27" s="26"/>
      <c r="R27" s="5" t="str">
        <f t="shared" si="1"/>
        <v/>
      </c>
    </row>
    <row r="28" ht="15.75" customHeight="1">
      <c r="B28" s="26"/>
      <c r="P28" s="26"/>
      <c r="Q28" s="26"/>
      <c r="R28" s="5" t="str">
        <f t="shared" si="1"/>
        <v/>
      </c>
    </row>
    <row r="29" ht="15.75" customHeight="1">
      <c r="B29" s="26"/>
      <c r="P29" s="26"/>
      <c r="Q29" s="26"/>
      <c r="R29" s="5" t="str">
        <f t="shared" si="1"/>
        <v/>
      </c>
    </row>
    <row r="30" ht="15.75" customHeight="1">
      <c r="B30" s="26"/>
      <c r="P30" s="26"/>
      <c r="Q30" s="26"/>
      <c r="R30" s="5" t="str">
        <f t="shared" si="1"/>
        <v/>
      </c>
    </row>
    <row r="31" ht="15.75" customHeight="1">
      <c r="B31" s="26"/>
      <c r="P31" s="26"/>
      <c r="Q31" s="26"/>
      <c r="R31" s="5" t="str">
        <f t="shared" si="1"/>
        <v/>
      </c>
    </row>
    <row r="32" ht="15.75" customHeight="1">
      <c r="B32" s="26"/>
      <c r="P32" s="26"/>
      <c r="Q32" s="26"/>
      <c r="R32" s="5" t="str">
        <f t="shared" si="1"/>
        <v/>
      </c>
    </row>
    <row r="33" ht="15.75" customHeight="1">
      <c r="B33" s="26"/>
      <c r="P33" s="26"/>
      <c r="Q33" s="26"/>
      <c r="R33" s="5" t="str">
        <f t="shared" si="1"/>
        <v/>
      </c>
    </row>
    <row r="34" ht="15.75" customHeight="1">
      <c r="B34" s="26"/>
      <c r="P34" s="26"/>
      <c r="Q34" s="26"/>
      <c r="R34" s="5" t="str">
        <f t="shared" si="1"/>
        <v/>
      </c>
    </row>
    <row r="35" ht="15.75" customHeight="1">
      <c r="B35" s="26"/>
      <c r="P35" s="26"/>
      <c r="Q35" s="26"/>
      <c r="R35" s="5" t="str">
        <f t="shared" si="1"/>
        <v/>
      </c>
    </row>
    <row r="36" ht="15.75" customHeight="1">
      <c r="B36" s="26"/>
      <c r="P36" s="26"/>
      <c r="Q36" s="26"/>
      <c r="R36" s="5" t="str">
        <f t="shared" si="1"/>
        <v/>
      </c>
    </row>
    <row r="37" ht="15.75" customHeight="1">
      <c r="B37" s="26"/>
      <c r="P37" s="26"/>
      <c r="Q37" s="26"/>
      <c r="R37" s="5" t="str">
        <f t="shared" si="1"/>
        <v/>
      </c>
    </row>
    <row r="38" ht="15.75" customHeight="1">
      <c r="B38" s="26"/>
      <c r="P38" s="26"/>
      <c r="Q38" s="26"/>
      <c r="R38" s="5" t="str">
        <f t="shared" si="1"/>
        <v/>
      </c>
    </row>
    <row r="39" ht="15.75" customHeight="1">
      <c r="B39" s="26"/>
      <c r="P39" s="26"/>
      <c r="Q39" s="26"/>
      <c r="R39" s="5" t="str">
        <f t="shared" si="1"/>
        <v/>
      </c>
    </row>
    <row r="40" ht="15.75" customHeight="1">
      <c r="B40" s="26"/>
      <c r="P40" s="26"/>
      <c r="Q40" s="26"/>
      <c r="R40" s="5" t="str">
        <f t="shared" si="1"/>
        <v/>
      </c>
    </row>
    <row r="41" ht="15.75" customHeight="1">
      <c r="B41" s="26"/>
      <c r="P41" s="26"/>
      <c r="Q41" s="26"/>
      <c r="R41" s="5" t="str">
        <f t="shared" si="1"/>
        <v/>
      </c>
    </row>
    <row r="42" ht="15.75" customHeight="1">
      <c r="B42" s="26"/>
      <c r="P42" s="26"/>
      <c r="Q42" s="26"/>
      <c r="R42" s="5" t="str">
        <f t="shared" si="1"/>
        <v/>
      </c>
    </row>
    <row r="43" ht="15.75" customHeight="1">
      <c r="B43" s="26"/>
      <c r="P43" s="26"/>
      <c r="Q43" s="26"/>
      <c r="R43" s="5" t="str">
        <f t="shared" si="1"/>
        <v/>
      </c>
    </row>
    <row r="44" ht="15.75" customHeight="1">
      <c r="B44" s="26"/>
      <c r="P44" s="26"/>
      <c r="Q44" s="26"/>
      <c r="R44" s="5" t="str">
        <f t="shared" si="1"/>
        <v/>
      </c>
    </row>
    <row r="45" ht="15.75" customHeight="1">
      <c r="B45" s="26"/>
      <c r="P45" s="26"/>
      <c r="Q45" s="26"/>
      <c r="R45" s="5" t="str">
        <f t="shared" si="1"/>
        <v/>
      </c>
    </row>
    <row r="46" ht="15.75" customHeight="1">
      <c r="B46" s="26"/>
      <c r="P46" s="26"/>
      <c r="Q46" s="26"/>
      <c r="R46" s="5" t="str">
        <f t="shared" si="1"/>
        <v/>
      </c>
    </row>
    <row r="47" ht="15.75" customHeight="1">
      <c r="B47" s="26"/>
      <c r="P47" s="26"/>
      <c r="Q47" s="26"/>
      <c r="R47" s="5" t="str">
        <f t="shared" si="1"/>
        <v/>
      </c>
    </row>
    <row r="48" ht="15.75" customHeight="1">
      <c r="B48" s="26"/>
      <c r="P48" s="26"/>
      <c r="Q48" s="26"/>
      <c r="R48" s="5" t="str">
        <f t="shared" si="1"/>
        <v/>
      </c>
    </row>
    <row r="49" ht="15.75" customHeight="1">
      <c r="B49" s="26"/>
      <c r="P49" s="26"/>
      <c r="Q49" s="26"/>
      <c r="R49" s="5" t="str">
        <f t="shared" si="1"/>
        <v/>
      </c>
    </row>
    <row r="50" ht="15.75" customHeight="1">
      <c r="B50" s="26"/>
      <c r="P50" s="26"/>
      <c r="Q50" s="26"/>
      <c r="R50" s="5" t="str">
        <f t="shared" si="1"/>
        <v/>
      </c>
    </row>
    <row r="51" ht="15.75" customHeight="1">
      <c r="B51" s="26"/>
      <c r="P51" s="26"/>
      <c r="Q51" s="26"/>
      <c r="R51" s="5" t="str">
        <f t="shared" si="1"/>
        <v/>
      </c>
    </row>
    <row r="52" ht="15.75" customHeight="1">
      <c r="B52" s="26"/>
      <c r="P52" s="26"/>
      <c r="Q52" s="26"/>
      <c r="R52" s="5" t="str">
        <f t="shared" si="1"/>
        <v/>
      </c>
    </row>
    <row r="53" ht="15.75" customHeight="1">
      <c r="B53" s="26"/>
      <c r="P53" s="26"/>
      <c r="Q53" s="26"/>
      <c r="R53" s="5" t="str">
        <f t="shared" si="1"/>
        <v/>
      </c>
    </row>
    <row r="54" ht="15.75" customHeight="1">
      <c r="B54" s="26"/>
      <c r="P54" s="26"/>
      <c r="Q54" s="26"/>
      <c r="R54" s="5" t="str">
        <f t="shared" si="1"/>
        <v/>
      </c>
    </row>
    <row r="55" ht="15.75" customHeight="1">
      <c r="B55" s="26"/>
      <c r="P55" s="26"/>
      <c r="Q55" s="26"/>
      <c r="R55" s="5" t="str">
        <f t="shared" si="1"/>
        <v/>
      </c>
    </row>
    <row r="56" ht="15.75" customHeight="1">
      <c r="B56" s="26"/>
      <c r="P56" s="26"/>
      <c r="Q56" s="26"/>
      <c r="R56" s="5" t="str">
        <f t="shared" si="1"/>
        <v/>
      </c>
    </row>
    <row r="57" ht="15.75" customHeight="1">
      <c r="B57" s="26"/>
      <c r="P57" s="26"/>
      <c r="Q57" s="26"/>
      <c r="R57" s="5" t="str">
        <f t="shared" si="1"/>
        <v/>
      </c>
    </row>
    <row r="58" ht="15.75" customHeight="1">
      <c r="B58" s="26"/>
      <c r="P58" s="26"/>
      <c r="Q58" s="26"/>
      <c r="R58" s="5" t="str">
        <f t="shared" si="1"/>
        <v/>
      </c>
    </row>
    <row r="59" ht="15.75" customHeight="1">
      <c r="B59" s="26"/>
      <c r="P59" s="26"/>
      <c r="Q59" s="26"/>
      <c r="R59" s="5" t="str">
        <f t="shared" si="1"/>
        <v/>
      </c>
    </row>
    <row r="60" ht="15.75" customHeight="1">
      <c r="B60" s="26"/>
      <c r="P60" s="26"/>
      <c r="Q60" s="26"/>
      <c r="R60" s="5" t="str">
        <f t="shared" si="1"/>
        <v/>
      </c>
    </row>
    <row r="61" ht="15.75" customHeight="1">
      <c r="B61" s="26"/>
      <c r="P61" s="26"/>
      <c r="Q61" s="26"/>
      <c r="R61" s="5" t="str">
        <f t="shared" si="1"/>
        <v/>
      </c>
    </row>
    <row r="62" ht="15.75" customHeight="1">
      <c r="B62" s="26"/>
      <c r="P62" s="26"/>
      <c r="Q62" s="26"/>
      <c r="R62" s="5" t="str">
        <f t="shared" si="1"/>
        <v/>
      </c>
    </row>
    <row r="63" ht="15.75" customHeight="1">
      <c r="B63" s="26"/>
      <c r="P63" s="26"/>
      <c r="Q63" s="26"/>
      <c r="R63" s="5" t="str">
        <f t="shared" si="1"/>
        <v/>
      </c>
    </row>
    <row r="64" ht="15.75" customHeight="1">
      <c r="B64" s="26"/>
      <c r="P64" s="26"/>
      <c r="Q64" s="26"/>
      <c r="R64" s="5" t="str">
        <f t="shared" si="1"/>
        <v/>
      </c>
    </row>
    <row r="65" ht="15.75" customHeight="1">
      <c r="B65" s="26"/>
      <c r="P65" s="26"/>
      <c r="Q65" s="26"/>
      <c r="R65" s="5" t="str">
        <f t="shared" si="1"/>
        <v/>
      </c>
    </row>
    <row r="66" ht="15.75" customHeight="1">
      <c r="B66" s="26"/>
      <c r="P66" s="26"/>
      <c r="Q66" s="26"/>
      <c r="R66" s="5" t="str">
        <f t="shared" si="1"/>
        <v/>
      </c>
    </row>
    <row r="67" ht="15.75" customHeight="1">
      <c r="B67" s="26"/>
      <c r="P67" s="26"/>
      <c r="Q67" s="26"/>
      <c r="R67" s="5" t="str">
        <f t="shared" si="1"/>
        <v/>
      </c>
    </row>
    <row r="68" ht="15.75" customHeight="1">
      <c r="B68" s="26"/>
      <c r="P68" s="26"/>
      <c r="Q68" s="26"/>
      <c r="R68" s="5" t="str">
        <f t="shared" si="1"/>
        <v/>
      </c>
    </row>
    <row r="69" ht="15.75" customHeight="1">
      <c r="B69" s="26"/>
      <c r="P69" s="26"/>
      <c r="Q69" s="26"/>
      <c r="R69" s="5" t="str">
        <f t="shared" si="1"/>
        <v/>
      </c>
    </row>
    <row r="70" ht="15.75" customHeight="1">
      <c r="B70" s="26"/>
      <c r="P70" s="26"/>
      <c r="Q70" s="26"/>
      <c r="R70" s="5" t="str">
        <f t="shared" si="1"/>
        <v/>
      </c>
    </row>
    <row r="71" ht="15.75" customHeight="1">
      <c r="B71" s="26"/>
      <c r="P71" s="26"/>
      <c r="Q71" s="26"/>
      <c r="R71" s="5" t="str">
        <f t="shared" si="1"/>
        <v/>
      </c>
    </row>
    <row r="72" ht="15.75" customHeight="1">
      <c r="B72" s="26"/>
      <c r="P72" s="26"/>
      <c r="Q72" s="26"/>
      <c r="R72" s="5" t="str">
        <f t="shared" si="1"/>
        <v/>
      </c>
    </row>
    <row r="73" ht="15.75" customHeight="1">
      <c r="B73" s="26"/>
      <c r="P73" s="26"/>
      <c r="Q73" s="26"/>
      <c r="R73" s="5" t="str">
        <f t="shared" si="1"/>
        <v/>
      </c>
    </row>
    <row r="74" ht="15.75" customHeight="1">
      <c r="B74" s="26"/>
      <c r="P74" s="26"/>
      <c r="Q74" s="26"/>
      <c r="R74" s="5" t="str">
        <f t="shared" si="1"/>
        <v/>
      </c>
    </row>
    <row r="75" ht="15.75" customHeight="1">
      <c r="B75" s="26"/>
      <c r="P75" s="26"/>
      <c r="Q75" s="26"/>
      <c r="R75" s="5" t="str">
        <f t="shared" si="1"/>
        <v/>
      </c>
    </row>
    <row r="76" ht="15.75" customHeight="1">
      <c r="B76" s="26"/>
      <c r="P76" s="26"/>
      <c r="Q76" s="26"/>
      <c r="R76" s="5" t="str">
        <f t="shared" si="1"/>
        <v/>
      </c>
    </row>
    <row r="77" ht="15.75" customHeight="1">
      <c r="B77" s="26"/>
      <c r="P77" s="26"/>
      <c r="Q77" s="26"/>
      <c r="R77" s="5" t="str">
        <f t="shared" si="1"/>
        <v/>
      </c>
    </row>
    <row r="78" ht="15.75" customHeight="1">
      <c r="B78" s="26"/>
      <c r="P78" s="26"/>
      <c r="Q78" s="26"/>
      <c r="R78" s="5" t="str">
        <f t="shared" si="1"/>
        <v/>
      </c>
    </row>
    <row r="79" ht="15.75" customHeight="1">
      <c r="B79" s="26"/>
      <c r="P79" s="26"/>
      <c r="Q79" s="26"/>
      <c r="R79" s="5" t="str">
        <f t="shared" si="1"/>
        <v/>
      </c>
    </row>
    <row r="80" ht="15.75" customHeight="1">
      <c r="B80" s="26"/>
      <c r="P80" s="26"/>
      <c r="Q80" s="26"/>
      <c r="R80" s="5" t="str">
        <f t="shared" si="1"/>
        <v/>
      </c>
    </row>
    <row r="81" ht="15.75" customHeight="1">
      <c r="B81" s="26"/>
      <c r="P81" s="26"/>
      <c r="Q81" s="26"/>
      <c r="R81" s="5" t="str">
        <f t="shared" si="1"/>
        <v/>
      </c>
    </row>
    <row r="82" ht="15.75" customHeight="1">
      <c r="B82" s="26"/>
      <c r="P82" s="26"/>
      <c r="Q82" s="26"/>
      <c r="R82" s="5" t="str">
        <f t="shared" si="1"/>
        <v/>
      </c>
    </row>
    <row r="83" ht="15.75" customHeight="1">
      <c r="B83" s="26"/>
      <c r="P83" s="26"/>
      <c r="Q83" s="26"/>
      <c r="R83" s="5" t="str">
        <f t="shared" si="1"/>
        <v/>
      </c>
    </row>
    <row r="84" ht="15.75" customHeight="1">
      <c r="B84" s="26"/>
      <c r="P84" s="26"/>
      <c r="Q84" s="26"/>
      <c r="R84" s="5" t="str">
        <f t="shared" si="1"/>
        <v/>
      </c>
    </row>
    <row r="85" ht="15.75" customHeight="1">
      <c r="B85" s="26"/>
      <c r="P85" s="26"/>
      <c r="Q85" s="26"/>
      <c r="R85" s="5" t="str">
        <f t="shared" si="1"/>
        <v/>
      </c>
    </row>
    <row r="86" ht="15.75" customHeight="1">
      <c r="B86" s="26"/>
      <c r="P86" s="26"/>
      <c r="Q86" s="26"/>
      <c r="R86" s="5" t="str">
        <f t="shared" si="1"/>
        <v/>
      </c>
    </row>
    <row r="87" ht="15.75" customHeight="1">
      <c r="B87" s="26"/>
      <c r="P87" s="26"/>
      <c r="Q87" s="26"/>
      <c r="R87" s="5" t="str">
        <f t="shared" si="1"/>
        <v/>
      </c>
    </row>
    <row r="88" ht="15.75" customHeight="1">
      <c r="B88" s="26"/>
      <c r="P88" s="26"/>
      <c r="Q88" s="26"/>
      <c r="R88" s="5" t="str">
        <f t="shared" si="1"/>
        <v/>
      </c>
    </row>
    <row r="89" ht="15.75" customHeight="1">
      <c r="B89" s="26"/>
      <c r="P89" s="26"/>
      <c r="Q89" s="26"/>
      <c r="R89" s="5" t="str">
        <f t="shared" si="1"/>
        <v/>
      </c>
    </row>
    <row r="90" ht="15.75" customHeight="1">
      <c r="B90" s="26"/>
      <c r="P90" s="26"/>
      <c r="Q90" s="26"/>
      <c r="R90" s="5" t="str">
        <f t="shared" si="1"/>
        <v/>
      </c>
    </row>
    <row r="91" ht="15.75" customHeight="1">
      <c r="B91" s="26"/>
      <c r="P91" s="26"/>
      <c r="Q91" s="26"/>
      <c r="R91" s="5" t="str">
        <f t="shared" si="1"/>
        <v/>
      </c>
    </row>
    <row r="92" ht="15.75" customHeight="1">
      <c r="B92" s="26"/>
      <c r="P92" s="26"/>
      <c r="Q92" s="26"/>
      <c r="R92" s="5" t="str">
        <f t="shared" si="1"/>
        <v/>
      </c>
    </row>
    <row r="93" ht="15.75" customHeight="1">
      <c r="B93" s="26"/>
      <c r="P93" s="26"/>
      <c r="Q93" s="26"/>
      <c r="R93" s="5" t="str">
        <f t="shared" si="1"/>
        <v/>
      </c>
    </row>
    <row r="94" ht="15.75" customHeight="1">
      <c r="B94" s="26"/>
      <c r="P94" s="26"/>
      <c r="Q94" s="26"/>
      <c r="R94" s="5" t="str">
        <f t="shared" si="1"/>
        <v/>
      </c>
    </row>
    <row r="95" ht="15.75" customHeight="1">
      <c r="B95" s="26"/>
      <c r="P95" s="26"/>
      <c r="Q95" s="26"/>
      <c r="R95" s="5" t="str">
        <f t="shared" si="1"/>
        <v/>
      </c>
    </row>
    <row r="96" ht="15.75" customHeight="1">
      <c r="B96" s="26"/>
      <c r="P96" s="26"/>
      <c r="Q96" s="26"/>
      <c r="R96" s="5" t="str">
        <f t="shared" si="1"/>
        <v/>
      </c>
    </row>
    <row r="97" ht="15.75" customHeight="1">
      <c r="B97" s="26"/>
      <c r="P97" s="26"/>
      <c r="Q97" s="26"/>
      <c r="R97" s="5" t="str">
        <f t="shared" si="1"/>
        <v/>
      </c>
    </row>
    <row r="98" ht="15.75" customHeight="1">
      <c r="B98" s="26"/>
      <c r="P98" s="26"/>
      <c r="Q98" s="26"/>
      <c r="R98" s="5" t="str">
        <f t="shared" si="1"/>
        <v/>
      </c>
    </row>
    <row r="99" ht="15.75" customHeight="1">
      <c r="B99" s="26"/>
      <c r="P99" s="26"/>
      <c r="Q99" s="26"/>
      <c r="R99" s="5" t="str">
        <f t="shared" si="1"/>
        <v/>
      </c>
    </row>
    <row r="100" ht="15.75" customHeight="1">
      <c r="B100" s="26"/>
      <c r="P100" s="26"/>
      <c r="Q100" s="26"/>
      <c r="R100" s="5" t="str">
        <f t="shared" si="1"/>
        <v/>
      </c>
    </row>
    <row r="101" ht="15.75" customHeight="1">
      <c r="B101" s="26"/>
      <c r="P101" s="26"/>
      <c r="Q101" s="26"/>
      <c r="R101" s="5" t="str">
        <f t="shared" si="1"/>
        <v/>
      </c>
    </row>
    <row r="102" ht="15.75" customHeight="1">
      <c r="B102" s="26"/>
      <c r="P102" s="26"/>
      <c r="Q102" s="26"/>
      <c r="R102" s="5" t="str">
        <f t="shared" si="1"/>
        <v/>
      </c>
    </row>
    <row r="103" ht="15.75" customHeight="1">
      <c r="B103" s="26"/>
      <c r="P103" s="26"/>
      <c r="Q103" s="26"/>
      <c r="R103" s="5" t="str">
        <f t="shared" si="1"/>
        <v/>
      </c>
    </row>
    <row r="104" ht="15.75" customHeight="1">
      <c r="B104" s="26"/>
      <c r="P104" s="26"/>
      <c r="Q104" s="26"/>
      <c r="R104" s="5" t="str">
        <f t="shared" si="1"/>
        <v/>
      </c>
    </row>
    <row r="105" ht="15.75" customHeight="1">
      <c r="B105" s="26"/>
      <c r="P105" s="26"/>
      <c r="Q105" s="26"/>
      <c r="R105" s="5" t="str">
        <f t="shared" si="1"/>
        <v/>
      </c>
    </row>
    <row r="106" ht="15.75" customHeight="1">
      <c r="B106" s="26"/>
      <c r="P106" s="26"/>
      <c r="Q106" s="26"/>
      <c r="R106" s="5" t="str">
        <f t="shared" si="1"/>
        <v/>
      </c>
    </row>
    <row r="107" ht="15.75" customHeight="1">
      <c r="B107" s="26"/>
      <c r="P107" s="26"/>
      <c r="Q107" s="26"/>
      <c r="R107" s="5" t="str">
        <f t="shared" si="1"/>
        <v/>
      </c>
    </row>
    <row r="108" ht="15.75" customHeight="1">
      <c r="B108" s="26"/>
      <c r="P108" s="26"/>
      <c r="Q108" s="26"/>
      <c r="R108" s="5" t="str">
        <f t="shared" si="1"/>
        <v/>
      </c>
    </row>
    <row r="109" ht="15.75" customHeight="1">
      <c r="B109" s="26"/>
      <c r="P109" s="26"/>
      <c r="Q109" s="26"/>
      <c r="R109" s="5" t="str">
        <f t="shared" si="1"/>
        <v/>
      </c>
    </row>
    <row r="110" ht="15.75" customHeight="1">
      <c r="B110" s="26"/>
      <c r="P110" s="26"/>
      <c r="Q110" s="26"/>
      <c r="R110" s="5" t="str">
        <f t="shared" si="1"/>
        <v/>
      </c>
    </row>
    <row r="111" ht="15.75" customHeight="1">
      <c r="B111" s="26"/>
      <c r="P111" s="26"/>
      <c r="Q111" s="26"/>
      <c r="R111" s="5" t="str">
        <f t="shared" si="1"/>
        <v/>
      </c>
    </row>
    <row r="112" ht="15.75" customHeight="1">
      <c r="B112" s="26"/>
      <c r="P112" s="26"/>
      <c r="Q112" s="26"/>
      <c r="R112" s="5" t="str">
        <f t="shared" si="1"/>
        <v/>
      </c>
    </row>
    <row r="113" ht="15.75" customHeight="1">
      <c r="B113" s="26"/>
      <c r="P113" s="26"/>
      <c r="Q113" s="26"/>
      <c r="R113" s="5" t="str">
        <f t="shared" si="1"/>
        <v/>
      </c>
    </row>
    <row r="114" ht="15.75" customHeight="1">
      <c r="B114" s="26"/>
      <c r="P114" s="26"/>
      <c r="Q114" s="26"/>
      <c r="R114" s="5" t="str">
        <f t="shared" si="1"/>
        <v/>
      </c>
    </row>
    <row r="115" ht="15.75" customHeight="1">
      <c r="B115" s="26"/>
      <c r="P115" s="26"/>
      <c r="Q115" s="26"/>
      <c r="R115" s="5" t="str">
        <f t="shared" si="1"/>
        <v/>
      </c>
    </row>
    <row r="116" ht="15.75" customHeight="1">
      <c r="B116" s="26"/>
      <c r="P116" s="26"/>
      <c r="Q116" s="26"/>
      <c r="R116" s="5" t="str">
        <f t="shared" si="1"/>
        <v/>
      </c>
    </row>
    <row r="117" ht="15.75" customHeight="1">
      <c r="B117" s="26"/>
      <c r="P117" s="26"/>
      <c r="Q117" s="26"/>
      <c r="R117" s="5" t="str">
        <f t="shared" si="1"/>
        <v/>
      </c>
    </row>
    <row r="118" ht="15.75" customHeight="1">
      <c r="B118" s="26"/>
      <c r="P118" s="26"/>
      <c r="Q118" s="26"/>
      <c r="R118" s="5" t="str">
        <f t="shared" si="1"/>
        <v/>
      </c>
    </row>
    <row r="119" ht="15.75" customHeight="1">
      <c r="B119" s="26"/>
      <c r="P119" s="26"/>
      <c r="Q119" s="26"/>
      <c r="R119" s="5" t="str">
        <f t="shared" si="1"/>
        <v/>
      </c>
    </row>
    <row r="120" ht="15.75" customHeight="1">
      <c r="B120" s="26"/>
      <c r="P120" s="26"/>
      <c r="Q120" s="26"/>
      <c r="R120" s="5" t="str">
        <f t="shared" si="1"/>
        <v/>
      </c>
    </row>
    <row r="121" ht="15.75" customHeight="1">
      <c r="B121" s="26"/>
      <c r="P121" s="26"/>
      <c r="Q121" s="26"/>
      <c r="R121" s="5" t="str">
        <f t="shared" si="1"/>
        <v/>
      </c>
    </row>
    <row r="122" ht="15.75" customHeight="1">
      <c r="B122" s="26"/>
      <c r="P122" s="26"/>
      <c r="Q122" s="26"/>
      <c r="R122" s="5" t="str">
        <f t="shared" si="1"/>
        <v/>
      </c>
    </row>
    <row r="123" ht="15.75" customHeight="1">
      <c r="B123" s="26"/>
      <c r="P123" s="26"/>
      <c r="Q123" s="26"/>
      <c r="R123" s="5" t="str">
        <f t="shared" si="1"/>
        <v/>
      </c>
    </row>
    <row r="124" ht="15.75" customHeight="1">
      <c r="B124" s="26"/>
      <c r="P124" s="26"/>
      <c r="Q124" s="26"/>
      <c r="R124" s="5" t="str">
        <f t="shared" si="1"/>
        <v/>
      </c>
    </row>
    <row r="125" ht="15.75" customHeight="1">
      <c r="B125" s="26"/>
      <c r="P125" s="26"/>
      <c r="Q125" s="26"/>
      <c r="R125" s="5" t="str">
        <f t="shared" si="1"/>
        <v/>
      </c>
    </row>
    <row r="126" ht="15.75" customHeight="1">
      <c r="B126" s="26"/>
      <c r="P126" s="26"/>
      <c r="Q126" s="26"/>
      <c r="R126" s="5" t="str">
        <f t="shared" si="1"/>
        <v/>
      </c>
    </row>
    <row r="127" ht="15.75" customHeight="1">
      <c r="B127" s="26"/>
      <c r="P127" s="26"/>
      <c r="Q127" s="26"/>
      <c r="R127" s="5" t="str">
        <f t="shared" si="1"/>
        <v/>
      </c>
    </row>
    <row r="128" ht="15.75" customHeight="1">
      <c r="B128" s="26"/>
      <c r="P128" s="26"/>
      <c r="Q128" s="26"/>
      <c r="R128" s="5" t="str">
        <f t="shared" si="1"/>
        <v/>
      </c>
    </row>
    <row r="129" ht="15.75" customHeight="1">
      <c r="B129" s="26"/>
      <c r="P129" s="26"/>
      <c r="Q129" s="26"/>
      <c r="R129" s="5" t="str">
        <f t="shared" si="1"/>
        <v/>
      </c>
    </row>
    <row r="130" ht="15.75" customHeight="1">
      <c r="B130" s="26"/>
      <c r="P130" s="26"/>
      <c r="Q130" s="26"/>
      <c r="R130" s="5" t="str">
        <f t="shared" si="1"/>
        <v/>
      </c>
    </row>
    <row r="131" ht="15.75" customHeight="1">
      <c r="B131" s="26"/>
      <c r="P131" s="26"/>
      <c r="Q131" s="26"/>
      <c r="R131" s="5" t="str">
        <f t="shared" si="1"/>
        <v/>
      </c>
    </row>
    <row r="132" ht="15.75" customHeight="1">
      <c r="B132" s="26"/>
      <c r="P132" s="26"/>
      <c r="Q132" s="26"/>
      <c r="R132" s="5" t="str">
        <f t="shared" si="1"/>
        <v/>
      </c>
    </row>
    <row r="133" ht="15.75" customHeight="1">
      <c r="B133" s="26"/>
      <c r="P133" s="26"/>
      <c r="Q133" s="26"/>
      <c r="R133" s="5" t="str">
        <f t="shared" si="1"/>
        <v/>
      </c>
    </row>
    <row r="134" ht="15.75" customHeight="1">
      <c r="B134" s="26"/>
      <c r="P134" s="26"/>
      <c r="Q134" s="26"/>
      <c r="R134" s="5" t="str">
        <f t="shared" si="1"/>
        <v/>
      </c>
    </row>
    <row r="135" ht="15.75" customHeight="1">
      <c r="B135" s="26"/>
      <c r="P135" s="26"/>
      <c r="Q135" s="26"/>
      <c r="R135" s="5" t="str">
        <f t="shared" si="1"/>
        <v/>
      </c>
    </row>
    <row r="136" ht="15.75" customHeight="1">
      <c r="B136" s="26"/>
      <c r="P136" s="26"/>
      <c r="Q136" s="26"/>
      <c r="R136" s="5" t="str">
        <f t="shared" si="1"/>
        <v/>
      </c>
    </row>
    <row r="137" ht="15.75" customHeight="1">
      <c r="B137" s="26"/>
      <c r="P137" s="26"/>
      <c r="Q137" s="26"/>
      <c r="R137" s="5" t="str">
        <f t="shared" si="1"/>
        <v/>
      </c>
    </row>
    <row r="138" ht="15.75" customHeight="1">
      <c r="B138" s="26"/>
      <c r="P138" s="26"/>
      <c r="Q138" s="26"/>
      <c r="R138" s="5" t="str">
        <f t="shared" si="1"/>
        <v/>
      </c>
    </row>
    <row r="139" ht="15.75" customHeight="1">
      <c r="B139" s="26"/>
      <c r="P139" s="26"/>
      <c r="Q139" s="26"/>
      <c r="R139" s="5" t="str">
        <f t="shared" si="1"/>
        <v/>
      </c>
    </row>
    <row r="140" ht="15.75" customHeight="1">
      <c r="B140" s="26"/>
      <c r="P140" s="26"/>
      <c r="Q140" s="26"/>
      <c r="R140" s="5" t="str">
        <f t="shared" si="1"/>
        <v/>
      </c>
    </row>
    <row r="141" ht="15.75" customHeight="1">
      <c r="B141" s="26"/>
      <c r="P141" s="26"/>
      <c r="Q141" s="26"/>
      <c r="R141" s="5" t="str">
        <f t="shared" si="1"/>
        <v/>
      </c>
    </row>
    <row r="142" ht="15.75" customHeight="1">
      <c r="B142" s="26"/>
      <c r="P142" s="26"/>
      <c r="Q142" s="26"/>
      <c r="R142" s="5" t="str">
        <f t="shared" si="1"/>
        <v/>
      </c>
    </row>
    <row r="143" ht="15.75" customHeight="1">
      <c r="B143" s="26"/>
      <c r="P143" s="26"/>
      <c r="Q143" s="26"/>
      <c r="R143" s="5" t="str">
        <f t="shared" si="1"/>
        <v/>
      </c>
    </row>
    <row r="144" ht="15.75" customHeight="1">
      <c r="B144" s="26"/>
      <c r="P144" s="26"/>
      <c r="Q144" s="26"/>
      <c r="R144" s="5" t="str">
        <f t="shared" si="1"/>
        <v/>
      </c>
    </row>
    <row r="145" ht="15.75" customHeight="1">
      <c r="B145" s="26"/>
      <c r="P145" s="26"/>
      <c r="Q145" s="26"/>
      <c r="R145" s="5" t="str">
        <f t="shared" si="1"/>
        <v/>
      </c>
    </row>
    <row r="146" ht="15.75" customHeight="1">
      <c r="B146" s="26"/>
      <c r="P146" s="26"/>
      <c r="Q146" s="26"/>
      <c r="R146" s="5" t="str">
        <f t="shared" si="1"/>
        <v/>
      </c>
    </row>
    <row r="147" ht="15.75" customHeight="1">
      <c r="B147" s="26"/>
      <c r="P147" s="26"/>
      <c r="Q147" s="26"/>
      <c r="R147" s="5" t="str">
        <f t="shared" si="1"/>
        <v/>
      </c>
    </row>
    <row r="148" ht="15.75" customHeight="1">
      <c r="B148" s="26"/>
      <c r="P148" s="26"/>
      <c r="Q148" s="26"/>
      <c r="R148" s="5" t="str">
        <f t="shared" si="1"/>
        <v/>
      </c>
    </row>
    <row r="149" ht="15.75" customHeight="1">
      <c r="B149" s="26"/>
      <c r="P149" s="26"/>
      <c r="Q149" s="26"/>
      <c r="R149" s="5" t="str">
        <f t="shared" si="1"/>
        <v/>
      </c>
    </row>
    <row r="150" ht="15.75" customHeight="1">
      <c r="B150" s="26"/>
      <c r="P150" s="26"/>
      <c r="Q150" s="26"/>
      <c r="R150" s="5" t="str">
        <f t="shared" si="1"/>
        <v/>
      </c>
    </row>
    <row r="151" ht="15.75" customHeight="1">
      <c r="B151" s="26"/>
      <c r="P151" s="26"/>
      <c r="Q151" s="26"/>
      <c r="R151" s="5" t="str">
        <f t="shared" si="1"/>
        <v/>
      </c>
    </row>
    <row r="152" ht="15.75" customHeight="1">
      <c r="B152" s="26"/>
      <c r="P152" s="26"/>
      <c r="Q152" s="26"/>
      <c r="R152" s="5" t="str">
        <f t="shared" si="1"/>
        <v/>
      </c>
    </row>
    <row r="153" ht="15.75" customHeight="1">
      <c r="B153" s="26"/>
      <c r="P153" s="26"/>
      <c r="Q153" s="26"/>
      <c r="R153" s="5" t="str">
        <f t="shared" si="1"/>
        <v/>
      </c>
    </row>
    <row r="154" ht="15.75" customHeight="1">
      <c r="B154" s="26"/>
      <c r="P154" s="26"/>
      <c r="Q154" s="26"/>
      <c r="R154" s="5" t="str">
        <f t="shared" si="1"/>
        <v/>
      </c>
    </row>
    <row r="155" ht="15.75" customHeight="1">
      <c r="B155" s="26"/>
      <c r="P155" s="26"/>
      <c r="Q155" s="26"/>
      <c r="R155" s="5" t="str">
        <f t="shared" si="1"/>
        <v/>
      </c>
    </row>
    <row r="156" ht="15.75" customHeight="1">
      <c r="B156" s="26"/>
      <c r="P156" s="26"/>
      <c r="Q156" s="26"/>
      <c r="R156" s="5" t="str">
        <f t="shared" si="1"/>
        <v/>
      </c>
    </row>
    <row r="157" ht="15.75" customHeight="1">
      <c r="B157" s="26"/>
      <c r="P157" s="26"/>
      <c r="Q157" s="26"/>
      <c r="R157" s="5" t="str">
        <f t="shared" si="1"/>
        <v/>
      </c>
    </row>
    <row r="158" ht="15.75" customHeight="1">
      <c r="B158" s="26"/>
      <c r="P158" s="26"/>
      <c r="Q158" s="26"/>
      <c r="R158" s="5" t="str">
        <f t="shared" si="1"/>
        <v/>
      </c>
    </row>
    <row r="159" ht="15.75" customHeight="1">
      <c r="B159" s="26"/>
      <c r="P159" s="26"/>
      <c r="Q159" s="26"/>
      <c r="R159" s="5" t="str">
        <f t="shared" si="1"/>
        <v/>
      </c>
    </row>
    <row r="160" ht="15.75" customHeight="1">
      <c r="B160" s="26"/>
      <c r="P160" s="26"/>
      <c r="Q160" s="26"/>
      <c r="R160" s="5" t="str">
        <f t="shared" si="1"/>
        <v/>
      </c>
    </row>
    <row r="161" ht="15.75" customHeight="1">
      <c r="B161" s="26"/>
      <c r="P161" s="26"/>
      <c r="Q161" s="26"/>
      <c r="R161" s="5" t="str">
        <f t="shared" si="1"/>
        <v/>
      </c>
    </row>
    <row r="162" ht="15.75" customHeight="1">
      <c r="B162" s="26"/>
      <c r="P162" s="26"/>
      <c r="Q162" s="26"/>
      <c r="R162" s="5" t="str">
        <f t="shared" si="1"/>
        <v/>
      </c>
    </row>
    <row r="163" ht="15.75" customHeight="1">
      <c r="B163" s="26"/>
      <c r="P163" s="26"/>
      <c r="Q163" s="26"/>
      <c r="R163" s="5" t="str">
        <f t="shared" si="1"/>
        <v/>
      </c>
    </row>
    <row r="164" ht="15.75" customHeight="1">
      <c r="B164" s="26"/>
      <c r="P164" s="26"/>
      <c r="Q164" s="26"/>
      <c r="R164" s="5" t="str">
        <f t="shared" si="1"/>
        <v/>
      </c>
    </row>
    <row r="165" ht="15.75" customHeight="1">
      <c r="B165" s="26"/>
      <c r="P165" s="26"/>
      <c r="Q165" s="26"/>
      <c r="R165" s="5" t="str">
        <f t="shared" si="1"/>
        <v/>
      </c>
    </row>
    <row r="166" ht="15.75" customHeight="1">
      <c r="B166" s="26"/>
      <c r="P166" s="26"/>
      <c r="Q166" s="26"/>
      <c r="R166" s="5" t="str">
        <f t="shared" si="1"/>
        <v/>
      </c>
    </row>
    <row r="167" ht="15.75" customHeight="1">
      <c r="B167" s="26"/>
      <c r="P167" s="26"/>
      <c r="Q167" s="26"/>
      <c r="R167" s="5" t="str">
        <f t="shared" si="1"/>
        <v/>
      </c>
    </row>
    <row r="168" ht="15.75" customHeight="1">
      <c r="B168" s="26"/>
      <c r="P168" s="26"/>
      <c r="Q168" s="26"/>
      <c r="R168" s="5" t="str">
        <f t="shared" si="1"/>
        <v/>
      </c>
    </row>
    <row r="169" ht="15.75" customHeight="1">
      <c r="B169" s="26"/>
      <c r="P169" s="26"/>
      <c r="Q169" s="26"/>
      <c r="R169" s="5" t="str">
        <f t="shared" si="1"/>
        <v/>
      </c>
    </row>
    <row r="170" ht="15.75" customHeight="1">
      <c r="B170" s="26"/>
      <c r="P170" s="26"/>
      <c r="Q170" s="26"/>
      <c r="R170" s="5" t="str">
        <f t="shared" si="1"/>
        <v/>
      </c>
    </row>
    <row r="171" ht="15.75" customHeight="1">
      <c r="B171" s="26"/>
      <c r="P171" s="26"/>
      <c r="Q171" s="26"/>
      <c r="R171" s="5" t="str">
        <f t="shared" si="1"/>
        <v/>
      </c>
    </row>
    <row r="172" ht="15.75" customHeight="1">
      <c r="B172" s="26"/>
      <c r="P172" s="26"/>
      <c r="Q172" s="26"/>
      <c r="R172" s="5" t="str">
        <f t="shared" si="1"/>
        <v/>
      </c>
    </row>
    <row r="173" ht="15.75" customHeight="1">
      <c r="B173" s="26"/>
      <c r="P173" s="26"/>
      <c r="Q173" s="26"/>
      <c r="R173" s="5" t="str">
        <f t="shared" si="1"/>
        <v/>
      </c>
    </row>
    <row r="174" ht="15.75" customHeight="1">
      <c r="B174" s="26"/>
      <c r="P174" s="26"/>
      <c r="Q174" s="26"/>
      <c r="R174" s="5" t="str">
        <f t="shared" si="1"/>
        <v/>
      </c>
    </row>
    <row r="175" ht="15.75" customHeight="1">
      <c r="B175" s="26"/>
      <c r="P175" s="26"/>
      <c r="Q175" s="26"/>
      <c r="R175" s="5" t="str">
        <f t="shared" si="1"/>
        <v/>
      </c>
    </row>
    <row r="176" ht="15.75" customHeight="1">
      <c r="B176" s="26"/>
      <c r="P176" s="26"/>
      <c r="Q176" s="26"/>
      <c r="R176" s="5" t="str">
        <f t="shared" si="1"/>
        <v/>
      </c>
    </row>
    <row r="177" ht="15.75" customHeight="1">
      <c r="B177" s="26"/>
      <c r="P177" s="26"/>
      <c r="Q177" s="26"/>
      <c r="R177" s="5" t="str">
        <f t="shared" si="1"/>
        <v/>
      </c>
    </row>
    <row r="178" ht="15.75" customHeight="1">
      <c r="B178" s="26"/>
      <c r="P178" s="26"/>
      <c r="Q178" s="26"/>
      <c r="R178" s="5" t="str">
        <f t="shared" si="1"/>
        <v/>
      </c>
    </row>
    <row r="179" ht="15.75" customHeight="1">
      <c r="B179" s="26"/>
      <c r="P179" s="26"/>
      <c r="Q179" s="26"/>
      <c r="R179" s="5" t="str">
        <f t="shared" si="1"/>
        <v/>
      </c>
    </row>
    <row r="180" ht="15.75" customHeight="1">
      <c r="B180" s="26"/>
      <c r="P180" s="26"/>
      <c r="Q180" s="26"/>
      <c r="R180" s="5" t="str">
        <f t="shared" si="1"/>
        <v/>
      </c>
    </row>
    <row r="181" ht="15.75" customHeight="1">
      <c r="B181" s="26"/>
      <c r="P181" s="26"/>
      <c r="Q181" s="26"/>
      <c r="R181" s="5" t="str">
        <f t="shared" si="1"/>
        <v/>
      </c>
    </row>
    <row r="182" ht="15.75" customHeight="1">
      <c r="B182" s="26"/>
      <c r="P182" s="26"/>
      <c r="Q182" s="26"/>
      <c r="R182" s="5" t="str">
        <f t="shared" si="1"/>
        <v/>
      </c>
    </row>
    <row r="183" ht="15.75" customHeight="1">
      <c r="B183" s="26"/>
      <c r="P183" s="26"/>
      <c r="Q183" s="26"/>
      <c r="R183" s="5" t="str">
        <f t="shared" si="1"/>
        <v/>
      </c>
    </row>
    <row r="184" ht="15.75" customHeight="1">
      <c r="B184" s="26"/>
      <c r="P184" s="26"/>
      <c r="Q184" s="26"/>
      <c r="R184" s="5" t="str">
        <f t="shared" si="1"/>
        <v/>
      </c>
    </row>
    <row r="185" ht="15.75" customHeight="1">
      <c r="B185" s="26"/>
      <c r="P185" s="26"/>
      <c r="Q185" s="26"/>
      <c r="R185" s="5" t="str">
        <f t="shared" si="1"/>
        <v/>
      </c>
    </row>
    <row r="186" ht="15.75" customHeight="1">
      <c r="B186" s="26"/>
      <c r="P186" s="26"/>
      <c r="Q186" s="26"/>
      <c r="R186" s="5" t="str">
        <f t="shared" si="1"/>
        <v/>
      </c>
    </row>
    <row r="187" ht="15.75" customHeight="1">
      <c r="B187" s="26"/>
      <c r="P187" s="26"/>
      <c r="Q187" s="26"/>
      <c r="R187" s="5" t="str">
        <f t="shared" si="1"/>
        <v/>
      </c>
    </row>
    <row r="188" ht="15.75" customHeight="1">
      <c r="B188" s="26"/>
      <c r="P188" s="26"/>
      <c r="Q188" s="26"/>
      <c r="R188" s="5" t="str">
        <f t="shared" si="1"/>
        <v/>
      </c>
    </row>
    <row r="189" ht="15.75" customHeight="1">
      <c r="B189" s="26"/>
      <c r="P189" s="26"/>
      <c r="Q189" s="26"/>
      <c r="R189" s="5" t="str">
        <f t="shared" si="1"/>
        <v/>
      </c>
    </row>
    <row r="190" ht="15.75" customHeight="1">
      <c r="B190" s="26"/>
      <c r="P190" s="26"/>
      <c r="Q190" s="26"/>
      <c r="R190" s="5" t="str">
        <f t="shared" si="1"/>
        <v/>
      </c>
    </row>
    <row r="191" ht="15.75" customHeight="1">
      <c r="B191" s="26"/>
      <c r="P191" s="26"/>
      <c r="Q191" s="26"/>
      <c r="R191" s="5" t="str">
        <f t="shared" si="1"/>
        <v/>
      </c>
    </row>
    <row r="192" ht="15.75" customHeight="1">
      <c r="B192" s="26"/>
      <c r="P192" s="26"/>
      <c r="Q192" s="26"/>
      <c r="R192" s="5" t="str">
        <f t="shared" si="1"/>
        <v/>
      </c>
    </row>
    <row r="193" ht="15.75" customHeight="1">
      <c r="B193" s="26"/>
      <c r="P193" s="26"/>
      <c r="Q193" s="26"/>
      <c r="R193" s="5" t="str">
        <f t="shared" si="1"/>
        <v/>
      </c>
    </row>
    <row r="194" ht="15.75" customHeight="1">
      <c r="B194" s="26"/>
      <c r="P194" s="26"/>
      <c r="Q194" s="26"/>
      <c r="R194" s="5" t="str">
        <f t="shared" si="1"/>
        <v/>
      </c>
    </row>
    <row r="195" ht="15.75" customHeight="1">
      <c r="B195" s="26"/>
      <c r="P195" s="26"/>
      <c r="Q195" s="26"/>
      <c r="R195" s="5" t="str">
        <f t="shared" si="1"/>
        <v/>
      </c>
    </row>
    <row r="196" ht="15.75" customHeight="1">
      <c r="B196" s="26"/>
      <c r="P196" s="26"/>
      <c r="Q196" s="26"/>
      <c r="R196" s="5" t="str">
        <f t="shared" si="1"/>
        <v/>
      </c>
    </row>
    <row r="197" ht="15.75" customHeight="1">
      <c r="B197" s="26"/>
      <c r="P197" s="26"/>
      <c r="Q197" s="26"/>
      <c r="R197" s="5" t="str">
        <f t="shared" si="1"/>
        <v/>
      </c>
    </row>
    <row r="198" ht="15.75" customHeight="1">
      <c r="B198" s="26"/>
      <c r="P198" s="26"/>
      <c r="Q198" s="26"/>
      <c r="R198" s="5" t="str">
        <f t="shared" si="1"/>
        <v/>
      </c>
    </row>
    <row r="199" ht="15.75" customHeight="1">
      <c r="B199" s="26"/>
      <c r="P199" s="26"/>
      <c r="Q199" s="26"/>
      <c r="R199" s="5" t="str">
        <f t="shared" si="1"/>
        <v/>
      </c>
    </row>
    <row r="200" ht="15.75" customHeight="1">
      <c r="B200" s="26"/>
      <c r="P200" s="26"/>
      <c r="Q200" s="26"/>
      <c r="R200" s="5" t="str">
        <f t="shared" si="1"/>
        <v/>
      </c>
    </row>
    <row r="201" ht="15.75" customHeight="1">
      <c r="B201" s="26"/>
      <c r="P201" s="26"/>
      <c r="Q201" s="26"/>
      <c r="R201" s="5" t="str">
        <f t="shared" si="1"/>
        <v/>
      </c>
    </row>
    <row r="202" ht="15.75" customHeight="1">
      <c r="B202" s="26"/>
      <c r="P202" s="26"/>
      <c r="Q202" s="26"/>
      <c r="R202" s="5" t="str">
        <f t="shared" si="1"/>
        <v/>
      </c>
    </row>
    <row r="203" ht="15.75" customHeight="1">
      <c r="B203" s="26"/>
      <c r="P203" s="26"/>
      <c r="Q203" s="26"/>
      <c r="R203" s="5" t="str">
        <f t="shared" si="1"/>
        <v/>
      </c>
    </row>
    <row r="204" ht="15.75" customHeight="1">
      <c r="B204" s="26"/>
      <c r="P204" s="26"/>
      <c r="Q204" s="26"/>
      <c r="R204" s="5" t="str">
        <f t="shared" si="1"/>
        <v/>
      </c>
    </row>
    <row r="205" ht="15.75" customHeight="1">
      <c r="B205" s="26"/>
      <c r="P205" s="26"/>
      <c r="Q205" s="26"/>
      <c r="R205" s="5" t="str">
        <f t="shared" si="1"/>
        <v/>
      </c>
    </row>
    <row r="206" ht="15.75" customHeight="1">
      <c r="B206" s="26"/>
      <c r="P206" s="26"/>
      <c r="Q206" s="26"/>
      <c r="R206" s="5" t="str">
        <f t="shared" si="1"/>
        <v/>
      </c>
    </row>
    <row r="207" ht="15.75" customHeight="1">
      <c r="B207" s="26"/>
      <c r="P207" s="26"/>
      <c r="Q207" s="26"/>
      <c r="R207" s="5" t="str">
        <f t="shared" si="1"/>
        <v/>
      </c>
    </row>
    <row r="208" ht="15.75" customHeight="1">
      <c r="B208" s="26"/>
      <c r="P208" s="26"/>
      <c r="Q208" s="26"/>
      <c r="R208" s="5" t="str">
        <f t="shared" si="1"/>
        <v/>
      </c>
    </row>
    <row r="209" ht="15.75" customHeight="1">
      <c r="B209" s="26"/>
      <c r="P209" s="26"/>
      <c r="Q209" s="26"/>
      <c r="R209" s="5" t="str">
        <f t="shared" si="1"/>
        <v/>
      </c>
    </row>
    <row r="210" ht="15.75" customHeight="1">
      <c r="B210" s="26"/>
      <c r="P210" s="26"/>
      <c r="Q210" s="26"/>
      <c r="R210" s="5" t="str">
        <f t="shared" si="1"/>
        <v/>
      </c>
    </row>
    <row r="211" ht="15.75" customHeight="1">
      <c r="B211" s="26"/>
      <c r="P211" s="26"/>
      <c r="Q211" s="26"/>
      <c r="R211" s="5" t="str">
        <f t="shared" si="1"/>
        <v/>
      </c>
    </row>
    <row r="212" ht="15.75" customHeight="1">
      <c r="B212" s="26"/>
      <c r="P212" s="26"/>
      <c r="Q212" s="26"/>
      <c r="R212" s="5" t="str">
        <f t="shared" si="1"/>
        <v/>
      </c>
    </row>
    <row r="213" ht="15.75" customHeight="1">
      <c r="B213" s="26"/>
      <c r="P213" s="26"/>
      <c r="Q213" s="26"/>
      <c r="R213" s="5" t="str">
        <f t="shared" si="1"/>
        <v/>
      </c>
    </row>
    <row r="214" ht="15.75" customHeight="1">
      <c r="B214" s="26"/>
      <c r="P214" s="26"/>
      <c r="Q214" s="26"/>
      <c r="R214" s="5" t="str">
        <f t="shared" si="1"/>
        <v/>
      </c>
    </row>
    <row r="215" ht="15.75" customHeight="1">
      <c r="B215" s="26"/>
      <c r="P215" s="26"/>
      <c r="Q215" s="26"/>
      <c r="R215" s="5" t="str">
        <f t="shared" si="1"/>
        <v/>
      </c>
    </row>
    <row r="216" ht="15.75" customHeight="1">
      <c r="B216" s="26"/>
      <c r="P216" s="26"/>
      <c r="Q216" s="26"/>
      <c r="R216" s="5" t="str">
        <f t="shared" si="1"/>
        <v/>
      </c>
    </row>
    <row r="217" ht="15.75" customHeight="1">
      <c r="B217" s="26"/>
      <c r="P217" s="26"/>
      <c r="Q217" s="26"/>
      <c r="R217" s="5" t="str">
        <f t="shared" si="1"/>
        <v/>
      </c>
    </row>
    <row r="218" ht="15.75" customHeight="1">
      <c r="B218" s="26"/>
      <c r="P218" s="26"/>
      <c r="Q218" s="26"/>
      <c r="R218" s="5" t="str">
        <f t="shared" si="1"/>
        <v/>
      </c>
    </row>
    <row r="219" ht="15.75" customHeight="1">
      <c r="B219" s="26"/>
      <c r="P219" s="26"/>
      <c r="Q219" s="26"/>
      <c r="R219" s="5" t="str">
        <f t="shared" si="1"/>
        <v/>
      </c>
    </row>
    <row r="220" ht="15.75" customHeight="1">
      <c r="B220" s="26"/>
      <c r="P220" s="26"/>
      <c r="Q220" s="26"/>
      <c r="R220" s="5" t="str">
        <f t="shared" si="1"/>
        <v/>
      </c>
    </row>
    <row r="221" ht="15.75" customHeight="1">
      <c r="B221" s="26"/>
      <c r="P221" s="26"/>
      <c r="Q221" s="26"/>
      <c r="R221" s="5" t="str">
        <f t="shared" si="1"/>
        <v/>
      </c>
    </row>
    <row r="222" ht="15.75" customHeight="1">
      <c r="B222" s="26"/>
      <c r="P222" s="26"/>
      <c r="Q222" s="26"/>
      <c r="R222" s="5" t="str">
        <f t="shared" si="1"/>
        <v/>
      </c>
    </row>
    <row r="223" ht="15.75" customHeight="1">
      <c r="B223" s="26"/>
      <c r="P223" s="26"/>
      <c r="Q223" s="26"/>
      <c r="R223" s="5" t="str">
        <f t="shared" si="1"/>
        <v/>
      </c>
    </row>
    <row r="224" ht="15.75" customHeight="1">
      <c r="B224" s="26"/>
      <c r="P224" s="26"/>
      <c r="Q224" s="26"/>
      <c r="R224" s="5" t="str">
        <f t="shared" si="1"/>
        <v/>
      </c>
    </row>
    <row r="225" ht="15.75" customHeight="1">
      <c r="B225" s="26"/>
      <c r="P225" s="26"/>
      <c r="Q225" s="26"/>
      <c r="R225" s="5" t="str">
        <f t="shared" si="1"/>
        <v/>
      </c>
    </row>
    <row r="226" ht="15.75" customHeight="1">
      <c r="B226" s="26"/>
      <c r="P226" s="26"/>
      <c r="Q226" s="26"/>
      <c r="R226" s="5" t="str">
        <f t="shared" si="1"/>
        <v/>
      </c>
    </row>
    <row r="227" ht="15.75" customHeight="1">
      <c r="B227" s="26"/>
      <c r="P227" s="26"/>
      <c r="Q227" s="26"/>
      <c r="R227" s="5" t="str">
        <f t="shared" si="1"/>
        <v/>
      </c>
    </row>
    <row r="228" ht="15.75" customHeight="1">
      <c r="B228" s="26"/>
      <c r="P228" s="26"/>
      <c r="Q228" s="26"/>
      <c r="R228" s="5" t="str">
        <f t="shared" si="1"/>
        <v/>
      </c>
    </row>
    <row r="229" ht="15.75" customHeight="1">
      <c r="B229" s="26"/>
      <c r="P229" s="26"/>
      <c r="Q229" s="26"/>
      <c r="R229" s="5" t="str">
        <f t="shared" si="1"/>
        <v/>
      </c>
    </row>
    <row r="230" ht="15.75" customHeight="1">
      <c r="B230" s="26"/>
      <c r="P230" s="26"/>
      <c r="Q230" s="26"/>
      <c r="R230" s="5" t="str">
        <f t="shared" si="1"/>
        <v/>
      </c>
    </row>
    <row r="231" ht="15.75" customHeight="1">
      <c r="B231" s="26"/>
      <c r="P231" s="26"/>
      <c r="Q231" s="26"/>
      <c r="R231" s="5" t="str">
        <f t="shared" si="1"/>
        <v/>
      </c>
    </row>
    <row r="232" ht="15.75" customHeight="1">
      <c r="B232" s="26"/>
      <c r="P232" s="26"/>
      <c r="Q232" s="26"/>
      <c r="R232" s="5" t="str">
        <f t="shared" si="1"/>
        <v/>
      </c>
    </row>
    <row r="233" ht="15.75" customHeight="1">
      <c r="B233" s="26"/>
      <c r="P233" s="26"/>
      <c r="Q233" s="26"/>
      <c r="R233" s="5" t="str">
        <f t="shared" si="1"/>
        <v/>
      </c>
    </row>
    <row r="234" ht="15.75" customHeight="1">
      <c r="B234" s="26"/>
      <c r="P234" s="26"/>
      <c r="Q234" s="26"/>
      <c r="R234" s="5" t="str">
        <f t="shared" si="1"/>
        <v/>
      </c>
    </row>
    <row r="235" ht="15.75" customHeight="1">
      <c r="B235" s="26"/>
      <c r="P235" s="26"/>
      <c r="Q235" s="26"/>
      <c r="R235" s="5" t="str">
        <f t="shared" si="1"/>
        <v/>
      </c>
    </row>
    <row r="236" ht="15.75" customHeight="1">
      <c r="B236" s="26"/>
      <c r="P236" s="26"/>
      <c r="Q236" s="26"/>
      <c r="R236" s="5" t="str">
        <f t="shared" si="1"/>
        <v/>
      </c>
    </row>
    <row r="237" ht="15.75" customHeight="1">
      <c r="B237" s="26"/>
      <c r="P237" s="26"/>
      <c r="Q237" s="26"/>
      <c r="R237" s="5" t="str">
        <f t="shared" si="1"/>
        <v/>
      </c>
    </row>
    <row r="238" ht="15.75" customHeight="1">
      <c r="B238" s="26"/>
      <c r="P238" s="26"/>
      <c r="Q238" s="26"/>
      <c r="R238" s="5" t="str">
        <f t="shared" si="1"/>
        <v/>
      </c>
    </row>
    <row r="239" ht="15.75" customHeight="1">
      <c r="B239" s="26"/>
      <c r="P239" s="26"/>
      <c r="Q239" s="26"/>
      <c r="R239" s="5" t="str">
        <f t="shared" si="1"/>
        <v/>
      </c>
    </row>
    <row r="240" ht="15.75" customHeight="1">
      <c r="B240" s="26"/>
      <c r="P240" s="26"/>
      <c r="Q240" s="26"/>
      <c r="R240" s="5" t="str">
        <f t="shared" si="1"/>
        <v/>
      </c>
    </row>
    <row r="241" ht="15.75" customHeight="1">
      <c r="B241" s="26"/>
      <c r="P241" s="26"/>
      <c r="Q241" s="26"/>
      <c r="R241" s="5" t="str">
        <f t="shared" si="1"/>
        <v/>
      </c>
    </row>
    <row r="242" ht="15.75" customHeight="1">
      <c r="B242" s="26"/>
      <c r="P242" s="26"/>
      <c r="Q242" s="26"/>
      <c r="R242" s="5" t="str">
        <f t="shared" si="1"/>
        <v/>
      </c>
    </row>
    <row r="243" ht="15.75" customHeight="1">
      <c r="B243" s="26"/>
      <c r="P243" s="26"/>
      <c r="Q243" s="26"/>
      <c r="R243" s="5" t="str">
        <f t="shared" si="1"/>
        <v/>
      </c>
    </row>
    <row r="244" ht="15.75" customHeight="1">
      <c r="B244" s="26"/>
      <c r="P244" s="26"/>
      <c r="Q244" s="26"/>
      <c r="R244" s="5" t="str">
        <f t="shared" si="1"/>
        <v/>
      </c>
    </row>
    <row r="245" ht="15.75" customHeight="1">
      <c r="B245" s="26"/>
      <c r="P245" s="26"/>
      <c r="Q245" s="26"/>
      <c r="R245" s="5" t="str">
        <f t="shared" si="1"/>
        <v/>
      </c>
    </row>
    <row r="246" ht="15.75" customHeight="1">
      <c r="B246" s="26"/>
      <c r="P246" s="26"/>
      <c r="Q246" s="26"/>
      <c r="R246" s="5" t="str">
        <f t="shared" si="1"/>
        <v/>
      </c>
    </row>
    <row r="247" ht="15.75" customHeight="1">
      <c r="B247" s="26"/>
      <c r="P247" s="26"/>
      <c r="Q247" s="26"/>
      <c r="R247" s="5" t="str">
        <f t="shared" si="1"/>
        <v/>
      </c>
    </row>
    <row r="248" ht="15.75" customHeight="1">
      <c r="B248" s="26"/>
      <c r="P248" s="26"/>
      <c r="Q248" s="26"/>
      <c r="R248" s="5" t="str">
        <f t="shared" si="1"/>
        <v/>
      </c>
    </row>
    <row r="249" ht="15.75" customHeight="1">
      <c r="B249" s="26"/>
      <c r="P249" s="26"/>
      <c r="Q249" s="26"/>
      <c r="R249" s="5" t="str">
        <f t="shared" si="1"/>
        <v/>
      </c>
    </row>
    <row r="250" ht="15.75" customHeight="1">
      <c r="B250" s="26"/>
      <c r="P250" s="26"/>
      <c r="Q250" s="26"/>
      <c r="R250" s="5" t="str">
        <f t="shared" si="1"/>
        <v/>
      </c>
    </row>
    <row r="251" ht="15.75" customHeight="1">
      <c r="B251" s="26"/>
      <c r="P251" s="26"/>
      <c r="Q251" s="26"/>
      <c r="R251" s="5" t="str">
        <f t="shared" si="1"/>
        <v/>
      </c>
    </row>
    <row r="252" ht="15.75" customHeight="1">
      <c r="B252" s="26"/>
      <c r="P252" s="26"/>
      <c r="Q252" s="26"/>
      <c r="R252" s="5" t="str">
        <f t="shared" si="1"/>
        <v/>
      </c>
    </row>
    <row r="253" ht="15.75" customHeight="1">
      <c r="B253" s="26"/>
      <c r="P253" s="26"/>
      <c r="Q253" s="26"/>
      <c r="R253" s="5" t="str">
        <f t="shared" si="1"/>
        <v/>
      </c>
    </row>
    <row r="254" ht="15.75" customHeight="1">
      <c r="B254" s="26"/>
      <c r="P254" s="26"/>
      <c r="Q254" s="26"/>
      <c r="R254" s="5" t="str">
        <f t="shared" si="1"/>
        <v/>
      </c>
    </row>
    <row r="255" ht="15.75" customHeight="1">
      <c r="B255" s="26"/>
      <c r="P255" s="26"/>
      <c r="Q255" s="26"/>
      <c r="R255" s="5" t="str">
        <f t="shared" si="1"/>
        <v/>
      </c>
    </row>
    <row r="256" ht="15.75" customHeight="1">
      <c r="B256" s="26"/>
      <c r="P256" s="26"/>
      <c r="Q256" s="26"/>
      <c r="R256" s="5" t="str">
        <f t="shared" si="1"/>
        <v/>
      </c>
    </row>
    <row r="257" ht="15.75" customHeight="1">
      <c r="B257" s="26"/>
      <c r="P257" s="26"/>
      <c r="Q257" s="26"/>
      <c r="R257" s="5" t="str">
        <f t="shared" si="1"/>
        <v/>
      </c>
    </row>
    <row r="258" ht="15.75" customHeight="1">
      <c r="B258" s="26"/>
      <c r="P258" s="26"/>
      <c r="Q258" s="26"/>
      <c r="R258" s="5" t="str">
        <f t="shared" si="1"/>
        <v/>
      </c>
    </row>
    <row r="259" ht="15.75" customHeight="1">
      <c r="B259" s="26"/>
      <c r="P259" s="26"/>
      <c r="Q259" s="26"/>
      <c r="R259" s="5" t="str">
        <f t="shared" si="1"/>
        <v/>
      </c>
    </row>
    <row r="260" ht="15.75" customHeight="1">
      <c r="B260" s="26"/>
      <c r="P260" s="26"/>
      <c r="Q260" s="26"/>
      <c r="R260" s="5" t="str">
        <f t="shared" si="1"/>
        <v/>
      </c>
    </row>
    <row r="261" ht="15.75" customHeight="1">
      <c r="B261" s="26"/>
      <c r="P261" s="26"/>
      <c r="Q261" s="26"/>
      <c r="R261" s="5" t="str">
        <f t="shared" si="1"/>
        <v/>
      </c>
    </row>
    <row r="262" ht="15.75" customHeight="1">
      <c r="B262" s="26"/>
      <c r="P262" s="26"/>
      <c r="Q262" s="26"/>
      <c r="R262" s="5" t="str">
        <f t="shared" si="1"/>
        <v/>
      </c>
    </row>
    <row r="263" ht="15.75" customHeight="1">
      <c r="B263" s="26"/>
      <c r="P263" s="26"/>
      <c r="Q263" s="26"/>
      <c r="R263" s="5" t="str">
        <f t="shared" si="1"/>
        <v/>
      </c>
    </row>
    <row r="264" ht="15.75" customHeight="1">
      <c r="B264" s="26"/>
      <c r="P264" s="26"/>
      <c r="Q264" s="26"/>
      <c r="R264" s="5" t="str">
        <f t="shared" si="1"/>
        <v/>
      </c>
    </row>
    <row r="265" ht="15.75" customHeight="1">
      <c r="B265" s="26"/>
      <c r="P265" s="26"/>
      <c r="Q265" s="26"/>
      <c r="R265" s="5" t="str">
        <f t="shared" si="1"/>
        <v/>
      </c>
    </row>
    <row r="266" ht="15.75" customHeight="1">
      <c r="B266" s="26"/>
      <c r="P266" s="26"/>
      <c r="Q266" s="26"/>
      <c r="R266" s="5" t="str">
        <f t="shared" si="1"/>
        <v/>
      </c>
    </row>
    <row r="267" ht="15.75" customHeight="1">
      <c r="B267" s="26"/>
      <c r="P267" s="26"/>
      <c r="Q267" s="26"/>
      <c r="R267" s="5" t="str">
        <f t="shared" si="1"/>
        <v/>
      </c>
    </row>
    <row r="268" ht="15.75" customHeight="1">
      <c r="B268" s="26"/>
      <c r="P268" s="26"/>
      <c r="Q268" s="26"/>
      <c r="R268" s="5" t="str">
        <f t="shared" si="1"/>
        <v/>
      </c>
    </row>
    <row r="269" ht="15.75" customHeight="1">
      <c r="B269" s="26"/>
      <c r="P269" s="26"/>
      <c r="Q269" s="26"/>
      <c r="R269" s="5" t="str">
        <f t="shared" si="1"/>
        <v/>
      </c>
    </row>
    <row r="270" ht="15.75" customHeight="1">
      <c r="B270" s="26"/>
      <c r="P270" s="26"/>
      <c r="Q270" s="26"/>
      <c r="R270" s="5" t="str">
        <f t="shared" si="1"/>
        <v/>
      </c>
    </row>
    <row r="271" ht="15.75" customHeight="1">
      <c r="B271" s="26"/>
      <c r="P271" s="26"/>
      <c r="Q271" s="26"/>
      <c r="R271" s="5" t="str">
        <f t="shared" si="1"/>
        <v/>
      </c>
    </row>
    <row r="272" ht="15.75" customHeight="1">
      <c r="B272" s="26"/>
      <c r="P272" s="26"/>
      <c r="Q272" s="26"/>
      <c r="R272" s="5" t="str">
        <f t="shared" si="1"/>
        <v/>
      </c>
    </row>
    <row r="273" ht="15.75" customHeight="1">
      <c r="B273" s="26"/>
      <c r="P273" s="26"/>
      <c r="Q273" s="26"/>
      <c r="R273" s="5" t="str">
        <f t="shared" si="1"/>
        <v/>
      </c>
    </row>
    <row r="274" ht="15.75" customHeight="1">
      <c r="B274" s="26"/>
      <c r="P274" s="26"/>
      <c r="Q274" s="26"/>
      <c r="R274" s="5" t="str">
        <f t="shared" si="1"/>
        <v/>
      </c>
    </row>
    <row r="275" ht="15.75" customHeight="1">
      <c r="B275" s="26"/>
      <c r="P275" s="26"/>
      <c r="Q275" s="26"/>
      <c r="R275" s="5" t="str">
        <f t="shared" si="1"/>
        <v/>
      </c>
    </row>
    <row r="276" ht="15.75" customHeight="1">
      <c r="B276" s="26"/>
      <c r="P276" s="26"/>
      <c r="Q276" s="26"/>
      <c r="R276" s="5" t="str">
        <f t="shared" si="1"/>
        <v/>
      </c>
    </row>
    <row r="277" ht="15.75" customHeight="1">
      <c r="B277" s="26"/>
      <c r="P277" s="26"/>
      <c r="Q277" s="26"/>
      <c r="R277" s="5" t="str">
        <f t="shared" si="1"/>
        <v/>
      </c>
    </row>
    <row r="278" ht="15.75" customHeight="1">
      <c r="B278" s="26"/>
      <c r="P278" s="26"/>
      <c r="Q278" s="26"/>
      <c r="R278" s="5" t="str">
        <f t="shared" si="1"/>
        <v/>
      </c>
    </row>
    <row r="279" ht="15.75" customHeight="1">
      <c r="B279" s="26"/>
      <c r="P279" s="26"/>
      <c r="Q279" s="26"/>
      <c r="R279" s="5" t="str">
        <f t="shared" si="1"/>
        <v/>
      </c>
    </row>
    <row r="280" ht="15.75" customHeight="1">
      <c r="B280" s="26"/>
      <c r="P280" s="26"/>
      <c r="Q280" s="26"/>
      <c r="R280" s="5" t="str">
        <f t="shared" si="1"/>
        <v/>
      </c>
    </row>
    <row r="281" ht="15.75" customHeight="1">
      <c r="B281" s="26"/>
      <c r="P281" s="26"/>
      <c r="Q281" s="26"/>
      <c r="R281" s="5" t="str">
        <f t="shared" si="1"/>
        <v/>
      </c>
    </row>
    <row r="282" ht="15.75" customHeight="1">
      <c r="B282" s="26"/>
      <c r="P282" s="26"/>
      <c r="Q282" s="26"/>
      <c r="R282" s="5" t="str">
        <f t="shared" si="1"/>
        <v/>
      </c>
    </row>
    <row r="283" ht="15.75" customHeight="1">
      <c r="B283" s="26"/>
      <c r="P283" s="26"/>
      <c r="Q283" s="26"/>
      <c r="R283" s="5" t="str">
        <f t="shared" si="1"/>
        <v/>
      </c>
    </row>
    <row r="284" ht="15.75" customHeight="1">
      <c r="B284" s="26"/>
      <c r="P284" s="26"/>
      <c r="Q284" s="26"/>
      <c r="R284" s="5" t="str">
        <f t="shared" si="1"/>
        <v/>
      </c>
    </row>
    <row r="285" ht="15.75" customHeight="1">
      <c r="B285" s="26"/>
      <c r="P285" s="26"/>
      <c r="Q285" s="26"/>
      <c r="R285" s="5" t="str">
        <f t="shared" si="1"/>
        <v/>
      </c>
    </row>
    <row r="286" ht="15.75" customHeight="1">
      <c r="B286" s="26"/>
      <c r="P286" s="26"/>
      <c r="Q286" s="26"/>
      <c r="R286" s="5" t="str">
        <f t="shared" si="1"/>
        <v/>
      </c>
    </row>
    <row r="287" ht="15.75" customHeight="1">
      <c r="B287" s="26"/>
      <c r="P287" s="26"/>
      <c r="Q287" s="26"/>
      <c r="R287" s="5" t="str">
        <f t="shared" si="1"/>
        <v/>
      </c>
    </row>
    <row r="288" ht="15.75" customHeight="1">
      <c r="B288" s="26"/>
      <c r="P288" s="26"/>
      <c r="Q288" s="26"/>
      <c r="R288" s="5" t="str">
        <f t="shared" si="1"/>
        <v/>
      </c>
    </row>
    <row r="289" ht="15.75" customHeight="1">
      <c r="B289" s="26"/>
      <c r="P289" s="26"/>
      <c r="Q289" s="26"/>
      <c r="R289" s="5" t="str">
        <f t="shared" si="1"/>
        <v/>
      </c>
    </row>
    <row r="290" ht="15.75" customHeight="1">
      <c r="B290" s="26"/>
      <c r="P290" s="26"/>
      <c r="Q290" s="26"/>
      <c r="R290" s="5" t="str">
        <f t="shared" si="1"/>
        <v/>
      </c>
    </row>
    <row r="291" ht="15.75" customHeight="1">
      <c r="B291" s="26"/>
      <c r="P291" s="26"/>
      <c r="Q291" s="26"/>
      <c r="R291" s="5" t="str">
        <f t="shared" si="1"/>
        <v/>
      </c>
    </row>
    <row r="292" ht="15.75" customHeight="1">
      <c r="B292" s="26"/>
      <c r="P292" s="26"/>
      <c r="Q292" s="26"/>
      <c r="R292" s="5" t="str">
        <f t="shared" si="1"/>
        <v/>
      </c>
    </row>
    <row r="293" ht="15.75" customHeight="1">
      <c r="B293" s="26"/>
      <c r="P293" s="26"/>
      <c r="Q293" s="26"/>
      <c r="R293" s="5" t="str">
        <f t="shared" si="1"/>
        <v/>
      </c>
    </row>
    <row r="294" ht="15.75" customHeight="1">
      <c r="B294" s="26"/>
      <c r="P294" s="26"/>
      <c r="Q294" s="26"/>
      <c r="R294" s="5" t="str">
        <f t="shared" si="1"/>
        <v/>
      </c>
    </row>
    <row r="295" ht="15.75" customHeight="1">
      <c r="B295" s="26"/>
      <c r="P295" s="26"/>
      <c r="Q295" s="26"/>
      <c r="R295" s="5" t="str">
        <f t="shared" si="1"/>
        <v/>
      </c>
    </row>
    <row r="296" ht="15.75" customHeight="1">
      <c r="B296" s="26"/>
      <c r="P296" s="26"/>
      <c r="Q296" s="26"/>
      <c r="R296" s="5" t="str">
        <f t="shared" si="1"/>
        <v/>
      </c>
    </row>
    <row r="297" ht="15.75" customHeight="1">
      <c r="B297" s="26"/>
      <c r="P297" s="26"/>
      <c r="Q297" s="26"/>
      <c r="R297" s="5" t="str">
        <f t="shared" si="1"/>
        <v/>
      </c>
    </row>
    <row r="298" ht="15.75" customHeight="1">
      <c r="B298" s="26"/>
      <c r="P298" s="26"/>
      <c r="Q298" s="26"/>
      <c r="R298" s="5" t="str">
        <f t="shared" si="1"/>
        <v/>
      </c>
    </row>
    <row r="299" ht="15.75" customHeight="1">
      <c r="B299" s="26"/>
      <c r="P299" s="26"/>
      <c r="Q299" s="26"/>
      <c r="R299" s="5" t="str">
        <f t="shared" si="1"/>
        <v/>
      </c>
    </row>
    <row r="300" ht="15.75" customHeight="1">
      <c r="B300" s="26"/>
      <c r="P300" s="26"/>
      <c r="Q300" s="26"/>
      <c r="R300" s="5" t="str">
        <f t="shared" si="1"/>
        <v/>
      </c>
    </row>
    <row r="301" ht="15.75" customHeight="1">
      <c r="B301" s="26"/>
      <c r="P301" s="26"/>
      <c r="Q301" s="26"/>
      <c r="R301" s="5" t="str">
        <f t="shared" si="1"/>
        <v/>
      </c>
    </row>
    <row r="302" ht="15.75" customHeight="1">
      <c r="B302" s="26"/>
      <c r="P302" s="26"/>
      <c r="Q302" s="26"/>
      <c r="R302" s="5" t="str">
        <f t="shared" si="1"/>
        <v/>
      </c>
    </row>
    <row r="303" ht="15.75" customHeight="1">
      <c r="B303" s="26"/>
      <c r="P303" s="26"/>
      <c r="Q303" s="26"/>
      <c r="R303" s="5" t="str">
        <f t="shared" si="1"/>
        <v/>
      </c>
    </row>
    <row r="304" ht="15.75" customHeight="1">
      <c r="B304" s="26"/>
      <c r="P304" s="26"/>
      <c r="Q304" s="26"/>
      <c r="R304" s="5" t="str">
        <f t="shared" si="1"/>
        <v/>
      </c>
    </row>
    <row r="305" ht="15.75" customHeight="1">
      <c r="B305" s="26"/>
      <c r="P305" s="26"/>
      <c r="Q305" s="26"/>
      <c r="R305" s="5" t="str">
        <f t="shared" si="1"/>
        <v/>
      </c>
    </row>
    <row r="306" ht="15.75" customHeight="1">
      <c r="B306" s="26"/>
      <c r="P306" s="26"/>
      <c r="Q306" s="26"/>
      <c r="R306" s="5" t="str">
        <f t="shared" si="1"/>
        <v/>
      </c>
    </row>
    <row r="307" ht="15.75" customHeight="1">
      <c r="B307" s="26"/>
      <c r="P307" s="26"/>
      <c r="Q307" s="26"/>
      <c r="R307" s="5" t="str">
        <f t="shared" si="1"/>
        <v/>
      </c>
    </row>
    <row r="308" ht="15.75" customHeight="1">
      <c r="B308" s="26"/>
      <c r="P308" s="26"/>
      <c r="Q308" s="26"/>
      <c r="R308" s="5" t="str">
        <f t="shared" si="1"/>
        <v/>
      </c>
    </row>
    <row r="309" ht="15.75" customHeight="1">
      <c r="B309" s="26"/>
      <c r="P309" s="26"/>
      <c r="Q309" s="26"/>
      <c r="R309" s="5" t="str">
        <f t="shared" si="1"/>
        <v/>
      </c>
    </row>
    <row r="310" ht="15.75" customHeight="1">
      <c r="B310" s="26"/>
      <c r="P310" s="26"/>
      <c r="Q310" s="26"/>
      <c r="R310" s="5" t="str">
        <f t="shared" si="1"/>
        <v/>
      </c>
    </row>
    <row r="311" ht="15.75" customHeight="1">
      <c r="B311" s="26"/>
      <c r="P311" s="26"/>
      <c r="Q311" s="26"/>
      <c r="R311" s="5" t="str">
        <f t="shared" si="1"/>
        <v/>
      </c>
    </row>
    <row r="312" ht="15.75" customHeight="1">
      <c r="B312" s="26"/>
      <c r="P312" s="26"/>
      <c r="Q312" s="26"/>
      <c r="R312" s="5" t="str">
        <f t="shared" si="1"/>
        <v/>
      </c>
    </row>
    <row r="313" ht="15.75" customHeight="1">
      <c r="B313" s="26"/>
      <c r="P313" s="26"/>
      <c r="Q313" s="26"/>
      <c r="R313" s="5" t="str">
        <f t="shared" si="1"/>
        <v/>
      </c>
    </row>
    <row r="314" ht="15.75" customHeight="1">
      <c r="B314" s="26"/>
      <c r="P314" s="26"/>
      <c r="Q314" s="26"/>
      <c r="R314" s="5" t="str">
        <f t="shared" si="1"/>
        <v/>
      </c>
    </row>
    <row r="315" ht="15.75" customHeight="1">
      <c r="B315" s="26"/>
      <c r="P315" s="26"/>
      <c r="Q315" s="26"/>
      <c r="R315" s="5" t="str">
        <f t="shared" si="1"/>
        <v/>
      </c>
    </row>
    <row r="316" ht="15.75" customHeight="1">
      <c r="B316" s="26"/>
      <c r="P316" s="26"/>
      <c r="Q316" s="26"/>
      <c r="R316" s="5" t="str">
        <f t="shared" si="1"/>
        <v/>
      </c>
    </row>
    <row r="317" ht="15.75" customHeight="1">
      <c r="B317" s="26"/>
      <c r="P317" s="26"/>
      <c r="Q317" s="26"/>
      <c r="R317" s="5" t="str">
        <f t="shared" si="1"/>
        <v/>
      </c>
    </row>
    <row r="318" ht="15.75" customHeight="1">
      <c r="B318" s="26"/>
      <c r="P318" s="26"/>
      <c r="Q318" s="26"/>
      <c r="R318" s="5" t="str">
        <f t="shared" si="1"/>
        <v/>
      </c>
    </row>
    <row r="319" ht="15.75" customHeight="1">
      <c r="B319" s="26"/>
      <c r="P319" s="26"/>
      <c r="Q319" s="26"/>
      <c r="R319" s="5" t="str">
        <f t="shared" si="1"/>
        <v/>
      </c>
    </row>
    <row r="320" ht="15.75" customHeight="1">
      <c r="B320" s="26"/>
      <c r="P320" s="26"/>
      <c r="Q320" s="26"/>
      <c r="R320" s="5" t="str">
        <f t="shared" si="1"/>
        <v/>
      </c>
    </row>
    <row r="321" ht="15.75" customHeight="1">
      <c r="B321" s="26"/>
      <c r="P321" s="26"/>
      <c r="Q321" s="26"/>
      <c r="R321" s="5" t="str">
        <f t="shared" si="1"/>
        <v/>
      </c>
    </row>
    <row r="322" ht="15.75" customHeight="1">
      <c r="B322" s="26"/>
      <c r="P322" s="26"/>
      <c r="Q322" s="26"/>
      <c r="R322" s="5" t="str">
        <f t="shared" si="1"/>
        <v/>
      </c>
    </row>
    <row r="323" ht="15.75" customHeight="1">
      <c r="B323" s="26"/>
      <c r="P323" s="26"/>
      <c r="Q323" s="26"/>
      <c r="R323" s="5" t="str">
        <f t="shared" si="1"/>
        <v/>
      </c>
    </row>
    <row r="324" ht="15.75" customHeight="1">
      <c r="B324" s="26"/>
      <c r="P324" s="26"/>
      <c r="Q324" s="26"/>
      <c r="R324" s="5" t="str">
        <f t="shared" si="1"/>
        <v/>
      </c>
    </row>
    <row r="325" ht="15.75" customHeight="1">
      <c r="B325" s="26"/>
      <c r="P325" s="26"/>
      <c r="Q325" s="26"/>
      <c r="R325" s="5" t="str">
        <f t="shared" si="1"/>
        <v/>
      </c>
    </row>
    <row r="326" ht="15.75" customHeight="1">
      <c r="B326" s="26"/>
      <c r="P326" s="26"/>
      <c r="Q326" s="26"/>
      <c r="R326" s="5" t="str">
        <f t="shared" si="1"/>
        <v/>
      </c>
    </row>
    <row r="327" ht="15.75" customHeight="1">
      <c r="B327" s="26"/>
      <c r="P327" s="26"/>
      <c r="Q327" s="26"/>
      <c r="R327" s="5" t="str">
        <f t="shared" si="1"/>
        <v/>
      </c>
    </row>
    <row r="328" ht="15.75" customHeight="1">
      <c r="B328" s="26"/>
      <c r="P328" s="26"/>
      <c r="Q328" s="26"/>
      <c r="R328" s="5" t="str">
        <f t="shared" si="1"/>
        <v/>
      </c>
    </row>
    <row r="329" ht="15.75" customHeight="1">
      <c r="B329" s="26"/>
      <c r="P329" s="26"/>
      <c r="Q329" s="26"/>
      <c r="R329" s="5" t="str">
        <f t="shared" si="1"/>
        <v/>
      </c>
    </row>
    <row r="330" ht="15.75" customHeight="1">
      <c r="B330" s="26"/>
      <c r="P330" s="26"/>
      <c r="Q330" s="26"/>
      <c r="R330" s="5" t="str">
        <f t="shared" si="1"/>
        <v/>
      </c>
    </row>
    <row r="331" ht="15.75" customHeight="1">
      <c r="B331" s="26"/>
      <c r="P331" s="26"/>
      <c r="Q331" s="26"/>
      <c r="R331" s="5" t="str">
        <f t="shared" si="1"/>
        <v/>
      </c>
    </row>
    <row r="332" ht="15.75" customHeight="1">
      <c r="B332" s="26"/>
      <c r="P332" s="26"/>
      <c r="Q332" s="26"/>
      <c r="R332" s="5" t="str">
        <f t="shared" si="1"/>
        <v/>
      </c>
    </row>
    <row r="333" ht="15.75" customHeight="1">
      <c r="B333" s="26"/>
      <c r="P333" s="26"/>
      <c r="Q333" s="26"/>
      <c r="R333" s="5" t="str">
        <f t="shared" si="1"/>
        <v/>
      </c>
    </row>
    <row r="334" ht="15.75" customHeight="1">
      <c r="B334" s="26"/>
      <c r="P334" s="26"/>
      <c r="Q334" s="26"/>
      <c r="R334" s="5" t="str">
        <f t="shared" si="1"/>
        <v/>
      </c>
    </row>
    <row r="335" ht="15.75" customHeight="1">
      <c r="B335" s="26"/>
      <c r="P335" s="26"/>
      <c r="Q335" s="26"/>
      <c r="R335" s="5" t="str">
        <f t="shared" si="1"/>
        <v/>
      </c>
    </row>
    <row r="336" ht="15.75" customHeight="1">
      <c r="B336" s="26"/>
      <c r="P336" s="26"/>
      <c r="Q336" s="26"/>
      <c r="R336" s="5" t="str">
        <f t="shared" si="1"/>
        <v/>
      </c>
    </row>
    <row r="337" ht="15.75" customHeight="1">
      <c r="B337" s="26"/>
      <c r="P337" s="26"/>
      <c r="Q337" s="26"/>
      <c r="R337" s="5" t="str">
        <f t="shared" si="1"/>
        <v/>
      </c>
    </row>
    <row r="338" ht="15.75" customHeight="1">
      <c r="B338" s="26"/>
      <c r="P338" s="26"/>
      <c r="Q338" s="26"/>
      <c r="R338" s="5" t="str">
        <f t="shared" si="1"/>
        <v/>
      </c>
    </row>
    <row r="339" ht="15.75" customHeight="1">
      <c r="B339" s="26"/>
      <c r="P339" s="26"/>
      <c r="Q339" s="26"/>
      <c r="R339" s="5" t="str">
        <f t="shared" si="1"/>
        <v/>
      </c>
    </row>
    <row r="340" ht="15.75" customHeight="1">
      <c r="B340" s="26"/>
      <c r="P340" s="26"/>
      <c r="Q340" s="26"/>
      <c r="R340" s="5" t="str">
        <f t="shared" si="1"/>
        <v/>
      </c>
    </row>
    <row r="341" ht="15.75" customHeight="1">
      <c r="B341" s="26"/>
      <c r="P341" s="26"/>
      <c r="Q341" s="26"/>
      <c r="R341" s="5" t="str">
        <f t="shared" si="1"/>
        <v/>
      </c>
    </row>
    <row r="342" ht="15.75" customHeight="1">
      <c r="B342" s="26"/>
      <c r="P342" s="26"/>
      <c r="Q342" s="26"/>
      <c r="R342" s="5" t="str">
        <f t="shared" si="1"/>
        <v/>
      </c>
    </row>
    <row r="343" ht="15.75" customHeight="1">
      <c r="B343" s="26"/>
      <c r="P343" s="26"/>
      <c r="Q343" s="26"/>
      <c r="R343" s="5" t="str">
        <f t="shared" si="1"/>
        <v/>
      </c>
    </row>
    <row r="344" ht="15.75" customHeight="1">
      <c r="B344" s="26"/>
      <c r="P344" s="26"/>
      <c r="Q344" s="26"/>
      <c r="R344" s="5" t="str">
        <f t="shared" si="1"/>
        <v/>
      </c>
    </row>
    <row r="345" ht="15.75" customHeight="1">
      <c r="B345" s="26"/>
      <c r="P345" s="26"/>
      <c r="Q345" s="26"/>
      <c r="R345" s="5" t="str">
        <f t="shared" si="1"/>
        <v/>
      </c>
    </row>
    <row r="346" ht="15.75" customHeight="1">
      <c r="B346" s="26"/>
      <c r="P346" s="26"/>
      <c r="Q346" s="26"/>
      <c r="R346" s="5" t="str">
        <f t="shared" si="1"/>
        <v/>
      </c>
    </row>
    <row r="347" ht="15.75" customHeight="1">
      <c r="B347" s="26"/>
      <c r="P347" s="26"/>
      <c r="Q347" s="26"/>
      <c r="R347" s="5" t="str">
        <f t="shared" si="1"/>
        <v/>
      </c>
    </row>
    <row r="348" ht="15.75" customHeight="1">
      <c r="B348" s="26"/>
      <c r="P348" s="26"/>
      <c r="Q348" s="26"/>
      <c r="R348" s="5" t="str">
        <f t="shared" si="1"/>
        <v/>
      </c>
    </row>
    <row r="349" ht="15.75" customHeight="1">
      <c r="B349" s="26"/>
      <c r="P349" s="26"/>
      <c r="Q349" s="26"/>
      <c r="R349" s="5" t="str">
        <f t="shared" si="1"/>
        <v/>
      </c>
    </row>
    <row r="350" ht="15.75" customHeight="1">
      <c r="B350" s="26"/>
      <c r="P350" s="26"/>
      <c r="Q350" s="26"/>
      <c r="R350" s="5" t="str">
        <f t="shared" si="1"/>
        <v/>
      </c>
    </row>
    <row r="351" ht="15.75" customHeight="1">
      <c r="B351" s="26"/>
      <c r="P351" s="26"/>
      <c r="Q351" s="26"/>
      <c r="R351" s="5" t="str">
        <f t="shared" si="1"/>
        <v/>
      </c>
    </row>
    <row r="352" ht="15.75" customHeight="1">
      <c r="B352" s="26"/>
      <c r="P352" s="26"/>
      <c r="Q352" s="26"/>
      <c r="R352" s="5" t="str">
        <f t="shared" si="1"/>
        <v/>
      </c>
    </row>
    <row r="353" ht="15.75" customHeight="1">
      <c r="B353" s="26"/>
      <c r="P353" s="26"/>
      <c r="Q353" s="26"/>
      <c r="R353" s="5" t="str">
        <f t="shared" si="1"/>
        <v/>
      </c>
    </row>
    <row r="354" ht="15.75" customHeight="1">
      <c r="B354" s="26"/>
      <c r="P354" s="26"/>
      <c r="Q354" s="26"/>
      <c r="R354" s="5" t="str">
        <f t="shared" si="1"/>
        <v/>
      </c>
    </row>
    <row r="355" ht="15.75" customHeight="1">
      <c r="B355" s="26"/>
      <c r="P355" s="26"/>
      <c r="Q355" s="26"/>
      <c r="R355" s="5" t="str">
        <f t="shared" si="1"/>
        <v/>
      </c>
    </row>
    <row r="356" ht="15.75" customHeight="1">
      <c r="B356" s="26"/>
      <c r="P356" s="26"/>
      <c r="Q356" s="26"/>
      <c r="R356" s="5" t="str">
        <f t="shared" si="1"/>
        <v/>
      </c>
    </row>
    <row r="357" ht="15.75" customHeight="1">
      <c r="B357" s="26"/>
      <c r="P357" s="26"/>
      <c r="Q357" s="26"/>
      <c r="R357" s="5" t="str">
        <f t="shared" si="1"/>
        <v/>
      </c>
    </row>
    <row r="358" ht="15.75" customHeight="1">
      <c r="B358" s="26"/>
      <c r="P358" s="26"/>
      <c r="Q358" s="26"/>
      <c r="R358" s="5" t="str">
        <f t="shared" si="1"/>
        <v/>
      </c>
    </row>
    <row r="359" ht="15.75" customHeight="1">
      <c r="B359" s="26"/>
      <c r="P359" s="26"/>
      <c r="Q359" s="26"/>
      <c r="R359" s="5" t="str">
        <f t="shared" si="1"/>
        <v/>
      </c>
    </row>
    <row r="360" ht="15.75" customHeight="1">
      <c r="B360" s="26"/>
      <c r="P360" s="26"/>
      <c r="Q360" s="26"/>
      <c r="R360" s="5" t="str">
        <f t="shared" si="1"/>
        <v/>
      </c>
    </row>
    <row r="361" ht="15.75" customHeight="1">
      <c r="B361" s="26"/>
      <c r="P361" s="26"/>
      <c r="Q361" s="26"/>
      <c r="R361" s="5" t="str">
        <f t="shared" si="1"/>
        <v/>
      </c>
    </row>
    <row r="362" ht="15.75" customHeight="1">
      <c r="B362" s="26"/>
      <c r="P362" s="26"/>
      <c r="Q362" s="26"/>
      <c r="R362" s="5" t="str">
        <f t="shared" si="1"/>
        <v/>
      </c>
    </row>
    <row r="363" ht="15.75" customHeight="1">
      <c r="B363" s="26"/>
      <c r="P363" s="26"/>
      <c r="Q363" s="26"/>
      <c r="R363" s="5" t="str">
        <f t="shared" si="1"/>
        <v/>
      </c>
    </row>
    <row r="364" ht="15.75" customHeight="1">
      <c r="B364" s="26"/>
      <c r="P364" s="26"/>
      <c r="Q364" s="26"/>
      <c r="R364" s="5" t="str">
        <f t="shared" si="1"/>
        <v/>
      </c>
    </row>
    <row r="365" ht="15.75" customHeight="1">
      <c r="B365" s="26"/>
      <c r="P365" s="26"/>
      <c r="Q365" s="26"/>
      <c r="R365" s="5" t="str">
        <f t="shared" si="1"/>
        <v/>
      </c>
    </row>
    <row r="366" ht="15.75" customHeight="1">
      <c r="B366" s="26"/>
      <c r="P366" s="26"/>
      <c r="Q366" s="26"/>
      <c r="R366" s="5" t="str">
        <f t="shared" si="1"/>
        <v/>
      </c>
    </row>
    <row r="367" ht="15.75" customHeight="1">
      <c r="B367" s="26"/>
      <c r="P367" s="26"/>
      <c r="Q367" s="26"/>
      <c r="R367" s="5" t="str">
        <f t="shared" si="1"/>
        <v/>
      </c>
    </row>
    <row r="368" ht="15.75" customHeight="1">
      <c r="B368" s="26"/>
      <c r="P368" s="26"/>
      <c r="Q368" s="26"/>
      <c r="R368" s="5" t="str">
        <f t="shared" si="1"/>
        <v/>
      </c>
    </row>
    <row r="369" ht="15.75" customHeight="1">
      <c r="B369" s="26"/>
      <c r="P369" s="26"/>
      <c r="Q369" s="26"/>
      <c r="R369" s="5" t="str">
        <f t="shared" si="1"/>
        <v/>
      </c>
    </row>
    <row r="370" ht="15.75" customHeight="1">
      <c r="B370" s="26"/>
      <c r="P370" s="26"/>
      <c r="Q370" s="26"/>
      <c r="R370" s="5" t="str">
        <f t="shared" si="1"/>
        <v/>
      </c>
    </row>
    <row r="371" ht="15.75" customHeight="1">
      <c r="B371" s="26"/>
      <c r="P371" s="26"/>
      <c r="Q371" s="26"/>
      <c r="R371" s="5" t="str">
        <f t="shared" si="1"/>
        <v/>
      </c>
    </row>
    <row r="372" ht="15.75" customHeight="1">
      <c r="B372" s="26"/>
      <c r="P372" s="26"/>
      <c r="Q372" s="26"/>
      <c r="R372" s="5" t="str">
        <f t="shared" si="1"/>
        <v/>
      </c>
    </row>
    <row r="373" ht="15.75" customHeight="1">
      <c r="B373" s="26"/>
      <c r="P373" s="26"/>
      <c r="Q373" s="26"/>
      <c r="R373" s="5" t="str">
        <f t="shared" si="1"/>
        <v/>
      </c>
    </row>
    <row r="374" ht="15.75" customHeight="1">
      <c r="B374" s="26"/>
      <c r="P374" s="26"/>
      <c r="Q374" s="26"/>
      <c r="R374" s="5" t="str">
        <f t="shared" si="1"/>
        <v/>
      </c>
    </row>
    <row r="375" ht="15.75" customHeight="1">
      <c r="B375" s="26"/>
      <c r="P375" s="26"/>
      <c r="Q375" s="26"/>
      <c r="R375" s="5" t="str">
        <f t="shared" si="1"/>
        <v/>
      </c>
    </row>
    <row r="376" ht="15.75" customHeight="1">
      <c r="B376" s="26"/>
      <c r="P376" s="26"/>
      <c r="Q376" s="26"/>
      <c r="R376" s="5" t="str">
        <f t="shared" si="1"/>
        <v/>
      </c>
    </row>
    <row r="377" ht="15.75" customHeight="1">
      <c r="B377" s="26"/>
      <c r="P377" s="26"/>
      <c r="Q377" s="26"/>
      <c r="R377" s="5" t="str">
        <f t="shared" si="1"/>
        <v/>
      </c>
    </row>
    <row r="378" ht="15.75" customHeight="1">
      <c r="B378" s="26"/>
      <c r="P378" s="26"/>
      <c r="Q378" s="26"/>
      <c r="R378" s="5" t="str">
        <f t="shared" si="1"/>
        <v/>
      </c>
    </row>
    <row r="379" ht="15.75" customHeight="1">
      <c r="B379" s="26"/>
      <c r="P379" s="26"/>
      <c r="Q379" s="26"/>
      <c r="R379" s="5" t="str">
        <f t="shared" si="1"/>
        <v/>
      </c>
    </row>
    <row r="380" ht="15.75" customHeight="1">
      <c r="B380" s="26"/>
      <c r="P380" s="26"/>
      <c r="Q380" s="26"/>
      <c r="R380" s="5" t="str">
        <f t="shared" si="1"/>
        <v/>
      </c>
    </row>
    <row r="381" ht="15.75" customHeight="1">
      <c r="B381" s="26"/>
      <c r="P381" s="26"/>
      <c r="Q381" s="26"/>
      <c r="R381" s="5" t="str">
        <f t="shared" si="1"/>
        <v/>
      </c>
    </row>
    <row r="382" ht="15.75" customHeight="1">
      <c r="B382" s="26"/>
      <c r="P382" s="26"/>
      <c r="Q382" s="26"/>
      <c r="R382" s="5" t="str">
        <f t="shared" si="1"/>
        <v/>
      </c>
    </row>
    <row r="383" ht="15.75" customHeight="1">
      <c r="B383" s="26"/>
      <c r="P383" s="26"/>
      <c r="Q383" s="26"/>
      <c r="R383" s="5" t="str">
        <f t="shared" si="1"/>
        <v/>
      </c>
    </row>
    <row r="384" ht="15.75" customHeight="1">
      <c r="B384" s="26"/>
      <c r="P384" s="26"/>
      <c r="Q384" s="26"/>
      <c r="R384" s="5" t="str">
        <f t="shared" si="1"/>
        <v/>
      </c>
    </row>
    <row r="385" ht="15.75" customHeight="1">
      <c r="B385" s="26"/>
      <c r="P385" s="26"/>
      <c r="Q385" s="26"/>
      <c r="R385" s="5" t="str">
        <f t="shared" si="1"/>
        <v/>
      </c>
    </row>
    <row r="386" ht="15.75" customHeight="1">
      <c r="B386" s="26"/>
      <c r="P386" s="26"/>
      <c r="Q386" s="26"/>
      <c r="R386" s="5" t="str">
        <f t="shared" si="1"/>
        <v/>
      </c>
    </row>
    <row r="387" ht="15.75" customHeight="1">
      <c r="B387" s="26"/>
      <c r="P387" s="26"/>
      <c r="Q387" s="26"/>
      <c r="R387" s="5" t="str">
        <f t="shared" si="1"/>
        <v/>
      </c>
    </row>
    <row r="388" ht="15.75" customHeight="1">
      <c r="B388" s="26"/>
      <c r="P388" s="26"/>
      <c r="Q388" s="26"/>
      <c r="R388" s="5" t="str">
        <f t="shared" si="1"/>
        <v/>
      </c>
    </row>
    <row r="389" ht="15.75" customHeight="1">
      <c r="B389" s="26"/>
      <c r="P389" s="26"/>
      <c r="Q389" s="26"/>
      <c r="R389" s="5" t="str">
        <f t="shared" si="1"/>
        <v/>
      </c>
    </row>
    <row r="390" ht="15.75" customHeight="1">
      <c r="B390" s="26"/>
      <c r="P390" s="26"/>
      <c r="Q390" s="26"/>
      <c r="R390" s="5" t="str">
        <f t="shared" si="1"/>
        <v/>
      </c>
    </row>
    <row r="391" ht="15.75" customHeight="1">
      <c r="B391" s="26"/>
      <c r="P391" s="26"/>
      <c r="Q391" s="26"/>
      <c r="R391" s="5" t="str">
        <f t="shared" si="1"/>
        <v/>
      </c>
    </row>
    <row r="392" ht="15.75" customHeight="1">
      <c r="B392" s="26"/>
      <c r="P392" s="26"/>
      <c r="Q392" s="26"/>
      <c r="R392" s="5" t="str">
        <f t="shared" si="1"/>
        <v/>
      </c>
    </row>
    <row r="393" ht="15.75" customHeight="1">
      <c r="B393" s="26"/>
      <c r="P393" s="26"/>
      <c r="Q393" s="26"/>
      <c r="R393" s="5" t="str">
        <f t="shared" si="1"/>
        <v/>
      </c>
    </row>
    <row r="394" ht="15.75" customHeight="1">
      <c r="B394" s="26"/>
      <c r="P394" s="26"/>
      <c r="Q394" s="26"/>
      <c r="R394" s="5" t="str">
        <f t="shared" si="1"/>
        <v/>
      </c>
    </row>
    <row r="395" ht="15.75" customHeight="1">
      <c r="B395" s="26"/>
      <c r="P395" s="26"/>
      <c r="Q395" s="26"/>
      <c r="R395" s="5" t="str">
        <f t="shared" si="1"/>
        <v/>
      </c>
    </row>
    <row r="396" ht="15.75" customHeight="1">
      <c r="B396" s="26"/>
      <c r="P396" s="26"/>
      <c r="Q396" s="26"/>
      <c r="R396" s="5" t="str">
        <f t="shared" si="1"/>
        <v/>
      </c>
    </row>
    <row r="397" ht="15.75" customHeight="1">
      <c r="B397" s="26"/>
      <c r="P397" s="26"/>
      <c r="Q397" s="26"/>
      <c r="R397" s="5" t="str">
        <f t="shared" si="1"/>
        <v/>
      </c>
    </row>
    <row r="398" ht="15.75" customHeight="1">
      <c r="B398" s="26"/>
      <c r="P398" s="26"/>
      <c r="Q398" s="26"/>
      <c r="R398" s="5" t="str">
        <f t="shared" si="1"/>
        <v/>
      </c>
    </row>
    <row r="399" ht="15.75" customHeight="1">
      <c r="B399" s="26"/>
      <c r="P399" s="26"/>
      <c r="Q399" s="26"/>
      <c r="R399" s="5" t="str">
        <f t="shared" si="1"/>
        <v/>
      </c>
    </row>
    <row r="400" ht="15.75" customHeight="1">
      <c r="B400" s="26"/>
      <c r="P400" s="26"/>
      <c r="Q400" s="26"/>
      <c r="R400" s="5" t="str">
        <f t="shared" si="1"/>
        <v/>
      </c>
    </row>
    <row r="401" ht="15.75" customHeight="1">
      <c r="B401" s="26"/>
      <c r="P401" s="26"/>
      <c r="Q401" s="26"/>
      <c r="R401" s="5" t="str">
        <f t="shared" si="1"/>
        <v/>
      </c>
    </row>
    <row r="402" ht="15.75" customHeight="1">
      <c r="B402" s="26"/>
      <c r="P402" s="26"/>
      <c r="Q402" s="26"/>
      <c r="R402" s="5" t="str">
        <f t="shared" si="1"/>
        <v/>
      </c>
    </row>
    <row r="403" ht="15.75" customHeight="1">
      <c r="B403" s="26"/>
      <c r="P403" s="26"/>
      <c r="Q403" s="26"/>
      <c r="R403" s="5" t="str">
        <f t="shared" si="1"/>
        <v/>
      </c>
    </row>
    <row r="404" ht="15.75" customHeight="1">
      <c r="B404" s="26"/>
      <c r="P404" s="26"/>
      <c r="Q404" s="26"/>
      <c r="R404" s="5" t="str">
        <f t="shared" si="1"/>
        <v/>
      </c>
    </row>
    <row r="405" ht="15.75" customHeight="1">
      <c r="B405" s="26"/>
      <c r="P405" s="26"/>
      <c r="Q405" s="26"/>
      <c r="R405" s="5" t="str">
        <f t="shared" si="1"/>
        <v/>
      </c>
    </row>
    <row r="406" ht="15.75" customHeight="1">
      <c r="B406" s="26"/>
      <c r="P406" s="26"/>
      <c r="Q406" s="26"/>
      <c r="R406" s="5" t="str">
        <f t="shared" si="1"/>
        <v/>
      </c>
    </row>
    <row r="407" ht="15.75" customHeight="1">
      <c r="B407" s="26"/>
      <c r="P407" s="26"/>
      <c r="Q407" s="26"/>
      <c r="R407" s="5" t="str">
        <f t="shared" si="1"/>
        <v/>
      </c>
    </row>
    <row r="408" ht="15.75" customHeight="1">
      <c r="B408" s="26"/>
      <c r="P408" s="26"/>
      <c r="Q408" s="26"/>
      <c r="R408" s="5" t="str">
        <f t="shared" si="1"/>
        <v/>
      </c>
    </row>
    <row r="409" ht="15.75" customHeight="1">
      <c r="B409" s="26"/>
      <c r="P409" s="26"/>
      <c r="Q409" s="26"/>
      <c r="R409" s="5" t="str">
        <f t="shared" si="1"/>
        <v/>
      </c>
    </row>
    <row r="410" ht="15.75" customHeight="1">
      <c r="B410" s="26"/>
      <c r="P410" s="26"/>
      <c r="Q410" s="26"/>
      <c r="R410" s="5" t="str">
        <f t="shared" si="1"/>
        <v/>
      </c>
    </row>
    <row r="411" ht="15.75" customHeight="1">
      <c r="B411" s="26"/>
      <c r="P411" s="26"/>
      <c r="Q411" s="26"/>
      <c r="R411" s="5" t="str">
        <f t="shared" si="1"/>
        <v/>
      </c>
    </row>
    <row r="412" ht="15.75" customHeight="1">
      <c r="B412" s="26"/>
      <c r="P412" s="26"/>
      <c r="Q412" s="26"/>
      <c r="R412" s="5" t="str">
        <f t="shared" si="1"/>
        <v/>
      </c>
    </row>
    <row r="413" ht="15.75" customHeight="1">
      <c r="B413" s="26"/>
      <c r="P413" s="26"/>
      <c r="Q413" s="26"/>
      <c r="R413" s="5" t="str">
        <f t="shared" si="1"/>
        <v/>
      </c>
    </row>
    <row r="414" ht="15.75" customHeight="1">
      <c r="B414" s="26"/>
      <c r="P414" s="26"/>
      <c r="Q414" s="26"/>
      <c r="R414" s="5" t="str">
        <f t="shared" si="1"/>
        <v/>
      </c>
    </row>
    <row r="415" ht="15.75" customHeight="1">
      <c r="B415" s="26"/>
      <c r="P415" s="26"/>
      <c r="Q415" s="26"/>
      <c r="R415" s="5" t="str">
        <f t="shared" si="1"/>
        <v/>
      </c>
    </row>
    <row r="416" ht="15.75" customHeight="1">
      <c r="B416" s="26"/>
      <c r="P416" s="26"/>
      <c r="Q416" s="26"/>
      <c r="R416" s="5" t="str">
        <f t="shared" si="1"/>
        <v/>
      </c>
    </row>
    <row r="417" ht="15.75" customHeight="1">
      <c r="B417" s="26"/>
      <c r="P417" s="26"/>
      <c r="Q417" s="26"/>
      <c r="R417" s="5" t="str">
        <f t="shared" si="1"/>
        <v/>
      </c>
    </row>
    <row r="418" ht="15.75" customHeight="1">
      <c r="B418" s="26"/>
      <c r="P418" s="26"/>
      <c r="Q418" s="26"/>
      <c r="R418" s="5" t="str">
        <f t="shared" si="1"/>
        <v/>
      </c>
    </row>
    <row r="419" ht="15.75" customHeight="1">
      <c r="B419" s="26"/>
      <c r="P419" s="26"/>
      <c r="Q419" s="26"/>
      <c r="R419" s="5" t="str">
        <f t="shared" si="1"/>
        <v/>
      </c>
    </row>
    <row r="420" ht="15.75" customHeight="1">
      <c r="B420" s="26"/>
      <c r="P420" s="26"/>
      <c r="Q420" s="26"/>
      <c r="R420" s="5" t="str">
        <f t="shared" si="1"/>
        <v/>
      </c>
    </row>
    <row r="421" ht="15.75" customHeight="1">
      <c r="B421" s="26"/>
      <c r="P421" s="26"/>
      <c r="Q421" s="26"/>
      <c r="R421" s="5" t="str">
        <f t="shared" si="1"/>
        <v/>
      </c>
    </row>
    <row r="422" ht="15.75" customHeight="1">
      <c r="B422" s="26"/>
      <c r="P422" s="26"/>
      <c r="Q422" s="26"/>
      <c r="R422" s="5" t="str">
        <f t="shared" si="1"/>
        <v/>
      </c>
    </row>
    <row r="423" ht="15.75" customHeight="1">
      <c r="B423" s="26"/>
      <c r="P423" s="26"/>
      <c r="Q423" s="26"/>
      <c r="R423" s="5" t="str">
        <f t="shared" si="1"/>
        <v/>
      </c>
    </row>
    <row r="424" ht="15.75" customHeight="1">
      <c r="B424" s="26"/>
      <c r="P424" s="26"/>
      <c r="Q424" s="26"/>
      <c r="R424" s="5" t="str">
        <f t="shared" si="1"/>
        <v/>
      </c>
    </row>
    <row r="425" ht="15.75" customHeight="1">
      <c r="B425" s="26"/>
      <c r="P425" s="26"/>
      <c r="Q425" s="26"/>
      <c r="R425" s="5" t="str">
        <f t="shared" si="1"/>
        <v/>
      </c>
    </row>
    <row r="426" ht="15.75" customHeight="1">
      <c r="B426" s="26"/>
      <c r="P426" s="26"/>
      <c r="Q426" s="26"/>
      <c r="R426" s="5" t="str">
        <f t="shared" si="1"/>
        <v/>
      </c>
    </row>
    <row r="427" ht="15.75" customHeight="1">
      <c r="B427" s="26"/>
      <c r="P427" s="26"/>
      <c r="Q427" s="26"/>
      <c r="R427" s="5" t="str">
        <f t="shared" si="1"/>
        <v/>
      </c>
    </row>
    <row r="428" ht="15.75" customHeight="1">
      <c r="B428" s="26"/>
      <c r="P428" s="26"/>
      <c r="Q428" s="26"/>
      <c r="R428" s="5" t="str">
        <f t="shared" si="1"/>
        <v/>
      </c>
    </row>
    <row r="429" ht="15.75" customHeight="1">
      <c r="B429" s="26"/>
      <c r="P429" s="26"/>
      <c r="Q429" s="26"/>
      <c r="R429" s="5" t="str">
        <f t="shared" si="1"/>
        <v/>
      </c>
    </row>
    <row r="430" ht="15.75" customHeight="1">
      <c r="B430" s="26"/>
      <c r="P430" s="26"/>
      <c r="Q430" s="26"/>
      <c r="R430" s="5" t="str">
        <f t="shared" si="1"/>
        <v/>
      </c>
    </row>
    <row r="431" ht="15.75" customHeight="1">
      <c r="B431" s="26"/>
      <c r="P431" s="26"/>
      <c r="Q431" s="26"/>
      <c r="R431" s="5" t="str">
        <f t="shared" si="1"/>
        <v/>
      </c>
    </row>
    <row r="432" ht="15.75" customHeight="1">
      <c r="B432" s="26"/>
      <c r="P432" s="26"/>
      <c r="Q432" s="26"/>
      <c r="R432" s="5" t="str">
        <f t="shared" si="1"/>
        <v/>
      </c>
    </row>
    <row r="433" ht="15.75" customHeight="1">
      <c r="B433" s="26"/>
      <c r="P433" s="26"/>
      <c r="Q433" s="26"/>
      <c r="R433" s="5" t="str">
        <f t="shared" si="1"/>
        <v/>
      </c>
    </row>
    <row r="434" ht="15.75" customHeight="1">
      <c r="B434" s="26"/>
      <c r="P434" s="26"/>
      <c r="Q434" s="26"/>
      <c r="R434" s="5" t="str">
        <f t="shared" si="1"/>
        <v/>
      </c>
    </row>
    <row r="435" ht="15.75" customHeight="1">
      <c r="B435" s="26"/>
      <c r="P435" s="26"/>
      <c r="Q435" s="26"/>
      <c r="R435" s="5" t="str">
        <f t="shared" si="1"/>
        <v/>
      </c>
    </row>
    <row r="436" ht="15.75" customHeight="1">
      <c r="B436" s="26"/>
      <c r="P436" s="26"/>
      <c r="Q436" s="26"/>
      <c r="R436" s="5" t="str">
        <f t="shared" si="1"/>
        <v/>
      </c>
    </row>
    <row r="437" ht="15.75" customHeight="1">
      <c r="B437" s="26"/>
      <c r="P437" s="26"/>
      <c r="Q437" s="26"/>
      <c r="R437" s="5" t="str">
        <f t="shared" si="1"/>
        <v/>
      </c>
    </row>
    <row r="438" ht="15.75" customHeight="1">
      <c r="B438" s="26"/>
      <c r="P438" s="26"/>
      <c r="Q438" s="26"/>
      <c r="R438" s="5" t="str">
        <f t="shared" si="1"/>
        <v/>
      </c>
    </row>
    <row r="439" ht="15.75" customHeight="1">
      <c r="B439" s="26"/>
      <c r="P439" s="26"/>
      <c r="Q439" s="26"/>
      <c r="R439" s="5" t="str">
        <f t="shared" si="1"/>
        <v/>
      </c>
    </row>
    <row r="440" ht="15.75" customHeight="1">
      <c r="B440" s="26"/>
      <c r="P440" s="26"/>
      <c r="Q440" s="26"/>
      <c r="R440" s="5" t="str">
        <f t="shared" si="1"/>
        <v/>
      </c>
    </row>
    <row r="441" ht="15.75" customHeight="1">
      <c r="B441" s="26"/>
      <c r="P441" s="26"/>
      <c r="Q441" s="26"/>
      <c r="R441" s="5" t="str">
        <f t="shared" si="1"/>
        <v/>
      </c>
    </row>
    <row r="442" ht="15.75" customHeight="1">
      <c r="B442" s="26"/>
      <c r="P442" s="26"/>
      <c r="Q442" s="26"/>
      <c r="R442" s="5" t="str">
        <f t="shared" si="1"/>
        <v/>
      </c>
    </row>
    <row r="443" ht="15.75" customHeight="1">
      <c r="B443" s="26"/>
      <c r="P443" s="26"/>
      <c r="Q443" s="26"/>
      <c r="R443" s="5" t="str">
        <f t="shared" si="1"/>
        <v/>
      </c>
    </row>
    <row r="444" ht="15.75" customHeight="1">
      <c r="B444" s="26"/>
      <c r="P444" s="26"/>
      <c r="Q444" s="26"/>
      <c r="R444" s="5" t="str">
        <f t="shared" si="1"/>
        <v/>
      </c>
    </row>
    <row r="445" ht="15.75" customHeight="1">
      <c r="B445" s="26"/>
      <c r="P445" s="26"/>
      <c r="Q445" s="26"/>
      <c r="R445" s="5" t="str">
        <f t="shared" si="1"/>
        <v/>
      </c>
    </row>
    <row r="446" ht="15.75" customHeight="1">
      <c r="B446" s="26"/>
      <c r="P446" s="26"/>
      <c r="Q446" s="26"/>
      <c r="R446" s="5" t="str">
        <f t="shared" si="1"/>
        <v/>
      </c>
    </row>
    <row r="447" ht="15.75" customHeight="1">
      <c r="B447" s="26"/>
      <c r="P447" s="26"/>
      <c r="Q447" s="26"/>
      <c r="R447" s="5" t="str">
        <f t="shared" si="1"/>
        <v/>
      </c>
    </row>
    <row r="448" ht="15.75" customHeight="1">
      <c r="B448" s="26"/>
      <c r="P448" s="26"/>
      <c r="Q448" s="26"/>
      <c r="R448" s="5" t="str">
        <f t="shared" si="1"/>
        <v/>
      </c>
    </row>
    <row r="449" ht="15.75" customHeight="1">
      <c r="B449" s="26"/>
      <c r="P449" s="26"/>
      <c r="Q449" s="26"/>
      <c r="R449" s="5" t="str">
        <f t="shared" si="1"/>
        <v/>
      </c>
    </row>
    <row r="450" ht="15.75" customHeight="1">
      <c r="B450" s="26"/>
      <c r="P450" s="26"/>
      <c r="Q450" s="26"/>
      <c r="R450" s="5" t="str">
        <f t="shared" si="1"/>
        <v/>
      </c>
    </row>
    <row r="451" ht="15.75" customHeight="1">
      <c r="B451" s="26"/>
      <c r="P451" s="26"/>
      <c r="Q451" s="26"/>
      <c r="R451" s="5" t="str">
        <f t="shared" si="1"/>
        <v/>
      </c>
    </row>
    <row r="452" ht="15.75" customHeight="1">
      <c r="B452" s="26"/>
      <c r="P452" s="26"/>
      <c r="Q452" s="26"/>
      <c r="R452" s="5" t="str">
        <f t="shared" si="1"/>
        <v/>
      </c>
    </row>
    <row r="453" ht="15.75" customHeight="1">
      <c r="B453" s="26"/>
      <c r="P453" s="26"/>
      <c r="Q453" s="26"/>
      <c r="R453" s="5" t="str">
        <f t="shared" si="1"/>
        <v/>
      </c>
    </row>
    <row r="454" ht="15.75" customHeight="1">
      <c r="B454" s="26"/>
      <c r="P454" s="26"/>
      <c r="Q454" s="26"/>
      <c r="R454" s="5" t="str">
        <f t="shared" si="1"/>
        <v/>
      </c>
    </row>
    <row r="455" ht="15.75" customHeight="1">
      <c r="B455" s="26"/>
      <c r="P455" s="26"/>
      <c r="Q455" s="26"/>
      <c r="R455" s="5" t="str">
        <f t="shared" si="1"/>
        <v/>
      </c>
    </row>
    <row r="456" ht="15.75" customHeight="1">
      <c r="B456" s="26"/>
      <c r="P456" s="26"/>
      <c r="Q456" s="26"/>
      <c r="R456" s="5" t="str">
        <f t="shared" si="1"/>
        <v/>
      </c>
    </row>
    <row r="457" ht="15.75" customHeight="1">
      <c r="B457" s="26"/>
      <c r="P457" s="26"/>
      <c r="Q457" s="26"/>
      <c r="R457" s="5" t="str">
        <f t="shared" si="1"/>
        <v/>
      </c>
    </row>
    <row r="458" ht="15.75" customHeight="1">
      <c r="B458" s="26"/>
      <c r="P458" s="26"/>
      <c r="Q458" s="26"/>
      <c r="R458" s="5" t="str">
        <f t="shared" si="1"/>
        <v/>
      </c>
    </row>
    <row r="459" ht="15.75" customHeight="1">
      <c r="B459" s="26"/>
      <c r="P459" s="26"/>
      <c r="Q459" s="26"/>
      <c r="R459" s="5" t="str">
        <f t="shared" si="1"/>
        <v/>
      </c>
    </row>
    <row r="460" ht="15.75" customHeight="1">
      <c r="B460" s="26"/>
      <c r="P460" s="26"/>
      <c r="Q460" s="26"/>
      <c r="R460" s="5" t="str">
        <f t="shared" si="1"/>
        <v/>
      </c>
    </row>
    <row r="461" ht="15.75" customHeight="1">
      <c r="B461" s="26"/>
      <c r="P461" s="26"/>
      <c r="Q461" s="26"/>
      <c r="R461" s="5" t="str">
        <f t="shared" si="1"/>
        <v/>
      </c>
    </row>
    <row r="462" ht="15.75" customHeight="1">
      <c r="B462" s="26"/>
      <c r="P462" s="26"/>
      <c r="Q462" s="26"/>
      <c r="R462" s="5" t="str">
        <f t="shared" si="1"/>
        <v/>
      </c>
    </row>
    <row r="463" ht="15.75" customHeight="1">
      <c r="B463" s="26"/>
      <c r="P463" s="26"/>
      <c r="Q463" s="26"/>
      <c r="R463" s="5" t="str">
        <f t="shared" si="1"/>
        <v/>
      </c>
    </row>
    <row r="464" ht="15.75" customHeight="1">
      <c r="B464" s="26"/>
      <c r="P464" s="26"/>
      <c r="Q464" s="26"/>
      <c r="R464" s="5" t="str">
        <f t="shared" si="1"/>
        <v/>
      </c>
    </row>
    <row r="465" ht="15.75" customHeight="1">
      <c r="B465" s="26"/>
      <c r="P465" s="26"/>
      <c r="Q465" s="26"/>
      <c r="R465" s="5" t="str">
        <f t="shared" si="1"/>
        <v/>
      </c>
    </row>
    <row r="466" ht="15.75" customHeight="1">
      <c r="B466" s="26"/>
      <c r="P466" s="26"/>
      <c r="Q466" s="26"/>
      <c r="R466" s="5" t="str">
        <f t="shared" si="1"/>
        <v/>
      </c>
    </row>
    <row r="467" ht="15.75" customHeight="1">
      <c r="B467" s="26"/>
      <c r="P467" s="26"/>
      <c r="Q467" s="26"/>
      <c r="R467" s="5" t="str">
        <f t="shared" si="1"/>
        <v/>
      </c>
    </row>
    <row r="468" ht="15.75" customHeight="1">
      <c r="B468" s="26"/>
      <c r="P468" s="26"/>
      <c r="Q468" s="26"/>
      <c r="R468" s="5" t="str">
        <f t="shared" si="1"/>
        <v/>
      </c>
    </row>
    <row r="469" ht="15.75" customHeight="1">
      <c r="B469" s="26"/>
      <c r="P469" s="26"/>
      <c r="Q469" s="26"/>
      <c r="R469" s="5" t="str">
        <f t="shared" si="1"/>
        <v/>
      </c>
    </row>
    <row r="470" ht="15.75" customHeight="1">
      <c r="B470" s="26"/>
      <c r="P470" s="26"/>
      <c r="Q470" s="26"/>
      <c r="R470" s="5" t="str">
        <f t="shared" si="1"/>
        <v/>
      </c>
    </row>
    <row r="471" ht="15.75" customHeight="1">
      <c r="B471" s="26"/>
      <c r="P471" s="26"/>
      <c r="Q471" s="26"/>
      <c r="R471" s="5" t="str">
        <f t="shared" si="1"/>
        <v/>
      </c>
    </row>
    <row r="472" ht="15.75" customHeight="1">
      <c r="B472" s="26"/>
      <c r="P472" s="26"/>
      <c r="Q472" s="26"/>
      <c r="R472" s="5" t="str">
        <f t="shared" si="1"/>
        <v/>
      </c>
    </row>
    <row r="473" ht="15.75" customHeight="1">
      <c r="B473" s="26"/>
      <c r="P473" s="26"/>
      <c r="Q473" s="26"/>
      <c r="R473" s="5" t="str">
        <f t="shared" si="1"/>
        <v/>
      </c>
    </row>
    <row r="474" ht="15.75" customHeight="1">
      <c r="B474" s="26"/>
      <c r="P474" s="26"/>
      <c r="Q474" s="26"/>
      <c r="R474" s="5" t="str">
        <f t="shared" si="1"/>
        <v/>
      </c>
    </row>
    <row r="475" ht="15.75" customHeight="1">
      <c r="B475" s="26"/>
      <c r="P475" s="26"/>
      <c r="Q475" s="26"/>
      <c r="R475" s="5" t="str">
        <f t="shared" si="1"/>
        <v/>
      </c>
    </row>
    <row r="476" ht="15.75" customHeight="1">
      <c r="B476" s="26"/>
      <c r="P476" s="26"/>
      <c r="Q476" s="26"/>
      <c r="R476" s="5" t="str">
        <f t="shared" si="1"/>
        <v/>
      </c>
    </row>
    <row r="477" ht="15.75" customHeight="1">
      <c r="B477" s="26"/>
      <c r="P477" s="26"/>
      <c r="Q477" s="26"/>
      <c r="R477" s="5" t="str">
        <f t="shared" si="1"/>
        <v/>
      </c>
    </row>
    <row r="478" ht="15.75" customHeight="1">
      <c r="B478" s="26"/>
      <c r="P478" s="26"/>
      <c r="Q478" s="26"/>
      <c r="R478" s="5" t="str">
        <f t="shared" si="1"/>
        <v/>
      </c>
    </row>
    <row r="479" ht="15.75" customHeight="1">
      <c r="B479" s="26"/>
      <c r="P479" s="26"/>
      <c r="Q479" s="26"/>
      <c r="R479" s="5" t="str">
        <f t="shared" si="1"/>
        <v/>
      </c>
    </row>
    <row r="480" ht="15.75" customHeight="1">
      <c r="B480" s="26"/>
      <c r="P480" s="26"/>
      <c r="Q480" s="26"/>
      <c r="R480" s="5" t="str">
        <f t="shared" si="1"/>
        <v/>
      </c>
    </row>
    <row r="481" ht="15.75" customHeight="1">
      <c r="B481" s="26"/>
      <c r="P481" s="26"/>
      <c r="Q481" s="26"/>
      <c r="R481" s="5" t="str">
        <f t="shared" si="1"/>
        <v/>
      </c>
    </row>
    <row r="482" ht="15.75" customHeight="1">
      <c r="B482" s="26"/>
      <c r="P482" s="26"/>
      <c r="Q482" s="26"/>
      <c r="R482" s="5" t="str">
        <f t="shared" si="1"/>
        <v/>
      </c>
    </row>
    <row r="483" ht="15.75" customHeight="1">
      <c r="B483" s="26"/>
      <c r="P483" s="26"/>
      <c r="Q483" s="26"/>
      <c r="R483" s="5" t="str">
        <f t="shared" si="1"/>
        <v/>
      </c>
    </row>
    <row r="484" ht="15.75" customHeight="1">
      <c r="B484" s="26"/>
      <c r="P484" s="26"/>
      <c r="Q484" s="26"/>
      <c r="R484" s="5" t="str">
        <f t="shared" si="1"/>
        <v/>
      </c>
    </row>
    <row r="485" ht="15.75" customHeight="1">
      <c r="B485" s="26"/>
      <c r="P485" s="26"/>
      <c r="Q485" s="26"/>
      <c r="R485" s="5" t="str">
        <f t="shared" si="1"/>
        <v/>
      </c>
    </row>
    <row r="486" ht="15.75" customHeight="1">
      <c r="B486" s="26"/>
      <c r="P486" s="26"/>
      <c r="Q486" s="26"/>
      <c r="R486" s="5" t="str">
        <f t="shared" si="1"/>
        <v/>
      </c>
    </row>
    <row r="487" ht="15.75" customHeight="1">
      <c r="B487" s="26"/>
      <c r="P487" s="26"/>
      <c r="Q487" s="26"/>
      <c r="R487" s="5" t="str">
        <f t="shared" si="1"/>
        <v/>
      </c>
    </row>
    <row r="488" ht="15.75" customHeight="1">
      <c r="B488" s="26"/>
      <c r="P488" s="26"/>
      <c r="Q488" s="26"/>
      <c r="R488" s="5" t="str">
        <f t="shared" si="1"/>
        <v/>
      </c>
    </row>
    <row r="489" ht="15.75" customHeight="1">
      <c r="B489" s="26"/>
      <c r="P489" s="26"/>
      <c r="Q489" s="26"/>
      <c r="R489" s="5" t="str">
        <f t="shared" si="1"/>
        <v/>
      </c>
    </row>
    <row r="490" ht="15.75" customHeight="1">
      <c r="B490" s="26"/>
      <c r="P490" s="26"/>
      <c r="Q490" s="26"/>
      <c r="R490" s="5" t="str">
        <f t="shared" si="1"/>
        <v/>
      </c>
    </row>
    <row r="491" ht="15.75" customHeight="1">
      <c r="B491" s="26"/>
      <c r="P491" s="26"/>
      <c r="Q491" s="26"/>
      <c r="R491" s="5" t="str">
        <f t="shared" si="1"/>
        <v/>
      </c>
    </row>
    <row r="492" ht="15.75" customHeight="1">
      <c r="B492" s="26"/>
      <c r="P492" s="26"/>
      <c r="Q492" s="26"/>
      <c r="R492" s="5" t="str">
        <f t="shared" si="1"/>
        <v/>
      </c>
    </row>
    <row r="493" ht="15.75" customHeight="1">
      <c r="B493" s="26"/>
      <c r="P493" s="26"/>
      <c r="Q493" s="26"/>
      <c r="R493" s="5" t="str">
        <f t="shared" si="1"/>
        <v/>
      </c>
    </row>
    <row r="494" ht="15.75" customHeight="1">
      <c r="B494" s="26"/>
      <c r="P494" s="26"/>
      <c r="Q494" s="26"/>
      <c r="R494" s="5" t="str">
        <f t="shared" si="1"/>
        <v/>
      </c>
    </row>
    <row r="495" ht="15.75" customHeight="1">
      <c r="B495" s="26"/>
      <c r="P495" s="26"/>
      <c r="Q495" s="26"/>
      <c r="R495" s="5" t="str">
        <f t="shared" si="1"/>
        <v/>
      </c>
    </row>
    <row r="496" ht="15.75" customHeight="1">
      <c r="B496" s="26"/>
      <c r="P496" s="26"/>
      <c r="Q496" s="26"/>
      <c r="R496" s="5" t="str">
        <f t="shared" si="1"/>
        <v/>
      </c>
    </row>
    <row r="497" ht="15.75" customHeight="1">
      <c r="B497" s="26"/>
      <c r="P497" s="26"/>
      <c r="Q497" s="26"/>
      <c r="R497" s="5" t="str">
        <f t="shared" si="1"/>
        <v/>
      </c>
    </row>
    <row r="498" ht="15.75" customHeight="1">
      <c r="B498" s="26"/>
      <c r="P498" s="26"/>
      <c r="Q498" s="26"/>
      <c r="R498" s="5" t="str">
        <f t="shared" si="1"/>
        <v/>
      </c>
    </row>
    <row r="499" ht="15.75" customHeight="1">
      <c r="B499" s="26"/>
      <c r="P499" s="26"/>
      <c r="Q499" s="26"/>
      <c r="R499" s="5" t="str">
        <f t="shared" si="1"/>
        <v/>
      </c>
    </row>
    <row r="500" ht="15.75" customHeight="1">
      <c r="B500" s="26"/>
      <c r="P500" s="26"/>
      <c r="Q500" s="26"/>
      <c r="R500" s="5" t="str">
        <f t="shared" si="1"/>
        <v/>
      </c>
    </row>
    <row r="501" ht="15.75" customHeight="1">
      <c r="B501" s="26"/>
      <c r="P501" s="26"/>
      <c r="Q501" s="26"/>
      <c r="R501" s="5" t="str">
        <f t="shared" si="1"/>
        <v/>
      </c>
    </row>
    <row r="502" ht="15.75" customHeight="1">
      <c r="B502" s="26"/>
      <c r="P502" s="26"/>
      <c r="Q502" s="26"/>
      <c r="R502" s="5" t="str">
        <f t="shared" si="1"/>
        <v/>
      </c>
    </row>
    <row r="503" ht="15.75" customHeight="1">
      <c r="B503" s="26"/>
      <c r="P503" s="26"/>
      <c r="Q503" s="26"/>
      <c r="R503" s="5" t="str">
        <f t="shared" si="1"/>
        <v/>
      </c>
    </row>
    <row r="504" ht="15.75" customHeight="1">
      <c r="B504" s="26"/>
      <c r="P504" s="26"/>
      <c r="Q504" s="26"/>
      <c r="R504" s="5" t="str">
        <f t="shared" si="1"/>
        <v/>
      </c>
    </row>
    <row r="505" ht="15.75" customHeight="1">
      <c r="B505" s="26"/>
      <c r="P505" s="26"/>
      <c r="Q505" s="26"/>
      <c r="R505" s="5" t="str">
        <f t="shared" si="1"/>
        <v/>
      </c>
    </row>
    <row r="506" ht="15.75" customHeight="1">
      <c r="B506" s="26"/>
      <c r="P506" s="26"/>
      <c r="Q506" s="26"/>
      <c r="R506" s="5" t="str">
        <f t="shared" si="1"/>
        <v/>
      </c>
    </row>
    <row r="507" ht="15.75" customHeight="1">
      <c r="B507" s="26"/>
      <c r="P507" s="26"/>
      <c r="Q507" s="26"/>
      <c r="R507" s="5" t="str">
        <f t="shared" si="1"/>
        <v/>
      </c>
    </row>
    <row r="508" ht="15.75" customHeight="1">
      <c r="B508" s="26"/>
      <c r="P508" s="26"/>
      <c r="Q508" s="26"/>
      <c r="R508" s="5" t="str">
        <f t="shared" si="1"/>
        <v/>
      </c>
    </row>
    <row r="509" ht="15.75" customHeight="1">
      <c r="B509" s="26"/>
      <c r="P509" s="26"/>
      <c r="Q509" s="26"/>
      <c r="R509" s="5" t="str">
        <f t="shared" si="1"/>
        <v/>
      </c>
    </row>
    <row r="510" ht="15.75" customHeight="1">
      <c r="B510" s="26"/>
      <c r="P510" s="26"/>
      <c r="Q510" s="26"/>
      <c r="R510" s="5" t="str">
        <f t="shared" si="1"/>
        <v/>
      </c>
    </row>
    <row r="511" ht="15.75" customHeight="1">
      <c r="B511" s="26"/>
      <c r="P511" s="26"/>
      <c r="Q511" s="26"/>
      <c r="R511" s="5" t="str">
        <f t="shared" si="1"/>
        <v/>
      </c>
    </row>
    <row r="512" ht="15.75" customHeight="1">
      <c r="B512" s="26"/>
      <c r="P512" s="26"/>
      <c r="Q512" s="26"/>
      <c r="R512" s="5" t="str">
        <f t="shared" si="1"/>
        <v/>
      </c>
    </row>
    <row r="513" ht="15.75" customHeight="1">
      <c r="B513" s="26"/>
      <c r="P513" s="26"/>
      <c r="Q513" s="26"/>
      <c r="R513" s="5" t="str">
        <f t="shared" si="1"/>
        <v/>
      </c>
    </row>
    <row r="514" ht="15.75" customHeight="1">
      <c r="B514" s="26"/>
      <c r="P514" s="26"/>
      <c r="Q514" s="26"/>
      <c r="R514" s="5" t="str">
        <f t="shared" si="1"/>
        <v/>
      </c>
    </row>
    <row r="515" ht="15.75" customHeight="1">
      <c r="B515" s="26"/>
      <c r="P515" s="26"/>
      <c r="Q515" s="26"/>
      <c r="R515" s="5" t="str">
        <f t="shared" si="1"/>
        <v/>
      </c>
    </row>
    <row r="516" ht="15.75" customHeight="1">
      <c r="B516" s="26"/>
      <c r="P516" s="26"/>
      <c r="Q516" s="26"/>
      <c r="R516" s="5" t="str">
        <f t="shared" si="1"/>
        <v/>
      </c>
    </row>
    <row r="517" ht="15.75" customHeight="1">
      <c r="B517" s="26"/>
      <c r="P517" s="26"/>
      <c r="Q517" s="26"/>
      <c r="R517" s="5" t="str">
        <f t="shared" si="1"/>
        <v/>
      </c>
    </row>
    <row r="518" ht="15.75" customHeight="1">
      <c r="B518" s="26"/>
      <c r="P518" s="26"/>
      <c r="Q518" s="26"/>
      <c r="R518" s="5" t="str">
        <f t="shared" si="1"/>
        <v/>
      </c>
    </row>
    <row r="519" ht="15.75" customHeight="1">
      <c r="B519" s="26"/>
      <c r="P519" s="26"/>
      <c r="Q519" s="26"/>
      <c r="R519" s="5" t="str">
        <f t="shared" si="1"/>
        <v/>
      </c>
    </row>
    <row r="520" ht="15.75" customHeight="1">
      <c r="B520" s="26"/>
      <c r="P520" s="26"/>
      <c r="Q520" s="26"/>
      <c r="R520" s="5" t="str">
        <f t="shared" si="1"/>
        <v/>
      </c>
    </row>
    <row r="521" ht="15.75" customHeight="1">
      <c r="B521" s="26"/>
      <c r="P521" s="26"/>
      <c r="Q521" s="26"/>
      <c r="R521" s="5" t="str">
        <f t="shared" si="1"/>
        <v/>
      </c>
    </row>
    <row r="522" ht="15.75" customHeight="1">
      <c r="B522" s="26"/>
      <c r="P522" s="26"/>
      <c r="Q522" s="26"/>
      <c r="R522" s="5" t="str">
        <f t="shared" si="1"/>
        <v/>
      </c>
    </row>
    <row r="523" ht="15.75" customHeight="1">
      <c r="B523" s="26"/>
      <c r="P523" s="26"/>
      <c r="Q523" s="26"/>
      <c r="R523" s="5" t="str">
        <f t="shared" si="1"/>
        <v/>
      </c>
    </row>
    <row r="524" ht="15.75" customHeight="1">
      <c r="B524" s="26"/>
      <c r="P524" s="26"/>
      <c r="Q524" s="26"/>
      <c r="R524" s="5" t="str">
        <f t="shared" si="1"/>
        <v/>
      </c>
    </row>
    <row r="525" ht="15.75" customHeight="1">
      <c r="B525" s="26"/>
      <c r="P525" s="26"/>
      <c r="Q525" s="26"/>
      <c r="R525" s="5" t="str">
        <f t="shared" si="1"/>
        <v/>
      </c>
    </row>
    <row r="526" ht="15.75" customHeight="1">
      <c r="B526" s="26"/>
      <c r="P526" s="26"/>
      <c r="Q526" s="26"/>
      <c r="R526" s="5" t="str">
        <f t="shared" si="1"/>
        <v/>
      </c>
    </row>
    <row r="527" ht="15.75" customHeight="1">
      <c r="B527" s="26"/>
      <c r="P527" s="26"/>
      <c r="Q527" s="26"/>
      <c r="R527" s="5" t="str">
        <f t="shared" si="1"/>
        <v/>
      </c>
    </row>
    <row r="528" ht="15.75" customHeight="1">
      <c r="B528" s="26"/>
      <c r="P528" s="26"/>
      <c r="Q528" s="26"/>
      <c r="R528" s="5" t="str">
        <f t="shared" si="1"/>
        <v/>
      </c>
    </row>
    <row r="529" ht="15.75" customHeight="1">
      <c r="B529" s="26"/>
      <c r="P529" s="26"/>
      <c r="Q529" s="26"/>
      <c r="R529" s="5" t="str">
        <f t="shared" si="1"/>
        <v/>
      </c>
    </row>
    <row r="530" ht="15.75" customHeight="1">
      <c r="B530" s="26"/>
      <c r="P530" s="26"/>
      <c r="Q530" s="26"/>
      <c r="R530" s="5" t="str">
        <f t="shared" si="1"/>
        <v/>
      </c>
    </row>
    <row r="531" ht="15.75" customHeight="1">
      <c r="B531" s="26"/>
      <c r="P531" s="26"/>
      <c r="Q531" s="26"/>
      <c r="R531" s="5" t="str">
        <f t="shared" si="1"/>
        <v/>
      </c>
    </row>
    <row r="532" ht="15.75" customHeight="1">
      <c r="B532" s="26"/>
      <c r="P532" s="26"/>
      <c r="Q532" s="26"/>
      <c r="R532" s="5" t="str">
        <f t="shared" si="1"/>
        <v/>
      </c>
    </row>
    <row r="533" ht="15.75" customHeight="1">
      <c r="B533" s="26"/>
      <c r="P533" s="26"/>
      <c r="Q533" s="26"/>
      <c r="R533" s="5" t="str">
        <f t="shared" si="1"/>
        <v/>
      </c>
    </row>
    <row r="534" ht="15.75" customHeight="1">
      <c r="B534" s="26"/>
      <c r="P534" s="26"/>
      <c r="Q534" s="26"/>
      <c r="R534" s="5" t="str">
        <f t="shared" si="1"/>
        <v/>
      </c>
    </row>
    <row r="535" ht="15.75" customHeight="1">
      <c r="B535" s="26"/>
      <c r="P535" s="26"/>
      <c r="Q535" s="26"/>
      <c r="R535" s="5" t="str">
        <f t="shared" si="1"/>
        <v/>
      </c>
    </row>
    <row r="536" ht="15.75" customHeight="1">
      <c r="B536" s="26"/>
      <c r="P536" s="26"/>
      <c r="Q536" s="26"/>
      <c r="R536" s="5" t="str">
        <f t="shared" si="1"/>
        <v/>
      </c>
    </row>
    <row r="537" ht="15.75" customHeight="1">
      <c r="B537" s="26"/>
      <c r="P537" s="26"/>
      <c r="Q537" s="26"/>
      <c r="R537" s="5" t="str">
        <f t="shared" si="1"/>
        <v/>
      </c>
    </row>
    <row r="538" ht="15.75" customHeight="1">
      <c r="B538" s="26"/>
      <c r="P538" s="26"/>
      <c r="Q538" s="26"/>
      <c r="R538" s="5" t="str">
        <f t="shared" si="1"/>
        <v/>
      </c>
    </row>
    <row r="539" ht="15.75" customHeight="1">
      <c r="B539" s="26"/>
      <c r="P539" s="26"/>
      <c r="Q539" s="26"/>
      <c r="R539" s="5" t="str">
        <f t="shared" si="1"/>
        <v/>
      </c>
    </row>
    <row r="540" ht="15.75" customHeight="1">
      <c r="B540" s="26"/>
      <c r="P540" s="26"/>
      <c r="Q540" s="26"/>
      <c r="R540" s="5" t="str">
        <f t="shared" si="1"/>
        <v/>
      </c>
    </row>
    <row r="541" ht="15.75" customHeight="1">
      <c r="B541" s="26"/>
      <c r="P541" s="26"/>
      <c r="Q541" s="26"/>
      <c r="R541" s="5" t="str">
        <f t="shared" si="1"/>
        <v/>
      </c>
    </row>
    <row r="542" ht="15.75" customHeight="1">
      <c r="B542" s="26"/>
      <c r="P542" s="26"/>
      <c r="Q542" s="26"/>
      <c r="R542" s="5" t="str">
        <f t="shared" si="1"/>
        <v/>
      </c>
    </row>
    <row r="543" ht="15.75" customHeight="1">
      <c r="B543" s="26"/>
      <c r="P543" s="26"/>
      <c r="Q543" s="26"/>
      <c r="R543" s="5" t="str">
        <f t="shared" si="1"/>
        <v/>
      </c>
    </row>
    <row r="544" ht="15.75" customHeight="1">
      <c r="B544" s="26"/>
      <c r="P544" s="26"/>
      <c r="Q544" s="26"/>
      <c r="R544" s="5" t="str">
        <f t="shared" si="1"/>
        <v/>
      </c>
    </row>
    <row r="545" ht="15.75" customHeight="1">
      <c r="B545" s="26"/>
      <c r="P545" s="26"/>
      <c r="Q545" s="26"/>
      <c r="R545" s="5" t="str">
        <f t="shared" si="1"/>
        <v/>
      </c>
    </row>
    <row r="546" ht="15.75" customHeight="1">
      <c r="B546" s="26"/>
      <c r="P546" s="26"/>
      <c r="Q546" s="26"/>
      <c r="R546" s="5" t="str">
        <f t="shared" si="1"/>
        <v/>
      </c>
    </row>
    <row r="547" ht="15.75" customHeight="1">
      <c r="B547" s="26"/>
      <c r="P547" s="26"/>
      <c r="Q547" s="26"/>
      <c r="R547" s="5" t="str">
        <f t="shared" si="1"/>
        <v/>
      </c>
    </row>
    <row r="548" ht="15.75" customHeight="1">
      <c r="B548" s="26"/>
      <c r="P548" s="26"/>
      <c r="Q548" s="26"/>
      <c r="R548" s="5" t="str">
        <f t="shared" si="1"/>
        <v/>
      </c>
    </row>
    <row r="549" ht="15.75" customHeight="1">
      <c r="B549" s="26"/>
      <c r="P549" s="26"/>
      <c r="Q549" s="26"/>
      <c r="R549" s="5" t="str">
        <f t="shared" si="1"/>
        <v/>
      </c>
    </row>
    <row r="550" ht="15.75" customHeight="1">
      <c r="B550" s="26"/>
      <c r="P550" s="26"/>
      <c r="Q550" s="26"/>
      <c r="R550" s="5" t="str">
        <f t="shared" si="1"/>
        <v/>
      </c>
    </row>
    <row r="551" ht="15.75" customHeight="1">
      <c r="B551" s="26"/>
      <c r="P551" s="26"/>
      <c r="Q551" s="26"/>
      <c r="R551" s="5" t="str">
        <f t="shared" si="1"/>
        <v/>
      </c>
    </row>
    <row r="552" ht="15.75" customHeight="1">
      <c r="B552" s="26"/>
      <c r="P552" s="26"/>
      <c r="Q552" s="26"/>
      <c r="R552" s="5" t="str">
        <f t="shared" si="1"/>
        <v/>
      </c>
    </row>
    <row r="553" ht="15.75" customHeight="1">
      <c r="B553" s="26"/>
      <c r="P553" s="26"/>
      <c r="Q553" s="26"/>
      <c r="R553" s="5" t="str">
        <f t="shared" si="1"/>
        <v/>
      </c>
    </row>
    <row r="554" ht="15.75" customHeight="1">
      <c r="B554" s="26"/>
      <c r="P554" s="26"/>
      <c r="Q554" s="26"/>
      <c r="R554" s="5" t="str">
        <f t="shared" si="1"/>
        <v/>
      </c>
    </row>
    <row r="555" ht="15.75" customHeight="1">
      <c r="B555" s="26"/>
      <c r="P555" s="26"/>
      <c r="Q555" s="26"/>
      <c r="R555" s="5" t="str">
        <f t="shared" si="1"/>
        <v/>
      </c>
    </row>
    <row r="556" ht="15.75" customHeight="1">
      <c r="B556" s="26"/>
      <c r="P556" s="26"/>
      <c r="Q556" s="26"/>
      <c r="R556" s="5" t="str">
        <f t="shared" si="1"/>
        <v/>
      </c>
    </row>
    <row r="557" ht="15.75" customHeight="1">
      <c r="B557" s="26"/>
      <c r="P557" s="26"/>
      <c r="Q557" s="26"/>
      <c r="R557" s="5" t="str">
        <f t="shared" si="1"/>
        <v/>
      </c>
    </row>
    <row r="558" ht="15.75" customHeight="1">
      <c r="B558" s="26"/>
      <c r="P558" s="26"/>
      <c r="Q558" s="26"/>
      <c r="R558" s="5" t="str">
        <f t="shared" si="1"/>
        <v/>
      </c>
    </row>
    <row r="559" ht="15.75" customHeight="1">
      <c r="B559" s="26"/>
      <c r="P559" s="26"/>
      <c r="Q559" s="26"/>
      <c r="R559" s="5" t="str">
        <f t="shared" si="1"/>
        <v/>
      </c>
    </row>
    <row r="560" ht="15.75" customHeight="1">
      <c r="B560" s="26"/>
      <c r="P560" s="26"/>
      <c r="Q560" s="26"/>
      <c r="R560" s="5" t="str">
        <f t="shared" si="1"/>
        <v/>
      </c>
    </row>
    <row r="561" ht="15.75" customHeight="1">
      <c r="B561" s="26"/>
      <c r="P561" s="26"/>
      <c r="Q561" s="26"/>
      <c r="R561" s="5" t="str">
        <f t="shared" si="1"/>
        <v/>
      </c>
    </row>
    <row r="562" ht="15.75" customHeight="1">
      <c r="B562" s="26"/>
      <c r="P562" s="26"/>
      <c r="Q562" s="26"/>
      <c r="R562" s="5" t="str">
        <f t="shared" si="1"/>
        <v/>
      </c>
    </row>
    <row r="563" ht="15.75" customHeight="1">
      <c r="B563" s="26"/>
      <c r="P563" s="26"/>
      <c r="Q563" s="26"/>
      <c r="R563" s="5" t="str">
        <f t="shared" si="1"/>
        <v/>
      </c>
    </row>
    <row r="564" ht="15.75" customHeight="1">
      <c r="B564" s="26"/>
      <c r="P564" s="26"/>
      <c r="Q564" s="26"/>
      <c r="R564" s="5" t="str">
        <f t="shared" si="1"/>
        <v/>
      </c>
    </row>
    <row r="565" ht="15.75" customHeight="1">
      <c r="B565" s="26"/>
      <c r="P565" s="26"/>
      <c r="Q565" s="26"/>
      <c r="R565" s="5" t="str">
        <f t="shared" si="1"/>
        <v/>
      </c>
    </row>
    <row r="566" ht="15.75" customHeight="1">
      <c r="B566" s="26"/>
      <c r="P566" s="26"/>
      <c r="Q566" s="26"/>
      <c r="R566" s="5" t="str">
        <f t="shared" si="1"/>
        <v/>
      </c>
    </row>
    <row r="567" ht="15.75" customHeight="1">
      <c r="B567" s="26"/>
      <c r="P567" s="26"/>
      <c r="Q567" s="26"/>
      <c r="R567" s="5" t="str">
        <f t="shared" si="1"/>
        <v/>
      </c>
    </row>
    <row r="568" ht="15.75" customHeight="1">
      <c r="B568" s="26"/>
      <c r="P568" s="26"/>
      <c r="Q568" s="26"/>
      <c r="R568" s="5" t="str">
        <f t="shared" si="1"/>
        <v/>
      </c>
    </row>
    <row r="569" ht="15.75" customHeight="1">
      <c r="B569" s="26"/>
      <c r="P569" s="26"/>
      <c r="Q569" s="26"/>
      <c r="R569" s="5" t="str">
        <f t="shared" si="1"/>
        <v/>
      </c>
    </row>
    <row r="570" ht="15.75" customHeight="1">
      <c r="B570" s="26"/>
      <c r="P570" s="26"/>
      <c r="Q570" s="26"/>
      <c r="R570" s="5" t="str">
        <f t="shared" si="1"/>
        <v/>
      </c>
    </row>
    <row r="571" ht="15.75" customHeight="1">
      <c r="B571" s="26"/>
      <c r="P571" s="26"/>
      <c r="Q571" s="26"/>
      <c r="R571" s="5" t="str">
        <f t="shared" si="1"/>
        <v/>
      </c>
    </row>
    <row r="572" ht="15.75" customHeight="1">
      <c r="B572" s="26"/>
      <c r="P572" s="26"/>
      <c r="Q572" s="26"/>
      <c r="R572" s="5" t="str">
        <f t="shared" si="1"/>
        <v/>
      </c>
    </row>
    <row r="573" ht="15.75" customHeight="1">
      <c r="B573" s="26"/>
      <c r="P573" s="26"/>
      <c r="Q573" s="26"/>
      <c r="R573" s="5" t="str">
        <f t="shared" si="1"/>
        <v/>
      </c>
    </row>
    <row r="574" ht="15.75" customHeight="1">
      <c r="B574" s="26"/>
      <c r="P574" s="26"/>
      <c r="Q574" s="26"/>
      <c r="R574" s="5" t="str">
        <f t="shared" si="1"/>
        <v/>
      </c>
    </row>
    <row r="575" ht="15.75" customHeight="1">
      <c r="B575" s="26"/>
      <c r="P575" s="26"/>
      <c r="Q575" s="26"/>
      <c r="R575" s="5" t="str">
        <f t="shared" si="1"/>
        <v/>
      </c>
    </row>
    <row r="576" ht="15.75" customHeight="1">
      <c r="B576" s="26"/>
      <c r="P576" s="26"/>
      <c r="Q576" s="26"/>
      <c r="R576" s="5" t="str">
        <f t="shared" si="1"/>
        <v/>
      </c>
    </row>
    <row r="577" ht="15.75" customHeight="1">
      <c r="B577" s="26"/>
      <c r="P577" s="26"/>
      <c r="Q577" s="26"/>
      <c r="R577" s="5" t="str">
        <f t="shared" si="1"/>
        <v/>
      </c>
    </row>
    <row r="578" ht="15.75" customHeight="1">
      <c r="B578" s="26"/>
      <c r="P578" s="26"/>
      <c r="Q578" s="26"/>
      <c r="R578" s="5" t="str">
        <f t="shared" si="1"/>
        <v/>
      </c>
    </row>
    <row r="579" ht="15.75" customHeight="1">
      <c r="B579" s="26"/>
      <c r="P579" s="26"/>
      <c r="Q579" s="26"/>
      <c r="R579" s="5" t="str">
        <f t="shared" si="1"/>
        <v/>
      </c>
    </row>
    <row r="580" ht="15.75" customHeight="1">
      <c r="B580" s="26"/>
      <c r="P580" s="26"/>
      <c r="Q580" s="26"/>
      <c r="R580" s="5" t="str">
        <f t="shared" si="1"/>
        <v/>
      </c>
    </row>
    <row r="581" ht="15.75" customHeight="1">
      <c r="B581" s="26"/>
      <c r="P581" s="26"/>
      <c r="Q581" s="26"/>
      <c r="R581" s="5" t="str">
        <f t="shared" si="1"/>
        <v/>
      </c>
    </row>
    <row r="582" ht="15.75" customHeight="1">
      <c r="B582" s="26"/>
      <c r="P582" s="26"/>
      <c r="Q582" s="26"/>
      <c r="R582" s="5" t="str">
        <f t="shared" si="1"/>
        <v/>
      </c>
    </row>
    <row r="583" ht="15.75" customHeight="1">
      <c r="B583" s="26"/>
      <c r="P583" s="26"/>
      <c r="Q583" s="26"/>
      <c r="R583" s="5" t="str">
        <f t="shared" si="1"/>
        <v/>
      </c>
    </row>
    <row r="584" ht="15.75" customHeight="1">
      <c r="B584" s="26"/>
      <c r="P584" s="26"/>
      <c r="Q584" s="26"/>
      <c r="R584" s="5" t="str">
        <f t="shared" si="1"/>
        <v/>
      </c>
    </row>
    <row r="585" ht="15.75" customHeight="1">
      <c r="B585" s="26"/>
      <c r="P585" s="26"/>
      <c r="Q585" s="26"/>
      <c r="R585" s="5" t="str">
        <f t="shared" si="1"/>
        <v/>
      </c>
    </row>
    <row r="586" ht="15.75" customHeight="1">
      <c r="B586" s="26"/>
      <c r="P586" s="26"/>
      <c r="Q586" s="26"/>
      <c r="R586" s="5" t="str">
        <f t="shared" si="1"/>
        <v/>
      </c>
    </row>
    <row r="587" ht="15.75" customHeight="1">
      <c r="B587" s="26"/>
      <c r="P587" s="26"/>
      <c r="Q587" s="26"/>
      <c r="R587" s="5" t="str">
        <f t="shared" si="1"/>
        <v/>
      </c>
    </row>
    <row r="588" ht="15.75" customHeight="1">
      <c r="B588" s="26"/>
      <c r="P588" s="26"/>
      <c r="Q588" s="26"/>
      <c r="R588" s="5" t="str">
        <f t="shared" si="1"/>
        <v/>
      </c>
    </row>
    <row r="589" ht="15.75" customHeight="1">
      <c r="B589" s="26"/>
      <c r="P589" s="26"/>
      <c r="Q589" s="26"/>
      <c r="R589" s="5" t="str">
        <f t="shared" si="1"/>
        <v/>
      </c>
    </row>
    <row r="590" ht="15.75" customHeight="1">
      <c r="B590" s="26"/>
      <c r="P590" s="26"/>
      <c r="Q590" s="26"/>
      <c r="R590" s="5" t="str">
        <f t="shared" si="1"/>
        <v/>
      </c>
    </row>
    <row r="591" ht="15.75" customHeight="1">
      <c r="B591" s="26"/>
      <c r="P591" s="26"/>
      <c r="Q591" s="26"/>
      <c r="R591" s="5" t="str">
        <f t="shared" si="1"/>
        <v/>
      </c>
    </row>
    <row r="592" ht="15.75" customHeight="1">
      <c r="B592" s="26"/>
      <c r="P592" s="26"/>
      <c r="Q592" s="26"/>
      <c r="R592" s="5" t="str">
        <f t="shared" si="1"/>
        <v/>
      </c>
    </row>
    <row r="593" ht="15.75" customHeight="1">
      <c r="B593" s="26"/>
      <c r="P593" s="26"/>
      <c r="Q593" s="26"/>
      <c r="R593" s="5" t="str">
        <f t="shared" si="1"/>
        <v/>
      </c>
    </row>
    <row r="594" ht="15.75" customHeight="1">
      <c r="B594" s="26"/>
      <c r="P594" s="26"/>
      <c r="Q594" s="26"/>
      <c r="R594" s="5" t="str">
        <f t="shared" si="1"/>
        <v/>
      </c>
    </row>
    <row r="595" ht="15.75" customHeight="1">
      <c r="B595" s="26"/>
      <c r="P595" s="26"/>
      <c r="Q595" s="26"/>
      <c r="R595" s="5" t="str">
        <f t="shared" si="1"/>
        <v/>
      </c>
    </row>
    <row r="596" ht="15.75" customHeight="1">
      <c r="B596" s="26"/>
      <c r="P596" s="26"/>
      <c r="Q596" s="26"/>
      <c r="R596" s="5" t="str">
        <f t="shared" si="1"/>
        <v/>
      </c>
    </row>
    <row r="597" ht="15.75" customHeight="1">
      <c r="B597" s="26"/>
      <c r="P597" s="26"/>
      <c r="Q597" s="26"/>
      <c r="R597" s="5" t="str">
        <f t="shared" si="1"/>
        <v/>
      </c>
    </row>
    <row r="598" ht="15.75" customHeight="1">
      <c r="B598" s="26"/>
      <c r="P598" s="26"/>
      <c r="Q598" s="26"/>
      <c r="R598" s="5" t="str">
        <f t="shared" si="1"/>
        <v/>
      </c>
    </row>
    <row r="599" ht="15.75" customHeight="1">
      <c r="B599" s="26"/>
      <c r="P599" s="26"/>
      <c r="Q599" s="26"/>
      <c r="R599" s="5" t="str">
        <f t="shared" si="1"/>
        <v/>
      </c>
    </row>
    <row r="600" ht="15.75" customHeight="1">
      <c r="B600" s="26"/>
      <c r="P600" s="26"/>
      <c r="Q600" s="26"/>
      <c r="R600" s="5" t="str">
        <f t="shared" si="1"/>
        <v/>
      </c>
    </row>
    <row r="601" ht="15.75" customHeight="1">
      <c r="B601" s="26"/>
      <c r="P601" s="26"/>
      <c r="Q601" s="26"/>
      <c r="R601" s="5" t="str">
        <f t="shared" si="1"/>
        <v/>
      </c>
    </row>
    <row r="602" ht="15.75" customHeight="1">
      <c r="B602" s="26"/>
      <c r="P602" s="26"/>
      <c r="Q602" s="26"/>
      <c r="R602" s="5" t="str">
        <f t="shared" si="1"/>
        <v/>
      </c>
    </row>
    <row r="603" ht="15.75" customHeight="1">
      <c r="B603" s="26"/>
      <c r="P603" s="26"/>
      <c r="Q603" s="26"/>
      <c r="R603" s="5" t="str">
        <f t="shared" si="1"/>
        <v/>
      </c>
    </row>
    <row r="604" ht="15.75" customHeight="1">
      <c r="B604" s="26"/>
      <c r="P604" s="26"/>
      <c r="Q604" s="26"/>
      <c r="R604" s="5" t="str">
        <f t="shared" si="1"/>
        <v/>
      </c>
    </row>
    <row r="605" ht="15.75" customHeight="1">
      <c r="B605" s="26"/>
      <c r="P605" s="26"/>
      <c r="Q605" s="26"/>
      <c r="R605" s="5" t="str">
        <f t="shared" si="1"/>
        <v/>
      </c>
    </row>
    <row r="606" ht="15.75" customHeight="1">
      <c r="B606" s="26"/>
      <c r="P606" s="26"/>
      <c r="Q606" s="26"/>
      <c r="R606" s="5" t="str">
        <f t="shared" si="1"/>
        <v/>
      </c>
    </row>
    <row r="607" ht="15.75" customHeight="1">
      <c r="B607" s="26"/>
      <c r="P607" s="26"/>
      <c r="Q607" s="26"/>
      <c r="R607" s="5" t="str">
        <f t="shared" si="1"/>
        <v/>
      </c>
    </row>
    <row r="608" ht="15.75" customHeight="1">
      <c r="B608" s="26"/>
      <c r="P608" s="26"/>
      <c r="Q608" s="26"/>
      <c r="R608" s="5" t="str">
        <f t="shared" si="1"/>
        <v/>
      </c>
    </row>
    <row r="609" ht="15.75" customHeight="1">
      <c r="B609" s="26"/>
      <c r="P609" s="26"/>
      <c r="Q609" s="26"/>
      <c r="R609" s="5" t="str">
        <f t="shared" si="1"/>
        <v/>
      </c>
    </row>
    <row r="610" ht="15.75" customHeight="1">
      <c r="B610" s="26"/>
      <c r="P610" s="26"/>
      <c r="Q610" s="26"/>
      <c r="R610" s="5" t="str">
        <f t="shared" si="1"/>
        <v/>
      </c>
    </row>
    <row r="611" ht="15.75" customHeight="1">
      <c r="B611" s="26"/>
      <c r="P611" s="26"/>
      <c r="Q611" s="26"/>
      <c r="R611" s="5" t="str">
        <f t="shared" si="1"/>
        <v/>
      </c>
    </row>
    <row r="612" ht="15.75" customHeight="1">
      <c r="B612" s="26"/>
      <c r="P612" s="26"/>
      <c r="Q612" s="26"/>
      <c r="R612" s="5" t="str">
        <f t="shared" si="1"/>
        <v/>
      </c>
    </row>
    <row r="613" ht="15.75" customHeight="1">
      <c r="B613" s="26"/>
      <c r="P613" s="26"/>
      <c r="Q613" s="26"/>
      <c r="R613" s="5" t="str">
        <f t="shared" si="1"/>
        <v/>
      </c>
    </row>
    <row r="614" ht="15.75" customHeight="1">
      <c r="B614" s="26"/>
      <c r="P614" s="26"/>
      <c r="Q614" s="26"/>
      <c r="R614" s="5" t="str">
        <f t="shared" si="1"/>
        <v/>
      </c>
    </row>
    <row r="615" ht="15.75" customHeight="1">
      <c r="B615" s="26"/>
      <c r="P615" s="26"/>
      <c r="Q615" s="26"/>
      <c r="R615" s="5" t="str">
        <f t="shared" si="1"/>
        <v/>
      </c>
    </row>
    <row r="616" ht="15.75" customHeight="1">
      <c r="B616" s="26"/>
      <c r="P616" s="26"/>
      <c r="Q616" s="26"/>
      <c r="R616" s="5" t="str">
        <f t="shared" si="1"/>
        <v/>
      </c>
    </row>
    <row r="617" ht="15.75" customHeight="1">
      <c r="B617" s="26"/>
      <c r="P617" s="26"/>
      <c r="Q617" s="26"/>
      <c r="R617" s="5" t="str">
        <f t="shared" si="1"/>
        <v/>
      </c>
    </row>
    <row r="618" ht="15.75" customHeight="1">
      <c r="B618" s="26"/>
      <c r="P618" s="26"/>
      <c r="Q618" s="26"/>
      <c r="R618" s="5" t="str">
        <f t="shared" si="1"/>
        <v/>
      </c>
    </row>
    <row r="619" ht="15.75" customHeight="1">
      <c r="B619" s="26"/>
      <c r="P619" s="26"/>
      <c r="Q619" s="26"/>
      <c r="R619" s="5" t="str">
        <f t="shared" si="1"/>
        <v/>
      </c>
    </row>
    <row r="620" ht="15.75" customHeight="1">
      <c r="B620" s="26"/>
      <c r="P620" s="26"/>
      <c r="Q620" s="26"/>
      <c r="R620" s="5" t="str">
        <f t="shared" si="1"/>
        <v/>
      </c>
    </row>
    <row r="621" ht="15.75" customHeight="1">
      <c r="B621" s="26"/>
      <c r="P621" s="26"/>
      <c r="Q621" s="26"/>
      <c r="R621" s="5" t="str">
        <f t="shared" si="1"/>
        <v/>
      </c>
    </row>
    <row r="622" ht="15.75" customHeight="1">
      <c r="B622" s="26"/>
      <c r="P622" s="26"/>
      <c r="Q622" s="26"/>
      <c r="R622" s="5" t="str">
        <f t="shared" si="1"/>
        <v/>
      </c>
    </row>
    <row r="623" ht="15.75" customHeight="1">
      <c r="B623" s="26"/>
      <c r="P623" s="26"/>
      <c r="Q623" s="26"/>
      <c r="R623" s="5" t="str">
        <f t="shared" si="1"/>
        <v/>
      </c>
    </row>
    <row r="624" ht="15.75" customHeight="1">
      <c r="B624" s="26"/>
      <c r="P624" s="26"/>
      <c r="Q624" s="26"/>
      <c r="R624" s="5" t="str">
        <f t="shared" si="1"/>
        <v/>
      </c>
    </row>
    <row r="625" ht="15.75" customHeight="1">
      <c r="B625" s="26"/>
      <c r="P625" s="26"/>
      <c r="Q625" s="26"/>
      <c r="R625" s="5" t="str">
        <f t="shared" si="1"/>
        <v/>
      </c>
    </row>
    <row r="626" ht="15.75" customHeight="1">
      <c r="B626" s="26"/>
      <c r="P626" s="26"/>
      <c r="Q626" s="26"/>
      <c r="R626" s="5" t="str">
        <f t="shared" si="1"/>
        <v/>
      </c>
    </row>
    <row r="627" ht="15.75" customHeight="1">
      <c r="B627" s="26"/>
      <c r="P627" s="26"/>
      <c r="Q627" s="26"/>
      <c r="R627" s="5" t="str">
        <f t="shared" si="1"/>
        <v/>
      </c>
    </row>
    <row r="628" ht="15.75" customHeight="1">
      <c r="B628" s="26"/>
      <c r="P628" s="26"/>
      <c r="Q628" s="26"/>
      <c r="R628" s="5" t="str">
        <f t="shared" si="1"/>
        <v/>
      </c>
    </row>
    <row r="629" ht="15.75" customHeight="1">
      <c r="B629" s="26"/>
      <c r="P629" s="26"/>
      <c r="Q629" s="26"/>
      <c r="R629" s="5" t="str">
        <f t="shared" si="1"/>
        <v/>
      </c>
    </row>
    <row r="630" ht="15.75" customHeight="1">
      <c r="B630" s="26"/>
      <c r="P630" s="26"/>
      <c r="Q630" s="26"/>
      <c r="R630" s="5" t="str">
        <f t="shared" si="1"/>
        <v/>
      </c>
    </row>
    <row r="631" ht="15.75" customHeight="1">
      <c r="B631" s="26"/>
      <c r="P631" s="26"/>
      <c r="Q631" s="26"/>
      <c r="R631" s="5" t="str">
        <f t="shared" si="1"/>
        <v/>
      </c>
    </row>
    <row r="632" ht="15.75" customHeight="1">
      <c r="B632" s="26"/>
      <c r="P632" s="26"/>
      <c r="Q632" s="26"/>
      <c r="R632" s="5" t="str">
        <f t="shared" si="1"/>
        <v/>
      </c>
    </row>
    <row r="633" ht="15.75" customHeight="1">
      <c r="B633" s="26"/>
      <c r="P633" s="26"/>
      <c r="Q633" s="26"/>
      <c r="R633" s="5" t="str">
        <f t="shared" si="1"/>
        <v/>
      </c>
    </row>
    <row r="634" ht="15.75" customHeight="1">
      <c r="B634" s="26"/>
      <c r="P634" s="26"/>
      <c r="Q634" s="26"/>
      <c r="R634" s="5" t="str">
        <f t="shared" si="1"/>
        <v/>
      </c>
    </row>
    <row r="635" ht="15.75" customHeight="1">
      <c r="B635" s="26"/>
      <c r="P635" s="26"/>
      <c r="Q635" s="26"/>
      <c r="R635" s="5" t="str">
        <f t="shared" si="1"/>
        <v/>
      </c>
    </row>
    <row r="636" ht="15.75" customHeight="1">
      <c r="B636" s="26"/>
      <c r="P636" s="26"/>
      <c r="Q636" s="26"/>
      <c r="R636" s="5" t="str">
        <f t="shared" si="1"/>
        <v/>
      </c>
    </row>
    <row r="637" ht="15.75" customHeight="1">
      <c r="B637" s="26"/>
      <c r="P637" s="26"/>
      <c r="Q637" s="26"/>
      <c r="R637" s="5" t="str">
        <f t="shared" si="1"/>
        <v/>
      </c>
    </row>
    <row r="638" ht="15.75" customHeight="1">
      <c r="B638" s="26"/>
      <c r="P638" s="26"/>
      <c r="Q638" s="26"/>
      <c r="R638" s="5" t="str">
        <f t="shared" si="1"/>
        <v/>
      </c>
    </row>
    <row r="639" ht="15.75" customHeight="1">
      <c r="B639" s="26"/>
      <c r="P639" s="26"/>
      <c r="Q639" s="26"/>
      <c r="R639" s="5" t="str">
        <f t="shared" si="1"/>
        <v/>
      </c>
    </row>
    <row r="640" ht="15.75" customHeight="1">
      <c r="B640" s="26"/>
      <c r="P640" s="26"/>
      <c r="Q640" s="26"/>
      <c r="R640" s="5" t="str">
        <f t="shared" si="1"/>
        <v/>
      </c>
    </row>
    <row r="641" ht="15.75" customHeight="1">
      <c r="B641" s="26"/>
      <c r="P641" s="26"/>
      <c r="Q641" s="26"/>
      <c r="R641" s="5" t="str">
        <f t="shared" si="1"/>
        <v/>
      </c>
    </row>
    <row r="642" ht="15.75" customHeight="1">
      <c r="B642" s="26"/>
      <c r="P642" s="26"/>
      <c r="Q642" s="26"/>
      <c r="R642" s="5" t="str">
        <f t="shared" si="1"/>
        <v/>
      </c>
    </row>
    <row r="643" ht="15.75" customHeight="1">
      <c r="B643" s="26"/>
      <c r="P643" s="26"/>
      <c r="Q643" s="26"/>
      <c r="R643" s="5" t="str">
        <f t="shared" si="1"/>
        <v/>
      </c>
    </row>
    <row r="644" ht="15.75" customHeight="1">
      <c r="B644" s="26"/>
      <c r="P644" s="26"/>
      <c r="Q644" s="26"/>
      <c r="R644" s="5" t="str">
        <f t="shared" si="1"/>
        <v/>
      </c>
    </row>
    <row r="645" ht="15.75" customHeight="1">
      <c r="B645" s="26"/>
      <c r="P645" s="26"/>
      <c r="Q645" s="26"/>
      <c r="R645" s="5" t="str">
        <f t="shared" si="1"/>
        <v/>
      </c>
    </row>
    <row r="646" ht="15.75" customHeight="1">
      <c r="B646" s="26"/>
      <c r="P646" s="26"/>
      <c r="Q646" s="26"/>
      <c r="R646" s="5" t="str">
        <f t="shared" si="1"/>
        <v/>
      </c>
    </row>
    <row r="647" ht="15.75" customHeight="1">
      <c r="B647" s="26"/>
      <c r="P647" s="26"/>
      <c r="Q647" s="26"/>
      <c r="R647" s="5" t="str">
        <f t="shared" si="1"/>
        <v/>
      </c>
    </row>
    <row r="648" ht="15.75" customHeight="1">
      <c r="B648" s="26"/>
      <c r="P648" s="26"/>
      <c r="Q648" s="26"/>
      <c r="R648" s="5" t="str">
        <f t="shared" si="1"/>
        <v/>
      </c>
    </row>
    <row r="649" ht="15.75" customHeight="1">
      <c r="B649" s="26"/>
      <c r="P649" s="26"/>
      <c r="Q649" s="26"/>
      <c r="R649" s="5" t="str">
        <f t="shared" si="1"/>
        <v/>
      </c>
    </row>
    <row r="650" ht="15.75" customHeight="1">
      <c r="B650" s="26"/>
      <c r="P650" s="26"/>
      <c r="Q650" s="26"/>
      <c r="R650" s="5" t="str">
        <f t="shared" si="1"/>
        <v/>
      </c>
    </row>
    <row r="651" ht="15.75" customHeight="1">
      <c r="B651" s="26"/>
      <c r="P651" s="26"/>
      <c r="Q651" s="26"/>
      <c r="R651" s="5" t="str">
        <f t="shared" si="1"/>
        <v/>
      </c>
    </row>
    <row r="652" ht="15.75" customHeight="1">
      <c r="B652" s="26"/>
      <c r="P652" s="26"/>
      <c r="Q652" s="26"/>
      <c r="R652" s="5" t="str">
        <f t="shared" si="1"/>
        <v/>
      </c>
    </row>
    <row r="653" ht="15.75" customHeight="1">
      <c r="B653" s="26"/>
      <c r="P653" s="26"/>
      <c r="Q653" s="26"/>
      <c r="R653" s="5" t="str">
        <f t="shared" si="1"/>
        <v/>
      </c>
    </row>
    <row r="654" ht="15.75" customHeight="1">
      <c r="B654" s="26"/>
      <c r="P654" s="26"/>
      <c r="Q654" s="26"/>
      <c r="R654" s="5" t="str">
        <f t="shared" si="1"/>
        <v/>
      </c>
    </row>
    <row r="655" ht="15.75" customHeight="1">
      <c r="B655" s="26"/>
      <c r="P655" s="26"/>
      <c r="Q655" s="26"/>
      <c r="R655" s="5" t="str">
        <f t="shared" si="1"/>
        <v/>
      </c>
    </row>
    <row r="656" ht="15.75" customHeight="1">
      <c r="B656" s="26"/>
      <c r="P656" s="26"/>
      <c r="Q656" s="26"/>
      <c r="R656" s="5" t="str">
        <f t="shared" si="1"/>
        <v/>
      </c>
    </row>
    <row r="657" ht="15.75" customHeight="1">
      <c r="B657" s="26"/>
      <c r="P657" s="26"/>
      <c r="Q657" s="26"/>
      <c r="R657" s="5" t="str">
        <f t="shared" si="1"/>
        <v/>
      </c>
    </row>
    <row r="658" ht="15.75" customHeight="1">
      <c r="B658" s="26"/>
      <c r="P658" s="26"/>
      <c r="Q658" s="26"/>
      <c r="R658" s="5" t="str">
        <f t="shared" si="1"/>
        <v/>
      </c>
    </row>
    <row r="659" ht="15.75" customHeight="1">
      <c r="B659" s="26"/>
      <c r="P659" s="26"/>
      <c r="Q659" s="26"/>
      <c r="R659" s="5" t="str">
        <f t="shared" si="1"/>
        <v/>
      </c>
    </row>
    <row r="660" ht="15.75" customHeight="1">
      <c r="B660" s="26"/>
      <c r="P660" s="26"/>
      <c r="Q660" s="26"/>
      <c r="R660" s="5" t="str">
        <f t="shared" si="1"/>
        <v/>
      </c>
    </row>
    <row r="661" ht="15.75" customHeight="1">
      <c r="B661" s="26"/>
      <c r="P661" s="26"/>
      <c r="Q661" s="26"/>
      <c r="R661" s="5" t="str">
        <f t="shared" si="1"/>
        <v/>
      </c>
    </row>
    <row r="662" ht="15.75" customHeight="1">
      <c r="B662" s="26"/>
      <c r="P662" s="26"/>
      <c r="Q662" s="26"/>
      <c r="R662" s="5" t="str">
        <f t="shared" si="1"/>
        <v/>
      </c>
    </row>
    <row r="663" ht="15.75" customHeight="1">
      <c r="B663" s="26"/>
      <c r="P663" s="26"/>
      <c r="Q663" s="26"/>
      <c r="R663" s="5" t="str">
        <f t="shared" si="1"/>
        <v/>
      </c>
    </row>
    <row r="664" ht="15.75" customHeight="1">
      <c r="B664" s="26"/>
      <c r="P664" s="26"/>
      <c r="Q664" s="26"/>
      <c r="R664" s="5" t="str">
        <f t="shared" si="1"/>
        <v/>
      </c>
    </row>
    <row r="665" ht="15.75" customHeight="1">
      <c r="B665" s="26"/>
      <c r="P665" s="26"/>
      <c r="Q665" s="26"/>
      <c r="R665" s="5" t="str">
        <f t="shared" si="1"/>
        <v/>
      </c>
    </row>
    <row r="666" ht="15.75" customHeight="1">
      <c r="B666" s="26"/>
      <c r="P666" s="26"/>
      <c r="Q666" s="26"/>
      <c r="R666" s="5" t="str">
        <f t="shared" si="1"/>
        <v/>
      </c>
    </row>
    <row r="667" ht="15.75" customHeight="1">
      <c r="B667" s="26"/>
      <c r="P667" s="26"/>
      <c r="Q667" s="26"/>
      <c r="R667" s="5" t="str">
        <f t="shared" si="1"/>
        <v/>
      </c>
    </row>
    <row r="668" ht="15.75" customHeight="1">
      <c r="B668" s="26"/>
      <c r="P668" s="26"/>
      <c r="Q668" s="26"/>
      <c r="R668" s="5" t="str">
        <f t="shared" si="1"/>
        <v/>
      </c>
    </row>
    <row r="669" ht="15.75" customHeight="1">
      <c r="B669" s="26"/>
      <c r="P669" s="26"/>
      <c r="Q669" s="26"/>
      <c r="R669" s="5" t="str">
        <f t="shared" si="1"/>
        <v/>
      </c>
    </row>
    <row r="670" ht="15.75" customHeight="1">
      <c r="B670" s="26"/>
      <c r="P670" s="26"/>
      <c r="Q670" s="26"/>
      <c r="R670" s="5" t="str">
        <f t="shared" si="1"/>
        <v/>
      </c>
    </row>
    <row r="671" ht="15.75" customHeight="1">
      <c r="B671" s="26"/>
      <c r="P671" s="26"/>
      <c r="Q671" s="26"/>
      <c r="R671" s="5" t="str">
        <f t="shared" si="1"/>
        <v/>
      </c>
    </row>
    <row r="672" ht="15.75" customHeight="1">
      <c r="B672" s="26"/>
      <c r="P672" s="26"/>
      <c r="Q672" s="26"/>
      <c r="R672" s="5" t="str">
        <f t="shared" si="1"/>
        <v/>
      </c>
    </row>
    <row r="673" ht="15.75" customHeight="1">
      <c r="B673" s="26"/>
      <c r="P673" s="26"/>
      <c r="Q673" s="26"/>
      <c r="R673" s="5" t="str">
        <f t="shared" si="1"/>
        <v/>
      </c>
    </row>
    <row r="674" ht="15.75" customHeight="1">
      <c r="B674" s="26"/>
      <c r="P674" s="26"/>
      <c r="Q674" s="26"/>
      <c r="R674" s="5" t="str">
        <f t="shared" si="1"/>
        <v/>
      </c>
    </row>
    <row r="675" ht="15.75" customHeight="1">
      <c r="B675" s="26"/>
      <c r="P675" s="26"/>
      <c r="Q675" s="26"/>
      <c r="R675" s="5" t="str">
        <f t="shared" si="1"/>
        <v/>
      </c>
    </row>
    <row r="676" ht="15.75" customHeight="1">
      <c r="B676" s="26"/>
      <c r="P676" s="26"/>
      <c r="Q676" s="26"/>
      <c r="R676" s="5" t="str">
        <f t="shared" si="1"/>
        <v/>
      </c>
    </row>
    <row r="677" ht="15.75" customHeight="1">
      <c r="B677" s="26"/>
      <c r="P677" s="26"/>
      <c r="Q677" s="26"/>
      <c r="R677" s="5" t="str">
        <f t="shared" si="1"/>
        <v/>
      </c>
    </row>
    <row r="678" ht="15.75" customHeight="1">
      <c r="B678" s="26"/>
      <c r="P678" s="26"/>
      <c r="Q678" s="26"/>
      <c r="R678" s="5" t="str">
        <f t="shared" si="1"/>
        <v/>
      </c>
    </row>
    <row r="679" ht="15.75" customHeight="1">
      <c r="B679" s="26"/>
      <c r="P679" s="26"/>
      <c r="Q679" s="26"/>
      <c r="R679" s="5" t="str">
        <f t="shared" si="1"/>
        <v/>
      </c>
    </row>
    <row r="680" ht="15.75" customHeight="1">
      <c r="B680" s="26"/>
      <c r="P680" s="26"/>
      <c r="Q680" s="26"/>
      <c r="R680" s="5" t="str">
        <f t="shared" si="1"/>
        <v/>
      </c>
    </row>
    <row r="681" ht="15.75" customHeight="1">
      <c r="B681" s="26"/>
      <c r="P681" s="26"/>
      <c r="Q681" s="26"/>
      <c r="R681" s="5" t="str">
        <f t="shared" si="1"/>
        <v/>
      </c>
    </row>
    <row r="682" ht="15.75" customHeight="1">
      <c r="B682" s="26"/>
      <c r="P682" s="26"/>
      <c r="Q682" s="26"/>
      <c r="R682" s="5" t="str">
        <f t="shared" si="1"/>
        <v/>
      </c>
    </row>
    <row r="683" ht="15.75" customHeight="1">
      <c r="B683" s="26"/>
      <c r="P683" s="26"/>
      <c r="Q683" s="26"/>
      <c r="R683" s="5" t="str">
        <f t="shared" si="1"/>
        <v/>
      </c>
    </row>
    <row r="684" ht="15.75" customHeight="1">
      <c r="B684" s="26"/>
      <c r="P684" s="26"/>
      <c r="Q684" s="26"/>
      <c r="R684" s="5" t="str">
        <f t="shared" si="1"/>
        <v/>
      </c>
    </row>
    <row r="685" ht="15.75" customHeight="1">
      <c r="B685" s="26"/>
      <c r="P685" s="26"/>
      <c r="Q685" s="26"/>
      <c r="R685" s="5" t="str">
        <f t="shared" si="1"/>
        <v/>
      </c>
    </row>
    <row r="686" ht="15.75" customHeight="1">
      <c r="B686" s="26"/>
      <c r="P686" s="26"/>
      <c r="Q686" s="26"/>
      <c r="R686" s="5" t="str">
        <f t="shared" si="1"/>
        <v/>
      </c>
    </row>
    <row r="687" ht="15.75" customHeight="1">
      <c r="B687" s="26"/>
      <c r="P687" s="26"/>
      <c r="Q687" s="26"/>
      <c r="R687" s="5" t="str">
        <f t="shared" si="1"/>
        <v/>
      </c>
    </row>
    <row r="688" ht="15.75" customHeight="1">
      <c r="B688" s="26"/>
      <c r="P688" s="26"/>
      <c r="Q688" s="26"/>
      <c r="R688" s="5" t="str">
        <f t="shared" si="1"/>
        <v/>
      </c>
    </row>
    <row r="689" ht="15.75" customHeight="1">
      <c r="B689" s="26"/>
      <c r="P689" s="26"/>
      <c r="Q689" s="26"/>
      <c r="R689" s="5" t="str">
        <f t="shared" si="1"/>
        <v/>
      </c>
    </row>
    <row r="690" ht="15.75" customHeight="1">
      <c r="B690" s="26"/>
      <c r="P690" s="26"/>
      <c r="Q690" s="26"/>
      <c r="R690" s="5" t="str">
        <f t="shared" si="1"/>
        <v/>
      </c>
    </row>
    <row r="691" ht="15.75" customHeight="1">
      <c r="B691" s="26"/>
      <c r="P691" s="26"/>
      <c r="Q691" s="26"/>
      <c r="R691" s="5" t="str">
        <f t="shared" si="1"/>
        <v/>
      </c>
    </row>
    <row r="692" ht="15.75" customHeight="1">
      <c r="B692" s="26"/>
      <c r="P692" s="26"/>
      <c r="Q692" s="26"/>
      <c r="R692" s="5" t="str">
        <f t="shared" si="1"/>
        <v/>
      </c>
    </row>
    <row r="693" ht="15.75" customHeight="1">
      <c r="B693" s="26"/>
      <c r="P693" s="26"/>
      <c r="Q693" s="26"/>
      <c r="R693" s="5" t="str">
        <f t="shared" si="1"/>
        <v/>
      </c>
    </row>
    <row r="694" ht="15.75" customHeight="1">
      <c r="B694" s="26"/>
      <c r="P694" s="26"/>
      <c r="Q694" s="26"/>
      <c r="R694" s="5" t="str">
        <f t="shared" si="1"/>
        <v/>
      </c>
    </row>
    <row r="695" ht="15.75" customHeight="1">
      <c r="B695" s="26"/>
      <c r="P695" s="26"/>
      <c r="Q695" s="26"/>
      <c r="R695" s="5" t="str">
        <f t="shared" si="1"/>
        <v/>
      </c>
    </row>
    <row r="696" ht="15.75" customHeight="1">
      <c r="B696" s="26"/>
      <c r="P696" s="26"/>
      <c r="Q696" s="26"/>
      <c r="R696" s="5" t="str">
        <f t="shared" si="1"/>
        <v/>
      </c>
    </row>
    <row r="697" ht="15.75" customHeight="1">
      <c r="B697" s="26"/>
      <c r="P697" s="26"/>
      <c r="Q697" s="26"/>
      <c r="R697" s="5" t="str">
        <f t="shared" si="1"/>
        <v/>
      </c>
    </row>
    <row r="698" ht="15.75" customHeight="1">
      <c r="B698" s="26"/>
      <c r="P698" s="26"/>
      <c r="Q698" s="26"/>
      <c r="R698" s="5" t="str">
        <f t="shared" si="1"/>
        <v/>
      </c>
    </row>
    <row r="699" ht="15.75" customHeight="1">
      <c r="B699" s="26"/>
      <c r="P699" s="26"/>
      <c r="Q699" s="26"/>
      <c r="R699" s="5" t="str">
        <f t="shared" si="1"/>
        <v/>
      </c>
    </row>
    <row r="700" ht="15.75" customHeight="1">
      <c r="B700" s="26"/>
      <c r="P700" s="26"/>
      <c r="Q700" s="26"/>
      <c r="R700" s="5" t="str">
        <f t="shared" si="1"/>
        <v/>
      </c>
    </row>
    <row r="701" ht="15.75" customHeight="1">
      <c r="B701" s="26"/>
      <c r="P701" s="26"/>
      <c r="Q701" s="26"/>
      <c r="R701" s="5" t="str">
        <f t="shared" si="1"/>
        <v/>
      </c>
    </row>
    <row r="702" ht="15.75" customHeight="1">
      <c r="B702" s="26"/>
      <c r="P702" s="26"/>
      <c r="Q702" s="26"/>
      <c r="R702" s="5" t="str">
        <f t="shared" si="1"/>
        <v/>
      </c>
    </row>
    <row r="703" ht="15.75" customHeight="1">
      <c r="B703" s="26"/>
      <c r="P703" s="26"/>
      <c r="Q703" s="26"/>
      <c r="R703" s="5" t="str">
        <f t="shared" si="1"/>
        <v/>
      </c>
    </row>
    <row r="704" ht="15.75" customHeight="1">
      <c r="B704" s="26"/>
      <c r="P704" s="26"/>
      <c r="Q704" s="26"/>
      <c r="R704" s="5" t="str">
        <f t="shared" si="1"/>
        <v/>
      </c>
    </row>
    <row r="705" ht="15.75" customHeight="1">
      <c r="B705" s="26"/>
      <c r="P705" s="26"/>
      <c r="Q705" s="26"/>
      <c r="R705" s="5" t="str">
        <f t="shared" si="1"/>
        <v/>
      </c>
    </row>
    <row r="706" ht="15.75" customHeight="1">
      <c r="B706" s="26"/>
      <c r="P706" s="26"/>
      <c r="Q706" s="26"/>
      <c r="R706" s="5" t="str">
        <f t="shared" si="1"/>
        <v/>
      </c>
    </row>
    <row r="707" ht="15.75" customHeight="1">
      <c r="B707" s="26"/>
      <c r="P707" s="26"/>
      <c r="Q707" s="26"/>
      <c r="R707" s="5" t="str">
        <f t="shared" si="1"/>
        <v/>
      </c>
    </row>
    <row r="708" ht="15.75" customHeight="1">
      <c r="B708" s="26"/>
      <c r="P708" s="26"/>
      <c r="Q708" s="26"/>
      <c r="R708" s="5" t="str">
        <f t="shared" si="1"/>
        <v/>
      </c>
    </row>
    <row r="709" ht="15.75" customHeight="1">
      <c r="B709" s="26"/>
      <c r="P709" s="26"/>
      <c r="Q709" s="26"/>
      <c r="R709" s="5" t="str">
        <f t="shared" si="1"/>
        <v/>
      </c>
    </row>
    <row r="710" ht="15.75" customHeight="1">
      <c r="B710" s="26"/>
      <c r="P710" s="26"/>
      <c r="Q710" s="26"/>
      <c r="R710" s="5" t="str">
        <f t="shared" si="1"/>
        <v/>
      </c>
    </row>
    <row r="711" ht="15.75" customHeight="1">
      <c r="B711" s="26"/>
      <c r="P711" s="26"/>
      <c r="Q711" s="26"/>
      <c r="R711" s="5" t="str">
        <f t="shared" si="1"/>
        <v/>
      </c>
    </row>
    <row r="712" ht="15.75" customHeight="1">
      <c r="B712" s="26"/>
      <c r="P712" s="26"/>
      <c r="Q712" s="26"/>
      <c r="R712" s="5" t="str">
        <f t="shared" si="1"/>
        <v/>
      </c>
    </row>
    <row r="713" ht="15.75" customHeight="1">
      <c r="B713" s="26"/>
      <c r="P713" s="26"/>
      <c r="Q713" s="26"/>
      <c r="R713" s="5" t="str">
        <f t="shared" si="1"/>
        <v/>
      </c>
    </row>
    <row r="714" ht="15.75" customHeight="1">
      <c r="B714" s="26"/>
      <c r="P714" s="26"/>
      <c r="Q714" s="26"/>
      <c r="R714" s="5" t="str">
        <f t="shared" si="1"/>
        <v/>
      </c>
    </row>
    <row r="715" ht="15.75" customHeight="1">
      <c r="B715" s="26"/>
      <c r="P715" s="26"/>
      <c r="Q715" s="26"/>
      <c r="R715" s="5" t="str">
        <f t="shared" si="1"/>
        <v/>
      </c>
    </row>
    <row r="716" ht="15.75" customHeight="1">
      <c r="B716" s="26"/>
      <c r="P716" s="26"/>
      <c r="Q716" s="26"/>
      <c r="R716" s="5" t="str">
        <f t="shared" si="1"/>
        <v/>
      </c>
    </row>
    <row r="717" ht="15.75" customHeight="1">
      <c r="B717" s="26"/>
      <c r="P717" s="26"/>
      <c r="Q717" s="26"/>
      <c r="R717" s="5" t="str">
        <f t="shared" si="1"/>
        <v/>
      </c>
    </row>
    <row r="718" ht="15.75" customHeight="1">
      <c r="B718" s="26"/>
      <c r="P718" s="26"/>
      <c r="Q718" s="26"/>
      <c r="R718" s="5" t="str">
        <f t="shared" si="1"/>
        <v/>
      </c>
    </row>
    <row r="719" ht="15.75" customHeight="1">
      <c r="B719" s="26"/>
      <c r="P719" s="26"/>
      <c r="Q719" s="26"/>
      <c r="R719" s="5" t="str">
        <f t="shared" si="1"/>
        <v/>
      </c>
    </row>
    <row r="720" ht="15.75" customHeight="1">
      <c r="B720" s="26"/>
      <c r="P720" s="26"/>
      <c r="Q720" s="26"/>
      <c r="R720" s="5" t="str">
        <f t="shared" si="1"/>
        <v/>
      </c>
    </row>
    <row r="721" ht="15.75" customHeight="1">
      <c r="B721" s="26"/>
      <c r="P721" s="26"/>
      <c r="Q721" s="26"/>
      <c r="R721" s="5" t="str">
        <f t="shared" si="1"/>
        <v/>
      </c>
    </row>
    <row r="722" ht="15.75" customHeight="1">
      <c r="B722" s="26"/>
      <c r="P722" s="26"/>
      <c r="Q722" s="26"/>
      <c r="R722" s="5" t="str">
        <f t="shared" si="1"/>
        <v/>
      </c>
    </row>
    <row r="723" ht="15.75" customHeight="1">
      <c r="B723" s="26"/>
      <c r="P723" s="26"/>
      <c r="Q723" s="26"/>
      <c r="R723" s="5" t="str">
        <f t="shared" si="1"/>
        <v/>
      </c>
    </row>
    <row r="724" ht="15.75" customHeight="1">
      <c r="B724" s="26"/>
      <c r="P724" s="26"/>
      <c r="Q724" s="26"/>
      <c r="R724" s="5" t="str">
        <f t="shared" si="1"/>
        <v/>
      </c>
    </row>
    <row r="725" ht="15.75" customHeight="1">
      <c r="B725" s="26"/>
      <c r="P725" s="26"/>
      <c r="Q725" s="26"/>
      <c r="R725" s="5" t="str">
        <f t="shared" si="1"/>
        <v/>
      </c>
    </row>
    <row r="726" ht="15.75" customHeight="1">
      <c r="B726" s="26"/>
      <c r="P726" s="26"/>
      <c r="Q726" s="26"/>
      <c r="R726" s="5" t="str">
        <f t="shared" si="1"/>
        <v/>
      </c>
    </row>
    <row r="727" ht="15.75" customHeight="1">
      <c r="B727" s="26"/>
      <c r="P727" s="26"/>
      <c r="Q727" s="26"/>
      <c r="R727" s="5" t="str">
        <f t="shared" si="1"/>
        <v/>
      </c>
    </row>
    <row r="728" ht="15.75" customHeight="1">
      <c r="B728" s="26"/>
      <c r="P728" s="26"/>
      <c r="Q728" s="26"/>
      <c r="R728" s="5" t="str">
        <f t="shared" si="1"/>
        <v/>
      </c>
    </row>
    <row r="729" ht="15.75" customHeight="1">
      <c r="B729" s="26"/>
      <c r="P729" s="26"/>
      <c r="Q729" s="26"/>
      <c r="R729" s="5" t="str">
        <f t="shared" si="1"/>
        <v/>
      </c>
    </row>
    <row r="730" ht="15.75" customHeight="1">
      <c r="B730" s="26"/>
      <c r="P730" s="26"/>
      <c r="Q730" s="26"/>
      <c r="R730" s="5" t="str">
        <f t="shared" si="1"/>
        <v/>
      </c>
    </row>
    <row r="731" ht="15.75" customHeight="1">
      <c r="B731" s="26"/>
      <c r="P731" s="26"/>
      <c r="Q731" s="26"/>
      <c r="R731" s="5" t="str">
        <f t="shared" si="1"/>
        <v/>
      </c>
    </row>
    <row r="732" ht="15.75" customHeight="1">
      <c r="B732" s="26"/>
      <c r="P732" s="26"/>
      <c r="Q732" s="26"/>
      <c r="R732" s="5" t="str">
        <f t="shared" si="1"/>
        <v/>
      </c>
    </row>
    <row r="733" ht="15.75" customHeight="1">
      <c r="B733" s="26"/>
      <c r="P733" s="26"/>
      <c r="Q733" s="26"/>
      <c r="R733" s="5" t="str">
        <f t="shared" si="1"/>
        <v/>
      </c>
    </row>
    <row r="734" ht="15.75" customHeight="1">
      <c r="B734" s="26"/>
      <c r="P734" s="26"/>
      <c r="Q734" s="26"/>
      <c r="R734" s="5" t="str">
        <f t="shared" si="1"/>
        <v/>
      </c>
    </row>
    <row r="735" ht="15.75" customHeight="1">
      <c r="B735" s="26"/>
      <c r="P735" s="26"/>
      <c r="Q735" s="26"/>
      <c r="R735" s="5" t="str">
        <f t="shared" si="1"/>
        <v/>
      </c>
    </row>
    <row r="736" ht="15.75" customHeight="1">
      <c r="B736" s="26"/>
      <c r="P736" s="26"/>
      <c r="Q736" s="26"/>
      <c r="R736" s="5" t="str">
        <f t="shared" si="1"/>
        <v/>
      </c>
    </row>
    <row r="737" ht="15.75" customHeight="1">
      <c r="B737" s="26"/>
      <c r="P737" s="26"/>
      <c r="Q737" s="26"/>
      <c r="R737" s="5" t="str">
        <f t="shared" si="1"/>
        <v/>
      </c>
    </row>
    <row r="738" ht="15.75" customHeight="1">
      <c r="B738" s="26"/>
      <c r="P738" s="26"/>
      <c r="Q738" s="26"/>
      <c r="R738" s="5" t="str">
        <f t="shared" si="1"/>
        <v/>
      </c>
    </row>
    <row r="739" ht="15.75" customHeight="1">
      <c r="B739" s="26"/>
      <c r="P739" s="26"/>
      <c r="Q739" s="26"/>
      <c r="R739" s="5" t="str">
        <f t="shared" si="1"/>
        <v/>
      </c>
    </row>
    <row r="740" ht="15.75" customHeight="1">
      <c r="B740" s="26"/>
      <c r="P740" s="26"/>
      <c r="Q740" s="26"/>
      <c r="R740" s="5" t="str">
        <f t="shared" si="1"/>
        <v/>
      </c>
    </row>
    <row r="741" ht="15.75" customHeight="1">
      <c r="B741" s="26"/>
      <c r="P741" s="26"/>
      <c r="Q741" s="26"/>
      <c r="R741" s="5" t="str">
        <f t="shared" si="1"/>
        <v/>
      </c>
    </row>
    <row r="742" ht="15.75" customHeight="1">
      <c r="B742" s="26"/>
      <c r="P742" s="26"/>
      <c r="Q742" s="26"/>
      <c r="R742" s="5" t="str">
        <f t="shared" si="1"/>
        <v/>
      </c>
    </row>
    <row r="743" ht="15.75" customHeight="1">
      <c r="B743" s="26"/>
      <c r="P743" s="26"/>
      <c r="Q743" s="26"/>
      <c r="R743" s="5" t="str">
        <f t="shared" si="1"/>
        <v/>
      </c>
    </row>
    <row r="744" ht="15.75" customHeight="1">
      <c r="B744" s="26"/>
      <c r="P744" s="26"/>
      <c r="Q744" s="26"/>
      <c r="R744" s="5" t="str">
        <f t="shared" si="1"/>
        <v/>
      </c>
    </row>
    <row r="745" ht="15.75" customHeight="1">
      <c r="B745" s="26"/>
      <c r="P745" s="26"/>
      <c r="Q745" s="26"/>
      <c r="R745" s="5" t="str">
        <f t="shared" si="1"/>
        <v/>
      </c>
    </row>
    <row r="746" ht="15.75" customHeight="1">
      <c r="B746" s="26"/>
      <c r="P746" s="26"/>
      <c r="Q746" s="26"/>
      <c r="R746" s="5" t="str">
        <f t="shared" si="1"/>
        <v/>
      </c>
    </row>
    <row r="747" ht="15.75" customHeight="1">
      <c r="B747" s="26"/>
      <c r="P747" s="26"/>
      <c r="Q747" s="26"/>
      <c r="R747" s="5" t="str">
        <f t="shared" si="1"/>
        <v/>
      </c>
    </row>
    <row r="748" ht="15.75" customHeight="1">
      <c r="B748" s="26"/>
      <c r="P748" s="26"/>
      <c r="Q748" s="26"/>
      <c r="R748" s="5" t="str">
        <f t="shared" si="1"/>
        <v/>
      </c>
    </row>
    <row r="749" ht="15.75" customHeight="1">
      <c r="B749" s="26"/>
      <c r="P749" s="26"/>
      <c r="Q749" s="26"/>
      <c r="R749" s="5" t="str">
        <f t="shared" si="1"/>
        <v/>
      </c>
    </row>
    <row r="750" ht="15.75" customHeight="1">
      <c r="B750" s="26"/>
      <c r="P750" s="26"/>
      <c r="Q750" s="26"/>
      <c r="R750" s="5" t="str">
        <f t="shared" si="1"/>
        <v/>
      </c>
    </row>
    <row r="751" ht="15.75" customHeight="1">
      <c r="B751" s="26"/>
      <c r="P751" s="26"/>
      <c r="Q751" s="26"/>
      <c r="R751" s="5" t="str">
        <f t="shared" si="1"/>
        <v/>
      </c>
    </row>
    <row r="752" ht="15.75" customHeight="1">
      <c r="B752" s="26"/>
      <c r="P752" s="26"/>
      <c r="Q752" s="26"/>
      <c r="R752" s="5" t="str">
        <f t="shared" si="1"/>
        <v/>
      </c>
    </row>
    <row r="753" ht="15.75" customHeight="1">
      <c r="B753" s="26"/>
      <c r="P753" s="26"/>
      <c r="Q753" s="26"/>
      <c r="R753" s="5" t="str">
        <f t="shared" si="1"/>
        <v/>
      </c>
    </row>
    <row r="754" ht="15.75" customHeight="1">
      <c r="B754" s="26"/>
      <c r="P754" s="26"/>
      <c r="Q754" s="26"/>
      <c r="R754" s="5" t="str">
        <f t="shared" si="1"/>
        <v/>
      </c>
    </row>
    <row r="755" ht="15.75" customHeight="1">
      <c r="B755" s="26"/>
      <c r="P755" s="26"/>
      <c r="Q755" s="26"/>
      <c r="R755" s="5" t="str">
        <f t="shared" si="1"/>
        <v/>
      </c>
    </row>
    <row r="756" ht="15.75" customHeight="1">
      <c r="B756" s="26"/>
      <c r="P756" s="26"/>
      <c r="Q756" s="26"/>
      <c r="R756" s="5" t="str">
        <f t="shared" si="1"/>
        <v/>
      </c>
    </row>
    <row r="757" ht="15.75" customHeight="1">
      <c r="B757" s="26"/>
      <c r="P757" s="26"/>
      <c r="Q757" s="26"/>
      <c r="R757" s="5" t="str">
        <f t="shared" si="1"/>
        <v/>
      </c>
    </row>
    <row r="758" ht="15.75" customHeight="1">
      <c r="B758" s="26"/>
      <c r="P758" s="26"/>
      <c r="Q758" s="26"/>
      <c r="R758" s="5" t="str">
        <f t="shared" si="1"/>
        <v/>
      </c>
    </row>
    <row r="759" ht="15.75" customHeight="1">
      <c r="B759" s="26"/>
      <c r="P759" s="26"/>
      <c r="Q759" s="26"/>
      <c r="R759" s="5" t="str">
        <f t="shared" si="1"/>
        <v/>
      </c>
    </row>
    <row r="760" ht="15.75" customHeight="1">
      <c r="B760" s="26"/>
      <c r="P760" s="26"/>
      <c r="Q760" s="26"/>
      <c r="R760" s="5" t="str">
        <f t="shared" si="1"/>
        <v/>
      </c>
    </row>
    <row r="761" ht="15.75" customHeight="1">
      <c r="B761" s="26"/>
      <c r="P761" s="26"/>
      <c r="Q761" s="26"/>
      <c r="R761" s="5" t="str">
        <f t="shared" si="1"/>
        <v/>
      </c>
    </row>
    <row r="762" ht="15.75" customHeight="1">
      <c r="B762" s="26"/>
      <c r="P762" s="26"/>
      <c r="Q762" s="26"/>
      <c r="R762" s="5" t="str">
        <f t="shared" si="1"/>
        <v/>
      </c>
    </row>
    <row r="763" ht="15.75" customHeight="1">
      <c r="B763" s="26"/>
      <c r="P763" s="26"/>
      <c r="Q763" s="26"/>
      <c r="R763" s="5" t="str">
        <f t="shared" si="1"/>
        <v/>
      </c>
    </row>
    <row r="764" ht="15.75" customHeight="1">
      <c r="B764" s="26"/>
      <c r="P764" s="26"/>
      <c r="Q764" s="26"/>
      <c r="R764" s="5" t="str">
        <f t="shared" si="1"/>
        <v/>
      </c>
    </row>
    <row r="765" ht="15.75" customHeight="1">
      <c r="B765" s="26"/>
      <c r="P765" s="26"/>
      <c r="Q765" s="26"/>
      <c r="R765" s="5" t="str">
        <f t="shared" si="1"/>
        <v/>
      </c>
    </row>
    <row r="766" ht="15.75" customHeight="1">
      <c r="B766" s="26"/>
      <c r="P766" s="26"/>
      <c r="Q766" s="26"/>
      <c r="R766" s="5" t="str">
        <f t="shared" si="1"/>
        <v/>
      </c>
    </row>
    <row r="767" ht="15.75" customHeight="1">
      <c r="B767" s="26"/>
      <c r="P767" s="26"/>
      <c r="Q767" s="26"/>
      <c r="R767" s="5" t="str">
        <f t="shared" si="1"/>
        <v/>
      </c>
    </row>
    <row r="768" ht="15.75" customHeight="1">
      <c r="B768" s="26"/>
      <c r="P768" s="26"/>
      <c r="Q768" s="26"/>
      <c r="R768" s="5" t="str">
        <f t="shared" si="1"/>
        <v/>
      </c>
    </row>
    <row r="769" ht="15.75" customHeight="1">
      <c r="B769" s="26"/>
      <c r="P769" s="26"/>
      <c r="Q769" s="26"/>
      <c r="R769" s="5" t="str">
        <f t="shared" si="1"/>
        <v/>
      </c>
    </row>
    <row r="770" ht="15.75" customHeight="1">
      <c r="B770" s="26"/>
      <c r="P770" s="26"/>
      <c r="Q770" s="26"/>
      <c r="R770" s="5" t="str">
        <f t="shared" si="1"/>
        <v/>
      </c>
    </row>
    <row r="771" ht="15.75" customHeight="1">
      <c r="B771" s="26"/>
      <c r="P771" s="26"/>
      <c r="Q771" s="26"/>
      <c r="R771" s="5" t="str">
        <f t="shared" si="1"/>
        <v/>
      </c>
    </row>
    <row r="772" ht="15.75" customHeight="1">
      <c r="B772" s="26"/>
      <c r="P772" s="26"/>
      <c r="Q772" s="26"/>
      <c r="R772" s="5" t="str">
        <f t="shared" si="1"/>
        <v/>
      </c>
    </row>
    <row r="773" ht="15.75" customHeight="1">
      <c r="B773" s="26"/>
      <c r="P773" s="26"/>
      <c r="Q773" s="26"/>
      <c r="R773" s="5" t="str">
        <f t="shared" si="1"/>
        <v/>
      </c>
    </row>
    <row r="774" ht="15.75" customHeight="1">
      <c r="B774" s="26"/>
      <c r="P774" s="26"/>
      <c r="Q774" s="26"/>
      <c r="R774" s="5" t="str">
        <f t="shared" si="1"/>
        <v/>
      </c>
    </row>
    <row r="775" ht="15.75" customHeight="1">
      <c r="B775" s="26"/>
      <c r="P775" s="26"/>
      <c r="Q775" s="26"/>
      <c r="R775" s="5" t="str">
        <f t="shared" si="1"/>
        <v/>
      </c>
    </row>
    <row r="776" ht="15.75" customHeight="1">
      <c r="B776" s="26"/>
      <c r="P776" s="26"/>
      <c r="Q776" s="26"/>
      <c r="R776" s="5" t="str">
        <f t="shared" si="1"/>
        <v/>
      </c>
    </row>
    <row r="777" ht="15.75" customHeight="1">
      <c r="B777" s="26"/>
      <c r="P777" s="26"/>
      <c r="Q777" s="26"/>
      <c r="R777" s="5" t="str">
        <f t="shared" si="1"/>
        <v/>
      </c>
    </row>
    <row r="778" ht="15.75" customHeight="1">
      <c r="B778" s="26"/>
      <c r="P778" s="26"/>
      <c r="Q778" s="26"/>
      <c r="R778" s="5" t="str">
        <f t="shared" si="1"/>
        <v/>
      </c>
    </row>
    <row r="779" ht="15.75" customHeight="1">
      <c r="B779" s="26"/>
      <c r="P779" s="26"/>
      <c r="Q779" s="26"/>
      <c r="R779" s="5" t="str">
        <f t="shared" si="1"/>
        <v/>
      </c>
    </row>
    <row r="780" ht="15.75" customHeight="1">
      <c r="B780" s="26"/>
      <c r="P780" s="26"/>
      <c r="Q780" s="26"/>
      <c r="R780" s="5" t="str">
        <f t="shared" si="1"/>
        <v/>
      </c>
    </row>
    <row r="781" ht="15.75" customHeight="1">
      <c r="B781" s="26"/>
      <c r="P781" s="26"/>
      <c r="Q781" s="26"/>
      <c r="R781" s="5" t="str">
        <f t="shared" si="1"/>
        <v/>
      </c>
    </row>
    <row r="782" ht="15.75" customHeight="1">
      <c r="B782" s="26"/>
      <c r="P782" s="26"/>
      <c r="Q782" s="26"/>
      <c r="R782" s="5" t="str">
        <f t="shared" si="1"/>
        <v/>
      </c>
    </row>
    <row r="783" ht="15.75" customHeight="1">
      <c r="B783" s="26"/>
      <c r="P783" s="26"/>
      <c r="Q783" s="26"/>
      <c r="R783" s="5" t="str">
        <f t="shared" si="1"/>
        <v/>
      </c>
    </row>
    <row r="784" ht="15.75" customHeight="1">
      <c r="B784" s="26"/>
      <c r="P784" s="26"/>
      <c r="Q784" s="26"/>
      <c r="R784" s="5" t="str">
        <f t="shared" si="1"/>
        <v/>
      </c>
    </row>
    <row r="785" ht="15.75" customHeight="1">
      <c r="B785" s="26"/>
      <c r="P785" s="26"/>
      <c r="Q785" s="26"/>
      <c r="R785" s="5" t="str">
        <f t="shared" si="1"/>
        <v/>
      </c>
    </row>
    <row r="786" ht="15.75" customHeight="1">
      <c r="B786" s="26"/>
      <c r="P786" s="26"/>
      <c r="Q786" s="26"/>
      <c r="R786" s="5" t="str">
        <f t="shared" si="1"/>
        <v/>
      </c>
    </row>
    <row r="787" ht="15.75" customHeight="1">
      <c r="B787" s="26"/>
      <c r="P787" s="26"/>
      <c r="Q787" s="26"/>
      <c r="R787" s="5" t="str">
        <f t="shared" si="1"/>
        <v/>
      </c>
    </row>
    <row r="788" ht="15.75" customHeight="1">
      <c r="B788" s="26"/>
      <c r="P788" s="26"/>
      <c r="Q788" s="26"/>
      <c r="R788" s="5" t="str">
        <f t="shared" si="1"/>
        <v/>
      </c>
    </row>
    <row r="789" ht="15.75" customHeight="1">
      <c r="B789" s="26"/>
      <c r="P789" s="26"/>
      <c r="Q789" s="26"/>
      <c r="R789" s="5" t="str">
        <f t="shared" si="1"/>
        <v/>
      </c>
    </row>
    <row r="790" ht="15.75" customHeight="1">
      <c r="B790" s="26"/>
      <c r="P790" s="26"/>
      <c r="Q790" s="26"/>
      <c r="R790" s="5" t="str">
        <f t="shared" si="1"/>
        <v/>
      </c>
    </row>
    <row r="791" ht="15.75" customHeight="1">
      <c r="B791" s="26"/>
      <c r="P791" s="26"/>
      <c r="Q791" s="26"/>
      <c r="R791" s="5" t="str">
        <f t="shared" si="1"/>
        <v/>
      </c>
    </row>
    <row r="792" ht="15.75" customHeight="1">
      <c r="B792" s="26"/>
      <c r="P792" s="26"/>
      <c r="Q792" s="26"/>
      <c r="R792" s="5" t="str">
        <f t="shared" si="1"/>
        <v/>
      </c>
    </row>
    <row r="793" ht="15.75" customHeight="1">
      <c r="B793" s="26"/>
      <c r="P793" s="26"/>
      <c r="Q793" s="26"/>
      <c r="R793" s="5" t="str">
        <f t="shared" si="1"/>
        <v/>
      </c>
    </row>
    <row r="794" ht="15.75" customHeight="1">
      <c r="B794" s="26"/>
      <c r="P794" s="26"/>
      <c r="Q794" s="26"/>
      <c r="R794" s="5" t="str">
        <f t="shared" si="1"/>
        <v/>
      </c>
    </row>
    <row r="795" ht="15.75" customHeight="1">
      <c r="B795" s="26"/>
      <c r="P795" s="26"/>
      <c r="Q795" s="26"/>
      <c r="R795" s="5" t="str">
        <f t="shared" si="1"/>
        <v/>
      </c>
    </row>
    <row r="796" ht="15.75" customHeight="1">
      <c r="B796" s="26"/>
      <c r="P796" s="26"/>
      <c r="Q796" s="26"/>
      <c r="R796" s="5" t="str">
        <f t="shared" si="1"/>
        <v/>
      </c>
    </row>
    <row r="797" ht="15.75" customHeight="1">
      <c r="B797" s="26"/>
      <c r="P797" s="26"/>
      <c r="Q797" s="26"/>
      <c r="R797" s="5" t="str">
        <f t="shared" si="1"/>
        <v/>
      </c>
    </row>
    <row r="798" ht="15.75" customHeight="1">
      <c r="B798" s="26"/>
      <c r="P798" s="26"/>
      <c r="Q798" s="26"/>
      <c r="R798" s="5" t="str">
        <f t="shared" si="1"/>
        <v/>
      </c>
    </row>
    <row r="799" ht="15.75" customHeight="1">
      <c r="B799" s="26"/>
      <c r="P799" s="26"/>
      <c r="Q799" s="26"/>
      <c r="R799" s="5" t="str">
        <f t="shared" si="1"/>
        <v/>
      </c>
    </row>
    <row r="800" ht="15.75" customHeight="1">
      <c r="B800" s="26"/>
      <c r="P800" s="26"/>
      <c r="Q800" s="26"/>
      <c r="R800" s="5" t="str">
        <f t="shared" si="1"/>
        <v/>
      </c>
    </row>
    <row r="801" ht="15.75" customHeight="1">
      <c r="B801" s="26"/>
      <c r="P801" s="26"/>
      <c r="Q801" s="26"/>
      <c r="R801" s="5" t="str">
        <f t="shared" si="1"/>
        <v/>
      </c>
    </row>
    <row r="802" ht="15.75" customHeight="1">
      <c r="B802" s="26"/>
      <c r="P802" s="26"/>
      <c r="Q802" s="26"/>
      <c r="R802" s="5" t="str">
        <f t="shared" si="1"/>
        <v/>
      </c>
    </row>
    <row r="803" ht="15.75" customHeight="1">
      <c r="B803" s="26"/>
      <c r="P803" s="26"/>
      <c r="Q803" s="26"/>
      <c r="R803" s="5" t="str">
        <f t="shared" si="1"/>
        <v/>
      </c>
    </row>
    <row r="804" ht="15.75" customHeight="1">
      <c r="B804" s="26"/>
      <c r="P804" s="26"/>
      <c r="Q804" s="26"/>
      <c r="R804" s="5" t="str">
        <f t="shared" si="1"/>
        <v/>
      </c>
    </row>
    <row r="805" ht="15.75" customHeight="1">
      <c r="B805" s="26"/>
      <c r="P805" s="26"/>
      <c r="Q805" s="26"/>
      <c r="R805" s="5" t="str">
        <f t="shared" si="1"/>
        <v/>
      </c>
    </row>
    <row r="806" ht="15.75" customHeight="1">
      <c r="B806" s="26"/>
      <c r="P806" s="26"/>
      <c r="Q806" s="26"/>
      <c r="R806" s="5" t="str">
        <f t="shared" si="1"/>
        <v/>
      </c>
    </row>
    <row r="807" ht="15.75" customHeight="1">
      <c r="B807" s="26"/>
      <c r="P807" s="26"/>
      <c r="Q807" s="26"/>
      <c r="R807" s="5" t="str">
        <f t="shared" si="1"/>
        <v/>
      </c>
    </row>
    <row r="808" ht="15.75" customHeight="1">
      <c r="B808" s="26"/>
      <c r="P808" s="26"/>
      <c r="Q808" s="26"/>
      <c r="R808" s="5" t="str">
        <f t="shared" si="1"/>
        <v/>
      </c>
    </row>
    <row r="809" ht="15.75" customHeight="1">
      <c r="B809" s="26"/>
      <c r="P809" s="26"/>
      <c r="Q809" s="26"/>
      <c r="R809" s="5" t="str">
        <f t="shared" si="1"/>
        <v/>
      </c>
    </row>
    <row r="810" ht="15.75" customHeight="1">
      <c r="B810" s="26"/>
      <c r="P810" s="26"/>
      <c r="Q810" s="26"/>
      <c r="R810" s="5" t="str">
        <f t="shared" si="1"/>
        <v/>
      </c>
    </row>
    <row r="811" ht="15.75" customHeight="1">
      <c r="B811" s="26"/>
      <c r="P811" s="26"/>
      <c r="Q811" s="26"/>
      <c r="R811" s="5" t="str">
        <f t="shared" si="1"/>
        <v/>
      </c>
    </row>
    <row r="812" ht="15.75" customHeight="1">
      <c r="B812" s="26"/>
      <c r="P812" s="26"/>
      <c r="Q812" s="26"/>
      <c r="R812" s="5" t="str">
        <f t="shared" si="1"/>
        <v/>
      </c>
    </row>
    <row r="813" ht="15.75" customHeight="1">
      <c r="B813" s="26"/>
      <c r="P813" s="26"/>
      <c r="Q813" s="26"/>
      <c r="R813" s="5" t="str">
        <f t="shared" si="1"/>
        <v/>
      </c>
    </row>
    <row r="814" ht="15.75" customHeight="1">
      <c r="B814" s="26"/>
      <c r="P814" s="26"/>
      <c r="Q814" s="26"/>
      <c r="R814" s="5" t="str">
        <f t="shared" si="1"/>
        <v/>
      </c>
    </row>
    <row r="815" ht="15.75" customHeight="1">
      <c r="B815" s="26"/>
      <c r="P815" s="26"/>
      <c r="Q815" s="26"/>
      <c r="R815" s="5" t="str">
        <f t="shared" si="1"/>
        <v/>
      </c>
    </row>
    <row r="816" ht="15.75" customHeight="1">
      <c r="B816" s="26"/>
      <c r="P816" s="26"/>
      <c r="Q816" s="26"/>
      <c r="R816" s="5" t="str">
        <f t="shared" si="1"/>
        <v/>
      </c>
    </row>
    <row r="817" ht="15.75" customHeight="1">
      <c r="B817" s="26"/>
      <c r="P817" s="26"/>
      <c r="Q817" s="26"/>
      <c r="R817" s="5" t="str">
        <f t="shared" si="1"/>
        <v/>
      </c>
    </row>
    <row r="818" ht="15.75" customHeight="1">
      <c r="B818" s="26"/>
      <c r="P818" s="26"/>
      <c r="Q818" s="26"/>
      <c r="R818" s="5" t="str">
        <f t="shared" si="1"/>
        <v/>
      </c>
    </row>
    <row r="819" ht="15.75" customHeight="1">
      <c r="B819" s="26"/>
      <c r="P819" s="26"/>
      <c r="Q819" s="26"/>
      <c r="R819" s="5" t="str">
        <f t="shared" si="1"/>
        <v/>
      </c>
    </row>
    <row r="820" ht="15.75" customHeight="1">
      <c r="B820" s="26"/>
      <c r="P820" s="26"/>
      <c r="Q820" s="26"/>
      <c r="R820" s="5" t="str">
        <f t="shared" si="1"/>
        <v/>
      </c>
    </row>
    <row r="821" ht="15.75" customHeight="1">
      <c r="B821" s="26"/>
      <c r="P821" s="26"/>
      <c r="Q821" s="26"/>
      <c r="R821" s="5" t="str">
        <f t="shared" si="1"/>
        <v/>
      </c>
    </row>
    <row r="822" ht="15.75" customHeight="1">
      <c r="B822" s="26"/>
      <c r="P822" s="26"/>
      <c r="Q822" s="26"/>
      <c r="R822" s="5" t="str">
        <f t="shared" si="1"/>
        <v/>
      </c>
    </row>
    <row r="823" ht="15.75" customHeight="1">
      <c r="B823" s="26"/>
      <c r="P823" s="26"/>
      <c r="Q823" s="26"/>
      <c r="R823" s="5" t="str">
        <f t="shared" si="1"/>
        <v/>
      </c>
    </row>
    <row r="824" ht="15.75" customHeight="1">
      <c r="B824" s="26"/>
      <c r="P824" s="26"/>
      <c r="Q824" s="26"/>
      <c r="R824" s="5" t="str">
        <f t="shared" si="1"/>
        <v/>
      </c>
    </row>
    <row r="825" ht="15.75" customHeight="1">
      <c r="B825" s="26"/>
      <c r="P825" s="26"/>
      <c r="Q825" s="26"/>
      <c r="R825" s="5" t="str">
        <f t="shared" si="1"/>
        <v/>
      </c>
    </row>
    <row r="826" ht="15.75" customHeight="1">
      <c r="B826" s="26"/>
      <c r="P826" s="26"/>
      <c r="Q826" s="26"/>
      <c r="R826" s="5" t="str">
        <f t="shared" si="1"/>
        <v/>
      </c>
    </row>
    <row r="827" ht="15.75" customHeight="1">
      <c r="B827" s="26"/>
      <c r="P827" s="26"/>
      <c r="Q827" s="26"/>
      <c r="R827" s="5" t="str">
        <f t="shared" si="1"/>
        <v/>
      </c>
    </row>
    <row r="828" ht="15.75" customHeight="1">
      <c r="B828" s="26"/>
      <c r="P828" s="26"/>
      <c r="Q828" s="26"/>
      <c r="R828" s="5" t="str">
        <f t="shared" si="1"/>
        <v/>
      </c>
    </row>
    <row r="829" ht="15.75" customHeight="1">
      <c r="B829" s="26"/>
      <c r="P829" s="26"/>
      <c r="Q829" s="26"/>
      <c r="R829" s="5" t="str">
        <f t="shared" si="1"/>
        <v/>
      </c>
    </row>
    <row r="830" ht="15.75" customHeight="1">
      <c r="B830" s="26"/>
      <c r="P830" s="26"/>
      <c r="Q830" s="26"/>
      <c r="R830" s="5" t="str">
        <f t="shared" si="1"/>
        <v/>
      </c>
    </row>
    <row r="831" ht="15.75" customHeight="1">
      <c r="B831" s="26"/>
      <c r="P831" s="26"/>
      <c r="Q831" s="26"/>
      <c r="R831" s="5" t="str">
        <f t="shared" si="1"/>
        <v/>
      </c>
    </row>
    <row r="832" ht="15.75" customHeight="1">
      <c r="B832" s="26"/>
      <c r="P832" s="26"/>
      <c r="Q832" s="26"/>
      <c r="R832" s="5" t="str">
        <f t="shared" si="1"/>
        <v/>
      </c>
    </row>
    <row r="833" ht="15.75" customHeight="1">
      <c r="B833" s="26"/>
      <c r="P833" s="26"/>
      <c r="Q833" s="26"/>
      <c r="R833" s="5" t="str">
        <f t="shared" si="1"/>
        <v/>
      </c>
    </row>
    <row r="834" ht="15.75" customHeight="1">
      <c r="B834" s="26"/>
      <c r="P834" s="26"/>
      <c r="Q834" s="26"/>
      <c r="R834" s="5" t="str">
        <f t="shared" si="1"/>
        <v/>
      </c>
    </row>
    <row r="835" ht="15.75" customHeight="1">
      <c r="B835" s="26"/>
      <c r="P835" s="26"/>
      <c r="Q835" s="26"/>
      <c r="R835" s="5" t="str">
        <f t="shared" si="1"/>
        <v/>
      </c>
    </row>
    <row r="836" ht="15.75" customHeight="1">
      <c r="B836" s="26"/>
      <c r="P836" s="26"/>
      <c r="Q836" s="26"/>
      <c r="R836" s="5" t="str">
        <f t="shared" si="1"/>
        <v/>
      </c>
    </row>
    <row r="837" ht="15.75" customHeight="1">
      <c r="B837" s="26"/>
      <c r="P837" s="26"/>
      <c r="Q837" s="26"/>
      <c r="R837" s="5" t="str">
        <f t="shared" si="1"/>
        <v/>
      </c>
    </row>
    <row r="838" ht="15.75" customHeight="1">
      <c r="B838" s="26"/>
      <c r="P838" s="26"/>
      <c r="Q838" s="26"/>
      <c r="R838" s="5" t="str">
        <f t="shared" si="1"/>
        <v/>
      </c>
    </row>
    <row r="839" ht="15.75" customHeight="1">
      <c r="B839" s="26"/>
      <c r="P839" s="26"/>
      <c r="Q839" s="26"/>
      <c r="R839" s="5" t="str">
        <f t="shared" si="1"/>
        <v/>
      </c>
    </row>
    <row r="840" ht="15.75" customHeight="1">
      <c r="B840" s="26"/>
      <c r="P840" s="26"/>
      <c r="Q840" s="26"/>
      <c r="R840" s="5" t="str">
        <f t="shared" si="1"/>
        <v/>
      </c>
    </row>
    <row r="841" ht="15.75" customHeight="1">
      <c r="B841" s="26"/>
      <c r="P841" s="26"/>
      <c r="Q841" s="26"/>
      <c r="R841" s="5" t="str">
        <f t="shared" si="1"/>
        <v/>
      </c>
    </row>
    <row r="842" ht="15.75" customHeight="1">
      <c r="B842" s="26"/>
      <c r="P842" s="26"/>
      <c r="Q842" s="26"/>
      <c r="R842" s="5" t="str">
        <f t="shared" si="1"/>
        <v/>
      </c>
    </row>
    <row r="843" ht="15.75" customHeight="1">
      <c r="B843" s="26"/>
      <c r="P843" s="26"/>
      <c r="Q843" s="26"/>
      <c r="R843" s="5" t="str">
        <f t="shared" si="1"/>
        <v/>
      </c>
    </row>
    <row r="844" ht="15.75" customHeight="1">
      <c r="B844" s="26"/>
      <c r="P844" s="26"/>
      <c r="Q844" s="26"/>
      <c r="R844" s="5" t="str">
        <f t="shared" si="1"/>
        <v/>
      </c>
    </row>
    <row r="845" ht="15.75" customHeight="1">
      <c r="B845" s="26"/>
      <c r="P845" s="26"/>
      <c r="Q845" s="26"/>
      <c r="R845" s="5" t="str">
        <f t="shared" si="1"/>
        <v/>
      </c>
    </row>
    <row r="846" ht="15.75" customHeight="1">
      <c r="B846" s="26"/>
      <c r="P846" s="26"/>
      <c r="Q846" s="26"/>
      <c r="R846" s="5" t="str">
        <f t="shared" si="1"/>
        <v/>
      </c>
    </row>
    <row r="847" ht="15.75" customHeight="1">
      <c r="B847" s="26"/>
      <c r="P847" s="26"/>
      <c r="Q847" s="26"/>
      <c r="R847" s="5" t="str">
        <f t="shared" si="1"/>
        <v/>
      </c>
    </row>
    <row r="848" ht="15.75" customHeight="1">
      <c r="B848" s="26"/>
      <c r="P848" s="26"/>
      <c r="Q848" s="26"/>
      <c r="R848" s="5" t="str">
        <f t="shared" si="1"/>
        <v/>
      </c>
    </row>
    <row r="849" ht="15.75" customHeight="1">
      <c r="B849" s="26"/>
      <c r="P849" s="26"/>
      <c r="Q849" s="26"/>
      <c r="R849" s="5" t="str">
        <f t="shared" si="1"/>
        <v/>
      </c>
    </row>
    <row r="850" ht="15.75" customHeight="1">
      <c r="B850" s="26"/>
      <c r="P850" s="26"/>
      <c r="Q850" s="26"/>
      <c r="R850" s="5" t="str">
        <f t="shared" si="1"/>
        <v/>
      </c>
    </row>
    <row r="851" ht="15.75" customHeight="1">
      <c r="B851" s="26"/>
      <c r="P851" s="26"/>
      <c r="Q851" s="26"/>
      <c r="R851" s="5" t="str">
        <f t="shared" si="1"/>
        <v/>
      </c>
    </row>
    <row r="852" ht="15.75" customHeight="1">
      <c r="B852" s="26"/>
      <c r="P852" s="26"/>
      <c r="Q852" s="26"/>
      <c r="R852" s="5" t="str">
        <f t="shared" si="1"/>
        <v/>
      </c>
    </row>
    <row r="853" ht="15.75" customHeight="1">
      <c r="B853" s="26"/>
      <c r="P853" s="26"/>
      <c r="Q853" s="26"/>
      <c r="R853" s="5" t="str">
        <f t="shared" si="1"/>
        <v/>
      </c>
    </row>
    <row r="854" ht="15.75" customHeight="1">
      <c r="B854" s="26"/>
      <c r="P854" s="26"/>
      <c r="Q854" s="26"/>
      <c r="R854" s="5" t="str">
        <f t="shared" si="1"/>
        <v/>
      </c>
    </row>
    <row r="855" ht="15.75" customHeight="1">
      <c r="B855" s="26"/>
      <c r="P855" s="26"/>
      <c r="Q855" s="26"/>
      <c r="R855" s="5" t="str">
        <f t="shared" si="1"/>
        <v/>
      </c>
    </row>
    <row r="856" ht="15.75" customHeight="1">
      <c r="B856" s="26"/>
      <c r="P856" s="26"/>
      <c r="Q856" s="26"/>
      <c r="R856" s="5" t="str">
        <f t="shared" si="1"/>
        <v/>
      </c>
    </row>
    <row r="857" ht="15.75" customHeight="1">
      <c r="B857" s="26"/>
      <c r="P857" s="26"/>
      <c r="Q857" s="26"/>
      <c r="R857" s="5" t="str">
        <f t="shared" si="1"/>
        <v/>
      </c>
    </row>
    <row r="858" ht="15.75" customHeight="1">
      <c r="B858" s="26"/>
      <c r="P858" s="26"/>
      <c r="Q858" s="26"/>
      <c r="R858" s="5" t="str">
        <f t="shared" si="1"/>
        <v/>
      </c>
    </row>
    <row r="859" ht="15.75" customHeight="1">
      <c r="B859" s="26"/>
      <c r="P859" s="26"/>
      <c r="Q859" s="26"/>
      <c r="R859" s="5" t="str">
        <f t="shared" si="1"/>
        <v/>
      </c>
    </row>
    <row r="860" ht="15.75" customHeight="1">
      <c r="B860" s="26"/>
      <c r="P860" s="26"/>
      <c r="Q860" s="26"/>
      <c r="R860" s="5" t="str">
        <f t="shared" si="1"/>
        <v/>
      </c>
    </row>
    <row r="861" ht="15.75" customHeight="1">
      <c r="B861" s="26"/>
      <c r="P861" s="26"/>
      <c r="Q861" s="26"/>
      <c r="R861" s="5" t="str">
        <f t="shared" si="1"/>
        <v/>
      </c>
    </row>
    <row r="862" ht="15.75" customHeight="1">
      <c r="B862" s="26"/>
      <c r="P862" s="26"/>
      <c r="Q862" s="26"/>
      <c r="R862" s="5" t="str">
        <f t="shared" si="1"/>
        <v/>
      </c>
    </row>
    <row r="863" ht="15.75" customHeight="1">
      <c r="B863" s="26"/>
      <c r="P863" s="26"/>
      <c r="Q863" s="26"/>
      <c r="R863" s="5" t="str">
        <f t="shared" si="1"/>
        <v/>
      </c>
    </row>
    <row r="864" ht="15.75" customHeight="1">
      <c r="B864" s="26"/>
      <c r="P864" s="26"/>
      <c r="Q864" s="26"/>
      <c r="R864" s="5" t="str">
        <f t="shared" si="1"/>
        <v/>
      </c>
    </row>
    <row r="865" ht="15.75" customHeight="1">
      <c r="B865" s="26"/>
      <c r="P865" s="26"/>
      <c r="Q865" s="26"/>
      <c r="R865" s="5" t="str">
        <f t="shared" si="1"/>
        <v/>
      </c>
    </row>
    <row r="866" ht="15.75" customHeight="1">
      <c r="B866" s="26"/>
      <c r="P866" s="26"/>
      <c r="Q866" s="26"/>
      <c r="R866" s="5" t="str">
        <f t="shared" si="1"/>
        <v/>
      </c>
    </row>
    <row r="867" ht="15.75" customHeight="1">
      <c r="B867" s="26"/>
      <c r="P867" s="26"/>
      <c r="Q867" s="26"/>
      <c r="R867" s="5" t="str">
        <f t="shared" si="1"/>
        <v/>
      </c>
    </row>
    <row r="868" ht="15.75" customHeight="1">
      <c r="B868" s="26"/>
      <c r="P868" s="26"/>
      <c r="Q868" s="26"/>
      <c r="R868" s="5" t="str">
        <f t="shared" si="1"/>
        <v/>
      </c>
    </row>
    <row r="869" ht="15.75" customHeight="1">
      <c r="B869" s="26"/>
      <c r="P869" s="26"/>
      <c r="Q869" s="26"/>
      <c r="R869" s="5" t="str">
        <f t="shared" si="1"/>
        <v/>
      </c>
    </row>
    <row r="870" ht="15.75" customHeight="1">
      <c r="B870" s="26"/>
      <c r="P870" s="26"/>
      <c r="Q870" s="26"/>
      <c r="R870" s="5" t="str">
        <f t="shared" si="1"/>
        <v/>
      </c>
    </row>
    <row r="871" ht="15.75" customHeight="1">
      <c r="B871" s="26"/>
      <c r="P871" s="26"/>
      <c r="Q871" s="26"/>
      <c r="R871" s="5" t="str">
        <f t="shared" si="1"/>
        <v/>
      </c>
    </row>
    <row r="872" ht="15.75" customHeight="1">
      <c r="B872" s="26"/>
      <c r="P872" s="26"/>
      <c r="Q872" s="26"/>
      <c r="R872" s="5" t="str">
        <f t="shared" si="1"/>
        <v/>
      </c>
    </row>
    <row r="873" ht="15.75" customHeight="1">
      <c r="B873" s="26"/>
      <c r="P873" s="26"/>
      <c r="Q873" s="26"/>
      <c r="R873" s="5" t="str">
        <f t="shared" si="1"/>
        <v/>
      </c>
    </row>
    <row r="874" ht="15.75" customHeight="1">
      <c r="B874" s="26"/>
      <c r="P874" s="26"/>
      <c r="Q874" s="26"/>
      <c r="R874" s="5" t="str">
        <f t="shared" si="1"/>
        <v/>
      </c>
    </row>
    <row r="875" ht="15.75" customHeight="1">
      <c r="B875" s="26"/>
      <c r="P875" s="26"/>
      <c r="Q875" s="26"/>
      <c r="R875" s="5" t="str">
        <f t="shared" si="1"/>
        <v/>
      </c>
    </row>
    <row r="876" ht="15.75" customHeight="1">
      <c r="B876" s="26"/>
      <c r="P876" s="26"/>
      <c r="Q876" s="26"/>
      <c r="R876" s="5" t="str">
        <f t="shared" si="1"/>
        <v/>
      </c>
    </row>
    <row r="877" ht="15.75" customHeight="1">
      <c r="B877" s="26"/>
      <c r="P877" s="26"/>
      <c r="Q877" s="26"/>
      <c r="R877" s="5" t="str">
        <f t="shared" si="1"/>
        <v/>
      </c>
    </row>
    <row r="878" ht="15.75" customHeight="1">
      <c r="B878" s="26"/>
      <c r="P878" s="26"/>
      <c r="Q878" s="26"/>
      <c r="R878" s="5" t="str">
        <f t="shared" si="1"/>
        <v/>
      </c>
    </row>
    <row r="879" ht="15.75" customHeight="1">
      <c r="B879" s="26"/>
      <c r="P879" s="26"/>
      <c r="Q879" s="26"/>
      <c r="R879" s="5" t="str">
        <f t="shared" si="1"/>
        <v/>
      </c>
    </row>
    <row r="880" ht="15.75" customHeight="1">
      <c r="B880" s="26"/>
      <c r="P880" s="26"/>
      <c r="Q880" s="26"/>
      <c r="R880" s="5" t="str">
        <f t="shared" si="1"/>
        <v/>
      </c>
    </row>
    <row r="881" ht="15.75" customHeight="1">
      <c r="B881" s="26"/>
      <c r="P881" s="26"/>
      <c r="Q881" s="26"/>
      <c r="R881" s="5" t="str">
        <f t="shared" si="1"/>
        <v/>
      </c>
    </row>
    <row r="882" ht="15.75" customHeight="1">
      <c r="B882" s="26"/>
      <c r="P882" s="26"/>
      <c r="Q882" s="26"/>
      <c r="R882" s="5" t="str">
        <f t="shared" si="1"/>
        <v/>
      </c>
    </row>
    <row r="883" ht="15.75" customHeight="1">
      <c r="B883" s="26"/>
      <c r="P883" s="26"/>
      <c r="Q883" s="26"/>
      <c r="R883" s="5" t="str">
        <f t="shared" si="1"/>
        <v/>
      </c>
    </row>
    <row r="884" ht="15.75" customHeight="1">
      <c r="B884" s="26"/>
      <c r="P884" s="26"/>
      <c r="Q884" s="26"/>
      <c r="R884" s="5" t="str">
        <f t="shared" si="1"/>
        <v/>
      </c>
    </row>
    <row r="885" ht="15.75" customHeight="1">
      <c r="B885" s="26"/>
      <c r="P885" s="26"/>
      <c r="Q885" s="26"/>
      <c r="R885" s="5" t="str">
        <f t="shared" si="1"/>
        <v/>
      </c>
    </row>
    <row r="886" ht="15.75" customHeight="1">
      <c r="B886" s="26"/>
      <c r="P886" s="26"/>
      <c r="Q886" s="26"/>
      <c r="R886" s="5" t="str">
        <f t="shared" si="1"/>
        <v/>
      </c>
    </row>
    <row r="887" ht="15.75" customHeight="1">
      <c r="B887" s="26"/>
      <c r="P887" s="26"/>
      <c r="Q887" s="26"/>
      <c r="R887" s="5" t="str">
        <f t="shared" si="1"/>
        <v/>
      </c>
    </row>
    <row r="888" ht="15.75" customHeight="1">
      <c r="B888" s="26"/>
      <c r="P888" s="26"/>
      <c r="Q888" s="26"/>
      <c r="R888" s="5" t="str">
        <f t="shared" si="1"/>
        <v/>
      </c>
    </row>
    <row r="889" ht="15.75" customHeight="1">
      <c r="B889" s="26"/>
      <c r="P889" s="26"/>
      <c r="Q889" s="26"/>
      <c r="R889" s="5" t="str">
        <f t="shared" si="1"/>
        <v/>
      </c>
    </row>
    <row r="890" ht="15.75" customHeight="1">
      <c r="B890" s="26"/>
      <c r="P890" s="26"/>
      <c r="Q890" s="26"/>
      <c r="R890" s="5" t="str">
        <f t="shared" si="1"/>
        <v/>
      </c>
    </row>
    <row r="891" ht="15.75" customHeight="1">
      <c r="B891" s="26"/>
      <c r="P891" s="26"/>
      <c r="Q891" s="26"/>
      <c r="R891" s="5" t="str">
        <f t="shared" si="1"/>
        <v/>
      </c>
    </row>
    <row r="892" ht="15.75" customHeight="1">
      <c r="B892" s="26"/>
      <c r="P892" s="26"/>
      <c r="Q892" s="26"/>
      <c r="R892" s="5" t="str">
        <f t="shared" si="1"/>
        <v/>
      </c>
    </row>
    <row r="893" ht="15.75" customHeight="1">
      <c r="B893" s="26"/>
      <c r="P893" s="26"/>
      <c r="Q893" s="26"/>
      <c r="R893" s="5" t="str">
        <f t="shared" si="1"/>
        <v/>
      </c>
    </row>
    <row r="894" ht="15.75" customHeight="1">
      <c r="B894" s="26"/>
      <c r="P894" s="26"/>
      <c r="Q894" s="26"/>
      <c r="R894" s="5" t="str">
        <f t="shared" si="1"/>
        <v/>
      </c>
    </row>
    <row r="895" ht="15.75" customHeight="1">
      <c r="B895" s="26"/>
      <c r="P895" s="26"/>
      <c r="Q895" s="26"/>
      <c r="R895" s="5" t="str">
        <f t="shared" si="1"/>
        <v/>
      </c>
    </row>
    <row r="896" ht="15.75" customHeight="1">
      <c r="B896" s="26"/>
      <c r="P896" s="26"/>
      <c r="Q896" s="26"/>
      <c r="R896" s="5" t="str">
        <f t="shared" si="1"/>
        <v/>
      </c>
    </row>
    <row r="897" ht="15.75" customHeight="1">
      <c r="B897" s="26"/>
      <c r="P897" s="26"/>
      <c r="Q897" s="26"/>
      <c r="R897" s="5" t="str">
        <f t="shared" si="1"/>
        <v/>
      </c>
    </row>
    <row r="898" ht="15.75" customHeight="1">
      <c r="B898" s="26"/>
      <c r="P898" s="26"/>
      <c r="Q898" s="26"/>
      <c r="R898" s="5" t="str">
        <f t="shared" si="1"/>
        <v/>
      </c>
    </row>
    <row r="899" ht="15.75" customHeight="1">
      <c r="B899" s="26"/>
      <c r="P899" s="26"/>
      <c r="Q899" s="26"/>
      <c r="R899" s="5" t="str">
        <f t="shared" si="1"/>
        <v/>
      </c>
    </row>
    <row r="900" ht="15.75" customHeight="1">
      <c r="B900" s="26"/>
      <c r="P900" s="26"/>
      <c r="Q900" s="26"/>
      <c r="R900" s="5" t="str">
        <f t="shared" si="1"/>
        <v/>
      </c>
    </row>
    <row r="901" ht="15.75" customHeight="1">
      <c r="B901" s="26"/>
      <c r="P901" s="26"/>
      <c r="Q901" s="26"/>
      <c r="R901" s="5" t="str">
        <f t="shared" si="1"/>
        <v/>
      </c>
    </row>
    <row r="902" ht="15.75" customHeight="1">
      <c r="B902" s="26"/>
      <c r="P902" s="26"/>
      <c r="Q902" s="26"/>
      <c r="R902" s="5" t="str">
        <f t="shared" si="1"/>
        <v/>
      </c>
    </row>
    <row r="903" ht="15.75" customHeight="1">
      <c r="B903" s="26"/>
      <c r="P903" s="26"/>
      <c r="Q903" s="26"/>
      <c r="R903" s="5" t="str">
        <f t="shared" si="1"/>
        <v/>
      </c>
    </row>
    <row r="904" ht="15.75" customHeight="1">
      <c r="B904" s="26"/>
      <c r="P904" s="26"/>
      <c r="Q904" s="26"/>
      <c r="R904" s="5" t="str">
        <f t="shared" si="1"/>
        <v/>
      </c>
    </row>
    <row r="905" ht="15.75" customHeight="1">
      <c r="B905" s="26"/>
      <c r="P905" s="26"/>
      <c r="Q905" s="26"/>
      <c r="R905" s="5" t="str">
        <f t="shared" si="1"/>
        <v/>
      </c>
    </row>
    <row r="906" ht="15.75" customHeight="1">
      <c r="B906" s="26"/>
      <c r="P906" s="26"/>
      <c r="Q906" s="26"/>
      <c r="R906" s="5" t="str">
        <f t="shared" si="1"/>
        <v/>
      </c>
    </row>
    <row r="907" ht="15.75" customHeight="1">
      <c r="B907" s="26"/>
      <c r="P907" s="26"/>
      <c r="Q907" s="26"/>
      <c r="R907" s="5" t="str">
        <f t="shared" si="1"/>
        <v/>
      </c>
    </row>
    <row r="908" ht="15.75" customHeight="1">
      <c r="B908" s="26"/>
      <c r="P908" s="26"/>
      <c r="Q908" s="26"/>
      <c r="R908" s="5" t="str">
        <f t="shared" si="1"/>
        <v/>
      </c>
    </row>
    <row r="909" ht="15.75" customHeight="1">
      <c r="B909" s="26"/>
      <c r="P909" s="26"/>
      <c r="Q909" s="26"/>
      <c r="R909" s="5" t="str">
        <f t="shared" si="1"/>
        <v/>
      </c>
    </row>
    <row r="910" ht="15.75" customHeight="1">
      <c r="B910" s="26"/>
      <c r="P910" s="26"/>
      <c r="Q910" s="26"/>
      <c r="R910" s="5" t="str">
        <f t="shared" si="1"/>
        <v/>
      </c>
    </row>
    <row r="911" ht="15.75" customHeight="1">
      <c r="B911" s="26"/>
      <c r="P911" s="26"/>
      <c r="Q911" s="26"/>
      <c r="R911" s="5" t="str">
        <f t="shared" si="1"/>
        <v/>
      </c>
    </row>
    <row r="912" ht="15.75" customHeight="1">
      <c r="B912" s="26"/>
      <c r="P912" s="26"/>
      <c r="Q912" s="26"/>
      <c r="R912" s="5" t="str">
        <f t="shared" si="1"/>
        <v/>
      </c>
    </row>
    <row r="913" ht="15.75" customHeight="1">
      <c r="B913" s="26"/>
      <c r="P913" s="26"/>
      <c r="Q913" s="26"/>
      <c r="R913" s="5" t="str">
        <f t="shared" si="1"/>
        <v/>
      </c>
    </row>
    <row r="914" ht="15.75" customHeight="1">
      <c r="B914" s="26"/>
      <c r="P914" s="26"/>
      <c r="Q914" s="26"/>
      <c r="R914" s="5" t="str">
        <f t="shared" si="1"/>
        <v/>
      </c>
    </row>
    <row r="915" ht="15.75" customHeight="1">
      <c r="B915" s="26"/>
      <c r="P915" s="26"/>
      <c r="Q915" s="26"/>
      <c r="R915" s="5" t="str">
        <f t="shared" si="1"/>
        <v/>
      </c>
    </row>
    <row r="916" ht="15.75" customHeight="1">
      <c r="B916" s="26"/>
      <c r="P916" s="26"/>
      <c r="Q916" s="26"/>
      <c r="R916" s="5" t="str">
        <f t="shared" si="1"/>
        <v/>
      </c>
    </row>
    <row r="917" ht="15.75" customHeight="1">
      <c r="B917" s="26"/>
      <c r="P917" s="26"/>
      <c r="Q917" s="26"/>
      <c r="R917" s="5" t="str">
        <f t="shared" si="1"/>
        <v/>
      </c>
    </row>
    <row r="918" ht="15.75" customHeight="1">
      <c r="B918" s="26"/>
      <c r="P918" s="26"/>
      <c r="Q918" s="26"/>
      <c r="R918" s="5" t="str">
        <f t="shared" si="1"/>
        <v/>
      </c>
    </row>
    <row r="919" ht="15.75" customHeight="1">
      <c r="B919" s="26"/>
      <c r="P919" s="26"/>
      <c r="Q919" s="26"/>
      <c r="R919" s="5" t="str">
        <f t="shared" si="1"/>
        <v/>
      </c>
    </row>
    <row r="920" ht="15.75" customHeight="1">
      <c r="B920" s="26"/>
      <c r="P920" s="26"/>
      <c r="Q920" s="26"/>
      <c r="R920" s="5" t="str">
        <f t="shared" si="1"/>
        <v/>
      </c>
    </row>
    <row r="921" ht="15.75" customHeight="1">
      <c r="B921" s="26"/>
      <c r="P921" s="26"/>
      <c r="Q921" s="26"/>
      <c r="R921" s="5" t="str">
        <f t="shared" si="1"/>
        <v/>
      </c>
    </row>
    <row r="922" ht="15.75" customHeight="1">
      <c r="B922" s="26"/>
      <c r="P922" s="26"/>
      <c r="Q922" s="26"/>
      <c r="R922" s="5" t="str">
        <f t="shared" si="1"/>
        <v/>
      </c>
    </row>
    <row r="923" ht="15.75" customHeight="1">
      <c r="B923" s="26"/>
      <c r="P923" s="26"/>
      <c r="Q923" s="26"/>
      <c r="R923" s="5" t="str">
        <f t="shared" si="1"/>
        <v/>
      </c>
    </row>
    <row r="924" ht="15.75" customHeight="1">
      <c r="B924" s="26"/>
      <c r="P924" s="26"/>
      <c r="Q924" s="26"/>
      <c r="R924" s="5" t="str">
        <f t="shared" si="1"/>
        <v/>
      </c>
    </row>
    <row r="925" ht="15.75" customHeight="1">
      <c r="B925" s="26"/>
      <c r="P925" s="26"/>
      <c r="Q925" s="26"/>
      <c r="R925" s="5" t="str">
        <f t="shared" si="1"/>
        <v/>
      </c>
    </row>
    <row r="926" ht="15.75" customHeight="1">
      <c r="B926" s="26"/>
      <c r="P926" s="26"/>
      <c r="Q926" s="26"/>
      <c r="R926" s="5" t="str">
        <f t="shared" si="1"/>
        <v/>
      </c>
    </row>
    <row r="927" ht="15.75" customHeight="1">
      <c r="B927" s="26"/>
      <c r="P927" s="26"/>
      <c r="Q927" s="26"/>
      <c r="R927" s="5" t="str">
        <f t="shared" si="1"/>
        <v/>
      </c>
    </row>
    <row r="928" ht="15.75" customHeight="1">
      <c r="B928" s="26"/>
      <c r="P928" s="26"/>
      <c r="Q928" s="26"/>
      <c r="R928" s="5" t="str">
        <f t="shared" si="1"/>
        <v/>
      </c>
    </row>
    <row r="929" ht="15.75" customHeight="1">
      <c r="B929" s="26"/>
      <c r="P929" s="26"/>
      <c r="Q929" s="26"/>
      <c r="R929" s="5" t="str">
        <f t="shared" si="1"/>
        <v/>
      </c>
    </row>
    <row r="930" ht="15.75" customHeight="1">
      <c r="B930" s="26"/>
      <c r="P930" s="26"/>
      <c r="Q930" s="26"/>
      <c r="R930" s="5" t="str">
        <f t="shared" si="1"/>
        <v/>
      </c>
    </row>
    <row r="931" ht="15.75" customHeight="1">
      <c r="B931" s="26"/>
      <c r="P931" s="26"/>
      <c r="Q931" s="26"/>
      <c r="R931" s="5" t="str">
        <f t="shared" si="1"/>
        <v/>
      </c>
    </row>
    <row r="932" ht="15.75" customHeight="1">
      <c r="B932" s="26"/>
      <c r="P932" s="26"/>
      <c r="Q932" s="26"/>
      <c r="R932" s="5" t="str">
        <f t="shared" si="1"/>
        <v/>
      </c>
    </row>
    <row r="933" ht="15.75" customHeight="1">
      <c r="B933" s="26"/>
      <c r="P933" s="26"/>
      <c r="Q933" s="26"/>
      <c r="R933" s="5" t="str">
        <f t="shared" si="1"/>
        <v/>
      </c>
    </row>
    <row r="934" ht="15.75" customHeight="1">
      <c r="B934" s="26"/>
      <c r="P934" s="26"/>
      <c r="Q934" s="26"/>
      <c r="R934" s="5" t="str">
        <f t="shared" si="1"/>
        <v/>
      </c>
    </row>
    <row r="935" ht="15.75" customHeight="1">
      <c r="B935" s="26"/>
      <c r="P935" s="26"/>
      <c r="Q935" s="26"/>
      <c r="R935" s="5" t="str">
        <f t="shared" si="1"/>
        <v/>
      </c>
    </row>
    <row r="936" ht="15.75" customHeight="1">
      <c r="B936" s="26"/>
      <c r="P936" s="26"/>
      <c r="Q936" s="26"/>
      <c r="R936" s="5" t="str">
        <f t="shared" si="1"/>
        <v/>
      </c>
    </row>
    <row r="937" ht="15.75" customHeight="1">
      <c r="B937" s="26"/>
      <c r="P937" s="26"/>
      <c r="Q937" s="26"/>
      <c r="R937" s="5" t="str">
        <f t="shared" si="1"/>
        <v/>
      </c>
    </row>
    <row r="938" ht="15.75" customHeight="1">
      <c r="B938" s="26"/>
      <c r="P938" s="26"/>
      <c r="Q938" s="26"/>
      <c r="R938" s="5" t="str">
        <f t="shared" si="1"/>
        <v/>
      </c>
    </row>
    <row r="939" ht="15.75" customHeight="1">
      <c r="B939" s="26"/>
      <c r="P939" s="26"/>
      <c r="Q939" s="26"/>
      <c r="R939" s="5" t="str">
        <f t="shared" si="1"/>
        <v/>
      </c>
    </row>
    <row r="940" ht="15.75" customHeight="1">
      <c r="B940" s="26"/>
      <c r="P940" s="26"/>
      <c r="Q940" s="26"/>
      <c r="R940" s="5" t="str">
        <f t="shared" si="1"/>
        <v/>
      </c>
    </row>
    <row r="941" ht="15.75" customHeight="1">
      <c r="B941" s="26"/>
      <c r="P941" s="26"/>
      <c r="Q941" s="26"/>
      <c r="R941" s="5" t="str">
        <f t="shared" si="1"/>
        <v/>
      </c>
    </row>
    <row r="942" ht="15.75" customHeight="1">
      <c r="B942" s="26"/>
      <c r="P942" s="26"/>
      <c r="Q942" s="26"/>
      <c r="R942" s="5" t="str">
        <f t="shared" si="1"/>
        <v/>
      </c>
    </row>
    <row r="943" ht="15.75" customHeight="1">
      <c r="B943" s="26"/>
      <c r="P943" s="26"/>
      <c r="Q943" s="26"/>
      <c r="R943" s="5" t="str">
        <f t="shared" si="1"/>
        <v/>
      </c>
    </row>
    <row r="944" ht="15.75" customHeight="1">
      <c r="B944" s="26"/>
      <c r="P944" s="26"/>
      <c r="Q944" s="26"/>
      <c r="R944" s="5" t="str">
        <f t="shared" si="1"/>
        <v/>
      </c>
    </row>
    <row r="945" ht="15.75" customHeight="1">
      <c r="B945" s="26"/>
      <c r="P945" s="26"/>
      <c r="Q945" s="26"/>
      <c r="R945" s="5" t="str">
        <f t="shared" si="1"/>
        <v/>
      </c>
    </row>
    <row r="946" ht="15.75" customHeight="1">
      <c r="B946" s="26"/>
      <c r="P946" s="26"/>
      <c r="Q946" s="26"/>
      <c r="R946" s="5" t="str">
        <f t="shared" si="1"/>
        <v/>
      </c>
    </row>
    <row r="947" ht="15.75" customHeight="1">
      <c r="B947" s="26"/>
      <c r="P947" s="26"/>
      <c r="Q947" s="26"/>
      <c r="R947" s="5" t="str">
        <f t="shared" si="1"/>
        <v/>
      </c>
    </row>
    <row r="948" ht="15.75" customHeight="1">
      <c r="B948" s="26"/>
      <c r="P948" s="26"/>
      <c r="Q948" s="26"/>
      <c r="R948" s="5" t="str">
        <f t="shared" si="1"/>
        <v/>
      </c>
    </row>
    <row r="949" ht="15.75" customHeight="1">
      <c r="B949" s="26"/>
      <c r="P949" s="26"/>
      <c r="Q949" s="26"/>
      <c r="R949" s="5" t="str">
        <f t="shared" si="1"/>
        <v/>
      </c>
    </row>
    <row r="950" ht="15.75" customHeight="1">
      <c r="B950" s="26"/>
      <c r="P950" s="26"/>
      <c r="Q950" s="26"/>
      <c r="R950" s="5" t="str">
        <f t="shared" si="1"/>
        <v/>
      </c>
    </row>
    <row r="951" ht="15.75" customHeight="1">
      <c r="B951" s="26"/>
      <c r="P951" s="26"/>
      <c r="Q951" s="26"/>
      <c r="R951" s="5" t="str">
        <f t="shared" si="1"/>
        <v/>
      </c>
    </row>
    <row r="952" ht="15.75" customHeight="1">
      <c r="B952" s="26"/>
      <c r="P952" s="26"/>
      <c r="Q952" s="26"/>
      <c r="R952" s="5" t="str">
        <f t="shared" si="1"/>
        <v/>
      </c>
    </row>
    <row r="953" ht="15.75" customHeight="1">
      <c r="B953" s="26"/>
      <c r="P953" s="26"/>
      <c r="Q953" s="26"/>
      <c r="R953" s="5" t="str">
        <f t="shared" si="1"/>
        <v/>
      </c>
    </row>
    <row r="954" ht="15.75" customHeight="1">
      <c r="B954" s="26"/>
      <c r="P954" s="26"/>
      <c r="Q954" s="26"/>
      <c r="R954" s="5" t="str">
        <f t="shared" si="1"/>
        <v/>
      </c>
    </row>
    <row r="955" ht="15.75" customHeight="1">
      <c r="B955" s="26"/>
      <c r="P955" s="26"/>
      <c r="Q955" s="26"/>
      <c r="R955" s="5" t="str">
        <f t="shared" si="1"/>
        <v/>
      </c>
    </row>
    <row r="956" ht="15.75" customHeight="1">
      <c r="B956" s="26"/>
      <c r="P956" s="26"/>
      <c r="Q956" s="26"/>
      <c r="R956" s="5" t="str">
        <f t="shared" si="1"/>
        <v/>
      </c>
    </row>
    <row r="957" ht="15.75" customHeight="1">
      <c r="B957" s="26"/>
      <c r="P957" s="26"/>
      <c r="Q957" s="26"/>
      <c r="R957" s="5" t="str">
        <f t="shared" si="1"/>
        <v/>
      </c>
    </row>
    <row r="958" ht="15.75" customHeight="1">
      <c r="B958" s="26"/>
      <c r="P958" s="26"/>
      <c r="Q958" s="26"/>
      <c r="R958" s="5" t="str">
        <f t="shared" si="1"/>
        <v/>
      </c>
    </row>
    <row r="959" ht="15.75" customHeight="1">
      <c r="B959" s="26"/>
      <c r="P959" s="26"/>
      <c r="Q959" s="26"/>
      <c r="R959" s="5" t="str">
        <f t="shared" si="1"/>
        <v/>
      </c>
    </row>
    <row r="960" ht="15.75" customHeight="1">
      <c r="B960" s="26"/>
      <c r="P960" s="26"/>
      <c r="Q960" s="26"/>
      <c r="R960" s="5" t="str">
        <f t="shared" si="1"/>
        <v/>
      </c>
    </row>
    <row r="961" ht="15.75" customHeight="1">
      <c r="B961" s="26"/>
      <c r="P961" s="26"/>
      <c r="Q961" s="26"/>
      <c r="R961" s="5" t="str">
        <f t="shared" si="1"/>
        <v/>
      </c>
    </row>
    <row r="962" ht="15.75" customHeight="1">
      <c r="B962" s="26"/>
      <c r="P962" s="26"/>
      <c r="Q962" s="26"/>
      <c r="R962" s="5" t="str">
        <f t="shared" si="1"/>
        <v/>
      </c>
    </row>
    <row r="963" ht="15.75" customHeight="1">
      <c r="B963" s="26"/>
      <c r="P963" s="26"/>
      <c r="Q963" s="26"/>
      <c r="R963" s="5" t="str">
        <f t="shared" si="1"/>
        <v/>
      </c>
    </row>
    <row r="964" ht="15.75" customHeight="1">
      <c r="B964" s="26"/>
      <c r="P964" s="26"/>
      <c r="Q964" s="26"/>
      <c r="R964" s="5" t="str">
        <f t="shared" si="1"/>
        <v/>
      </c>
    </row>
    <row r="965" ht="15.75" customHeight="1">
      <c r="B965" s="26"/>
      <c r="P965" s="26"/>
      <c r="Q965" s="26"/>
      <c r="R965" s="5" t="str">
        <f t="shared" si="1"/>
        <v/>
      </c>
    </row>
    <row r="966" ht="15.75" customHeight="1">
      <c r="B966" s="26"/>
      <c r="P966" s="26"/>
      <c r="Q966" s="26"/>
      <c r="R966" s="5" t="str">
        <f t="shared" si="1"/>
        <v/>
      </c>
    </row>
    <row r="967" ht="15.75" customHeight="1">
      <c r="B967" s="26"/>
      <c r="P967" s="26"/>
      <c r="Q967" s="26"/>
      <c r="R967" s="5" t="str">
        <f t="shared" si="1"/>
        <v/>
      </c>
    </row>
    <row r="968" ht="15.75" customHeight="1">
      <c r="B968" s="26"/>
      <c r="P968" s="26"/>
      <c r="Q968" s="26"/>
      <c r="R968" s="5" t="str">
        <f t="shared" si="1"/>
        <v/>
      </c>
    </row>
    <row r="969" ht="15.75" customHeight="1">
      <c r="B969" s="26"/>
      <c r="P969" s="26"/>
      <c r="Q969" s="26"/>
      <c r="R969" s="5" t="str">
        <f t="shared" si="1"/>
        <v/>
      </c>
    </row>
    <row r="970" ht="15.75" customHeight="1">
      <c r="B970" s="26"/>
      <c r="P970" s="26"/>
      <c r="Q970" s="26"/>
      <c r="R970" s="5" t="str">
        <f t="shared" si="1"/>
        <v/>
      </c>
    </row>
    <row r="971" ht="15.75" customHeight="1">
      <c r="B971" s="26"/>
      <c r="P971" s="26"/>
      <c r="Q971" s="26"/>
      <c r="R971" s="5" t="str">
        <f t="shared" si="1"/>
        <v/>
      </c>
    </row>
    <row r="972" ht="15.75" customHeight="1">
      <c r="B972" s="26"/>
      <c r="P972" s="26"/>
      <c r="Q972" s="26"/>
      <c r="R972" s="5" t="str">
        <f t="shared" si="1"/>
        <v/>
      </c>
    </row>
    <row r="973" ht="15.75" customHeight="1">
      <c r="B973" s="26"/>
      <c r="P973" s="26"/>
      <c r="Q973" s="26"/>
      <c r="R973" s="5" t="str">
        <f t="shared" si="1"/>
        <v/>
      </c>
    </row>
    <row r="974" ht="15.75" customHeight="1">
      <c r="B974" s="26"/>
      <c r="P974" s="26"/>
      <c r="Q974" s="26"/>
      <c r="R974" s="5" t="str">
        <f t="shared" si="1"/>
        <v/>
      </c>
    </row>
    <row r="975" ht="15.75" customHeight="1">
      <c r="B975" s="26"/>
      <c r="P975" s="26"/>
      <c r="Q975" s="26"/>
      <c r="R975" s="5" t="str">
        <f t="shared" si="1"/>
        <v/>
      </c>
    </row>
    <row r="976" ht="15.75" customHeight="1">
      <c r="B976" s="26"/>
      <c r="P976" s="26"/>
      <c r="Q976" s="26"/>
      <c r="R976" s="5" t="str">
        <f t="shared" si="1"/>
        <v/>
      </c>
    </row>
    <row r="977" ht="15.75" customHeight="1">
      <c r="B977" s="26"/>
      <c r="P977" s="26"/>
      <c r="Q977" s="26"/>
      <c r="R977" s="5" t="str">
        <f t="shared" si="1"/>
        <v/>
      </c>
    </row>
    <row r="978" ht="15.75" customHeight="1">
      <c r="B978" s="26"/>
      <c r="P978" s="26"/>
      <c r="Q978" s="26"/>
      <c r="R978" s="5" t="str">
        <f t="shared" si="1"/>
        <v/>
      </c>
    </row>
    <row r="979" ht="15.75" customHeight="1">
      <c r="B979" s="26"/>
      <c r="P979" s="26"/>
      <c r="Q979" s="26"/>
      <c r="R979" s="5" t="str">
        <f t="shared" si="1"/>
        <v/>
      </c>
    </row>
    <row r="980" ht="15.75" customHeight="1">
      <c r="B980" s="26"/>
      <c r="P980" s="26"/>
      <c r="Q980" s="26"/>
      <c r="R980" s="5" t="str">
        <f t="shared" si="1"/>
        <v/>
      </c>
    </row>
    <row r="981" ht="15.75" customHeight="1">
      <c r="B981" s="26"/>
      <c r="P981" s="26"/>
      <c r="Q981" s="26"/>
      <c r="R981" s="5" t="str">
        <f t="shared" si="1"/>
        <v/>
      </c>
    </row>
    <row r="982" ht="15.75" customHeight="1">
      <c r="B982" s="26"/>
      <c r="P982" s="26"/>
      <c r="Q982" s="26"/>
      <c r="R982" s="5" t="str">
        <f t="shared" si="1"/>
        <v/>
      </c>
    </row>
    <row r="983" ht="15.75" customHeight="1">
      <c r="B983" s="26"/>
      <c r="P983" s="26"/>
      <c r="Q983" s="26"/>
      <c r="R983" s="5" t="str">
        <f t="shared" si="1"/>
        <v/>
      </c>
    </row>
    <row r="984" ht="15.75" customHeight="1">
      <c r="B984" s="26"/>
      <c r="P984" s="26"/>
      <c r="Q984" s="26"/>
      <c r="R984" s="5" t="str">
        <f t="shared" si="1"/>
        <v/>
      </c>
    </row>
    <row r="985" ht="15.75" customHeight="1">
      <c r="B985" s="26"/>
      <c r="P985" s="26"/>
      <c r="Q985" s="26"/>
      <c r="R985" s="5" t="str">
        <f t="shared" si="1"/>
        <v/>
      </c>
    </row>
    <row r="986" ht="15.75" customHeight="1">
      <c r="B986" s="26"/>
      <c r="P986" s="26"/>
      <c r="Q986" s="26"/>
      <c r="R986" s="5" t="str">
        <f t="shared" si="1"/>
        <v/>
      </c>
    </row>
    <row r="987" ht="15.75" customHeight="1">
      <c r="B987" s="26"/>
      <c r="P987" s="26"/>
      <c r="Q987" s="26"/>
      <c r="R987" s="5" t="str">
        <f t="shared" si="1"/>
        <v/>
      </c>
    </row>
    <row r="988" ht="15.75" customHeight="1">
      <c r="B988" s="26"/>
      <c r="P988" s="26"/>
      <c r="Q988" s="26"/>
      <c r="R988" s="5" t="str">
        <f t="shared" si="1"/>
        <v/>
      </c>
    </row>
    <row r="989" ht="15.75" customHeight="1">
      <c r="B989" s="26"/>
      <c r="P989" s="26"/>
      <c r="Q989" s="26"/>
      <c r="R989" s="5" t="str">
        <f t="shared" si="1"/>
        <v/>
      </c>
    </row>
    <row r="990" ht="15.75" customHeight="1">
      <c r="B990" s="26"/>
      <c r="P990" s="26"/>
      <c r="Q990" s="26"/>
      <c r="R990" s="5" t="str">
        <f t="shared" si="1"/>
        <v/>
      </c>
    </row>
    <row r="991" ht="15.75" customHeight="1">
      <c r="B991" s="26"/>
      <c r="P991" s="26"/>
      <c r="Q991" s="26"/>
      <c r="R991" s="5" t="str">
        <f t="shared" si="1"/>
        <v/>
      </c>
    </row>
    <row r="992" ht="15.75" customHeight="1">
      <c r="B992" s="26"/>
      <c r="P992" s="26"/>
      <c r="Q992" s="26"/>
      <c r="R992" s="5" t="str">
        <f t="shared" si="1"/>
        <v/>
      </c>
    </row>
    <row r="993" ht="15.75" customHeight="1">
      <c r="B993" s="26"/>
      <c r="P993" s="26"/>
      <c r="Q993" s="26"/>
      <c r="R993" s="5" t="str">
        <f t="shared" si="1"/>
        <v/>
      </c>
    </row>
    <row r="994" ht="15.75" customHeight="1">
      <c r="B994" s="26"/>
      <c r="P994" s="26"/>
      <c r="Q994" s="26"/>
      <c r="R994" s="5" t="str">
        <f t="shared" si="1"/>
        <v/>
      </c>
    </row>
    <row r="995" ht="15.75" customHeight="1">
      <c r="B995" s="26"/>
      <c r="P995" s="26"/>
      <c r="Q995" s="26"/>
      <c r="R995" s="5" t="str">
        <f t="shared" si="1"/>
        <v/>
      </c>
    </row>
    <row r="996" ht="15.75" customHeight="1">
      <c r="B996" s="26"/>
      <c r="P996" s="26"/>
      <c r="Q996" s="26"/>
      <c r="R996" s="5" t="str">
        <f t="shared" si="1"/>
        <v/>
      </c>
    </row>
    <row r="997" ht="15.75" customHeight="1">
      <c r="B997" s="26"/>
      <c r="P997" s="26"/>
      <c r="Q997" s="26"/>
      <c r="R997" s="5" t="str">
        <f t="shared" si="1"/>
        <v/>
      </c>
    </row>
    <row r="998" ht="15.75" customHeight="1">
      <c r="B998" s="26"/>
      <c r="P998" s="26"/>
      <c r="Q998" s="26"/>
      <c r="R998" s="5" t="str">
        <f t="shared" si="1"/>
        <v/>
      </c>
    </row>
    <row r="999" ht="15.75" customHeight="1">
      <c r="B999" s="26"/>
      <c r="P999" s="26"/>
      <c r="Q999" s="26"/>
      <c r="R999" s="5" t="str">
        <f t="shared" si="1"/>
        <v/>
      </c>
    </row>
    <row r="1000" ht="15.75" customHeight="1">
      <c r="B1000" s="26"/>
      <c r="P1000" s="26"/>
      <c r="Q1000" s="26"/>
      <c r="R1000" s="5" t="str">
        <f t="shared" si="1"/>
        <v/>
      </c>
    </row>
    <row r="1001" ht="15.75" customHeight="1">
      <c r="R1001" s="5" t="str">
        <f t="shared" si="1"/>
        <v/>
      </c>
    </row>
    <row r="1002" ht="15.75" customHeight="1">
      <c r="R1002" s="5" t="str">
        <f t="shared" si="1"/>
        <v/>
      </c>
    </row>
    <row r="1003" ht="15.75" customHeight="1">
      <c r="R1003" s="5" t="str">
        <f t="shared" si="1"/>
        <v/>
      </c>
    </row>
    <row r="1004" ht="15.75" customHeight="1">
      <c r="R1004" s="5" t="str">
        <f t="shared" si="1"/>
        <v/>
      </c>
    </row>
  </sheetData>
  <customSheetViews>
    <customSheetView guid="{A76730C1-1583-4F9B-8177-E044F97979EE}" filter="1" showAutoFilter="1">
      <autoFilter ref="$A$4:$S$5"/>
      <extLst>
        <ext uri="GoogleSheetsCustomDataVersion1">
          <go:sheetsCustomData xmlns:go="http://customooxmlschemas.google.com/" filterViewId="1777787741"/>
        </ext>
      </extLst>
    </customSheetView>
  </customSheetViews>
  <mergeCells count="2">
    <mergeCell ref="A1:H1"/>
    <mergeCell ref="A2:L2"/>
  </mergeCells>
  <printOptions/>
  <pageMargins bottom="1.0" footer="0.0" header="0.0" left="0.75" right="0.75" top="1.0"/>
  <pageSetup fitToHeight="0" orientation="landscape"/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14.0"/>
    <col customWidth="1" min="3" max="3" width="18.0"/>
    <col customWidth="1" min="4" max="5" width="24.0"/>
    <col customWidth="1" min="6" max="6" width="16.0"/>
    <col customWidth="1" min="7" max="12" width="14.0"/>
    <col customWidth="1" min="13" max="14" width="18.0"/>
    <col customWidth="1" min="15" max="15" width="35.0"/>
  </cols>
  <sheetData>
    <row r="1">
      <c r="A1" s="1" t="s">
        <v>417</v>
      </c>
    </row>
    <row r="2">
      <c r="A2" s="2" t="s">
        <v>418</v>
      </c>
    </row>
    <row r="4">
      <c r="A4" s="7" t="s">
        <v>419</v>
      </c>
      <c r="B4" s="7" t="s">
        <v>388</v>
      </c>
      <c r="C4" s="7" t="s">
        <v>238</v>
      </c>
      <c r="D4" s="7" t="s">
        <v>240</v>
      </c>
      <c r="E4" s="7" t="s">
        <v>242</v>
      </c>
      <c r="F4" s="7" t="s">
        <v>4</v>
      </c>
      <c r="G4" s="7" t="s">
        <v>420</v>
      </c>
      <c r="H4" s="7" t="s">
        <v>421</v>
      </c>
      <c r="I4" s="7" t="s">
        <v>422</v>
      </c>
      <c r="J4" s="7" t="s">
        <v>423</v>
      </c>
      <c r="K4" s="7" t="s">
        <v>249</v>
      </c>
      <c r="L4" s="7" t="s">
        <v>424</v>
      </c>
      <c r="M4" s="7" t="s">
        <v>361</v>
      </c>
      <c r="N4" s="7" t="s">
        <v>319</v>
      </c>
      <c r="O4" s="7" t="s">
        <v>359</v>
      </c>
    </row>
    <row r="5">
      <c r="B5" s="25"/>
      <c r="K5" s="29" t="str">
        <f>IF(J5="Yes",IFERROR(VLOOKUP(C5,'14_Master_Employees'!A:G,7,FALSE),""),"")</f>
        <v/>
      </c>
      <c r="L5" s="29" t="str">
        <f t="shared" ref="L5:L2004" si="1">IF(OR(I5="",K5=""),"",I5*K5)</f>
        <v/>
      </c>
    </row>
    <row r="6">
      <c r="B6" s="26"/>
      <c r="K6" s="5" t="str">
        <f>IF(J6="Yes",IFERROR(VLOOKUP(C6,'14_Master_Employees'!A:G,7,FALSE),""),"")</f>
        <v/>
      </c>
      <c r="L6" s="5" t="str">
        <f t="shared" si="1"/>
        <v/>
      </c>
    </row>
    <row r="7">
      <c r="B7" s="26"/>
      <c r="K7" s="5" t="str">
        <f>IF(J7="Yes",IFERROR(VLOOKUP(C7,'14_Master_Employees'!A:G,7,FALSE),""),"")</f>
        <v/>
      </c>
      <c r="L7" s="5" t="str">
        <f t="shared" si="1"/>
        <v/>
      </c>
    </row>
    <row r="8">
      <c r="B8" s="26"/>
      <c r="K8" s="5" t="str">
        <f>IF(J8="Yes",IFERROR(VLOOKUP(C8,'14_Master_Employees'!A:G,7,FALSE),""),"")</f>
        <v/>
      </c>
      <c r="L8" s="5" t="str">
        <f t="shared" si="1"/>
        <v/>
      </c>
    </row>
    <row r="9">
      <c r="B9" s="26"/>
      <c r="K9" s="5" t="str">
        <f>IF(J9="Yes",IFERROR(VLOOKUP(C9,'14_Master_Employees'!A:G,7,FALSE),""),"")</f>
        <v/>
      </c>
      <c r="L9" s="5" t="str">
        <f t="shared" si="1"/>
        <v/>
      </c>
    </row>
    <row r="10">
      <c r="B10" s="26"/>
      <c r="K10" s="5" t="str">
        <f>IF(J10="Yes",IFERROR(VLOOKUP(C10,'14_Master_Employees'!A:G,7,FALSE),""),"")</f>
        <v/>
      </c>
      <c r="L10" s="5" t="str">
        <f t="shared" si="1"/>
        <v/>
      </c>
    </row>
    <row r="11">
      <c r="B11" s="26"/>
      <c r="K11" s="5" t="str">
        <f>IF(J11="Yes",IFERROR(VLOOKUP(C11,'14_Master_Employees'!A:G,7,FALSE),""),"")</f>
        <v/>
      </c>
      <c r="L11" s="5" t="str">
        <f t="shared" si="1"/>
        <v/>
      </c>
    </row>
    <row r="12">
      <c r="B12" s="26"/>
      <c r="K12" s="5" t="str">
        <f>IF(J12="Yes",IFERROR(VLOOKUP(C12,'14_Master_Employees'!A:G,7,FALSE),""),"")</f>
        <v/>
      </c>
      <c r="L12" s="5" t="str">
        <f t="shared" si="1"/>
        <v/>
      </c>
    </row>
    <row r="13">
      <c r="B13" s="26"/>
      <c r="K13" s="5" t="str">
        <f>IF(J13="Yes",IFERROR(VLOOKUP(C13,'14_Master_Employees'!A:G,7,FALSE),""),"")</f>
        <v/>
      </c>
      <c r="L13" s="5" t="str">
        <f t="shared" si="1"/>
        <v/>
      </c>
    </row>
    <row r="14">
      <c r="B14" s="26"/>
      <c r="K14" s="5" t="str">
        <f>IF(J14="Yes",IFERROR(VLOOKUP(C14,'14_Master_Employees'!A:G,7,FALSE),""),"")</f>
        <v/>
      </c>
      <c r="L14" s="5" t="str">
        <f t="shared" si="1"/>
        <v/>
      </c>
    </row>
    <row r="15">
      <c r="B15" s="26"/>
      <c r="K15" s="5" t="str">
        <f>IF(J15="Yes",IFERROR(VLOOKUP(C15,'14_Master_Employees'!A:G,7,FALSE),""),"")</f>
        <v/>
      </c>
      <c r="L15" s="5" t="str">
        <f t="shared" si="1"/>
        <v/>
      </c>
    </row>
    <row r="16">
      <c r="B16" s="26"/>
      <c r="K16" s="5" t="str">
        <f>IF(J16="Yes",IFERROR(VLOOKUP(C16,'14_Master_Employees'!A:G,7,FALSE),""),"")</f>
        <v/>
      </c>
      <c r="L16" s="5" t="str">
        <f t="shared" si="1"/>
        <v/>
      </c>
    </row>
    <row r="17">
      <c r="B17" s="26"/>
      <c r="K17" s="5" t="str">
        <f>IF(J17="Yes",IFERROR(VLOOKUP(C17,'14_Master_Employees'!A:G,7,FALSE),""),"")</f>
        <v/>
      </c>
      <c r="L17" s="5" t="str">
        <f t="shared" si="1"/>
        <v/>
      </c>
    </row>
    <row r="18">
      <c r="B18" s="26"/>
      <c r="K18" s="5" t="str">
        <f>IF(J18="Yes",IFERROR(VLOOKUP(C18,'14_Master_Employees'!A:G,7,FALSE),""),"")</f>
        <v/>
      </c>
      <c r="L18" s="5" t="str">
        <f t="shared" si="1"/>
        <v/>
      </c>
    </row>
    <row r="19">
      <c r="B19" s="26"/>
      <c r="K19" s="5" t="str">
        <f>IF(J19="Yes",IFERROR(VLOOKUP(C19,'14_Master_Employees'!A:G,7,FALSE),""),"")</f>
        <v/>
      </c>
      <c r="L19" s="5" t="str">
        <f t="shared" si="1"/>
        <v/>
      </c>
    </row>
    <row r="20">
      <c r="B20" s="26"/>
      <c r="K20" s="5" t="str">
        <f>IF(J20="Yes",IFERROR(VLOOKUP(C20,'14_Master_Employees'!A:G,7,FALSE),""),"")</f>
        <v/>
      </c>
      <c r="L20" s="5" t="str">
        <f t="shared" si="1"/>
        <v/>
      </c>
    </row>
    <row r="21" ht="15.75" customHeight="1">
      <c r="B21" s="26"/>
      <c r="K21" s="5" t="str">
        <f>IF(J21="Yes",IFERROR(VLOOKUP(C21,'14_Master_Employees'!A:G,7,FALSE),""),"")</f>
        <v/>
      </c>
      <c r="L21" s="5" t="str">
        <f t="shared" si="1"/>
        <v/>
      </c>
    </row>
    <row r="22" ht="15.75" customHeight="1">
      <c r="B22" s="26"/>
      <c r="K22" s="5" t="str">
        <f>IF(J22="Yes",IFERROR(VLOOKUP(C22,'14_Master_Employees'!A:G,7,FALSE),""),"")</f>
        <v/>
      </c>
      <c r="L22" s="5" t="str">
        <f t="shared" si="1"/>
        <v/>
      </c>
    </row>
    <row r="23" ht="15.75" customHeight="1">
      <c r="B23" s="26"/>
      <c r="K23" s="5" t="str">
        <f>IF(J23="Yes",IFERROR(VLOOKUP(C23,'14_Master_Employees'!A:G,7,FALSE),""),"")</f>
        <v/>
      </c>
      <c r="L23" s="5" t="str">
        <f t="shared" si="1"/>
        <v/>
      </c>
    </row>
    <row r="24" ht="15.75" customHeight="1">
      <c r="B24" s="26"/>
      <c r="K24" s="5" t="str">
        <f>IF(J24="Yes",IFERROR(VLOOKUP(C24,'14_Master_Employees'!A:G,7,FALSE),""),"")</f>
        <v/>
      </c>
      <c r="L24" s="5" t="str">
        <f t="shared" si="1"/>
        <v/>
      </c>
    </row>
    <row r="25" ht="15.75" customHeight="1">
      <c r="B25" s="26"/>
      <c r="K25" s="5" t="str">
        <f>IF(J25="Yes",IFERROR(VLOOKUP(C25,'14_Master_Employees'!A:G,7,FALSE),""),"")</f>
        <v/>
      </c>
      <c r="L25" s="5" t="str">
        <f t="shared" si="1"/>
        <v/>
      </c>
    </row>
    <row r="26" ht="15.75" customHeight="1">
      <c r="B26" s="26"/>
      <c r="K26" s="5" t="str">
        <f>IF(J26="Yes",IFERROR(VLOOKUP(C26,'14_Master_Employees'!A:G,7,FALSE),""),"")</f>
        <v/>
      </c>
      <c r="L26" s="5" t="str">
        <f t="shared" si="1"/>
        <v/>
      </c>
    </row>
    <row r="27" ht="15.75" customHeight="1">
      <c r="B27" s="26"/>
      <c r="K27" s="5" t="str">
        <f>IF(J27="Yes",IFERROR(VLOOKUP(C27,'14_Master_Employees'!A:G,7,FALSE),""),"")</f>
        <v/>
      </c>
      <c r="L27" s="5" t="str">
        <f t="shared" si="1"/>
        <v/>
      </c>
    </row>
    <row r="28" ht="15.75" customHeight="1">
      <c r="B28" s="26"/>
      <c r="K28" s="5" t="str">
        <f>IF(J28="Yes",IFERROR(VLOOKUP(C28,'14_Master_Employees'!A:G,7,FALSE),""),"")</f>
        <v/>
      </c>
      <c r="L28" s="5" t="str">
        <f t="shared" si="1"/>
        <v/>
      </c>
    </row>
    <row r="29" ht="15.75" customHeight="1">
      <c r="B29" s="26"/>
      <c r="K29" s="5" t="str">
        <f>IF(J29="Yes",IFERROR(VLOOKUP(C29,'14_Master_Employees'!A:G,7,FALSE),""),"")</f>
        <v/>
      </c>
      <c r="L29" s="5" t="str">
        <f t="shared" si="1"/>
        <v/>
      </c>
    </row>
    <row r="30" ht="15.75" customHeight="1">
      <c r="B30" s="26"/>
      <c r="K30" s="5" t="str">
        <f>IF(J30="Yes",IFERROR(VLOOKUP(C30,'14_Master_Employees'!A:G,7,FALSE),""),"")</f>
        <v/>
      </c>
      <c r="L30" s="5" t="str">
        <f t="shared" si="1"/>
        <v/>
      </c>
    </row>
    <row r="31" ht="15.75" customHeight="1">
      <c r="B31" s="26"/>
      <c r="K31" s="5" t="str">
        <f>IF(J31="Yes",IFERROR(VLOOKUP(C31,'14_Master_Employees'!A:G,7,FALSE),""),"")</f>
        <v/>
      </c>
      <c r="L31" s="5" t="str">
        <f t="shared" si="1"/>
        <v/>
      </c>
    </row>
    <row r="32" ht="15.75" customHeight="1">
      <c r="B32" s="26"/>
      <c r="K32" s="5" t="str">
        <f>IF(J32="Yes",IFERROR(VLOOKUP(C32,'14_Master_Employees'!A:G,7,FALSE),""),"")</f>
        <v/>
      </c>
      <c r="L32" s="5" t="str">
        <f t="shared" si="1"/>
        <v/>
      </c>
    </row>
    <row r="33" ht="15.75" customHeight="1">
      <c r="B33" s="26"/>
      <c r="K33" s="5" t="str">
        <f>IF(J33="Yes",IFERROR(VLOOKUP(C33,'14_Master_Employees'!A:G,7,FALSE),""),"")</f>
        <v/>
      </c>
      <c r="L33" s="5" t="str">
        <f t="shared" si="1"/>
        <v/>
      </c>
    </row>
    <row r="34" ht="15.75" customHeight="1">
      <c r="B34" s="26"/>
      <c r="K34" s="5" t="str">
        <f>IF(J34="Yes",IFERROR(VLOOKUP(C34,'14_Master_Employees'!A:G,7,FALSE),""),"")</f>
        <v/>
      </c>
      <c r="L34" s="5" t="str">
        <f t="shared" si="1"/>
        <v/>
      </c>
    </row>
    <row r="35" ht="15.75" customHeight="1">
      <c r="B35" s="26"/>
      <c r="K35" s="5" t="str">
        <f>IF(J35="Yes",IFERROR(VLOOKUP(C35,'14_Master_Employees'!A:G,7,FALSE),""),"")</f>
        <v/>
      </c>
      <c r="L35" s="5" t="str">
        <f t="shared" si="1"/>
        <v/>
      </c>
    </row>
    <row r="36" ht="15.75" customHeight="1">
      <c r="B36" s="26"/>
      <c r="K36" s="5" t="str">
        <f>IF(J36="Yes",IFERROR(VLOOKUP(C36,'14_Master_Employees'!A:G,7,FALSE),""),"")</f>
        <v/>
      </c>
      <c r="L36" s="5" t="str">
        <f t="shared" si="1"/>
        <v/>
      </c>
    </row>
    <row r="37" ht="15.75" customHeight="1">
      <c r="B37" s="26"/>
      <c r="K37" s="5" t="str">
        <f>IF(J37="Yes",IFERROR(VLOOKUP(C37,'14_Master_Employees'!A:G,7,FALSE),""),"")</f>
        <v/>
      </c>
      <c r="L37" s="5" t="str">
        <f t="shared" si="1"/>
        <v/>
      </c>
    </row>
    <row r="38" ht="15.75" customHeight="1">
      <c r="B38" s="26"/>
      <c r="K38" s="5" t="str">
        <f>IF(J38="Yes",IFERROR(VLOOKUP(C38,'14_Master_Employees'!A:G,7,FALSE),""),"")</f>
        <v/>
      </c>
      <c r="L38" s="5" t="str">
        <f t="shared" si="1"/>
        <v/>
      </c>
    </row>
    <row r="39" ht="15.75" customHeight="1">
      <c r="B39" s="26"/>
      <c r="K39" s="5" t="str">
        <f>IF(J39="Yes",IFERROR(VLOOKUP(C39,'14_Master_Employees'!A:G,7,FALSE),""),"")</f>
        <v/>
      </c>
      <c r="L39" s="5" t="str">
        <f t="shared" si="1"/>
        <v/>
      </c>
    </row>
    <row r="40" ht="15.75" customHeight="1">
      <c r="B40" s="26"/>
      <c r="K40" s="5" t="str">
        <f>IF(J40="Yes",IFERROR(VLOOKUP(C40,'14_Master_Employees'!A:G,7,FALSE),""),"")</f>
        <v/>
      </c>
      <c r="L40" s="5" t="str">
        <f t="shared" si="1"/>
        <v/>
      </c>
    </row>
    <row r="41" ht="15.75" customHeight="1">
      <c r="B41" s="26"/>
      <c r="K41" s="5" t="str">
        <f>IF(J41="Yes",IFERROR(VLOOKUP(C41,'14_Master_Employees'!A:G,7,FALSE),""),"")</f>
        <v/>
      </c>
      <c r="L41" s="5" t="str">
        <f t="shared" si="1"/>
        <v/>
      </c>
    </row>
    <row r="42" ht="15.75" customHeight="1">
      <c r="B42" s="26"/>
      <c r="K42" s="5" t="str">
        <f>IF(J42="Yes",IFERROR(VLOOKUP(C42,'14_Master_Employees'!A:G,7,FALSE),""),"")</f>
        <v/>
      </c>
      <c r="L42" s="5" t="str">
        <f t="shared" si="1"/>
        <v/>
      </c>
    </row>
    <row r="43" ht="15.75" customHeight="1">
      <c r="B43" s="26"/>
      <c r="K43" s="5" t="str">
        <f>IF(J43="Yes",IFERROR(VLOOKUP(C43,'14_Master_Employees'!A:G,7,FALSE),""),"")</f>
        <v/>
      </c>
      <c r="L43" s="5" t="str">
        <f t="shared" si="1"/>
        <v/>
      </c>
    </row>
    <row r="44" ht="15.75" customHeight="1">
      <c r="B44" s="26"/>
      <c r="K44" s="5" t="str">
        <f>IF(J44="Yes",IFERROR(VLOOKUP(C44,'14_Master_Employees'!A:G,7,FALSE),""),"")</f>
        <v/>
      </c>
      <c r="L44" s="5" t="str">
        <f t="shared" si="1"/>
        <v/>
      </c>
    </row>
    <row r="45" ht="15.75" customHeight="1">
      <c r="B45" s="26"/>
      <c r="K45" s="5" t="str">
        <f>IF(J45="Yes",IFERROR(VLOOKUP(C45,'14_Master_Employees'!A:G,7,FALSE),""),"")</f>
        <v/>
      </c>
      <c r="L45" s="5" t="str">
        <f t="shared" si="1"/>
        <v/>
      </c>
    </row>
    <row r="46" ht="15.75" customHeight="1">
      <c r="B46" s="26"/>
      <c r="K46" s="5" t="str">
        <f>IF(J46="Yes",IFERROR(VLOOKUP(C46,'14_Master_Employees'!A:G,7,FALSE),""),"")</f>
        <v/>
      </c>
      <c r="L46" s="5" t="str">
        <f t="shared" si="1"/>
        <v/>
      </c>
    </row>
    <row r="47" ht="15.75" customHeight="1">
      <c r="B47" s="26"/>
      <c r="K47" s="5" t="str">
        <f>IF(J47="Yes",IFERROR(VLOOKUP(C47,'14_Master_Employees'!A:G,7,FALSE),""),"")</f>
        <v/>
      </c>
      <c r="L47" s="5" t="str">
        <f t="shared" si="1"/>
        <v/>
      </c>
    </row>
    <row r="48" ht="15.75" customHeight="1">
      <c r="B48" s="26"/>
      <c r="K48" s="5" t="str">
        <f>IF(J48="Yes",IFERROR(VLOOKUP(C48,'14_Master_Employees'!A:G,7,FALSE),""),"")</f>
        <v/>
      </c>
      <c r="L48" s="5" t="str">
        <f t="shared" si="1"/>
        <v/>
      </c>
    </row>
    <row r="49" ht="15.75" customHeight="1">
      <c r="B49" s="26"/>
      <c r="K49" s="5" t="str">
        <f>IF(J49="Yes",IFERROR(VLOOKUP(C49,'14_Master_Employees'!A:G,7,FALSE),""),"")</f>
        <v/>
      </c>
      <c r="L49" s="5" t="str">
        <f t="shared" si="1"/>
        <v/>
      </c>
    </row>
    <row r="50" ht="15.75" customHeight="1">
      <c r="B50" s="26"/>
      <c r="K50" s="5" t="str">
        <f>IF(J50="Yes",IFERROR(VLOOKUP(C50,'14_Master_Employees'!A:G,7,FALSE),""),"")</f>
        <v/>
      </c>
      <c r="L50" s="5" t="str">
        <f t="shared" si="1"/>
        <v/>
      </c>
    </row>
    <row r="51" ht="15.75" customHeight="1">
      <c r="B51" s="26"/>
      <c r="K51" s="5" t="str">
        <f>IF(J51="Yes",IFERROR(VLOOKUP(C51,'14_Master_Employees'!A:G,7,FALSE),""),"")</f>
        <v/>
      </c>
      <c r="L51" s="5" t="str">
        <f t="shared" si="1"/>
        <v/>
      </c>
    </row>
    <row r="52" ht="15.75" customHeight="1">
      <c r="B52" s="26"/>
      <c r="K52" s="5" t="str">
        <f>IF(J52="Yes",IFERROR(VLOOKUP(C52,'14_Master_Employees'!A:G,7,FALSE),""),"")</f>
        <v/>
      </c>
      <c r="L52" s="5" t="str">
        <f t="shared" si="1"/>
        <v/>
      </c>
    </row>
    <row r="53" ht="15.75" customHeight="1">
      <c r="B53" s="26"/>
      <c r="K53" s="5" t="str">
        <f>IF(J53="Yes",IFERROR(VLOOKUP(C53,'14_Master_Employees'!A:G,7,FALSE),""),"")</f>
        <v/>
      </c>
      <c r="L53" s="5" t="str">
        <f t="shared" si="1"/>
        <v/>
      </c>
    </row>
    <row r="54" ht="15.75" customHeight="1">
      <c r="B54" s="26"/>
      <c r="K54" s="5" t="str">
        <f>IF(J54="Yes",IFERROR(VLOOKUP(C54,'14_Master_Employees'!A:G,7,FALSE),""),"")</f>
        <v/>
      </c>
      <c r="L54" s="5" t="str">
        <f t="shared" si="1"/>
        <v/>
      </c>
    </row>
    <row r="55" ht="15.75" customHeight="1">
      <c r="B55" s="26"/>
      <c r="K55" s="5" t="str">
        <f>IF(J55="Yes",IFERROR(VLOOKUP(C55,'14_Master_Employees'!A:G,7,FALSE),""),"")</f>
        <v/>
      </c>
      <c r="L55" s="5" t="str">
        <f t="shared" si="1"/>
        <v/>
      </c>
    </row>
    <row r="56" ht="15.75" customHeight="1">
      <c r="B56" s="26"/>
      <c r="K56" s="5" t="str">
        <f>IF(J56="Yes",IFERROR(VLOOKUP(C56,'14_Master_Employees'!A:G,7,FALSE),""),"")</f>
        <v/>
      </c>
      <c r="L56" s="5" t="str">
        <f t="shared" si="1"/>
        <v/>
      </c>
    </row>
    <row r="57" ht="15.75" customHeight="1">
      <c r="B57" s="26"/>
      <c r="K57" s="5" t="str">
        <f>IF(J57="Yes",IFERROR(VLOOKUP(C57,'14_Master_Employees'!A:G,7,FALSE),""),"")</f>
        <v/>
      </c>
      <c r="L57" s="5" t="str">
        <f t="shared" si="1"/>
        <v/>
      </c>
    </row>
    <row r="58" ht="15.75" customHeight="1">
      <c r="B58" s="26"/>
      <c r="K58" s="5" t="str">
        <f>IF(J58="Yes",IFERROR(VLOOKUP(C58,'14_Master_Employees'!A:G,7,FALSE),""),"")</f>
        <v/>
      </c>
      <c r="L58" s="5" t="str">
        <f t="shared" si="1"/>
        <v/>
      </c>
    </row>
    <row r="59" ht="15.75" customHeight="1">
      <c r="B59" s="26"/>
      <c r="K59" s="5" t="str">
        <f>IF(J59="Yes",IFERROR(VLOOKUP(C59,'14_Master_Employees'!A:G,7,FALSE),""),"")</f>
        <v/>
      </c>
      <c r="L59" s="5" t="str">
        <f t="shared" si="1"/>
        <v/>
      </c>
    </row>
    <row r="60" ht="15.75" customHeight="1">
      <c r="B60" s="26"/>
      <c r="K60" s="5" t="str">
        <f>IF(J60="Yes",IFERROR(VLOOKUP(C60,'14_Master_Employees'!A:G,7,FALSE),""),"")</f>
        <v/>
      </c>
      <c r="L60" s="5" t="str">
        <f t="shared" si="1"/>
        <v/>
      </c>
    </row>
    <row r="61" ht="15.75" customHeight="1">
      <c r="B61" s="26"/>
      <c r="K61" s="5" t="str">
        <f>IF(J61="Yes",IFERROR(VLOOKUP(C61,'14_Master_Employees'!A:G,7,FALSE),""),"")</f>
        <v/>
      </c>
      <c r="L61" s="5" t="str">
        <f t="shared" si="1"/>
        <v/>
      </c>
    </row>
    <row r="62" ht="15.75" customHeight="1">
      <c r="B62" s="26"/>
      <c r="K62" s="5" t="str">
        <f>IF(J62="Yes",IFERROR(VLOOKUP(C62,'14_Master_Employees'!A:G,7,FALSE),""),"")</f>
        <v/>
      </c>
      <c r="L62" s="5" t="str">
        <f t="shared" si="1"/>
        <v/>
      </c>
    </row>
    <row r="63" ht="15.75" customHeight="1">
      <c r="B63" s="26"/>
      <c r="K63" s="5" t="str">
        <f>IF(J63="Yes",IFERROR(VLOOKUP(C63,'14_Master_Employees'!A:G,7,FALSE),""),"")</f>
        <v/>
      </c>
      <c r="L63" s="5" t="str">
        <f t="shared" si="1"/>
        <v/>
      </c>
    </row>
    <row r="64" ht="15.75" customHeight="1">
      <c r="B64" s="26"/>
      <c r="K64" s="5" t="str">
        <f>IF(J64="Yes",IFERROR(VLOOKUP(C64,'14_Master_Employees'!A:G,7,FALSE),""),"")</f>
        <v/>
      </c>
      <c r="L64" s="5" t="str">
        <f t="shared" si="1"/>
        <v/>
      </c>
    </row>
    <row r="65" ht="15.75" customHeight="1">
      <c r="B65" s="26"/>
      <c r="K65" s="5" t="str">
        <f>IF(J65="Yes",IFERROR(VLOOKUP(C65,'14_Master_Employees'!A:G,7,FALSE),""),"")</f>
        <v/>
      </c>
      <c r="L65" s="5" t="str">
        <f t="shared" si="1"/>
        <v/>
      </c>
    </row>
    <row r="66" ht="15.75" customHeight="1">
      <c r="B66" s="26"/>
      <c r="K66" s="5" t="str">
        <f>IF(J66="Yes",IFERROR(VLOOKUP(C66,'14_Master_Employees'!A:G,7,FALSE),""),"")</f>
        <v/>
      </c>
      <c r="L66" s="5" t="str">
        <f t="shared" si="1"/>
        <v/>
      </c>
    </row>
    <row r="67" ht="15.75" customHeight="1">
      <c r="B67" s="26"/>
      <c r="K67" s="5" t="str">
        <f>IF(J67="Yes",IFERROR(VLOOKUP(C67,'14_Master_Employees'!A:G,7,FALSE),""),"")</f>
        <v/>
      </c>
      <c r="L67" s="5" t="str">
        <f t="shared" si="1"/>
        <v/>
      </c>
    </row>
    <row r="68" ht="15.75" customHeight="1">
      <c r="B68" s="26"/>
      <c r="K68" s="5" t="str">
        <f>IF(J68="Yes",IFERROR(VLOOKUP(C68,'14_Master_Employees'!A:G,7,FALSE),""),"")</f>
        <v/>
      </c>
      <c r="L68" s="5" t="str">
        <f t="shared" si="1"/>
        <v/>
      </c>
    </row>
    <row r="69" ht="15.75" customHeight="1">
      <c r="B69" s="26"/>
      <c r="K69" s="5" t="str">
        <f>IF(J69="Yes",IFERROR(VLOOKUP(C69,'14_Master_Employees'!A:G,7,FALSE),""),"")</f>
        <v/>
      </c>
      <c r="L69" s="5" t="str">
        <f t="shared" si="1"/>
        <v/>
      </c>
    </row>
    <row r="70" ht="15.75" customHeight="1">
      <c r="B70" s="26"/>
      <c r="K70" s="5" t="str">
        <f>IF(J70="Yes",IFERROR(VLOOKUP(C70,'14_Master_Employees'!A:G,7,FALSE),""),"")</f>
        <v/>
      </c>
      <c r="L70" s="5" t="str">
        <f t="shared" si="1"/>
        <v/>
      </c>
    </row>
    <row r="71" ht="15.75" customHeight="1">
      <c r="B71" s="26"/>
      <c r="K71" s="5" t="str">
        <f>IF(J71="Yes",IFERROR(VLOOKUP(C71,'14_Master_Employees'!A:G,7,FALSE),""),"")</f>
        <v/>
      </c>
      <c r="L71" s="5" t="str">
        <f t="shared" si="1"/>
        <v/>
      </c>
    </row>
    <row r="72" ht="15.75" customHeight="1">
      <c r="B72" s="26"/>
      <c r="K72" s="5" t="str">
        <f>IF(J72="Yes",IFERROR(VLOOKUP(C72,'14_Master_Employees'!A:G,7,FALSE),""),"")</f>
        <v/>
      </c>
      <c r="L72" s="5" t="str">
        <f t="shared" si="1"/>
        <v/>
      </c>
    </row>
    <row r="73" ht="15.75" customHeight="1">
      <c r="B73" s="26"/>
      <c r="K73" s="5" t="str">
        <f>IF(J73="Yes",IFERROR(VLOOKUP(C73,'14_Master_Employees'!A:G,7,FALSE),""),"")</f>
        <v/>
      </c>
      <c r="L73" s="5" t="str">
        <f t="shared" si="1"/>
        <v/>
      </c>
    </row>
    <row r="74" ht="15.75" customHeight="1">
      <c r="B74" s="26"/>
      <c r="K74" s="5" t="str">
        <f>IF(J74="Yes",IFERROR(VLOOKUP(C74,'14_Master_Employees'!A:G,7,FALSE),""),"")</f>
        <v/>
      </c>
      <c r="L74" s="5" t="str">
        <f t="shared" si="1"/>
        <v/>
      </c>
    </row>
    <row r="75" ht="15.75" customHeight="1">
      <c r="B75" s="26"/>
      <c r="K75" s="5" t="str">
        <f>IF(J75="Yes",IFERROR(VLOOKUP(C75,'14_Master_Employees'!A:G,7,FALSE),""),"")</f>
        <v/>
      </c>
      <c r="L75" s="5" t="str">
        <f t="shared" si="1"/>
        <v/>
      </c>
    </row>
    <row r="76" ht="15.75" customHeight="1">
      <c r="B76" s="26"/>
      <c r="K76" s="5" t="str">
        <f>IF(J76="Yes",IFERROR(VLOOKUP(C76,'14_Master_Employees'!A:G,7,FALSE),""),"")</f>
        <v/>
      </c>
      <c r="L76" s="5" t="str">
        <f t="shared" si="1"/>
        <v/>
      </c>
    </row>
    <row r="77" ht="15.75" customHeight="1">
      <c r="B77" s="26"/>
      <c r="K77" s="5" t="str">
        <f>IF(J77="Yes",IFERROR(VLOOKUP(C77,'14_Master_Employees'!A:G,7,FALSE),""),"")</f>
        <v/>
      </c>
      <c r="L77" s="5" t="str">
        <f t="shared" si="1"/>
        <v/>
      </c>
    </row>
    <row r="78" ht="15.75" customHeight="1">
      <c r="B78" s="26"/>
      <c r="K78" s="5" t="str">
        <f>IF(J78="Yes",IFERROR(VLOOKUP(C78,'14_Master_Employees'!A:G,7,FALSE),""),"")</f>
        <v/>
      </c>
      <c r="L78" s="5" t="str">
        <f t="shared" si="1"/>
        <v/>
      </c>
    </row>
    <row r="79" ht="15.75" customHeight="1">
      <c r="B79" s="26"/>
      <c r="K79" s="5" t="str">
        <f>IF(J79="Yes",IFERROR(VLOOKUP(C79,'14_Master_Employees'!A:G,7,FALSE),""),"")</f>
        <v/>
      </c>
      <c r="L79" s="5" t="str">
        <f t="shared" si="1"/>
        <v/>
      </c>
    </row>
    <row r="80" ht="15.75" customHeight="1">
      <c r="B80" s="26"/>
      <c r="K80" s="5" t="str">
        <f>IF(J80="Yes",IFERROR(VLOOKUP(C80,'14_Master_Employees'!A:G,7,FALSE),""),"")</f>
        <v/>
      </c>
      <c r="L80" s="5" t="str">
        <f t="shared" si="1"/>
        <v/>
      </c>
    </row>
    <row r="81" ht="15.75" customHeight="1">
      <c r="B81" s="26"/>
      <c r="K81" s="5" t="str">
        <f>IF(J81="Yes",IFERROR(VLOOKUP(C81,'14_Master_Employees'!A:G,7,FALSE),""),"")</f>
        <v/>
      </c>
      <c r="L81" s="5" t="str">
        <f t="shared" si="1"/>
        <v/>
      </c>
    </row>
    <row r="82" ht="15.75" customHeight="1">
      <c r="B82" s="26"/>
      <c r="K82" s="5" t="str">
        <f>IF(J82="Yes",IFERROR(VLOOKUP(C82,'14_Master_Employees'!A:G,7,FALSE),""),"")</f>
        <v/>
      </c>
      <c r="L82" s="5" t="str">
        <f t="shared" si="1"/>
        <v/>
      </c>
    </row>
    <row r="83" ht="15.75" customHeight="1">
      <c r="B83" s="26"/>
      <c r="K83" s="5" t="str">
        <f>IF(J83="Yes",IFERROR(VLOOKUP(C83,'14_Master_Employees'!A:G,7,FALSE),""),"")</f>
        <v/>
      </c>
      <c r="L83" s="5" t="str">
        <f t="shared" si="1"/>
        <v/>
      </c>
    </row>
    <row r="84" ht="15.75" customHeight="1">
      <c r="B84" s="26"/>
      <c r="K84" s="5" t="str">
        <f>IF(J84="Yes",IFERROR(VLOOKUP(C84,'14_Master_Employees'!A:G,7,FALSE),""),"")</f>
        <v/>
      </c>
      <c r="L84" s="5" t="str">
        <f t="shared" si="1"/>
        <v/>
      </c>
    </row>
    <row r="85" ht="15.75" customHeight="1">
      <c r="B85" s="26"/>
      <c r="K85" s="5" t="str">
        <f>IF(J85="Yes",IFERROR(VLOOKUP(C85,'14_Master_Employees'!A:G,7,FALSE),""),"")</f>
        <v/>
      </c>
      <c r="L85" s="5" t="str">
        <f t="shared" si="1"/>
        <v/>
      </c>
    </row>
    <row r="86" ht="15.75" customHeight="1">
      <c r="B86" s="26"/>
      <c r="K86" s="5" t="str">
        <f>IF(J86="Yes",IFERROR(VLOOKUP(C86,'14_Master_Employees'!A:G,7,FALSE),""),"")</f>
        <v/>
      </c>
      <c r="L86" s="5" t="str">
        <f t="shared" si="1"/>
        <v/>
      </c>
    </row>
    <row r="87" ht="15.75" customHeight="1">
      <c r="B87" s="26"/>
      <c r="K87" s="5" t="str">
        <f>IF(J87="Yes",IFERROR(VLOOKUP(C87,'14_Master_Employees'!A:G,7,FALSE),""),"")</f>
        <v/>
      </c>
      <c r="L87" s="5" t="str">
        <f t="shared" si="1"/>
        <v/>
      </c>
    </row>
    <row r="88" ht="15.75" customHeight="1">
      <c r="B88" s="26"/>
      <c r="K88" s="5" t="str">
        <f>IF(J88="Yes",IFERROR(VLOOKUP(C88,'14_Master_Employees'!A:G,7,FALSE),""),"")</f>
        <v/>
      </c>
      <c r="L88" s="5" t="str">
        <f t="shared" si="1"/>
        <v/>
      </c>
    </row>
    <row r="89" ht="15.75" customHeight="1">
      <c r="B89" s="26"/>
      <c r="K89" s="5" t="str">
        <f>IF(J89="Yes",IFERROR(VLOOKUP(C89,'14_Master_Employees'!A:G,7,FALSE),""),"")</f>
        <v/>
      </c>
      <c r="L89" s="5" t="str">
        <f t="shared" si="1"/>
        <v/>
      </c>
    </row>
    <row r="90" ht="15.75" customHeight="1">
      <c r="B90" s="26"/>
      <c r="K90" s="5" t="str">
        <f>IF(J90="Yes",IFERROR(VLOOKUP(C90,'14_Master_Employees'!A:G,7,FALSE),""),"")</f>
        <v/>
      </c>
      <c r="L90" s="5" t="str">
        <f t="shared" si="1"/>
        <v/>
      </c>
    </row>
    <row r="91" ht="15.75" customHeight="1">
      <c r="B91" s="26"/>
      <c r="K91" s="5" t="str">
        <f>IF(J91="Yes",IFERROR(VLOOKUP(C91,'14_Master_Employees'!A:G,7,FALSE),""),"")</f>
        <v/>
      </c>
      <c r="L91" s="5" t="str">
        <f t="shared" si="1"/>
        <v/>
      </c>
    </row>
    <row r="92" ht="15.75" customHeight="1">
      <c r="B92" s="26"/>
      <c r="K92" s="5" t="str">
        <f>IF(J92="Yes",IFERROR(VLOOKUP(C92,'14_Master_Employees'!A:G,7,FALSE),""),"")</f>
        <v/>
      </c>
      <c r="L92" s="5" t="str">
        <f t="shared" si="1"/>
        <v/>
      </c>
    </row>
    <row r="93" ht="15.75" customHeight="1">
      <c r="B93" s="26"/>
      <c r="K93" s="5" t="str">
        <f>IF(J93="Yes",IFERROR(VLOOKUP(C93,'14_Master_Employees'!A:G,7,FALSE),""),"")</f>
        <v/>
      </c>
      <c r="L93" s="5" t="str">
        <f t="shared" si="1"/>
        <v/>
      </c>
    </row>
    <row r="94" ht="15.75" customHeight="1">
      <c r="B94" s="26"/>
      <c r="K94" s="5" t="str">
        <f>IF(J94="Yes",IFERROR(VLOOKUP(C94,'14_Master_Employees'!A:G,7,FALSE),""),"")</f>
        <v/>
      </c>
      <c r="L94" s="5" t="str">
        <f t="shared" si="1"/>
        <v/>
      </c>
    </row>
    <row r="95" ht="15.75" customHeight="1">
      <c r="B95" s="26"/>
      <c r="K95" s="5" t="str">
        <f>IF(J95="Yes",IFERROR(VLOOKUP(C95,'14_Master_Employees'!A:G,7,FALSE),""),"")</f>
        <v/>
      </c>
      <c r="L95" s="5" t="str">
        <f t="shared" si="1"/>
        <v/>
      </c>
    </row>
    <row r="96" ht="15.75" customHeight="1">
      <c r="B96" s="26"/>
      <c r="K96" s="5" t="str">
        <f>IF(J96="Yes",IFERROR(VLOOKUP(C96,'14_Master_Employees'!A:G,7,FALSE),""),"")</f>
        <v/>
      </c>
      <c r="L96" s="5" t="str">
        <f t="shared" si="1"/>
        <v/>
      </c>
    </row>
    <row r="97" ht="15.75" customHeight="1">
      <c r="B97" s="26"/>
      <c r="K97" s="5" t="str">
        <f>IF(J97="Yes",IFERROR(VLOOKUP(C97,'14_Master_Employees'!A:G,7,FALSE),""),"")</f>
        <v/>
      </c>
      <c r="L97" s="5" t="str">
        <f t="shared" si="1"/>
        <v/>
      </c>
    </row>
    <row r="98" ht="15.75" customHeight="1">
      <c r="B98" s="26"/>
      <c r="K98" s="5" t="str">
        <f>IF(J98="Yes",IFERROR(VLOOKUP(C98,'14_Master_Employees'!A:G,7,FALSE),""),"")</f>
        <v/>
      </c>
      <c r="L98" s="5" t="str">
        <f t="shared" si="1"/>
        <v/>
      </c>
    </row>
    <row r="99" ht="15.75" customHeight="1">
      <c r="B99" s="26"/>
      <c r="K99" s="5" t="str">
        <f>IF(J99="Yes",IFERROR(VLOOKUP(C99,'14_Master_Employees'!A:G,7,FALSE),""),"")</f>
        <v/>
      </c>
      <c r="L99" s="5" t="str">
        <f t="shared" si="1"/>
        <v/>
      </c>
    </row>
    <row r="100" ht="15.75" customHeight="1">
      <c r="B100" s="26"/>
      <c r="K100" s="5" t="str">
        <f>IF(J100="Yes",IFERROR(VLOOKUP(C100,'14_Master_Employees'!A:G,7,FALSE),""),"")</f>
        <v/>
      </c>
      <c r="L100" s="5" t="str">
        <f t="shared" si="1"/>
        <v/>
      </c>
    </row>
    <row r="101" ht="15.75" customHeight="1">
      <c r="B101" s="26"/>
      <c r="K101" s="5" t="str">
        <f>IF(J101="Yes",IFERROR(VLOOKUP(C101,'14_Master_Employees'!A:G,7,FALSE),""),"")</f>
        <v/>
      </c>
      <c r="L101" s="5" t="str">
        <f t="shared" si="1"/>
        <v/>
      </c>
    </row>
    <row r="102" ht="15.75" customHeight="1">
      <c r="B102" s="26"/>
      <c r="K102" s="5" t="str">
        <f>IF(J102="Yes",IFERROR(VLOOKUP(C102,'14_Master_Employees'!A:G,7,FALSE),""),"")</f>
        <v/>
      </c>
      <c r="L102" s="5" t="str">
        <f t="shared" si="1"/>
        <v/>
      </c>
    </row>
    <row r="103" ht="15.75" customHeight="1">
      <c r="B103" s="26"/>
      <c r="K103" s="5" t="str">
        <f>IF(J103="Yes",IFERROR(VLOOKUP(C103,'14_Master_Employees'!A:G,7,FALSE),""),"")</f>
        <v/>
      </c>
      <c r="L103" s="5" t="str">
        <f t="shared" si="1"/>
        <v/>
      </c>
    </row>
    <row r="104" ht="15.75" customHeight="1">
      <c r="B104" s="26"/>
      <c r="K104" s="5" t="str">
        <f>IF(J104="Yes",IFERROR(VLOOKUP(C104,'14_Master_Employees'!A:G,7,FALSE),""),"")</f>
        <v/>
      </c>
      <c r="L104" s="5" t="str">
        <f t="shared" si="1"/>
        <v/>
      </c>
    </row>
    <row r="105" ht="15.75" customHeight="1">
      <c r="B105" s="26"/>
      <c r="K105" s="5" t="str">
        <f>IF(J105="Yes",IFERROR(VLOOKUP(C105,'14_Master_Employees'!A:G,7,FALSE),""),"")</f>
        <v/>
      </c>
      <c r="L105" s="5" t="str">
        <f t="shared" si="1"/>
        <v/>
      </c>
    </row>
    <row r="106" ht="15.75" customHeight="1">
      <c r="B106" s="26"/>
      <c r="K106" s="5" t="str">
        <f>IF(J106="Yes",IFERROR(VLOOKUP(C106,'14_Master_Employees'!A:G,7,FALSE),""),"")</f>
        <v/>
      </c>
      <c r="L106" s="5" t="str">
        <f t="shared" si="1"/>
        <v/>
      </c>
    </row>
    <row r="107" ht="15.75" customHeight="1">
      <c r="B107" s="26"/>
      <c r="K107" s="5" t="str">
        <f>IF(J107="Yes",IFERROR(VLOOKUP(C107,'14_Master_Employees'!A:G,7,FALSE),""),"")</f>
        <v/>
      </c>
      <c r="L107" s="5" t="str">
        <f t="shared" si="1"/>
        <v/>
      </c>
    </row>
    <row r="108" ht="15.75" customHeight="1">
      <c r="B108" s="26"/>
      <c r="K108" s="5" t="str">
        <f>IF(J108="Yes",IFERROR(VLOOKUP(C108,'14_Master_Employees'!A:G,7,FALSE),""),"")</f>
        <v/>
      </c>
      <c r="L108" s="5" t="str">
        <f t="shared" si="1"/>
        <v/>
      </c>
    </row>
    <row r="109" ht="15.75" customHeight="1">
      <c r="B109" s="26"/>
      <c r="K109" s="5" t="str">
        <f>IF(J109="Yes",IFERROR(VLOOKUP(C109,'14_Master_Employees'!A:G,7,FALSE),""),"")</f>
        <v/>
      </c>
      <c r="L109" s="5" t="str">
        <f t="shared" si="1"/>
        <v/>
      </c>
    </row>
    <row r="110" ht="15.75" customHeight="1">
      <c r="B110" s="26"/>
      <c r="K110" s="5" t="str">
        <f>IF(J110="Yes",IFERROR(VLOOKUP(C110,'14_Master_Employees'!A:G,7,FALSE),""),"")</f>
        <v/>
      </c>
      <c r="L110" s="5" t="str">
        <f t="shared" si="1"/>
        <v/>
      </c>
    </row>
    <row r="111" ht="15.75" customHeight="1">
      <c r="B111" s="26"/>
      <c r="K111" s="5" t="str">
        <f>IF(J111="Yes",IFERROR(VLOOKUP(C111,'14_Master_Employees'!A:G,7,FALSE),""),"")</f>
        <v/>
      </c>
      <c r="L111" s="5" t="str">
        <f t="shared" si="1"/>
        <v/>
      </c>
    </row>
    <row r="112" ht="15.75" customHeight="1">
      <c r="B112" s="26"/>
      <c r="K112" s="5" t="str">
        <f>IF(J112="Yes",IFERROR(VLOOKUP(C112,'14_Master_Employees'!A:G,7,FALSE),""),"")</f>
        <v/>
      </c>
      <c r="L112" s="5" t="str">
        <f t="shared" si="1"/>
        <v/>
      </c>
    </row>
    <row r="113" ht="15.75" customHeight="1">
      <c r="B113" s="26"/>
      <c r="K113" s="5" t="str">
        <f>IF(J113="Yes",IFERROR(VLOOKUP(C113,'14_Master_Employees'!A:G,7,FALSE),""),"")</f>
        <v/>
      </c>
      <c r="L113" s="5" t="str">
        <f t="shared" si="1"/>
        <v/>
      </c>
    </row>
    <row r="114" ht="15.75" customHeight="1">
      <c r="B114" s="26"/>
      <c r="K114" s="5" t="str">
        <f>IF(J114="Yes",IFERROR(VLOOKUP(C114,'14_Master_Employees'!A:G,7,FALSE),""),"")</f>
        <v/>
      </c>
      <c r="L114" s="5" t="str">
        <f t="shared" si="1"/>
        <v/>
      </c>
    </row>
    <row r="115" ht="15.75" customHeight="1">
      <c r="B115" s="26"/>
      <c r="K115" s="5" t="str">
        <f>IF(J115="Yes",IFERROR(VLOOKUP(C115,'14_Master_Employees'!A:G,7,FALSE),""),"")</f>
        <v/>
      </c>
      <c r="L115" s="5" t="str">
        <f t="shared" si="1"/>
        <v/>
      </c>
    </row>
    <row r="116" ht="15.75" customHeight="1">
      <c r="B116" s="26"/>
      <c r="K116" s="5" t="str">
        <f>IF(J116="Yes",IFERROR(VLOOKUP(C116,'14_Master_Employees'!A:G,7,FALSE),""),"")</f>
        <v/>
      </c>
      <c r="L116" s="5" t="str">
        <f t="shared" si="1"/>
        <v/>
      </c>
    </row>
    <row r="117" ht="15.75" customHeight="1">
      <c r="B117" s="26"/>
      <c r="K117" s="5" t="str">
        <f>IF(J117="Yes",IFERROR(VLOOKUP(C117,'14_Master_Employees'!A:G,7,FALSE),""),"")</f>
        <v/>
      </c>
      <c r="L117" s="5" t="str">
        <f t="shared" si="1"/>
        <v/>
      </c>
    </row>
    <row r="118" ht="15.75" customHeight="1">
      <c r="B118" s="26"/>
      <c r="K118" s="5" t="str">
        <f>IF(J118="Yes",IFERROR(VLOOKUP(C118,'14_Master_Employees'!A:G,7,FALSE),""),"")</f>
        <v/>
      </c>
      <c r="L118" s="5" t="str">
        <f t="shared" si="1"/>
        <v/>
      </c>
    </row>
    <row r="119" ht="15.75" customHeight="1">
      <c r="B119" s="26"/>
      <c r="K119" s="5" t="str">
        <f>IF(J119="Yes",IFERROR(VLOOKUP(C119,'14_Master_Employees'!A:G,7,FALSE),""),"")</f>
        <v/>
      </c>
      <c r="L119" s="5" t="str">
        <f t="shared" si="1"/>
        <v/>
      </c>
    </row>
    <row r="120" ht="15.75" customHeight="1">
      <c r="B120" s="26"/>
      <c r="K120" s="5" t="str">
        <f>IF(J120="Yes",IFERROR(VLOOKUP(C120,'14_Master_Employees'!A:G,7,FALSE),""),"")</f>
        <v/>
      </c>
      <c r="L120" s="5" t="str">
        <f t="shared" si="1"/>
        <v/>
      </c>
    </row>
    <row r="121" ht="15.75" customHeight="1">
      <c r="B121" s="26"/>
      <c r="K121" s="5" t="str">
        <f>IF(J121="Yes",IFERROR(VLOOKUP(C121,'14_Master_Employees'!A:G,7,FALSE),""),"")</f>
        <v/>
      </c>
      <c r="L121" s="5" t="str">
        <f t="shared" si="1"/>
        <v/>
      </c>
    </row>
    <row r="122" ht="15.75" customHeight="1">
      <c r="B122" s="26"/>
      <c r="K122" s="5" t="str">
        <f>IF(J122="Yes",IFERROR(VLOOKUP(C122,'14_Master_Employees'!A:G,7,FALSE),""),"")</f>
        <v/>
      </c>
      <c r="L122" s="5" t="str">
        <f t="shared" si="1"/>
        <v/>
      </c>
    </row>
    <row r="123" ht="15.75" customHeight="1">
      <c r="B123" s="26"/>
      <c r="K123" s="5" t="str">
        <f>IF(J123="Yes",IFERROR(VLOOKUP(C123,'14_Master_Employees'!A:G,7,FALSE),""),"")</f>
        <v/>
      </c>
      <c r="L123" s="5" t="str">
        <f t="shared" si="1"/>
        <v/>
      </c>
    </row>
    <row r="124" ht="15.75" customHeight="1">
      <c r="B124" s="26"/>
      <c r="K124" s="5" t="str">
        <f>IF(J124="Yes",IFERROR(VLOOKUP(C124,'14_Master_Employees'!A:G,7,FALSE),""),"")</f>
        <v/>
      </c>
      <c r="L124" s="5" t="str">
        <f t="shared" si="1"/>
        <v/>
      </c>
    </row>
    <row r="125" ht="15.75" customHeight="1">
      <c r="B125" s="26"/>
      <c r="K125" s="5" t="str">
        <f>IF(J125="Yes",IFERROR(VLOOKUP(C125,'14_Master_Employees'!A:G,7,FALSE),""),"")</f>
        <v/>
      </c>
      <c r="L125" s="5" t="str">
        <f t="shared" si="1"/>
        <v/>
      </c>
    </row>
    <row r="126" ht="15.75" customHeight="1">
      <c r="B126" s="26"/>
      <c r="K126" s="5" t="str">
        <f>IF(J126="Yes",IFERROR(VLOOKUP(C126,'14_Master_Employees'!A:G,7,FALSE),""),"")</f>
        <v/>
      </c>
      <c r="L126" s="5" t="str">
        <f t="shared" si="1"/>
        <v/>
      </c>
    </row>
    <row r="127" ht="15.75" customHeight="1">
      <c r="B127" s="26"/>
      <c r="K127" s="5" t="str">
        <f>IF(J127="Yes",IFERROR(VLOOKUP(C127,'14_Master_Employees'!A:G,7,FALSE),""),"")</f>
        <v/>
      </c>
      <c r="L127" s="5" t="str">
        <f t="shared" si="1"/>
        <v/>
      </c>
    </row>
    <row r="128" ht="15.75" customHeight="1">
      <c r="B128" s="26"/>
      <c r="K128" s="5" t="str">
        <f>IF(J128="Yes",IFERROR(VLOOKUP(C128,'14_Master_Employees'!A:G,7,FALSE),""),"")</f>
        <v/>
      </c>
      <c r="L128" s="5" t="str">
        <f t="shared" si="1"/>
        <v/>
      </c>
    </row>
    <row r="129" ht="15.75" customHeight="1">
      <c r="B129" s="26"/>
      <c r="K129" s="5" t="str">
        <f>IF(J129="Yes",IFERROR(VLOOKUP(C129,'14_Master_Employees'!A:G,7,FALSE),""),"")</f>
        <v/>
      </c>
      <c r="L129" s="5" t="str">
        <f t="shared" si="1"/>
        <v/>
      </c>
    </row>
    <row r="130" ht="15.75" customHeight="1">
      <c r="B130" s="26"/>
      <c r="K130" s="5" t="str">
        <f>IF(J130="Yes",IFERROR(VLOOKUP(C130,'14_Master_Employees'!A:G,7,FALSE),""),"")</f>
        <v/>
      </c>
      <c r="L130" s="5" t="str">
        <f t="shared" si="1"/>
        <v/>
      </c>
    </row>
    <row r="131" ht="15.75" customHeight="1">
      <c r="B131" s="26"/>
      <c r="K131" s="5" t="str">
        <f>IF(J131="Yes",IFERROR(VLOOKUP(C131,'14_Master_Employees'!A:G,7,FALSE),""),"")</f>
        <v/>
      </c>
      <c r="L131" s="5" t="str">
        <f t="shared" si="1"/>
        <v/>
      </c>
    </row>
    <row r="132" ht="15.75" customHeight="1">
      <c r="B132" s="26"/>
      <c r="K132" s="5" t="str">
        <f>IF(J132="Yes",IFERROR(VLOOKUP(C132,'14_Master_Employees'!A:G,7,FALSE),""),"")</f>
        <v/>
      </c>
      <c r="L132" s="5" t="str">
        <f t="shared" si="1"/>
        <v/>
      </c>
    </row>
    <row r="133" ht="15.75" customHeight="1">
      <c r="B133" s="26"/>
      <c r="K133" s="5" t="str">
        <f>IF(J133="Yes",IFERROR(VLOOKUP(C133,'14_Master_Employees'!A:G,7,FALSE),""),"")</f>
        <v/>
      </c>
      <c r="L133" s="5" t="str">
        <f t="shared" si="1"/>
        <v/>
      </c>
    </row>
    <row r="134" ht="15.75" customHeight="1">
      <c r="B134" s="26"/>
      <c r="K134" s="5" t="str">
        <f>IF(J134="Yes",IFERROR(VLOOKUP(C134,'14_Master_Employees'!A:G,7,FALSE),""),"")</f>
        <v/>
      </c>
      <c r="L134" s="5" t="str">
        <f t="shared" si="1"/>
        <v/>
      </c>
    </row>
    <row r="135" ht="15.75" customHeight="1">
      <c r="B135" s="26"/>
      <c r="K135" s="5" t="str">
        <f>IF(J135="Yes",IFERROR(VLOOKUP(C135,'14_Master_Employees'!A:G,7,FALSE),""),"")</f>
        <v/>
      </c>
      <c r="L135" s="5" t="str">
        <f t="shared" si="1"/>
        <v/>
      </c>
    </row>
    <row r="136" ht="15.75" customHeight="1">
      <c r="B136" s="26"/>
      <c r="K136" s="5" t="str">
        <f>IF(J136="Yes",IFERROR(VLOOKUP(C136,'14_Master_Employees'!A:G,7,FALSE),""),"")</f>
        <v/>
      </c>
      <c r="L136" s="5" t="str">
        <f t="shared" si="1"/>
        <v/>
      </c>
    </row>
    <row r="137" ht="15.75" customHeight="1">
      <c r="B137" s="26"/>
      <c r="K137" s="5" t="str">
        <f>IF(J137="Yes",IFERROR(VLOOKUP(C137,'14_Master_Employees'!A:G,7,FALSE),""),"")</f>
        <v/>
      </c>
      <c r="L137" s="5" t="str">
        <f t="shared" si="1"/>
        <v/>
      </c>
    </row>
    <row r="138" ht="15.75" customHeight="1">
      <c r="B138" s="26"/>
      <c r="K138" s="5" t="str">
        <f>IF(J138="Yes",IFERROR(VLOOKUP(C138,'14_Master_Employees'!A:G,7,FALSE),""),"")</f>
        <v/>
      </c>
      <c r="L138" s="5" t="str">
        <f t="shared" si="1"/>
        <v/>
      </c>
    </row>
    <row r="139" ht="15.75" customHeight="1">
      <c r="B139" s="26"/>
      <c r="K139" s="5" t="str">
        <f>IF(J139="Yes",IFERROR(VLOOKUP(C139,'14_Master_Employees'!A:G,7,FALSE),""),"")</f>
        <v/>
      </c>
      <c r="L139" s="5" t="str">
        <f t="shared" si="1"/>
        <v/>
      </c>
    </row>
    <row r="140" ht="15.75" customHeight="1">
      <c r="B140" s="26"/>
      <c r="K140" s="5" t="str">
        <f>IF(J140="Yes",IFERROR(VLOOKUP(C140,'14_Master_Employees'!A:G,7,FALSE),""),"")</f>
        <v/>
      </c>
      <c r="L140" s="5" t="str">
        <f t="shared" si="1"/>
        <v/>
      </c>
    </row>
    <row r="141" ht="15.75" customHeight="1">
      <c r="B141" s="26"/>
      <c r="K141" s="5" t="str">
        <f>IF(J141="Yes",IFERROR(VLOOKUP(C141,'14_Master_Employees'!A:G,7,FALSE),""),"")</f>
        <v/>
      </c>
      <c r="L141" s="5" t="str">
        <f t="shared" si="1"/>
        <v/>
      </c>
    </row>
    <row r="142" ht="15.75" customHeight="1">
      <c r="B142" s="26"/>
      <c r="K142" s="5" t="str">
        <f>IF(J142="Yes",IFERROR(VLOOKUP(C142,'14_Master_Employees'!A:G,7,FALSE),""),"")</f>
        <v/>
      </c>
      <c r="L142" s="5" t="str">
        <f t="shared" si="1"/>
        <v/>
      </c>
    </row>
    <row r="143" ht="15.75" customHeight="1">
      <c r="B143" s="26"/>
      <c r="K143" s="5" t="str">
        <f>IF(J143="Yes",IFERROR(VLOOKUP(C143,'14_Master_Employees'!A:G,7,FALSE),""),"")</f>
        <v/>
      </c>
      <c r="L143" s="5" t="str">
        <f t="shared" si="1"/>
        <v/>
      </c>
    </row>
    <row r="144" ht="15.75" customHeight="1">
      <c r="B144" s="26"/>
      <c r="K144" s="5" t="str">
        <f>IF(J144="Yes",IFERROR(VLOOKUP(C144,'14_Master_Employees'!A:G,7,FALSE),""),"")</f>
        <v/>
      </c>
      <c r="L144" s="5" t="str">
        <f t="shared" si="1"/>
        <v/>
      </c>
    </row>
    <row r="145" ht="15.75" customHeight="1">
      <c r="B145" s="26"/>
      <c r="K145" s="5" t="str">
        <f>IF(J145="Yes",IFERROR(VLOOKUP(C145,'14_Master_Employees'!A:G,7,FALSE),""),"")</f>
        <v/>
      </c>
      <c r="L145" s="5" t="str">
        <f t="shared" si="1"/>
        <v/>
      </c>
    </row>
    <row r="146" ht="15.75" customHeight="1">
      <c r="B146" s="26"/>
      <c r="K146" s="5" t="str">
        <f>IF(J146="Yes",IFERROR(VLOOKUP(C146,'14_Master_Employees'!A:G,7,FALSE),""),"")</f>
        <v/>
      </c>
      <c r="L146" s="5" t="str">
        <f t="shared" si="1"/>
        <v/>
      </c>
    </row>
    <row r="147" ht="15.75" customHeight="1">
      <c r="B147" s="26"/>
      <c r="K147" s="5" t="str">
        <f>IF(J147="Yes",IFERROR(VLOOKUP(C147,'14_Master_Employees'!A:G,7,FALSE),""),"")</f>
        <v/>
      </c>
      <c r="L147" s="5" t="str">
        <f t="shared" si="1"/>
        <v/>
      </c>
    </row>
    <row r="148" ht="15.75" customHeight="1">
      <c r="B148" s="26"/>
      <c r="K148" s="5" t="str">
        <f>IF(J148="Yes",IFERROR(VLOOKUP(C148,'14_Master_Employees'!A:G,7,FALSE),""),"")</f>
        <v/>
      </c>
      <c r="L148" s="5" t="str">
        <f t="shared" si="1"/>
        <v/>
      </c>
    </row>
    <row r="149" ht="15.75" customHeight="1">
      <c r="B149" s="26"/>
      <c r="K149" s="5" t="str">
        <f>IF(J149="Yes",IFERROR(VLOOKUP(C149,'14_Master_Employees'!A:G,7,FALSE),""),"")</f>
        <v/>
      </c>
      <c r="L149" s="5" t="str">
        <f t="shared" si="1"/>
        <v/>
      </c>
    </row>
    <row r="150" ht="15.75" customHeight="1">
      <c r="B150" s="26"/>
      <c r="K150" s="5" t="str">
        <f>IF(J150="Yes",IFERROR(VLOOKUP(C150,'14_Master_Employees'!A:G,7,FALSE),""),"")</f>
        <v/>
      </c>
      <c r="L150" s="5" t="str">
        <f t="shared" si="1"/>
        <v/>
      </c>
    </row>
    <row r="151" ht="15.75" customHeight="1">
      <c r="B151" s="26"/>
      <c r="K151" s="5" t="str">
        <f>IF(J151="Yes",IFERROR(VLOOKUP(C151,'14_Master_Employees'!A:G,7,FALSE),""),"")</f>
        <v/>
      </c>
      <c r="L151" s="5" t="str">
        <f t="shared" si="1"/>
        <v/>
      </c>
    </row>
    <row r="152" ht="15.75" customHeight="1">
      <c r="B152" s="26"/>
      <c r="K152" s="5" t="str">
        <f>IF(J152="Yes",IFERROR(VLOOKUP(C152,'14_Master_Employees'!A:G,7,FALSE),""),"")</f>
        <v/>
      </c>
      <c r="L152" s="5" t="str">
        <f t="shared" si="1"/>
        <v/>
      </c>
    </row>
    <row r="153" ht="15.75" customHeight="1">
      <c r="B153" s="26"/>
      <c r="K153" s="5" t="str">
        <f>IF(J153="Yes",IFERROR(VLOOKUP(C153,'14_Master_Employees'!A:G,7,FALSE),""),"")</f>
        <v/>
      </c>
      <c r="L153" s="5" t="str">
        <f t="shared" si="1"/>
        <v/>
      </c>
    </row>
    <row r="154" ht="15.75" customHeight="1">
      <c r="B154" s="26"/>
      <c r="K154" s="5" t="str">
        <f>IF(J154="Yes",IFERROR(VLOOKUP(C154,'14_Master_Employees'!A:G,7,FALSE),""),"")</f>
        <v/>
      </c>
      <c r="L154" s="5" t="str">
        <f t="shared" si="1"/>
        <v/>
      </c>
    </row>
    <row r="155" ht="15.75" customHeight="1">
      <c r="B155" s="26"/>
      <c r="K155" s="5" t="str">
        <f>IF(J155="Yes",IFERROR(VLOOKUP(C155,'14_Master_Employees'!A:G,7,FALSE),""),"")</f>
        <v/>
      </c>
      <c r="L155" s="5" t="str">
        <f t="shared" si="1"/>
        <v/>
      </c>
    </row>
    <row r="156" ht="15.75" customHeight="1">
      <c r="B156" s="26"/>
      <c r="K156" s="5" t="str">
        <f>IF(J156="Yes",IFERROR(VLOOKUP(C156,'14_Master_Employees'!A:G,7,FALSE),""),"")</f>
        <v/>
      </c>
      <c r="L156" s="5" t="str">
        <f t="shared" si="1"/>
        <v/>
      </c>
    </row>
    <row r="157" ht="15.75" customHeight="1">
      <c r="B157" s="26"/>
      <c r="K157" s="5" t="str">
        <f>IF(J157="Yes",IFERROR(VLOOKUP(C157,'14_Master_Employees'!A:G,7,FALSE),""),"")</f>
        <v/>
      </c>
      <c r="L157" s="5" t="str">
        <f t="shared" si="1"/>
        <v/>
      </c>
    </row>
    <row r="158" ht="15.75" customHeight="1">
      <c r="B158" s="26"/>
      <c r="K158" s="5" t="str">
        <f>IF(J158="Yes",IFERROR(VLOOKUP(C158,'14_Master_Employees'!A:G,7,FALSE),""),"")</f>
        <v/>
      </c>
      <c r="L158" s="5" t="str">
        <f t="shared" si="1"/>
        <v/>
      </c>
    </row>
    <row r="159" ht="15.75" customHeight="1">
      <c r="B159" s="26"/>
      <c r="K159" s="5" t="str">
        <f>IF(J159="Yes",IFERROR(VLOOKUP(C159,'14_Master_Employees'!A:G,7,FALSE),""),"")</f>
        <v/>
      </c>
      <c r="L159" s="5" t="str">
        <f t="shared" si="1"/>
        <v/>
      </c>
    </row>
    <row r="160" ht="15.75" customHeight="1">
      <c r="B160" s="26"/>
      <c r="K160" s="5" t="str">
        <f>IF(J160="Yes",IFERROR(VLOOKUP(C160,'14_Master_Employees'!A:G,7,FALSE),""),"")</f>
        <v/>
      </c>
      <c r="L160" s="5" t="str">
        <f t="shared" si="1"/>
        <v/>
      </c>
    </row>
    <row r="161" ht="15.75" customHeight="1">
      <c r="B161" s="26"/>
      <c r="K161" s="5" t="str">
        <f>IF(J161="Yes",IFERROR(VLOOKUP(C161,'14_Master_Employees'!A:G,7,FALSE),""),"")</f>
        <v/>
      </c>
      <c r="L161" s="5" t="str">
        <f t="shared" si="1"/>
        <v/>
      </c>
    </row>
    <row r="162" ht="15.75" customHeight="1">
      <c r="B162" s="26"/>
      <c r="K162" s="5" t="str">
        <f>IF(J162="Yes",IFERROR(VLOOKUP(C162,'14_Master_Employees'!A:G,7,FALSE),""),"")</f>
        <v/>
      </c>
      <c r="L162" s="5" t="str">
        <f t="shared" si="1"/>
        <v/>
      </c>
    </row>
    <row r="163" ht="15.75" customHeight="1">
      <c r="B163" s="26"/>
      <c r="K163" s="5" t="str">
        <f>IF(J163="Yes",IFERROR(VLOOKUP(C163,'14_Master_Employees'!A:G,7,FALSE),""),"")</f>
        <v/>
      </c>
      <c r="L163" s="5" t="str">
        <f t="shared" si="1"/>
        <v/>
      </c>
    </row>
    <row r="164" ht="15.75" customHeight="1">
      <c r="B164" s="26"/>
      <c r="K164" s="5" t="str">
        <f>IF(J164="Yes",IFERROR(VLOOKUP(C164,'14_Master_Employees'!A:G,7,FALSE),""),"")</f>
        <v/>
      </c>
      <c r="L164" s="5" t="str">
        <f t="shared" si="1"/>
        <v/>
      </c>
    </row>
    <row r="165" ht="15.75" customHeight="1">
      <c r="B165" s="26"/>
      <c r="K165" s="5" t="str">
        <f>IF(J165="Yes",IFERROR(VLOOKUP(C165,'14_Master_Employees'!A:G,7,FALSE),""),"")</f>
        <v/>
      </c>
      <c r="L165" s="5" t="str">
        <f t="shared" si="1"/>
        <v/>
      </c>
    </row>
    <row r="166" ht="15.75" customHeight="1">
      <c r="B166" s="26"/>
      <c r="K166" s="5" t="str">
        <f>IF(J166="Yes",IFERROR(VLOOKUP(C166,'14_Master_Employees'!A:G,7,FALSE),""),"")</f>
        <v/>
      </c>
      <c r="L166" s="5" t="str">
        <f t="shared" si="1"/>
        <v/>
      </c>
    </row>
    <row r="167" ht="15.75" customHeight="1">
      <c r="B167" s="26"/>
      <c r="K167" s="5" t="str">
        <f>IF(J167="Yes",IFERROR(VLOOKUP(C167,'14_Master_Employees'!A:G,7,FALSE),""),"")</f>
        <v/>
      </c>
      <c r="L167" s="5" t="str">
        <f t="shared" si="1"/>
        <v/>
      </c>
    </row>
    <row r="168" ht="15.75" customHeight="1">
      <c r="B168" s="26"/>
      <c r="K168" s="5" t="str">
        <f>IF(J168="Yes",IFERROR(VLOOKUP(C168,'14_Master_Employees'!A:G,7,FALSE),""),"")</f>
        <v/>
      </c>
      <c r="L168" s="5" t="str">
        <f t="shared" si="1"/>
        <v/>
      </c>
    </row>
    <row r="169" ht="15.75" customHeight="1">
      <c r="B169" s="26"/>
      <c r="K169" s="5" t="str">
        <f>IF(J169="Yes",IFERROR(VLOOKUP(C169,'14_Master_Employees'!A:G,7,FALSE),""),"")</f>
        <v/>
      </c>
      <c r="L169" s="5" t="str">
        <f t="shared" si="1"/>
        <v/>
      </c>
    </row>
    <row r="170" ht="15.75" customHeight="1">
      <c r="B170" s="26"/>
      <c r="K170" s="5" t="str">
        <f>IF(J170="Yes",IFERROR(VLOOKUP(C170,'14_Master_Employees'!A:G,7,FALSE),""),"")</f>
        <v/>
      </c>
      <c r="L170" s="5" t="str">
        <f t="shared" si="1"/>
        <v/>
      </c>
    </row>
    <row r="171" ht="15.75" customHeight="1">
      <c r="B171" s="26"/>
      <c r="K171" s="5" t="str">
        <f>IF(J171="Yes",IFERROR(VLOOKUP(C171,'14_Master_Employees'!A:G,7,FALSE),""),"")</f>
        <v/>
      </c>
      <c r="L171" s="5" t="str">
        <f t="shared" si="1"/>
        <v/>
      </c>
    </row>
    <row r="172" ht="15.75" customHeight="1">
      <c r="B172" s="26"/>
      <c r="K172" s="5" t="str">
        <f>IF(J172="Yes",IFERROR(VLOOKUP(C172,'14_Master_Employees'!A:G,7,FALSE),""),"")</f>
        <v/>
      </c>
      <c r="L172" s="5" t="str">
        <f t="shared" si="1"/>
        <v/>
      </c>
    </row>
    <row r="173" ht="15.75" customHeight="1">
      <c r="B173" s="26"/>
      <c r="K173" s="5" t="str">
        <f>IF(J173="Yes",IFERROR(VLOOKUP(C173,'14_Master_Employees'!A:G,7,FALSE),""),"")</f>
        <v/>
      </c>
      <c r="L173" s="5" t="str">
        <f t="shared" si="1"/>
        <v/>
      </c>
    </row>
    <row r="174" ht="15.75" customHeight="1">
      <c r="B174" s="26"/>
      <c r="K174" s="5" t="str">
        <f>IF(J174="Yes",IFERROR(VLOOKUP(C174,'14_Master_Employees'!A:G,7,FALSE),""),"")</f>
        <v/>
      </c>
      <c r="L174" s="5" t="str">
        <f t="shared" si="1"/>
        <v/>
      </c>
    </row>
    <row r="175" ht="15.75" customHeight="1">
      <c r="B175" s="26"/>
      <c r="K175" s="5" t="str">
        <f>IF(J175="Yes",IFERROR(VLOOKUP(C175,'14_Master_Employees'!A:G,7,FALSE),""),"")</f>
        <v/>
      </c>
      <c r="L175" s="5" t="str">
        <f t="shared" si="1"/>
        <v/>
      </c>
    </row>
    <row r="176" ht="15.75" customHeight="1">
      <c r="B176" s="26"/>
      <c r="K176" s="5" t="str">
        <f>IF(J176="Yes",IFERROR(VLOOKUP(C176,'14_Master_Employees'!A:G,7,FALSE),""),"")</f>
        <v/>
      </c>
      <c r="L176" s="5" t="str">
        <f t="shared" si="1"/>
        <v/>
      </c>
    </row>
    <row r="177" ht="15.75" customHeight="1">
      <c r="B177" s="26"/>
      <c r="K177" s="5" t="str">
        <f>IF(J177="Yes",IFERROR(VLOOKUP(C177,'14_Master_Employees'!A:G,7,FALSE),""),"")</f>
        <v/>
      </c>
      <c r="L177" s="5" t="str">
        <f t="shared" si="1"/>
        <v/>
      </c>
    </row>
    <row r="178" ht="15.75" customHeight="1">
      <c r="B178" s="26"/>
      <c r="K178" s="5" t="str">
        <f>IF(J178="Yes",IFERROR(VLOOKUP(C178,'14_Master_Employees'!A:G,7,FALSE),""),"")</f>
        <v/>
      </c>
      <c r="L178" s="5" t="str">
        <f t="shared" si="1"/>
        <v/>
      </c>
    </row>
    <row r="179" ht="15.75" customHeight="1">
      <c r="B179" s="26"/>
      <c r="K179" s="5" t="str">
        <f>IF(J179="Yes",IFERROR(VLOOKUP(C179,'14_Master_Employees'!A:G,7,FALSE),""),"")</f>
        <v/>
      </c>
      <c r="L179" s="5" t="str">
        <f t="shared" si="1"/>
        <v/>
      </c>
    </row>
    <row r="180" ht="15.75" customHeight="1">
      <c r="B180" s="26"/>
      <c r="K180" s="5" t="str">
        <f>IF(J180="Yes",IFERROR(VLOOKUP(C180,'14_Master_Employees'!A:G,7,FALSE),""),"")</f>
        <v/>
      </c>
      <c r="L180" s="5" t="str">
        <f t="shared" si="1"/>
        <v/>
      </c>
    </row>
    <row r="181" ht="15.75" customHeight="1">
      <c r="B181" s="26"/>
      <c r="K181" s="5" t="str">
        <f>IF(J181="Yes",IFERROR(VLOOKUP(C181,'14_Master_Employees'!A:G,7,FALSE),""),"")</f>
        <v/>
      </c>
      <c r="L181" s="5" t="str">
        <f t="shared" si="1"/>
        <v/>
      </c>
    </row>
    <row r="182" ht="15.75" customHeight="1">
      <c r="B182" s="26"/>
      <c r="K182" s="5" t="str">
        <f>IF(J182="Yes",IFERROR(VLOOKUP(C182,'14_Master_Employees'!A:G,7,FALSE),""),"")</f>
        <v/>
      </c>
      <c r="L182" s="5" t="str">
        <f t="shared" si="1"/>
        <v/>
      </c>
    </row>
    <row r="183" ht="15.75" customHeight="1">
      <c r="B183" s="26"/>
      <c r="K183" s="5" t="str">
        <f>IF(J183="Yes",IFERROR(VLOOKUP(C183,'14_Master_Employees'!A:G,7,FALSE),""),"")</f>
        <v/>
      </c>
      <c r="L183" s="5" t="str">
        <f t="shared" si="1"/>
        <v/>
      </c>
    </row>
    <row r="184" ht="15.75" customHeight="1">
      <c r="B184" s="26"/>
      <c r="K184" s="5" t="str">
        <f>IF(J184="Yes",IFERROR(VLOOKUP(C184,'14_Master_Employees'!A:G,7,FALSE),""),"")</f>
        <v/>
      </c>
      <c r="L184" s="5" t="str">
        <f t="shared" si="1"/>
        <v/>
      </c>
    </row>
    <row r="185" ht="15.75" customHeight="1">
      <c r="B185" s="26"/>
      <c r="K185" s="5" t="str">
        <f>IF(J185="Yes",IFERROR(VLOOKUP(C185,'14_Master_Employees'!A:G,7,FALSE),""),"")</f>
        <v/>
      </c>
      <c r="L185" s="5" t="str">
        <f t="shared" si="1"/>
        <v/>
      </c>
    </row>
    <row r="186" ht="15.75" customHeight="1">
      <c r="B186" s="26"/>
      <c r="K186" s="5" t="str">
        <f>IF(J186="Yes",IFERROR(VLOOKUP(C186,'14_Master_Employees'!A:G,7,FALSE),""),"")</f>
        <v/>
      </c>
      <c r="L186" s="5" t="str">
        <f t="shared" si="1"/>
        <v/>
      </c>
    </row>
    <row r="187" ht="15.75" customHeight="1">
      <c r="B187" s="26"/>
      <c r="K187" s="5" t="str">
        <f>IF(J187="Yes",IFERROR(VLOOKUP(C187,'14_Master_Employees'!A:G,7,FALSE),""),"")</f>
        <v/>
      </c>
      <c r="L187" s="5" t="str">
        <f t="shared" si="1"/>
        <v/>
      </c>
    </row>
    <row r="188" ht="15.75" customHeight="1">
      <c r="B188" s="26"/>
      <c r="K188" s="5" t="str">
        <f>IF(J188="Yes",IFERROR(VLOOKUP(C188,'14_Master_Employees'!A:G,7,FALSE),""),"")</f>
        <v/>
      </c>
      <c r="L188" s="5" t="str">
        <f t="shared" si="1"/>
        <v/>
      </c>
    </row>
    <row r="189" ht="15.75" customHeight="1">
      <c r="B189" s="26"/>
      <c r="K189" s="5" t="str">
        <f>IF(J189="Yes",IFERROR(VLOOKUP(C189,'14_Master_Employees'!A:G,7,FALSE),""),"")</f>
        <v/>
      </c>
      <c r="L189" s="5" t="str">
        <f t="shared" si="1"/>
        <v/>
      </c>
    </row>
    <row r="190" ht="15.75" customHeight="1">
      <c r="B190" s="26"/>
      <c r="K190" s="5" t="str">
        <f>IF(J190="Yes",IFERROR(VLOOKUP(C190,'14_Master_Employees'!A:G,7,FALSE),""),"")</f>
        <v/>
      </c>
      <c r="L190" s="5" t="str">
        <f t="shared" si="1"/>
        <v/>
      </c>
    </row>
    <row r="191" ht="15.75" customHeight="1">
      <c r="B191" s="26"/>
      <c r="K191" s="5" t="str">
        <f>IF(J191="Yes",IFERROR(VLOOKUP(C191,'14_Master_Employees'!A:G,7,FALSE),""),"")</f>
        <v/>
      </c>
      <c r="L191" s="5" t="str">
        <f t="shared" si="1"/>
        <v/>
      </c>
    </row>
    <row r="192" ht="15.75" customHeight="1">
      <c r="B192" s="26"/>
      <c r="K192" s="5" t="str">
        <f>IF(J192="Yes",IFERROR(VLOOKUP(C192,'14_Master_Employees'!A:G,7,FALSE),""),"")</f>
        <v/>
      </c>
      <c r="L192" s="5" t="str">
        <f t="shared" si="1"/>
        <v/>
      </c>
    </row>
    <row r="193" ht="15.75" customHeight="1">
      <c r="B193" s="26"/>
      <c r="K193" s="5" t="str">
        <f>IF(J193="Yes",IFERROR(VLOOKUP(C193,'14_Master_Employees'!A:G,7,FALSE),""),"")</f>
        <v/>
      </c>
      <c r="L193" s="5" t="str">
        <f t="shared" si="1"/>
        <v/>
      </c>
    </row>
    <row r="194" ht="15.75" customHeight="1">
      <c r="B194" s="26"/>
      <c r="K194" s="5" t="str">
        <f>IF(J194="Yes",IFERROR(VLOOKUP(C194,'14_Master_Employees'!A:G,7,FALSE),""),"")</f>
        <v/>
      </c>
      <c r="L194" s="5" t="str">
        <f t="shared" si="1"/>
        <v/>
      </c>
    </row>
    <row r="195" ht="15.75" customHeight="1">
      <c r="B195" s="26"/>
      <c r="K195" s="5" t="str">
        <f>IF(J195="Yes",IFERROR(VLOOKUP(C195,'14_Master_Employees'!A:G,7,FALSE),""),"")</f>
        <v/>
      </c>
      <c r="L195" s="5" t="str">
        <f t="shared" si="1"/>
        <v/>
      </c>
    </row>
    <row r="196" ht="15.75" customHeight="1">
      <c r="B196" s="26"/>
      <c r="K196" s="5" t="str">
        <f>IF(J196="Yes",IFERROR(VLOOKUP(C196,'14_Master_Employees'!A:G,7,FALSE),""),"")</f>
        <v/>
      </c>
      <c r="L196" s="5" t="str">
        <f t="shared" si="1"/>
        <v/>
      </c>
    </row>
    <row r="197" ht="15.75" customHeight="1">
      <c r="B197" s="26"/>
      <c r="K197" s="5" t="str">
        <f>IF(J197="Yes",IFERROR(VLOOKUP(C197,'14_Master_Employees'!A:G,7,FALSE),""),"")</f>
        <v/>
      </c>
      <c r="L197" s="5" t="str">
        <f t="shared" si="1"/>
        <v/>
      </c>
    </row>
    <row r="198" ht="15.75" customHeight="1">
      <c r="B198" s="26"/>
      <c r="K198" s="5" t="str">
        <f>IF(J198="Yes",IFERROR(VLOOKUP(C198,'14_Master_Employees'!A:G,7,FALSE),""),"")</f>
        <v/>
      </c>
      <c r="L198" s="5" t="str">
        <f t="shared" si="1"/>
        <v/>
      </c>
    </row>
    <row r="199" ht="15.75" customHeight="1">
      <c r="B199" s="26"/>
      <c r="K199" s="5" t="str">
        <f>IF(J199="Yes",IFERROR(VLOOKUP(C199,'14_Master_Employees'!A:G,7,FALSE),""),"")</f>
        <v/>
      </c>
      <c r="L199" s="5" t="str">
        <f t="shared" si="1"/>
        <v/>
      </c>
    </row>
    <row r="200" ht="15.75" customHeight="1">
      <c r="B200" s="26"/>
      <c r="K200" s="5" t="str">
        <f>IF(J200="Yes",IFERROR(VLOOKUP(C200,'14_Master_Employees'!A:G,7,FALSE),""),"")</f>
        <v/>
      </c>
      <c r="L200" s="5" t="str">
        <f t="shared" si="1"/>
        <v/>
      </c>
    </row>
    <row r="201" ht="15.75" customHeight="1">
      <c r="B201" s="26"/>
      <c r="K201" s="5" t="str">
        <f>IF(J201="Yes",IFERROR(VLOOKUP(C201,'14_Master_Employees'!A:G,7,FALSE),""),"")</f>
        <v/>
      </c>
      <c r="L201" s="5" t="str">
        <f t="shared" si="1"/>
        <v/>
      </c>
    </row>
    <row r="202" ht="15.75" customHeight="1">
      <c r="B202" s="26"/>
      <c r="K202" s="5" t="str">
        <f>IF(J202="Yes",IFERROR(VLOOKUP(C202,'14_Master_Employees'!A:G,7,FALSE),""),"")</f>
        <v/>
      </c>
      <c r="L202" s="5" t="str">
        <f t="shared" si="1"/>
        <v/>
      </c>
    </row>
    <row r="203" ht="15.75" customHeight="1">
      <c r="B203" s="26"/>
      <c r="K203" s="5" t="str">
        <f>IF(J203="Yes",IFERROR(VLOOKUP(C203,'14_Master_Employees'!A:G,7,FALSE),""),"")</f>
        <v/>
      </c>
      <c r="L203" s="5" t="str">
        <f t="shared" si="1"/>
        <v/>
      </c>
    </row>
    <row r="204" ht="15.75" customHeight="1">
      <c r="B204" s="26"/>
      <c r="K204" s="5" t="str">
        <f>IF(J204="Yes",IFERROR(VLOOKUP(C204,'14_Master_Employees'!A:G,7,FALSE),""),"")</f>
        <v/>
      </c>
      <c r="L204" s="5" t="str">
        <f t="shared" si="1"/>
        <v/>
      </c>
    </row>
    <row r="205" ht="15.75" customHeight="1">
      <c r="B205" s="26"/>
      <c r="K205" s="5" t="str">
        <f>IF(J205="Yes",IFERROR(VLOOKUP(C205,'14_Master_Employees'!A:G,7,FALSE),""),"")</f>
        <v/>
      </c>
      <c r="L205" s="5" t="str">
        <f t="shared" si="1"/>
        <v/>
      </c>
    </row>
    <row r="206" ht="15.75" customHeight="1">
      <c r="B206" s="26"/>
      <c r="K206" s="5" t="str">
        <f>IF(J206="Yes",IFERROR(VLOOKUP(C206,'14_Master_Employees'!A:G,7,FALSE),""),"")</f>
        <v/>
      </c>
      <c r="L206" s="5" t="str">
        <f t="shared" si="1"/>
        <v/>
      </c>
    </row>
    <row r="207" ht="15.75" customHeight="1">
      <c r="B207" s="26"/>
      <c r="K207" s="5" t="str">
        <f>IF(J207="Yes",IFERROR(VLOOKUP(C207,'14_Master_Employees'!A:G,7,FALSE),""),"")</f>
        <v/>
      </c>
      <c r="L207" s="5" t="str">
        <f t="shared" si="1"/>
        <v/>
      </c>
    </row>
    <row r="208" ht="15.75" customHeight="1">
      <c r="B208" s="26"/>
      <c r="K208" s="5" t="str">
        <f>IF(J208="Yes",IFERROR(VLOOKUP(C208,'14_Master_Employees'!A:G,7,FALSE),""),"")</f>
        <v/>
      </c>
      <c r="L208" s="5" t="str">
        <f t="shared" si="1"/>
        <v/>
      </c>
    </row>
    <row r="209" ht="15.75" customHeight="1">
      <c r="B209" s="26"/>
      <c r="K209" s="5" t="str">
        <f>IF(J209="Yes",IFERROR(VLOOKUP(C209,'14_Master_Employees'!A:G,7,FALSE),""),"")</f>
        <v/>
      </c>
      <c r="L209" s="5" t="str">
        <f t="shared" si="1"/>
        <v/>
      </c>
    </row>
    <row r="210" ht="15.75" customHeight="1">
      <c r="B210" s="26"/>
      <c r="K210" s="5" t="str">
        <f>IF(J210="Yes",IFERROR(VLOOKUP(C210,'14_Master_Employees'!A:G,7,FALSE),""),"")</f>
        <v/>
      </c>
      <c r="L210" s="5" t="str">
        <f t="shared" si="1"/>
        <v/>
      </c>
    </row>
    <row r="211" ht="15.75" customHeight="1">
      <c r="B211" s="26"/>
      <c r="K211" s="5" t="str">
        <f>IF(J211="Yes",IFERROR(VLOOKUP(C211,'14_Master_Employees'!A:G,7,FALSE),""),"")</f>
        <v/>
      </c>
      <c r="L211" s="5" t="str">
        <f t="shared" si="1"/>
        <v/>
      </c>
    </row>
    <row r="212" ht="15.75" customHeight="1">
      <c r="B212" s="26"/>
      <c r="K212" s="5" t="str">
        <f>IF(J212="Yes",IFERROR(VLOOKUP(C212,'14_Master_Employees'!A:G,7,FALSE),""),"")</f>
        <v/>
      </c>
      <c r="L212" s="5" t="str">
        <f t="shared" si="1"/>
        <v/>
      </c>
    </row>
    <row r="213" ht="15.75" customHeight="1">
      <c r="B213" s="26"/>
      <c r="K213" s="5" t="str">
        <f>IF(J213="Yes",IFERROR(VLOOKUP(C213,'14_Master_Employees'!A:G,7,FALSE),""),"")</f>
        <v/>
      </c>
      <c r="L213" s="5" t="str">
        <f t="shared" si="1"/>
        <v/>
      </c>
    </row>
    <row r="214" ht="15.75" customHeight="1">
      <c r="B214" s="26"/>
      <c r="K214" s="5" t="str">
        <f>IF(J214="Yes",IFERROR(VLOOKUP(C214,'14_Master_Employees'!A:G,7,FALSE),""),"")</f>
        <v/>
      </c>
      <c r="L214" s="5" t="str">
        <f t="shared" si="1"/>
        <v/>
      </c>
    </row>
    <row r="215" ht="15.75" customHeight="1">
      <c r="B215" s="26"/>
      <c r="K215" s="5" t="str">
        <f>IF(J215="Yes",IFERROR(VLOOKUP(C215,'14_Master_Employees'!A:G,7,FALSE),""),"")</f>
        <v/>
      </c>
      <c r="L215" s="5" t="str">
        <f t="shared" si="1"/>
        <v/>
      </c>
    </row>
    <row r="216" ht="15.75" customHeight="1">
      <c r="B216" s="26"/>
      <c r="K216" s="5" t="str">
        <f>IF(J216="Yes",IFERROR(VLOOKUP(C216,'14_Master_Employees'!A:G,7,FALSE),""),"")</f>
        <v/>
      </c>
      <c r="L216" s="5" t="str">
        <f t="shared" si="1"/>
        <v/>
      </c>
    </row>
    <row r="217" ht="15.75" customHeight="1">
      <c r="B217" s="26"/>
      <c r="K217" s="5" t="str">
        <f>IF(J217="Yes",IFERROR(VLOOKUP(C217,'14_Master_Employees'!A:G,7,FALSE),""),"")</f>
        <v/>
      </c>
      <c r="L217" s="5" t="str">
        <f t="shared" si="1"/>
        <v/>
      </c>
    </row>
    <row r="218" ht="15.75" customHeight="1">
      <c r="B218" s="26"/>
      <c r="K218" s="5" t="str">
        <f>IF(J218="Yes",IFERROR(VLOOKUP(C218,'14_Master_Employees'!A:G,7,FALSE),""),"")</f>
        <v/>
      </c>
      <c r="L218" s="5" t="str">
        <f t="shared" si="1"/>
        <v/>
      </c>
    </row>
    <row r="219" ht="15.75" customHeight="1">
      <c r="B219" s="26"/>
      <c r="K219" s="5" t="str">
        <f>IF(J219="Yes",IFERROR(VLOOKUP(C219,'14_Master_Employees'!A:G,7,FALSE),""),"")</f>
        <v/>
      </c>
      <c r="L219" s="5" t="str">
        <f t="shared" si="1"/>
        <v/>
      </c>
    </row>
    <row r="220" ht="15.75" customHeight="1">
      <c r="B220" s="26"/>
      <c r="K220" s="5" t="str">
        <f>IF(J220="Yes",IFERROR(VLOOKUP(C220,'14_Master_Employees'!A:G,7,FALSE),""),"")</f>
        <v/>
      </c>
      <c r="L220" s="5" t="str">
        <f t="shared" si="1"/>
        <v/>
      </c>
    </row>
    <row r="221" ht="15.75" customHeight="1">
      <c r="B221" s="26"/>
      <c r="K221" s="5" t="str">
        <f>IF(J221="Yes",IFERROR(VLOOKUP(C221,'14_Master_Employees'!A:G,7,FALSE),""),"")</f>
        <v/>
      </c>
      <c r="L221" s="5" t="str">
        <f t="shared" si="1"/>
        <v/>
      </c>
    </row>
    <row r="222" ht="15.75" customHeight="1">
      <c r="B222" s="26"/>
      <c r="K222" s="5" t="str">
        <f>IF(J222="Yes",IFERROR(VLOOKUP(C222,'14_Master_Employees'!A:G,7,FALSE),""),"")</f>
        <v/>
      </c>
      <c r="L222" s="5" t="str">
        <f t="shared" si="1"/>
        <v/>
      </c>
    </row>
    <row r="223" ht="15.75" customHeight="1">
      <c r="B223" s="26"/>
      <c r="K223" s="5" t="str">
        <f>IF(J223="Yes",IFERROR(VLOOKUP(C223,'14_Master_Employees'!A:G,7,FALSE),""),"")</f>
        <v/>
      </c>
      <c r="L223" s="5" t="str">
        <f t="shared" si="1"/>
        <v/>
      </c>
    </row>
    <row r="224" ht="15.75" customHeight="1">
      <c r="B224" s="26"/>
      <c r="K224" s="5" t="str">
        <f>IF(J224="Yes",IFERROR(VLOOKUP(C224,'14_Master_Employees'!A:G,7,FALSE),""),"")</f>
        <v/>
      </c>
      <c r="L224" s="5" t="str">
        <f t="shared" si="1"/>
        <v/>
      </c>
    </row>
    <row r="225" ht="15.75" customHeight="1">
      <c r="B225" s="26"/>
      <c r="K225" s="5" t="str">
        <f>IF(J225="Yes",IFERROR(VLOOKUP(C225,'14_Master_Employees'!A:G,7,FALSE),""),"")</f>
        <v/>
      </c>
      <c r="L225" s="5" t="str">
        <f t="shared" si="1"/>
        <v/>
      </c>
    </row>
    <row r="226" ht="15.75" customHeight="1">
      <c r="B226" s="26"/>
      <c r="K226" s="5" t="str">
        <f>IF(J226="Yes",IFERROR(VLOOKUP(C226,'14_Master_Employees'!A:G,7,FALSE),""),"")</f>
        <v/>
      </c>
      <c r="L226" s="5" t="str">
        <f t="shared" si="1"/>
        <v/>
      </c>
    </row>
    <row r="227" ht="15.75" customHeight="1">
      <c r="B227" s="26"/>
      <c r="K227" s="5" t="str">
        <f>IF(J227="Yes",IFERROR(VLOOKUP(C227,'14_Master_Employees'!A:G,7,FALSE),""),"")</f>
        <v/>
      </c>
      <c r="L227" s="5" t="str">
        <f t="shared" si="1"/>
        <v/>
      </c>
    </row>
    <row r="228" ht="15.75" customHeight="1">
      <c r="B228" s="26"/>
      <c r="K228" s="5" t="str">
        <f>IF(J228="Yes",IFERROR(VLOOKUP(C228,'14_Master_Employees'!A:G,7,FALSE),""),"")</f>
        <v/>
      </c>
      <c r="L228" s="5" t="str">
        <f t="shared" si="1"/>
        <v/>
      </c>
    </row>
    <row r="229" ht="15.75" customHeight="1">
      <c r="B229" s="26"/>
      <c r="K229" s="5" t="str">
        <f>IF(J229="Yes",IFERROR(VLOOKUP(C229,'14_Master_Employees'!A:G,7,FALSE),""),"")</f>
        <v/>
      </c>
      <c r="L229" s="5" t="str">
        <f t="shared" si="1"/>
        <v/>
      </c>
    </row>
    <row r="230" ht="15.75" customHeight="1">
      <c r="B230" s="26"/>
      <c r="K230" s="5" t="str">
        <f>IF(J230="Yes",IFERROR(VLOOKUP(C230,'14_Master_Employees'!A:G,7,FALSE),""),"")</f>
        <v/>
      </c>
      <c r="L230" s="5" t="str">
        <f t="shared" si="1"/>
        <v/>
      </c>
    </row>
    <row r="231" ht="15.75" customHeight="1">
      <c r="B231" s="26"/>
      <c r="K231" s="5" t="str">
        <f>IF(J231="Yes",IFERROR(VLOOKUP(C231,'14_Master_Employees'!A:G,7,FALSE),""),"")</f>
        <v/>
      </c>
      <c r="L231" s="5" t="str">
        <f t="shared" si="1"/>
        <v/>
      </c>
    </row>
    <row r="232" ht="15.75" customHeight="1">
      <c r="B232" s="26"/>
      <c r="K232" s="5" t="str">
        <f>IF(J232="Yes",IFERROR(VLOOKUP(C232,'14_Master_Employees'!A:G,7,FALSE),""),"")</f>
        <v/>
      </c>
      <c r="L232" s="5" t="str">
        <f t="shared" si="1"/>
        <v/>
      </c>
    </row>
    <row r="233" ht="15.75" customHeight="1">
      <c r="B233" s="26"/>
      <c r="K233" s="5" t="str">
        <f>IF(J233="Yes",IFERROR(VLOOKUP(C233,'14_Master_Employees'!A:G,7,FALSE),""),"")</f>
        <v/>
      </c>
      <c r="L233" s="5" t="str">
        <f t="shared" si="1"/>
        <v/>
      </c>
    </row>
    <row r="234" ht="15.75" customHeight="1">
      <c r="B234" s="26"/>
      <c r="K234" s="5" t="str">
        <f>IF(J234="Yes",IFERROR(VLOOKUP(C234,'14_Master_Employees'!A:G,7,FALSE),""),"")</f>
        <v/>
      </c>
      <c r="L234" s="5" t="str">
        <f t="shared" si="1"/>
        <v/>
      </c>
    </row>
    <row r="235" ht="15.75" customHeight="1">
      <c r="B235" s="26"/>
      <c r="K235" s="5" t="str">
        <f>IF(J235="Yes",IFERROR(VLOOKUP(C235,'14_Master_Employees'!A:G,7,FALSE),""),"")</f>
        <v/>
      </c>
      <c r="L235" s="5" t="str">
        <f t="shared" si="1"/>
        <v/>
      </c>
    </row>
    <row r="236" ht="15.75" customHeight="1">
      <c r="B236" s="26"/>
      <c r="K236" s="5" t="str">
        <f>IF(J236="Yes",IFERROR(VLOOKUP(C236,'14_Master_Employees'!A:G,7,FALSE),""),"")</f>
        <v/>
      </c>
      <c r="L236" s="5" t="str">
        <f t="shared" si="1"/>
        <v/>
      </c>
    </row>
    <row r="237" ht="15.75" customHeight="1">
      <c r="B237" s="26"/>
      <c r="K237" s="5" t="str">
        <f>IF(J237="Yes",IFERROR(VLOOKUP(C237,'14_Master_Employees'!A:G,7,FALSE),""),"")</f>
        <v/>
      </c>
      <c r="L237" s="5" t="str">
        <f t="shared" si="1"/>
        <v/>
      </c>
    </row>
    <row r="238" ht="15.75" customHeight="1">
      <c r="B238" s="26"/>
      <c r="K238" s="5" t="str">
        <f>IF(J238="Yes",IFERROR(VLOOKUP(C238,'14_Master_Employees'!A:G,7,FALSE),""),"")</f>
        <v/>
      </c>
      <c r="L238" s="5" t="str">
        <f t="shared" si="1"/>
        <v/>
      </c>
    </row>
    <row r="239" ht="15.75" customHeight="1">
      <c r="B239" s="26"/>
      <c r="K239" s="5" t="str">
        <f>IF(J239="Yes",IFERROR(VLOOKUP(C239,'14_Master_Employees'!A:G,7,FALSE),""),"")</f>
        <v/>
      </c>
      <c r="L239" s="5" t="str">
        <f t="shared" si="1"/>
        <v/>
      </c>
    </row>
    <row r="240" ht="15.75" customHeight="1">
      <c r="B240" s="26"/>
      <c r="K240" s="5" t="str">
        <f>IF(J240="Yes",IFERROR(VLOOKUP(C240,'14_Master_Employees'!A:G,7,FALSE),""),"")</f>
        <v/>
      </c>
      <c r="L240" s="5" t="str">
        <f t="shared" si="1"/>
        <v/>
      </c>
    </row>
    <row r="241" ht="15.75" customHeight="1">
      <c r="B241" s="26"/>
      <c r="K241" s="5" t="str">
        <f>IF(J241="Yes",IFERROR(VLOOKUP(C241,'14_Master_Employees'!A:G,7,FALSE),""),"")</f>
        <v/>
      </c>
      <c r="L241" s="5" t="str">
        <f t="shared" si="1"/>
        <v/>
      </c>
    </row>
    <row r="242" ht="15.75" customHeight="1">
      <c r="B242" s="26"/>
      <c r="K242" s="5" t="str">
        <f>IF(J242="Yes",IFERROR(VLOOKUP(C242,'14_Master_Employees'!A:G,7,FALSE),""),"")</f>
        <v/>
      </c>
      <c r="L242" s="5" t="str">
        <f t="shared" si="1"/>
        <v/>
      </c>
    </row>
    <row r="243" ht="15.75" customHeight="1">
      <c r="B243" s="26"/>
      <c r="K243" s="5" t="str">
        <f>IF(J243="Yes",IFERROR(VLOOKUP(C243,'14_Master_Employees'!A:G,7,FALSE),""),"")</f>
        <v/>
      </c>
      <c r="L243" s="5" t="str">
        <f t="shared" si="1"/>
        <v/>
      </c>
    </row>
    <row r="244" ht="15.75" customHeight="1">
      <c r="B244" s="26"/>
      <c r="K244" s="5" t="str">
        <f>IF(J244="Yes",IFERROR(VLOOKUP(C244,'14_Master_Employees'!A:G,7,FALSE),""),"")</f>
        <v/>
      </c>
      <c r="L244" s="5" t="str">
        <f t="shared" si="1"/>
        <v/>
      </c>
    </row>
    <row r="245" ht="15.75" customHeight="1">
      <c r="B245" s="26"/>
      <c r="K245" s="5" t="str">
        <f>IF(J245="Yes",IFERROR(VLOOKUP(C245,'14_Master_Employees'!A:G,7,FALSE),""),"")</f>
        <v/>
      </c>
      <c r="L245" s="5" t="str">
        <f t="shared" si="1"/>
        <v/>
      </c>
    </row>
    <row r="246" ht="15.75" customHeight="1">
      <c r="B246" s="26"/>
      <c r="K246" s="5" t="str">
        <f>IF(J246="Yes",IFERROR(VLOOKUP(C246,'14_Master_Employees'!A:G,7,FALSE),""),"")</f>
        <v/>
      </c>
      <c r="L246" s="5" t="str">
        <f t="shared" si="1"/>
        <v/>
      </c>
    </row>
    <row r="247" ht="15.75" customHeight="1">
      <c r="B247" s="26"/>
      <c r="K247" s="5" t="str">
        <f>IF(J247="Yes",IFERROR(VLOOKUP(C247,'14_Master_Employees'!A:G,7,FALSE),""),"")</f>
        <v/>
      </c>
      <c r="L247" s="5" t="str">
        <f t="shared" si="1"/>
        <v/>
      </c>
    </row>
    <row r="248" ht="15.75" customHeight="1">
      <c r="B248" s="26"/>
      <c r="K248" s="5" t="str">
        <f>IF(J248="Yes",IFERROR(VLOOKUP(C248,'14_Master_Employees'!A:G,7,FALSE),""),"")</f>
        <v/>
      </c>
      <c r="L248" s="5" t="str">
        <f t="shared" si="1"/>
        <v/>
      </c>
    </row>
    <row r="249" ht="15.75" customHeight="1">
      <c r="B249" s="26"/>
      <c r="K249" s="5" t="str">
        <f>IF(J249="Yes",IFERROR(VLOOKUP(C249,'14_Master_Employees'!A:G,7,FALSE),""),"")</f>
        <v/>
      </c>
      <c r="L249" s="5" t="str">
        <f t="shared" si="1"/>
        <v/>
      </c>
    </row>
    <row r="250" ht="15.75" customHeight="1">
      <c r="B250" s="26"/>
      <c r="K250" s="5" t="str">
        <f>IF(J250="Yes",IFERROR(VLOOKUP(C250,'14_Master_Employees'!A:G,7,FALSE),""),"")</f>
        <v/>
      </c>
      <c r="L250" s="5" t="str">
        <f t="shared" si="1"/>
        <v/>
      </c>
    </row>
    <row r="251" ht="15.75" customHeight="1">
      <c r="B251" s="26"/>
      <c r="K251" s="5" t="str">
        <f>IF(J251="Yes",IFERROR(VLOOKUP(C251,'14_Master_Employees'!A:G,7,FALSE),""),"")</f>
        <v/>
      </c>
      <c r="L251" s="5" t="str">
        <f t="shared" si="1"/>
        <v/>
      </c>
    </row>
    <row r="252" ht="15.75" customHeight="1">
      <c r="B252" s="26"/>
      <c r="K252" s="5" t="str">
        <f>IF(J252="Yes",IFERROR(VLOOKUP(C252,'14_Master_Employees'!A:G,7,FALSE),""),"")</f>
        <v/>
      </c>
      <c r="L252" s="5" t="str">
        <f t="shared" si="1"/>
        <v/>
      </c>
    </row>
    <row r="253" ht="15.75" customHeight="1">
      <c r="B253" s="26"/>
      <c r="K253" s="5" t="str">
        <f>IF(J253="Yes",IFERROR(VLOOKUP(C253,'14_Master_Employees'!A:G,7,FALSE),""),"")</f>
        <v/>
      </c>
      <c r="L253" s="5" t="str">
        <f t="shared" si="1"/>
        <v/>
      </c>
    </row>
    <row r="254" ht="15.75" customHeight="1">
      <c r="B254" s="26"/>
      <c r="K254" s="5" t="str">
        <f>IF(J254="Yes",IFERROR(VLOOKUP(C254,'14_Master_Employees'!A:G,7,FALSE),""),"")</f>
        <v/>
      </c>
      <c r="L254" s="5" t="str">
        <f t="shared" si="1"/>
        <v/>
      </c>
    </row>
    <row r="255" ht="15.75" customHeight="1">
      <c r="B255" s="26"/>
      <c r="K255" s="5" t="str">
        <f>IF(J255="Yes",IFERROR(VLOOKUP(C255,'14_Master_Employees'!A:G,7,FALSE),""),"")</f>
        <v/>
      </c>
      <c r="L255" s="5" t="str">
        <f t="shared" si="1"/>
        <v/>
      </c>
    </row>
    <row r="256" ht="15.75" customHeight="1">
      <c r="B256" s="26"/>
      <c r="K256" s="5" t="str">
        <f>IF(J256="Yes",IFERROR(VLOOKUP(C256,'14_Master_Employees'!A:G,7,FALSE),""),"")</f>
        <v/>
      </c>
      <c r="L256" s="5" t="str">
        <f t="shared" si="1"/>
        <v/>
      </c>
    </row>
    <row r="257" ht="15.75" customHeight="1">
      <c r="B257" s="26"/>
      <c r="K257" s="5" t="str">
        <f>IF(J257="Yes",IFERROR(VLOOKUP(C257,'14_Master_Employees'!A:G,7,FALSE),""),"")</f>
        <v/>
      </c>
      <c r="L257" s="5" t="str">
        <f t="shared" si="1"/>
        <v/>
      </c>
    </row>
    <row r="258" ht="15.75" customHeight="1">
      <c r="B258" s="26"/>
      <c r="K258" s="5" t="str">
        <f>IF(J258="Yes",IFERROR(VLOOKUP(C258,'14_Master_Employees'!A:G,7,FALSE),""),"")</f>
        <v/>
      </c>
      <c r="L258" s="5" t="str">
        <f t="shared" si="1"/>
        <v/>
      </c>
    </row>
    <row r="259" ht="15.75" customHeight="1">
      <c r="B259" s="26"/>
      <c r="K259" s="5" t="str">
        <f>IF(J259="Yes",IFERROR(VLOOKUP(C259,'14_Master_Employees'!A:G,7,FALSE),""),"")</f>
        <v/>
      </c>
      <c r="L259" s="5" t="str">
        <f t="shared" si="1"/>
        <v/>
      </c>
    </row>
    <row r="260" ht="15.75" customHeight="1">
      <c r="B260" s="26"/>
      <c r="K260" s="5" t="str">
        <f>IF(J260="Yes",IFERROR(VLOOKUP(C260,'14_Master_Employees'!A:G,7,FALSE),""),"")</f>
        <v/>
      </c>
      <c r="L260" s="5" t="str">
        <f t="shared" si="1"/>
        <v/>
      </c>
    </row>
    <row r="261" ht="15.75" customHeight="1">
      <c r="B261" s="26"/>
      <c r="K261" s="5" t="str">
        <f>IF(J261="Yes",IFERROR(VLOOKUP(C261,'14_Master_Employees'!A:G,7,FALSE),""),"")</f>
        <v/>
      </c>
      <c r="L261" s="5" t="str">
        <f t="shared" si="1"/>
        <v/>
      </c>
    </row>
    <row r="262" ht="15.75" customHeight="1">
      <c r="B262" s="26"/>
      <c r="K262" s="5" t="str">
        <f>IF(J262="Yes",IFERROR(VLOOKUP(C262,'14_Master_Employees'!A:G,7,FALSE),""),"")</f>
        <v/>
      </c>
      <c r="L262" s="5" t="str">
        <f t="shared" si="1"/>
        <v/>
      </c>
    </row>
    <row r="263" ht="15.75" customHeight="1">
      <c r="B263" s="26"/>
      <c r="K263" s="5" t="str">
        <f>IF(J263="Yes",IFERROR(VLOOKUP(C263,'14_Master_Employees'!A:G,7,FALSE),""),"")</f>
        <v/>
      </c>
      <c r="L263" s="5" t="str">
        <f t="shared" si="1"/>
        <v/>
      </c>
    </row>
    <row r="264" ht="15.75" customHeight="1">
      <c r="B264" s="26"/>
      <c r="K264" s="5" t="str">
        <f>IF(J264="Yes",IFERROR(VLOOKUP(C264,'14_Master_Employees'!A:G,7,FALSE),""),"")</f>
        <v/>
      </c>
      <c r="L264" s="5" t="str">
        <f t="shared" si="1"/>
        <v/>
      </c>
    </row>
    <row r="265" ht="15.75" customHeight="1">
      <c r="B265" s="26"/>
      <c r="K265" s="5" t="str">
        <f>IF(J265="Yes",IFERROR(VLOOKUP(C265,'14_Master_Employees'!A:G,7,FALSE),""),"")</f>
        <v/>
      </c>
      <c r="L265" s="5" t="str">
        <f t="shared" si="1"/>
        <v/>
      </c>
    </row>
    <row r="266" ht="15.75" customHeight="1">
      <c r="B266" s="26"/>
      <c r="K266" s="5" t="str">
        <f>IF(J266="Yes",IFERROR(VLOOKUP(C266,'14_Master_Employees'!A:G,7,FALSE),""),"")</f>
        <v/>
      </c>
      <c r="L266" s="5" t="str">
        <f t="shared" si="1"/>
        <v/>
      </c>
    </row>
    <row r="267" ht="15.75" customHeight="1">
      <c r="B267" s="26"/>
      <c r="K267" s="5" t="str">
        <f>IF(J267="Yes",IFERROR(VLOOKUP(C267,'14_Master_Employees'!A:G,7,FALSE),""),"")</f>
        <v/>
      </c>
      <c r="L267" s="5" t="str">
        <f t="shared" si="1"/>
        <v/>
      </c>
    </row>
    <row r="268" ht="15.75" customHeight="1">
      <c r="B268" s="26"/>
      <c r="K268" s="5" t="str">
        <f>IF(J268="Yes",IFERROR(VLOOKUP(C268,'14_Master_Employees'!A:G,7,FALSE),""),"")</f>
        <v/>
      </c>
      <c r="L268" s="5" t="str">
        <f t="shared" si="1"/>
        <v/>
      </c>
    </row>
    <row r="269" ht="15.75" customHeight="1">
      <c r="B269" s="26"/>
      <c r="K269" s="5" t="str">
        <f>IF(J269="Yes",IFERROR(VLOOKUP(C269,'14_Master_Employees'!A:G,7,FALSE),""),"")</f>
        <v/>
      </c>
      <c r="L269" s="5" t="str">
        <f t="shared" si="1"/>
        <v/>
      </c>
    </row>
    <row r="270" ht="15.75" customHeight="1">
      <c r="B270" s="26"/>
      <c r="K270" s="5" t="str">
        <f>IF(J270="Yes",IFERROR(VLOOKUP(C270,'14_Master_Employees'!A:G,7,FALSE),""),"")</f>
        <v/>
      </c>
      <c r="L270" s="5" t="str">
        <f t="shared" si="1"/>
        <v/>
      </c>
    </row>
    <row r="271" ht="15.75" customHeight="1">
      <c r="B271" s="26"/>
      <c r="K271" s="5" t="str">
        <f>IF(J271="Yes",IFERROR(VLOOKUP(C271,'14_Master_Employees'!A:G,7,FALSE),""),"")</f>
        <v/>
      </c>
      <c r="L271" s="5" t="str">
        <f t="shared" si="1"/>
        <v/>
      </c>
    </row>
    <row r="272" ht="15.75" customHeight="1">
      <c r="B272" s="26"/>
      <c r="K272" s="5" t="str">
        <f>IF(J272="Yes",IFERROR(VLOOKUP(C272,'14_Master_Employees'!A:G,7,FALSE),""),"")</f>
        <v/>
      </c>
      <c r="L272" s="5" t="str">
        <f t="shared" si="1"/>
        <v/>
      </c>
    </row>
    <row r="273" ht="15.75" customHeight="1">
      <c r="B273" s="26"/>
      <c r="K273" s="5" t="str">
        <f>IF(J273="Yes",IFERROR(VLOOKUP(C273,'14_Master_Employees'!A:G,7,FALSE),""),"")</f>
        <v/>
      </c>
      <c r="L273" s="5" t="str">
        <f t="shared" si="1"/>
        <v/>
      </c>
    </row>
    <row r="274" ht="15.75" customHeight="1">
      <c r="B274" s="26"/>
      <c r="K274" s="5" t="str">
        <f>IF(J274="Yes",IFERROR(VLOOKUP(C274,'14_Master_Employees'!A:G,7,FALSE),""),"")</f>
        <v/>
      </c>
      <c r="L274" s="5" t="str">
        <f t="shared" si="1"/>
        <v/>
      </c>
    </row>
    <row r="275" ht="15.75" customHeight="1">
      <c r="B275" s="26"/>
      <c r="K275" s="5" t="str">
        <f>IF(J275="Yes",IFERROR(VLOOKUP(C275,'14_Master_Employees'!A:G,7,FALSE),""),"")</f>
        <v/>
      </c>
      <c r="L275" s="5" t="str">
        <f t="shared" si="1"/>
        <v/>
      </c>
    </row>
    <row r="276" ht="15.75" customHeight="1">
      <c r="B276" s="26"/>
      <c r="K276" s="5" t="str">
        <f>IF(J276="Yes",IFERROR(VLOOKUP(C276,'14_Master_Employees'!A:G,7,FALSE),""),"")</f>
        <v/>
      </c>
      <c r="L276" s="5" t="str">
        <f t="shared" si="1"/>
        <v/>
      </c>
    </row>
    <row r="277" ht="15.75" customHeight="1">
      <c r="B277" s="26"/>
      <c r="K277" s="5" t="str">
        <f>IF(J277="Yes",IFERROR(VLOOKUP(C277,'14_Master_Employees'!A:G,7,FALSE),""),"")</f>
        <v/>
      </c>
      <c r="L277" s="5" t="str">
        <f t="shared" si="1"/>
        <v/>
      </c>
    </row>
    <row r="278" ht="15.75" customHeight="1">
      <c r="B278" s="26"/>
      <c r="K278" s="5" t="str">
        <f>IF(J278="Yes",IFERROR(VLOOKUP(C278,'14_Master_Employees'!A:G,7,FALSE),""),"")</f>
        <v/>
      </c>
      <c r="L278" s="5" t="str">
        <f t="shared" si="1"/>
        <v/>
      </c>
    </row>
    <row r="279" ht="15.75" customHeight="1">
      <c r="B279" s="26"/>
      <c r="K279" s="5" t="str">
        <f>IF(J279="Yes",IFERROR(VLOOKUP(C279,'14_Master_Employees'!A:G,7,FALSE),""),"")</f>
        <v/>
      </c>
      <c r="L279" s="5" t="str">
        <f t="shared" si="1"/>
        <v/>
      </c>
    </row>
    <row r="280" ht="15.75" customHeight="1">
      <c r="B280" s="26"/>
      <c r="K280" s="5" t="str">
        <f>IF(J280="Yes",IFERROR(VLOOKUP(C280,'14_Master_Employees'!A:G,7,FALSE),""),"")</f>
        <v/>
      </c>
      <c r="L280" s="5" t="str">
        <f t="shared" si="1"/>
        <v/>
      </c>
    </row>
    <row r="281" ht="15.75" customHeight="1">
      <c r="B281" s="26"/>
      <c r="K281" s="5" t="str">
        <f>IF(J281="Yes",IFERROR(VLOOKUP(C281,'14_Master_Employees'!A:G,7,FALSE),""),"")</f>
        <v/>
      </c>
      <c r="L281" s="5" t="str">
        <f t="shared" si="1"/>
        <v/>
      </c>
    </row>
    <row r="282" ht="15.75" customHeight="1">
      <c r="B282" s="26"/>
      <c r="K282" s="5" t="str">
        <f>IF(J282="Yes",IFERROR(VLOOKUP(C282,'14_Master_Employees'!A:G,7,FALSE),""),"")</f>
        <v/>
      </c>
      <c r="L282" s="5" t="str">
        <f t="shared" si="1"/>
        <v/>
      </c>
    </row>
    <row r="283" ht="15.75" customHeight="1">
      <c r="B283" s="26"/>
      <c r="K283" s="5" t="str">
        <f>IF(J283="Yes",IFERROR(VLOOKUP(C283,'14_Master_Employees'!A:G,7,FALSE),""),"")</f>
        <v/>
      </c>
      <c r="L283" s="5" t="str">
        <f t="shared" si="1"/>
        <v/>
      </c>
    </row>
    <row r="284" ht="15.75" customHeight="1">
      <c r="B284" s="26"/>
      <c r="K284" s="5" t="str">
        <f>IF(J284="Yes",IFERROR(VLOOKUP(C284,'14_Master_Employees'!A:G,7,FALSE),""),"")</f>
        <v/>
      </c>
      <c r="L284" s="5" t="str">
        <f t="shared" si="1"/>
        <v/>
      </c>
    </row>
    <row r="285" ht="15.75" customHeight="1">
      <c r="B285" s="26"/>
      <c r="K285" s="5" t="str">
        <f>IF(J285="Yes",IFERROR(VLOOKUP(C285,'14_Master_Employees'!A:G,7,FALSE),""),"")</f>
        <v/>
      </c>
      <c r="L285" s="5" t="str">
        <f t="shared" si="1"/>
        <v/>
      </c>
    </row>
    <row r="286" ht="15.75" customHeight="1">
      <c r="B286" s="26"/>
      <c r="K286" s="5" t="str">
        <f>IF(J286="Yes",IFERROR(VLOOKUP(C286,'14_Master_Employees'!A:G,7,FALSE),""),"")</f>
        <v/>
      </c>
      <c r="L286" s="5" t="str">
        <f t="shared" si="1"/>
        <v/>
      </c>
    </row>
    <row r="287" ht="15.75" customHeight="1">
      <c r="B287" s="26"/>
      <c r="K287" s="5" t="str">
        <f>IF(J287="Yes",IFERROR(VLOOKUP(C287,'14_Master_Employees'!A:G,7,FALSE),""),"")</f>
        <v/>
      </c>
      <c r="L287" s="5" t="str">
        <f t="shared" si="1"/>
        <v/>
      </c>
    </row>
    <row r="288" ht="15.75" customHeight="1">
      <c r="B288" s="26"/>
      <c r="K288" s="5" t="str">
        <f>IF(J288="Yes",IFERROR(VLOOKUP(C288,'14_Master_Employees'!A:G,7,FALSE),""),"")</f>
        <v/>
      </c>
      <c r="L288" s="5" t="str">
        <f t="shared" si="1"/>
        <v/>
      </c>
    </row>
    <row r="289" ht="15.75" customHeight="1">
      <c r="B289" s="26"/>
      <c r="K289" s="5" t="str">
        <f>IF(J289="Yes",IFERROR(VLOOKUP(C289,'14_Master_Employees'!A:G,7,FALSE),""),"")</f>
        <v/>
      </c>
      <c r="L289" s="5" t="str">
        <f t="shared" si="1"/>
        <v/>
      </c>
    </row>
    <row r="290" ht="15.75" customHeight="1">
      <c r="B290" s="26"/>
      <c r="K290" s="5" t="str">
        <f>IF(J290="Yes",IFERROR(VLOOKUP(C290,'14_Master_Employees'!A:G,7,FALSE),""),"")</f>
        <v/>
      </c>
      <c r="L290" s="5" t="str">
        <f t="shared" si="1"/>
        <v/>
      </c>
    </row>
    <row r="291" ht="15.75" customHeight="1">
      <c r="B291" s="26"/>
      <c r="K291" s="5" t="str">
        <f>IF(J291="Yes",IFERROR(VLOOKUP(C291,'14_Master_Employees'!A:G,7,FALSE),""),"")</f>
        <v/>
      </c>
      <c r="L291" s="5" t="str">
        <f t="shared" si="1"/>
        <v/>
      </c>
    </row>
    <row r="292" ht="15.75" customHeight="1">
      <c r="B292" s="26"/>
      <c r="K292" s="5" t="str">
        <f>IF(J292="Yes",IFERROR(VLOOKUP(C292,'14_Master_Employees'!A:G,7,FALSE),""),"")</f>
        <v/>
      </c>
      <c r="L292" s="5" t="str">
        <f t="shared" si="1"/>
        <v/>
      </c>
    </row>
    <row r="293" ht="15.75" customHeight="1">
      <c r="B293" s="26"/>
      <c r="K293" s="5" t="str">
        <f>IF(J293="Yes",IFERROR(VLOOKUP(C293,'14_Master_Employees'!A:G,7,FALSE),""),"")</f>
        <v/>
      </c>
      <c r="L293" s="5" t="str">
        <f t="shared" si="1"/>
        <v/>
      </c>
    </row>
    <row r="294" ht="15.75" customHeight="1">
      <c r="B294" s="26"/>
      <c r="K294" s="5" t="str">
        <f>IF(J294="Yes",IFERROR(VLOOKUP(C294,'14_Master_Employees'!A:G,7,FALSE),""),"")</f>
        <v/>
      </c>
      <c r="L294" s="5" t="str">
        <f t="shared" si="1"/>
        <v/>
      </c>
    </row>
    <row r="295" ht="15.75" customHeight="1">
      <c r="B295" s="26"/>
      <c r="K295" s="5" t="str">
        <f>IF(J295="Yes",IFERROR(VLOOKUP(C295,'14_Master_Employees'!A:G,7,FALSE),""),"")</f>
        <v/>
      </c>
      <c r="L295" s="5" t="str">
        <f t="shared" si="1"/>
        <v/>
      </c>
    </row>
    <row r="296" ht="15.75" customHeight="1">
      <c r="B296" s="26"/>
      <c r="K296" s="5" t="str">
        <f>IF(J296="Yes",IFERROR(VLOOKUP(C296,'14_Master_Employees'!A:G,7,FALSE),""),"")</f>
        <v/>
      </c>
      <c r="L296" s="5" t="str">
        <f t="shared" si="1"/>
        <v/>
      </c>
    </row>
    <row r="297" ht="15.75" customHeight="1">
      <c r="B297" s="26"/>
      <c r="K297" s="5" t="str">
        <f>IF(J297="Yes",IFERROR(VLOOKUP(C297,'14_Master_Employees'!A:G,7,FALSE),""),"")</f>
        <v/>
      </c>
      <c r="L297" s="5" t="str">
        <f t="shared" si="1"/>
        <v/>
      </c>
    </row>
    <row r="298" ht="15.75" customHeight="1">
      <c r="B298" s="26"/>
      <c r="K298" s="5" t="str">
        <f>IF(J298="Yes",IFERROR(VLOOKUP(C298,'14_Master_Employees'!A:G,7,FALSE),""),"")</f>
        <v/>
      </c>
      <c r="L298" s="5" t="str">
        <f t="shared" si="1"/>
        <v/>
      </c>
    </row>
    <row r="299" ht="15.75" customHeight="1">
      <c r="B299" s="26"/>
      <c r="K299" s="5" t="str">
        <f>IF(J299="Yes",IFERROR(VLOOKUP(C299,'14_Master_Employees'!A:G,7,FALSE),""),"")</f>
        <v/>
      </c>
      <c r="L299" s="5" t="str">
        <f t="shared" si="1"/>
        <v/>
      </c>
    </row>
    <row r="300" ht="15.75" customHeight="1">
      <c r="B300" s="26"/>
      <c r="K300" s="5" t="str">
        <f>IF(J300="Yes",IFERROR(VLOOKUP(C300,'14_Master_Employees'!A:G,7,FALSE),""),"")</f>
        <v/>
      </c>
      <c r="L300" s="5" t="str">
        <f t="shared" si="1"/>
        <v/>
      </c>
    </row>
    <row r="301" ht="15.75" customHeight="1">
      <c r="B301" s="26"/>
      <c r="K301" s="5" t="str">
        <f>IF(J301="Yes",IFERROR(VLOOKUP(C301,'14_Master_Employees'!A:G,7,FALSE),""),"")</f>
        <v/>
      </c>
      <c r="L301" s="5" t="str">
        <f t="shared" si="1"/>
        <v/>
      </c>
    </row>
    <row r="302" ht="15.75" customHeight="1">
      <c r="B302" s="26"/>
      <c r="K302" s="5" t="str">
        <f>IF(J302="Yes",IFERROR(VLOOKUP(C302,'14_Master_Employees'!A:G,7,FALSE),""),"")</f>
        <v/>
      </c>
      <c r="L302" s="5" t="str">
        <f t="shared" si="1"/>
        <v/>
      </c>
    </row>
    <row r="303" ht="15.75" customHeight="1">
      <c r="B303" s="26"/>
      <c r="K303" s="5" t="str">
        <f>IF(J303="Yes",IFERROR(VLOOKUP(C303,'14_Master_Employees'!A:G,7,FALSE),""),"")</f>
        <v/>
      </c>
      <c r="L303" s="5" t="str">
        <f t="shared" si="1"/>
        <v/>
      </c>
    </row>
    <row r="304" ht="15.75" customHeight="1">
      <c r="B304" s="26"/>
      <c r="K304" s="5" t="str">
        <f>IF(J304="Yes",IFERROR(VLOOKUP(C304,'14_Master_Employees'!A:G,7,FALSE),""),"")</f>
        <v/>
      </c>
      <c r="L304" s="5" t="str">
        <f t="shared" si="1"/>
        <v/>
      </c>
    </row>
    <row r="305" ht="15.75" customHeight="1">
      <c r="B305" s="26"/>
      <c r="K305" s="5" t="str">
        <f>IF(J305="Yes",IFERROR(VLOOKUP(C305,'14_Master_Employees'!A:G,7,FALSE),""),"")</f>
        <v/>
      </c>
      <c r="L305" s="5" t="str">
        <f t="shared" si="1"/>
        <v/>
      </c>
    </row>
    <row r="306" ht="15.75" customHeight="1">
      <c r="B306" s="26"/>
      <c r="K306" s="5" t="str">
        <f>IF(J306="Yes",IFERROR(VLOOKUP(C306,'14_Master_Employees'!A:G,7,FALSE),""),"")</f>
        <v/>
      </c>
      <c r="L306" s="5" t="str">
        <f t="shared" si="1"/>
        <v/>
      </c>
    </row>
    <row r="307" ht="15.75" customHeight="1">
      <c r="B307" s="26"/>
      <c r="K307" s="5" t="str">
        <f>IF(J307="Yes",IFERROR(VLOOKUP(C307,'14_Master_Employees'!A:G,7,FALSE),""),"")</f>
        <v/>
      </c>
      <c r="L307" s="5" t="str">
        <f t="shared" si="1"/>
        <v/>
      </c>
    </row>
    <row r="308" ht="15.75" customHeight="1">
      <c r="B308" s="26"/>
      <c r="K308" s="5" t="str">
        <f>IF(J308="Yes",IFERROR(VLOOKUP(C308,'14_Master_Employees'!A:G,7,FALSE),""),"")</f>
        <v/>
      </c>
      <c r="L308" s="5" t="str">
        <f t="shared" si="1"/>
        <v/>
      </c>
    </row>
    <row r="309" ht="15.75" customHeight="1">
      <c r="B309" s="26"/>
      <c r="K309" s="5" t="str">
        <f>IF(J309="Yes",IFERROR(VLOOKUP(C309,'14_Master_Employees'!A:G,7,FALSE),""),"")</f>
        <v/>
      </c>
      <c r="L309" s="5" t="str">
        <f t="shared" si="1"/>
        <v/>
      </c>
    </row>
    <row r="310" ht="15.75" customHeight="1">
      <c r="B310" s="26"/>
      <c r="K310" s="5" t="str">
        <f>IF(J310="Yes",IFERROR(VLOOKUP(C310,'14_Master_Employees'!A:G,7,FALSE),""),"")</f>
        <v/>
      </c>
      <c r="L310" s="5" t="str">
        <f t="shared" si="1"/>
        <v/>
      </c>
    </row>
    <row r="311" ht="15.75" customHeight="1">
      <c r="B311" s="26"/>
      <c r="K311" s="5" t="str">
        <f>IF(J311="Yes",IFERROR(VLOOKUP(C311,'14_Master_Employees'!A:G,7,FALSE),""),"")</f>
        <v/>
      </c>
      <c r="L311" s="5" t="str">
        <f t="shared" si="1"/>
        <v/>
      </c>
    </row>
    <row r="312" ht="15.75" customHeight="1">
      <c r="B312" s="26"/>
      <c r="K312" s="5" t="str">
        <f>IF(J312="Yes",IFERROR(VLOOKUP(C312,'14_Master_Employees'!A:G,7,FALSE),""),"")</f>
        <v/>
      </c>
      <c r="L312" s="5" t="str">
        <f t="shared" si="1"/>
        <v/>
      </c>
    </row>
    <row r="313" ht="15.75" customHeight="1">
      <c r="B313" s="26"/>
      <c r="K313" s="5" t="str">
        <f>IF(J313="Yes",IFERROR(VLOOKUP(C313,'14_Master_Employees'!A:G,7,FALSE),""),"")</f>
        <v/>
      </c>
      <c r="L313" s="5" t="str">
        <f t="shared" si="1"/>
        <v/>
      </c>
    </row>
    <row r="314" ht="15.75" customHeight="1">
      <c r="B314" s="26"/>
      <c r="K314" s="5" t="str">
        <f>IF(J314="Yes",IFERROR(VLOOKUP(C314,'14_Master_Employees'!A:G,7,FALSE),""),"")</f>
        <v/>
      </c>
      <c r="L314" s="5" t="str">
        <f t="shared" si="1"/>
        <v/>
      </c>
    </row>
    <row r="315" ht="15.75" customHeight="1">
      <c r="B315" s="26"/>
      <c r="K315" s="5" t="str">
        <f>IF(J315="Yes",IFERROR(VLOOKUP(C315,'14_Master_Employees'!A:G,7,FALSE),""),"")</f>
        <v/>
      </c>
      <c r="L315" s="5" t="str">
        <f t="shared" si="1"/>
        <v/>
      </c>
    </row>
    <row r="316" ht="15.75" customHeight="1">
      <c r="B316" s="26"/>
      <c r="K316" s="5" t="str">
        <f>IF(J316="Yes",IFERROR(VLOOKUP(C316,'14_Master_Employees'!A:G,7,FALSE),""),"")</f>
        <v/>
      </c>
      <c r="L316" s="5" t="str">
        <f t="shared" si="1"/>
        <v/>
      </c>
    </row>
    <row r="317" ht="15.75" customHeight="1">
      <c r="B317" s="26"/>
      <c r="K317" s="5" t="str">
        <f>IF(J317="Yes",IFERROR(VLOOKUP(C317,'14_Master_Employees'!A:G,7,FALSE),""),"")</f>
        <v/>
      </c>
      <c r="L317" s="5" t="str">
        <f t="shared" si="1"/>
        <v/>
      </c>
    </row>
    <row r="318" ht="15.75" customHeight="1">
      <c r="B318" s="26"/>
      <c r="K318" s="5" t="str">
        <f>IF(J318="Yes",IFERROR(VLOOKUP(C318,'14_Master_Employees'!A:G,7,FALSE),""),"")</f>
        <v/>
      </c>
      <c r="L318" s="5" t="str">
        <f t="shared" si="1"/>
        <v/>
      </c>
    </row>
    <row r="319" ht="15.75" customHeight="1">
      <c r="B319" s="26"/>
      <c r="K319" s="5" t="str">
        <f>IF(J319="Yes",IFERROR(VLOOKUP(C319,'14_Master_Employees'!A:G,7,FALSE),""),"")</f>
        <v/>
      </c>
      <c r="L319" s="5" t="str">
        <f t="shared" si="1"/>
        <v/>
      </c>
    </row>
    <row r="320" ht="15.75" customHeight="1">
      <c r="B320" s="26"/>
      <c r="K320" s="5" t="str">
        <f>IF(J320="Yes",IFERROR(VLOOKUP(C320,'14_Master_Employees'!A:G,7,FALSE),""),"")</f>
        <v/>
      </c>
      <c r="L320" s="5" t="str">
        <f t="shared" si="1"/>
        <v/>
      </c>
    </row>
    <row r="321" ht="15.75" customHeight="1">
      <c r="B321" s="26"/>
      <c r="K321" s="5" t="str">
        <f>IF(J321="Yes",IFERROR(VLOOKUP(C321,'14_Master_Employees'!A:G,7,FALSE),""),"")</f>
        <v/>
      </c>
      <c r="L321" s="5" t="str">
        <f t="shared" si="1"/>
        <v/>
      </c>
    </row>
    <row r="322" ht="15.75" customHeight="1">
      <c r="B322" s="26"/>
      <c r="K322" s="5" t="str">
        <f>IF(J322="Yes",IFERROR(VLOOKUP(C322,'14_Master_Employees'!A:G,7,FALSE),""),"")</f>
        <v/>
      </c>
      <c r="L322" s="5" t="str">
        <f t="shared" si="1"/>
        <v/>
      </c>
    </row>
    <row r="323" ht="15.75" customHeight="1">
      <c r="B323" s="26"/>
      <c r="K323" s="5" t="str">
        <f>IF(J323="Yes",IFERROR(VLOOKUP(C323,'14_Master_Employees'!A:G,7,FALSE),""),"")</f>
        <v/>
      </c>
      <c r="L323" s="5" t="str">
        <f t="shared" si="1"/>
        <v/>
      </c>
    </row>
    <row r="324" ht="15.75" customHeight="1">
      <c r="B324" s="26"/>
      <c r="K324" s="5" t="str">
        <f>IF(J324="Yes",IFERROR(VLOOKUP(C324,'14_Master_Employees'!A:G,7,FALSE),""),"")</f>
        <v/>
      </c>
      <c r="L324" s="5" t="str">
        <f t="shared" si="1"/>
        <v/>
      </c>
    </row>
    <row r="325" ht="15.75" customHeight="1">
      <c r="B325" s="26"/>
      <c r="K325" s="5" t="str">
        <f>IF(J325="Yes",IFERROR(VLOOKUP(C325,'14_Master_Employees'!A:G,7,FALSE),""),"")</f>
        <v/>
      </c>
      <c r="L325" s="5" t="str">
        <f t="shared" si="1"/>
        <v/>
      </c>
    </row>
    <row r="326" ht="15.75" customHeight="1">
      <c r="B326" s="26"/>
      <c r="K326" s="5" t="str">
        <f>IF(J326="Yes",IFERROR(VLOOKUP(C326,'14_Master_Employees'!A:G,7,FALSE),""),"")</f>
        <v/>
      </c>
      <c r="L326" s="5" t="str">
        <f t="shared" si="1"/>
        <v/>
      </c>
    </row>
    <row r="327" ht="15.75" customHeight="1">
      <c r="B327" s="26"/>
      <c r="K327" s="5" t="str">
        <f>IF(J327="Yes",IFERROR(VLOOKUP(C327,'14_Master_Employees'!A:G,7,FALSE),""),"")</f>
        <v/>
      </c>
      <c r="L327" s="5" t="str">
        <f t="shared" si="1"/>
        <v/>
      </c>
    </row>
    <row r="328" ht="15.75" customHeight="1">
      <c r="B328" s="26"/>
      <c r="K328" s="5" t="str">
        <f>IF(J328="Yes",IFERROR(VLOOKUP(C328,'14_Master_Employees'!A:G,7,FALSE),""),"")</f>
        <v/>
      </c>
      <c r="L328" s="5" t="str">
        <f t="shared" si="1"/>
        <v/>
      </c>
    </row>
    <row r="329" ht="15.75" customHeight="1">
      <c r="B329" s="26"/>
      <c r="K329" s="5" t="str">
        <f>IF(J329="Yes",IFERROR(VLOOKUP(C329,'14_Master_Employees'!A:G,7,FALSE),""),"")</f>
        <v/>
      </c>
      <c r="L329" s="5" t="str">
        <f t="shared" si="1"/>
        <v/>
      </c>
    </row>
    <row r="330" ht="15.75" customHeight="1">
      <c r="B330" s="26"/>
      <c r="K330" s="5" t="str">
        <f>IF(J330="Yes",IFERROR(VLOOKUP(C330,'14_Master_Employees'!A:G,7,FALSE),""),"")</f>
        <v/>
      </c>
      <c r="L330" s="5" t="str">
        <f t="shared" si="1"/>
        <v/>
      </c>
    </row>
    <row r="331" ht="15.75" customHeight="1">
      <c r="B331" s="26"/>
      <c r="K331" s="5" t="str">
        <f>IF(J331="Yes",IFERROR(VLOOKUP(C331,'14_Master_Employees'!A:G,7,FALSE),""),"")</f>
        <v/>
      </c>
      <c r="L331" s="5" t="str">
        <f t="shared" si="1"/>
        <v/>
      </c>
    </row>
    <row r="332" ht="15.75" customHeight="1">
      <c r="B332" s="26"/>
      <c r="K332" s="5" t="str">
        <f>IF(J332="Yes",IFERROR(VLOOKUP(C332,'14_Master_Employees'!A:G,7,FALSE),""),"")</f>
        <v/>
      </c>
      <c r="L332" s="5" t="str">
        <f t="shared" si="1"/>
        <v/>
      </c>
    </row>
    <row r="333" ht="15.75" customHeight="1">
      <c r="B333" s="26"/>
      <c r="K333" s="5" t="str">
        <f>IF(J333="Yes",IFERROR(VLOOKUP(C333,'14_Master_Employees'!A:G,7,FALSE),""),"")</f>
        <v/>
      </c>
      <c r="L333" s="5" t="str">
        <f t="shared" si="1"/>
        <v/>
      </c>
    </row>
    <row r="334" ht="15.75" customHeight="1">
      <c r="B334" s="26"/>
      <c r="K334" s="5" t="str">
        <f>IF(J334="Yes",IFERROR(VLOOKUP(C334,'14_Master_Employees'!A:G,7,FALSE),""),"")</f>
        <v/>
      </c>
      <c r="L334" s="5" t="str">
        <f t="shared" si="1"/>
        <v/>
      </c>
    </row>
    <row r="335" ht="15.75" customHeight="1">
      <c r="B335" s="26"/>
      <c r="K335" s="5" t="str">
        <f>IF(J335="Yes",IFERROR(VLOOKUP(C335,'14_Master_Employees'!A:G,7,FALSE),""),"")</f>
        <v/>
      </c>
      <c r="L335" s="5" t="str">
        <f t="shared" si="1"/>
        <v/>
      </c>
    </row>
    <row r="336" ht="15.75" customHeight="1">
      <c r="B336" s="26"/>
      <c r="K336" s="5" t="str">
        <f>IF(J336="Yes",IFERROR(VLOOKUP(C336,'14_Master_Employees'!A:G,7,FALSE),""),"")</f>
        <v/>
      </c>
      <c r="L336" s="5" t="str">
        <f t="shared" si="1"/>
        <v/>
      </c>
    </row>
    <row r="337" ht="15.75" customHeight="1">
      <c r="B337" s="26"/>
      <c r="K337" s="5" t="str">
        <f>IF(J337="Yes",IFERROR(VLOOKUP(C337,'14_Master_Employees'!A:G,7,FALSE),""),"")</f>
        <v/>
      </c>
      <c r="L337" s="5" t="str">
        <f t="shared" si="1"/>
        <v/>
      </c>
    </row>
    <row r="338" ht="15.75" customHeight="1">
      <c r="B338" s="26"/>
      <c r="K338" s="5" t="str">
        <f>IF(J338="Yes",IFERROR(VLOOKUP(C338,'14_Master_Employees'!A:G,7,FALSE),""),"")</f>
        <v/>
      </c>
      <c r="L338" s="5" t="str">
        <f t="shared" si="1"/>
        <v/>
      </c>
    </row>
    <row r="339" ht="15.75" customHeight="1">
      <c r="B339" s="26"/>
      <c r="K339" s="5" t="str">
        <f>IF(J339="Yes",IFERROR(VLOOKUP(C339,'14_Master_Employees'!A:G,7,FALSE),""),"")</f>
        <v/>
      </c>
      <c r="L339" s="5" t="str">
        <f t="shared" si="1"/>
        <v/>
      </c>
    </row>
    <row r="340" ht="15.75" customHeight="1">
      <c r="B340" s="26"/>
      <c r="K340" s="5" t="str">
        <f>IF(J340="Yes",IFERROR(VLOOKUP(C340,'14_Master_Employees'!A:G,7,FALSE),""),"")</f>
        <v/>
      </c>
      <c r="L340" s="5" t="str">
        <f t="shared" si="1"/>
        <v/>
      </c>
    </row>
    <row r="341" ht="15.75" customHeight="1">
      <c r="B341" s="26"/>
      <c r="K341" s="5" t="str">
        <f>IF(J341="Yes",IFERROR(VLOOKUP(C341,'14_Master_Employees'!A:G,7,FALSE),""),"")</f>
        <v/>
      </c>
      <c r="L341" s="5" t="str">
        <f t="shared" si="1"/>
        <v/>
      </c>
    </row>
    <row r="342" ht="15.75" customHeight="1">
      <c r="B342" s="26"/>
      <c r="K342" s="5" t="str">
        <f>IF(J342="Yes",IFERROR(VLOOKUP(C342,'14_Master_Employees'!A:G,7,FALSE),""),"")</f>
        <v/>
      </c>
      <c r="L342" s="5" t="str">
        <f t="shared" si="1"/>
        <v/>
      </c>
    </row>
    <row r="343" ht="15.75" customHeight="1">
      <c r="B343" s="26"/>
      <c r="K343" s="5" t="str">
        <f>IF(J343="Yes",IFERROR(VLOOKUP(C343,'14_Master_Employees'!A:G,7,FALSE),""),"")</f>
        <v/>
      </c>
      <c r="L343" s="5" t="str">
        <f t="shared" si="1"/>
        <v/>
      </c>
    </row>
    <row r="344" ht="15.75" customHeight="1">
      <c r="B344" s="26"/>
      <c r="K344" s="5" t="str">
        <f>IF(J344="Yes",IFERROR(VLOOKUP(C344,'14_Master_Employees'!A:G,7,FALSE),""),"")</f>
        <v/>
      </c>
      <c r="L344" s="5" t="str">
        <f t="shared" si="1"/>
        <v/>
      </c>
    </row>
    <row r="345" ht="15.75" customHeight="1">
      <c r="B345" s="26"/>
      <c r="K345" s="5" t="str">
        <f>IF(J345="Yes",IFERROR(VLOOKUP(C345,'14_Master_Employees'!A:G,7,FALSE),""),"")</f>
        <v/>
      </c>
      <c r="L345" s="5" t="str">
        <f t="shared" si="1"/>
        <v/>
      </c>
    </row>
    <row r="346" ht="15.75" customHeight="1">
      <c r="B346" s="26"/>
      <c r="K346" s="5" t="str">
        <f>IF(J346="Yes",IFERROR(VLOOKUP(C346,'14_Master_Employees'!A:G,7,FALSE),""),"")</f>
        <v/>
      </c>
      <c r="L346" s="5" t="str">
        <f t="shared" si="1"/>
        <v/>
      </c>
    </row>
    <row r="347" ht="15.75" customHeight="1">
      <c r="B347" s="26"/>
      <c r="K347" s="5" t="str">
        <f>IF(J347="Yes",IFERROR(VLOOKUP(C347,'14_Master_Employees'!A:G,7,FALSE),""),"")</f>
        <v/>
      </c>
      <c r="L347" s="5" t="str">
        <f t="shared" si="1"/>
        <v/>
      </c>
    </row>
    <row r="348" ht="15.75" customHeight="1">
      <c r="B348" s="26"/>
      <c r="K348" s="5" t="str">
        <f>IF(J348="Yes",IFERROR(VLOOKUP(C348,'14_Master_Employees'!A:G,7,FALSE),""),"")</f>
        <v/>
      </c>
      <c r="L348" s="5" t="str">
        <f t="shared" si="1"/>
        <v/>
      </c>
    </row>
    <row r="349" ht="15.75" customHeight="1">
      <c r="B349" s="26"/>
      <c r="K349" s="5" t="str">
        <f>IF(J349="Yes",IFERROR(VLOOKUP(C349,'14_Master_Employees'!A:G,7,FALSE),""),"")</f>
        <v/>
      </c>
      <c r="L349" s="5" t="str">
        <f t="shared" si="1"/>
        <v/>
      </c>
    </row>
    <row r="350" ht="15.75" customHeight="1">
      <c r="B350" s="26"/>
      <c r="K350" s="5" t="str">
        <f>IF(J350="Yes",IFERROR(VLOOKUP(C350,'14_Master_Employees'!A:G,7,FALSE),""),"")</f>
        <v/>
      </c>
      <c r="L350" s="5" t="str">
        <f t="shared" si="1"/>
        <v/>
      </c>
    </row>
    <row r="351" ht="15.75" customHeight="1">
      <c r="B351" s="26"/>
      <c r="K351" s="5" t="str">
        <f>IF(J351="Yes",IFERROR(VLOOKUP(C351,'14_Master_Employees'!A:G,7,FALSE),""),"")</f>
        <v/>
      </c>
      <c r="L351" s="5" t="str">
        <f t="shared" si="1"/>
        <v/>
      </c>
    </row>
    <row r="352" ht="15.75" customHeight="1">
      <c r="B352" s="26"/>
      <c r="K352" s="5" t="str">
        <f>IF(J352="Yes",IFERROR(VLOOKUP(C352,'14_Master_Employees'!A:G,7,FALSE),""),"")</f>
        <v/>
      </c>
      <c r="L352" s="5" t="str">
        <f t="shared" si="1"/>
        <v/>
      </c>
    </row>
    <row r="353" ht="15.75" customHeight="1">
      <c r="B353" s="26"/>
      <c r="K353" s="5" t="str">
        <f>IF(J353="Yes",IFERROR(VLOOKUP(C353,'14_Master_Employees'!A:G,7,FALSE),""),"")</f>
        <v/>
      </c>
      <c r="L353" s="5" t="str">
        <f t="shared" si="1"/>
        <v/>
      </c>
    </row>
    <row r="354" ht="15.75" customHeight="1">
      <c r="B354" s="26"/>
      <c r="K354" s="5" t="str">
        <f>IF(J354="Yes",IFERROR(VLOOKUP(C354,'14_Master_Employees'!A:G,7,FALSE),""),"")</f>
        <v/>
      </c>
      <c r="L354" s="5" t="str">
        <f t="shared" si="1"/>
        <v/>
      </c>
    </row>
    <row r="355" ht="15.75" customHeight="1">
      <c r="B355" s="26"/>
      <c r="K355" s="5" t="str">
        <f>IF(J355="Yes",IFERROR(VLOOKUP(C355,'14_Master_Employees'!A:G,7,FALSE),""),"")</f>
        <v/>
      </c>
      <c r="L355" s="5" t="str">
        <f t="shared" si="1"/>
        <v/>
      </c>
    </row>
    <row r="356" ht="15.75" customHeight="1">
      <c r="B356" s="26"/>
      <c r="K356" s="5" t="str">
        <f>IF(J356="Yes",IFERROR(VLOOKUP(C356,'14_Master_Employees'!A:G,7,FALSE),""),"")</f>
        <v/>
      </c>
      <c r="L356" s="5" t="str">
        <f t="shared" si="1"/>
        <v/>
      </c>
    </row>
    <row r="357" ht="15.75" customHeight="1">
      <c r="B357" s="26"/>
      <c r="K357" s="5" t="str">
        <f>IF(J357="Yes",IFERROR(VLOOKUP(C357,'14_Master_Employees'!A:G,7,FALSE),""),"")</f>
        <v/>
      </c>
      <c r="L357" s="5" t="str">
        <f t="shared" si="1"/>
        <v/>
      </c>
    </row>
    <row r="358" ht="15.75" customHeight="1">
      <c r="B358" s="26"/>
      <c r="K358" s="5" t="str">
        <f>IF(J358="Yes",IFERROR(VLOOKUP(C358,'14_Master_Employees'!A:G,7,FALSE),""),"")</f>
        <v/>
      </c>
      <c r="L358" s="5" t="str">
        <f t="shared" si="1"/>
        <v/>
      </c>
    </row>
    <row r="359" ht="15.75" customHeight="1">
      <c r="B359" s="26"/>
      <c r="K359" s="5" t="str">
        <f>IF(J359="Yes",IFERROR(VLOOKUP(C359,'14_Master_Employees'!A:G,7,FALSE),""),"")</f>
        <v/>
      </c>
      <c r="L359" s="5" t="str">
        <f t="shared" si="1"/>
        <v/>
      </c>
    </row>
    <row r="360" ht="15.75" customHeight="1">
      <c r="B360" s="26"/>
      <c r="K360" s="5" t="str">
        <f>IF(J360="Yes",IFERROR(VLOOKUP(C360,'14_Master_Employees'!A:G,7,FALSE),""),"")</f>
        <v/>
      </c>
      <c r="L360" s="5" t="str">
        <f t="shared" si="1"/>
        <v/>
      </c>
    </row>
    <row r="361" ht="15.75" customHeight="1">
      <c r="B361" s="26"/>
      <c r="K361" s="5" t="str">
        <f>IF(J361="Yes",IFERROR(VLOOKUP(C361,'14_Master_Employees'!A:G,7,FALSE),""),"")</f>
        <v/>
      </c>
      <c r="L361" s="5" t="str">
        <f t="shared" si="1"/>
        <v/>
      </c>
    </row>
    <row r="362" ht="15.75" customHeight="1">
      <c r="B362" s="26"/>
      <c r="K362" s="5" t="str">
        <f>IF(J362="Yes",IFERROR(VLOOKUP(C362,'14_Master_Employees'!A:G,7,FALSE),""),"")</f>
        <v/>
      </c>
      <c r="L362" s="5" t="str">
        <f t="shared" si="1"/>
        <v/>
      </c>
    </row>
    <row r="363" ht="15.75" customHeight="1">
      <c r="B363" s="26"/>
      <c r="K363" s="5" t="str">
        <f>IF(J363="Yes",IFERROR(VLOOKUP(C363,'14_Master_Employees'!A:G,7,FALSE),""),"")</f>
        <v/>
      </c>
      <c r="L363" s="5" t="str">
        <f t="shared" si="1"/>
        <v/>
      </c>
    </row>
    <row r="364" ht="15.75" customHeight="1">
      <c r="B364" s="26"/>
      <c r="K364" s="5" t="str">
        <f>IF(J364="Yes",IFERROR(VLOOKUP(C364,'14_Master_Employees'!A:G,7,FALSE),""),"")</f>
        <v/>
      </c>
      <c r="L364" s="5" t="str">
        <f t="shared" si="1"/>
        <v/>
      </c>
    </row>
    <row r="365" ht="15.75" customHeight="1">
      <c r="B365" s="26"/>
      <c r="K365" s="5" t="str">
        <f>IF(J365="Yes",IFERROR(VLOOKUP(C365,'14_Master_Employees'!A:G,7,FALSE),""),"")</f>
        <v/>
      </c>
      <c r="L365" s="5" t="str">
        <f t="shared" si="1"/>
        <v/>
      </c>
    </row>
    <row r="366" ht="15.75" customHeight="1">
      <c r="B366" s="26"/>
      <c r="K366" s="5" t="str">
        <f>IF(J366="Yes",IFERROR(VLOOKUP(C366,'14_Master_Employees'!A:G,7,FALSE),""),"")</f>
        <v/>
      </c>
      <c r="L366" s="5" t="str">
        <f t="shared" si="1"/>
        <v/>
      </c>
    </row>
    <row r="367" ht="15.75" customHeight="1">
      <c r="B367" s="26"/>
      <c r="K367" s="5" t="str">
        <f>IF(J367="Yes",IFERROR(VLOOKUP(C367,'14_Master_Employees'!A:G,7,FALSE),""),"")</f>
        <v/>
      </c>
      <c r="L367" s="5" t="str">
        <f t="shared" si="1"/>
        <v/>
      </c>
    </row>
    <row r="368" ht="15.75" customHeight="1">
      <c r="B368" s="26"/>
      <c r="K368" s="5" t="str">
        <f>IF(J368="Yes",IFERROR(VLOOKUP(C368,'14_Master_Employees'!A:G,7,FALSE),""),"")</f>
        <v/>
      </c>
      <c r="L368" s="5" t="str">
        <f t="shared" si="1"/>
        <v/>
      </c>
    </row>
    <row r="369" ht="15.75" customHeight="1">
      <c r="B369" s="26"/>
      <c r="K369" s="5" t="str">
        <f>IF(J369="Yes",IFERROR(VLOOKUP(C369,'14_Master_Employees'!A:G,7,FALSE),""),"")</f>
        <v/>
      </c>
      <c r="L369" s="5" t="str">
        <f t="shared" si="1"/>
        <v/>
      </c>
    </row>
    <row r="370" ht="15.75" customHeight="1">
      <c r="B370" s="26"/>
      <c r="K370" s="5" t="str">
        <f>IF(J370="Yes",IFERROR(VLOOKUP(C370,'14_Master_Employees'!A:G,7,FALSE),""),"")</f>
        <v/>
      </c>
      <c r="L370" s="5" t="str">
        <f t="shared" si="1"/>
        <v/>
      </c>
    </row>
    <row r="371" ht="15.75" customHeight="1">
      <c r="B371" s="26"/>
      <c r="K371" s="5" t="str">
        <f>IF(J371="Yes",IFERROR(VLOOKUP(C371,'14_Master_Employees'!A:G,7,FALSE),""),"")</f>
        <v/>
      </c>
      <c r="L371" s="5" t="str">
        <f t="shared" si="1"/>
        <v/>
      </c>
    </row>
    <row r="372" ht="15.75" customHeight="1">
      <c r="B372" s="26"/>
      <c r="K372" s="5" t="str">
        <f>IF(J372="Yes",IFERROR(VLOOKUP(C372,'14_Master_Employees'!A:G,7,FALSE),""),"")</f>
        <v/>
      </c>
      <c r="L372" s="5" t="str">
        <f t="shared" si="1"/>
        <v/>
      </c>
    </row>
    <row r="373" ht="15.75" customHeight="1">
      <c r="B373" s="26"/>
      <c r="K373" s="5" t="str">
        <f>IF(J373="Yes",IFERROR(VLOOKUP(C373,'14_Master_Employees'!A:G,7,FALSE),""),"")</f>
        <v/>
      </c>
      <c r="L373" s="5" t="str">
        <f t="shared" si="1"/>
        <v/>
      </c>
    </row>
    <row r="374" ht="15.75" customHeight="1">
      <c r="B374" s="26"/>
      <c r="K374" s="5" t="str">
        <f>IF(J374="Yes",IFERROR(VLOOKUP(C374,'14_Master_Employees'!A:G,7,FALSE),""),"")</f>
        <v/>
      </c>
      <c r="L374" s="5" t="str">
        <f t="shared" si="1"/>
        <v/>
      </c>
    </row>
    <row r="375" ht="15.75" customHeight="1">
      <c r="B375" s="26"/>
      <c r="K375" s="5" t="str">
        <f>IF(J375="Yes",IFERROR(VLOOKUP(C375,'14_Master_Employees'!A:G,7,FALSE),""),"")</f>
        <v/>
      </c>
      <c r="L375" s="5" t="str">
        <f t="shared" si="1"/>
        <v/>
      </c>
    </row>
    <row r="376" ht="15.75" customHeight="1">
      <c r="B376" s="26"/>
      <c r="K376" s="5" t="str">
        <f>IF(J376="Yes",IFERROR(VLOOKUP(C376,'14_Master_Employees'!A:G,7,FALSE),""),"")</f>
        <v/>
      </c>
      <c r="L376" s="5" t="str">
        <f t="shared" si="1"/>
        <v/>
      </c>
    </row>
    <row r="377" ht="15.75" customHeight="1">
      <c r="B377" s="26"/>
      <c r="K377" s="5" t="str">
        <f>IF(J377="Yes",IFERROR(VLOOKUP(C377,'14_Master_Employees'!A:G,7,FALSE),""),"")</f>
        <v/>
      </c>
      <c r="L377" s="5" t="str">
        <f t="shared" si="1"/>
        <v/>
      </c>
    </row>
    <row r="378" ht="15.75" customHeight="1">
      <c r="B378" s="26"/>
      <c r="K378" s="5" t="str">
        <f>IF(J378="Yes",IFERROR(VLOOKUP(C378,'14_Master_Employees'!A:G,7,FALSE),""),"")</f>
        <v/>
      </c>
      <c r="L378" s="5" t="str">
        <f t="shared" si="1"/>
        <v/>
      </c>
    </row>
    <row r="379" ht="15.75" customHeight="1">
      <c r="B379" s="26"/>
      <c r="K379" s="5" t="str">
        <f>IF(J379="Yes",IFERROR(VLOOKUP(C379,'14_Master_Employees'!A:G,7,FALSE),""),"")</f>
        <v/>
      </c>
      <c r="L379" s="5" t="str">
        <f t="shared" si="1"/>
        <v/>
      </c>
    </row>
    <row r="380" ht="15.75" customHeight="1">
      <c r="B380" s="26"/>
      <c r="K380" s="5" t="str">
        <f>IF(J380="Yes",IFERROR(VLOOKUP(C380,'14_Master_Employees'!A:G,7,FALSE),""),"")</f>
        <v/>
      </c>
      <c r="L380" s="5" t="str">
        <f t="shared" si="1"/>
        <v/>
      </c>
    </row>
    <row r="381" ht="15.75" customHeight="1">
      <c r="B381" s="26"/>
      <c r="K381" s="5" t="str">
        <f>IF(J381="Yes",IFERROR(VLOOKUP(C381,'14_Master_Employees'!A:G,7,FALSE),""),"")</f>
        <v/>
      </c>
      <c r="L381" s="5" t="str">
        <f t="shared" si="1"/>
        <v/>
      </c>
    </row>
    <row r="382" ht="15.75" customHeight="1">
      <c r="B382" s="26"/>
      <c r="K382" s="5" t="str">
        <f>IF(J382="Yes",IFERROR(VLOOKUP(C382,'14_Master_Employees'!A:G,7,FALSE),""),"")</f>
        <v/>
      </c>
      <c r="L382" s="5" t="str">
        <f t="shared" si="1"/>
        <v/>
      </c>
    </row>
    <row r="383" ht="15.75" customHeight="1">
      <c r="B383" s="26"/>
      <c r="K383" s="5" t="str">
        <f>IF(J383="Yes",IFERROR(VLOOKUP(C383,'14_Master_Employees'!A:G,7,FALSE),""),"")</f>
        <v/>
      </c>
      <c r="L383" s="5" t="str">
        <f t="shared" si="1"/>
        <v/>
      </c>
    </row>
    <row r="384" ht="15.75" customHeight="1">
      <c r="B384" s="26"/>
      <c r="K384" s="5" t="str">
        <f>IF(J384="Yes",IFERROR(VLOOKUP(C384,'14_Master_Employees'!A:G,7,FALSE),""),"")</f>
        <v/>
      </c>
      <c r="L384" s="5" t="str">
        <f t="shared" si="1"/>
        <v/>
      </c>
    </row>
    <row r="385" ht="15.75" customHeight="1">
      <c r="B385" s="26"/>
      <c r="K385" s="5" t="str">
        <f>IF(J385="Yes",IFERROR(VLOOKUP(C385,'14_Master_Employees'!A:G,7,FALSE),""),"")</f>
        <v/>
      </c>
      <c r="L385" s="5" t="str">
        <f t="shared" si="1"/>
        <v/>
      </c>
    </row>
    <row r="386" ht="15.75" customHeight="1">
      <c r="B386" s="26"/>
      <c r="K386" s="5" t="str">
        <f>IF(J386="Yes",IFERROR(VLOOKUP(C386,'14_Master_Employees'!A:G,7,FALSE),""),"")</f>
        <v/>
      </c>
      <c r="L386" s="5" t="str">
        <f t="shared" si="1"/>
        <v/>
      </c>
    </row>
    <row r="387" ht="15.75" customHeight="1">
      <c r="B387" s="26"/>
      <c r="K387" s="5" t="str">
        <f>IF(J387="Yes",IFERROR(VLOOKUP(C387,'14_Master_Employees'!A:G,7,FALSE),""),"")</f>
        <v/>
      </c>
      <c r="L387" s="5" t="str">
        <f t="shared" si="1"/>
        <v/>
      </c>
    </row>
    <row r="388" ht="15.75" customHeight="1">
      <c r="B388" s="26"/>
      <c r="K388" s="5" t="str">
        <f>IF(J388="Yes",IFERROR(VLOOKUP(C388,'14_Master_Employees'!A:G,7,FALSE),""),"")</f>
        <v/>
      </c>
      <c r="L388" s="5" t="str">
        <f t="shared" si="1"/>
        <v/>
      </c>
    </row>
    <row r="389" ht="15.75" customHeight="1">
      <c r="B389" s="26"/>
      <c r="K389" s="5" t="str">
        <f>IF(J389="Yes",IFERROR(VLOOKUP(C389,'14_Master_Employees'!A:G,7,FALSE),""),"")</f>
        <v/>
      </c>
      <c r="L389" s="5" t="str">
        <f t="shared" si="1"/>
        <v/>
      </c>
    </row>
    <row r="390" ht="15.75" customHeight="1">
      <c r="B390" s="26"/>
      <c r="K390" s="5" t="str">
        <f>IF(J390="Yes",IFERROR(VLOOKUP(C390,'14_Master_Employees'!A:G,7,FALSE),""),"")</f>
        <v/>
      </c>
      <c r="L390" s="5" t="str">
        <f t="shared" si="1"/>
        <v/>
      </c>
    </row>
    <row r="391" ht="15.75" customHeight="1">
      <c r="B391" s="26"/>
      <c r="K391" s="5" t="str">
        <f>IF(J391="Yes",IFERROR(VLOOKUP(C391,'14_Master_Employees'!A:G,7,FALSE),""),"")</f>
        <v/>
      </c>
      <c r="L391" s="5" t="str">
        <f t="shared" si="1"/>
        <v/>
      </c>
    </row>
    <row r="392" ht="15.75" customHeight="1">
      <c r="B392" s="26"/>
      <c r="K392" s="5" t="str">
        <f>IF(J392="Yes",IFERROR(VLOOKUP(C392,'14_Master_Employees'!A:G,7,FALSE),""),"")</f>
        <v/>
      </c>
      <c r="L392" s="5" t="str">
        <f t="shared" si="1"/>
        <v/>
      </c>
    </row>
    <row r="393" ht="15.75" customHeight="1">
      <c r="B393" s="26"/>
      <c r="K393" s="5" t="str">
        <f>IF(J393="Yes",IFERROR(VLOOKUP(C393,'14_Master_Employees'!A:G,7,FALSE),""),"")</f>
        <v/>
      </c>
      <c r="L393" s="5" t="str">
        <f t="shared" si="1"/>
        <v/>
      </c>
    </row>
    <row r="394" ht="15.75" customHeight="1">
      <c r="B394" s="26"/>
      <c r="K394" s="5" t="str">
        <f>IF(J394="Yes",IFERROR(VLOOKUP(C394,'14_Master_Employees'!A:G,7,FALSE),""),"")</f>
        <v/>
      </c>
      <c r="L394" s="5" t="str">
        <f t="shared" si="1"/>
        <v/>
      </c>
    </row>
    <row r="395" ht="15.75" customHeight="1">
      <c r="B395" s="26"/>
      <c r="K395" s="5" t="str">
        <f>IF(J395="Yes",IFERROR(VLOOKUP(C395,'14_Master_Employees'!A:G,7,FALSE),""),"")</f>
        <v/>
      </c>
      <c r="L395" s="5" t="str">
        <f t="shared" si="1"/>
        <v/>
      </c>
    </row>
    <row r="396" ht="15.75" customHeight="1">
      <c r="B396" s="26"/>
      <c r="K396" s="5" t="str">
        <f>IF(J396="Yes",IFERROR(VLOOKUP(C396,'14_Master_Employees'!A:G,7,FALSE),""),"")</f>
        <v/>
      </c>
      <c r="L396" s="5" t="str">
        <f t="shared" si="1"/>
        <v/>
      </c>
    </row>
    <row r="397" ht="15.75" customHeight="1">
      <c r="B397" s="26"/>
      <c r="K397" s="5" t="str">
        <f>IF(J397="Yes",IFERROR(VLOOKUP(C397,'14_Master_Employees'!A:G,7,FALSE),""),"")</f>
        <v/>
      </c>
      <c r="L397" s="5" t="str">
        <f t="shared" si="1"/>
        <v/>
      </c>
    </row>
    <row r="398" ht="15.75" customHeight="1">
      <c r="B398" s="26"/>
      <c r="K398" s="5" t="str">
        <f>IF(J398="Yes",IFERROR(VLOOKUP(C398,'14_Master_Employees'!A:G,7,FALSE),""),"")</f>
        <v/>
      </c>
      <c r="L398" s="5" t="str">
        <f t="shared" si="1"/>
        <v/>
      </c>
    </row>
    <row r="399" ht="15.75" customHeight="1">
      <c r="B399" s="26"/>
      <c r="K399" s="5" t="str">
        <f>IF(J399="Yes",IFERROR(VLOOKUP(C399,'14_Master_Employees'!A:G,7,FALSE),""),"")</f>
        <v/>
      </c>
      <c r="L399" s="5" t="str">
        <f t="shared" si="1"/>
        <v/>
      </c>
    </row>
    <row r="400" ht="15.75" customHeight="1">
      <c r="B400" s="26"/>
      <c r="K400" s="5" t="str">
        <f>IF(J400="Yes",IFERROR(VLOOKUP(C400,'14_Master_Employees'!A:G,7,FALSE),""),"")</f>
        <v/>
      </c>
      <c r="L400" s="5" t="str">
        <f t="shared" si="1"/>
        <v/>
      </c>
    </row>
    <row r="401" ht="15.75" customHeight="1">
      <c r="B401" s="26"/>
      <c r="K401" s="5" t="str">
        <f>IF(J401="Yes",IFERROR(VLOOKUP(C401,'14_Master_Employees'!A:G,7,FALSE),""),"")</f>
        <v/>
      </c>
      <c r="L401" s="5" t="str">
        <f t="shared" si="1"/>
        <v/>
      </c>
    </row>
    <row r="402" ht="15.75" customHeight="1">
      <c r="B402" s="26"/>
      <c r="K402" s="5" t="str">
        <f>IF(J402="Yes",IFERROR(VLOOKUP(C402,'14_Master_Employees'!A:G,7,FALSE),""),"")</f>
        <v/>
      </c>
      <c r="L402" s="5" t="str">
        <f t="shared" si="1"/>
        <v/>
      </c>
    </row>
    <row r="403" ht="15.75" customHeight="1">
      <c r="B403" s="26"/>
      <c r="K403" s="5" t="str">
        <f>IF(J403="Yes",IFERROR(VLOOKUP(C403,'14_Master_Employees'!A:G,7,FALSE),""),"")</f>
        <v/>
      </c>
      <c r="L403" s="5" t="str">
        <f t="shared" si="1"/>
        <v/>
      </c>
    </row>
    <row r="404" ht="15.75" customHeight="1">
      <c r="B404" s="26"/>
      <c r="K404" s="5" t="str">
        <f>IF(J404="Yes",IFERROR(VLOOKUP(C404,'14_Master_Employees'!A:G,7,FALSE),""),"")</f>
        <v/>
      </c>
      <c r="L404" s="5" t="str">
        <f t="shared" si="1"/>
        <v/>
      </c>
    </row>
    <row r="405" ht="15.75" customHeight="1">
      <c r="B405" s="26"/>
      <c r="K405" s="5" t="str">
        <f>IF(J405="Yes",IFERROR(VLOOKUP(C405,'14_Master_Employees'!A:G,7,FALSE),""),"")</f>
        <v/>
      </c>
      <c r="L405" s="5" t="str">
        <f t="shared" si="1"/>
        <v/>
      </c>
    </row>
    <row r="406" ht="15.75" customHeight="1">
      <c r="B406" s="26"/>
      <c r="K406" s="5" t="str">
        <f>IF(J406="Yes",IFERROR(VLOOKUP(C406,'14_Master_Employees'!A:G,7,FALSE),""),"")</f>
        <v/>
      </c>
      <c r="L406" s="5" t="str">
        <f t="shared" si="1"/>
        <v/>
      </c>
    </row>
    <row r="407" ht="15.75" customHeight="1">
      <c r="B407" s="26"/>
      <c r="K407" s="5" t="str">
        <f>IF(J407="Yes",IFERROR(VLOOKUP(C407,'14_Master_Employees'!A:G,7,FALSE),""),"")</f>
        <v/>
      </c>
      <c r="L407" s="5" t="str">
        <f t="shared" si="1"/>
        <v/>
      </c>
    </row>
    <row r="408" ht="15.75" customHeight="1">
      <c r="B408" s="26"/>
      <c r="K408" s="5" t="str">
        <f>IF(J408="Yes",IFERROR(VLOOKUP(C408,'14_Master_Employees'!A:G,7,FALSE),""),"")</f>
        <v/>
      </c>
      <c r="L408" s="5" t="str">
        <f t="shared" si="1"/>
        <v/>
      </c>
    </row>
    <row r="409" ht="15.75" customHeight="1">
      <c r="B409" s="26"/>
      <c r="K409" s="5" t="str">
        <f>IF(J409="Yes",IFERROR(VLOOKUP(C409,'14_Master_Employees'!A:G,7,FALSE),""),"")</f>
        <v/>
      </c>
      <c r="L409" s="5" t="str">
        <f t="shared" si="1"/>
        <v/>
      </c>
    </row>
    <row r="410" ht="15.75" customHeight="1">
      <c r="B410" s="26"/>
      <c r="K410" s="5" t="str">
        <f>IF(J410="Yes",IFERROR(VLOOKUP(C410,'14_Master_Employees'!A:G,7,FALSE),""),"")</f>
        <v/>
      </c>
      <c r="L410" s="5" t="str">
        <f t="shared" si="1"/>
        <v/>
      </c>
    </row>
    <row r="411" ht="15.75" customHeight="1">
      <c r="B411" s="26"/>
      <c r="K411" s="5" t="str">
        <f>IF(J411="Yes",IFERROR(VLOOKUP(C411,'14_Master_Employees'!A:G,7,FALSE),""),"")</f>
        <v/>
      </c>
      <c r="L411" s="5" t="str">
        <f t="shared" si="1"/>
        <v/>
      </c>
    </row>
    <row r="412" ht="15.75" customHeight="1">
      <c r="B412" s="26"/>
      <c r="K412" s="5" t="str">
        <f>IF(J412="Yes",IFERROR(VLOOKUP(C412,'14_Master_Employees'!A:G,7,FALSE),""),"")</f>
        <v/>
      </c>
      <c r="L412" s="5" t="str">
        <f t="shared" si="1"/>
        <v/>
      </c>
    </row>
    <row r="413" ht="15.75" customHeight="1">
      <c r="B413" s="26"/>
      <c r="K413" s="5" t="str">
        <f>IF(J413="Yes",IFERROR(VLOOKUP(C413,'14_Master_Employees'!A:G,7,FALSE),""),"")</f>
        <v/>
      </c>
      <c r="L413" s="5" t="str">
        <f t="shared" si="1"/>
        <v/>
      </c>
    </row>
    <row r="414" ht="15.75" customHeight="1">
      <c r="B414" s="26"/>
      <c r="K414" s="5" t="str">
        <f>IF(J414="Yes",IFERROR(VLOOKUP(C414,'14_Master_Employees'!A:G,7,FALSE),""),"")</f>
        <v/>
      </c>
      <c r="L414" s="5" t="str">
        <f t="shared" si="1"/>
        <v/>
      </c>
    </row>
    <row r="415" ht="15.75" customHeight="1">
      <c r="B415" s="26"/>
      <c r="K415" s="5" t="str">
        <f>IF(J415="Yes",IFERROR(VLOOKUP(C415,'14_Master_Employees'!A:G,7,FALSE),""),"")</f>
        <v/>
      </c>
      <c r="L415" s="5" t="str">
        <f t="shared" si="1"/>
        <v/>
      </c>
    </row>
    <row r="416" ht="15.75" customHeight="1">
      <c r="B416" s="26"/>
      <c r="K416" s="5" t="str">
        <f>IF(J416="Yes",IFERROR(VLOOKUP(C416,'14_Master_Employees'!A:G,7,FALSE),""),"")</f>
        <v/>
      </c>
      <c r="L416" s="5" t="str">
        <f t="shared" si="1"/>
        <v/>
      </c>
    </row>
    <row r="417" ht="15.75" customHeight="1">
      <c r="B417" s="26"/>
      <c r="K417" s="5" t="str">
        <f>IF(J417="Yes",IFERROR(VLOOKUP(C417,'14_Master_Employees'!A:G,7,FALSE),""),"")</f>
        <v/>
      </c>
      <c r="L417" s="5" t="str">
        <f t="shared" si="1"/>
        <v/>
      </c>
    </row>
    <row r="418" ht="15.75" customHeight="1">
      <c r="B418" s="26"/>
      <c r="K418" s="5" t="str">
        <f>IF(J418="Yes",IFERROR(VLOOKUP(C418,'14_Master_Employees'!A:G,7,FALSE),""),"")</f>
        <v/>
      </c>
      <c r="L418" s="5" t="str">
        <f t="shared" si="1"/>
        <v/>
      </c>
    </row>
    <row r="419" ht="15.75" customHeight="1">
      <c r="B419" s="26"/>
      <c r="K419" s="5" t="str">
        <f>IF(J419="Yes",IFERROR(VLOOKUP(C419,'14_Master_Employees'!A:G,7,FALSE),""),"")</f>
        <v/>
      </c>
      <c r="L419" s="5" t="str">
        <f t="shared" si="1"/>
        <v/>
      </c>
    </row>
    <row r="420" ht="15.75" customHeight="1">
      <c r="B420" s="26"/>
      <c r="K420" s="5" t="str">
        <f>IF(J420="Yes",IFERROR(VLOOKUP(C420,'14_Master_Employees'!A:G,7,FALSE),""),"")</f>
        <v/>
      </c>
      <c r="L420" s="5" t="str">
        <f t="shared" si="1"/>
        <v/>
      </c>
    </row>
    <row r="421" ht="15.75" customHeight="1">
      <c r="B421" s="26"/>
      <c r="K421" s="5" t="str">
        <f>IF(J421="Yes",IFERROR(VLOOKUP(C421,'14_Master_Employees'!A:G,7,FALSE),""),"")</f>
        <v/>
      </c>
      <c r="L421" s="5" t="str">
        <f t="shared" si="1"/>
        <v/>
      </c>
    </row>
    <row r="422" ht="15.75" customHeight="1">
      <c r="B422" s="26"/>
      <c r="K422" s="5" t="str">
        <f>IF(J422="Yes",IFERROR(VLOOKUP(C422,'14_Master_Employees'!A:G,7,FALSE),""),"")</f>
        <v/>
      </c>
      <c r="L422" s="5" t="str">
        <f t="shared" si="1"/>
        <v/>
      </c>
    </row>
    <row r="423" ht="15.75" customHeight="1">
      <c r="B423" s="26"/>
      <c r="K423" s="5" t="str">
        <f>IF(J423="Yes",IFERROR(VLOOKUP(C423,'14_Master_Employees'!A:G,7,FALSE),""),"")</f>
        <v/>
      </c>
      <c r="L423" s="5" t="str">
        <f t="shared" si="1"/>
        <v/>
      </c>
    </row>
    <row r="424" ht="15.75" customHeight="1">
      <c r="B424" s="26"/>
      <c r="K424" s="5" t="str">
        <f>IF(J424="Yes",IFERROR(VLOOKUP(C424,'14_Master_Employees'!A:G,7,FALSE),""),"")</f>
        <v/>
      </c>
      <c r="L424" s="5" t="str">
        <f t="shared" si="1"/>
        <v/>
      </c>
    </row>
    <row r="425" ht="15.75" customHeight="1">
      <c r="B425" s="26"/>
      <c r="K425" s="5" t="str">
        <f>IF(J425="Yes",IFERROR(VLOOKUP(C425,'14_Master_Employees'!A:G,7,FALSE),""),"")</f>
        <v/>
      </c>
      <c r="L425" s="5" t="str">
        <f t="shared" si="1"/>
        <v/>
      </c>
    </row>
    <row r="426" ht="15.75" customHeight="1">
      <c r="B426" s="26"/>
      <c r="K426" s="5" t="str">
        <f>IF(J426="Yes",IFERROR(VLOOKUP(C426,'14_Master_Employees'!A:G,7,FALSE),""),"")</f>
        <v/>
      </c>
      <c r="L426" s="5" t="str">
        <f t="shared" si="1"/>
        <v/>
      </c>
    </row>
    <row r="427" ht="15.75" customHeight="1">
      <c r="B427" s="26"/>
      <c r="K427" s="5" t="str">
        <f>IF(J427="Yes",IFERROR(VLOOKUP(C427,'14_Master_Employees'!A:G,7,FALSE),""),"")</f>
        <v/>
      </c>
      <c r="L427" s="5" t="str">
        <f t="shared" si="1"/>
        <v/>
      </c>
    </row>
    <row r="428" ht="15.75" customHeight="1">
      <c r="B428" s="26"/>
      <c r="K428" s="5" t="str">
        <f>IF(J428="Yes",IFERROR(VLOOKUP(C428,'14_Master_Employees'!A:G,7,FALSE),""),"")</f>
        <v/>
      </c>
      <c r="L428" s="5" t="str">
        <f t="shared" si="1"/>
        <v/>
      </c>
    </row>
    <row r="429" ht="15.75" customHeight="1">
      <c r="B429" s="26"/>
      <c r="K429" s="5" t="str">
        <f>IF(J429="Yes",IFERROR(VLOOKUP(C429,'14_Master_Employees'!A:G,7,FALSE),""),"")</f>
        <v/>
      </c>
      <c r="L429" s="5" t="str">
        <f t="shared" si="1"/>
        <v/>
      </c>
    </row>
    <row r="430" ht="15.75" customHeight="1">
      <c r="B430" s="26"/>
      <c r="K430" s="5" t="str">
        <f>IF(J430="Yes",IFERROR(VLOOKUP(C430,'14_Master_Employees'!A:G,7,FALSE),""),"")</f>
        <v/>
      </c>
      <c r="L430" s="5" t="str">
        <f t="shared" si="1"/>
        <v/>
      </c>
    </row>
    <row r="431" ht="15.75" customHeight="1">
      <c r="B431" s="26"/>
      <c r="K431" s="5" t="str">
        <f>IF(J431="Yes",IFERROR(VLOOKUP(C431,'14_Master_Employees'!A:G,7,FALSE),""),"")</f>
        <v/>
      </c>
      <c r="L431" s="5" t="str">
        <f t="shared" si="1"/>
        <v/>
      </c>
    </row>
    <row r="432" ht="15.75" customHeight="1">
      <c r="B432" s="26"/>
      <c r="K432" s="5" t="str">
        <f>IF(J432="Yes",IFERROR(VLOOKUP(C432,'14_Master_Employees'!A:G,7,FALSE),""),"")</f>
        <v/>
      </c>
      <c r="L432" s="5" t="str">
        <f t="shared" si="1"/>
        <v/>
      </c>
    </row>
    <row r="433" ht="15.75" customHeight="1">
      <c r="B433" s="26"/>
      <c r="K433" s="5" t="str">
        <f>IF(J433="Yes",IFERROR(VLOOKUP(C433,'14_Master_Employees'!A:G,7,FALSE),""),"")</f>
        <v/>
      </c>
      <c r="L433" s="5" t="str">
        <f t="shared" si="1"/>
        <v/>
      </c>
    </row>
    <row r="434" ht="15.75" customHeight="1">
      <c r="B434" s="26"/>
      <c r="K434" s="5" t="str">
        <f>IF(J434="Yes",IFERROR(VLOOKUP(C434,'14_Master_Employees'!A:G,7,FALSE),""),"")</f>
        <v/>
      </c>
      <c r="L434" s="5" t="str">
        <f t="shared" si="1"/>
        <v/>
      </c>
    </row>
    <row r="435" ht="15.75" customHeight="1">
      <c r="B435" s="26"/>
      <c r="K435" s="5" t="str">
        <f>IF(J435="Yes",IFERROR(VLOOKUP(C435,'14_Master_Employees'!A:G,7,FALSE),""),"")</f>
        <v/>
      </c>
      <c r="L435" s="5" t="str">
        <f t="shared" si="1"/>
        <v/>
      </c>
    </row>
    <row r="436" ht="15.75" customHeight="1">
      <c r="B436" s="26"/>
      <c r="K436" s="5" t="str">
        <f>IF(J436="Yes",IFERROR(VLOOKUP(C436,'14_Master_Employees'!A:G,7,FALSE),""),"")</f>
        <v/>
      </c>
      <c r="L436" s="5" t="str">
        <f t="shared" si="1"/>
        <v/>
      </c>
    </row>
    <row r="437" ht="15.75" customHeight="1">
      <c r="B437" s="26"/>
      <c r="K437" s="5" t="str">
        <f>IF(J437="Yes",IFERROR(VLOOKUP(C437,'14_Master_Employees'!A:G,7,FALSE),""),"")</f>
        <v/>
      </c>
      <c r="L437" s="5" t="str">
        <f t="shared" si="1"/>
        <v/>
      </c>
    </row>
    <row r="438" ht="15.75" customHeight="1">
      <c r="B438" s="26"/>
      <c r="K438" s="5" t="str">
        <f>IF(J438="Yes",IFERROR(VLOOKUP(C438,'14_Master_Employees'!A:G,7,FALSE),""),"")</f>
        <v/>
      </c>
      <c r="L438" s="5" t="str">
        <f t="shared" si="1"/>
        <v/>
      </c>
    </row>
    <row r="439" ht="15.75" customHeight="1">
      <c r="B439" s="26"/>
      <c r="K439" s="5" t="str">
        <f>IF(J439="Yes",IFERROR(VLOOKUP(C439,'14_Master_Employees'!A:G,7,FALSE),""),"")</f>
        <v/>
      </c>
      <c r="L439" s="5" t="str">
        <f t="shared" si="1"/>
        <v/>
      </c>
    </row>
    <row r="440" ht="15.75" customHeight="1">
      <c r="B440" s="26"/>
      <c r="K440" s="5" t="str">
        <f>IF(J440="Yes",IFERROR(VLOOKUP(C440,'14_Master_Employees'!A:G,7,FALSE),""),"")</f>
        <v/>
      </c>
      <c r="L440" s="5" t="str">
        <f t="shared" si="1"/>
        <v/>
      </c>
    </row>
    <row r="441" ht="15.75" customHeight="1">
      <c r="B441" s="26"/>
      <c r="K441" s="5" t="str">
        <f>IF(J441="Yes",IFERROR(VLOOKUP(C441,'14_Master_Employees'!A:G,7,FALSE),""),"")</f>
        <v/>
      </c>
      <c r="L441" s="5" t="str">
        <f t="shared" si="1"/>
        <v/>
      </c>
    </row>
    <row r="442" ht="15.75" customHeight="1">
      <c r="B442" s="26"/>
      <c r="K442" s="5" t="str">
        <f>IF(J442="Yes",IFERROR(VLOOKUP(C442,'14_Master_Employees'!A:G,7,FALSE),""),"")</f>
        <v/>
      </c>
      <c r="L442" s="5" t="str">
        <f t="shared" si="1"/>
        <v/>
      </c>
    </row>
    <row r="443" ht="15.75" customHeight="1">
      <c r="B443" s="26"/>
      <c r="K443" s="5" t="str">
        <f>IF(J443="Yes",IFERROR(VLOOKUP(C443,'14_Master_Employees'!A:G,7,FALSE),""),"")</f>
        <v/>
      </c>
      <c r="L443" s="5" t="str">
        <f t="shared" si="1"/>
        <v/>
      </c>
    </row>
    <row r="444" ht="15.75" customHeight="1">
      <c r="B444" s="26"/>
      <c r="K444" s="5" t="str">
        <f>IF(J444="Yes",IFERROR(VLOOKUP(C444,'14_Master_Employees'!A:G,7,FALSE),""),"")</f>
        <v/>
      </c>
      <c r="L444" s="5" t="str">
        <f t="shared" si="1"/>
        <v/>
      </c>
    </row>
    <row r="445" ht="15.75" customHeight="1">
      <c r="B445" s="26"/>
      <c r="K445" s="5" t="str">
        <f>IF(J445="Yes",IFERROR(VLOOKUP(C445,'14_Master_Employees'!A:G,7,FALSE),""),"")</f>
        <v/>
      </c>
      <c r="L445" s="5" t="str">
        <f t="shared" si="1"/>
        <v/>
      </c>
    </row>
    <row r="446" ht="15.75" customHeight="1">
      <c r="B446" s="26"/>
      <c r="K446" s="5" t="str">
        <f>IF(J446="Yes",IFERROR(VLOOKUP(C446,'14_Master_Employees'!A:G,7,FALSE),""),"")</f>
        <v/>
      </c>
      <c r="L446" s="5" t="str">
        <f t="shared" si="1"/>
        <v/>
      </c>
    </row>
    <row r="447" ht="15.75" customHeight="1">
      <c r="B447" s="26"/>
      <c r="K447" s="5" t="str">
        <f>IF(J447="Yes",IFERROR(VLOOKUP(C447,'14_Master_Employees'!A:G,7,FALSE),""),"")</f>
        <v/>
      </c>
      <c r="L447" s="5" t="str">
        <f t="shared" si="1"/>
        <v/>
      </c>
    </row>
    <row r="448" ht="15.75" customHeight="1">
      <c r="B448" s="26"/>
      <c r="K448" s="5" t="str">
        <f>IF(J448="Yes",IFERROR(VLOOKUP(C448,'14_Master_Employees'!A:G,7,FALSE),""),"")</f>
        <v/>
      </c>
      <c r="L448" s="5" t="str">
        <f t="shared" si="1"/>
        <v/>
      </c>
    </row>
    <row r="449" ht="15.75" customHeight="1">
      <c r="B449" s="26"/>
      <c r="K449" s="5" t="str">
        <f>IF(J449="Yes",IFERROR(VLOOKUP(C449,'14_Master_Employees'!A:G,7,FALSE),""),"")</f>
        <v/>
      </c>
      <c r="L449" s="5" t="str">
        <f t="shared" si="1"/>
        <v/>
      </c>
    </row>
    <row r="450" ht="15.75" customHeight="1">
      <c r="B450" s="26"/>
      <c r="K450" s="5" t="str">
        <f>IF(J450="Yes",IFERROR(VLOOKUP(C450,'14_Master_Employees'!A:G,7,FALSE),""),"")</f>
        <v/>
      </c>
      <c r="L450" s="5" t="str">
        <f t="shared" si="1"/>
        <v/>
      </c>
    </row>
    <row r="451" ht="15.75" customHeight="1">
      <c r="B451" s="26"/>
      <c r="K451" s="5" t="str">
        <f>IF(J451="Yes",IFERROR(VLOOKUP(C451,'14_Master_Employees'!A:G,7,FALSE),""),"")</f>
        <v/>
      </c>
      <c r="L451" s="5" t="str">
        <f t="shared" si="1"/>
        <v/>
      </c>
    </row>
    <row r="452" ht="15.75" customHeight="1">
      <c r="B452" s="26"/>
      <c r="K452" s="5" t="str">
        <f>IF(J452="Yes",IFERROR(VLOOKUP(C452,'14_Master_Employees'!A:G,7,FALSE),""),"")</f>
        <v/>
      </c>
      <c r="L452" s="5" t="str">
        <f t="shared" si="1"/>
        <v/>
      </c>
    </row>
    <row r="453" ht="15.75" customHeight="1">
      <c r="B453" s="26"/>
      <c r="K453" s="5" t="str">
        <f>IF(J453="Yes",IFERROR(VLOOKUP(C453,'14_Master_Employees'!A:G,7,FALSE),""),"")</f>
        <v/>
      </c>
      <c r="L453" s="5" t="str">
        <f t="shared" si="1"/>
        <v/>
      </c>
    </row>
    <row r="454" ht="15.75" customHeight="1">
      <c r="B454" s="26"/>
      <c r="K454" s="5" t="str">
        <f>IF(J454="Yes",IFERROR(VLOOKUP(C454,'14_Master_Employees'!A:G,7,FALSE),""),"")</f>
        <v/>
      </c>
      <c r="L454" s="5" t="str">
        <f t="shared" si="1"/>
        <v/>
      </c>
    </row>
    <row r="455" ht="15.75" customHeight="1">
      <c r="B455" s="26"/>
      <c r="K455" s="5" t="str">
        <f>IF(J455="Yes",IFERROR(VLOOKUP(C455,'14_Master_Employees'!A:G,7,FALSE),""),"")</f>
        <v/>
      </c>
      <c r="L455" s="5" t="str">
        <f t="shared" si="1"/>
        <v/>
      </c>
    </row>
    <row r="456" ht="15.75" customHeight="1">
      <c r="B456" s="26"/>
      <c r="K456" s="5" t="str">
        <f>IF(J456="Yes",IFERROR(VLOOKUP(C456,'14_Master_Employees'!A:G,7,FALSE),""),"")</f>
        <v/>
      </c>
      <c r="L456" s="5" t="str">
        <f t="shared" si="1"/>
        <v/>
      </c>
    </row>
    <row r="457" ht="15.75" customHeight="1">
      <c r="B457" s="26"/>
      <c r="K457" s="5" t="str">
        <f>IF(J457="Yes",IFERROR(VLOOKUP(C457,'14_Master_Employees'!A:G,7,FALSE),""),"")</f>
        <v/>
      </c>
      <c r="L457" s="5" t="str">
        <f t="shared" si="1"/>
        <v/>
      </c>
    </row>
    <row r="458" ht="15.75" customHeight="1">
      <c r="B458" s="26"/>
      <c r="K458" s="5" t="str">
        <f>IF(J458="Yes",IFERROR(VLOOKUP(C458,'14_Master_Employees'!A:G,7,FALSE),""),"")</f>
        <v/>
      </c>
      <c r="L458" s="5" t="str">
        <f t="shared" si="1"/>
        <v/>
      </c>
    </row>
    <row r="459" ht="15.75" customHeight="1">
      <c r="B459" s="26"/>
      <c r="K459" s="5" t="str">
        <f>IF(J459="Yes",IFERROR(VLOOKUP(C459,'14_Master_Employees'!A:G,7,FALSE),""),"")</f>
        <v/>
      </c>
      <c r="L459" s="5" t="str">
        <f t="shared" si="1"/>
        <v/>
      </c>
    </row>
    <row r="460" ht="15.75" customHeight="1">
      <c r="B460" s="26"/>
      <c r="K460" s="5" t="str">
        <f>IF(J460="Yes",IFERROR(VLOOKUP(C460,'14_Master_Employees'!A:G,7,FALSE),""),"")</f>
        <v/>
      </c>
      <c r="L460" s="5" t="str">
        <f t="shared" si="1"/>
        <v/>
      </c>
    </row>
    <row r="461" ht="15.75" customHeight="1">
      <c r="B461" s="26"/>
      <c r="K461" s="5" t="str">
        <f>IF(J461="Yes",IFERROR(VLOOKUP(C461,'14_Master_Employees'!A:G,7,FALSE),""),"")</f>
        <v/>
      </c>
      <c r="L461" s="5" t="str">
        <f t="shared" si="1"/>
        <v/>
      </c>
    </row>
    <row r="462" ht="15.75" customHeight="1">
      <c r="B462" s="26"/>
      <c r="K462" s="5" t="str">
        <f>IF(J462="Yes",IFERROR(VLOOKUP(C462,'14_Master_Employees'!A:G,7,FALSE),""),"")</f>
        <v/>
      </c>
      <c r="L462" s="5" t="str">
        <f t="shared" si="1"/>
        <v/>
      </c>
    </row>
    <row r="463" ht="15.75" customHeight="1">
      <c r="B463" s="26"/>
      <c r="K463" s="5" t="str">
        <f>IF(J463="Yes",IFERROR(VLOOKUP(C463,'14_Master_Employees'!A:G,7,FALSE),""),"")</f>
        <v/>
      </c>
      <c r="L463" s="5" t="str">
        <f t="shared" si="1"/>
        <v/>
      </c>
    </row>
    <row r="464" ht="15.75" customHeight="1">
      <c r="B464" s="26"/>
      <c r="K464" s="5" t="str">
        <f>IF(J464="Yes",IFERROR(VLOOKUP(C464,'14_Master_Employees'!A:G,7,FALSE),""),"")</f>
        <v/>
      </c>
      <c r="L464" s="5" t="str">
        <f t="shared" si="1"/>
        <v/>
      </c>
    </row>
    <row r="465" ht="15.75" customHeight="1">
      <c r="B465" s="26"/>
      <c r="K465" s="5" t="str">
        <f>IF(J465="Yes",IFERROR(VLOOKUP(C465,'14_Master_Employees'!A:G,7,FALSE),""),"")</f>
        <v/>
      </c>
      <c r="L465" s="5" t="str">
        <f t="shared" si="1"/>
        <v/>
      </c>
    </row>
    <row r="466" ht="15.75" customHeight="1">
      <c r="B466" s="26"/>
      <c r="K466" s="5" t="str">
        <f>IF(J466="Yes",IFERROR(VLOOKUP(C466,'14_Master_Employees'!A:G,7,FALSE),""),"")</f>
        <v/>
      </c>
      <c r="L466" s="5" t="str">
        <f t="shared" si="1"/>
        <v/>
      </c>
    </row>
    <row r="467" ht="15.75" customHeight="1">
      <c r="B467" s="26"/>
      <c r="K467" s="5" t="str">
        <f>IF(J467="Yes",IFERROR(VLOOKUP(C467,'14_Master_Employees'!A:G,7,FALSE),""),"")</f>
        <v/>
      </c>
      <c r="L467" s="5" t="str">
        <f t="shared" si="1"/>
        <v/>
      </c>
    </row>
    <row r="468" ht="15.75" customHeight="1">
      <c r="B468" s="26"/>
      <c r="K468" s="5" t="str">
        <f>IF(J468="Yes",IFERROR(VLOOKUP(C468,'14_Master_Employees'!A:G,7,FALSE),""),"")</f>
        <v/>
      </c>
      <c r="L468" s="5" t="str">
        <f t="shared" si="1"/>
        <v/>
      </c>
    </row>
    <row r="469" ht="15.75" customHeight="1">
      <c r="B469" s="26"/>
      <c r="K469" s="5" t="str">
        <f>IF(J469="Yes",IFERROR(VLOOKUP(C469,'14_Master_Employees'!A:G,7,FALSE),""),"")</f>
        <v/>
      </c>
      <c r="L469" s="5" t="str">
        <f t="shared" si="1"/>
        <v/>
      </c>
    </row>
    <row r="470" ht="15.75" customHeight="1">
      <c r="B470" s="26"/>
      <c r="K470" s="5" t="str">
        <f>IF(J470="Yes",IFERROR(VLOOKUP(C470,'14_Master_Employees'!A:G,7,FALSE),""),"")</f>
        <v/>
      </c>
      <c r="L470" s="5" t="str">
        <f t="shared" si="1"/>
        <v/>
      </c>
    </row>
    <row r="471" ht="15.75" customHeight="1">
      <c r="B471" s="26"/>
      <c r="K471" s="5" t="str">
        <f>IF(J471="Yes",IFERROR(VLOOKUP(C471,'14_Master_Employees'!A:G,7,FALSE),""),"")</f>
        <v/>
      </c>
      <c r="L471" s="5" t="str">
        <f t="shared" si="1"/>
        <v/>
      </c>
    </row>
    <row r="472" ht="15.75" customHeight="1">
      <c r="B472" s="26"/>
      <c r="K472" s="5" t="str">
        <f>IF(J472="Yes",IFERROR(VLOOKUP(C472,'14_Master_Employees'!A:G,7,FALSE),""),"")</f>
        <v/>
      </c>
      <c r="L472" s="5" t="str">
        <f t="shared" si="1"/>
        <v/>
      </c>
    </row>
    <row r="473" ht="15.75" customHeight="1">
      <c r="B473" s="26"/>
      <c r="K473" s="5" t="str">
        <f>IF(J473="Yes",IFERROR(VLOOKUP(C473,'14_Master_Employees'!A:G,7,FALSE),""),"")</f>
        <v/>
      </c>
      <c r="L473" s="5" t="str">
        <f t="shared" si="1"/>
        <v/>
      </c>
    </row>
    <row r="474" ht="15.75" customHeight="1">
      <c r="B474" s="26"/>
      <c r="K474" s="5" t="str">
        <f>IF(J474="Yes",IFERROR(VLOOKUP(C474,'14_Master_Employees'!A:G,7,FALSE),""),"")</f>
        <v/>
      </c>
      <c r="L474" s="5" t="str">
        <f t="shared" si="1"/>
        <v/>
      </c>
    </row>
    <row r="475" ht="15.75" customHeight="1">
      <c r="B475" s="26"/>
      <c r="K475" s="5" t="str">
        <f>IF(J475="Yes",IFERROR(VLOOKUP(C475,'14_Master_Employees'!A:G,7,FALSE),""),"")</f>
        <v/>
      </c>
      <c r="L475" s="5" t="str">
        <f t="shared" si="1"/>
        <v/>
      </c>
    </row>
    <row r="476" ht="15.75" customHeight="1">
      <c r="B476" s="26"/>
      <c r="K476" s="5" t="str">
        <f>IF(J476="Yes",IFERROR(VLOOKUP(C476,'14_Master_Employees'!A:G,7,FALSE),""),"")</f>
        <v/>
      </c>
      <c r="L476" s="5" t="str">
        <f t="shared" si="1"/>
        <v/>
      </c>
    </row>
    <row r="477" ht="15.75" customHeight="1">
      <c r="B477" s="26"/>
      <c r="K477" s="5" t="str">
        <f>IF(J477="Yes",IFERROR(VLOOKUP(C477,'14_Master_Employees'!A:G,7,FALSE),""),"")</f>
        <v/>
      </c>
      <c r="L477" s="5" t="str">
        <f t="shared" si="1"/>
        <v/>
      </c>
    </row>
    <row r="478" ht="15.75" customHeight="1">
      <c r="B478" s="26"/>
      <c r="K478" s="5" t="str">
        <f>IF(J478="Yes",IFERROR(VLOOKUP(C478,'14_Master_Employees'!A:G,7,FALSE),""),"")</f>
        <v/>
      </c>
      <c r="L478" s="5" t="str">
        <f t="shared" si="1"/>
        <v/>
      </c>
    </row>
    <row r="479" ht="15.75" customHeight="1">
      <c r="B479" s="26"/>
      <c r="K479" s="5" t="str">
        <f>IF(J479="Yes",IFERROR(VLOOKUP(C479,'14_Master_Employees'!A:G,7,FALSE),""),"")</f>
        <v/>
      </c>
      <c r="L479" s="5" t="str">
        <f t="shared" si="1"/>
        <v/>
      </c>
    </row>
    <row r="480" ht="15.75" customHeight="1">
      <c r="B480" s="26"/>
      <c r="K480" s="5" t="str">
        <f>IF(J480="Yes",IFERROR(VLOOKUP(C480,'14_Master_Employees'!A:G,7,FALSE),""),"")</f>
        <v/>
      </c>
      <c r="L480" s="5" t="str">
        <f t="shared" si="1"/>
        <v/>
      </c>
    </row>
    <row r="481" ht="15.75" customHeight="1">
      <c r="B481" s="26"/>
      <c r="K481" s="5" t="str">
        <f>IF(J481="Yes",IFERROR(VLOOKUP(C481,'14_Master_Employees'!A:G,7,FALSE),""),"")</f>
        <v/>
      </c>
      <c r="L481" s="5" t="str">
        <f t="shared" si="1"/>
        <v/>
      </c>
    </row>
    <row r="482" ht="15.75" customHeight="1">
      <c r="B482" s="26"/>
      <c r="K482" s="5" t="str">
        <f>IF(J482="Yes",IFERROR(VLOOKUP(C482,'14_Master_Employees'!A:G,7,FALSE),""),"")</f>
        <v/>
      </c>
      <c r="L482" s="5" t="str">
        <f t="shared" si="1"/>
        <v/>
      </c>
    </row>
    <row r="483" ht="15.75" customHeight="1">
      <c r="B483" s="26"/>
      <c r="K483" s="5" t="str">
        <f>IF(J483="Yes",IFERROR(VLOOKUP(C483,'14_Master_Employees'!A:G,7,FALSE),""),"")</f>
        <v/>
      </c>
      <c r="L483" s="5" t="str">
        <f t="shared" si="1"/>
        <v/>
      </c>
    </row>
    <row r="484" ht="15.75" customHeight="1">
      <c r="B484" s="26"/>
      <c r="K484" s="5" t="str">
        <f>IF(J484="Yes",IFERROR(VLOOKUP(C484,'14_Master_Employees'!A:G,7,FALSE),""),"")</f>
        <v/>
      </c>
      <c r="L484" s="5" t="str">
        <f t="shared" si="1"/>
        <v/>
      </c>
    </row>
    <row r="485" ht="15.75" customHeight="1">
      <c r="B485" s="26"/>
      <c r="K485" s="5" t="str">
        <f>IF(J485="Yes",IFERROR(VLOOKUP(C485,'14_Master_Employees'!A:G,7,FALSE),""),"")</f>
        <v/>
      </c>
      <c r="L485" s="5" t="str">
        <f t="shared" si="1"/>
        <v/>
      </c>
    </row>
    <row r="486" ht="15.75" customHeight="1">
      <c r="B486" s="26"/>
      <c r="K486" s="5" t="str">
        <f>IF(J486="Yes",IFERROR(VLOOKUP(C486,'14_Master_Employees'!A:G,7,FALSE),""),"")</f>
        <v/>
      </c>
      <c r="L486" s="5" t="str">
        <f t="shared" si="1"/>
        <v/>
      </c>
    </row>
    <row r="487" ht="15.75" customHeight="1">
      <c r="B487" s="26"/>
      <c r="K487" s="5" t="str">
        <f>IF(J487="Yes",IFERROR(VLOOKUP(C487,'14_Master_Employees'!A:G,7,FALSE),""),"")</f>
        <v/>
      </c>
      <c r="L487" s="5" t="str">
        <f t="shared" si="1"/>
        <v/>
      </c>
    </row>
    <row r="488" ht="15.75" customHeight="1">
      <c r="B488" s="26"/>
      <c r="K488" s="5" t="str">
        <f>IF(J488="Yes",IFERROR(VLOOKUP(C488,'14_Master_Employees'!A:G,7,FALSE),""),"")</f>
        <v/>
      </c>
      <c r="L488" s="5" t="str">
        <f t="shared" si="1"/>
        <v/>
      </c>
    </row>
    <row r="489" ht="15.75" customHeight="1">
      <c r="B489" s="26"/>
      <c r="K489" s="5" t="str">
        <f>IF(J489="Yes",IFERROR(VLOOKUP(C489,'14_Master_Employees'!A:G,7,FALSE),""),"")</f>
        <v/>
      </c>
      <c r="L489" s="5" t="str">
        <f t="shared" si="1"/>
        <v/>
      </c>
    </row>
    <row r="490" ht="15.75" customHeight="1">
      <c r="B490" s="26"/>
      <c r="K490" s="5" t="str">
        <f>IF(J490="Yes",IFERROR(VLOOKUP(C490,'14_Master_Employees'!A:G,7,FALSE),""),"")</f>
        <v/>
      </c>
      <c r="L490" s="5" t="str">
        <f t="shared" si="1"/>
        <v/>
      </c>
    </row>
    <row r="491" ht="15.75" customHeight="1">
      <c r="B491" s="26"/>
      <c r="K491" s="5" t="str">
        <f>IF(J491="Yes",IFERROR(VLOOKUP(C491,'14_Master_Employees'!A:G,7,FALSE),""),"")</f>
        <v/>
      </c>
      <c r="L491" s="5" t="str">
        <f t="shared" si="1"/>
        <v/>
      </c>
    </row>
    <row r="492" ht="15.75" customHeight="1">
      <c r="B492" s="26"/>
      <c r="K492" s="5" t="str">
        <f>IF(J492="Yes",IFERROR(VLOOKUP(C492,'14_Master_Employees'!A:G,7,FALSE),""),"")</f>
        <v/>
      </c>
      <c r="L492" s="5" t="str">
        <f t="shared" si="1"/>
        <v/>
      </c>
    </row>
    <row r="493" ht="15.75" customHeight="1">
      <c r="B493" s="26"/>
      <c r="K493" s="5" t="str">
        <f>IF(J493="Yes",IFERROR(VLOOKUP(C493,'14_Master_Employees'!A:G,7,FALSE),""),"")</f>
        <v/>
      </c>
      <c r="L493" s="5" t="str">
        <f t="shared" si="1"/>
        <v/>
      </c>
    </row>
    <row r="494" ht="15.75" customHeight="1">
      <c r="B494" s="26"/>
      <c r="K494" s="5" t="str">
        <f>IF(J494="Yes",IFERROR(VLOOKUP(C494,'14_Master_Employees'!A:G,7,FALSE),""),"")</f>
        <v/>
      </c>
      <c r="L494" s="5" t="str">
        <f t="shared" si="1"/>
        <v/>
      </c>
    </row>
    <row r="495" ht="15.75" customHeight="1">
      <c r="B495" s="26"/>
      <c r="K495" s="5" t="str">
        <f>IF(J495="Yes",IFERROR(VLOOKUP(C495,'14_Master_Employees'!A:G,7,FALSE),""),"")</f>
        <v/>
      </c>
      <c r="L495" s="5" t="str">
        <f t="shared" si="1"/>
        <v/>
      </c>
    </row>
    <row r="496" ht="15.75" customHeight="1">
      <c r="B496" s="26"/>
      <c r="K496" s="5" t="str">
        <f>IF(J496="Yes",IFERROR(VLOOKUP(C496,'14_Master_Employees'!A:G,7,FALSE),""),"")</f>
        <v/>
      </c>
      <c r="L496" s="5" t="str">
        <f t="shared" si="1"/>
        <v/>
      </c>
    </row>
    <row r="497" ht="15.75" customHeight="1">
      <c r="B497" s="26"/>
      <c r="K497" s="5" t="str">
        <f>IF(J497="Yes",IFERROR(VLOOKUP(C497,'14_Master_Employees'!A:G,7,FALSE),""),"")</f>
        <v/>
      </c>
      <c r="L497" s="5" t="str">
        <f t="shared" si="1"/>
        <v/>
      </c>
    </row>
    <row r="498" ht="15.75" customHeight="1">
      <c r="B498" s="26"/>
      <c r="K498" s="5" t="str">
        <f>IF(J498="Yes",IFERROR(VLOOKUP(C498,'14_Master_Employees'!A:G,7,FALSE),""),"")</f>
        <v/>
      </c>
      <c r="L498" s="5" t="str">
        <f t="shared" si="1"/>
        <v/>
      </c>
    </row>
    <row r="499" ht="15.75" customHeight="1">
      <c r="B499" s="26"/>
      <c r="K499" s="5" t="str">
        <f>IF(J499="Yes",IFERROR(VLOOKUP(C499,'14_Master_Employees'!A:G,7,FALSE),""),"")</f>
        <v/>
      </c>
      <c r="L499" s="5" t="str">
        <f t="shared" si="1"/>
        <v/>
      </c>
    </row>
    <row r="500" ht="15.75" customHeight="1">
      <c r="B500" s="26"/>
      <c r="K500" s="5" t="str">
        <f>IF(J500="Yes",IFERROR(VLOOKUP(C500,'14_Master_Employees'!A:G,7,FALSE),""),"")</f>
        <v/>
      </c>
      <c r="L500" s="5" t="str">
        <f t="shared" si="1"/>
        <v/>
      </c>
    </row>
    <row r="501" ht="15.75" customHeight="1">
      <c r="B501" s="26"/>
      <c r="K501" s="5" t="str">
        <f>IF(J501="Yes",IFERROR(VLOOKUP(C501,'14_Master_Employees'!A:G,7,FALSE),""),"")</f>
        <v/>
      </c>
      <c r="L501" s="5" t="str">
        <f t="shared" si="1"/>
        <v/>
      </c>
    </row>
    <row r="502" ht="15.75" customHeight="1">
      <c r="B502" s="26"/>
      <c r="K502" s="5" t="str">
        <f>IF(J502="Yes",IFERROR(VLOOKUP(C502,'14_Master_Employees'!A:G,7,FALSE),""),"")</f>
        <v/>
      </c>
      <c r="L502" s="5" t="str">
        <f t="shared" si="1"/>
        <v/>
      </c>
    </row>
    <row r="503" ht="15.75" customHeight="1">
      <c r="B503" s="26"/>
      <c r="K503" s="5" t="str">
        <f>IF(J503="Yes",IFERROR(VLOOKUP(C503,'14_Master_Employees'!A:G,7,FALSE),""),"")</f>
        <v/>
      </c>
      <c r="L503" s="5" t="str">
        <f t="shared" si="1"/>
        <v/>
      </c>
    </row>
    <row r="504" ht="15.75" customHeight="1">
      <c r="B504" s="26"/>
      <c r="K504" s="5" t="str">
        <f>IF(J504="Yes",IFERROR(VLOOKUP(C504,'14_Master_Employees'!A:G,7,FALSE),""),"")</f>
        <v/>
      </c>
      <c r="L504" s="5" t="str">
        <f t="shared" si="1"/>
        <v/>
      </c>
    </row>
    <row r="505" ht="15.75" customHeight="1">
      <c r="B505" s="26"/>
      <c r="K505" s="5" t="str">
        <f>IF(J505="Yes",IFERROR(VLOOKUP(C505,'14_Master_Employees'!A:G,7,FALSE),""),"")</f>
        <v/>
      </c>
      <c r="L505" s="5" t="str">
        <f t="shared" si="1"/>
        <v/>
      </c>
    </row>
    <row r="506" ht="15.75" customHeight="1">
      <c r="B506" s="26"/>
      <c r="K506" s="5" t="str">
        <f>IF(J506="Yes",IFERROR(VLOOKUP(C506,'14_Master_Employees'!A:G,7,FALSE),""),"")</f>
        <v/>
      </c>
      <c r="L506" s="5" t="str">
        <f t="shared" si="1"/>
        <v/>
      </c>
    </row>
    <row r="507" ht="15.75" customHeight="1">
      <c r="B507" s="26"/>
      <c r="K507" s="5" t="str">
        <f>IF(J507="Yes",IFERROR(VLOOKUP(C507,'14_Master_Employees'!A:G,7,FALSE),""),"")</f>
        <v/>
      </c>
      <c r="L507" s="5" t="str">
        <f t="shared" si="1"/>
        <v/>
      </c>
    </row>
    <row r="508" ht="15.75" customHeight="1">
      <c r="B508" s="26"/>
      <c r="K508" s="5" t="str">
        <f>IF(J508="Yes",IFERROR(VLOOKUP(C508,'14_Master_Employees'!A:G,7,FALSE),""),"")</f>
        <v/>
      </c>
      <c r="L508" s="5" t="str">
        <f t="shared" si="1"/>
        <v/>
      </c>
    </row>
    <row r="509" ht="15.75" customHeight="1">
      <c r="B509" s="26"/>
      <c r="K509" s="5" t="str">
        <f>IF(J509="Yes",IFERROR(VLOOKUP(C509,'14_Master_Employees'!A:G,7,FALSE),""),"")</f>
        <v/>
      </c>
      <c r="L509" s="5" t="str">
        <f t="shared" si="1"/>
        <v/>
      </c>
    </row>
    <row r="510" ht="15.75" customHeight="1">
      <c r="B510" s="26"/>
      <c r="K510" s="5" t="str">
        <f>IF(J510="Yes",IFERROR(VLOOKUP(C510,'14_Master_Employees'!A:G,7,FALSE),""),"")</f>
        <v/>
      </c>
      <c r="L510" s="5" t="str">
        <f t="shared" si="1"/>
        <v/>
      </c>
    </row>
    <row r="511" ht="15.75" customHeight="1">
      <c r="B511" s="26"/>
      <c r="K511" s="5" t="str">
        <f>IF(J511="Yes",IFERROR(VLOOKUP(C511,'14_Master_Employees'!A:G,7,FALSE),""),"")</f>
        <v/>
      </c>
      <c r="L511" s="5" t="str">
        <f t="shared" si="1"/>
        <v/>
      </c>
    </row>
    <row r="512" ht="15.75" customHeight="1">
      <c r="B512" s="26"/>
      <c r="K512" s="5" t="str">
        <f>IF(J512="Yes",IFERROR(VLOOKUP(C512,'14_Master_Employees'!A:G,7,FALSE),""),"")</f>
        <v/>
      </c>
      <c r="L512" s="5" t="str">
        <f t="shared" si="1"/>
        <v/>
      </c>
    </row>
    <row r="513" ht="15.75" customHeight="1">
      <c r="B513" s="26"/>
      <c r="K513" s="5" t="str">
        <f>IF(J513="Yes",IFERROR(VLOOKUP(C513,'14_Master_Employees'!A:G,7,FALSE),""),"")</f>
        <v/>
      </c>
      <c r="L513" s="5" t="str">
        <f t="shared" si="1"/>
        <v/>
      </c>
    </row>
    <row r="514" ht="15.75" customHeight="1">
      <c r="B514" s="26"/>
      <c r="K514" s="5" t="str">
        <f>IF(J514="Yes",IFERROR(VLOOKUP(C514,'14_Master_Employees'!A:G,7,FALSE),""),"")</f>
        <v/>
      </c>
      <c r="L514" s="5" t="str">
        <f t="shared" si="1"/>
        <v/>
      </c>
    </row>
    <row r="515" ht="15.75" customHeight="1">
      <c r="B515" s="26"/>
      <c r="K515" s="5" t="str">
        <f>IF(J515="Yes",IFERROR(VLOOKUP(C515,'14_Master_Employees'!A:G,7,FALSE),""),"")</f>
        <v/>
      </c>
      <c r="L515" s="5" t="str">
        <f t="shared" si="1"/>
        <v/>
      </c>
    </row>
    <row r="516" ht="15.75" customHeight="1">
      <c r="B516" s="26"/>
      <c r="K516" s="5" t="str">
        <f>IF(J516="Yes",IFERROR(VLOOKUP(C516,'14_Master_Employees'!A:G,7,FALSE),""),"")</f>
        <v/>
      </c>
      <c r="L516" s="5" t="str">
        <f t="shared" si="1"/>
        <v/>
      </c>
    </row>
    <row r="517" ht="15.75" customHeight="1">
      <c r="B517" s="26"/>
      <c r="K517" s="5" t="str">
        <f>IF(J517="Yes",IFERROR(VLOOKUP(C517,'14_Master_Employees'!A:G,7,FALSE),""),"")</f>
        <v/>
      </c>
      <c r="L517" s="5" t="str">
        <f t="shared" si="1"/>
        <v/>
      </c>
    </row>
    <row r="518" ht="15.75" customHeight="1">
      <c r="B518" s="26"/>
      <c r="K518" s="5" t="str">
        <f>IF(J518="Yes",IFERROR(VLOOKUP(C518,'14_Master_Employees'!A:G,7,FALSE),""),"")</f>
        <v/>
      </c>
      <c r="L518" s="5" t="str">
        <f t="shared" si="1"/>
        <v/>
      </c>
    </row>
    <row r="519" ht="15.75" customHeight="1">
      <c r="B519" s="26"/>
      <c r="K519" s="5" t="str">
        <f>IF(J519="Yes",IFERROR(VLOOKUP(C519,'14_Master_Employees'!A:G,7,FALSE),""),"")</f>
        <v/>
      </c>
      <c r="L519" s="5" t="str">
        <f t="shared" si="1"/>
        <v/>
      </c>
    </row>
    <row r="520" ht="15.75" customHeight="1">
      <c r="B520" s="26"/>
      <c r="K520" s="5" t="str">
        <f>IF(J520="Yes",IFERROR(VLOOKUP(C520,'14_Master_Employees'!A:G,7,FALSE),""),"")</f>
        <v/>
      </c>
      <c r="L520" s="5" t="str">
        <f t="shared" si="1"/>
        <v/>
      </c>
    </row>
    <row r="521" ht="15.75" customHeight="1">
      <c r="B521" s="26"/>
      <c r="K521" s="5" t="str">
        <f>IF(J521="Yes",IFERROR(VLOOKUP(C521,'14_Master_Employees'!A:G,7,FALSE),""),"")</f>
        <v/>
      </c>
      <c r="L521" s="5" t="str">
        <f t="shared" si="1"/>
        <v/>
      </c>
    </row>
    <row r="522" ht="15.75" customHeight="1">
      <c r="B522" s="26"/>
      <c r="K522" s="5" t="str">
        <f>IF(J522="Yes",IFERROR(VLOOKUP(C522,'14_Master_Employees'!A:G,7,FALSE),""),"")</f>
        <v/>
      </c>
      <c r="L522" s="5" t="str">
        <f t="shared" si="1"/>
        <v/>
      </c>
    </row>
    <row r="523" ht="15.75" customHeight="1">
      <c r="B523" s="26"/>
      <c r="K523" s="5" t="str">
        <f>IF(J523="Yes",IFERROR(VLOOKUP(C523,'14_Master_Employees'!A:G,7,FALSE),""),"")</f>
        <v/>
      </c>
      <c r="L523" s="5" t="str">
        <f t="shared" si="1"/>
        <v/>
      </c>
    </row>
    <row r="524" ht="15.75" customHeight="1">
      <c r="B524" s="26"/>
      <c r="K524" s="5" t="str">
        <f>IF(J524="Yes",IFERROR(VLOOKUP(C524,'14_Master_Employees'!A:G,7,FALSE),""),"")</f>
        <v/>
      </c>
      <c r="L524" s="5" t="str">
        <f t="shared" si="1"/>
        <v/>
      </c>
    </row>
    <row r="525" ht="15.75" customHeight="1">
      <c r="B525" s="26"/>
      <c r="K525" s="5" t="str">
        <f>IF(J525="Yes",IFERROR(VLOOKUP(C525,'14_Master_Employees'!A:G,7,FALSE),""),"")</f>
        <v/>
      </c>
      <c r="L525" s="5" t="str">
        <f t="shared" si="1"/>
        <v/>
      </c>
    </row>
    <row r="526" ht="15.75" customHeight="1">
      <c r="B526" s="26"/>
      <c r="K526" s="5" t="str">
        <f>IF(J526="Yes",IFERROR(VLOOKUP(C526,'14_Master_Employees'!A:G,7,FALSE),""),"")</f>
        <v/>
      </c>
      <c r="L526" s="5" t="str">
        <f t="shared" si="1"/>
        <v/>
      </c>
    </row>
    <row r="527" ht="15.75" customHeight="1">
      <c r="B527" s="26"/>
      <c r="K527" s="5" t="str">
        <f>IF(J527="Yes",IFERROR(VLOOKUP(C527,'14_Master_Employees'!A:G,7,FALSE),""),"")</f>
        <v/>
      </c>
      <c r="L527" s="5" t="str">
        <f t="shared" si="1"/>
        <v/>
      </c>
    </row>
    <row r="528" ht="15.75" customHeight="1">
      <c r="B528" s="26"/>
      <c r="K528" s="5" t="str">
        <f>IF(J528="Yes",IFERROR(VLOOKUP(C528,'14_Master_Employees'!A:G,7,FALSE),""),"")</f>
        <v/>
      </c>
      <c r="L528" s="5" t="str">
        <f t="shared" si="1"/>
        <v/>
      </c>
    </row>
    <row r="529" ht="15.75" customHeight="1">
      <c r="B529" s="26"/>
      <c r="K529" s="5" t="str">
        <f>IF(J529="Yes",IFERROR(VLOOKUP(C529,'14_Master_Employees'!A:G,7,FALSE),""),"")</f>
        <v/>
      </c>
      <c r="L529" s="5" t="str">
        <f t="shared" si="1"/>
        <v/>
      </c>
    </row>
    <row r="530" ht="15.75" customHeight="1">
      <c r="B530" s="26"/>
      <c r="K530" s="5" t="str">
        <f>IF(J530="Yes",IFERROR(VLOOKUP(C530,'14_Master_Employees'!A:G,7,FALSE),""),"")</f>
        <v/>
      </c>
      <c r="L530" s="5" t="str">
        <f t="shared" si="1"/>
        <v/>
      </c>
    </row>
    <row r="531" ht="15.75" customHeight="1">
      <c r="B531" s="26"/>
      <c r="K531" s="5" t="str">
        <f>IF(J531="Yes",IFERROR(VLOOKUP(C531,'14_Master_Employees'!A:G,7,FALSE),""),"")</f>
        <v/>
      </c>
      <c r="L531" s="5" t="str">
        <f t="shared" si="1"/>
        <v/>
      </c>
    </row>
    <row r="532" ht="15.75" customHeight="1">
      <c r="B532" s="26"/>
      <c r="K532" s="5" t="str">
        <f>IF(J532="Yes",IFERROR(VLOOKUP(C532,'14_Master_Employees'!A:G,7,FALSE),""),"")</f>
        <v/>
      </c>
      <c r="L532" s="5" t="str">
        <f t="shared" si="1"/>
        <v/>
      </c>
    </row>
    <row r="533" ht="15.75" customHeight="1">
      <c r="B533" s="26"/>
      <c r="K533" s="5" t="str">
        <f>IF(J533="Yes",IFERROR(VLOOKUP(C533,'14_Master_Employees'!A:G,7,FALSE),""),"")</f>
        <v/>
      </c>
      <c r="L533" s="5" t="str">
        <f t="shared" si="1"/>
        <v/>
      </c>
    </row>
    <row r="534" ht="15.75" customHeight="1">
      <c r="B534" s="26"/>
      <c r="K534" s="5" t="str">
        <f>IF(J534="Yes",IFERROR(VLOOKUP(C534,'14_Master_Employees'!A:G,7,FALSE),""),"")</f>
        <v/>
      </c>
      <c r="L534" s="5" t="str">
        <f t="shared" si="1"/>
        <v/>
      </c>
    </row>
    <row r="535" ht="15.75" customHeight="1">
      <c r="B535" s="26"/>
      <c r="K535" s="5" t="str">
        <f>IF(J535="Yes",IFERROR(VLOOKUP(C535,'14_Master_Employees'!A:G,7,FALSE),""),"")</f>
        <v/>
      </c>
      <c r="L535" s="5" t="str">
        <f t="shared" si="1"/>
        <v/>
      </c>
    </row>
    <row r="536" ht="15.75" customHeight="1">
      <c r="B536" s="26"/>
      <c r="K536" s="5" t="str">
        <f>IF(J536="Yes",IFERROR(VLOOKUP(C536,'14_Master_Employees'!A:G,7,FALSE),""),"")</f>
        <v/>
      </c>
      <c r="L536" s="5" t="str">
        <f t="shared" si="1"/>
        <v/>
      </c>
    </row>
    <row r="537" ht="15.75" customHeight="1">
      <c r="B537" s="26"/>
      <c r="K537" s="5" t="str">
        <f>IF(J537="Yes",IFERROR(VLOOKUP(C537,'14_Master_Employees'!A:G,7,FALSE),""),"")</f>
        <v/>
      </c>
      <c r="L537" s="5" t="str">
        <f t="shared" si="1"/>
        <v/>
      </c>
    </row>
    <row r="538" ht="15.75" customHeight="1">
      <c r="B538" s="26"/>
      <c r="K538" s="5" t="str">
        <f>IF(J538="Yes",IFERROR(VLOOKUP(C538,'14_Master_Employees'!A:G,7,FALSE),""),"")</f>
        <v/>
      </c>
      <c r="L538" s="5" t="str">
        <f t="shared" si="1"/>
        <v/>
      </c>
    </row>
    <row r="539" ht="15.75" customHeight="1">
      <c r="B539" s="26"/>
      <c r="K539" s="5" t="str">
        <f>IF(J539="Yes",IFERROR(VLOOKUP(C539,'14_Master_Employees'!A:G,7,FALSE),""),"")</f>
        <v/>
      </c>
      <c r="L539" s="5" t="str">
        <f t="shared" si="1"/>
        <v/>
      </c>
    </row>
    <row r="540" ht="15.75" customHeight="1">
      <c r="B540" s="26"/>
      <c r="K540" s="5" t="str">
        <f>IF(J540="Yes",IFERROR(VLOOKUP(C540,'14_Master_Employees'!A:G,7,FALSE),""),"")</f>
        <v/>
      </c>
      <c r="L540" s="5" t="str">
        <f t="shared" si="1"/>
        <v/>
      </c>
    </row>
    <row r="541" ht="15.75" customHeight="1">
      <c r="B541" s="26"/>
      <c r="K541" s="5" t="str">
        <f>IF(J541="Yes",IFERROR(VLOOKUP(C541,'14_Master_Employees'!A:G,7,FALSE),""),"")</f>
        <v/>
      </c>
      <c r="L541" s="5" t="str">
        <f t="shared" si="1"/>
        <v/>
      </c>
    </row>
    <row r="542" ht="15.75" customHeight="1">
      <c r="B542" s="26"/>
      <c r="K542" s="5" t="str">
        <f>IF(J542="Yes",IFERROR(VLOOKUP(C542,'14_Master_Employees'!A:G,7,FALSE),""),"")</f>
        <v/>
      </c>
      <c r="L542" s="5" t="str">
        <f t="shared" si="1"/>
        <v/>
      </c>
    </row>
    <row r="543" ht="15.75" customHeight="1">
      <c r="B543" s="26"/>
      <c r="K543" s="5" t="str">
        <f>IF(J543="Yes",IFERROR(VLOOKUP(C543,'14_Master_Employees'!A:G,7,FALSE),""),"")</f>
        <v/>
      </c>
      <c r="L543" s="5" t="str">
        <f t="shared" si="1"/>
        <v/>
      </c>
    </row>
    <row r="544" ht="15.75" customHeight="1">
      <c r="B544" s="26"/>
      <c r="K544" s="5" t="str">
        <f>IF(J544="Yes",IFERROR(VLOOKUP(C544,'14_Master_Employees'!A:G,7,FALSE),""),"")</f>
        <v/>
      </c>
      <c r="L544" s="5" t="str">
        <f t="shared" si="1"/>
        <v/>
      </c>
    </row>
    <row r="545" ht="15.75" customHeight="1">
      <c r="B545" s="26"/>
      <c r="K545" s="5" t="str">
        <f>IF(J545="Yes",IFERROR(VLOOKUP(C545,'14_Master_Employees'!A:G,7,FALSE),""),"")</f>
        <v/>
      </c>
      <c r="L545" s="5" t="str">
        <f t="shared" si="1"/>
        <v/>
      </c>
    </row>
    <row r="546" ht="15.75" customHeight="1">
      <c r="B546" s="26"/>
      <c r="K546" s="5" t="str">
        <f>IF(J546="Yes",IFERROR(VLOOKUP(C546,'14_Master_Employees'!A:G,7,FALSE),""),"")</f>
        <v/>
      </c>
      <c r="L546" s="5" t="str">
        <f t="shared" si="1"/>
        <v/>
      </c>
    </row>
    <row r="547" ht="15.75" customHeight="1">
      <c r="B547" s="26"/>
      <c r="K547" s="5" t="str">
        <f>IF(J547="Yes",IFERROR(VLOOKUP(C547,'14_Master_Employees'!A:G,7,FALSE),""),"")</f>
        <v/>
      </c>
      <c r="L547" s="5" t="str">
        <f t="shared" si="1"/>
        <v/>
      </c>
    </row>
    <row r="548" ht="15.75" customHeight="1">
      <c r="B548" s="26"/>
      <c r="K548" s="5" t="str">
        <f>IF(J548="Yes",IFERROR(VLOOKUP(C548,'14_Master_Employees'!A:G,7,FALSE),""),"")</f>
        <v/>
      </c>
      <c r="L548" s="5" t="str">
        <f t="shared" si="1"/>
        <v/>
      </c>
    </row>
    <row r="549" ht="15.75" customHeight="1">
      <c r="B549" s="26"/>
      <c r="K549" s="5" t="str">
        <f>IF(J549="Yes",IFERROR(VLOOKUP(C549,'14_Master_Employees'!A:G,7,FALSE),""),"")</f>
        <v/>
      </c>
      <c r="L549" s="5" t="str">
        <f t="shared" si="1"/>
        <v/>
      </c>
    </row>
    <row r="550" ht="15.75" customHeight="1">
      <c r="B550" s="26"/>
      <c r="K550" s="5" t="str">
        <f>IF(J550="Yes",IFERROR(VLOOKUP(C550,'14_Master_Employees'!A:G,7,FALSE),""),"")</f>
        <v/>
      </c>
      <c r="L550" s="5" t="str">
        <f t="shared" si="1"/>
        <v/>
      </c>
    </row>
    <row r="551" ht="15.75" customHeight="1">
      <c r="B551" s="26"/>
      <c r="K551" s="5" t="str">
        <f>IF(J551="Yes",IFERROR(VLOOKUP(C551,'14_Master_Employees'!A:G,7,FALSE),""),"")</f>
        <v/>
      </c>
      <c r="L551" s="5" t="str">
        <f t="shared" si="1"/>
        <v/>
      </c>
    </row>
    <row r="552" ht="15.75" customHeight="1">
      <c r="B552" s="26"/>
      <c r="K552" s="5" t="str">
        <f>IF(J552="Yes",IFERROR(VLOOKUP(C552,'14_Master_Employees'!A:G,7,FALSE),""),"")</f>
        <v/>
      </c>
      <c r="L552" s="5" t="str">
        <f t="shared" si="1"/>
        <v/>
      </c>
    </row>
    <row r="553" ht="15.75" customHeight="1">
      <c r="B553" s="26"/>
      <c r="K553" s="5" t="str">
        <f>IF(J553="Yes",IFERROR(VLOOKUP(C553,'14_Master_Employees'!A:G,7,FALSE),""),"")</f>
        <v/>
      </c>
      <c r="L553" s="5" t="str">
        <f t="shared" si="1"/>
        <v/>
      </c>
    </row>
    <row r="554" ht="15.75" customHeight="1">
      <c r="B554" s="26"/>
      <c r="K554" s="5" t="str">
        <f>IF(J554="Yes",IFERROR(VLOOKUP(C554,'14_Master_Employees'!A:G,7,FALSE),""),"")</f>
        <v/>
      </c>
      <c r="L554" s="5" t="str">
        <f t="shared" si="1"/>
        <v/>
      </c>
    </row>
    <row r="555" ht="15.75" customHeight="1">
      <c r="B555" s="26"/>
      <c r="K555" s="5" t="str">
        <f>IF(J555="Yes",IFERROR(VLOOKUP(C555,'14_Master_Employees'!A:G,7,FALSE),""),"")</f>
        <v/>
      </c>
      <c r="L555" s="5" t="str">
        <f t="shared" si="1"/>
        <v/>
      </c>
    </row>
    <row r="556" ht="15.75" customHeight="1">
      <c r="B556" s="26"/>
      <c r="K556" s="5" t="str">
        <f>IF(J556="Yes",IFERROR(VLOOKUP(C556,'14_Master_Employees'!A:G,7,FALSE),""),"")</f>
        <v/>
      </c>
      <c r="L556" s="5" t="str">
        <f t="shared" si="1"/>
        <v/>
      </c>
    </row>
    <row r="557" ht="15.75" customHeight="1">
      <c r="B557" s="26"/>
      <c r="K557" s="5" t="str">
        <f>IF(J557="Yes",IFERROR(VLOOKUP(C557,'14_Master_Employees'!A:G,7,FALSE),""),"")</f>
        <v/>
      </c>
      <c r="L557" s="5" t="str">
        <f t="shared" si="1"/>
        <v/>
      </c>
    </row>
    <row r="558" ht="15.75" customHeight="1">
      <c r="B558" s="26"/>
      <c r="K558" s="5" t="str">
        <f>IF(J558="Yes",IFERROR(VLOOKUP(C558,'14_Master_Employees'!A:G,7,FALSE),""),"")</f>
        <v/>
      </c>
      <c r="L558" s="5" t="str">
        <f t="shared" si="1"/>
        <v/>
      </c>
    </row>
    <row r="559" ht="15.75" customHeight="1">
      <c r="B559" s="26"/>
      <c r="K559" s="5" t="str">
        <f>IF(J559="Yes",IFERROR(VLOOKUP(C559,'14_Master_Employees'!A:G,7,FALSE),""),"")</f>
        <v/>
      </c>
      <c r="L559" s="5" t="str">
        <f t="shared" si="1"/>
        <v/>
      </c>
    </row>
    <row r="560" ht="15.75" customHeight="1">
      <c r="B560" s="26"/>
      <c r="K560" s="5" t="str">
        <f>IF(J560="Yes",IFERROR(VLOOKUP(C560,'14_Master_Employees'!A:G,7,FALSE),""),"")</f>
        <v/>
      </c>
      <c r="L560" s="5" t="str">
        <f t="shared" si="1"/>
        <v/>
      </c>
    </row>
    <row r="561" ht="15.75" customHeight="1">
      <c r="B561" s="26"/>
      <c r="K561" s="5" t="str">
        <f>IF(J561="Yes",IFERROR(VLOOKUP(C561,'14_Master_Employees'!A:G,7,FALSE),""),"")</f>
        <v/>
      </c>
      <c r="L561" s="5" t="str">
        <f t="shared" si="1"/>
        <v/>
      </c>
    </row>
    <row r="562" ht="15.75" customHeight="1">
      <c r="B562" s="26"/>
      <c r="K562" s="5" t="str">
        <f>IF(J562="Yes",IFERROR(VLOOKUP(C562,'14_Master_Employees'!A:G,7,FALSE),""),"")</f>
        <v/>
      </c>
      <c r="L562" s="5" t="str">
        <f t="shared" si="1"/>
        <v/>
      </c>
    </row>
    <row r="563" ht="15.75" customHeight="1">
      <c r="B563" s="26"/>
      <c r="K563" s="5" t="str">
        <f>IF(J563="Yes",IFERROR(VLOOKUP(C563,'14_Master_Employees'!A:G,7,FALSE),""),"")</f>
        <v/>
      </c>
      <c r="L563" s="5" t="str">
        <f t="shared" si="1"/>
        <v/>
      </c>
    </row>
    <row r="564" ht="15.75" customHeight="1">
      <c r="B564" s="26"/>
      <c r="K564" s="5" t="str">
        <f>IF(J564="Yes",IFERROR(VLOOKUP(C564,'14_Master_Employees'!A:G,7,FALSE),""),"")</f>
        <v/>
      </c>
      <c r="L564" s="5" t="str">
        <f t="shared" si="1"/>
        <v/>
      </c>
    </row>
    <row r="565" ht="15.75" customHeight="1">
      <c r="B565" s="26"/>
      <c r="K565" s="5" t="str">
        <f>IF(J565="Yes",IFERROR(VLOOKUP(C565,'14_Master_Employees'!A:G,7,FALSE),""),"")</f>
        <v/>
      </c>
      <c r="L565" s="5" t="str">
        <f t="shared" si="1"/>
        <v/>
      </c>
    </row>
    <row r="566" ht="15.75" customHeight="1">
      <c r="B566" s="26"/>
      <c r="K566" s="5" t="str">
        <f>IF(J566="Yes",IFERROR(VLOOKUP(C566,'14_Master_Employees'!A:G,7,FALSE),""),"")</f>
        <v/>
      </c>
      <c r="L566" s="5" t="str">
        <f t="shared" si="1"/>
        <v/>
      </c>
    </row>
    <row r="567" ht="15.75" customHeight="1">
      <c r="B567" s="26"/>
      <c r="K567" s="5" t="str">
        <f>IF(J567="Yes",IFERROR(VLOOKUP(C567,'14_Master_Employees'!A:G,7,FALSE),""),"")</f>
        <v/>
      </c>
      <c r="L567" s="5" t="str">
        <f t="shared" si="1"/>
        <v/>
      </c>
    </row>
    <row r="568" ht="15.75" customHeight="1">
      <c r="B568" s="26"/>
      <c r="K568" s="5" t="str">
        <f>IF(J568="Yes",IFERROR(VLOOKUP(C568,'14_Master_Employees'!A:G,7,FALSE),""),"")</f>
        <v/>
      </c>
      <c r="L568" s="5" t="str">
        <f t="shared" si="1"/>
        <v/>
      </c>
    </row>
    <row r="569" ht="15.75" customHeight="1">
      <c r="B569" s="26"/>
      <c r="K569" s="5" t="str">
        <f>IF(J569="Yes",IFERROR(VLOOKUP(C569,'14_Master_Employees'!A:G,7,FALSE),""),"")</f>
        <v/>
      </c>
      <c r="L569" s="5" t="str">
        <f t="shared" si="1"/>
        <v/>
      </c>
    </row>
    <row r="570" ht="15.75" customHeight="1">
      <c r="B570" s="26"/>
      <c r="K570" s="5" t="str">
        <f>IF(J570="Yes",IFERROR(VLOOKUP(C570,'14_Master_Employees'!A:G,7,FALSE),""),"")</f>
        <v/>
      </c>
      <c r="L570" s="5" t="str">
        <f t="shared" si="1"/>
        <v/>
      </c>
    </row>
    <row r="571" ht="15.75" customHeight="1">
      <c r="B571" s="26"/>
      <c r="K571" s="5" t="str">
        <f>IF(J571="Yes",IFERROR(VLOOKUP(C571,'14_Master_Employees'!A:G,7,FALSE),""),"")</f>
        <v/>
      </c>
      <c r="L571" s="5" t="str">
        <f t="shared" si="1"/>
        <v/>
      </c>
    </row>
    <row r="572" ht="15.75" customHeight="1">
      <c r="B572" s="26"/>
      <c r="K572" s="5" t="str">
        <f>IF(J572="Yes",IFERROR(VLOOKUP(C572,'14_Master_Employees'!A:G,7,FALSE),""),"")</f>
        <v/>
      </c>
      <c r="L572" s="5" t="str">
        <f t="shared" si="1"/>
        <v/>
      </c>
    </row>
    <row r="573" ht="15.75" customHeight="1">
      <c r="B573" s="26"/>
      <c r="K573" s="5" t="str">
        <f>IF(J573="Yes",IFERROR(VLOOKUP(C573,'14_Master_Employees'!A:G,7,FALSE),""),"")</f>
        <v/>
      </c>
      <c r="L573" s="5" t="str">
        <f t="shared" si="1"/>
        <v/>
      </c>
    </row>
    <row r="574" ht="15.75" customHeight="1">
      <c r="B574" s="26"/>
      <c r="K574" s="5" t="str">
        <f>IF(J574="Yes",IFERROR(VLOOKUP(C574,'14_Master_Employees'!A:G,7,FALSE),""),"")</f>
        <v/>
      </c>
      <c r="L574" s="5" t="str">
        <f t="shared" si="1"/>
        <v/>
      </c>
    </row>
    <row r="575" ht="15.75" customHeight="1">
      <c r="B575" s="26"/>
      <c r="K575" s="5" t="str">
        <f>IF(J575="Yes",IFERROR(VLOOKUP(C575,'14_Master_Employees'!A:G,7,FALSE),""),"")</f>
        <v/>
      </c>
      <c r="L575" s="5" t="str">
        <f t="shared" si="1"/>
        <v/>
      </c>
    </row>
    <row r="576" ht="15.75" customHeight="1">
      <c r="B576" s="26"/>
      <c r="K576" s="5" t="str">
        <f>IF(J576="Yes",IFERROR(VLOOKUP(C576,'14_Master_Employees'!A:G,7,FALSE),""),"")</f>
        <v/>
      </c>
      <c r="L576" s="5" t="str">
        <f t="shared" si="1"/>
        <v/>
      </c>
    </row>
    <row r="577" ht="15.75" customHeight="1">
      <c r="B577" s="26"/>
      <c r="K577" s="5" t="str">
        <f>IF(J577="Yes",IFERROR(VLOOKUP(C577,'14_Master_Employees'!A:G,7,FALSE),""),"")</f>
        <v/>
      </c>
      <c r="L577" s="5" t="str">
        <f t="shared" si="1"/>
        <v/>
      </c>
    </row>
    <row r="578" ht="15.75" customHeight="1">
      <c r="B578" s="26"/>
      <c r="K578" s="5" t="str">
        <f>IF(J578="Yes",IFERROR(VLOOKUP(C578,'14_Master_Employees'!A:G,7,FALSE),""),"")</f>
        <v/>
      </c>
      <c r="L578" s="5" t="str">
        <f t="shared" si="1"/>
        <v/>
      </c>
    </row>
    <row r="579" ht="15.75" customHeight="1">
      <c r="B579" s="26"/>
      <c r="K579" s="5" t="str">
        <f>IF(J579="Yes",IFERROR(VLOOKUP(C579,'14_Master_Employees'!A:G,7,FALSE),""),"")</f>
        <v/>
      </c>
      <c r="L579" s="5" t="str">
        <f t="shared" si="1"/>
        <v/>
      </c>
    </row>
    <row r="580" ht="15.75" customHeight="1">
      <c r="B580" s="26"/>
      <c r="K580" s="5" t="str">
        <f>IF(J580="Yes",IFERROR(VLOOKUP(C580,'14_Master_Employees'!A:G,7,FALSE),""),"")</f>
        <v/>
      </c>
      <c r="L580" s="5" t="str">
        <f t="shared" si="1"/>
        <v/>
      </c>
    </row>
    <row r="581" ht="15.75" customHeight="1">
      <c r="B581" s="26"/>
      <c r="K581" s="5" t="str">
        <f>IF(J581="Yes",IFERROR(VLOOKUP(C581,'14_Master_Employees'!A:G,7,FALSE),""),"")</f>
        <v/>
      </c>
      <c r="L581" s="5" t="str">
        <f t="shared" si="1"/>
        <v/>
      </c>
    </row>
    <row r="582" ht="15.75" customHeight="1">
      <c r="B582" s="26"/>
      <c r="K582" s="5" t="str">
        <f>IF(J582="Yes",IFERROR(VLOOKUP(C582,'14_Master_Employees'!A:G,7,FALSE),""),"")</f>
        <v/>
      </c>
      <c r="L582" s="5" t="str">
        <f t="shared" si="1"/>
        <v/>
      </c>
    </row>
    <row r="583" ht="15.75" customHeight="1">
      <c r="B583" s="26"/>
      <c r="K583" s="5" t="str">
        <f>IF(J583="Yes",IFERROR(VLOOKUP(C583,'14_Master_Employees'!A:G,7,FALSE),""),"")</f>
        <v/>
      </c>
      <c r="L583" s="5" t="str">
        <f t="shared" si="1"/>
        <v/>
      </c>
    </row>
    <row r="584" ht="15.75" customHeight="1">
      <c r="B584" s="26"/>
      <c r="K584" s="5" t="str">
        <f>IF(J584="Yes",IFERROR(VLOOKUP(C584,'14_Master_Employees'!A:G,7,FALSE),""),"")</f>
        <v/>
      </c>
      <c r="L584" s="5" t="str">
        <f t="shared" si="1"/>
        <v/>
      </c>
    </row>
    <row r="585" ht="15.75" customHeight="1">
      <c r="B585" s="26"/>
      <c r="K585" s="5" t="str">
        <f>IF(J585="Yes",IFERROR(VLOOKUP(C585,'14_Master_Employees'!A:G,7,FALSE),""),"")</f>
        <v/>
      </c>
      <c r="L585" s="5" t="str">
        <f t="shared" si="1"/>
        <v/>
      </c>
    </row>
    <row r="586" ht="15.75" customHeight="1">
      <c r="B586" s="26"/>
      <c r="K586" s="5" t="str">
        <f>IF(J586="Yes",IFERROR(VLOOKUP(C586,'14_Master_Employees'!A:G,7,FALSE),""),"")</f>
        <v/>
      </c>
      <c r="L586" s="5" t="str">
        <f t="shared" si="1"/>
        <v/>
      </c>
    </row>
    <row r="587" ht="15.75" customHeight="1">
      <c r="B587" s="26"/>
      <c r="K587" s="5" t="str">
        <f>IF(J587="Yes",IFERROR(VLOOKUP(C587,'14_Master_Employees'!A:G,7,FALSE),""),"")</f>
        <v/>
      </c>
      <c r="L587" s="5" t="str">
        <f t="shared" si="1"/>
        <v/>
      </c>
    </row>
    <row r="588" ht="15.75" customHeight="1">
      <c r="B588" s="26"/>
      <c r="K588" s="5" t="str">
        <f>IF(J588="Yes",IFERROR(VLOOKUP(C588,'14_Master_Employees'!A:G,7,FALSE),""),"")</f>
        <v/>
      </c>
      <c r="L588" s="5" t="str">
        <f t="shared" si="1"/>
        <v/>
      </c>
    </row>
    <row r="589" ht="15.75" customHeight="1">
      <c r="B589" s="26"/>
      <c r="K589" s="5" t="str">
        <f>IF(J589="Yes",IFERROR(VLOOKUP(C589,'14_Master_Employees'!A:G,7,FALSE),""),"")</f>
        <v/>
      </c>
      <c r="L589" s="5" t="str">
        <f t="shared" si="1"/>
        <v/>
      </c>
    </row>
    <row r="590" ht="15.75" customHeight="1">
      <c r="B590" s="26"/>
      <c r="K590" s="5" t="str">
        <f>IF(J590="Yes",IFERROR(VLOOKUP(C590,'14_Master_Employees'!A:G,7,FALSE),""),"")</f>
        <v/>
      </c>
      <c r="L590" s="5" t="str">
        <f t="shared" si="1"/>
        <v/>
      </c>
    </row>
    <row r="591" ht="15.75" customHeight="1">
      <c r="B591" s="26"/>
      <c r="K591" s="5" t="str">
        <f>IF(J591="Yes",IFERROR(VLOOKUP(C591,'14_Master_Employees'!A:G,7,FALSE),""),"")</f>
        <v/>
      </c>
      <c r="L591" s="5" t="str">
        <f t="shared" si="1"/>
        <v/>
      </c>
    </row>
    <row r="592" ht="15.75" customHeight="1">
      <c r="B592" s="26"/>
      <c r="K592" s="5" t="str">
        <f>IF(J592="Yes",IFERROR(VLOOKUP(C592,'14_Master_Employees'!A:G,7,FALSE),""),"")</f>
        <v/>
      </c>
      <c r="L592" s="5" t="str">
        <f t="shared" si="1"/>
        <v/>
      </c>
    </row>
    <row r="593" ht="15.75" customHeight="1">
      <c r="B593" s="26"/>
      <c r="K593" s="5" t="str">
        <f>IF(J593="Yes",IFERROR(VLOOKUP(C593,'14_Master_Employees'!A:G,7,FALSE),""),"")</f>
        <v/>
      </c>
      <c r="L593" s="5" t="str">
        <f t="shared" si="1"/>
        <v/>
      </c>
    </row>
    <row r="594" ht="15.75" customHeight="1">
      <c r="B594" s="26"/>
      <c r="K594" s="5" t="str">
        <f>IF(J594="Yes",IFERROR(VLOOKUP(C594,'14_Master_Employees'!A:G,7,FALSE),""),"")</f>
        <v/>
      </c>
      <c r="L594" s="5" t="str">
        <f t="shared" si="1"/>
        <v/>
      </c>
    </row>
    <row r="595" ht="15.75" customHeight="1">
      <c r="B595" s="26"/>
      <c r="K595" s="5" t="str">
        <f>IF(J595="Yes",IFERROR(VLOOKUP(C595,'14_Master_Employees'!A:G,7,FALSE),""),"")</f>
        <v/>
      </c>
      <c r="L595" s="5" t="str">
        <f t="shared" si="1"/>
        <v/>
      </c>
    </row>
    <row r="596" ht="15.75" customHeight="1">
      <c r="B596" s="26"/>
      <c r="K596" s="5" t="str">
        <f>IF(J596="Yes",IFERROR(VLOOKUP(C596,'14_Master_Employees'!A:G,7,FALSE),""),"")</f>
        <v/>
      </c>
      <c r="L596" s="5" t="str">
        <f t="shared" si="1"/>
        <v/>
      </c>
    </row>
    <row r="597" ht="15.75" customHeight="1">
      <c r="B597" s="26"/>
      <c r="K597" s="5" t="str">
        <f>IF(J597="Yes",IFERROR(VLOOKUP(C597,'14_Master_Employees'!A:G,7,FALSE),""),"")</f>
        <v/>
      </c>
      <c r="L597" s="5" t="str">
        <f t="shared" si="1"/>
        <v/>
      </c>
    </row>
    <row r="598" ht="15.75" customHeight="1">
      <c r="B598" s="26"/>
      <c r="K598" s="5" t="str">
        <f>IF(J598="Yes",IFERROR(VLOOKUP(C598,'14_Master_Employees'!A:G,7,FALSE),""),"")</f>
        <v/>
      </c>
      <c r="L598" s="5" t="str">
        <f t="shared" si="1"/>
        <v/>
      </c>
    </row>
    <row r="599" ht="15.75" customHeight="1">
      <c r="B599" s="26"/>
      <c r="K599" s="5" t="str">
        <f>IF(J599="Yes",IFERROR(VLOOKUP(C599,'14_Master_Employees'!A:G,7,FALSE),""),"")</f>
        <v/>
      </c>
      <c r="L599" s="5" t="str">
        <f t="shared" si="1"/>
        <v/>
      </c>
    </row>
    <row r="600" ht="15.75" customHeight="1">
      <c r="B600" s="26"/>
      <c r="K600" s="5" t="str">
        <f>IF(J600="Yes",IFERROR(VLOOKUP(C600,'14_Master_Employees'!A:G,7,FALSE),""),"")</f>
        <v/>
      </c>
      <c r="L600" s="5" t="str">
        <f t="shared" si="1"/>
        <v/>
      </c>
    </row>
    <row r="601" ht="15.75" customHeight="1">
      <c r="B601" s="26"/>
      <c r="K601" s="5" t="str">
        <f>IF(J601="Yes",IFERROR(VLOOKUP(C601,'14_Master_Employees'!A:G,7,FALSE),""),"")</f>
        <v/>
      </c>
      <c r="L601" s="5" t="str">
        <f t="shared" si="1"/>
        <v/>
      </c>
    </row>
    <row r="602" ht="15.75" customHeight="1">
      <c r="B602" s="26"/>
      <c r="K602" s="5" t="str">
        <f>IF(J602="Yes",IFERROR(VLOOKUP(C602,'14_Master_Employees'!A:G,7,FALSE),""),"")</f>
        <v/>
      </c>
      <c r="L602" s="5" t="str">
        <f t="shared" si="1"/>
        <v/>
      </c>
    </row>
    <row r="603" ht="15.75" customHeight="1">
      <c r="B603" s="26"/>
      <c r="K603" s="5" t="str">
        <f>IF(J603="Yes",IFERROR(VLOOKUP(C603,'14_Master_Employees'!A:G,7,FALSE),""),"")</f>
        <v/>
      </c>
      <c r="L603" s="5" t="str">
        <f t="shared" si="1"/>
        <v/>
      </c>
    </row>
    <row r="604" ht="15.75" customHeight="1">
      <c r="B604" s="26"/>
      <c r="K604" s="5" t="str">
        <f>IF(J604="Yes",IFERROR(VLOOKUP(C604,'14_Master_Employees'!A:G,7,FALSE),""),"")</f>
        <v/>
      </c>
      <c r="L604" s="5" t="str">
        <f t="shared" si="1"/>
        <v/>
      </c>
    </row>
    <row r="605" ht="15.75" customHeight="1">
      <c r="B605" s="26"/>
      <c r="K605" s="5" t="str">
        <f>IF(J605="Yes",IFERROR(VLOOKUP(C605,'14_Master_Employees'!A:G,7,FALSE),""),"")</f>
        <v/>
      </c>
      <c r="L605" s="5" t="str">
        <f t="shared" si="1"/>
        <v/>
      </c>
    </row>
    <row r="606" ht="15.75" customHeight="1">
      <c r="B606" s="26"/>
      <c r="K606" s="5" t="str">
        <f>IF(J606="Yes",IFERROR(VLOOKUP(C606,'14_Master_Employees'!A:G,7,FALSE),""),"")</f>
        <v/>
      </c>
      <c r="L606" s="5" t="str">
        <f t="shared" si="1"/>
        <v/>
      </c>
    </row>
    <row r="607" ht="15.75" customHeight="1">
      <c r="B607" s="26"/>
      <c r="K607" s="5" t="str">
        <f>IF(J607="Yes",IFERROR(VLOOKUP(C607,'14_Master_Employees'!A:G,7,FALSE),""),"")</f>
        <v/>
      </c>
      <c r="L607" s="5" t="str">
        <f t="shared" si="1"/>
        <v/>
      </c>
    </row>
    <row r="608" ht="15.75" customHeight="1">
      <c r="B608" s="26"/>
      <c r="K608" s="5" t="str">
        <f>IF(J608="Yes",IFERROR(VLOOKUP(C608,'14_Master_Employees'!A:G,7,FALSE),""),"")</f>
        <v/>
      </c>
      <c r="L608" s="5" t="str">
        <f t="shared" si="1"/>
        <v/>
      </c>
    </row>
    <row r="609" ht="15.75" customHeight="1">
      <c r="B609" s="26"/>
      <c r="K609" s="5" t="str">
        <f>IF(J609="Yes",IFERROR(VLOOKUP(C609,'14_Master_Employees'!A:G,7,FALSE),""),"")</f>
        <v/>
      </c>
      <c r="L609" s="5" t="str">
        <f t="shared" si="1"/>
        <v/>
      </c>
    </row>
    <row r="610" ht="15.75" customHeight="1">
      <c r="B610" s="26"/>
      <c r="K610" s="5" t="str">
        <f>IF(J610="Yes",IFERROR(VLOOKUP(C610,'14_Master_Employees'!A:G,7,FALSE),""),"")</f>
        <v/>
      </c>
      <c r="L610" s="5" t="str">
        <f t="shared" si="1"/>
        <v/>
      </c>
    </row>
    <row r="611" ht="15.75" customHeight="1">
      <c r="B611" s="26"/>
      <c r="K611" s="5" t="str">
        <f>IF(J611="Yes",IFERROR(VLOOKUP(C611,'14_Master_Employees'!A:G,7,FALSE),""),"")</f>
        <v/>
      </c>
      <c r="L611" s="5" t="str">
        <f t="shared" si="1"/>
        <v/>
      </c>
    </row>
    <row r="612" ht="15.75" customHeight="1">
      <c r="B612" s="26"/>
      <c r="K612" s="5" t="str">
        <f>IF(J612="Yes",IFERROR(VLOOKUP(C612,'14_Master_Employees'!A:G,7,FALSE),""),"")</f>
        <v/>
      </c>
      <c r="L612" s="5" t="str">
        <f t="shared" si="1"/>
        <v/>
      </c>
    </row>
    <row r="613" ht="15.75" customHeight="1">
      <c r="B613" s="26"/>
      <c r="K613" s="5" t="str">
        <f>IF(J613="Yes",IFERROR(VLOOKUP(C613,'14_Master_Employees'!A:G,7,FALSE),""),"")</f>
        <v/>
      </c>
      <c r="L613" s="5" t="str">
        <f t="shared" si="1"/>
        <v/>
      </c>
    </row>
    <row r="614" ht="15.75" customHeight="1">
      <c r="B614" s="26"/>
      <c r="K614" s="5" t="str">
        <f>IF(J614="Yes",IFERROR(VLOOKUP(C614,'14_Master_Employees'!A:G,7,FALSE),""),"")</f>
        <v/>
      </c>
      <c r="L614" s="5" t="str">
        <f t="shared" si="1"/>
        <v/>
      </c>
    </row>
    <row r="615" ht="15.75" customHeight="1">
      <c r="B615" s="26"/>
      <c r="K615" s="5" t="str">
        <f>IF(J615="Yes",IFERROR(VLOOKUP(C615,'14_Master_Employees'!A:G,7,FALSE),""),"")</f>
        <v/>
      </c>
      <c r="L615" s="5" t="str">
        <f t="shared" si="1"/>
        <v/>
      </c>
    </row>
    <row r="616" ht="15.75" customHeight="1">
      <c r="B616" s="26"/>
      <c r="K616" s="5" t="str">
        <f>IF(J616="Yes",IFERROR(VLOOKUP(C616,'14_Master_Employees'!A:G,7,FALSE),""),"")</f>
        <v/>
      </c>
      <c r="L616" s="5" t="str">
        <f t="shared" si="1"/>
        <v/>
      </c>
    </row>
    <row r="617" ht="15.75" customHeight="1">
      <c r="B617" s="26"/>
      <c r="K617" s="5" t="str">
        <f>IF(J617="Yes",IFERROR(VLOOKUP(C617,'14_Master_Employees'!A:G,7,FALSE),""),"")</f>
        <v/>
      </c>
      <c r="L617" s="5" t="str">
        <f t="shared" si="1"/>
        <v/>
      </c>
    </row>
    <row r="618" ht="15.75" customHeight="1">
      <c r="B618" s="26"/>
      <c r="K618" s="5" t="str">
        <f>IF(J618="Yes",IFERROR(VLOOKUP(C618,'14_Master_Employees'!A:G,7,FALSE),""),"")</f>
        <v/>
      </c>
      <c r="L618" s="5" t="str">
        <f t="shared" si="1"/>
        <v/>
      </c>
    </row>
    <row r="619" ht="15.75" customHeight="1">
      <c r="B619" s="26"/>
      <c r="K619" s="5" t="str">
        <f>IF(J619="Yes",IFERROR(VLOOKUP(C619,'14_Master_Employees'!A:G,7,FALSE),""),"")</f>
        <v/>
      </c>
      <c r="L619" s="5" t="str">
        <f t="shared" si="1"/>
        <v/>
      </c>
    </row>
    <row r="620" ht="15.75" customHeight="1">
      <c r="B620" s="26"/>
      <c r="K620" s="5" t="str">
        <f>IF(J620="Yes",IFERROR(VLOOKUP(C620,'14_Master_Employees'!A:G,7,FALSE),""),"")</f>
        <v/>
      </c>
      <c r="L620" s="5" t="str">
        <f t="shared" si="1"/>
        <v/>
      </c>
    </row>
    <row r="621" ht="15.75" customHeight="1">
      <c r="B621" s="26"/>
      <c r="K621" s="5" t="str">
        <f>IF(J621="Yes",IFERROR(VLOOKUP(C621,'14_Master_Employees'!A:G,7,FALSE),""),"")</f>
        <v/>
      </c>
      <c r="L621" s="5" t="str">
        <f t="shared" si="1"/>
        <v/>
      </c>
    </row>
    <row r="622" ht="15.75" customHeight="1">
      <c r="B622" s="26"/>
      <c r="K622" s="5" t="str">
        <f>IF(J622="Yes",IFERROR(VLOOKUP(C622,'14_Master_Employees'!A:G,7,FALSE),""),"")</f>
        <v/>
      </c>
      <c r="L622" s="5" t="str">
        <f t="shared" si="1"/>
        <v/>
      </c>
    </row>
    <row r="623" ht="15.75" customHeight="1">
      <c r="B623" s="26"/>
      <c r="K623" s="5" t="str">
        <f>IF(J623="Yes",IFERROR(VLOOKUP(C623,'14_Master_Employees'!A:G,7,FALSE),""),"")</f>
        <v/>
      </c>
      <c r="L623" s="5" t="str">
        <f t="shared" si="1"/>
        <v/>
      </c>
    </row>
    <row r="624" ht="15.75" customHeight="1">
      <c r="B624" s="26"/>
      <c r="K624" s="5" t="str">
        <f>IF(J624="Yes",IFERROR(VLOOKUP(C624,'14_Master_Employees'!A:G,7,FALSE),""),"")</f>
        <v/>
      </c>
      <c r="L624" s="5" t="str">
        <f t="shared" si="1"/>
        <v/>
      </c>
    </row>
    <row r="625" ht="15.75" customHeight="1">
      <c r="B625" s="26"/>
      <c r="K625" s="5" t="str">
        <f>IF(J625="Yes",IFERROR(VLOOKUP(C625,'14_Master_Employees'!A:G,7,FALSE),""),"")</f>
        <v/>
      </c>
      <c r="L625" s="5" t="str">
        <f t="shared" si="1"/>
        <v/>
      </c>
    </row>
    <row r="626" ht="15.75" customHeight="1">
      <c r="B626" s="26"/>
      <c r="K626" s="5" t="str">
        <f>IF(J626="Yes",IFERROR(VLOOKUP(C626,'14_Master_Employees'!A:G,7,FALSE),""),"")</f>
        <v/>
      </c>
      <c r="L626" s="5" t="str">
        <f t="shared" si="1"/>
        <v/>
      </c>
    </row>
    <row r="627" ht="15.75" customHeight="1">
      <c r="B627" s="26"/>
      <c r="K627" s="5" t="str">
        <f>IF(J627="Yes",IFERROR(VLOOKUP(C627,'14_Master_Employees'!A:G,7,FALSE),""),"")</f>
        <v/>
      </c>
      <c r="L627" s="5" t="str">
        <f t="shared" si="1"/>
        <v/>
      </c>
    </row>
    <row r="628" ht="15.75" customHeight="1">
      <c r="B628" s="26"/>
      <c r="K628" s="5" t="str">
        <f>IF(J628="Yes",IFERROR(VLOOKUP(C628,'14_Master_Employees'!A:G,7,FALSE),""),"")</f>
        <v/>
      </c>
      <c r="L628" s="5" t="str">
        <f t="shared" si="1"/>
        <v/>
      </c>
    </row>
    <row r="629" ht="15.75" customHeight="1">
      <c r="B629" s="26"/>
      <c r="K629" s="5" t="str">
        <f>IF(J629="Yes",IFERROR(VLOOKUP(C629,'14_Master_Employees'!A:G,7,FALSE),""),"")</f>
        <v/>
      </c>
      <c r="L629" s="5" t="str">
        <f t="shared" si="1"/>
        <v/>
      </c>
    </row>
    <row r="630" ht="15.75" customHeight="1">
      <c r="B630" s="26"/>
      <c r="K630" s="5" t="str">
        <f>IF(J630="Yes",IFERROR(VLOOKUP(C630,'14_Master_Employees'!A:G,7,FALSE),""),"")</f>
        <v/>
      </c>
      <c r="L630" s="5" t="str">
        <f t="shared" si="1"/>
        <v/>
      </c>
    </row>
    <row r="631" ht="15.75" customHeight="1">
      <c r="B631" s="26"/>
      <c r="K631" s="5" t="str">
        <f>IF(J631="Yes",IFERROR(VLOOKUP(C631,'14_Master_Employees'!A:G,7,FALSE),""),"")</f>
        <v/>
      </c>
      <c r="L631" s="5" t="str">
        <f t="shared" si="1"/>
        <v/>
      </c>
    </row>
    <row r="632" ht="15.75" customHeight="1">
      <c r="B632" s="26"/>
      <c r="K632" s="5" t="str">
        <f>IF(J632="Yes",IFERROR(VLOOKUP(C632,'14_Master_Employees'!A:G,7,FALSE),""),"")</f>
        <v/>
      </c>
      <c r="L632" s="5" t="str">
        <f t="shared" si="1"/>
        <v/>
      </c>
    </row>
    <row r="633" ht="15.75" customHeight="1">
      <c r="B633" s="26"/>
      <c r="K633" s="5" t="str">
        <f>IF(J633="Yes",IFERROR(VLOOKUP(C633,'14_Master_Employees'!A:G,7,FALSE),""),"")</f>
        <v/>
      </c>
      <c r="L633" s="5" t="str">
        <f t="shared" si="1"/>
        <v/>
      </c>
    </row>
    <row r="634" ht="15.75" customHeight="1">
      <c r="B634" s="26"/>
      <c r="K634" s="5" t="str">
        <f>IF(J634="Yes",IFERROR(VLOOKUP(C634,'14_Master_Employees'!A:G,7,FALSE),""),"")</f>
        <v/>
      </c>
      <c r="L634" s="5" t="str">
        <f t="shared" si="1"/>
        <v/>
      </c>
    </row>
    <row r="635" ht="15.75" customHeight="1">
      <c r="B635" s="26"/>
      <c r="K635" s="5" t="str">
        <f>IF(J635="Yes",IFERROR(VLOOKUP(C635,'14_Master_Employees'!A:G,7,FALSE),""),"")</f>
        <v/>
      </c>
      <c r="L635" s="5" t="str">
        <f t="shared" si="1"/>
        <v/>
      </c>
    </row>
    <row r="636" ht="15.75" customHeight="1">
      <c r="B636" s="26"/>
      <c r="K636" s="5" t="str">
        <f>IF(J636="Yes",IFERROR(VLOOKUP(C636,'14_Master_Employees'!A:G,7,FALSE),""),"")</f>
        <v/>
      </c>
      <c r="L636" s="5" t="str">
        <f t="shared" si="1"/>
        <v/>
      </c>
    </row>
    <row r="637" ht="15.75" customHeight="1">
      <c r="B637" s="26"/>
      <c r="K637" s="5" t="str">
        <f>IF(J637="Yes",IFERROR(VLOOKUP(C637,'14_Master_Employees'!A:G,7,FALSE),""),"")</f>
        <v/>
      </c>
      <c r="L637" s="5" t="str">
        <f t="shared" si="1"/>
        <v/>
      </c>
    </row>
    <row r="638" ht="15.75" customHeight="1">
      <c r="B638" s="26"/>
      <c r="K638" s="5" t="str">
        <f>IF(J638="Yes",IFERROR(VLOOKUP(C638,'14_Master_Employees'!A:G,7,FALSE),""),"")</f>
        <v/>
      </c>
      <c r="L638" s="5" t="str">
        <f t="shared" si="1"/>
        <v/>
      </c>
    </row>
    <row r="639" ht="15.75" customHeight="1">
      <c r="B639" s="26"/>
      <c r="K639" s="5" t="str">
        <f>IF(J639="Yes",IFERROR(VLOOKUP(C639,'14_Master_Employees'!A:G,7,FALSE),""),"")</f>
        <v/>
      </c>
      <c r="L639" s="5" t="str">
        <f t="shared" si="1"/>
        <v/>
      </c>
    </row>
    <row r="640" ht="15.75" customHeight="1">
      <c r="B640" s="26"/>
      <c r="K640" s="5" t="str">
        <f>IF(J640="Yes",IFERROR(VLOOKUP(C640,'14_Master_Employees'!A:G,7,FALSE),""),"")</f>
        <v/>
      </c>
      <c r="L640" s="5" t="str">
        <f t="shared" si="1"/>
        <v/>
      </c>
    </row>
    <row r="641" ht="15.75" customHeight="1">
      <c r="B641" s="26"/>
      <c r="K641" s="5" t="str">
        <f>IF(J641="Yes",IFERROR(VLOOKUP(C641,'14_Master_Employees'!A:G,7,FALSE),""),"")</f>
        <v/>
      </c>
      <c r="L641" s="5" t="str">
        <f t="shared" si="1"/>
        <v/>
      </c>
    </row>
    <row r="642" ht="15.75" customHeight="1">
      <c r="B642" s="26"/>
      <c r="K642" s="5" t="str">
        <f>IF(J642="Yes",IFERROR(VLOOKUP(C642,'14_Master_Employees'!A:G,7,FALSE),""),"")</f>
        <v/>
      </c>
      <c r="L642" s="5" t="str">
        <f t="shared" si="1"/>
        <v/>
      </c>
    </row>
    <row r="643" ht="15.75" customHeight="1">
      <c r="B643" s="26"/>
      <c r="K643" s="5" t="str">
        <f>IF(J643="Yes",IFERROR(VLOOKUP(C643,'14_Master_Employees'!A:G,7,FALSE),""),"")</f>
        <v/>
      </c>
      <c r="L643" s="5" t="str">
        <f t="shared" si="1"/>
        <v/>
      </c>
    </row>
    <row r="644" ht="15.75" customHeight="1">
      <c r="B644" s="26"/>
      <c r="K644" s="5" t="str">
        <f>IF(J644="Yes",IFERROR(VLOOKUP(C644,'14_Master_Employees'!A:G,7,FALSE),""),"")</f>
        <v/>
      </c>
      <c r="L644" s="5" t="str">
        <f t="shared" si="1"/>
        <v/>
      </c>
    </row>
    <row r="645" ht="15.75" customHeight="1">
      <c r="B645" s="26"/>
      <c r="K645" s="5" t="str">
        <f>IF(J645="Yes",IFERROR(VLOOKUP(C645,'14_Master_Employees'!A:G,7,FALSE),""),"")</f>
        <v/>
      </c>
      <c r="L645" s="5" t="str">
        <f t="shared" si="1"/>
        <v/>
      </c>
    </row>
    <row r="646" ht="15.75" customHeight="1">
      <c r="B646" s="26"/>
      <c r="K646" s="5" t="str">
        <f>IF(J646="Yes",IFERROR(VLOOKUP(C646,'14_Master_Employees'!A:G,7,FALSE),""),"")</f>
        <v/>
      </c>
      <c r="L646" s="5" t="str">
        <f t="shared" si="1"/>
        <v/>
      </c>
    </row>
    <row r="647" ht="15.75" customHeight="1">
      <c r="B647" s="26"/>
      <c r="K647" s="5" t="str">
        <f>IF(J647="Yes",IFERROR(VLOOKUP(C647,'14_Master_Employees'!A:G,7,FALSE),""),"")</f>
        <v/>
      </c>
      <c r="L647" s="5" t="str">
        <f t="shared" si="1"/>
        <v/>
      </c>
    </row>
    <row r="648" ht="15.75" customHeight="1">
      <c r="B648" s="26"/>
      <c r="K648" s="5" t="str">
        <f>IF(J648="Yes",IFERROR(VLOOKUP(C648,'14_Master_Employees'!A:G,7,FALSE),""),"")</f>
        <v/>
      </c>
      <c r="L648" s="5" t="str">
        <f t="shared" si="1"/>
        <v/>
      </c>
    </row>
    <row r="649" ht="15.75" customHeight="1">
      <c r="B649" s="26"/>
      <c r="K649" s="5" t="str">
        <f>IF(J649="Yes",IFERROR(VLOOKUP(C649,'14_Master_Employees'!A:G,7,FALSE),""),"")</f>
        <v/>
      </c>
      <c r="L649" s="5" t="str">
        <f t="shared" si="1"/>
        <v/>
      </c>
    </row>
    <row r="650" ht="15.75" customHeight="1">
      <c r="B650" s="26"/>
      <c r="K650" s="5" t="str">
        <f>IF(J650="Yes",IFERROR(VLOOKUP(C650,'14_Master_Employees'!A:G,7,FALSE),""),"")</f>
        <v/>
      </c>
      <c r="L650" s="5" t="str">
        <f t="shared" si="1"/>
        <v/>
      </c>
    </row>
    <row r="651" ht="15.75" customHeight="1">
      <c r="B651" s="26"/>
      <c r="K651" s="5" t="str">
        <f>IF(J651="Yes",IFERROR(VLOOKUP(C651,'14_Master_Employees'!A:G,7,FALSE),""),"")</f>
        <v/>
      </c>
      <c r="L651" s="5" t="str">
        <f t="shared" si="1"/>
        <v/>
      </c>
    </row>
    <row r="652" ht="15.75" customHeight="1">
      <c r="B652" s="26"/>
      <c r="K652" s="5" t="str">
        <f>IF(J652="Yes",IFERROR(VLOOKUP(C652,'14_Master_Employees'!A:G,7,FALSE),""),"")</f>
        <v/>
      </c>
      <c r="L652" s="5" t="str">
        <f t="shared" si="1"/>
        <v/>
      </c>
    </row>
    <row r="653" ht="15.75" customHeight="1">
      <c r="B653" s="26"/>
      <c r="K653" s="5" t="str">
        <f>IF(J653="Yes",IFERROR(VLOOKUP(C653,'14_Master_Employees'!A:G,7,FALSE),""),"")</f>
        <v/>
      </c>
      <c r="L653" s="5" t="str">
        <f t="shared" si="1"/>
        <v/>
      </c>
    </row>
    <row r="654" ht="15.75" customHeight="1">
      <c r="B654" s="26"/>
      <c r="K654" s="5" t="str">
        <f>IF(J654="Yes",IFERROR(VLOOKUP(C654,'14_Master_Employees'!A:G,7,FALSE),""),"")</f>
        <v/>
      </c>
      <c r="L654" s="5" t="str">
        <f t="shared" si="1"/>
        <v/>
      </c>
    </row>
    <row r="655" ht="15.75" customHeight="1">
      <c r="B655" s="26"/>
      <c r="K655" s="5" t="str">
        <f>IF(J655="Yes",IFERROR(VLOOKUP(C655,'14_Master_Employees'!A:G,7,FALSE),""),"")</f>
        <v/>
      </c>
      <c r="L655" s="5" t="str">
        <f t="shared" si="1"/>
        <v/>
      </c>
    </row>
    <row r="656" ht="15.75" customHeight="1">
      <c r="B656" s="26"/>
      <c r="K656" s="5" t="str">
        <f>IF(J656="Yes",IFERROR(VLOOKUP(C656,'14_Master_Employees'!A:G,7,FALSE),""),"")</f>
        <v/>
      </c>
      <c r="L656" s="5" t="str">
        <f t="shared" si="1"/>
        <v/>
      </c>
    </row>
    <row r="657" ht="15.75" customHeight="1">
      <c r="B657" s="26"/>
      <c r="K657" s="5" t="str">
        <f>IF(J657="Yes",IFERROR(VLOOKUP(C657,'14_Master_Employees'!A:G,7,FALSE),""),"")</f>
        <v/>
      </c>
      <c r="L657" s="5" t="str">
        <f t="shared" si="1"/>
        <v/>
      </c>
    </row>
    <row r="658" ht="15.75" customHeight="1">
      <c r="B658" s="26"/>
      <c r="K658" s="5" t="str">
        <f>IF(J658="Yes",IFERROR(VLOOKUP(C658,'14_Master_Employees'!A:G,7,FALSE),""),"")</f>
        <v/>
      </c>
      <c r="L658" s="5" t="str">
        <f t="shared" si="1"/>
        <v/>
      </c>
    </row>
    <row r="659" ht="15.75" customHeight="1">
      <c r="B659" s="26"/>
      <c r="K659" s="5" t="str">
        <f>IF(J659="Yes",IFERROR(VLOOKUP(C659,'14_Master_Employees'!A:G,7,FALSE),""),"")</f>
        <v/>
      </c>
      <c r="L659" s="5" t="str">
        <f t="shared" si="1"/>
        <v/>
      </c>
    </row>
    <row r="660" ht="15.75" customHeight="1">
      <c r="B660" s="26"/>
      <c r="K660" s="5" t="str">
        <f>IF(J660="Yes",IFERROR(VLOOKUP(C660,'14_Master_Employees'!A:G,7,FALSE),""),"")</f>
        <v/>
      </c>
      <c r="L660" s="5" t="str">
        <f t="shared" si="1"/>
        <v/>
      </c>
    </row>
    <row r="661" ht="15.75" customHeight="1">
      <c r="B661" s="26"/>
      <c r="K661" s="5" t="str">
        <f>IF(J661="Yes",IFERROR(VLOOKUP(C661,'14_Master_Employees'!A:G,7,FALSE),""),"")</f>
        <v/>
      </c>
      <c r="L661" s="5" t="str">
        <f t="shared" si="1"/>
        <v/>
      </c>
    </row>
    <row r="662" ht="15.75" customHeight="1">
      <c r="B662" s="26"/>
      <c r="K662" s="5" t="str">
        <f>IF(J662="Yes",IFERROR(VLOOKUP(C662,'14_Master_Employees'!A:G,7,FALSE),""),"")</f>
        <v/>
      </c>
      <c r="L662" s="5" t="str">
        <f t="shared" si="1"/>
        <v/>
      </c>
    </row>
    <row r="663" ht="15.75" customHeight="1">
      <c r="B663" s="26"/>
      <c r="K663" s="5" t="str">
        <f>IF(J663="Yes",IFERROR(VLOOKUP(C663,'14_Master_Employees'!A:G,7,FALSE),""),"")</f>
        <v/>
      </c>
      <c r="L663" s="5" t="str">
        <f t="shared" si="1"/>
        <v/>
      </c>
    </row>
    <row r="664" ht="15.75" customHeight="1">
      <c r="B664" s="26"/>
      <c r="K664" s="5" t="str">
        <f>IF(J664="Yes",IFERROR(VLOOKUP(C664,'14_Master_Employees'!A:G,7,FALSE),""),"")</f>
        <v/>
      </c>
      <c r="L664" s="5" t="str">
        <f t="shared" si="1"/>
        <v/>
      </c>
    </row>
    <row r="665" ht="15.75" customHeight="1">
      <c r="B665" s="26"/>
      <c r="K665" s="5" t="str">
        <f>IF(J665="Yes",IFERROR(VLOOKUP(C665,'14_Master_Employees'!A:G,7,FALSE),""),"")</f>
        <v/>
      </c>
      <c r="L665" s="5" t="str">
        <f t="shared" si="1"/>
        <v/>
      </c>
    </row>
    <row r="666" ht="15.75" customHeight="1">
      <c r="B666" s="26"/>
      <c r="K666" s="5" t="str">
        <f>IF(J666="Yes",IFERROR(VLOOKUP(C666,'14_Master_Employees'!A:G,7,FALSE),""),"")</f>
        <v/>
      </c>
      <c r="L666" s="5" t="str">
        <f t="shared" si="1"/>
        <v/>
      </c>
    </row>
    <row r="667" ht="15.75" customHeight="1">
      <c r="B667" s="26"/>
      <c r="K667" s="5" t="str">
        <f>IF(J667="Yes",IFERROR(VLOOKUP(C667,'14_Master_Employees'!A:G,7,FALSE),""),"")</f>
        <v/>
      </c>
      <c r="L667" s="5" t="str">
        <f t="shared" si="1"/>
        <v/>
      </c>
    </row>
    <row r="668" ht="15.75" customHeight="1">
      <c r="B668" s="26"/>
      <c r="K668" s="5" t="str">
        <f>IF(J668="Yes",IFERROR(VLOOKUP(C668,'14_Master_Employees'!A:G,7,FALSE),""),"")</f>
        <v/>
      </c>
      <c r="L668" s="5" t="str">
        <f t="shared" si="1"/>
        <v/>
      </c>
    </row>
    <row r="669" ht="15.75" customHeight="1">
      <c r="B669" s="26"/>
      <c r="K669" s="5" t="str">
        <f>IF(J669="Yes",IFERROR(VLOOKUP(C669,'14_Master_Employees'!A:G,7,FALSE),""),"")</f>
        <v/>
      </c>
      <c r="L669" s="5" t="str">
        <f t="shared" si="1"/>
        <v/>
      </c>
    </row>
    <row r="670" ht="15.75" customHeight="1">
      <c r="B670" s="26"/>
      <c r="K670" s="5" t="str">
        <f>IF(J670="Yes",IFERROR(VLOOKUP(C670,'14_Master_Employees'!A:G,7,FALSE),""),"")</f>
        <v/>
      </c>
      <c r="L670" s="5" t="str">
        <f t="shared" si="1"/>
        <v/>
      </c>
    </row>
    <row r="671" ht="15.75" customHeight="1">
      <c r="B671" s="26"/>
      <c r="K671" s="5" t="str">
        <f>IF(J671="Yes",IFERROR(VLOOKUP(C671,'14_Master_Employees'!A:G,7,FALSE),""),"")</f>
        <v/>
      </c>
      <c r="L671" s="5" t="str">
        <f t="shared" si="1"/>
        <v/>
      </c>
    </row>
    <row r="672" ht="15.75" customHeight="1">
      <c r="B672" s="26"/>
      <c r="K672" s="5" t="str">
        <f>IF(J672="Yes",IFERROR(VLOOKUP(C672,'14_Master_Employees'!A:G,7,FALSE),""),"")</f>
        <v/>
      </c>
      <c r="L672" s="5" t="str">
        <f t="shared" si="1"/>
        <v/>
      </c>
    </row>
    <row r="673" ht="15.75" customHeight="1">
      <c r="B673" s="26"/>
      <c r="K673" s="5" t="str">
        <f>IF(J673="Yes",IFERROR(VLOOKUP(C673,'14_Master_Employees'!A:G,7,FALSE),""),"")</f>
        <v/>
      </c>
      <c r="L673" s="5" t="str">
        <f t="shared" si="1"/>
        <v/>
      </c>
    </row>
    <row r="674" ht="15.75" customHeight="1">
      <c r="B674" s="26"/>
      <c r="K674" s="5" t="str">
        <f>IF(J674="Yes",IFERROR(VLOOKUP(C674,'14_Master_Employees'!A:G,7,FALSE),""),"")</f>
        <v/>
      </c>
      <c r="L674" s="5" t="str">
        <f t="shared" si="1"/>
        <v/>
      </c>
    </row>
    <row r="675" ht="15.75" customHeight="1">
      <c r="B675" s="26"/>
      <c r="K675" s="5" t="str">
        <f>IF(J675="Yes",IFERROR(VLOOKUP(C675,'14_Master_Employees'!A:G,7,FALSE),""),"")</f>
        <v/>
      </c>
      <c r="L675" s="5" t="str">
        <f t="shared" si="1"/>
        <v/>
      </c>
    </row>
    <row r="676" ht="15.75" customHeight="1">
      <c r="B676" s="26"/>
      <c r="K676" s="5" t="str">
        <f>IF(J676="Yes",IFERROR(VLOOKUP(C676,'14_Master_Employees'!A:G,7,FALSE),""),"")</f>
        <v/>
      </c>
      <c r="L676" s="5" t="str">
        <f t="shared" si="1"/>
        <v/>
      </c>
    </row>
    <row r="677" ht="15.75" customHeight="1">
      <c r="B677" s="26"/>
      <c r="K677" s="5" t="str">
        <f>IF(J677="Yes",IFERROR(VLOOKUP(C677,'14_Master_Employees'!A:G,7,FALSE),""),"")</f>
        <v/>
      </c>
      <c r="L677" s="5" t="str">
        <f t="shared" si="1"/>
        <v/>
      </c>
    </row>
    <row r="678" ht="15.75" customHeight="1">
      <c r="B678" s="26"/>
      <c r="K678" s="5" t="str">
        <f>IF(J678="Yes",IFERROR(VLOOKUP(C678,'14_Master_Employees'!A:G,7,FALSE),""),"")</f>
        <v/>
      </c>
      <c r="L678" s="5" t="str">
        <f t="shared" si="1"/>
        <v/>
      </c>
    </row>
    <row r="679" ht="15.75" customHeight="1">
      <c r="B679" s="26"/>
      <c r="K679" s="5" t="str">
        <f>IF(J679="Yes",IFERROR(VLOOKUP(C679,'14_Master_Employees'!A:G,7,FALSE),""),"")</f>
        <v/>
      </c>
      <c r="L679" s="5" t="str">
        <f t="shared" si="1"/>
        <v/>
      </c>
    </row>
    <row r="680" ht="15.75" customHeight="1">
      <c r="B680" s="26"/>
      <c r="K680" s="5" t="str">
        <f>IF(J680="Yes",IFERROR(VLOOKUP(C680,'14_Master_Employees'!A:G,7,FALSE),""),"")</f>
        <v/>
      </c>
      <c r="L680" s="5" t="str">
        <f t="shared" si="1"/>
        <v/>
      </c>
    </row>
    <row r="681" ht="15.75" customHeight="1">
      <c r="B681" s="26"/>
      <c r="K681" s="5" t="str">
        <f>IF(J681="Yes",IFERROR(VLOOKUP(C681,'14_Master_Employees'!A:G,7,FALSE),""),"")</f>
        <v/>
      </c>
      <c r="L681" s="5" t="str">
        <f t="shared" si="1"/>
        <v/>
      </c>
    </row>
    <row r="682" ht="15.75" customHeight="1">
      <c r="B682" s="26"/>
      <c r="K682" s="5" t="str">
        <f>IF(J682="Yes",IFERROR(VLOOKUP(C682,'14_Master_Employees'!A:G,7,FALSE),""),"")</f>
        <v/>
      </c>
      <c r="L682" s="5" t="str">
        <f t="shared" si="1"/>
        <v/>
      </c>
    </row>
    <row r="683" ht="15.75" customHeight="1">
      <c r="B683" s="26"/>
      <c r="K683" s="5" t="str">
        <f>IF(J683="Yes",IFERROR(VLOOKUP(C683,'14_Master_Employees'!A:G,7,FALSE),""),"")</f>
        <v/>
      </c>
      <c r="L683" s="5" t="str">
        <f t="shared" si="1"/>
        <v/>
      </c>
    </row>
    <row r="684" ht="15.75" customHeight="1">
      <c r="B684" s="26"/>
      <c r="K684" s="5" t="str">
        <f>IF(J684="Yes",IFERROR(VLOOKUP(C684,'14_Master_Employees'!A:G,7,FALSE),""),"")</f>
        <v/>
      </c>
      <c r="L684" s="5" t="str">
        <f t="shared" si="1"/>
        <v/>
      </c>
    </row>
    <row r="685" ht="15.75" customHeight="1">
      <c r="B685" s="26"/>
      <c r="K685" s="5" t="str">
        <f>IF(J685="Yes",IFERROR(VLOOKUP(C685,'14_Master_Employees'!A:G,7,FALSE),""),"")</f>
        <v/>
      </c>
      <c r="L685" s="5" t="str">
        <f t="shared" si="1"/>
        <v/>
      </c>
    </row>
    <row r="686" ht="15.75" customHeight="1">
      <c r="B686" s="26"/>
      <c r="K686" s="5" t="str">
        <f>IF(J686="Yes",IFERROR(VLOOKUP(C686,'14_Master_Employees'!A:G,7,FALSE),""),"")</f>
        <v/>
      </c>
      <c r="L686" s="5" t="str">
        <f t="shared" si="1"/>
        <v/>
      </c>
    </row>
    <row r="687" ht="15.75" customHeight="1">
      <c r="B687" s="26"/>
      <c r="K687" s="5" t="str">
        <f>IF(J687="Yes",IFERROR(VLOOKUP(C687,'14_Master_Employees'!A:G,7,FALSE),""),"")</f>
        <v/>
      </c>
      <c r="L687" s="5" t="str">
        <f t="shared" si="1"/>
        <v/>
      </c>
    </row>
    <row r="688" ht="15.75" customHeight="1">
      <c r="B688" s="26"/>
      <c r="K688" s="5" t="str">
        <f>IF(J688="Yes",IFERROR(VLOOKUP(C688,'14_Master_Employees'!A:G,7,FALSE),""),"")</f>
        <v/>
      </c>
      <c r="L688" s="5" t="str">
        <f t="shared" si="1"/>
        <v/>
      </c>
    </row>
    <row r="689" ht="15.75" customHeight="1">
      <c r="B689" s="26"/>
      <c r="K689" s="5" t="str">
        <f>IF(J689="Yes",IFERROR(VLOOKUP(C689,'14_Master_Employees'!A:G,7,FALSE),""),"")</f>
        <v/>
      </c>
      <c r="L689" s="5" t="str">
        <f t="shared" si="1"/>
        <v/>
      </c>
    </row>
    <row r="690" ht="15.75" customHeight="1">
      <c r="B690" s="26"/>
      <c r="K690" s="5" t="str">
        <f>IF(J690="Yes",IFERROR(VLOOKUP(C690,'14_Master_Employees'!A:G,7,FALSE),""),"")</f>
        <v/>
      </c>
      <c r="L690" s="5" t="str">
        <f t="shared" si="1"/>
        <v/>
      </c>
    </row>
    <row r="691" ht="15.75" customHeight="1">
      <c r="B691" s="26"/>
      <c r="K691" s="5" t="str">
        <f>IF(J691="Yes",IFERROR(VLOOKUP(C691,'14_Master_Employees'!A:G,7,FALSE),""),"")</f>
        <v/>
      </c>
      <c r="L691" s="5" t="str">
        <f t="shared" si="1"/>
        <v/>
      </c>
    </row>
    <row r="692" ht="15.75" customHeight="1">
      <c r="B692" s="26"/>
      <c r="K692" s="5" t="str">
        <f>IF(J692="Yes",IFERROR(VLOOKUP(C692,'14_Master_Employees'!A:G,7,FALSE),""),"")</f>
        <v/>
      </c>
      <c r="L692" s="5" t="str">
        <f t="shared" si="1"/>
        <v/>
      </c>
    </row>
    <row r="693" ht="15.75" customHeight="1">
      <c r="B693" s="26"/>
      <c r="K693" s="5" t="str">
        <f>IF(J693="Yes",IFERROR(VLOOKUP(C693,'14_Master_Employees'!A:G,7,FALSE),""),"")</f>
        <v/>
      </c>
      <c r="L693" s="5" t="str">
        <f t="shared" si="1"/>
        <v/>
      </c>
    </row>
    <row r="694" ht="15.75" customHeight="1">
      <c r="B694" s="26"/>
      <c r="K694" s="5" t="str">
        <f>IF(J694="Yes",IFERROR(VLOOKUP(C694,'14_Master_Employees'!A:G,7,FALSE),""),"")</f>
        <v/>
      </c>
      <c r="L694" s="5" t="str">
        <f t="shared" si="1"/>
        <v/>
      </c>
    </row>
    <row r="695" ht="15.75" customHeight="1">
      <c r="B695" s="26"/>
      <c r="K695" s="5" t="str">
        <f>IF(J695="Yes",IFERROR(VLOOKUP(C695,'14_Master_Employees'!A:G,7,FALSE),""),"")</f>
        <v/>
      </c>
      <c r="L695" s="5" t="str">
        <f t="shared" si="1"/>
        <v/>
      </c>
    </row>
    <row r="696" ht="15.75" customHeight="1">
      <c r="B696" s="26"/>
      <c r="K696" s="5" t="str">
        <f>IF(J696="Yes",IFERROR(VLOOKUP(C696,'14_Master_Employees'!A:G,7,FALSE),""),"")</f>
        <v/>
      </c>
      <c r="L696" s="5" t="str">
        <f t="shared" si="1"/>
        <v/>
      </c>
    </row>
    <row r="697" ht="15.75" customHeight="1">
      <c r="B697" s="26"/>
      <c r="K697" s="5" t="str">
        <f>IF(J697="Yes",IFERROR(VLOOKUP(C697,'14_Master_Employees'!A:G,7,FALSE),""),"")</f>
        <v/>
      </c>
      <c r="L697" s="5" t="str">
        <f t="shared" si="1"/>
        <v/>
      </c>
    </row>
    <row r="698" ht="15.75" customHeight="1">
      <c r="B698" s="26"/>
      <c r="K698" s="5" t="str">
        <f>IF(J698="Yes",IFERROR(VLOOKUP(C698,'14_Master_Employees'!A:G,7,FALSE),""),"")</f>
        <v/>
      </c>
      <c r="L698" s="5" t="str">
        <f t="shared" si="1"/>
        <v/>
      </c>
    </row>
    <row r="699" ht="15.75" customHeight="1">
      <c r="B699" s="26"/>
      <c r="K699" s="5" t="str">
        <f>IF(J699="Yes",IFERROR(VLOOKUP(C699,'14_Master_Employees'!A:G,7,FALSE),""),"")</f>
        <v/>
      </c>
      <c r="L699" s="5" t="str">
        <f t="shared" si="1"/>
        <v/>
      </c>
    </row>
    <row r="700" ht="15.75" customHeight="1">
      <c r="B700" s="26"/>
      <c r="K700" s="5" t="str">
        <f>IF(J700="Yes",IFERROR(VLOOKUP(C700,'14_Master_Employees'!A:G,7,FALSE),""),"")</f>
        <v/>
      </c>
      <c r="L700" s="5" t="str">
        <f t="shared" si="1"/>
        <v/>
      </c>
    </row>
    <row r="701" ht="15.75" customHeight="1">
      <c r="B701" s="26"/>
      <c r="K701" s="5" t="str">
        <f>IF(J701="Yes",IFERROR(VLOOKUP(C701,'14_Master_Employees'!A:G,7,FALSE),""),"")</f>
        <v/>
      </c>
      <c r="L701" s="5" t="str">
        <f t="shared" si="1"/>
        <v/>
      </c>
    </row>
    <row r="702" ht="15.75" customHeight="1">
      <c r="B702" s="26"/>
      <c r="K702" s="5" t="str">
        <f>IF(J702="Yes",IFERROR(VLOOKUP(C702,'14_Master_Employees'!A:G,7,FALSE),""),"")</f>
        <v/>
      </c>
      <c r="L702" s="5" t="str">
        <f t="shared" si="1"/>
        <v/>
      </c>
    </row>
    <row r="703" ht="15.75" customHeight="1">
      <c r="B703" s="26"/>
      <c r="K703" s="5" t="str">
        <f>IF(J703="Yes",IFERROR(VLOOKUP(C703,'14_Master_Employees'!A:G,7,FALSE),""),"")</f>
        <v/>
      </c>
      <c r="L703" s="5" t="str">
        <f t="shared" si="1"/>
        <v/>
      </c>
    </row>
    <row r="704" ht="15.75" customHeight="1">
      <c r="B704" s="26"/>
      <c r="K704" s="5" t="str">
        <f>IF(J704="Yes",IFERROR(VLOOKUP(C704,'14_Master_Employees'!A:G,7,FALSE),""),"")</f>
        <v/>
      </c>
      <c r="L704" s="5" t="str">
        <f t="shared" si="1"/>
        <v/>
      </c>
    </row>
    <row r="705" ht="15.75" customHeight="1">
      <c r="B705" s="26"/>
      <c r="K705" s="5" t="str">
        <f>IF(J705="Yes",IFERROR(VLOOKUP(C705,'14_Master_Employees'!A:G,7,FALSE),""),"")</f>
        <v/>
      </c>
      <c r="L705" s="5" t="str">
        <f t="shared" si="1"/>
        <v/>
      </c>
    </row>
    <row r="706" ht="15.75" customHeight="1">
      <c r="B706" s="26"/>
      <c r="K706" s="5" t="str">
        <f>IF(J706="Yes",IFERROR(VLOOKUP(C706,'14_Master_Employees'!A:G,7,FALSE),""),"")</f>
        <v/>
      </c>
      <c r="L706" s="5" t="str">
        <f t="shared" si="1"/>
        <v/>
      </c>
    </row>
    <row r="707" ht="15.75" customHeight="1">
      <c r="B707" s="26"/>
      <c r="K707" s="5" t="str">
        <f>IF(J707="Yes",IFERROR(VLOOKUP(C707,'14_Master_Employees'!A:G,7,FALSE),""),"")</f>
        <v/>
      </c>
      <c r="L707" s="5" t="str">
        <f t="shared" si="1"/>
        <v/>
      </c>
    </row>
    <row r="708" ht="15.75" customHeight="1">
      <c r="B708" s="26"/>
      <c r="K708" s="5" t="str">
        <f>IF(J708="Yes",IFERROR(VLOOKUP(C708,'14_Master_Employees'!A:G,7,FALSE),""),"")</f>
        <v/>
      </c>
      <c r="L708" s="5" t="str">
        <f t="shared" si="1"/>
        <v/>
      </c>
    </row>
    <row r="709" ht="15.75" customHeight="1">
      <c r="B709" s="26"/>
      <c r="K709" s="5" t="str">
        <f>IF(J709="Yes",IFERROR(VLOOKUP(C709,'14_Master_Employees'!A:G,7,FALSE),""),"")</f>
        <v/>
      </c>
      <c r="L709" s="5" t="str">
        <f t="shared" si="1"/>
        <v/>
      </c>
    </row>
    <row r="710" ht="15.75" customHeight="1">
      <c r="B710" s="26"/>
      <c r="K710" s="5" t="str">
        <f>IF(J710="Yes",IFERROR(VLOOKUP(C710,'14_Master_Employees'!A:G,7,FALSE),""),"")</f>
        <v/>
      </c>
      <c r="L710" s="5" t="str">
        <f t="shared" si="1"/>
        <v/>
      </c>
    </row>
    <row r="711" ht="15.75" customHeight="1">
      <c r="B711" s="26"/>
      <c r="K711" s="5" t="str">
        <f>IF(J711="Yes",IFERROR(VLOOKUP(C711,'14_Master_Employees'!A:G,7,FALSE),""),"")</f>
        <v/>
      </c>
      <c r="L711" s="5" t="str">
        <f t="shared" si="1"/>
        <v/>
      </c>
    </row>
    <row r="712" ht="15.75" customHeight="1">
      <c r="B712" s="26"/>
      <c r="K712" s="5" t="str">
        <f>IF(J712="Yes",IFERROR(VLOOKUP(C712,'14_Master_Employees'!A:G,7,FALSE),""),"")</f>
        <v/>
      </c>
      <c r="L712" s="5" t="str">
        <f t="shared" si="1"/>
        <v/>
      </c>
    </row>
    <row r="713" ht="15.75" customHeight="1">
      <c r="B713" s="26"/>
      <c r="K713" s="5" t="str">
        <f>IF(J713="Yes",IFERROR(VLOOKUP(C713,'14_Master_Employees'!A:G,7,FALSE),""),"")</f>
        <v/>
      </c>
      <c r="L713" s="5" t="str">
        <f t="shared" si="1"/>
        <v/>
      </c>
    </row>
    <row r="714" ht="15.75" customHeight="1">
      <c r="B714" s="26"/>
      <c r="K714" s="5" t="str">
        <f>IF(J714="Yes",IFERROR(VLOOKUP(C714,'14_Master_Employees'!A:G,7,FALSE),""),"")</f>
        <v/>
      </c>
      <c r="L714" s="5" t="str">
        <f t="shared" si="1"/>
        <v/>
      </c>
    </row>
    <row r="715" ht="15.75" customHeight="1">
      <c r="B715" s="26"/>
      <c r="K715" s="5" t="str">
        <f>IF(J715="Yes",IFERROR(VLOOKUP(C715,'14_Master_Employees'!A:G,7,FALSE),""),"")</f>
        <v/>
      </c>
      <c r="L715" s="5" t="str">
        <f t="shared" si="1"/>
        <v/>
      </c>
    </row>
    <row r="716" ht="15.75" customHeight="1">
      <c r="B716" s="26"/>
      <c r="K716" s="5" t="str">
        <f>IF(J716="Yes",IFERROR(VLOOKUP(C716,'14_Master_Employees'!A:G,7,FALSE),""),"")</f>
        <v/>
      </c>
      <c r="L716" s="5" t="str">
        <f t="shared" si="1"/>
        <v/>
      </c>
    </row>
    <row r="717" ht="15.75" customHeight="1">
      <c r="B717" s="26"/>
      <c r="K717" s="5" t="str">
        <f>IF(J717="Yes",IFERROR(VLOOKUP(C717,'14_Master_Employees'!A:G,7,FALSE),""),"")</f>
        <v/>
      </c>
      <c r="L717" s="5" t="str">
        <f t="shared" si="1"/>
        <v/>
      </c>
    </row>
    <row r="718" ht="15.75" customHeight="1">
      <c r="B718" s="26"/>
      <c r="K718" s="5" t="str">
        <f>IF(J718="Yes",IFERROR(VLOOKUP(C718,'14_Master_Employees'!A:G,7,FALSE),""),"")</f>
        <v/>
      </c>
      <c r="L718" s="5" t="str">
        <f t="shared" si="1"/>
        <v/>
      </c>
    </row>
    <row r="719" ht="15.75" customHeight="1">
      <c r="B719" s="26"/>
      <c r="K719" s="5" t="str">
        <f>IF(J719="Yes",IFERROR(VLOOKUP(C719,'14_Master_Employees'!A:G,7,FALSE),""),"")</f>
        <v/>
      </c>
      <c r="L719" s="5" t="str">
        <f t="shared" si="1"/>
        <v/>
      </c>
    </row>
    <row r="720" ht="15.75" customHeight="1">
      <c r="B720" s="26"/>
      <c r="K720" s="5" t="str">
        <f>IF(J720="Yes",IFERROR(VLOOKUP(C720,'14_Master_Employees'!A:G,7,FALSE),""),"")</f>
        <v/>
      </c>
      <c r="L720" s="5" t="str">
        <f t="shared" si="1"/>
        <v/>
      </c>
    </row>
    <row r="721" ht="15.75" customHeight="1">
      <c r="B721" s="26"/>
      <c r="K721" s="5" t="str">
        <f>IF(J721="Yes",IFERROR(VLOOKUP(C721,'14_Master_Employees'!A:G,7,FALSE),""),"")</f>
        <v/>
      </c>
      <c r="L721" s="5" t="str">
        <f t="shared" si="1"/>
        <v/>
      </c>
    </row>
    <row r="722" ht="15.75" customHeight="1">
      <c r="B722" s="26"/>
      <c r="K722" s="5" t="str">
        <f>IF(J722="Yes",IFERROR(VLOOKUP(C722,'14_Master_Employees'!A:G,7,FALSE),""),"")</f>
        <v/>
      </c>
      <c r="L722" s="5" t="str">
        <f t="shared" si="1"/>
        <v/>
      </c>
    </row>
    <row r="723" ht="15.75" customHeight="1">
      <c r="B723" s="26"/>
      <c r="K723" s="5" t="str">
        <f>IF(J723="Yes",IFERROR(VLOOKUP(C723,'14_Master_Employees'!A:G,7,FALSE),""),"")</f>
        <v/>
      </c>
      <c r="L723" s="5" t="str">
        <f t="shared" si="1"/>
        <v/>
      </c>
    </row>
    <row r="724" ht="15.75" customHeight="1">
      <c r="B724" s="26"/>
      <c r="K724" s="5" t="str">
        <f>IF(J724="Yes",IFERROR(VLOOKUP(C724,'14_Master_Employees'!A:G,7,FALSE),""),"")</f>
        <v/>
      </c>
      <c r="L724" s="5" t="str">
        <f t="shared" si="1"/>
        <v/>
      </c>
    </row>
    <row r="725" ht="15.75" customHeight="1">
      <c r="B725" s="26"/>
      <c r="K725" s="5" t="str">
        <f>IF(J725="Yes",IFERROR(VLOOKUP(C725,'14_Master_Employees'!A:G,7,FALSE),""),"")</f>
        <v/>
      </c>
      <c r="L725" s="5" t="str">
        <f t="shared" si="1"/>
        <v/>
      </c>
    </row>
    <row r="726" ht="15.75" customHeight="1">
      <c r="B726" s="26"/>
      <c r="K726" s="5" t="str">
        <f>IF(J726="Yes",IFERROR(VLOOKUP(C726,'14_Master_Employees'!A:G,7,FALSE),""),"")</f>
        <v/>
      </c>
      <c r="L726" s="5" t="str">
        <f t="shared" si="1"/>
        <v/>
      </c>
    </row>
    <row r="727" ht="15.75" customHeight="1">
      <c r="B727" s="26"/>
      <c r="K727" s="5" t="str">
        <f>IF(J727="Yes",IFERROR(VLOOKUP(C727,'14_Master_Employees'!A:G,7,FALSE),""),"")</f>
        <v/>
      </c>
      <c r="L727" s="5" t="str">
        <f t="shared" si="1"/>
        <v/>
      </c>
    </row>
    <row r="728" ht="15.75" customHeight="1">
      <c r="B728" s="26"/>
      <c r="K728" s="5" t="str">
        <f>IF(J728="Yes",IFERROR(VLOOKUP(C728,'14_Master_Employees'!A:G,7,FALSE),""),"")</f>
        <v/>
      </c>
      <c r="L728" s="5" t="str">
        <f t="shared" si="1"/>
        <v/>
      </c>
    </row>
    <row r="729" ht="15.75" customHeight="1">
      <c r="B729" s="26"/>
      <c r="K729" s="5" t="str">
        <f>IF(J729="Yes",IFERROR(VLOOKUP(C729,'14_Master_Employees'!A:G,7,FALSE),""),"")</f>
        <v/>
      </c>
      <c r="L729" s="5" t="str">
        <f t="shared" si="1"/>
        <v/>
      </c>
    </row>
    <row r="730" ht="15.75" customHeight="1">
      <c r="B730" s="26"/>
      <c r="K730" s="5" t="str">
        <f>IF(J730="Yes",IFERROR(VLOOKUP(C730,'14_Master_Employees'!A:G,7,FALSE),""),"")</f>
        <v/>
      </c>
      <c r="L730" s="5" t="str">
        <f t="shared" si="1"/>
        <v/>
      </c>
    </row>
    <row r="731" ht="15.75" customHeight="1">
      <c r="B731" s="26"/>
      <c r="K731" s="5" t="str">
        <f>IF(J731="Yes",IFERROR(VLOOKUP(C731,'14_Master_Employees'!A:G,7,FALSE),""),"")</f>
        <v/>
      </c>
      <c r="L731" s="5" t="str">
        <f t="shared" si="1"/>
        <v/>
      </c>
    </row>
    <row r="732" ht="15.75" customHeight="1">
      <c r="B732" s="26"/>
      <c r="K732" s="5" t="str">
        <f>IF(J732="Yes",IFERROR(VLOOKUP(C732,'14_Master_Employees'!A:G,7,FALSE),""),"")</f>
        <v/>
      </c>
      <c r="L732" s="5" t="str">
        <f t="shared" si="1"/>
        <v/>
      </c>
    </row>
    <row r="733" ht="15.75" customHeight="1">
      <c r="B733" s="26"/>
      <c r="K733" s="5" t="str">
        <f>IF(J733="Yes",IFERROR(VLOOKUP(C733,'14_Master_Employees'!A:G,7,FALSE),""),"")</f>
        <v/>
      </c>
      <c r="L733" s="5" t="str">
        <f t="shared" si="1"/>
        <v/>
      </c>
    </row>
    <row r="734" ht="15.75" customHeight="1">
      <c r="B734" s="26"/>
      <c r="K734" s="5" t="str">
        <f>IF(J734="Yes",IFERROR(VLOOKUP(C734,'14_Master_Employees'!A:G,7,FALSE),""),"")</f>
        <v/>
      </c>
      <c r="L734" s="5" t="str">
        <f t="shared" si="1"/>
        <v/>
      </c>
    </row>
    <row r="735" ht="15.75" customHeight="1">
      <c r="B735" s="26"/>
      <c r="K735" s="5" t="str">
        <f>IF(J735="Yes",IFERROR(VLOOKUP(C735,'14_Master_Employees'!A:G,7,FALSE),""),"")</f>
        <v/>
      </c>
      <c r="L735" s="5" t="str">
        <f t="shared" si="1"/>
        <v/>
      </c>
    </row>
    <row r="736" ht="15.75" customHeight="1">
      <c r="B736" s="26"/>
      <c r="K736" s="5" t="str">
        <f>IF(J736="Yes",IFERROR(VLOOKUP(C736,'14_Master_Employees'!A:G,7,FALSE),""),"")</f>
        <v/>
      </c>
      <c r="L736" s="5" t="str">
        <f t="shared" si="1"/>
        <v/>
      </c>
    </row>
    <row r="737" ht="15.75" customHeight="1">
      <c r="B737" s="26"/>
      <c r="K737" s="5" t="str">
        <f>IF(J737="Yes",IFERROR(VLOOKUP(C737,'14_Master_Employees'!A:G,7,FALSE),""),"")</f>
        <v/>
      </c>
      <c r="L737" s="5" t="str">
        <f t="shared" si="1"/>
        <v/>
      </c>
    </row>
    <row r="738" ht="15.75" customHeight="1">
      <c r="B738" s="26"/>
      <c r="K738" s="5" t="str">
        <f>IF(J738="Yes",IFERROR(VLOOKUP(C738,'14_Master_Employees'!A:G,7,FALSE),""),"")</f>
        <v/>
      </c>
      <c r="L738" s="5" t="str">
        <f t="shared" si="1"/>
        <v/>
      </c>
    </row>
    <row r="739" ht="15.75" customHeight="1">
      <c r="B739" s="26"/>
      <c r="K739" s="5" t="str">
        <f>IF(J739="Yes",IFERROR(VLOOKUP(C739,'14_Master_Employees'!A:G,7,FALSE),""),"")</f>
        <v/>
      </c>
      <c r="L739" s="5" t="str">
        <f t="shared" si="1"/>
        <v/>
      </c>
    </row>
    <row r="740" ht="15.75" customHeight="1">
      <c r="B740" s="26"/>
      <c r="K740" s="5" t="str">
        <f>IF(J740="Yes",IFERROR(VLOOKUP(C740,'14_Master_Employees'!A:G,7,FALSE),""),"")</f>
        <v/>
      </c>
      <c r="L740" s="5" t="str">
        <f t="shared" si="1"/>
        <v/>
      </c>
    </row>
    <row r="741" ht="15.75" customHeight="1">
      <c r="B741" s="26"/>
      <c r="K741" s="5" t="str">
        <f>IF(J741="Yes",IFERROR(VLOOKUP(C741,'14_Master_Employees'!A:G,7,FALSE),""),"")</f>
        <v/>
      </c>
      <c r="L741" s="5" t="str">
        <f t="shared" si="1"/>
        <v/>
      </c>
    </row>
    <row r="742" ht="15.75" customHeight="1">
      <c r="B742" s="26"/>
      <c r="K742" s="5" t="str">
        <f>IF(J742="Yes",IFERROR(VLOOKUP(C742,'14_Master_Employees'!A:G,7,FALSE),""),"")</f>
        <v/>
      </c>
      <c r="L742" s="5" t="str">
        <f t="shared" si="1"/>
        <v/>
      </c>
    </row>
    <row r="743" ht="15.75" customHeight="1">
      <c r="B743" s="26"/>
      <c r="K743" s="5" t="str">
        <f>IF(J743="Yes",IFERROR(VLOOKUP(C743,'14_Master_Employees'!A:G,7,FALSE),""),"")</f>
        <v/>
      </c>
      <c r="L743" s="5" t="str">
        <f t="shared" si="1"/>
        <v/>
      </c>
    </row>
    <row r="744" ht="15.75" customHeight="1">
      <c r="B744" s="26"/>
      <c r="K744" s="5" t="str">
        <f>IF(J744="Yes",IFERROR(VLOOKUP(C744,'14_Master_Employees'!A:G,7,FALSE),""),"")</f>
        <v/>
      </c>
      <c r="L744" s="5" t="str">
        <f t="shared" si="1"/>
        <v/>
      </c>
    </row>
    <row r="745" ht="15.75" customHeight="1">
      <c r="B745" s="26"/>
      <c r="K745" s="5" t="str">
        <f>IF(J745="Yes",IFERROR(VLOOKUP(C745,'14_Master_Employees'!A:G,7,FALSE),""),"")</f>
        <v/>
      </c>
      <c r="L745" s="5" t="str">
        <f t="shared" si="1"/>
        <v/>
      </c>
    </row>
    <row r="746" ht="15.75" customHeight="1">
      <c r="B746" s="26"/>
      <c r="K746" s="5" t="str">
        <f>IF(J746="Yes",IFERROR(VLOOKUP(C746,'14_Master_Employees'!A:G,7,FALSE),""),"")</f>
        <v/>
      </c>
      <c r="L746" s="5" t="str">
        <f t="shared" si="1"/>
        <v/>
      </c>
    </row>
    <row r="747" ht="15.75" customHeight="1">
      <c r="B747" s="26"/>
      <c r="K747" s="5" t="str">
        <f>IF(J747="Yes",IFERROR(VLOOKUP(C747,'14_Master_Employees'!A:G,7,FALSE),""),"")</f>
        <v/>
      </c>
      <c r="L747" s="5" t="str">
        <f t="shared" si="1"/>
        <v/>
      </c>
    </row>
    <row r="748" ht="15.75" customHeight="1">
      <c r="B748" s="26"/>
      <c r="K748" s="5" t="str">
        <f>IF(J748="Yes",IFERROR(VLOOKUP(C748,'14_Master_Employees'!A:G,7,FALSE),""),"")</f>
        <v/>
      </c>
      <c r="L748" s="5" t="str">
        <f t="shared" si="1"/>
        <v/>
      </c>
    </row>
    <row r="749" ht="15.75" customHeight="1">
      <c r="B749" s="26"/>
      <c r="K749" s="5" t="str">
        <f>IF(J749="Yes",IFERROR(VLOOKUP(C749,'14_Master_Employees'!A:G,7,FALSE),""),"")</f>
        <v/>
      </c>
      <c r="L749" s="5" t="str">
        <f t="shared" si="1"/>
        <v/>
      </c>
    </row>
    <row r="750" ht="15.75" customHeight="1">
      <c r="B750" s="26"/>
      <c r="K750" s="5" t="str">
        <f>IF(J750="Yes",IFERROR(VLOOKUP(C750,'14_Master_Employees'!A:G,7,FALSE),""),"")</f>
        <v/>
      </c>
      <c r="L750" s="5" t="str">
        <f t="shared" si="1"/>
        <v/>
      </c>
    </row>
    <row r="751" ht="15.75" customHeight="1">
      <c r="B751" s="26"/>
      <c r="K751" s="5" t="str">
        <f>IF(J751="Yes",IFERROR(VLOOKUP(C751,'14_Master_Employees'!A:G,7,FALSE),""),"")</f>
        <v/>
      </c>
      <c r="L751" s="5" t="str">
        <f t="shared" si="1"/>
        <v/>
      </c>
    </row>
    <row r="752" ht="15.75" customHeight="1">
      <c r="B752" s="26"/>
      <c r="K752" s="5" t="str">
        <f>IF(J752="Yes",IFERROR(VLOOKUP(C752,'14_Master_Employees'!A:G,7,FALSE),""),"")</f>
        <v/>
      </c>
      <c r="L752" s="5" t="str">
        <f t="shared" si="1"/>
        <v/>
      </c>
    </row>
    <row r="753" ht="15.75" customHeight="1">
      <c r="B753" s="26"/>
      <c r="K753" s="5" t="str">
        <f>IF(J753="Yes",IFERROR(VLOOKUP(C753,'14_Master_Employees'!A:G,7,FALSE),""),"")</f>
        <v/>
      </c>
      <c r="L753" s="5" t="str">
        <f t="shared" si="1"/>
        <v/>
      </c>
    </row>
    <row r="754" ht="15.75" customHeight="1">
      <c r="B754" s="26"/>
      <c r="K754" s="5" t="str">
        <f>IF(J754="Yes",IFERROR(VLOOKUP(C754,'14_Master_Employees'!A:G,7,FALSE),""),"")</f>
        <v/>
      </c>
      <c r="L754" s="5" t="str">
        <f t="shared" si="1"/>
        <v/>
      </c>
    </row>
    <row r="755" ht="15.75" customHeight="1">
      <c r="B755" s="26"/>
      <c r="K755" s="5" t="str">
        <f>IF(J755="Yes",IFERROR(VLOOKUP(C755,'14_Master_Employees'!A:G,7,FALSE),""),"")</f>
        <v/>
      </c>
      <c r="L755" s="5" t="str">
        <f t="shared" si="1"/>
        <v/>
      </c>
    </row>
    <row r="756" ht="15.75" customHeight="1">
      <c r="B756" s="26"/>
      <c r="K756" s="5" t="str">
        <f>IF(J756="Yes",IFERROR(VLOOKUP(C756,'14_Master_Employees'!A:G,7,FALSE),""),"")</f>
        <v/>
      </c>
      <c r="L756" s="5" t="str">
        <f t="shared" si="1"/>
        <v/>
      </c>
    </row>
    <row r="757" ht="15.75" customHeight="1">
      <c r="B757" s="26"/>
      <c r="K757" s="5" t="str">
        <f>IF(J757="Yes",IFERROR(VLOOKUP(C757,'14_Master_Employees'!A:G,7,FALSE),""),"")</f>
        <v/>
      </c>
      <c r="L757" s="5" t="str">
        <f t="shared" si="1"/>
        <v/>
      </c>
    </row>
    <row r="758" ht="15.75" customHeight="1">
      <c r="B758" s="26"/>
      <c r="K758" s="5" t="str">
        <f>IF(J758="Yes",IFERROR(VLOOKUP(C758,'14_Master_Employees'!A:G,7,FALSE),""),"")</f>
        <v/>
      </c>
      <c r="L758" s="5" t="str">
        <f t="shared" si="1"/>
        <v/>
      </c>
    </row>
    <row r="759" ht="15.75" customHeight="1">
      <c r="B759" s="26"/>
      <c r="K759" s="5" t="str">
        <f>IF(J759="Yes",IFERROR(VLOOKUP(C759,'14_Master_Employees'!A:G,7,FALSE),""),"")</f>
        <v/>
      </c>
      <c r="L759" s="5" t="str">
        <f t="shared" si="1"/>
        <v/>
      </c>
    </row>
    <row r="760" ht="15.75" customHeight="1">
      <c r="B760" s="26"/>
      <c r="K760" s="5" t="str">
        <f>IF(J760="Yes",IFERROR(VLOOKUP(C760,'14_Master_Employees'!A:G,7,FALSE),""),"")</f>
        <v/>
      </c>
      <c r="L760" s="5" t="str">
        <f t="shared" si="1"/>
        <v/>
      </c>
    </row>
    <row r="761" ht="15.75" customHeight="1">
      <c r="B761" s="26"/>
      <c r="K761" s="5" t="str">
        <f>IF(J761="Yes",IFERROR(VLOOKUP(C761,'14_Master_Employees'!A:G,7,FALSE),""),"")</f>
        <v/>
      </c>
      <c r="L761" s="5" t="str">
        <f t="shared" si="1"/>
        <v/>
      </c>
    </row>
    <row r="762" ht="15.75" customHeight="1">
      <c r="B762" s="26"/>
      <c r="K762" s="5" t="str">
        <f>IF(J762="Yes",IFERROR(VLOOKUP(C762,'14_Master_Employees'!A:G,7,FALSE),""),"")</f>
        <v/>
      </c>
      <c r="L762" s="5" t="str">
        <f t="shared" si="1"/>
        <v/>
      </c>
    </row>
    <row r="763" ht="15.75" customHeight="1">
      <c r="B763" s="26"/>
      <c r="K763" s="5" t="str">
        <f>IF(J763="Yes",IFERROR(VLOOKUP(C763,'14_Master_Employees'!A:G,7,FALSE),""),"")</f>
        <v/>
      </c>
      <c r="L763" s="5" t="str">
        <f t="shared" si="1"/>
        <v/>
      </c>
    </row>
    <row r="764" ht="15.75" customHeight="1">
      <c r="B764" s="26"/>
      <c r="K764" s="5" t="str">
        <f>IF(J764="Yes",IFERROR(VLOOKUP(C764,'14_Master_Employees'!A:G,7,FALSE),""),"")</f>
        <v/>
      </c>
      <c r="L764" s="5" t="str">
        <f t="shared" si="1"/>
        <v/>
      </c>
    </row>
    <row r="765" ht="15.75" customHeight="1">
      <c r="B765" s="26"/>
      <c r="K765" s="5" t="str">
        <f>IF(J765="Yes",IFERROR(VLOOKUP(C765,'14_Master_Employees'!A:G,7,FALSE),""),"")</f>
        <v/>
      </c>
      <c r="L765" s="5" t="str">
        <f t="shared" si="1"/>
        <v/>
      </c>
    </row>
    <row r="766" ht="15.75" customHeight="1">
      <c r="B766" s="26"/>
      <c r="K766" s="5" t="str">
        <f>IF(J766="Yes",IFERROR(VLOOKUP(C766,'14_Master_Employees'!A:G,7,FALSE),""),"")</f>
        <v/>
      </c>
      <c r="L766" s="5" t="str">
        <f t="shared" si="1"/>
        <v/>
      </c>
    </row>
    <row r="767" ht="15.75" customHeight="1">
      <c r="B767" s="26"/>
      <c r="K767" s="5" t="str">
        <f>IF(J767="Yes",IFERROR(VLOOKUP(C767,'14_Master_Employees'!A:G,7,FALSE),""),"")</f>
        <v/>
      </c>
      <c r="L767" s="5" t="str">
        <f t="shared" si="1"/>
        <v/>
      </c>
    </row>
    <row r="768" ht="15.75" customHeight="1">
      <c r="B768" s="26"/>
      <c r="K768" s="5" t="str">
        <f>IF(J768="Yes",IFERROR(VLOOKUP(C768,'14_Master_Employees'!A:G,7,FALSE),""),"")</f>
        <v/>
      </c>
      <c r="L768" s="5" t="str">
        <f t="shared" si="1"/>
        <v/>
      </c>
    </row>
    <row r="769" ht="15.75" customHeight="1">
      <c r="B769" s="26"/>
      <c r="K769" s="5" t="str">
        <f>IF(J769="Yes",IFERROR(VLOOKUP(C769,'14_Master_Employees'!A:G,7,FALSE),""),"")</f>
        <v/>
      </c>
      <c r="L769" s="5" t="str">
        <f t="shared" si="1"/>
        <v/>
      </c>
    </row>
    <row r="770" ht="15.75" customHeight="1">
      <c r="B770" s="26"/>
      <c r="K770" s="5" t="str">
        <f>IF(J770="Yes",IFERROR(VLOOKUP(C770,'14_Master_Employees'!A:G,7,FALSE),""),"")</f>
        <v/>
      </c>
      <c r="L770" s="5" t="str">
        <f t="shared" si="1"/>
        <v/>
      </c>
    </row>
    <row r="771" ht="15.75" customHeight="1">
      <c r="B771" s="26"/>
      <c r="K771" s="5" t="str">
        <f>IF(J771="Yes",IFERROR(VLOOKUP(C771,'14_Master_Employees'!A:G,7,FALSE),""),"")</f>
        <v/>
      </c>
      <c r="L771" s="5" t="str">
        <f t="shared" si="1"/>
        <v/>
      </c>
    </row>
    <row r="772" ht="15.75" customHeight="1">
      <c r="B772" s="26"/>
      <c r="K772" s="5" t="str">
        <f>IF(J772="Yes",IFERROR(VLOOKUP(C772,'14_Master_Employees'!A:G,7,FALSE),""),"")</f>
        <v/>
      </c>
      <c r="L772" s="5" t="str">
        <f t="shared" si="1"/>
        <v/>
      </c>
    </row>
    <row r="773" ht="15.75" customHeight="1">
      <c r="B773" s="26"/>
      <c r="K773" s="5" t="str">
        <f>IF(J773="Yes",IFERROR(VLOOKUP(C773,'14_Master_Employees'!A:G,7,FALSE),""),"")</f>
        <v/>
      </c>
      <c r="L773" s="5" t="str">
        <f t="shared" si="1"/>
        <v/>
      </c>
    </row>
    <row r="774" ht="15.75" customHeight="1">
      <c r="B774" s="26"/>
      <c r="K774" s="5" t="str">
        <f>IF(J774="Yes",IFERROR(VLOOKUP(C774,'14_Master_Employees'!A:G,7,FALSE),""),"")</f>
        <v/>
      </c>
      <c r="L774" s="5" t="str">
        <f t="shared" si="1"/>
        <v/>
      </c>
    </row>
    <row r="775" ht="15.75" customHeight="1">
      <c r="B775" s="26"/>
      <c r="K775" s="5" t="str">
        <f>IF(J775="Yes",IFERROR(VLOOKUP(C775,'14_Master_Employees'!A:G,7,FALSE),""),"")</f>
        <v/>
      </c>
      <c r="L775" s="5" t="str">
        <f t="shared" si="1"/>
        <v/>
      </c>
    </row>
    <row r="776" ht="15.75" customHeight="1">
      <c r="B776" s="26"/>
      <c r="K776" s="5" t="str">
        <f>IF(J776="Yes",IFERROR(VLOOKUP(C776,'14_Master_Employees'!A:G,7,FALSE),""),"")</f>
        <v/>
      </c>
      <c r="L776" s="5" t="str">
        <f t="shared" si="1"/>
        <v/>
      </c>
    </row>
    <row r="777" ht="15.75" customHeight="1">
      <c r="B777" s="26"/>
      <c r="K777" s="5" t="str">
        <f>IF(J777="Yes",IFERROR(VLOOKUP(C777,'14_Master_Employees'!A:G,7,FALSE),""),"")</f>
        <v/>
      </c>
      <c r="L777" s="5" t="str">
        <f t="shared" si="1"/>
        <v/>
      </c>
    </row>
    <row r="778" ht="15.75" customHeight="1">
      <c r="B778" s="26"/>
      <c r="K778" s="5" t="str">
        <f>IF(J778="Yes",IFERROR(VLOOKUP(C778,'14_Master_Employees'!A:G,7,FALSE),""),"")</f>
        <v/>
      </c>
      <c r="L778" s="5" t="str">
        <f t="shared" si="1"/>
        <v/>
      </c>
    </row>
    <row r="779" ht="15.75" customHeight="1">
      <c r="B779" s="26"/>
      <c r="K779" s="5" t="str">
        <f>IF(J779="Yes",IFERROR(VLOOKUP(C779,'14_Master_Employees'!A:G,7,FALSE),""),"")</f>
        <v/>
      </c>
      <c r="L779" s="5" t="str">
        <f t="shared" si="1"/>
        <v/>
      </c>
    </row>
    <row r="780" ht="15.75" customHeight="1">
      <c r="B780" s="26"/>
      <c r="K780" s="5" t="str">
        <f>IF(J780="Yes",IFERROR(VLOOKUP(C780,'14_Master_Employees'!A:G,7,FALSE),""),"")</f>
        <v/>
      </c>
      <c r="L780" s="5" t="str">
        <f t="shared" si="1"/>
        <v/>
      </c>
    </row>
    <row r="781" ht="15.75" customHeight="1">
      <c r="B781" s="26"/>
      <c r="K781" s="5" t="str">
        <f>IF(J781="Yes",IFERROR(VLOOKUP(C781,'14_Master_Employees'!A:G,7,FALSE),""),"")</f>
        <v/>
      </c>
      <c r="L781" s="5" t="str">
        <f t="shared" si="1"/>
        <v/>
      </c>
    </row>
    <row r="782" ht="15.75" customHeight="1">
      <c r="B782" s="26"/>
      <c r="K782" s="5" t="str">
        <f>IF(J782="Yes",IFERROR(VLOOKUP(C782,'14_Master_Employees'!A:G,7,FALSE),""),"")</f>
        <v/>
      </c>
      <c r="L782" s="5" t="str">
        <f t="shared" si="1"/>
        <v/>
      </c>
    </row>
    <row r="783" ht="15.75" customHeight="1">
      <c r="B783" s="26"/>
      <c r="K783" s="5" t="str">
        <f>IF(J783="Yes",IFERROR(VLOOKUP(C783,'14_Master_Employees'!A:G,7,FALSE),""),"")</f>
        <v/>
      </c>
      <c r="L783" s="5" t="str">
        <f t="shared" si="1"/>
        <v/>
      </c>
    </row>
    <row r="784" ht="15.75" customHeight="1">
      <c r="B784" s="26"/>
      <c r="K784" s="5" t="str">
        <f>IF(J784="Yes",IFERROR(VLOOKUP(C784,'14_Master_Employees'!A:G,7,FALSE),""),"")</f>
        <v/>
      </c>
      <c r="L784" s="5" t="str">
        <f t="shared" si="1"/>
        <v/>
      </c>
    </row>
    <row r="785" ht="15.75" customHeight="1">
      <c r="B785" s="26"/>
      <c r="K785" s="5" t="str">
        <f>IF(J785="Yes",IFERROR(VLOOKUP(C785,'14_Master_Employees'!A:G,7,FALSE),""),"")</f>
        <v/>
      </c>
      <c r="L785" s="5" t="str">
        <f t="shared" si="1"/>
        <v/>
      </c>
    </row>
    <row r="786" ht="15.75" customHeight="1">
      <c r="B786" s="26"/>
      <c r="K786" s="5" t="str">
        <f>IF(J786="Yes",IFERROR(VLOOKUP(C786,'14_Master_Employees'!A:G,7,FALSE),""),"")</f>
        <v/>
      </c>
      <c r="L786" s="5" t="str">
        <f t="shared" si="1"/>
        <v/>
      </c>
    </row>
    <row r="787" ht="15.75" customHeight="1">
      <c r="B787" s="26"/>
      <c r="K787" s="5" t="str">
        <f>IF(J787="Yes",IFERROR(VLOOKUP(C787,'14_Master_Employees'!A:G,7,FALSE),""),"")</f>
        <v/>
      </c>
      <c r="L787" s="5" t="str">
        <f t="shared" si="1"/>
        <v/>
      </c>
    </row>
    <row r="788" ht="15.75" customHeight="1">
      <c r="B788" s="26"/>
      <c r="K788" s="5" t="str">
        <f>IF(J788="Yes",IFERROR(VLOOKUP(C788,'14_Master_Employees'!A:G,7,FALSE),""),"")</f>
        <v/>
      </c>
      <c r="L788" s="5" t="str">
        <f t="shared" si="1"/>
        <v/>
      </c>
    </row>
    <row r="789" ht="15.75" customHeight="1">
      <c r="B789" s="26"/>
      <c r="K789" s="5" t="str">
        <f>IF(J789="Yes",IFERROR(VLOOKUP(C789,'14_Master_Employees'!A:G,7,FALSE),""),"")</f>
        <v/>
      </c>
      <c r="L789" s="5" t="str">
        <f t="shared" si="1"/>
        <v/>
      </c>
    </row>
    <row r="790" ht="15.75" customHeight="1">
      <c r="B790" s="26"/>
      <c r="K790" s="5" t="str">
        <f>IF(J790="Yes",IFERROR(VLOOKUP(C790,'14_Master_Employees'!A:G,7,FALSE),""),"")</f>
        <v/>
      </c>
      <c r="L790" s="5" t="str">
        <f t="shared" si="1"/>
        <v/>
      </c>
    </row>
    <row r="791" ht="15.75" customHeight="1">
      <c r="B791" s="26"/>
      <c r="K791" s="5" t="str">
        <f>IF(J791="Yes",IFERROR(VLOOKUP(C791,'14_Master_Employees'!A:G,7,FALSE),""),"")</f>
        <v/>
      </c>
      <c r="L791" s="5" t="str">
        <f t="shared" si="1"/>
        <v/>
      </c>
    </row>
    <row r="792" ht="15.75" customHeight="1">
      <c r="B792" s="26"/>
      <c r="K792" s="5" t="str">
        <f>IF(J792="Yes",IFERROR(VLOOKUP(C792,'14_Master_Employees'!A:G,7,FALSE),""),"")</f>
        <v/>
      </c>
      <c r="L792" s="5" t="str">
        <f t="shared" si="1"/>
        <v/>
      </c>
    </row>
    <row r="793" ht="15.75" customHeight="1">
      <c r="B793" s="26"/>
      <c r="K793" s="5" t="str">
        <f>IF(J793="Yes",IFERROR(VLOOKUP(C793,'14_Master_Employees'!A:G,7,FALSE),""),"")</f>
        <v/>
      </c>
      <c r="L793" s="5" t="str">
        <f t="shared" si="1"/>
        <v/>
      </c>
    </row>
    <row r="794" ht="15.75" customHeight="1">
      <c r="B794" s="26"/>
      <c r="K794" s="5" t="str">
        <f>IF(J794="Yes",IFERROR(VLOOKUP(C794,'14_Master_Employees'!A:G,7,FALSE),""),"")</f>
        <v/>
      </c>
      <c r="L794" s="5" t="str">
        <f t="shared" si="1"/>
        <v/>
      </c>
    </row>
    <row r="795" ht="15.75" customHeight="1">
      <c r="B795" s="26"/>
      <c r="K795" s="5" t="str">
        <f>IF(J795="Yes",IFERROR(VLOOKUP(C795,'14_Master_Employees'!A:G,7,FALSE),""),"")</f>
        <v/>
      </c>
      <c r="L795" s="5" t="str">
        <f t="shared" si="1"/>
        <v/>
      </c>
    </row>
    <row r="796" ht="15.75" customHeight="1">
      <c r="B796" s="26"/>
      <c r="K796" s="5" t="str">
        <f>IF(J796="Yes",IFERROR(VLOOKUP(C796,'14_Master_Employees'!A:G,7,FALSE),""),"")</f>
        <v/>
      </c>
      <c r="L796" s="5" t="str">
        <f t="shared" si="1"/>
        <v/>
      </c>
    </row>
    <row r="797" ht="15.75" customHeight="1">
      <c r="B797" s="26"/>
      <c r="K797" s="5" t="str">
        <f>IF(J797="Yes",IFERROR(VLOOKUP(C797,'14_Master_Employees'!A:G,7,FALSE),""),"")</f>
        <v/>
      </c>
      <c r="L797" s="5" t="str">
        <f t="shared" si="1"/>
        <v/>
      </c>
    </row>
    <row r="798" ht="15.75" customHeight="1">
      <c r="B798" s="26"/>
      <c r="K798" s="5" t="str">
        <f>IF(J798="Yes",IFERROR(VLOOKUP(C798,'14_Master_Employees'!A:G,7,FALSE),""),"")</f>
        <v/>
      </c>
      <c r="L798" s="5" t="str">
        <f t="shared" si="1"/>
        <v/>
      </c>
    </row>
    <row r="799" ht="15.75" customHeight="1">
      <c r="B799" s="26"/>
      <c r="K799" s="5" t="str">
        <f>IF(J799="Yes",IFERROR(VLOOKUP(C799,'14_Master_Employees'!A:G,7,FALSE),""),"")</f>
        <v/>
      </c>
      <c r="L799" s="5" t="str">
        <f t="shared" si="1"/>
        <v/>
      </c>
    </row>
    <row r="800" ht="15.75" customHeight="1">
      <c r="B800" s="26"/>
      <c r="K800" s="5" t="str">
        <f>IF(J800="Yes",IFERROR(VLOOKUP(C800,'14_Master_Employees'!A:G,7,FALSE),""),"")</f>
        <v/>
      </c>
      <c r="L800" s="5" t="str">
        <f t="shared" si="1"/>
        <v/>
      </c>
    </row>
    <row r="801" ht="15.75" customHeight="1">
      <c r="B801" s="26"/>
      <c r="K801" s="5" t="str">
        <f>IF(J801="Yes",IFERROR(VLOOKUP(C801,'14_Master_Employees'!A:G,7,FALSE),""),"")</f>
        <v/>
      </c>
      <c r="L801" s="5" t="str">
        <f t="shared" si="1"/>
        <v/>
      </c>
    </row>
    <row r="802" ht="15.75" customHeight="1">
      <c r="B802" s="26"/>
      <c r="K802" s="5" t="str">
        <f>IF(J802="Yes",IFERROR(VLOOKUP(C802,'14_Master_Employees'!A:G,7,FALSE),""),"")</f>
        <v/>
      </c>
      <c r="L802" s="5" t="str">
        <f t="shared" si="1"/>
        <v/>
      </c>
    </row>
    <row r="803" ht="15.75" customHeight="1">
      <c r="B803" s="26"/>
      <c r="K803" s="5" t="str">
        <f>IF(J803="Yes",IFERROR(VLOOKUP(C803,'14_Master_Employees'!A:G,7,FALSE),""),"")</f>
        <v/>
      </c>
      <c r="L803" s="5" t="str">
        <f t="shared" si="1"/>
        <v/>
      </c>
    </row>
    <row r="804" ht="15.75" customHeight="1">
      <c r="B804" s="26"/>
      <c r="K804" s="5" t="str">
        <f>IF(J804="Yes",IFERROR(VLOOKUP(C804,'14_Master_Employees'!A:G,7,FALSE),""),"")</f>
        <v/>
      </c>
      <c r="L804" s="5" t="str">
        <f t="shared" si="1"/>
        <v/>
      </c>
    </row>
    <row r="805" ht="15.75" customHeight="1">
      <c r="B805" s="26"/>
      <c r="K805" s="5" t="str">
        <f>IF(J805="Yes",IFERROR(VLOOKUP(C805,'14_Master_Employees'!A:G,7,FALSE),""),"")</f>
        <v/>
      </c>
      <c r="L805" s="5" t="str">
        <f t="shared" si="1"/>
        <v/>
      </c>
    </row>
    <row r="806" ht="15.75" customHeight="1">
      <c r="B806" s="26"/>
      <c r="K806" s="5" t="str">
        <f>IF(J806="Yes",IFERROR(VLOOKUP(C806,'14_Master_Employees'!A:G,7,FALSE),""),"")</f>
        <v/>
      </c>
      <c r="L806" s="5" t="str">
        <f t="shared" si="1"/>
        <v/>
      </c>
    </row>
    <row r="807" ht="15.75" customHeight="1">
      <c r="B807" s="26"/>
      <c r="K807" s="5" t="str">
        <f>IF(J807="Yes",IFERROR(VLOOKUP(C807,'14_Master_Employees'!A:G,7,FALSE),""),"")</f>
        <v/>
      </c>
      <c r="L807" s="5" t="str">
        <f t="shared" si="1"/>
        <v/>
      </c>
    </row>
    <row r="808" ht="15.75" customHeight="1">
      <c r="B808" s="26"/>
      <c r="K808" s="5" t="str">
        <f>IF(J808="Yes",IFERROR(VLOOKUP(C808,'14_Master_Employees'!A:G,7,FALSE),""),"")</f>
        <v/>
      </c>
      <c r="L808" s="5" t="str">
        <f t="shared" si="1"/>
        <v/>
      </c>
    </row>
    <row r="809" ht="15.75" customHeight="1">
      <c r="B809" s="26"/>
      <c r="K809" s="5" t="str">
        <f>IF(J809="Yes",IFERROR(VLOOKUP(C809,'14_Master_Employees'!A:G,7,FALSE),""),"")</f>
        <v/>
      </c>
      <c r="L809" s="5" t="str">
        <f t="shared" si="1"/>
        <v/>
      </c>
    </row>
    <row r="810" ht="15.75" customHeight="1">
      <c r="B810" s="26"/>
      <c r="K810" s="5" t="str">
        <f>IF(J810="Yes",IFERROR(VLOOKUP(C810,'14_Master_Employees'!A:G,7,FALSE),""),"")</f>
        <v/>
      </c>
      <c r="L810" s="5" t="str">
        <f t="shared" si="1"/>
        <v/>
      </c>
    </row>
    <row r="811" ht="15.75" customHeight="1">
      <c r="B811" s="26"/>
      <c r="K811" s="5" t="str">
        <f>IF(J811="Yes",IFERROR(VLOOKUP(C811,'14_Master_Employees'!A:G,7,FALSE),""),"")</f>
        <v/>
      </c>
      <c r="L811" s="5" t="str">
        <f t="shared" si="1"/>
        <v/>
      </c>
    </row>
    <row r="812" ht="15.75" customHeight="1">
      <c r="B812" s="26"/>
      <c r="K812" s="5" t="str">
        <f>IF(J812="Yes",IFERROR(VLOOKUP(C812,'14_Master_Employees'!A:G,7,FALSE),""),"")</f>
        <v/>
      </c>
      <c r="L812" s="5" t="str">
        <f t="shared" si="1"/>
        <v/>
      </c>
    </row>
    <row r="813" ht="15.75" customHeight="1">
      <c r="B813" s="26"/>
      <c r="K813" s="5" t="str">
        <f>IF(J813="Yes",IFERROR(VLOOKUP(C813,'14_Master_Employees'!A:G,7,FALSE),""),"")</f>
        <v/>
      </c>
      <c r="L813" s="5" t="str">
        <f t="shared" si="1"/>
        <v/>
      </c>
    </row>
    <row r="814" ht="15.75" customHeight="1">
      <c r="B814" s="26"/>
      <c r="K814" s="5" t="str">
        <f>IF(J814="Yes",IFERROR(VLOOKUP(C814,'14_Master_Employees'!A:G,7,FALSE),""),"")</f>
        <v/>
      </c>
      <c r="L814" s="5" t="str">
        <f t="shared" si="1"/>
        <v/>
      </c>
    </row>
    <row r="815" ht="15.75" customHeight="1">
      <c r="B815" s="26"/>
      <c r="K815" s="5" t="str">
        <f>IF(J815="Yes",IFERROR(VLOOKUP(C815,'14_Master_Employees'!A:G,7,FALSE),""),"")</f>
        <v/>
      </c>
      <c r="L815" s="5" t="str">
        <f t="shared" si="1"/>
        <v/>
      </c>
    </row>
    <row r="816" ht="15.75" customHeight="1">
      <c r="B816" s="26"/>
      <c r="K816" s="5" t="str">
        <f>IF(J816="Yes",IFERROR(VLOOKUP(C816,'14_Master_Employees'!A:G,7,FALSE),""),"")</f>
        <v/>
      </c>
      <c r="L816" s="5" t="str">
        <f t="shared" si="1"/>
        <v/>
      </c>
    </row>
    <row r="817" ht="15.75" customHeight="1">
      <c r="B817" s="26"/>
      <c r="K817" s="5" t="str">
        <f>IF(J817="Yes",IFERROR(VLOOKUP(C817,'14_Master_Employees'!A:G,7,FALSE),""),"")</f>
        <v/>
      </c>
      <c r="L817" s="5" t="str">
        <f t="shared" si="1"/>
        <v/>
      </c>
    </row>
    <row r="818" ht="15.75" customHeight="1">
      <c r="B818" s="26"/>
      <c r="K818" s="5" t="str">
        <f>IF(J818="Yes",IFERROR(VLOOKUP(C818,'14_Master_Employees'!A:G,7,FALSE),""),"")</f>
        <v/>
      </c>
      <c r="L818" s="5" t="str">
        <f t="shared" si="1"/>
        <v/>
      </c>
    </row>
    <row r="819" ht="15.75" customHeight="1">
      <c r="B819" s="26"/>
      <c r="K819" s="5" t="str">
        <f>IF(J819="Yes",IFERROR(VLOOKUP(C819,'14_Master_Employees'!A:G,7,FALSE),""),"")</f>
        <v/>
      </c>
      <c r="L819" s="5" t="str">
        <f t="shared" si="1"/>
        <v/>
      </c>
    </row>
    <row r="820" ht="15.75" customHeight="1">
      <c r="B820" s="26"/>
      <c r="K820" s="5" t="str">
        <f>IF(J820="Yes",IFERROR(VLOOKUP(C820,'14_Master_Employees'!A:G,7,FALSE),""),"")</f>
        <v/>
      </c>
      <c r="L820" s="5" t="str">
        <f t="shared" si="1"/>
        <v/>
      </c>
    </row>
    <row r="821" ht="15.75" customHeight="1">
      <c r="B821" s="26"/>
      <c r="K821" s="5" t="str">
        <f>IF(J821="Yes",IFERROR(VLOOKUP(C821,'14_Master_Employees'!A:G,7,FALSE),""),"")</f>
        <v/>
      </c>
      <c r="L821" s="5" t="str">
        <f t="shared" si="1"/>
        <v/>
      </c>
    </row>
    <row r="822" ht="15.75" customHeight="1">
      <c r="B822" s="26"/>
      <c r="K822" s="5" t="str">
        <f>IF(J822="Yes",IFERROR(VLOOKUP(C822,'14_Master_Employees'!A:G,7,FALSE),""),"")</f>
        <v/>
      </c>
      <c r="L822" s="5" t="str">
        <f t="shared" si="1"/>
        <v/>
      </c>
    </row>
    <row r="823" ht="15.75" customHeight="1">
      <c r="B823" s="26"/>
      <c r="K823" s="5" t="str">
        <f>IF(J823="Yes",IFERROR(VLOOKUP(C823,'14_Master_Employees'!A:G,7,FALSE),""),"")</f>
        <v/>
      </c>
      <c r="L823" s="5" t="str">
        <f t="shared" si="1"/>
        <v/>
      </c>
    </row>
    <row r="824" ht="15.75" customHeight="1">
      <c r="B824" s="26"/>
      <c r="K824" s="5" t="str">
        <f>IF(J824="Yes",IFERROR(VLOOKUP(C824,'14_Master_Employees'!A:G,7,FALSE),""),"")</f>
        <v/>
      </c>
      <c r="L824" s="5" t="str">
        <f t="shared" si="1"/>
        <v/>
      </c>
    </row>
    <row r="825" ht="15.75" customHeight="1">
      <c r="B825" s="26"/>
      <c r="K825" s="5" t="str">
        <f>IF(J825="Yes",IFERROR(VLOOKUP(C825,'14_Master_Employees'!A:G,7,FALSE),""),"")</f>
        <v/>
      </c>
      <c r="L825" s="5" t="str">
        <f t="shared" si="1"/>
        <v/>
      </c>
    </row>
    <row r="826" ht="15.75" customHeight="1">
      <c r="B826" s="26"/>
      <c r="K826" s="5" t="str">
        <f>IF(J826="Yes",IFERROR(VLOOKUP(C826,'14_Master_Employees'!A:G,7,FALSE),""),"")</f>
        <v/>
      </c>
      <c r="L826" s="5" t="str">
        <f t="shared" si="1"/>
        <v/>
      </c>
    </row>
    <row r="827" ht="15.75" customHeight="1">
      <c r="B827" s="26"/>
      <c r="K827" s="5" t="str">
        <f>IF(J827="Yes",IFERROR(VLOOKUP(C827,'14_Master_Employees'!A:G,7,FALSE),""),"")</f>
        <v/>
      </c>
      <c r="L827" s="5" t="str">
        <f t="shared" si="1"/>
        <v/>
      </c>
    </row>
    <row r="828" ht="15.75" customHeight="1">
      <c r="B828" s="26"/>
      <c r="K828" s="5" t="str">
        <f>IF(J828="Yes",IFERROR(VLOOKUP(C828,'14_Master_Employees'!A:G,7,FALSE),""),"")</f>
        <v/>
      </c>
      <c r="L828" s="5" t="str">
        <f t="shared" si="1"/>
        <v/>
      </c>
    </row>
    <row r="829" ht="15.75" customHeight="1">
      <c r="B829" s="26"/>
      <c r="K829" s="5" t="str">
        <f>IF(J829="Yes",IFERROR(VLOOKUP(C829,'14_Master_Employees'!A:G,7,FALSE),""),"")</f>
        <v/>
      </c>
      <c r="L829" s="5" t="str">
        <f t="shared" si="1"/>
        <v/>
      </c>
    </row>
    <row r="830" ht="15.75" customHeight="1">
      <c r="B830" s="26"/>
      <c r="K830" s="5" t="str">
        <f>IF(J830="Yes",IFERROR(VLOOKUP(C830,'14_Master_Employees'!A:G,7,FALSE),""),"")</f>
        <v/>
      </c>
      <c r="L830" s="5" t="str">
        <f t="shared" si="1"/>
        <v/>
      </c>
    </row>
    <row r="831" ht="15.75" customHeight="1">
      <c r="B831" s="26"/>
      <c r="K831" s="5" t="str">
        <f>IF(J831="Yes",IFERROR(VLOOKUP(C831,'14_Master_Employees'!A:G,7,FALSE),""),"")</f>
        <v/>
      </c>
      <c r="L831" s="5" t="str">
        <f t="shared" si="1"/>
        <v/>
      </c>
    </row>
    <row r="832" ht="15.75" customHeight="1">
      <c r="B832" s="26"/>
      <c r="K832" s="5" t="str">
        <f>IF(J832="Yes",IFERROR(VLOOKUP(C832,'14_Master_Employees'!A:G,7,FALSE),""),"")</f>
        <v/>
      </c>
      <c r="L832" s="5" t="str">
        <f t="shared" si="1"/>
        <v/>
      </c>
    </row>
    <row r="833" ht="15.75" customHeight="1">
      <c r="B833" s="26"/>
      <c r="K833" s="5" t="str">
        <f>IF(J833="Yes",IFERROR(VLOOKUP(C833,'14_Master_Employees'!A:G,7,FALSE),""),"")</f>
        <v/>
      </c>
      <c r="L833" s="5" t="str">
        <f t="shared" si="1"/>
        <v/>
      </c>
    </row>
    <row r="834" ht="15.75" customHeight="1">
      <c r="B834" s="26"/>
      <c r="K834" s="5" t="str">
        <f>IF(J834="Yes",IFERROR(VLOOKUP(C834,'14_Master_Employees'!A:G,7,FALSE),""),"")</f>
        <v/>
      </c>
      <c r="L834" s="5" t="str">
        <f t="shared" si="1"/>
        <v/>
      </c>
    </row>
    <row r="835" ht="15.75" customHeight="1">
      <c r="B835" s="26"/>
      <c r="K835" s="5" t="str">
        <f>IF(J835="Yes",IFERROR(VLOOKUP(C835,'14_Master_Employees'!A:G,7,FALSE),""),"")</f>
        <v/>
      </c>
      <c r="L835" s="5" t="str">
        <f t="shared" si="1"/>
        <v/>
      </c>
    </row>
    <row r="836" ht="15.75" customHeight="1">
      <c r="B836" s="26"/>
      <c r="K836" s="5" t="str">
        <f>IF(J836="Yes",IFERROR(VLOOKUP(C836,'14_Master_Employees'!A:G,7,FALSE),""),"")</f>
        <v/>
      </c>
      <c r="L836" s="5" t="str">
        <f t="shared" si="1"/>
        <v/>
      </c>
    </row>
    <row r="837" ht="15.75" customHeight="1">
      <c r="B837" s="26"/>
      <c r="K837" s="5" t="str">
        <f>IF(J837="Yes",IFERROR(VLOOKUP(C837,'14_Master_Employees'!A:G,7,FALSE),""),"")</f>
        <v/>
      </c>
      <c r="L837" s="5" t="str">
        <f t="shared" si="1"/>
        <v/>
      </c>
    </row>
    <row r="838" ht="15.75" customHeight="1">
      <c r="B838" s="26"/>
      <c r="K838" s="5" t="str">
        <f>IF(J838="Yes",IFERROR(VLOOKUP(C838,'14_Master_Employees'!A:G,7,FALSE),""),"")</f>
        <v/>
      </c>
      <c r="L838" s="5" t="str">
        <f t="shared" si="1"/>
        <v/>
      </c>
    </row>
    <row r="839" ht="15.75" customHeight="1">
      <c r="B839" s="26"/>
      <c r="K839" s="5" t="str">
        <f>IF(J839="Yes",IFERROR(VLOOKUP(C839,'14_Master_Employees'!A:G,7,FALSE),""),"")</f>
        <v/>
      </c>
      <c r="L839" s="5" t="str">
        <f t="shared" si="1"/>
        <v/>
      </c>
    </row>
    <row r="840" ht="15.75" customHeight="1">
      <c r="B840" s="26"/>
      <c r="K840" s="5" t="str">
        <f>IF(J840="Yes",IFERROR(VLOOKUP(C840,'14_Master_Employees'!A:G,7,FALSE),""),"")</f>
        <v/>
      </c>
      <c r="L840" s="5" t="str">
        <f t="shared" si="1"/>
        <v/>
      </c>
    </row>
    <row r="841" ht="15.75" customHeight="1">
      <c r="B841" s="26"/>
      <c r="K841" s="5" t="str">
        <f>IF(J841="Yes",IFERROR(VLOOKUP(C841,'14_Master_Employees'!A:G,7,FALSE),""),"")</f>
        <v/>
      </c>
      <c r="L841" s="5" t="str">
        <f t="shared" si="1"/>
        <v/>
      </c>
    </row>
    <row r="842" ht="15.75" customHeight="1">
      <c r="B842" s="26"/>
      <c r="K842" s="5" t="str">
        <f>IF(J842="Yes",IFERROR(VLOOKUP(C842,'14_Master_Employees'!A:G,7,FALSE),""),"")</f>
        <v/>
      </c>
      <c r="L842" s="5" t="str">
        <f t="shared" si="1"/>
        <v/>
      </c>
    </row>
    <row r="843" ht="15.75" customHeight="1">
      <c r="B843" s="26"/>
      <c r="K843" s="5" t="str">
        <f>IF(J843="Yes",IFERROR(VLOOKUP(C843,'14_Master_Employees'!A:G,7,FALSE),""),"")</f>
        <v/>
      </c>
      <c r="L843" s="5" t="str">
        <f t="shared" si="1"/>
        <v/>
      </c>
    </row>
    <row r="844" ht="15.75" customHeight="1">
      <c r="B844" s="26"/>
      <c r="K844" s="5" t="str">
        <f>IF(J844="Yes",IFERROR(VLOOKUP(C844,'14_Master_Employees'!A:G,7,FALSE),""),"")</f>
        <v/>
      </c>
      <c r="L844" s="5" t="str">
        <f t="shared" si="1"/>
        <v/>
      </c>
    </row>
    <row r="845" ht="15.75" customHeight="1">
      <c r="B845" s="26"/>
      <c r="K845" s="5" t="str">
        <f>IF(J845="Yes",IFERROR(VLOOKUP(C845,'14_Master_Employees'!A:G,7,FALSE),""),"")</f>
        <v/>
      </c>
      <c r="L845" s="5" t="str">
        <f t="shared" si="1"/>
        <v/>
      </c>
    </row>
    <row r="846" ht="15.75" customHeight="1">
      <c r="B846" s="26"/>
      <c r="K846" s="5" t="str">
        <f>IF(J846="Yes",IFERROR(VLOOKUP(C846,'14_Master_Employees'!A:G,7,FALSE),""),"")</f>
        <v/>
      </c>
      <c r="L846" s="5" t="str">
        <f t="shared" si="1"/>
        <v/>
      </c>
    </row>
    <row r="847" ht="15.75" customHeight="1">
      <c r="B847" s="26"/>
      <c r="K847" s="5" t="str">
        <f>IF(J847="Yes",IFERROR(VLOOKUP(C847,'14_Master_Employees'!A:G,7,FALSE),""),"")</f>
        <v/>
      </c>
      <c r="L847" s="5" t="str">
        <f t="shared" si="1"/>
        <v/>
      </c>
    </row>
    <row r="848" ht="15.75" customHeight="1">
      <c r="B848" s="26"/>
      <c r="K848" s="5" t="str">
        <f>IF(J848="Yes",IFERROR(VLOOKUP(C848,'14_Master_Employees'!A:G,7,FALSE),""),"")</f>
        <v/>
      </c>
      <c r="L848" s="5" t="str">
        <f t="shared" si="1"/>
        <v/>
      </c>
    </row>
    <row r="849" ht="15.75" customHeight="1">
      <c r="B849" s="26"/>
      <c r="K849" s="5" t="str">
        <f>IF(J849="Yes",IFERROR(VLOOKUP(C849,'14_Master_Employees'!A:G,7,FALSE),""),"")</f>
        <v/>
      </c>
      <c r="L849" s="5" t="str">
        <f t="shared" si="1"/>
        <v/>
      </c>
    </row>
    <row r="850" ht="15.75" customHeight="1">
      <c r="B850" s="26"/>
      <c r="K850" s="5" t="str">
        <f>IF(J850="Yes",IFERROR(VLOOKUP(C850,'14_Master_Employees'!A:G,7,FALSE),""),"")</f>
        <v/>
      </c>
      <c r="L850" s="5" t="str">
        <f t="shared" si="1"/>
        <v/>
      </c>
    </row>
    <row r="851" ht="15.75" customHeight="1">
      <c r="B851" s="26"/>
      <c r="K851" s="5" t="str">
        <f>IF(J851="Yes",IFERROR(VLOOKUP(C851,'14_Master_Employees'!A:G,7,FALSE),""),"")</f>
        <v/>
      </c>
      <c r="L851" s="5" t="str">
        <f t="shared" si="1"/>
        <v/>
      </c>
    </row>
    <row r="852" ht="15.75" customHeight="1">
      <c r="B852" s="26"/>
      <c r="K852" s="5" t="str">
        <f>IF(J852="Yes",IFERROR(VLOOKUP(C852,'14_Master_Employees'!A:G,7,FALSE),""),"")</f>
        <v/>
      </c>
      <c r="L852" s="5" t="str">
        <f t="shared" si="1"/>
        <v/>
      </c>
    </row>
    <row r="853" ht="15.75" customHeight="1">
      <c r="B853" s="26"/>
      <c r="K853" s="5" t="str">
        <f>IF(J853="Yes",IFERROR(VLOOKUP(C853,'14_Master_Employees'!A:G,7,FALSE),""),"")</f>
        <v/>
      </c>
      <c r="L853" s="5" t="str">
        <f t="shared" si="1"/>
        <v/>
      </c>
    </row>
    <row r="854" ht="15.75" customHeight="1">
      <c r="B854" s="26"/>
      <c r="K854" s="5" t="str">
        <f>IF(J854="Yes",IFERROR(VLOOKUP(C854,'14_Master_Employees'!A:G,7,FALSE),""),"")</f>
        <v/>
      </c>
      <c r="L854" s="5" t="str">
        <f t="shared" si="1"/>
        <v/>
      </c>
    </row>
    <row r="855" ht="15.75" customHeight="1">
      <c r="B855" s="26"/>
      <c r="K855" s="5" t="str">
        <f>IF(J855="Yes",IFERROR(VLOOKUP(C855,'14_Master_Employees'!A:G,7,FALSE),""),"")</f>
        <v/>
      </c>
      <c r="L855" s="5" t="str">
        <f t="shared" si="1"/>
        <v/>
      </c>
    </row>
    <row r="856" ht="15.75" customHeight="1">
      <c r="B856" s="26"/>
      <c r="K856" s="5" t="str">
        <f>IF(J856="Yes",IFERROR(VLOOKUP(C856,'14_Master_Employees'!A:G,7,FALSE),""),"")</f>
        <v/>
      </c>
      <c r="L856" s="5" t="str">
        <f t="shared" si="1"/>
        <v/>
      </c>
    </row>
    <row r="857" ht="15.75" customHeight="1">
      <c r="B857" s="26"/>
      <c r="K857" s="5" t="str">
        <f>IF(J857="Yes",IFERROR(VLOOKUP(C857,'14_Master_Employees'!A:G,7,FALSE),""),"")</f>
        <v/>
      </c>
      <c r="L857" s="5" t="str">
        <f t="shared" si="1"/>
        <v/>
      </c>
    </row>
    <row r="858" ht="15.75" customHeight="1">
      <c r="B858" s="26"/>
      <c r="K858" s="5" t="str">
        <f>IF(J858="Yes",IFERROR(VLOOKUP(C858,'14_Master_Employees'!A:G,7,FALSE),""),"")</f>
        <v/>
      </c>
      <c r="L858" s="5" t="str">
        <f t="shared" si="1"/>
        <v/>
      </c>
    </row>
    <row r="859" ht="15.75" customHeight="1">
      <c r="B859" s="26"/>
      <c r="K859" s="5" t="str">
        <f>IF(J859="Yes",IFERROR(VLOOKUP(C859,'14_Master_Employees'!A:G,7,FALSE),""),"")</f>
        <v/>
      </c>
      <c r="L859" s="5" t="str">
        <f t="shared" si="1"/>
        <v/>
      </c>
    </row>
    <row r="860" ht="15.75" customHeight="1">
      <c r="B860" s="26"/>
      <c r="K860" s="5" t="str">
        <f>IF(J860="Yes",IFERROR(VLOOKUP(C860,'14_Master_Employees'!A:G,7,FALSE),""),"")</f>
        <v/>
      </c>
      <c r="L860" s="5" t="str">
        <f t="shared" si="1"/>
        <v/>
      </c>
    </row>
    <row r="861" ht="15.75" customHeight="1">
      <c r="B861" s="26"/>
      <c r="K861" s="5" t="str">
        <f>IF(J861="Yes",IFERROR(VLOOKUP(C861,'14_Master_Employees'!A:G,7,FALSE),""),"")</f>
        <v/>
      </c>
      <c r="L861" s="5" t="str">
        <f t="shared" si="1"/>
        <v/>
      </c>
    </row>
    <row r="862" ht="15.75" customHeight="1">
      <c r="B862" s="26"/>
      <c r="K862" s="5" t="str">
        <f>IF(J862="Yes",IFERROR(VLOOKUP(C862,'14_Master_Employees'!A:G,7,FALSE),""),"")</f>
        <v/>
      </c>
      <c r="L862" s="5" t="str">
        <f t="shared" si="1"/>
        <v/>
      </c>
    </row>
    <row r="863" ht="15.75" customHeight="1">
      <c r="B863" s="26"/>
      <c r="K863" s="5" t="str">
        <f>IF(J863="Yes",IFERROR(VLOOKUP(C863,'14_Master_Employees'!A:G,7,FALSE),""),"")</f>
        <v/>
      </c>
      <c r="L863" s="5" t="str">
        <f t="shared" si="1"/>
        <v/>
      </c>
    </row>
    <row r="864" ht="15.75" customHeight="1">
      <c r="B864" s="26"/>
      <c r="K864" s="5" t="str">
        <f>IF(J864="Yes",IFERROR(VLOOKUP(C864,'14_Master_Employees'!A:G,7,FALSE),""),"")</f>
        <v/>
      </c>
      <c r="L864" s="5" t="str">
        <f t="shared" si="1"/>
        <v/>
      </c>
    </row>
    <row r="865" ht="15.75" customHeight="1">
      <c r="B865" s="26"/>
      <c r="K865" s="5" t="str">
        <f>IF(J865="Yes",IFERROR(VLOOKUP(C865,'14_Master_Employees'!A:G,7,FALSE),""),"")</f>
        <v/>
      </c>
      <c r="L865" s="5" t="str">
        <f t="shared" si="1"/>
        <v/>
      </c>
    </row>
    <row r="866" ht="15.75" customHeight="1">
      <c r="B866" s="26"/>
      <c r="K866" s="5" t="str">
        <f>IF(J866="Yes",IFERROR(VLOOKUP(C866,'14_Master_Employees'!A:G,7,FALSE),""),"")</f>
        <v/>
      </c>
      <c r="L866" s="5" t="str">
        <f t="shared" si="1"/>
        <v/>
      </c>
    </row>
    <row r="867" ht="15.75" customHeight="1">
      <c r="B867" s="26"/>
      <c r="K867" s="5" t="str">
        <f>IF(J867="Yes",IFERROR(VLOOKUP(C867,'14_Master_Employees'!A:G,7,FALSE),""),"")</f>
        <v/>
      </c>
      <c r="L867" s="5" t="str">
        <f t="shared" si="1"/>
        <v/>
      </c>
    </row>
    <row r="868" ht="15.75" customHeight="1">
      <c r="B868" s="26"/>
      <c r="K868" s="5" t="str">
        <f>IF(J868="Yes",IFERROR(VLOOKUP(C868,'14_Master_Employees'!A:G,7,FALSE),""),"")</f>
        <v/>
      </c>
      <c r="L868" s="5" t="str">
        <f t="shared" si="1"/>
        <v/>
      </c>
    </row>
    <row r="869" ht="15.75" customHeight="1">
      <c r="B869" s="26"/>
      <c r="K869" s="5" t="str">
        <f>IF(J869="Yes",IFERROR(VLOOKUP(C869,'14_Master_Employees'!A:G,7,FALSE),""),"")</f>
        <v/>
      </c>
      <c r="L869" s="5" t="str">
        <f t="shared" si="1"/>
        <v/>
      </c>
    </row>
    <row r="870" ht="15.75" customHeight="1">
      <c r="B870" s="26"/>
      <c r="K870" s="5" t="str">
        <f>IF(J870="Yes",IFERROR(VLOOKUP(C870,'14_Master_Employees'!A:G,7,FALSE),""),"")</f>
        <v/>
      </c>
      <c r="L870" s="5" t="str">
        <f t="shared" si="1"/>
        <v/>
      </c>
    </row>
    <row r="871" ht="15.75" customHeight="1">
      <c r="B871" s="26"/>
      <c r="K871" s="5" t="str">
        <f>IF(J871="Yes",IFERROR(VLOOKUP(C871,'14_Master_Employees'!A:G,7,FALSE),""),"")</f>
        <v/>
      </c>
      <c r="L871" s="5" t="str">
        <f t="shared" si="1"/>
        <v/>
      </c>
    </row>
    <row r="872" ht="15.75" customHeight="1">
      <c r="B872" s="26"/>
      <c r="K872" s="5" t="str">
        <f>IF(J872="Yes",IFERROR(VLOOKUP(C872,'14_Master_Employees'!A:G,7,FALSE),""),"")</f>
        <v/>
      </c>
      <c r="L872" s="5" t="str">
        <f t="shared" si="1"/>
        <v/>
      </c>
    </row>
    <row r="873" ht="15.75" customHeight="1">
      <c r="B873" s="26"/>
      <c r="K873" s="5" t="str">
        <f>IF(J873="Yes",IFERROR(VLOOKUP(C873,'14_Master_Employees'!A:G,7,FALSE),""),"")</f>
        <v/>
      </c>
      <c r="L873" s="5" t="str">
        <f t="shared" si="1"/>
        <v/>
      </c>
    </row>
    <row r="874" ht="15.75" customHeight="1">
      <c r="B874" s="26"/>
      <c r="K874" s="5" t="str">
        <f>IF(J874="Yes",IFERROR(VLOOKUP(C874,'14_Master_Employees'!A:G,7,FALSE),""),"")</f>
        <v/>
      </c>
      <c r="L874" s="5" t="str">
        <f t="shared" si="1"/>
        <v/>
      </c>
    </row>
    <row r="875" ht="15.75" customHeight="1">
      <c r="B875" s="26"/>
      <c r="K875" s="5" t="str">
        <f>IF(J875="Yes",IFERROR(VLOOKUP(C875,'14_Master_Employees'!A:G,7,FALSE),""),"")</f>
        <v/>
      </c>
      <c r="L875" s="5" t="str">
        <f t="shared" si="1"/>
        <v/>
      </c>
    </row>
    <row r="876" ht="15.75" customHeight="1">
      <c r="B876" s="26"/>
      <c r="K876" s="5" t="str">
        <f>IF(J876="Yes",IFERROR(VLOOKUP(C876,'14_Master_Employees'!A:G,7,FALSE),""),"")</f>
        <v/>
      </c>
      <c r="L876" s="5" t="str">
        <f t="shared" si="1"/>
        <v/>
      </c>
    </row>
    <row r="877" ht="15.75" customHeight="1">
      <c r="B877" s="26"/>
      <c r="K877" s="5" t="str">
        <f>IF(J877="Yes",IFERROR(VLOOKUP(C877,'14_Master_Employees'!A:G,7,FALSE),""),"")</f>
        <v/>
      </c>
      <c r="L877" s="5" t="str">
        <f t="shared" si="1"/>
        <v/>
      </c>
    </row>
    <row r="878" ht="15.75" customHeight="1">
      <c r="B878" s="26"/>
      <c r="K878" s="5" t="str">
        <f>IF(J878="Yes",IFERROR(VLOOKUP(C878,'14_Master_Employees'!A:G,7,FALSE),""),"")</f>
        <v/>
      </c>
      <c r="L878" s="5" t="str">
        <f t="shared" si="1"/>
        <v/>
      </c>
    </row>
    <row r="879" ht="15.75" customHeight="1">
      <c r="B879" s="26"/>
      <c r="K879" s="5" t="str">
        <f>IF(J879="Yes",IFERROR(VLOOKUP(C879,'14_Master_Employees'!A:G,7,FALSE),""),"")</f>
        <v/>
      </c>
      <c r="L879" s="5" t="str">
        <f t="shared" si="1"/>
        <v/>
      </c>
    </row>
    <row r="880" ht="15.75" customHeight="1">
      <c r="B880" s="26"/>
      <c r="K880" s="5" t="str">
        <f>IF(J880="Yes",IFERROR(VLOOKUP(C880,'14_Master_Employees'!A:G,7,FALSE),""),"")</f>
        <v/>
      </c>
      <c r="L880" s="5" t="str">
        <f t="shared" si="1"/>
        <v/>
      </c>
    </row>
    <row r="881" ht="15.75" customHeight="1">
      <c r="B881" s="26"/>
      <c r="K881" s="5" t="str">
        <f>IF(J881="Yes",IFERROR(VLOOKUP(C881,'14_Master_Employees'!A:G,7,FALSE),""),"")</f>
        <v/>
      </c>
      <c r="L881" s="5" t="str">
        <f t="shared" si="1"/>
        <v/>
      </c>
    </row>
    <row r="882" ht="15.75" customHeight="1">
      <c r="B882" s="26"/>
      <c r="K882" s="5" t="str">
        <f>IF(J882="Yes",IFERROR(VLOOKUP(C882,'14_Master_Employees'!A:G,7,FALSE),""),"")</f>
        <v/>
      </c>
      <c r="L882" s="5" t="str">
        <f t="shared" si="1"/>
        <v/>
      </c>
    </row>
    <row r="883" ht="15.75" customHeight="1">
      <c r="B883" s="26"/>
      <c r="K883" s="5" t="str">
        <f>IF(J883="Yes",IFERROR(VLOOKUP(C883,'14_Master_Employees'!A:G,7,FALSE),""),"")</f>
        <v/>
      </c>
      <c r="L883" s="5" t="str">
        <f t="shared" si="1"/>
        <v/>
      </c>
    </row>
    <row r="884" ht="15.75" customHeight="1">
      <c r="B884" s="26"/>
      <c r="K884" s="5" t="str">
        <f>IF(J884="Yes",IFERROR(VLOOKUP(C884,'14_Master_Employees'!A:G,7,FALSE),""),"")</f>
        <v/>
      </c>
      <c r="L884" s="5" t="str">
        <f t="shared" si="1"/>
        <v/>
      </c>
    </row>
    <row r="885" ht="15.75" customHeight="1">
      <c r="B885" s="26"/>
      <c r="K885" s="5" t="str">
        <f>IF(J885="Yes",IFERROR(VLOOKUP(C885,'14_Master_Employees'!A:G,7,FALSE),""),"")</f>
        <v/>
      </c>
      <c r="L885" s="5" t="str">
        <f t="shared" si="1"/>
        <v/>
      </c>
    </row>
    <row r="886" ht="15.75" customHeight="1">
      <c r="B886" s="26"/>
      <c r="K886" s="5" t="str">
        <f>IF(J886="Yes",IFERROR(VLOOKUP(C886,'14_Master_Employees'!A:G,7,FALSE),""),"")</f>
        <v/>
      </c>
      <c r="L886" s="5" t="str">
        <f t="shared" si="1"/>
        <v/>
      </c>
    </row>
    <row r="887" ht="15.75" customHeight="1">
      <c r="B887" s="26"/>
      <c r="K887" s="5" t="str">
        <f>IF(J887="Yes",IFERROR(VLOOKUP(C887,'14_Master_Employees'!A:G,7,FALSE),""),"")</f>
        <v/>
      </c>
      <c r="L887" s="5" t="str">
        <f t="shared" si="1"/>
        <v/>
      </c>
    </row>
    <row r="888" ht="15.75" customHeight="1">
      <c r="B888" s="26"/>
      <c r="K888" s="5" t="str">
        <f>IF(J888="Yes",IFERROR(VLOOKUP(C888,'14_Master_Employees'!A:G,7,FALSE),""),"")</f>
        <v/>
      </c>
      <c r="L888" s="5" t="str">
        <f t="shared" si="1"/>
        <v/>
      </c>
    </row>
    <row r="889" ht="15.75" customHeight="1">
      <c r="B889" s="26"/>
      <c r="K889" s="5" t="str">
        <f>IF(J889="Yes",IFERROR(VLOOKUP(C889,'14_Master_Employees'!A:G,7,FALSE),""),"")</f>
        <v/>
      </c>
      <c r="L889" s="5" t="str">
        <f t="shared" si="1"/>
        <v/>
      </c>
    </row>
    <row r="890" ht="15.75" customHeight="1">
      <c r="B890" s="26"/>
      <c r="K890" s="5" t="str">
        <f>IF(J890="Yes",IFERROR(VLOOKUP(C890,'14_Master_Employees'!A:G,7,FALSE),""),"")</f>
        <v/>
      </c>
      <c r="L890" s="5" t="str">
        <f t="shared" si="1"/>
        <v/>
      </c>
    </row>
    <row r="891" ht="15.75" customHeight="1">
      <c r="B891" s="26"/>
      <c r="K891" s="5" t="str">
        <f>IF(J891="Yes",IFERROR(VLOOKUP(C891,'14_Master_Employees'!A:G,7,FALSE),""),"")</f>
        <v/>
      </c>
      <c r="L891" s="5" t="str">
        <f t="shared" si="1"/>
        <v/>
      </c>
    </row>
    <row r="892" ht="15.75" customHeight="1">
      <c r="B892" s="26"/>
      <c r="K892" s="5" t="str">
        <f>IF(J892="Yes",IFERROR(VLOOKUP(C892,'14_Master_Employees'!A:G,7,FALSE),""),"")</f>
        <v/>
      </c>
      <c r="L892" s="5" t="str">
        <f t="shared" si="1"/>
        <v/>
      </c>
    </row>
    <row r="893" ht="15.75" customHeight="1">
      <c r="B893" s="26"/>
      <c r="K893" s="5" t="str">
        <f>IF(J893="Yes",IFERROR(VLOOKUP(C893,'14_Master_Employees'!A:G,7,FALSE),""),"")</f>
        <v/>
      </c>
      <c r="L893" s="5" t="str">
        <f t="shared" si="1"/>
        <v/>
      </c>
    </row>
    <row r="894" ht="15.75" customHeight="1">
      <c r="B894" s="26"/>
      <c r="K894" s="5" t="str">
        <f>IF(J894="Yes",IFERROR(VLOOKUP(C894,'14_Master_Employees'!A:G,7,FALSE),""),"")</f>
        <v/>
      </c>
      <c r="L894" s="5" t="str">
        <f t="shared" si="1"/>
        <v/>
      </c>
    </row>
    <row r="895" ht="15.75" customHeight="1">
      <c r="B895" s="26"/>
      <c r="K895" s="5" t="str">
        <f>IF(J895="Yes",IFERROR(VLOOKUP(C895,'14_Master_Employees'!A:G,7,FALSE),""),"")</f>
        <v/>
      </c>
      <c r="L895" s="5" t="str">
        <f t="shared" si="1"/>
        <v/>
      </c>
    </row>
    <row r="896" ht="15.75" customHeight="1">
      <c r="B896" s="26"/>
      <c r="K896" s="5" t="str">
        <f>IF(J896="Yes",IFERROR(VLOOKUP(C896,'14_Master_Employees'!A:G,7,FALSE),""),"")</f>
        <v/>
      </c>
      <c r="L896" s="5" t="str">
        <f t="shared" si="1"/>
        <v/>
      </c>
    </row>
    <row r="897" ht="15.75" customHeight="1">
      <c r="B897" s="26"/>
      <c r="K897" s="5" t="str">
        <f>IF(J897="Yes",IFERROR(VLOOKUP(C897,'14_Master_Employees'!A:G,7,FALSE),""),"")</f>
        <v/>
      </c>
      <c r="L897" s="5" t="str">
        <f t="shared" si="1"/>
        <v/>
      </c>
    </row>
    <row r="898" ht="15.75" customHeight="1">
      <c r="B898" s="26"/>
      <c r="K898" s="5" t="str">
        <f>IF(J898="Yes",IFERROR(VLOOKUP(C898,'14_Master_Employees'!A:G,7,FALSE),""),"")</f>
        <v/>
      </c>
      <c r="L898" s="5" t="str">
        <f t="shared" si="1"/>
        <v/>
      </c>
    </row>
    <row r="899" ht="15.75" customHeight="1">
      <c r="B899" s="26"/>
      <c r="K899" s="5" t="str">
        <f>IF(J899="Yes",IFERROR(VLOOKUP(C899,'14_Master_Employees'!A:G,7,FALSE),""),"")</f>
        <v/>
      </c>
      <c r="L899" s="5" t="str">
        <f t="shared" si="1"/>
        <v/>
      </c>
    </row>
    <row r="900" ht="15.75" customHeight="1">
      <c r="B900" s="26"/>
      <c r="K900" s="5" t="str">
        <f>IF(J900="Yes",IFERROR(VLOOKUP(C900,'14_Master_Employees'!A:G,7,FALSE),""),"")</f>
        <v/>
      </c>
      <c r="L900" s="5" t="str">
        <f t="shared" si="1"/>
        <v/>
      </c>
    </row>
    <row r="901" ht="15.75" customHeight="1">
      <c r="B901" s="26"/>
      <c r="K901" s="5" t="str">
        <f>IF(J901="Yes",IFERROR(VLOOKUP(C901,'14_Master_Employees'!A:G,7,FALSE),""),"")</f>
        <v/>
      </c>
      <c r="L901" s="5" t="str">
        <f t="shared" si="1"/>
        <v/>
      </c>
    </row>
    <row r="902" ht="15.75" customHeight="1">
      <c r="B902" s="26"/>
      <c r="K902" s="5" t="str">
        <f>IF(J902="Yes",IFERROR(VLOOKUP(C902,'14_Master_Employees'!A:G,7,FALSE),""),"")</f>
        <v/>
      </c>
      <c r="L902" s="5" t="str">
        <f t="shared" si="1"/>
        <v/>
      </c>
    </row>
    <row r="903" ht="15.75" customHeight="1">
      <c r="B903" s="26"/>
      <c r="K903" s="5" t="str">
        <f>IF(J903="Yes",IFERROR(VLOOKUP(C903,'14_Master_Employees'!A:G,7,FALSE),""),"")</f>
        <v/>
      </c>
      <c r="L903" s="5" t="str">
        <f t="shared" si="1"/>
        <v/>
      </c>
    </row>
    <row r="904" ht="15.75" customHeight="1">
      <c r="B904" s="26"/>
      <c r="K904" s="5" t="str">
        <f>IF(J904="Yes",IFERROR(VLOOKUP(C904,'14_Master_Employees'!A:G,7,FALSE),""),"")</f>
        <v/>
      </c>
      <c r="L904" s="5" t="str">
        <f t="shared" si="1"/>
        <v/>
      </c>
    </row>
    <row r="905" ht="15.75" customHeight="1">
      <c r="B905" s="26"/>
      <c r="K905" s="5" t="str">
        <f>IF(J905="Yes",IFERROR(VLOOKUP(C905,'14_Master_Employees'!A:G,7,FALSE),""),"")</f>
        <v/>
      </c>
      <c r="L905" s="5" t="str">
        <f t="shared" si="1"/>
        <v/>
      </c>
    </row>
    <row r="906" ht="15.75" customHeight="1">
      <c r="B906" s="26"/>
      <c r="K906" s="5" t="str">
        <f>IF(J906="Yes",IFERROR(VLOOKUP(C906,'14_Master_Employees'!A:G,7,FALSE),""),"")</f>
        <v/>
      </c>
      <c r="L906" s="5" t="str">
        <f t="shared" si="1"/>
        <v/>
      </c>
    </row>
    <row r="907" ht="15.75" customHeight="1">
      <c r="B907" s="26"/>
      <c r="K907" s="5" t="str">
        <f>IF(J907="Yes",IFERROR(VLOOKUP(C907,'14_Master_Employees'!A:G,7,FALSE),""),"")</f>
        <v/>
      </c>
      <c r="L907" s="5" t="str">
        <f t="shared" si="1"/>
        <v/>
      </c>
    </row>
    <row r="908" ht="15.75" customHeight="1">
      <c r="B908" s="26"/>
      <c r="K908" s="5" t="str">
        <f>IF(J908="Yes",IFERROR(VLOOKUP(C908,'14_Master_Employees'!A:G,7,FALSE),""),"")</f>
        <v/>
      </c>
      <c r="L908" s="5" t="str">
        <f t="shared" si="1"/>
        <v/>
      </c>
    </row>
    <row r="909" ht="15.75" customHeight="1">
      <c r="B909" s="26"/>
      <c r="K909" s="5" t="str">
        <f>IF(J909="Yes",IFERROR(VLOOKUP(C909,'14_Master_Employees'!A:G,7,FALSE),""),"")</f>
        <v/>
      </c>
      <c r="L909" s="5" t="str">
        <f t="shared" si="1"/>
        <v/>
      </c>
    </row>
    <row r="910" ht="15.75" customHeight="1">
      <c r="B910" s="26"/>
      <c r="K910" s="5" t="str">
        <f>IF(J910="Yes",IFERROR(VLOOKUP(C910,'14_Master_Employees'!A:G,7,FALSE),""),"")</f>
        <v/>
      </c>
      <c r="L910" s="5" t="str">
        <f t="shared" si="1"/>
        <v/>
      </c>
    </row>
    <row r="911" ht="15.75" customHeight="1">
      <c r="B911" s="26"/>
      <c r="K911" s="5" t="str">
        <f>IF(J911="Yes",IFERROR(VLOOKUP(C911,'14_Master_Employees'!A:G,7,FALSE),""),"")</f>
        <v/>
      </c>
      <c r="L911" s="5" t="str">
        <f t="shared" si="1"/>
        <v/>
      </c>
    </row>
    <row r="912" ht="15.75" customHeight="1">
      <c r="B912" s="26"/>
      <c r="K912" s="5" t="str">
        <f>IF(J912="Yes",IFERROR(VLOOKUP(C912,'14_Master_Employees'!A:G,7,FALSE),""),"")</f>
        <v/>
      </c>
      <c r="L912" s="5" t="str">
        <f t="shared" si="1"/>
        <v/>
      </c>
    </row>
    <row r="913" ht="15.75" customHeight="1">
      <c r="B913" s="26"/>
      <c r="K913" s="5" t="str">
        <f>IF(J913="Yes",IFERROR(VLOOKUP(C913,'14_Master_Employees'!A:G,7,FALSE),""),"")</f>
        <v/>
      </c>
      <c r="L913" s="5" t="str">
        <f t="shared" si="1"/>
        <v/>
      </c>
    </row>
    <row r="914" ht="15.75" customHeight="1">
      <c r="B914" s="26"/>
      <c r="K914" s="5" t="str">
        <f>IF(J914="Yes",IFERROR(VLOOKUP(C914,'14_Master_Employees'!A:G,7,FALSE),""),"")</f>
        <v/>
      </c>
      <c r="L914" s="5" t="str">
        <f t="shared" si="1"/>
        <v/>
      </c>
    </row>
    <row r="915" ht="15.75" customHeight="1">
      <c r="B915" s="26"/>
      <c r="K915" s="5" t="str">
        <f>IF(J915="Yes",IFERROR(VLOOKUP(C915,'14_Master_Employees'!A:G,7,FALSE),""),"")</f>
        <v/>
      </c>
      <c r="L915" s="5" t="str">
        <f t="shared" si="1"/>
        <v/>
      </c>
    </row>
    <row r="916" ht="15.75" customHeight="1">
      <c r="B916" s="26"/>
      <c r="K916" s="5" t="str">
        <f>IF(J916="Yes",IFERROR(VLOOKUP(C916,'14_Master_Employees'!A:G,7,FALSE),""),"")</f>
        <v/>
      </c>
      <c r="L916" s="5" t="str">
        <f t="shared" si="1"/>
        <v/>
      </c>
    </row>
    <row r="917" ht="15.75" customHeight="1">
      <c r="B917" s="26"/>
      <c r="K917" s="5" t="str">
        <f>IF(J917="Yes",IFERROR(VLOOKUP(C917,'14_Master_Employees'!A:G,7,FALSE),""),"")</f>
        <v/>
      </c>
      <c r="L917" s="5" t="str">
        <f t="shared" si="1"/>
        <v/>
      </c>
    </row>
    <row r="918" ht="15.75" customHeight="1">
      <c r="B918" s="26"/>
      <c r="K918" s="5" t="str">
        <f>IF(J918="Yes",IFERROR(VLOOKUP(C918,'14_Master_Employees'!A:G,7,FALSE),""),"")</f>
        <v/>
      </c>
      <c r="L918" s="5" t="str">
        <f t="shared" si="1"/>
        <v/>
      </c>
    </row>
    <row r="919" ht="15.75" customHeight="1">
      <c r="B919" s="26"/>
      <c r="K919" s="5" t="str">
        <f>IF(J919="Yes",IFERROR(VLOOKUP(C919,'14_Master_Employees'!A:G,7,FALSE),""),"")</f>
        <v/>
      </c>
      <c r="L919" s="5" t="str">
        <f t="shared" si="1"/>
        <v/>
      </c>
    </row>
    <row r="920" ht="15.75" customHeight="1">
      <c r="B920" s="26"/>
      <c r="K920" s="5" t="str">
        <f>IF(J920="Yes",IFERROR(VLOOKUP(C920,'14_Master_Employees'!A:G,7,FALSE),""),"")</f>
        <v/>
      </c>
      <c r="L920" s="5" t="str">
        <f t="shared" si="1"/>
        <v/>
      </c>
    </row>
    <row r="921" ht="15.75" customHeight="1">
      <c r="B921" s="26"/>
      <c r="K921" s="5" t="str">
        <f>IF(J921="Yes",IFERROR(VLOOKUP(C921,'14_Master_Employees'!A:G,7,FALSE),""),"")</f>
        <v/>
      </c>
      <c r="L921" s="5" t="str">
        <f t="shared" si="1"/>
        <v/>
      </c>
    </row>
    <row r="922" ht="15.75" customHeight="1">
      <c r="B922" s="26"/>
      <c r="K922" s="5" t="str">
        <f>IF(J922="Yes",IFERROR(VLOOKUP(C922,'14_Master_Employees'!A:G,7,FALSE),""),"")</f>
        <v/>
      </c>
      <c r="L922" s="5" t="str">
        <f t="shared" si="1"/>
        <v/>
      </c>
    </row>
    <row r="923" ht="15.75" customHeight="1">
      <c r="B923" s="26"/>
      <c r="K923" s="5" t="str">
        <f>IF(J923="Yes",IFERROR(VLOOKUP(C923,'14_Master_Employees'!A:G,7,FALSE),""),"")</f>
        <v/>
      </c>
      <c r="L923" s="5" t="str">
        <f t="shared" si="1"/>
        <v/>
      </c>
    </row>
    <row r="924" ht="15.75" customHeight="1">
      <c r="B924" s="26"/>
      <c r="K924" s="5" t="str">
        <f>IF(J924="Yes",IFERROR(VLOOKUP(C924,'14_Master_Employees'!A:G,7,FALSE),""),"")</f>
        <v/>
      </c>
      <c r="L924" s="5" t="str">
        <f t="shared" si="1"/>
        <v/>
      </c>
    </row>
    <row r="925" ht="15.75" customHeight="1">
      <c r="B925" s="26"/>
      <c r="K925" s="5" t="str">
        <f>IF(J925="Yes",IFERROR(VLOOKUP(C925,'14_Master_Employees'!A:G,7,FALSE),""),"")</f>
        <v/>
      </c>
      <c r="L925" s="5" t="str">
        <f t="shared" si="1"/>
        <v/>
      </c>
    </row>
    <row r="926" ht="15.75" customHeight="1">
      <c r="B926" s="26"/>
      <c r="K926" s="5" t="str">
        <f>IF(J926="Yes",IFERROR(VLOOKUP(C926,'14_Master_Employees'!A:G,7,FALSE),""),"")</f>
        <v/>
      </c>
      <c r="L926" s="5" t="str">
        <f t="shared" si="1"/>
        <v/>
      </c>
    </row>
    <row r="927" ht="15.75" customHeight="1">
      <c r="B927" s="26"/>
      <c r="K927" s="5" t="str">
        <f>IF(J927="Yes",IFERROR(VLOOKUP(C927,'14_Master_Employees'!A:G,7,FALSE),""),"")</f>
        <v/>
      </c>
      <c r="L927" s="5" t="str">
        <f t="shared" si="1"/>
        <v/>
      </c>
    </row>
    <row r="928" ht="15.75" customHeight="1">
      <c r="B928" s="26"/>
      <c r="K928" s="5" t="str">
        <f>IF(J928="Yes",IFERROR(VLOOKUP(C928,'14_Master_Employees'!A:G,7,FALSE),""),"")</f>
        <v/>
      </c>
      <c r="L928" s="5" t="str">
        <f t="shared" si="1"/>
        <v/>
      </c>
    </row>
    <row r="929" ht="15.75" customHeight="1">
      <c r="B929" s="26"/>
      <c r="K929" s="5" t="str">
        <f>IF(J929="Yes",IFERROR(VLOOKUP(C929,'14_Master_Employees'!A:G,7,FALSE),""),"")</f>
        <v/>
      </c>
      <c r="L929" s="5" t="str">
        <f t="shared" si="1"/>
        <v/>
      </c>
    </row>
    <row r="930" ht="15.75" customHeight="1">
      <c r="B930" s="26"/>
      <c r="K930" s="5" t="str">
        <f>IF(J930="Yes",IFERROR(VLOOKUP(C930,'14_Master_Employees'!A:G,7,FALSE),""),"")</f>
        <v/>
      </c>
      <c r="L930" s="5" t="str">
        <f t="shared" si="1"/>
        <v/>
      </c>
    </row>
    <row r="931" ht="15.75" customHeight="1">
      <c r="B931" s="26"/>
      <c r="K931" s="5" t="str">
        <f>IF(J931="Yes",IFERROR(VLOOKUP(C931,'14_Master_Employees'!A:G,7,FALSE),""),"")</f>
        <v/>
      </c>
      <c r="L931" s="5" t="str">
        <f t="shared" si="1"/>
        <v/>
      </c>
    </row>
    <row r="932" ht="15.75" customHeight="1">
      <c r="B932" s="26"/>
      <c r="K932" s="5" t="str">
        <f>IF(J932="Yes",IFERROR(VLOOKUP(C932,'14_Master_Employees'!A:G,7,FALSE),""),"")</f>
        <v/>
      </c>
      <c r="L932" s="5" t="str">
        <f t="shared" si="1"/>
        <v/>
      </c>
    </row>
    <row r="933" ht="15.75" customHeight="1">
      <c r="B933" s="26"/>
      <c r="K933" s="5" t="str">
        <f>IF(J933="Yes",IFERROR(VLOOKUP(C933,'14_Master_Employees'!A:G,7,FALSE),""),"")</f>
        <v/>
      </c>
      <c r="L933" s="5" t="str">
        <f t="shared" si="1"/>
        <v/>
      </c>
    </row>
    <row r="934" ht="15.75" customHeight="1">
      <c r="B934" s="26"/>
      <c r="K934" s="5" t="str">
        <f>IF(J934="Yes",IFERROR(VLOOKUP(C934,'14_Master_Employees'!A:G,7,FALSE),""),"")</f>
        <v/>
      </c>
      <c r="L934" s="5" t="str">
        <f t="shared" si="1"/>
        <v/>
      </c>
    </row>
    <row r="935" ht="15.75" customHeight="1">
      <c r="B935" s="26"/>
      <c r="K935" s="5" t="str">
        <f>IF(J935="Yes",IFERROR(VLOOKUP(C935,'14_Master_Employees'!A:G,7,FALSE),""),"")</f>
        <v/>
      </c>
      <c r="L935" s="5" t="str">
        <f t="shared" si="1"/>
        <v/>
      </c>
    </row>
    <row r="936" ht="15.75" customHeight="1">
      <c r="B936" s="26"/>
      <c r="K936" s="5" t="str">
        <f>IF(J936="Yes",IFERROR(VLOOKUP(C936,'14_Master_Employees'!A:G,7,FALSE),""),"")</f>
        <v/>
      </c>
      <c r="L936" s="5" t="str">
        <f t="shared" si="1"/>
        <v/>
      </c>
    </row>
    <row r="937" ht="15.75" customHeight="1">
      <c r="B937" s="26"/>
      <c r="K937" s="5" t="str">
        <f>IF(J937="Yes",IFERROR(VLOOKUP(C937,'14_Master_Employees'!A:G,7,FALSE),""),"")</f>
        <v/>
      </c>
      <c r="L937" s="5" t="str">
        <f t="shared" si="1"/>
        <v/>
      </c>
    </row>
    <row r="938" ht="15.75" customHeight="1">
      <c r="B938" s="26"/>
      <c r="K938" s="5" t="str">
        <f>IF(J938="Yes",IFERROR(VLOOKUP(C938,'14_Master_Employees'!A:G,7,FALSE),""),"")</f>
        <v/>
      </c>
      <c r="L938" s="5" t="str">
        <f t="shared" si="1"/>
        <v/>
      </c>
    </row>
    <row r="939" ht="15.75" customHeight="1">
      <c r="B939" s="26"/>
      <c r="K939" s="5" t="str">
        <f>IF(J939="Yes",IFERROR(VLOOKUP(C939,'14_Master_Employees'!A:G,7,FALSE),""),"")</f>
        <v/>
      </c>
      <c r="L939" s="5" t="str">
        <f t="shared" si="1"/>
        <v/>
      </c>
    </row>
    <row r="940" ht="15.75" customHeight="1">
      <c r="B940" s="26"/>
      <c r="K940" s="5" t="str">
        <f>IF(J940="Yes",IFERROR(VLOOKUP(C940,'14_Master_Employees'!A:G,7,FALSE),""),"")</f>
        <v/>
      </c>
      <c r="L940" s="5" t="str">
        <f t="shared" si="1"/>
        <v/>
      </c>
    </row>
    <row r="941" ht="15.75" customHeight="1">
      <c r="B941" s="26"/>
      <c r="K941" s="5" t="str">
        <f>IF(J941="Yes",IFERROR(VLOOKUP(C941,'14_Master_Employees'!A:G,7,FALSE),""),"")</f>
        <v/>
      </c>
      <c r="L941" s="5" t="str">
        <f t="shared" si="1"/>
        <v/>
      </c>
    </row>
    <row r="942" ht="15.75" customHeight="1">
      <c r="B942" s="26"/>
      <c r="K942" s="5" t="str">
        <f>IF(J942="Yes",IFERROR(VLOOKUP(C942,'14_Master_Employees'!A:G,7,FALSE),""),"")</f>
        <v/>
      </c>
      <c r="L942" s="5" t="str">
        <f t="shared" si="1"/>
        <v/>
      </c>
    </row>
    <row r="943" ht="15.75" customHeight="1">
      <c r="B943" s="26"/>
      <c r="K943" s="5" t="str">
        <f>IF(J943="Yes",IFERROR(VLOOKUP(C943,'14_Master_Employees'!A:G,7,FALSE),""),"")</f>
        <v/>
      </c>
      <c r="L943" s="5" t="str">
        <f t="shared" si="1"/>
        <v/>
      </c>
    </row>
    <row r="944" ht="15.75" customHeight="1">
      <c r="B944" s="26"/>
      <c r="K944" s="5" t="str">
        <f>IF(J944="Yes",IFERROR(VLOOKUP(C944,'14_Master_Employees'!A:G,7,FALSE),""),"")</f>
        <v/>
      </c>
      <c r="L944" s="5" t="str">
        <f t="shared" si="1"/>
        <v/>
      </c>
    </row>
    <row r="945" ht="15.75" customHeight="1">
      <c r="B945" s="26"/>
      <c r="K945" s="5" t="str">
        <f>IF(J945="Yes",IFERROR(VLOOKUP(C945,'14_Master_Employees'!A:G,7,FALSE),""),"")</f>
        <v/>
      </c>
      <c r="L945" s="5" t="str">
        <f t="shared" si="1"/>
        <v/>
      </c>
    </row>
    <row r="946" ht="15.75" customHeight="1">
      <c r="B946" s="26"/>
      <c r="K946" s="5" t="str">
        <f>IF(J946="Yes",IFERROR(VLOOKUP(C946,'14_Master_Employees'!A:G,7,FALSE),""),"")</f>
        <v/>
      </c>
      <c r="L946" s="5" t="str">
        <f t="shared" si="1"/>
        <v/>
      </c>
    </row>
    <row r="947" ht="15.75" customHeight="1">
      <c r="B947" s="26"/>
      <c r="K947" s="5" t="str">
        <f>IF(J947="Yes",IFERROR(VLOOKUP(C947,'14_Master_Employees'!A:G,7,FALSE),""),"")</f>
        <v/>
      </c>
      <c r="L947" s="5" t="str">
        <f t="shared" si="1"/>
        <v/>
      </c>
    </row>
    <row r="948" ht="15.75" customHeight="1">
      <c r="B948" s="26"/>
      <c r="K948" s="5" t="str">
        <f>IF(J948="Yes",IFERROR(VLOOKUP(C948,'14_Master_Employees'!A:G,7,FALSE),""),"")</f>
        <v/>
      </c>
      <c r="L948" s="5" t="str">
        <f t="shared" si="1"/>
        <v/>
      </c>
    </row>
    <row r="949" ht="15.75" customHeight="1">
      <c r="B949" s="26"/>
      <c r="K949" s="5" t="str">
        <f>IF(J949="Yes",IFERROR(VLOOKUP(C949,'14_Master_Employees'!A:G,7,FALSE),""),"")</f>
        <v/>
      </c>
      <c r="L949" s="5" t="str">
        <f t="shared" si="1"/>
        <v/>
      </c>
    </row>
    <row r="950" ht="15.75" customHeight="1">
      <c r="B950" s="26"/>
      <c r="K950" s="5" t="str">
        <f>IF(J950="Yes",IFERROR(VLOOKUP(C950,'14_Master_Employees'!A:G,7,FALSE),""),"")</f>
        <v/>
      </c>
      <c r="L950" s="5" t="str">
        <f t="shared" si="1"/>
        <v/>
      </c>
    </row>
    <row r="951" ht="15.75" customHeight="1">
      <c r="B951" s="26"/>
      <c r="K951" s="5" t="str">
        <f>IF(J951="Yes",IFERROR(VLOOKUP(C951,'14_Master_Employees'!A:G,7,FALSE),""),"")</f>
        <v/>
      </c>
      <c r="L951" s="5" t="str">
        <f t="shared" si="1"/>
        <v/>
      </c>
    </row>
    <row r="952" ht="15.75" customHeight="1">
      <c r="B952" s="26"/>
      <c r="K952" s="5" t="str">
        <f>IF(J952="Yes",IFERROR(VLOOKUP(C952,'14_Master_Employees'!A:G,7,FALSE),""),"")</f>
        <v/>
      </c>
      <c r="L952" s="5" t="str">
        <f t="shared" si="1"/>
        <v/>
      </c>
    </row>
    <row r="953" ht="15.75" customHeight="1">
      <c r="B953" s="26"/>
      <c r="K953" s="5" t="str">
        <f>IF(J953="Yes",IFERROR(VLOOKUP(C953,'14_Master_Employees'!A:G,7,FALSE),""),"")</f>
        <v/>
      </c>
      <c r="L953" s="5" t="str">
        <f t="shared" si="1"/>
        <v/>
      </c>
    </row>
    <row r="954" ht="15.75" customHeight="1">
      <c r="B954" s="26"/>
      <c r="K954" s="5" t="str">
        <f>IF(J954="Yes",IFERROR(VLOOKUP(C954,'14_Master_Employees'!A:G,7,FALSE),""),"")</f>
        <v/>
      </c>
      <c r="L954" s="5" t="str">
        <f t="shared" si="1"/>
        <v/>
      </c>
    </row>
    <row r="955" ht="15.75" customHeight="1">
      <c r="B955" s="26"/>
      <c r="K955" s="5" t="str">
        <f>IF(J955="Yes",IFERROR(VLOOKUP(C955,'14_Master_Employees'!A:G,7,FALSE),""),"")</f>
        <v/>
      </c>
      <c r="L955" s="5" t="str">
        <f t="shared" si="1"/>
        <v/>
      </c>
    </row>
    <row r="956" ht="15.75" customHeight="1">
      <c r="B956" s="26"/>
      <c r="K956" s="5" t="str">
        <f>IF(J956="Yes",IFERROR(VLOOKUP(C956,'14_Master_Employees'!A:G,7,FALSE),""),"")</f>
        <v/>
      </c>
      <c r="L956" s="5" t="str">
        <f t="shared" si="1"/>
        <v/>
      </c>
    </row>
    <row r="957" ht="15.75" customHeight="1">
      <c r="B957" s="26"/>
      <c r="K957" s="5" t="str">
        <f>IF(J957="Yes",IFERROR(VLOOKUP(C957,'14_Master_Employees'!A:G,7,FALSE),""),"")</f>
        <v/>
      </c>
      <c r="L957" s="5" t="str">
        <f t="shared" si="1"/>
        <v/>
      </c>
    </row>
    <row r="958" ht="15.75" customHeight="1">
      <c r="B958" s="26"/>
      <c r="K958" s="5" t="str">
        <f>IF(J958="Yes",IFERROR(VLOOKUP(C958,'14_Master_Employees'!A:G,7,FALSE),""),"")</f>
        <v/>
      </c>
      <c r="L958" s="5" t="str">
        <f t="shared" si="1"/>
        <v/>
      </c>
    </row>
    <row r="959" ht="15.75" customHeight="1">
      <c r="B959" s="26"/>
      <c r="K959" s="5" t="str">
        <f>IF(J959="Yes",IFERROR(VLOOKUP(C959,'14_Master_Employees'!A:G,7,FALSE),""),"")</f>
        <v/>
      </c>
      <c r="L959" s="5" t="str">
        <f t="shared" si="1"/>
        <v/>
      </c>
    </row>
    <row r="960" ht="15.75" customHeight="1">
      <c r="B960" s="26"/>
      <c r="K960" s="5" t="str">
        <f>IF(J960="Yes",IFERROR(VLOOKUP(C960,'14_Master_Employees'!A:G,7,FALSE),""),"")</f>
        <v/>
      </c>
      <c r="L960" s="5" t="str">
        <f t="shared" si="1"/>
        <v/>
      </c>
    </row>
    <row r="961" ht="15.75" customHeight="1">
      <c r="B961" s="26"/>
      <c r="K961" s="5" t="str">
        <f>IF(J961="Yes",IFERROR(VLOOKUP(C961,'14_Master_Employees'!A:G,7,FALSE),""),"")</f>
        <v/>
      </c>
      <c r="L961" s="5" t="str">
        <f t="shared" si="1"/>
        <v/>
      </c>
    </row>
    <row r="962" ht="15.75" customHeight="1">
      <c r="B962" s="26"/>
      <c r="K962" s="5" t="str">
        <f>IF(J962="Yes",IFERROR(VLOOKUP(C962,'14_Master_Employees'!A:G,7,FALSE),""),"")</f>
        <v/>
      </c>
      <c r="L962" s="5" t="str">
        <f t="shared" si="1"/>
        <v/>
      </c>
    </row>
    <row r="963" ht="15.75" customHeight="1">
      <c r="B963" s="26"/>
      <c r="K963" s="5" t="str">
        <f>IF(J963="Yes",IFERROR(VLOOKUP(C963,'14_Master_Employees'!A:G,7,FALSE),""),"")</f>
        <v/>
      </c>
      <c r="L963" s="5" t="str">
        <f t="shared" si="1"/>
        <v/>
      </c>
    </row>
    <row r="964" ht="15.75" customHeight="1">
      <c r="B964" s="26"/>
      <c r="K964" s="5" t="str">
        <f>IF(J964="Yes",IFERROR(VLOOKUP(C964,'14_Master_Employees'!A:G,7,FALSE),""),"")</f>
        <v/>
      </c>
      <c r="L964" s="5" t="str">
        <f t="shared" si="1"/>
        <v/>
      </c>
    </row>
    <row r="965" ht="15.75" customHeight="1">
      <c r="B965" s="26"/>
      <c r="K965" s="5" t="str">
        <f>IF(J965="Yes",IFERROR(VLOOKUP(C965,'14_Master_Employees'!A:G,7,FALSE),""),"")</f>
        <v/>
      </c>
      <c r="L965" s="5" t="str">
        <f t="shared" si="1"/>
        <v/>
      </c>
    </row>
    <row r="966" ht="15.75" customHeight="1">
      <c r="B966" s="26"/>
      <c r="K966" s="5" t="str">
        <f>IF(J966="Yes",IFERROR(VLOOKUP(C966,'14_Master_Employees'!A:G,7,FALSE),""),"")</f>
        <v/>
      </c>
      <c r="L966" s="5" t="str">
        <f t="shared" si="1"/>
        <v/>
      </c>
    </row>
    <row r="967" ht="15.75" customHeight="1">
      <c r="B967" s="26"/>
      <c r="K967" s="5" t="str">
        <f>IF(J967="Yes",IFERROR(VLOOKUP(C967,'14_Master_Employees'!A:G,7,FALSE),""),"")</f>
        <v/>
      </c>
      <c r="L967" s="5" t="str">
        <f t="shared" si="1"/>
        <v/>
      </c>
    </row>
    <row r="968" ht="15.75" customHeight="1">
      <c r="B968" s="26"/>
      <c r="K968" s="5" t="str">
        <f>IF(J968="Yes",IFERROR(VLOOKUP(C968,'14_Master_Employees'!A:G,7,FALSE),""),"")</f>
        <v/>
      </c>
      <c r="L968" s="5" t="str">
        <f t="shared" si="1"/>
        <v/>
      </c>
    </row>
    <row r="969" ht="15.75" customHeight="1">
      <c r="B969" s="26"/>
      <c r="K969" s="5" t="str">
        <f>IF(J969="Yes",IFERROR(VLOOKUP(C969,'14_Master_Employees'!A:G,7,FALSE),""),"")</f>
        <v/>
      </c>
      <c r="L969" s="5" t="str">
        <f t="shared" si="1"/>
        <v/>
      </c>
    </row>
    <row r="970" ht="15.75" customHeight="1">
      <c r="B970" s="26"/>
      <c r="K970" s="5" t="str">
        <f>IF(J970="Yes",IFERROR(VLOOKUP(C970,'14_Master_Employees'!A:G,7,FALSE),""),"")</f>
        <v/>
      </c>
      <c r="L970" s="5" t="str">
        <f t="shared" si="1"/>
        <v/>
      </c>
    </row>
    <row r="971" ht="15.75" customHeight="1">
      <c r="B971" s="26"/>
      <c r="K971" s="5" t="str">
        <f>IF(J971="Yes",IFERROR(VLOOKUP(C971,'14_Master_Employees'!A:G,7,FALSE),""),"")</f>
        <v/>
      </c>
      <c r="L971" s="5" t="str">
        <f t="shared" si="1"/>
        <v/>
      </c>
    </row>
    <row r="972" ht="15.75" customHeight="1">
      <c r="B972" s="26"/>
      <c r="K972" s="5" t="str">
        <f>IF(J972="Yes",IFERROR(VLOOKUP(C972,'14_Master_Employees'!A:G,7,FALSE),""),"")</f>
        <v/>
      </c>
      <c r="L972" s="5" t="str">
        <f t="shared" si="1"/>
        <v/>
      </c>
    </row>
    <row r="973" ht="15.75" customHeight="1">
      <c r="B973" s="26"/>
      <c r="K973" s="5" t="str">
        <f>IF(J973="Yes",IFERROR(VLOOKUP(C973,'14_Master_Employees'!A:G,7,FALSE),""),"")</f>
        <v/>
      </c>
      <c r="L973" s="5" t="str">
        <f t="shared" si="1"/>
        <v/>
      </c>
    </row>
    <row r="974" ht="15.75" customHeight="1">
      <c r="B974" s="26"/>
      <c r="K974" s="5" t="str">
        <f>IF(J974="Yes",IFERROR(VLOOKUP(C974,'14_Master_Employees'!A:G,7,FALSE),""),"")</f>
        <v/>
      </c>
      <c r="L974" s="5" t="str">
        <f t="shared" si="1"/>
        <v/>
      </c>
    </row>
    <row r="975" ht="15.75" customHeight="1">
      <c r="B975" s="26"/>
      <c r="K975" s="5" t="str">
        <f>IF(J975="Yes",IFERROR(VLOOKUP(C975,'14_Master_Employees'!A:G,7,FALSE),""),"")</f>
        <v/>
      </c>
      <c r="L975" s="5" t="str">
        <f t="shared" si="1"/>
        <v/>
      </c>
    </row>
    <row r="976" ht="15.75" customHeight="1">
      <c r="B976" s="26"/>
      <c r="K976" s="5" t="str">
        <f>IF(J976="Yes",IFERROR(VLOOKUP(C976,'14_Master_Employees'!A:G,7,FALSE),""),"")</f>
        <v/>
      </c>
      <c r="L976" s="5" t="str">
        <f t="shared" si="1"/>
        <v/>
      </c>
    </row>
    <row r="977" ht="15.75" customHeight="1">
      <c r="B977" s="26"/>
      <c r="K977" s="5" t="str">
        <f>IF(J977="Yes",IFERROR(VLOOKUP(C977,'14_Master_Employees'!A:G,7,FALSE),""),"")</f>
        <v/>
      </c>
      <c r="L977" s="5" t="str">
        <f t="shared" si="1"/>
        <v/>
      </c>
    </row>
    <row r="978" ht="15.75" customHeight="1">
      <c r="B978" s="26"/>
      <c r="K978" s="5" t="str">
        <f>IF(J978="Yes",IFERROR(VLOOKUP(C978,'14_Master_Employees'!A:G,7,FALSE),""),"")</f>
        <v/>
      </c>
      <c r="L978" s="5" t="str">
        <f t="shared" si="1"/>
        <v/>
      </c>
    </row>
    <row r="979" ht="15.75" customHeight="1">
      <c r="B979" s="26"/>
      <c r="K979" s="5" t="str">
        <f>IF(J979="Yes",IFERROR(VLOOKUP(C979,'14_Master_Employees'!A:G,7,FALSE),""),"")</f>
        <v/>
      </c>
      <c r="L979" s="5" t="str">
        <f t="shared" si="1"/>
        <v/>
      </c>
    </row>
    <row r="980" ht="15.75" customHeight="1">
      <c r="B980" s="26"/>
      <c r="K980" s="5" t="str">
        <f>IF(J980="Yes",IFERROR(VLOOKUP(C980,'14_Master_Employees'!A:G,7,FALSE),""),"")</f>
        <v/>
      </c>
      <c r="L980" s="5" t="str">
        <f t="shared" si="1"/>
        <v/>
      </c>
    </row>
    <row r="981" ht="15.75" customHeight="1">
      <c r="B981" s="26"/>
      <c r="K981" s="5" t="str">
        <f>IF(J981="Yes",IFERROR(VLOOKUP(C981,'14_Master_Employees'!A:G,7,FALSE),""),"")</f>
        <v/>
      </c>
      <c r="L981" s="5" t="str">
        <f t="shared" si="1"/>
        <v/>
      </c>
    </row>
    <row r="982" ht="15.75" customHeight="1">
      <c r="B982" s="26"/>
      <c r="K982" s="5" t="str">
        <f>IF(J982="Yes",IFERROR(VLOOKUP(C982,'14_Master_Employees'!A:G,7,FALSE),""),"")</f>
        <v/>
      </c>
      <c r="L982" s="5" t="str">
        <f t="shared" si="1"/>
        <v/>
      </c>
    </row>
    <row r="983" ht="15.75" customHeight="1">
      <c r="B983" s="26"/>
      <c r="K983" s="5" t="str">
        <f>IF(J983="Yes",IFERROR(VLOOKUP(C983,'14_Master_Employees'!A:G,7,FALSE),""),"")</f>
        <v/>
      </c>
      <c r="L983" s="5" t="str">
        <f t="shared" si="1"/>
        <v/>
      </c>
    </row>
    <row r="984" ht="15.75" customHeight="1">
      <c r="B984" s="26"/>
      <c r="K984" s="5" t="str">
        <f>IF(J984="Yes",IFERROR(VLOOKUP(C984,'14_Master_Employees'!A:G,7,FALSE),""),"")</f>
        <v/>
      </c>
      <c r="L984" s="5" t="str">
        <f t="shared" si="1"/>
        <v/>
      </c>
    </row>
    <row r="985" ht="15.75" customHeight="1">
      <c r="B985" s="26"/>
      <c r="K985" s="5" t="str">
        <f>IF(J985="Yes",IFERROR(VLOOKUP(C985,'14_Master_Employees'!A:G,7,FALSE),""),"")</f>
        <v/>
      </c>
      <c r="L985" s="5" t="str">
        <f t="shared" si="1"/>
        <v/>
      </c>
    </row>
    <row r="986" ht="15.75" customHeight="1">
      <c r="B986" s="26"/>
      <c r="K986" s="5" t="str">
        <f>IF(J986="Yes",IFERROR(VLOOKUP(C986,'14_Master_Employees'!A:G,7,FALSE),""),"")</f>
        <v/>
      </c>
      <c r="L986" s="5" t="str">
        <f t="shared" si="1"/>
        <v/>
      </c>
    </row>
    <row r="987" ht="15.75" customHeight="1">
      <c r="B987" s="26"/>
      <c r="K987" s="5" t="str">
        <f>IF(J987="Yes",IFERROR(VLOOKUP(C987,'14_Master_Employees'!A:G,7,FALSE),""),"")</f>
        <v/>
      </c>
      <c r="L987" s="5" t="str">
        <f t="shared" si="1"/>
        <v/>
      </c>
    </row>
    <row r="988" ht="15.75" customHeight="1">
      <c r="B988" s="26"/>
      <c r="K988" s="5" t="str">
        <f>IF(J988="Yes",IFERROR(VLOOKUP(C988,'14_Master_Employees'!A:G,7,FALSE),""),"")</f>
        <v/>
      </c>
      <c r="L988" s="5" t="str">
        <f t="shared" si="1"/>
        <v/>
      </c>
    </row>
    <row r="989" ht="15.75" customHeight="1">
      <c r="B989" s="26"/>
      <c r="K989" s="5" t="str">
        <f>IF(J989="Yes",IFERROR(VLOOKUP(C989,'14_Master_Employees'!A:G,7,FALSE),""),"")</f>
        <v/>
      </c>
      <c r="L989" s="5" t="str">
        <f t="shared" si="1"/>
        <v/>
      </c>
    </row>
    <row r="990" ht="15.75" customHeight="1">
      <c r="B990" s="26"/>
      <c r="K990" s="5" t="str">
        <f>IF(J990="Yes",IFERROR(VLOOKUP(C990,'14_Master_Employees'!A:G,7,FALSE),""),"")</f>
        <v/>
      </c>
      <c r="L990" s="5" t="str">
        <f t="shared" si="1"/>
        <v/>
      </c>
    </row>
    <row r="991" ht="15.75" customHeight="1">
      <c r="B991" s="26"/>
      <c r="K991" s="5" t="str">
        <f>IF(J991="Yes",IFERROR(VLOOKUP(C991,'14_Master_Employees'!A:G,7,FALSE),""),"")</f>
        <v/>
      </c>
      <c r="L991" s="5" t="str">
        <f t="shared" si="1"/>
        <v/>
      </c>
    </row>
    <row r="992" ht="15.75" customHeight="1">
      <c r="B992" s="26"/>
      <c r="K992" s="5" t="str">
        <f>IF(J992="Yes",IFERROR(VLOOKUP(C992,'14_Master_Employees'!A:G,7,FALSE),""),"")</f>
        <v/>
      </c>
      <c r="L992" s="5" t="str">
        <f t="shared" si="1"/>
        <v/>
      </c>
    </row>
    <row r="993" ht="15.75" customHeight="1">
      <c r="B993" s="26"/>
      <c r="K993" s="5" t="str">
        <f>IF(J993="Yes",IFERROR(VLOOKUP(C993,'14_Master_Employees'!A:G,7,FALSE),""),"")</f>
        <v/>
      </c>
      <c r="L993" s="5" t="str">
        <f t="shared" si="1"/>
        <v/>
      </c>
    </row>
    <row r="994" ht="15.75" customHeight="1">
      <c r="B994" s="26"/>
      <c r="K994" s="5" t="str">
        <f>IF(J994="Yes",IFERROR(VLOOKUP(C994,'14_Master_Employees'!A:G,7,FALSE),""),"")</f>
        <v/>
      </c>
      <c r="L994" s="5" t="str">
        <f t="shared" si="1"/>
        <v/>
      </c>
    </row>
    <row r="995" ht="15.75" customHeight="1">
      <c r="B995" s="26"/>
      <c r="K995" s="5" t="str">
        <f>IF(J995="Yes",IFERROR(VLOOKUP(C995,'14_Master_Employees'!A:G,7,FALSE),""),"")</f>
        <v/>
      </c>
      <c r="L995" s="5" t="str">
        <f t="shared" si="1"/>
        <v/>
      </c>
    </row>
    <row r="996" ht="15.75" customHeight="1">
      <c r="B996" s="26"/>
      <c r="K996" s="5" t="str">
        <f>IF(J996="Yes",IFERROR(VLOOKUP(C996,'14_Master_Employees'!A:G,7,FALSE),""),"")</f>
        <v/>
      </c>
      <c r="L996" s="5" t="str">
        <f t="shared" si="1"/>
        <v/>
      </c>
    </row>
    <row r="997" ht="15.75" customHeight="1">
      <c r="B997" s="26"/>
      <c r="K997" s="5" t="str">
        <f>IF(J997="Yes",IFERROR(VLOOKUP(C997,'14_Master_Employees'!A:G,7,FALSE),""),"")</f>
        <v/>
      </c>
      <c r="L997" s="5" t="str">
        <f t="shared" si="1"/>
        <v/>
      </c>
    </row>
    <row r="998" ht="15.75" customHeight="1">
      <c r="B998" s="26"/>
      <c r="K998" s="5" t="str">
        <f>IF(J998="Yes",IFERROR(VLOOKUP(C998,'14_Master_Employees'!A:G,7,FALSE),""),"")</f>
        <v/>
      </c>
      <c r="L998" s="5" t="str">
        <f t="shared" si="1"/>
        <v/>
      </c>
    </row>
    <row r="999" ht="15.75" customHeight="1">
      <c r="B999" s="26"/>
      <c r="K999" s="5" t="str">
        <f>IF(J999="Yes",IFERROR(VLOOKUP(C999,'14_Master_Employees'!A:G,7,FALSE),""),"")</f>
        <v/>
      </c>
      <c r="L999" s="5" t="str">
        <f t="shared" si="1"/>
        <v/>
      </c>
    </row>
    <row r="1000" ht="15.75" customHeight="1">
      <c r="B1000" s="26"/>
      <c r="K1000" s="5" t="str">
        <f>IF(J1000="Yes",IFERROR(VLOOKUP(C1000,'14_Master_Employees'!A:G,7,FALSE),""),"")</f>
        <v/>
      </c>
      <c r="L1000" s="5" t="str">
        <f t="shared" si="1"/>
        <v/>
      </c>
    </row>
    <row r="1001" ht="15.75" customHeight="1">
      <c r="B1001" s="26"/>
      <c r="K1001" s="5" t="str">
        <f>IF(J1001="Yes",IFERROR(VLOOKUP(C1001,'14_Master_Employees'!A:G,7,FALSE),""),"")</f>
        <v/>
      </c>
      <c r="L1001" s="5" t="str">
        <f t="shared" si="1"/>
        <v/>
      </c>
    </row>
    <row r="1002" ht="15.75" customHeight="1">
      <c r="B1002" s="26"/>
      <c r="K1002" s="5" t="str">
        <f>IF(J1002="Yes",IFERROR(VLOOKUP(C1002,'14_Master_Employees'!A:G,7,FALSE),""),"")</f>
        <v/>
      </c>
      <c r="L1002" s="5" t="str">
        <f t="shared" si="1"/>
        <v/>
      </c>
    </row>
    <row r="1003" ht="15.75" customHeight="1">
      <c r="B1003" s="26"/>
      <c r="K1003" s="5" t="str">
        <f>IF(J1003="Yes",IFERROR(VLOOKUP(C1003,'14_Master_Employees'!A:G,7,FALSE),""),"")</f>
        <v/>
      </c>
      <c r="L1003" s="5" t="str">
        <f t="shared" si="1"/>
        <v/>
      </c>
    </row>
    <row r="1004" ht="15.75" customHeight="1">
      <c r="B1004" s="26"/>
      <c r="K1004" s="5" t="str">
        <f>IF(J1004="Yes",IFERROR(VLOOKUP(C1004,'14_Master_Employees'!A:G,7,FALSE),""),"")</f>
        <v/>
      </c>
      <c r="L1004" s="5" t="str">
        <f t="shared" si="1"/>
        <v/>
      </c>
    </row>
    <row r="1005" ht="15.75" customHeight="1">
      <c r="B1005" s="26"/>
      <c r="K1005" s="5" t="str">
        <f>IF(J1005="Yes",IFERROR(VLOOKUP(C1005,'14_Master_Employees'!A:G,7,FALSE),""),"")</f>
        <v/>
      </c>
      <c r="L1005" s="5" t="str">
        <f t="shared" si="1"/>
        <v/>
      </c>
    </row>
    <row r="1006" ht="15.75" customHeight="1">
      <c r="B1006" s="26"/>
      <c r="K1006" s="5" t="str">
        <f>IF(J1006="Yes",IFERROR(VLOOKUP(C1006,'14_Master_Employees'!A:G,7,FALSE),""),"")</f>
        <v/>
      </c>
      <c r="L1006" s="5" t="str">
        <f t="shared" si="1"/>
        <v/>
      </c>
    </row>
    <row r="1007" ht="15.75" customHeight="1">
      <c r="B1007" s="26"/>
      <c r="K1007" s="5" t="str">
        <f>IF(J1007="Yes",IFERROR(VLOOKUP(C1007,'14_Master_Employees'!A:G,7,FALSE),""),"")</f>
        <v/>
      </c>
      <c r="L1007" s="5" t="str">
        <f t="shared" si="1"/>
        <v/>
      </c>
    </row>
    <row r="1008" ht="15.75" customHeight="1">
      <c r="B1008" s="26"/>
      <c r="K1008" s="5" t="str">
        <f>IF(J1008="Yes",IFERROR(VLOOKUP(C1008,'14_Master_Employees'!A:G,7,FALSE),""),"")</f>
        <v/>
      </c>
      <c r="L1008" s="5" t="str">
        <f t="shared" si="1"/>
        <v/>
      </c>
    </row>
    <row r="1009" ht="15.75" customHeight="1">
      <c r="B1009" s="26"/>
      <c r="K1009" s="5" t="str">
        <f>IF(J1009="Yes",IFERROR(VLOOKUP(C1009,'14_Master_Employees'!A:G,7,FALSE),""),"")</f>
        <v/>
      </c>
      <c r="L1009" s="5" t="str">
        <f t="shared" si="1"/>
        <v/>
      </c>
    </row>
    <row r="1010" ht="15.75" customHeight="1">
      <c r="B1010" s="26"/>
      <c r="K1010" s="5" t="str">
        <f>IF(J1010="Yes",IFERROR(VLOOKUP(C1010,'14_Master_Employees'!A:G,7,FALSE),""),"")</f>
        <v/>
      </c>
      <c r="L1010" s="5" t="str">
        <f t="shared" si="1"/>
        <v/>
      </c>
    </row>
    <row r="1011" ht="15.75" customHeight="1">
      <c r="B1011" s="26"/>
      <c r="K1011" s="5" t="str">
        <f>IF(J1011="Yes",IFERROR(VLOOKUP(C1011,'14_Master_Employees'!A:G,7,FALSE),""),"")</f>
        <v/>
      </c>
      <c r="L1011" s="5" t="str">
        <f t="shared" si="1"/>
        <v/>
      </c>
    </row>
    <row r="1012" ht="15.75" customHeight="1">
      <c r="B1012" s="26"/>
      <c r="K1012" s="5" t="str">
        <f>IF(J1012="Yes",IFERROR(VLOOKUP(C1012,'14_Master_Employees'!A:G,7,FALSE),""),"")</f>
        <v/>
      </c>
      <c r="L1012" s="5" t="str">
        <f t="shared" si="1"/>
        <v/>
      </c>
    </row>
    <row r="1013" ht="15.75" customHeight="1">
      <c r="B1013" s="26"/>
      <c r="K1013" s="5" t="str">
        <f>IF(J1013="Yes",IFERROR(VLOOKUP(C1013,'14_Master_Employees'!A:G,7,FALSE),""),"")</f>
        <v/>
      </c>
      <c r="L1013" s="5" t="str">
        <f t="shared" si="1"/>
        <v/>
      </c>
    </row>
    <row r="1014" ht="15.75" customHeight="1">
      <c r="B1014" s="26"/>
      <c r="K1014" s="5" t="str">
        <f>IF(J1014="Yes",IFERROR(VLOOKUP(C1014,'14_Master_Employees'!A:G,7,FALSE),""),"")</f>
        <v/>
      </c>
      <c r="L1014" s="5" t="str">
        <f t="shared" si="1"/>
        <v/>
      </c>
    </row>
    <row r="1015" ht="15.75" customHeight="1">
      <c r="B1015" s="26"/>
      <c r="K1015" s="5" t="str">
        <f>IF(J1015="Yes",IFERROR(VLOOKUP(C1015,'14_Master_Employees'!A:G,7,FALSE),""),"")</f>
        <v/>
      </c>
      <c r="L1015" s="5" t="str">
        <f t="shared" si="1"/>
        <v/>
      </c>
    </row>
    <row r="1016" ht="15.75" customHeight="1">
      <c r="B1016" s="26"/>
      <c r="K1016" s="5" t="str">
        <f>IF(J1016="Yes",IFERROR(VLOOKUP(C1016,'14_Master_Employees'!A:G,7,FALSE),""),"")</f>
        <v/>
      </c>
      <c r="L1016" s="5" t="str">
        <f t="shared" si="1"/>
        <v/>
      </c>
    </row>
    <row r="1017" ht="15.75" customHeight="1">
      <c r="B1017" s="26"/>
      <c r="K1017" s="5" t="str">
        <f>IF(J1017="Yes",IFERROR(VLOOKUP(C1017,'14_Master_Employees'!A:G,7,FALSE),""),"")</f>
        <v/>
      </c>
      <c r="L1017" s="5" t="str">
        <f t="shared" si="1"/>
        <v/>
      </c>
    </row>
    <row r="1018" ht="15.75" customHeight="1">
      <c r="B1018" s="26"/>
      <c r="K1018" s="5" t="str">
        <f>IF(J1018="Yes",IFERROR(VLOOKUP(C1018,'14_Master_Employees'!A:G,7,FALSE),""),"")</f>
        <v/>
      </c>
      <c r="L1018" s="5" t="str">
        <f t="shared" si="1"/>
        <v/>
      </c>
    </row>
    <row r="1019" ht="15.75" customHeight="1">
      <c r="B1019" s="26"/>
      <c r="K1019" s="5" t="str">
        <f>IF(J1019="Yes",IFERROR(VLOOKUP(C1019,'14_Master_Employees'!A:G,7,FALSE),""),"")</f>
        <v/>
      </c>
      <c r="L1019" s="5" t="str">
        <f t="shared" si="1"/>
        <v/>
      </c>
    </row>
    <row r="1020" ht="15.75" customHeight="1">
      <c r="B1020" s="26"/>
      <c r="K1020" s="5" t="str">
        <f>IF(J1020="Yes",IFERROR(VLOOKUP(C1020,'14_Master_Employees'!A:G,7,FALSE),""),"")</f>
        <v/>
      </c>
      <c r="L1020" s="5" t="str">
        <f t="shared" si="1"/>
        <v/>
      </c>
    </row>
    <row r="1021" ht="15.75" customHeight="1">
      <c r="B1021" s="26"/>
      <c r="K1021" s="5" t="str">
        <f>IF(J1021="Yes",IFERROR(VLOOKUP(C1021,'14_Master_Employees'!A:G,7,FALSE),""),"")</f>
        <v/>
      </c>
      <c r="L1021" s="5" t="str">
        <f t="shared" si="1"/>
        <v/>
      </c>
    </row>
    <row r="1022" ht="15.75" customHeight="1">
      <c r="B1022" s="26"/>
      <c r="K1022" s="5" t="str">
        <f>IF(J1022="Yes",IFERROR(VLOOKUP(C1022,'14_Master_Employees'!A:G,7,FALSE),""),"")</f>
        <v/>
      </c>
      <c r="L1022" s="5" t="str">
        <f t="shared" si="1"/>
        <v/>
      </c>
    </row>
    <row r="1023" ht="15.75" customHeight="1">
      <c r="B1023" s="26"/>
      <c r="K1023" s="5" t="str">
        <f>IF(J1023="Yes",IFERROR(VLOOKUP(C1023,'14_Master_Employees'!A:G,7,FALSE),""),"")</f>
        <v/>
      </c>
      <c r="L1023" s="5" t="str">
        <f t="shared" si="1"/>
        <v/>
      </c>
    </row>
    <row r="1024" ht="15.75" customHeight="1">
      <c r="B1024" s="26"/>
      <c r="K1024" s="5" t="str">
        <f>IF(J1024="Yes",IFERROR(VLOOKUP(C1024,'14_Master_Employees'!A:G,7,FALSE),""),"")</f>
        <v/>
      </c>
      <c r="L1024" s="5" t="str">
        <f t="shared" si="1"/>
        <v/>
      </c>
    </row>
    <row r="1025" ht="15.75" customHeight="1">
      <c r="B1025" s="26"/>
      <c r="K1025" s="5" t="str">
        <f>IF(J1025="Yes",IFERROR(VLOOKUP(C1025,'14_Master_Employees'!A:G,7,FALSE),""),"")</f>
        <v/>
      </c>
      <c r="L1025" s="5" t="str">
        <f t="shared" si="1"/>
        <v/>
      </c>
    </row>
    <row r="1026" ht="15.75" customHeight="1">
      <c r="B1026" s="26"/>
      <c r="K1026" s="5" t="str">
        <f>IF(J1026="Yes",IFERROR(VLOOKUP(C1026,'14_Master_Employees'!A:G,7,FALSE),""),"")</f>
        <v/>
      </c>
      <c r="L1026" s="5" t="str">
        <f t="shared" si="1"/>
        <v/>
      </c>
    </row>
    <row r="1027" ht="15.75" customHeight="1">
      <c r="B1027" s="26"/>
      <c r="K1027" s="5" t="str">
        <f>IF(J1027="Yes",IFERROR(VLOOKUP(C1027,'14_Master_Employees'!A:G,7,FALSE),""),"")</f>
        <v/>
      </c>
      <c r="L1027" s="5" t="str">
        <f t="shared" si="1"/>
        <v/>
      </c>
    </row>
    <row r="1028" ht="15.75" customHeight="1">
      <c r="B1028" s="26"/>
      <c r="K1028" s="5" t="str">
        <f>IF(J1028="Yes",IFERROR(VLOOKUP(C1028,'14_Master_Employees'!A:G,7,FALSE),""),"")</f>
        <v/>
      </c>
      <c r="L1028" s="5" t="str">
        <f t="shared" si="1"/>
        <v/>
      </c>
    </row>
    <row r="1029" ht="15.75" customHeight="1">
      <c r="B1029" s="26"/>
      <c r="K1029" s="5" t="str">
        <f>IF(J1029="Yes",IFERROR(VLOOKUP(C1029,'14_Master_Employees'!A:G,7,FALSE),""),"")</f>
        <v/>
      </c>
      <c r="L1029" s="5" t="str">
        <f t="shared" si="1"/>
        <v/>
      </c>
    </row>
    <row r="1030" ht="15.75" customHeight="1">
      <c r="B1030" s="26"/>
      <c r="K1030" s="5" t="str">
        <f>IF(J1030="Yes",IFERROR(VLOOKUP(C1030,'14_Master_Employees'!A:G,7,FALSE),""),"")</f>
        <v/>
      </c>
      <c r="L1030" s="5" t="str">
        <f t="shared" si="1"/>
        <v/>
      </c>
    </row>
    <row r="1031" ht="15.75" customHeight="1">
      <c r="B1031" s="26"/>
      <c r="K1031" s="5" t="str">
        <f>IF(J1031="Yes",IFERROR(VLOOKUP(C1031,'14_Master_Employees'!A:G,7,FALSE),""),"")</f>
        <v/>
      </c>
      <c r="L1031" s="5" t="str">
        <f t="shared" si="1"/>
        <v/>
      </c>
    </row>
    <row r="1032" ht="15.75" customHeight="1">
      <c r="B1032" s="26"/>
      <c r="K1032" s="5" t="str">
        <f>IF(J1032="Yes",IFERROR(VLOOKUP(C1032,'14_Master_Employees'!A:G,7,FALSE),""),"")</f>
        <v/>
      </c>
      <c r="L1032" s="5" t="str">
        <f t="shared" si="1"/>
        <v/>
      </c>
    </row>
    <row r="1033" ht="15.75" customHeight="1">
      <c r="B1033" s="26"/>
      <c r="K1033" s="5" t="str">
        <f>IF(J1033="Yes",IFERROR(VLOOKUP(C1033,'14_Master_Employees'!A:G,7,FALSE),""),"")</f>
        <v/>
      </c>
      <c r="L1033" s="5" t="str">
        <f t="shared" si="1"/>
        <v/>
      </c>
    </row>
    <row r="1034" ht="15.75" customHeight="1">
      <c r="B1034" s="26"/>
      <c r="K1034" s="5" t="str">
        <f>IF(J1034="Yes",IFERROR(VLOOKUP(C1034,'14_Master_Employees'!A:G,7,FALSE),""),"")</f>
        <v/>
      </c>
      <c r="L1034" s="5" t="str">
        <f t="shared" si="1"/>
        <v/>
      </c>
    </row>
    <row r="1035" ht="15.75" customHeight="1">
      <c r="B1035" s="26"/>
      <c r="K1035" s="5" t="str">
        <f>IF(J1035="Yes",IFERROR(VLOOKUP(C1035,'14_Master_Employees'!A:G,7,FALSE),""),"")</f>
        <v/>
      </c>
      <c r="L1035" s="5" t="str">
        <f t="shared" si="1"/>
        <v/>
      </c>
    </row>
    <row r="1036" ht="15.75" customHeight="1">
      <c r="B1036" s="26"/>
      <c r="K1036" s="5" t="str">
        <f>IF(J1036="Yes",IFERROR(VLOOKUP(C1036,'14_Master_Employees'!A:G,7,FALSE),""),"")</f>
        <v/>
      </c>
      <c r="L1036" s="5" t="str">
        <f t="shared" si="1"/>
        <v/>
      </c>
    </row>
    <row r="1037" ht="15.75" customHeight="1">
      <c r="B1037" s="26"/>
      <c r="K1037" s="5" t="str">
        <f>IF(J1037="Yes",IFERROR(VLOOKUP(C1037,'14_Master_Employees'!A:G,7,FALSE),""),"")</f>
        <v/>
      </c>
      <c r="L1037" s="5" t="str">
        <f t="shared" si="1"/>
        <v/>
      </c>
    </row>
    <row r="1038" ht="15.75" customHeight="1">
      <c r="B1038" s="26"/>
      <c r="K1038" s="5" t="str">
        <f>IF(J1038="Yes",IFERROR(VLOOKUP(C1038,'14_Master_Employees'!A:G,7,FALSE),""),"")</f>
        <v/>
      </c>
      <c r="L1038" s="5" t="str">
        <f t="shared" si="1"/>
        <v/>
      </c>
    </row>
    <row r="1039" ht="15.75" customHeight="1">
      <c r="B1039" s="26"/>
      <c r="K1039" s="5" t="str">
        <f>IF(J1039="Yes",IFERROR(VLOOKUP(C1039,'14_Master_Employees'!A:G,7,FALSE),""),"")</f>
        <v/>
      </c>
      <c r="L1039" s="5" t="str">
        <f t="shared" si="1"/>
        <v/>
      </c>
    </row>
    <row r="1040" ht="15.75" customHeight="1">
      <c r="B1040" s="26"/>
      <c r="K1040" s="5" t="str">
        <f>IF(J1040="Yes",IFERROR(VLOOKUP(C1040,'14_Master_Employees'!A:G,7,FALSE),""),"")</f>
        <v/>
      </c>
      <c r="L1040" s="5" t="str">
        <f t="shared" si="1"/>
        <v/>
      </c>
    </row>
    <row r="1041" ht="15.75" customHeight="1">
      <c r="B1041" s="26"/>
      <c r="K1041" s="5" t="str">
        <f>IF(J1041="Yes",IFERROR(VLOOKUP(C1041,'14_Master_Employees'!A:G,7,FALSE),""),"")</f>
        <v/>
      </c>
      <c r="L1041" s="5" t="str">
        <f t="shared" si="1"/>
        <v/>
      </c>
    </row>
    <row r="1042" ht="15.75" customHeight="1">
      <c r="B1042" s="26"/>
      <c r="K1042" s="5" t="str">
        <f>IF(J1042="Yes",IFERROR(VLOOKUP(C1042,'14_Master_Employees'!A:G,7,FALSE),""),"")</f>
        <v/>
      </c>
      <c r="L1042" s="5" t="str">
        <f t="shared" si="1"/>
        <v/>
      </c>
    </row>
    <row r="1043" ht="15.75" customHeight="1">
      <c r="B1043" s="26"/>
      <c r="K1043" s="5" t="str">
        <f>IF(J1043="Yes",IFERROR(VLOOKUP(C1043,'14_Master_Employees'!A:G,7,FALSE),""),"")</f>
        <v/>
      </c>
      <c r="L1043" s="5" t="str">
        <f t="shared" si="1"/>
        <v/>
      </c>
    </row>
    <row r="1044" ht="15.75" customHeight="1">
      <c r="B1044" s="26"/>
      <c r="K1044" s="5" t="str">
        <f>IF(J1044="Yes",IFERROR(VLOOKUP(C1044,'14_Master_Employees'!A:G,7,FALSE),""),"")</f>
        <v/>
      </c>
      <c r="L1044" s="5" t="str">
        <f t="shared" si="1"/>
        <v/>
      </c>
    </row>
    <row r="1045" ht="15.75" customHeight="1">
      <c r="B1045" s="26"/>
      <c r="K1045" s="5" t="str">
        <f>IF(J1045="Yes",IFERROR(VLOOKUP(C1045,'14_Master_Employees'!A:G,7,FALSE),""),"")</f>
        <v/>
      </c>
      <c r="L1045" s="5" t="str">
        <f t="shared" si="1"/>
        <v/>
      </c>
    </row>
    <row r="1046" ht="15.75" customHeight="1">
      <c r="B1046" s="26"/>
      <c r="K1046" s="5" t="str">
        <f>IF(J1046="Yes",IFERROR(VLOOKUP(C1046,'14_Master_Employees'!A:G,7,FALSE),""),"")</f>
        <v/>
      </c>
      <c r="L1046" s="5" t="str">
        <f t="shared" si="1"/>
        <v/>
      </c>
    </row>
    <row r="1047" ht="15.75" customHeight="1">
      <c r="B1047" s="26"/>
      <c r="K1047" s="5" t="str">
        <f>IF(J1047="Yes",IFERROR(VLOOKUP(C1047,'14_Master_Employees'!A:G,7,FALSE),""),"")</f>
        <v/>
      </c>
      <c r="L1047" s="5" t="str">
        <f t="shared" si="1"/>
        <v/>
      </c>
    </row>
    <row r="1048" ht="15.75" customHeight="1">
      <c r="B1048" s="26"/>
      <c r="K1048" s="5" t="str">
        <f>IF(J1048="Yes",IFERROR(VLOOKUP(C1048,'14_Master_Employees'!A:G,7,FALSE),""),"")</f>
        <v/>
      </c>
      <c r="L1048" s="5" t="str">
        <f t="shared" si="1"/>
        <v/>
      </c>
    </row>
    <row r="1049" ht="15.75" customHeight="1">
      <c r="B1049" s="26"/>
      <c r="K1049" s="5" t="str">
        <f>IF(J1049="Yes",IFERROR(VLOOKUP(C1049,'14_Master_Employees'!A:G,7,FALSE),""),"")</f>
        <v/>
      </c>
      <c r="L1049" s="5" t="str">
        <f t="shared" si="1"/>
        <v/>
      </c>
    </row>
    <row r="1050" ht="15.75" customHeight="1">
      <c r="B1050" s="26"/>
      <c r="K1050" s="5" t="str">
        <f>IF(J1050="Yes",IFERROR(VLOOKUP(C1050,'14_Master_Employees'!A:G,7,FALSE),""),"")</f>
        <v/>
      </c>
      <c r="L1050" s="5" t="str">
        <f t="shared" si="1"/>
        <v/>
      </c>
    </row>
    <row r="1051" ht="15.75" customHeight="1">
      <c r="B1051" s="26"/>
      <c r="K1051" s="5" t="str">
        <f>IF(J1051="Yes",IFERROR(VLOOKUP(C1051,'14_Master_Employees'!A:G,7,FALSE),""),"")</f>
        <v/>
      </c>
      <c r="L1051" s="5" t="str">
        <f t="shared" si="1"/>
        <v/>
      </c>
    </row>
    <row r="1052" ht="15.75" customHeight="1">
      <c r="B1052" s="26"/>
      <c r="K1052" s="5" t="str">
        <f>IF(J1052="Yes",IFERROR(VLOOKUP(C1052,'14_Master_Employees'!A:G,7,FALSE),""),"")</f>
        <v/>
      </c>
      <c r="L1052" s="5" t="str">
        <f t="shared" si="1"/>
        <v/>
      </c>
    </row>
    <row r="1053" ht="15.75" customHeight="1">
      <c r="B1053" s="26"/>
      <c r="K1053" s="5" t="str">
        <f>IF(J1053="Yes",IFERROR(VLOOKUP(C1053,'14_Master_Employees'!A:G,7,FALSE),""),"")</f>
        <v/>
      </c>
      <c r="L1053" s="5" t="str">
        <f t="shared" si="1"/>
        <v/>
      </c>
    </row>
    <row r="1054" ht="15.75" customHeight="1">
      <c r="B1054" s="26"/>
      <c r="K1054" s="5" t="str">
        <f>IF(J1054="Yes",IFERROR(VLOOKUP(C1054,'14_Master_Employees'!A:G,7,FALSE),""),"")</f>
        <v/>
      </c>
      <c r="L1054" s="5" t="str">
        <f t="shared" si="1"/>
        <v/>
      </c>
    </row>
    <row r="1055" ht="15.75" customHeight="1">
      <c r="B1055" s="26"/>
      <c r="K1055" s="5" t="str">
        <f>IF(J1055="Yes",IFERROR(VLOOKUP(C1055,'14_Master_Employees'!A:G,7,FALSE),""),"")</f>
        <v/>
      </c>
      <c r="L1055" s="5" t="str">
        <f t="shared" si="1"/>
        <v/>
      </c>
    </row>
    <row r="1056" ht="15.75" customHeight="1">
      <c r="B1056" s="26"/>
      <c r="K1056" s="5" t="str">
        <f>IF(J1056="Yes",IFERROR(VLOOKUP(C1056,'14_Master_Employees'!A:G,7,FALSE),""),"")</f>
        <v/>
      </c>
      <c r="L1056" s="5" t="str">
        <f t="shared" si="1"/>
        <v/>
      </c>
    </row>
    <row r="1057" ht="15.75" customHeight="1">
      <c r="B1057" s="26"/>
      <c r="K1057" s="5" t="str">
        <f>IF(J1057="Yes",IFERROR(VLOOKUP(C1057,'14_Master_Employees'!A:G,7,FALSE),""),"")</f>
        <v/>
      </c>
      <c r="L1057" s="5" t="str">
        <f t="shared" si="1"/>
        <v/>
      </c>
    </row>
    <row r="1058" ht="15.75" customHeight="1">
      <c r="B1058" s="26"/>
      <c r="K1058" s="5" t="str">
        <f>IF(J1058="Yes",IFERROR(VLOOKUP(C1058,'14_Master_Employees'!A:G,7,FALSE),""),"")</f>
        <v/>
      </c>
      <c r="L1058" s="5" t="str">
        <f t="shared" si="1"/>
        <v/>
      </c>
    </row>
    <row r="1059" ht="15.75" customHeight="1">
      <c r="B1059" s="26"/>
      <c r="K1059" s="5" t="str">
        <f>IF(J1059="Yes",IFERROR(VLOOKUP(C1059,'14_Master_Employees'!A:G,7,FALSE),""),"")</f>
        <v/>
      </c>
      <c r="L1059" s="5" t="str">
        <f t="shared" si="1"/>
        <v/>
      </c>
    </row>
    <row r="1060" ht="15.75" customHeight="1">
      <c r="B1060" s="26"/>
      <c r="K1060" s="5" t="str">
        <f>IF(J1060="Yes",IFERROR(VLOOKUP(C1060,'14_Master_Employees'!A:G,7,FALSE),""),"")</f>
        <v/>
      </c>
      <c r="L1060" s="5" t="str">
        <f t="shared" si="1"/>
        <v/>
      </c>
    </row>
    <row r="1061" ht="15.75" customHeight="1">
      <c r="B1061" s="26"/>
      <c r="K1061" s="5" t="str">
        <f>IF(J1061="Yes",IFERROR(VLOOKUP(C1061,'14_Master_Employees'!A:G,7,FALSE),""),"")</f>
        <v/>
      </c>
      <c r="L1061" s="5" t="str">
        <f t="shared" si="1"/>
        <v/>
      </c>
    </row>
    <row r="1062" ht="15.75" customHeight="1">
      <c r="B1062" s="26"/>
      <c r="K1062" s="5" t="str">
        <f>IF(J1062="Yes",IFERROR(VLOOKUP(C1062,'14_Master_Employees'!A:G,7,FALSE),""),"")</f>
        <v/>
      </c>
      <c r="L1062" s="5" t="str">
        <f t="shared" si="1"/>
        <v/>
      </c>
    </row>
    <row r="1063" ht="15.75" customHeight="1">
      <c r="B1063" s="26"/>
      <c r="K1063" s="5" t="str">
        <f>IF(J1063="Yes",IFERROR(VLOOKUP(C1063,'14_Master_Employees'!A:G,7,FALSE),""),"")</f>
        <v/>
      </c>
      <c r="L1063" s="5" t="str">
        <f t="shared" si="1"/>
        <v/>
      </c>
    </row>
    <row r="1064" ht="15.75" customHeight="1">
      <c r="B1064" s="26"/>
      <c r="K1064" s="5" t="str">
        <f>IF(J1064="Yes",IFERROR(VLOOKUP(C1064,'14_Master_Employees'!A:G,7,FALSE),""),"")</f>
        <v/>
      </c>
      <c r="L1064" s="5" t="str">
        <f t="shared" si="1"/>
        <v/>
      </c>
    </row>
    <row r="1065" ht="15.75" customHeight="1">
      <c r="B1065" s="26"/>
      <c r="K1065" s="5" t="str">
        <f>IF(J1065="Yes",IFERROR(VLOOKUP(C1065,'14_Master_Employees'!A:G,7,FALSE),""),"")</f>
        <v/>
      </c>
      <c r="L1065" s="5" t="str">
        <f t="shared" si="1"/>
        <v/>
      </c>
    </row>
    <row r="1066" ht="15.75" customHeight="1">
      <c r="B1066" s="26"/>
      <c r="K1066" s="5" t="str">
        <f>IF(J1066="Yes",IFERROR(VLOOKUP(C1066,'14_Master_Employees'!A:G,7,FALSE),""),"")</f>
        <v/>
      </c>
      <c r="L1066" s="5" t="str">
        <f t="shared" si="1"/>
        <v/>
      </c>
    </row>
    <row r="1067" ht="15.75" customHeight="1">
      <c r="B1067" s="26"/>
      <c r="K1067" s="5" t="str">
        <f>IF(J1067="Yes",IFERROR(VLOOKUP(C1067,'14_Master_Employees'!A:G,7,FALSE),""),"")</f>
        <v/>
      </c>
      <c r="L1067" s="5" t="str">
        <f t="shared" si="1"/>
        <v/>
      </c>
    </row>
    <row r="1068" ht="15.75" customHeight="1">
      <c r="B1068" s="26"/>
      <c r="K1068" s="5" t="str">
        <f>IF(J1068="Yes",IFERROR(VLOOKUP(C1068,'14_Master_Employees'!A:G,7,FALSE),""),"")</f>
        <v/>
      </c>
      <c r="L1068" s="5" t="str">
        <f t="shared" si="1"/>
        <v/>
      </c>
    </row>
    <row r="1069" ht="15.75" customHeight="1">
      <c r="B1069" s="26"/>
      <c r="K1069" s="5" t="str">
        <f>IF(J1069="Yes",IFERROR(VLOOKUP(C1069,'14_Master_Employees'!A:G,7,FALSE),""),"")</f>
        <v/>
      </c>
      <c r="L1069" s="5" t="str">
        <f t="shared" si="1"/>
        <v/>
      </c>
    </row>
    <row r="1070" ht="15.75" customHeight="1">
      <c r="B1070" s="26"/>
      <c r="K1070" s="5" t="str">
        <f>IF(J1070="Yes",IFERROR(VLOOKUP(C1070,'14_Master_Employees'!A:G,7,FALSE),""),"")</f>
        <v/>
      </c>
      <c r="L1070" s="5" t="str">
        <f t="shared" si="1"/>
        <v/>
      </c>
    </row>
    <row r="1071" ht="15.75" customHeight="1">
      <c r="B1071" s="26"/>
      <c r="K1071" s="5" t="str">
        <f>IF(J1071="Yes",IFERROR(VLOOKUP(C1071,'14_Master_Employees'!A:G,7,FALSE),""),"")</f>
        <v/>
      </c>
      <c r="L1071" s="5" t="str">
        <f t="shared" si="1"/>
        <v/>
      </c>
    </row>
    <row r="1072" ht="15.75" customHeight="1">
      <c r="B1072" s="26"/>
      <c r="K1072" s="5" t="str">
        <f>IF(J1072="Yes",IFERROR(VLOOKUP(C1072,'14_Master_Employees'!A:G,7,FALSE),""),"")</f>
        <v/>
      </c>
      <c r="L1072" s="5" t="str">
        <f t="shared" si="1"/>
        <v/>
      </c>
    </row>
    <row r="1073" ht="15.75" customHeight="1">
      <c r="B1073" s="26"/>
      <c r="K1073" s="5" t="str">
        <f>IF(J1073="Yes",IFERROR(VLOOKUP(C1073,'14_Master_Employees'!A:G,7,FALSE),""),"")</f>
        <v/>
      </c>
      <c r="L1073" s="5" t="str">
        <f t="shared" si="1"/>
        <v/>
      </c>
    </row>
    <row r="1074" ht="15.75" customHeight="1">
      <c r="B1074" s="26"/>
      <c r="K1074" s="5" t="str">
        <f>IF(J1074="Yes",IFERROR(VLOOKUP(C1074,'14_Master_Employees'!A:G,7,FALSE),""),"")</f>
        <v/>
      </c>
      <c r="L1074" s="5" t="str">
        <f t="shared" si="1"/>
        <v/>
      </c>
    </row>
    <row r="1075" ht="15.75" customHeight="1">
      <c r="B1075" s="26"/>
      <c r="K1075" s="5" t="str">
        <f>IF(J1075="Yes",IFERROR(VLOOKUP(C1075,'14_Master_Employees'!A:G,7,FALSE),""),"")</f>
        <v/>
      </c>
      <c r="L1075" s="5" t="str">
        <f t="shared" si="1"/>
        <v/>
      </c>
    </row>
    <row r="1076" ht="15.75" customHeight="1">
      <c r="B1076" s="26"/>
      <c r="K1076" s="5" t="str">
        <f>IF(J1076="Yes",IFERROR(VLOOKUP(C1076,'14_Master_Employees'!A:G,7,FALSE),""),"")</f>
        <v/>
      </c>
      <c r="L1076" s="5" t="str">
        <f t="shared" si="1"/>
        <v/>
      </c>
    </row>
    <row r="1077" ht="15.75" customHeight="1">
      <c r="B1077" s="26"/>
      <c r="K1077" s="5" t="str">
        <f>IF(J1077="Yes",IFERROR(VLOOKUP(C1077,'14_Master_Employees'!A:G,7,FALSE),""),"")</f>
        <v/>
      </c>
      <c r="L1077" s="5" t="str">
        <f t="shared" si="1"/>
        <v/>
      </c>
    </row>
    <row r="1078" ht="15.75" customHeight="1">
      <c r="B1078" s="26"/>
      <c r="K1078" s="5" t="str">
        <f>IF(J1078="Yes",IFERROR(VLOOKUP(C1078,'14_Master_Employees'!A:G,7,FALSE),""),"")</f>
        <v/>
      </c>
      <c r="L1078" s="5" t="str">
        <f t="shared" si="1"/>
        <v/>
      </c>
    </row>
    <row r="1079" ht="15.75" customHeight="1">
      <c r="B1079" s="26"/>
      <c r="K1079" s="5" t="str">
        <f>IF(J1079="Yes",IFERROR(VLOOKUP(C1079,'14_Master_Employees'!A:G,7,FALSE),""),"")</f>
        <v/>
      </c>
      <c r="L1079" s="5" t="str">
        <f t="shared" si="1"/>
        <v/>
      </c>
    </row>
    <row r="1080" ht="15.75" customHeight="1">
      <c r="B1080" s="26"/>
      <c r="K1080" s="5" t="str">
        <f>IF(J1080="Yes",IFERROR(VLOOKUP(C1080,'14_Master_Employees'!A:G,7,FALSE),""),"")</f>
        <v/>
      </c>
      <c r="L1080" s="5" t="str">
        <f t="shared" si="1"/>
        <v/>
      </c>
    </row>
    <row r="1081" ht="15.75" customHeight="1">
      <c r="B1081" s="26"/>
      <c r="K1081" s="5" t="str">
        <f>IF(J1081="Yes",IFERROR(VLOOKUP(C1081,'14_Master_Employees'!A:G,7,FALSE),""),"")</f>
        <v/>
      </c>
      <c r="L1081" s="5" t="str">
        <f t="shared" si="1"/>
        <v/>
      </c>
    </row>
    <row r="1082" ht="15.75" customHeight="1">
      <c r="B1082" s="26"/>
      <c r="K1082" s="5" t="str">
        <f>IF(J1082="Yes",IFERROR(VLOOKUP(C1082,'14_Master_Employees'!A:G,7,FALSE),""),"")</f>
        <v/>
      </c>
      <c r="L1082" s="5" t="str">
        <f t="shared" si="1"/>
        <v/>
      </c>
    </row>
    <row r="1083" ht="15.75" customHeight="1">
      <c r="B1083" s="26"/>
      <c r="K1083" s="5" t="str">
        <f>IF(J1083="Yes",IFERROR(VLOOKUP(C1083,'14_Master_Employees'!A:G,7,FALSE),""),"")</f>
        <v/>
      </c>
      <c r="L1083" s="5" t="str">
        <f t="shared" si="1"/>
        <v/>
      </c>
    </row>
    <row r="1084" ht="15.75" customHeight="1">
      <c r="B1084" s="26"/>
      <c r="K1084" s="5" t="str">
        <f>IF(J1084="Yes",IFERROR(VLOOKUP(C1084,'14_Master_Employees'!A:G,7,FALSE),""),"")</f>
        <v/>
      </c>
      <c r="L1084" s="5" t="str">
        <f t="shared" si="1"/>
        <v/>
      </c>
    </row>
    <row r="1085" ht="15.75" customHeight="1">
      <c r="B1085" s="26"/>
      <c r="K1085" s="5" t="str">
        <f>IF(J1085="Yes",IFERROR(VLOOKUP(C1085,'14_Master_Employees'!A:G,7,FALSE),""),"")</f>
        <v/>
      </c>
      <c r="L1085" s="5" t="str">
        <f t="shared" si="1"/>
        <v/>
      </c>
    </row>
    <row r="1086" ht="15.75" customHeight="1">
      <c r="B1086" s="26"/>
      <c r="K1086" s="5" t="str">
        <f>IF(J1086="Yes",IFERROR(VLOOKUP(C1086,'14_Master_Employees'!A:G,7,FALSE),""),"")</f>
        <v/>
      </c>
      <c r="L1086" s="5" t="str">
        <f t="shared" si="1"/>
        <v/>
      </c>
    </row>
    <row r="1087" ht="15.75" customHeight="1">
      <c r="B1087" s="26"/>
      <c r="K1087" s="5" t="str">
        <f>IF(J1087="Yes",IFERROR(VLOOKUP(C1087,'14_Master_Employees'!A:G,7,FALSE),""),"")</f>
        <v/>
      </c>
      <c r="L1087" s="5" t="str">
        <f t="shared" si="1"/>
        <v/>
      </c>
    </row>
    <row r="1088" ht="15.75" customHeight="1">
      <c r="B1088" s="26"/>
      <c r="K1088" s="5" t="str">
        <f>IF(J1088="Yes",IFERROR(VLOOKUP(C1088,'14_Master_Employees'!A:G,7,FALSE),""),"")</f>
        <v/>
      </c>
      <c r="L1088" s="5" t="str">
        <f t="shared" si="1"/>
        <v/>
      </c>
    </row>
    <row r="1089" ht="15.75" customHeight="1">
      <c r="B1089" s="26"/>
      <c r="K1089" s="5" t="str">
        <f>IF(J1089="Yes",IFERROR(VLOOKUP(C1089,'14_Master_Employees'!A:G,7,FALSE),""),"")</f>
        <v/>
      </c>
      <c r="L1089" s="5" t="str">
        <f t="shared" si="1"/>
        <v/>
      </c>
    </row>
    <row r="1090" ht="15.75" customHeight="1">
      <c r="B1090" s="26"/>
      <c r="K1090" s="5" t="str">
        <f>IF(J1090="Yes",IFERROR(VLOOKUP(C1090,'14_Master_Employees'!A:G,7,FALSE),""),"")</f>
        <v/>
      </c>
      <c r="L1090" s="5" t="str">
        <f t="shared" si="1"/>
        <v/>
      </c>
    </row>
    <row r="1091" ht="15.75" customHeight="1">
      <c r="B1091" s="26"/>
      <c r="K1091" s="5" t="str">
        <f>IF(J1091="Yes",IFERROR(VLOOKUP(C1091,'14_Master_Employees'!A:G,7,FALSE),""),"")</f>
        <v/>
      </c>
      <c r="L1091" s="5" t="str">
        <f t="shared" si="1"/>
        <v/>
      </c>
    </row>
    <row r="1092" ht="15.75" customHeight="1">
      <c r="B1092" s="26"/>
      <c r="K1092" s="5" t="str">
        <f>IF(J1092="Yes",IFERROR(VLOOKUP(C1092,'14_Master_Employees'!A:G,7,FALSE),""),"")</f>
        <v/>
      </c>
      <c r="L1092" s="5" t="str">
        <f t="shared" si="1"/>
        <v/>
      </c>
    </row>
    <row r="1093" ht="15.75" customHeight="1">
      <c r="B1093" s="26"/>
      <c r="K1093" s="5" t="str">
        <f>IF(J1093="Yes",IFERROR(VLOOKUP(C1093,'14_Master_Employees'!A:G,7,FALSE),""),"")</f>
        <v/>
      </c>
      <c r="L1093" s="5" t="str">
        <f t="shared" si="1"/>
        <v/>
      </c>
    </row>
    <row r="1094" ht="15.75" customHeight="1">
      <c r="B1094" s="26"/>
      <c r="K1094" s="5" t="str">
        <f>IF(J1094="Yes",IFERROR(VLOOKUP(C1094,'14_Master_Employees'!A:G,7,FALSE),""),"")</f>
        <v/>
      </c>
      <c r="L1094" s="5" t="str">
        <f t="shared" si="1"/>
        <v/>
      </c>
    </row>
    <row r="1095" ht="15.75" customHeight="1">
      <c r="B1095" s="26"/>
      <c r="K1095" s="5" t="str">
        <f>IF(J1095="Yes",IFERROR(VLOOKUP(C1095,'14_Master_Employees'!A:G,7,FALSE),""),"")</f>
        <v/>
      </c>
      <c r="L1095" s="5" t="str">
        <f t="shared" si="1"/>
        <v/>
      </c>
    </row>
    <row r="1096" ht="15.75" customHeight="1">
      <c r="B1096" s="26"/>
      <c r="K1096" s="5" t="str">
        <f>IF(J1096="Yes",IFERROR(VLOOKUP(C1096,'14_Master_Employees'!A:G,7,FALSE),""),"")</f>
        <v/>
      </c>
      <c r="L1096" s="5" t="str">
        <f t="shared" si="1"/>
        <v/>
      </c>
    </row>
    <row r="1097" ht="15.75" customHeight="1">
      <c r="B1097" s="26"/>
      <c r="K1097" s="5" t="str">
        <f>IF(J1097="Yes",IFERROR(VLOOKUP(C1097,'14_Master_Employees'!A:G,7,FALSE),""),"")</f>
        <v/>
      </c>
      <c r="L1097" s="5" t="str">
        <f t="shared" si="1"/>
        <v/>
      </c>
    </row>
    <row r="1098" ht="15.75" customHeight="1">
      <c r="B1098" s="26"/>
      <c r="K1098" s="5" t="str">
        <f>IF(J1098="Yes",IFERROR(VLOOKUP(C1098,'14_Master_Employees'!A:G,7,FALSE),""),"")</f>
        <v/>
      </c>
      <c r="L1098" s="5" t="str">
        <f t="shared" si="1"/>
        <v/>
      </c>
    </row>
    <row r="1099" ht="15.75" customHeight="1">
      <c r="B1099" s="26"/>
      <c r="K1099" s="5" t="str">
        <f>IF(J1099="Yes",IFERROR(VLOOKUP(C1099,'14_Master_Employees'!A:G,7,FALSE),""),"")</f>
        <v/>
      </c>
      <c r="L1099" s="5" t="str">
        <f t="shared" si="1"/>
        <v/>
      </c>
    </row>
    <row r="1100" ht="15.75" customHeight="1">
      <c r="B1100" s="26"/>
      <c r="K1100" s="5" t="str">
        <f>IF(J1100="Yes",IFERROR(VLOOKUP(C1100,'14_Master_Employees'!A:G,7,FALSE),""),"")</f>
        <v/>
      </c>
      <c r="L1100" s="5" t="str">
        <f t="shared" si="1"/>
        <v/>
      </c>
    </row>
    <row r="1101" ht="15.75" customHeight="1">
      <c r="B1101" s="26"/>
      <c r="K1101" s="5" t="str">
        <f>IF(J1101="Yes",IFERROR(VLOOKUP(C1101,'14_Master_Employees'!A:G,7,FALSE),""),"")</f>
        <v/>
      </c>
      <c r="L1101" s="5" t="str">
        <f t="shared" si="1"/>
        <v/>
      </c>
    </row>
    <row r="1102" ht="15.75" customHeight="1">
      <c r="B1102" s="26"/>
      <c r="K1102" s="5" t="str">
        <f>IF(J1102="Yes",IFERROR(VLOOKUP(C1102,'14_Master_Employees'!A:G,7,FALSE),""),"")</f>
        <v/>
      </c>
      <c r="L1102" s="5" t="str">
        <f t="shared" si="1"/>
        <v/>
      </c>
    </row>
    <row r="1103" ht="15.75" customHeight="1">
      <c r="B1103" s="26"/>
      <c r="K1103" s="5" t="str">
        <f>IF(J1103="Yes",IFERROR(VLOOKUP(C1103,'14_Master_Employees'!A:G,7,FALSE),""),"")</f>
        <v/>
      </c>
      <c r="L1103" s="5" t="str">
        <f t="shared" si="1"/>
        <v/>
      </c>
    </row>
    <row r="1104" ht="15.75" customHeight="1">
      <c r="B1104" s="26"/>
      <c r="K1104" s="5" t="str">
        <f>IF(J1104="Yes",IFERROR(VLOOKUP(C1104,'14_Master_Employees'!A:G,7,FALSE),""),"")</f>
        <v/>
      </c>
      <c r="L1104" s="5" t="str">
        <f t="shared" si="1"/>
        <v/>
      </c>
    </row>
    <row r="1105" ht="15.75" customHeight="1">
      <c r="B1105" s="26"/>
      <c r="K1105" s="5" t="str">
        <f>IF(J1105="Yes",IFERROR(VLOOKUP(C1105,'14_Master_Employees'!A:G,7,FALSE),""),"")</f>
        <v/>
      </c>
      <c r="L1105" s="5" t="str">
        <f t="shared" si="1"/>
        <v/>
      </c>
    </row>
    <row r="1106" ht="15.75" customHeight="1">
      <c r="B1106" s="26"/>
      <c r="K1106" s="5" t="str">
        <f>IF(J1106="Yes",IFERROR(VLOOKUP(C1106,'14_Master_Employees'!A:G,7,FALSE),""),"")</f>
        <v/>
      </c>
      <c r="L1106" s="5" t="str">
        <f t="shared" si="1"/>
        <v/>
      </c>
    </row>
    <row r="1107" ht="15.75" customHeight="1">
      <c r="B1107" s="26"/>
      <c r="K1107" s="5" t="str">
        <f>IF(J1107="Yes",IFERROR(VLOOKUP(C1107,'14_Master_Employees'!A:G,7,FALSE),""),"")</f>
        <v/>
      </c>
      <c r="L1107" s="5" t="str">
        <f t="shared" si="1"/>
        <v/>
      </c>
    </row>
    <row r="1108" ht="15.75" customHeight="1">
      <c r="B1108" s="26"/>
      <c r="K1108" s="5" t="str">
        <f>IF(J1108="Yes",IFERROR(VLOOKUP(C1108,'14_Master_Employees'!A:G,7,FALSE),""),"")</f>
        <v/>
      </c>
      <c r="L1108" s="5" t="str">
        <f t="shared" si="1"/>
        <v/>
      </c>
    </row>
    <row r="1109" ht="15.75" customHeight="1">
      <c r="B1109" s="26"/>
      <c r="K1109" s="5" t="str">
        <f>IF(J1109="Yes",IFERROR(VLOOKUP(C1109,'14_Master_Employees'!A:G,7,FALSE),""),"")</f>
        <v/>
      </c>
      <c r="L1109" s="5" t="str">
        <f t="shared" si="1"/>
        <v/>
      </c>
    </row>
    <row r="1110" ht="15.75" customHeight="1">
      <c r="B1110" s="26"/>
      <c r="K1110" s="5" t="str">
        <f>IF(J1110="Yes",IFERROR(VLOOKUP(C1110,'14_Master_Employees'!A:G,7,FALSE),""),"")</f>
        <v/>
      </c>
      <c r="L1110" s="5" t="str">
        <f t="shared" si="1"/>
        <v/>
      </c>
    </row>
    <row r="1111" ht="15.75" customHeight="1">
      <c r="B1111" s="26"/>
      <c r="K1111" s="5" t="str">
        <f>IF(J1111="Yes",IFERROR(VLOOKUP(C1111,'14_Master_Employees'!A:G,7,FALSE),""),"")</f>
        <v/>
      </c>
      <c r="L1111" s="5" t="str">
        <f t="shared" si="1"/>
        <v/>
      </c>
    </row>
    <row r="1112" ht="15.75" customHeight="1">
      <c r="B1112" s="26"/>
      <c r="K1112" s="5" t="str">
        <f>IF(J1112="Yes",IFERROR(VLOOKUP(C1112,'14_Master_Employees'!A:G,7,FALSE),""),"")</f>
        <v/>
      </c>
      <c r="L1112" s="5" t="str">
        <f t="shared" si="1"/>
        <v/>
      </c>
    </row>
    <row r="1113" ht="15.75" customHeight="1">
      <c r="B1113" s="26"/>
      <c r="K1113" s="5" t="str">
        <f>IF(J1113="Yes",IFERROR(VLOOKUP(C1113,'14_Master_Employees'!A:G,7,FALSE),""),"")</f>
        <v/>
      </c>
      <c r="L1113" s="5" t="str">
        <f t="shared" si="1"/>
        <v/>
      </c>
    </row>
    <row r="1114" ht="15.75" customHeight="1">
      <c r="B1114" s="26"/>
      <c r="K1114" s="5" t="str">
        <f>IF(J1114="Yes",IFERROR(VLOOKUP(C1114,'14_Master_Employees'!A:G,7,FALSE),""),"")</f>
        <v/>
      </c>
      <c r="L1114" s="5" t="str">
        <f t="shared" si="1"/>
        <v/>
      </c>
    </row>
    <row r="1115" ht="15.75" customHeight="1">
      <c r="B1115" s="26"/>
      <c r="K1115" s="5" t="str">
        <f>IF(J1115="Yes",IFERROR(VLOOKUP(C1115,'14_Master_Employees'!A:G,7,FALSE),""),"")</f>
        <v/>
      </c>
      <c r="L1115" s="5" t="str">
        <f t="shared" si="1"/>
        <v/>
      </c>
    </row>
    <row r="1116" ht="15.75" customHeight="1">
      <c r="B1116" s="26"/>
      <c r="K1116" s="5" t="str">
        <f>IF(J1116="Yes",IFERROR(VLOOKUP(C1116,'14_Master_Employees'!A:G,7,FALSE),""),"")</f>
        <v/>
      </c>
      <c r="L1116" s="5" t="str">
        <f t="shared" si="1"/>
        <v/>
      </c>
    </row>
    <row r="1117" ht="15.75" customHeight="1">
      <c r="B1117" s="26"/>
      <c r="K1117" s="5" t="str">
        <f>IF(J1117="Yes",IFERROR(VLOOKUP(C1117,'14_Master_Employees'!A:G,7,FALSE),""),"")</f>
        <v/>
      </c>
      <c r="L1117" s="5" t="str">
        <f t="shared" si="1"/>
        <v/>
      </c>
    </row>
    <row r="1118" ht="15.75" customHeight="1">
      <c r="B1118" s="26"/>
      <c r="K1118" s="5" t="str">
        <f>IF(J1118="Yes",IFERROR(VLOOKUP(C1118,'14_Master_Employees'!A:G,7,FALSE),""),"")</f>
        <v/>
      </c>
      <c r="L1118" s="5" t="str">
        <f t="shared" si="1"/>
        <v/>
      </c>
    </row>
    <row r="1119" ht="15.75" customHeight="1">
      <c r="B1119" s="26"/>
      <c r="K1119" s="5" t="str">
        <f>IF(J1119="Yes",IFERROR(VLOOKUP(C1119,'14_Master_Employees'!A:G,7,FALSE),""),"")</f>
        <v/>
      </c>
      <c r="L1119" s="5" t="str">
        <f t="shared" si="1"/>
        <v/>
      </c>
    </row>
    <row r="1120" ht="15.75" customHeight="1">
      <c r="B1120" s="26"/>
      <c r="K1120" s="5" t="str">
        <f>IF(J1120="Yes",IFERROR(VLOOKUP(C1120,'14_Master_Employees'!A:G,7,FALSE),""),"")</f>
        <v/>
      </c>
      <c r="L1120" s="5" t="str">
        <f t="shared" si="1"/>
        <v/>
      </c>
    </row>
    <row r="1121" ht="15.75" customHeight="1">
      <c r="B1121" s="26"/>
      <c r="K1121" s="5" t="str">
        <f>IF(J1121="Yes",IFERROR(VLOOKUP(C1121,'14_Master_Employees'!A:G,7,FALSE),""),"")</f>
        <v/>
      </c>
      <c r="L1121" s="5" t="str">
        <f t="shared" si="1"/>
        <v/>
      </c>
    </row>
    <row r="1122" ht="15.75" customHeight="1">
      <c r="B1122" s="26"/>
      <c r="K1122" s="5" t="str">
        <f>IF(J1122="Yes",IFERROR(VLOOKUP(C1122,'14_Master_Employees'!A:G,7,FALSE),""),"")</f>
        <v/>
      </c>
      <c r="L1122" s="5" t="str">
        <f t="shared" si="1"/>
        <v/>
      </c>
    </row>
    <row r="1123" ht="15.75" customHeight="1">
      <c r="B1123" s="26"/>
      <c r="K1123" s="5" t="str">
        <f>IF(J1123="Yes",IFERROR(VLOOKUP(C1123,'14_Master_Employees'!A:G,7,FALSE),""),"")</f>
        <v/>
      </c>
      <c r="L1123" s="5" t="str">
        <f t="shared" si="1"/>
        <v/>
      </c>
    </row>
    <row r="1124" ht="15.75" customHeight="1">
      <c r="B1124" s="26"/>
      <c r="K1124" s="5" t="str">
        <f>IF(J1124="Yes",IFERROR(VLOOKUP(C1124,'14_Master_Employees'!A:G,7,FALSE),""),"")</f>
        <v/>
      </c>
      <c r="L1124" s="5" t="str">
        <f t="shared" si="1"/>
        <v/>
      </c>
    </row>
    <row r="1125" ht="15.75" customHeight="1">
      <c r="B1125" s="26"/>
      <c r="K1125" s="5" t="str">
        <f>IF(J1125="Yes",IFERROR(VLOOKUP(C1125,'14_Master_Employees'!A:G,7,FALSE),""),"")</f>
        <v/>
      </c>
      <c r="L1125" s="5" t="str">
        <f t="shared" si="1"/>
        <v/>
      </c>
    </row>
    <row r="1126" ht="15.75" customHeight="1">
      <c r="B1126" s="26"/>
      <c r="K1126" s="5" t="str">
        <f>IF(J1126="Yes",IFERROR(VLOOKUP(C1126,'14_Master_Employees'!A:G,7,FALSE),""),"")</f>
        <v/>
      </c>
      <c r="L1126" s="5" t="str">
        <f t="shared" si="1"/>
        <v/>
      </c>
    </row>
    <row r="1127" ht="15.75" customHeight="1">
      <c r="B1127" s="26"/>
      <c r="K1127" s="5" t="str">
        <f>IF(J1127="Yes",IFERROR(VLOOKUP(C1127,'14_Master_Employees'!A:G,7,FALSE),""),"")</f>
        <v/>
      </c>
      <c r="L1127" s="5" t="str">
        <f t="shared" si="1"/>
        <v/>
      </c>
    </row>
    <row r="1128" ht="15.75" customHeight="1">
      <c r="B1128" s="26"/>
      <c r="K1128" s="5" t="str">
        <f>IF(J1128="Yes",IFERROR(VLOOKUP(C1128,'14_Master_Employees'!A:G,7,FALSE),""),"")</f>
        <v/>
      </c>
      <c r="L1128" s="5" t="str">
        <f t="shared" si="1"/>
        <v/>
      </c>
    </row>
    <row r="1129" ht="15.75" customHeight="1">
      <c r="B1129" s="26"/>
      <c r="K1129" s="5" t="str">
        <f>IF(J1129="Yes",IFERROR(VLOOKUP(C1129,'14_Master_Employees'!A:G,7,FALSE),""),"")</f>
        <v/>
      </c>
      <c r="L1129" s="5" t="str">
        <f t="shared" si="1"/>
        <v/>
      </c>
    </row>
    <row r="1130" ht="15.75" customHeight="1">
      <c r="B1130" s="26"/>
      <c r="K1130" s="5" t="str">
        <f>IF(J1130="Yes",IFERROR(VLOOKUP(C1130,'14_Master_Employees'!A:G,7,FALSE),""),"")</f>
        <v/>
      </c>
      <c r="L1130" s="5" t="str">
        <f t="shared" si="1"/>
        <v/>
      </c>
    </row>
    <row r="1131" ht="15.75" customHeight="1">
      <c r="B1131" s="26"/>
      <c r="K1131" s="5" t="str">
        <f>IF(J1131="Yes",IFERROR(VLOOKUP(C1131,'14_Master_Employees'!A:G,7,FALSE),""),"")</f>
        <v/>
      </c>
      <c r="L1131" s="5" t="str">
        <f t="shared" si="1"/>
        <v/>
      </c>
    </row>
    <row r="1132" ht="15.75" customHeight="1">
      <c r="B1132" s="26"/>
      <c r="K1132" s="5" t="str">
        <f>IF(J1132="Yes",IFERROR(VLOOKUP(C1132,'14_Master_Employees'!A:G,7,FALSE),""),"")</f>
        <v/>
      </c>
      <c r="L1132" s="5" t="str">
        <f t="shared" si="1"/>
        <v/>
      </c>
    </row>
    <row r="1133" ht="15.75" customHeight="1">
      <c r="B1133" s="26"/>
      <c r="K1133" s="5" t="str">
        <f>IF(J1133="Yes",IFERROR(VLOOKUP(C1133,'14_Master_Employees'!A:G,7,FALSE),""),"")</f>
        <v/>
      </c>
      <c r="L1133" s="5" t="str">
        <f t="shared" si="1"/>
        <v/>
      </c>
    </row>
    <row r="1134" ht="15.75" customHeight="1">
      <c r="B1134" s="26"/>
      <c r="K1134" s="5" t="str">
        <f>IF(J1134="Yes",IFERROR(VLOOKUP(C1134,'14_Master_Employees'!A:G,7,FALSE),""),"")</f>
        <v/>
      </c>
      <c r="L1134" s="5" t="str">
        <f t="shared" si="1"/>
        <v/>
      </c>
    </row>
    <row r="1135" ht="15.75" customHeight="1">
      <c r="B1135" s="26"/>
      <c r="K1135" s="5" t="str">
        <f>IF(J1135="Yes",IFERROR(VLOOKUP(C1135,'14_Master_Employees'!A:G,7,FALSE),""),"")</f>
        <v/>
      </c>
      <c r="L1135" s="5" t="str">
        <f t="shared" si="1"/>
        <v/>
      </c>
    </row>
    <row r="1136" ht="15.75" customHeight="1">
      <c r="B1136" s="26"/>
      <c r="K1136" s="5" t="str">
        <f>IF(J1136="Yes",IFERROR(VLOOKUP(C1136,'14_Master_Employees'!A:G,7,FALSE),""),"")</f>
        <v/>
      </c>
      <c r="L1136" s="5" t="str">
        <f t="shared" si="1"/>
        <v/>
      </c>
    </row>
    <row r="1137" ht="15.75" customHeight="1">
      <c r="B1137" s="26"/>
      <c r="K1137" s="5" t="str">
        <f>IF(J1137="Yes",IFERROR(VLOOKUP(C1137,'14_Master_Employees'!A:G,7,FALSE),""),"")</f>
        <v/>
      </c>
      <c r="L1137" s="5" t="str">
        <f t="shared" si="1"/>
        <v/>
      </c>
    </row>
    <row r="1138" ht="15.75" customHeight="1">
      <c r="B1138" s="26"/>
      <c r="K1138" s="5" t="str">
        <f>IF(J1138="Yes",IFERROR(VLOOKUP(C1138,'14_Master_Employees'!A:G,7,FALSE),""),"")</f>
        <v/>
      </c>
      <c r="L1138" s="5" t="str">
        <f t="shared" si="1"/>
        <v/>
      </c>
    </row>
    <row r="1139" ht="15.75" customHeight="1">
      <c r="B1139" s="26"/>
      <c r="K1139" s="5" t="str">
        <f>IF(J1139="Yes",IFERROR(VLOOKUP(C1139,'14_Master_Employees'!A:G,7,FALSE),""),"")</f>
        <v/>
      </c>
      <c r="L1139" s="5" t="str">
        <f t="shared" si="1"/>
        <v/>
      </c>
    </row>
    <row r="1140" ht="15.75" customHeight="1">
      <c r="B1140" s="26"/>
      <c r="K1140" s="5" t="str">
        <f>IF(J1140="Yes",IFERROR(VLOOKUP(C1140,'14_Master_Employees'!A:G,7,FALSE),""),"")</f>
        <v/>
      </c>
      <c r="L1140" s="5" t="str">
        <f t="shared" si="1"/>
        <v/>
      </c>
    </row>
    <row r="1141" ht="15.75" customHeight="1">
      <c r="B1141" s="26"/>
      <c r="K1141" s="5" t="str">
        <f>IF(J1141="Yes",IFERROR(VLOOKUP(C1141,'14_Master_Employees'!A:G,7,FALSE),""),"")</f>
        <v/>
      </c>
      <c r="L1141" s="5" t="str">
        <f t="shared" si="1"/>
        <v/>
      </c>
    </row>
    <row r="1142" ht="15.75" customHeight="1">
      <c r="B1142" s="26"/>
      <c r="K1142" s="5" t="str">
        <f>IF(J1142="Yes",IFERROR(VLOOKUP(C1142,'14_Master_Employees'!A:G,7,FALSE),""),"")</f>
        <v/>
      </c>
      <c r="L1142" s="5" t="str">
        <f t="shared" si="1"/>
        <v/>
      </c>
    </row>
    <row r="1143" ht="15.75" customHeight="1">
      <c r="B1143" s="26"/>
      <c r="K1143" s="5" t="str">
        <f>IF(J1143="Yes",IFERROR(VLOOKUP(C1143,'14_Master_Employees'!A:G,7,FALSE),""),"")</f>
        <v/>
      </c>
      <c r="L1143" s="5" t="str">
        <f t="shared" si="1"/>
        <v/>
      </c>
    </row>
    <row r="1144" ht="15.75" customHeight="1">
      <c r="B1144" s="26"/>
      <c r="K1144" s="5" t="str">
        <f>IF(J1144="Yes",IFERROR(VLOOKUP(C1144,'14_Master_Employees'!A:G,7,FALSE),""),"")</f>
        <v/>
      </c>
      <c r="L1144" s="5" t="str">
        <f t="shared" si="1"/>
        <v/>
      </c>
    </row>
    <row r="1145" ht="15.75" customHeight="1">
      <c r="B1145" s="26"/>
      <c r="K1145" s="5" t="str">
        <f>IF(J1145="Yes",IFERROR(VLOOKUP(C1145,'14_Master_Employees'!A:G,7,FALSE),""),"")</f>
        <v/>
      </c>
      <c r="L1145" s="5" t="str">
        <f t="shared" si="1"/>
        <v/>
      </c>
    </row>
    <row r="1146" ht="15.75" customHeight="1">
      <c r="B1146" s="26"/>
      <c r="K1146" s="5" t="str">
        <f>IF(J1146="Yes",IFERROR(VLOOKUP(C1146,'14_Master_Employees'!A:G,7,FALSE),""),"")</f>
        <v/>
      </c>
      <c r="L1146" s="5" t="str">
        <f t="shared" si="1"/>
        <v/>
      </c>
    </row>
    <row r="1147" ht="15.75" customHeight="1">
      <c r="B1147" s="26"/>
      <c r="K1147" s="5" t="str">
        <f>IF(J1147="Yes",IFERROR(VLOOKUP(C1147,'14_Master_Employees'!A:G,7,FALSE),""),"")</f>
        <v/>
      </c>
      <c r="L1147" s="5" t="str">
        <f t="shared" si="1"/>
        <v/>
      </c>
    </row>
    <row r="1148" ht="15.75" customHeight="1">
      <c r="B1148" s="26"/>
      <c r="K1148" s="5" t="str">
        <f>IF(J1148="Yes",IFERROR(VLOOKUP(C1148,'14_Master_Employees'!A:G,7,FALSE),""),"")</f>
        <v/>
      </c>
      <c r="L1148" s="5" t="str">
        <f t="shared" si="1"/>
        <v/>
      </c>
    </row>
    <row r="1149" ht="15.75" customHeight="1">
      <c r="B1149" s="26"/>
      <c r="K1149" s="5" t="str">
        <f>IF(J1149="Yes",IFERROR(VLOOKUP(C1149,'14_Master_Employees'!A:G,7,FALSE),""),"")</f>
        <v/>
      </c>
      <c r="L1149" s="5" t="str">
        <f t="shared" si="1"/>
        <v/>
      </c>
    </row>
    <row r="1150" ht="15.75" customHeight="1">
      <c r="B1150" s="26"/>
      <c r="K1150" s="5" t="str">
        <f>IF(J1150="Yes",IFERROR(VLOOKUP(C1150,'14_Master_Employees'!A:G,7,FALSE),""),"")</f>
        <v/>
      </c>
      <c r="L1150" s="5" t="str">
        <f t="shared" si="1"/>
        <v/>
      </c>
    </row>
    <row r="1151" ht="15.75" customHeight="1">
      <c r="B1151" s="26"/>
      <c r="K1151" s="5" t="str">
        <f>IF(J1151="Yes",IFERROR(VLOOKUP(C1151,'14_Master_Employees'!A:G,7,FALSE),""),"")</f>
        <v/>
      </c>
      <c r="L1151" s="5" t="str">
        <f t="shared" si="1"/>
        <v/>
      </c>
    </row>
    <row r="1152" ht="15.75" customHeight="1">
      <c r="B1152" s="26"/>
      <c r="K1152" s="5" t="str">
        <f>IF(J1152="Yes",IFERROR(VLOOKUP(C1152,'14_Master_Employees'!A:G,7,FALSE),""),"")</f>
        <v/>
      </c>
      <c r="L1152" s="5" t="str">
        <f t="shared" si="1"/>
        <v/>
      </c>
    </row>
    <row r="1153" ht="15.75" customHeight="1">
      <c r="B1153" s="26"/>
      <c r="K1153" s="5" t="str">
        <f>IF(J1153="Yes",IFERROR(VLOOKUP(C1153,'14_Master_Employees'!A:G,7,FALSE),""),"")</f>
        <v/>
      </c>
      <c r="L1153" s="5" t="str">
        <f t="shared" si="1"/>
        <v/>
      </c>
    </row>
    <row r="1154" ht="15.75" customHeight="1">
      <c r="B1154" s="26"/>
      <c r="K1154" s="5" t="str">
        <f>IF(J1154="Yes",IFERROR(VLOOKUP(C1154,'14_Master_Employees'!A:G,7,FALSE),""),"")</f>
        <v/>
      </c>
      <c r="L1154" s="5" t="str">
        <f t="shared" si="1"/>
        <v/>
      </c>
    </row>
    <row r="1155" ht="15.75" customHeight="1">
      <c r="B1155" s="26"/>
      <c r="K1155" s="5" t="str">
        <f>IF(J1155="Yes",IFERROR(VLOOKUP(C1155,'14_Master_Employees'!A:G,7,FALSE),""),"")</f>
        <v/>
      </c>
      <c r="L1155" s="5" t="str">
        <f t="shared" si="1"/>
        <v/>
      </c>
    </row>
    <row r="1156" ht="15.75" customHeight="1">
      <c r="B1156" s="26"/>
      <c r="K1156" s="5" t="str">
        <f>IF(J1156="Yes",IFERROR(VLOOKUP(C1156,'14_Master_Employees'!A:G,7,FALSE),""),"")</f>
        <v/>
      </c>
      <c r="L1156" s="5" t="str">
        <f t="shared" si="1"/>
        <v/>
      </c>
    </row>
    <row r="1157" ht="15.75" customHeight="1">
      <c r="B1157" s="26"/>
      <c r="K1157" s="5" t="str">
        <f>IF(J1157="Yes",IFERROR(VLOOKUP(C1157,'14_Master_Employees'!A:G,7,FALSE),""),"")</f>
        <v/>
      </c>
      <c r="L1157" s="5" t="str">
        <f t="shared" si="1"/>
        <v/>
      </c>
    </row>
    <row r="1158" ht="15.75" customHeight="1">
      <c r="B1158" s="26"/>
      <c r="K1158" s="5" t="str">
        <f>IF(J1158="Yes",IFERROR(VLOOKUP(C1158,'14_Master_Employees'!A:G,7,FALSE),""),"")</f>
        <v/>
      </c>
      <c r="L1158" s="5" t="str">
        <f t="shared" si="1"/>
        <v/>
      </c>
    </row>
    <row r="1159" ht="15.75" customHeight="1">
      <c r="B1159" s="26"/>
      <c r="K1159" s="5" t="str">
        <f>IF(J1159="Yes",IFERROR(VLOOKUP(C1159,'14_Master_Employees'!A:G,7,FALSE),""),"")</f>
        <v/>
      </c>
      <c r="L1159" s="5" t="str">
        <f t="shared" si="1"/>
        <v/>
      </c>
    </row>
    <row r="1160" ht="15.75" customHeight="1">
      <c r="B1160" s="26"/>
      <c r="K1160" s="5" t="str">
        <f>IF(J1160="Yes",IFERROR(VLOOKUP(C1160,'14_Master_Employees'!A:G,7,FALSE),""),"")</f>
        <v/>
      </c>
      <c r="L1160" s="5" t="str">
        <f t="shared" si="1"/>
        <v/>
      </c>
    </row>
    <row r="1161" ht="15.75" customHeight="1">
      <c r="B1161" s="26"/>
      <c r="K1161" s="5" t="str">
        <f>IF(J1161="Yes",IFERROR(VLOOKUP(C1161,'14_Master_Employees'!A:G,7,FALSE),""),"")</f>
        <v/>
      </c>
      <c r="L1161" s="5" t="str">
        <f t="shared" si="1"/>
        <v/>
      </c>
    </row>
    <row r="1162" ht="15.75" customHeight="1">
      <c r="B1162" s="26"/>
      <c r="K1162" s="5" t="str">
        <f>IF(J1162="Yes",IFERROR(VLOOKUP(C1162,'14_Master_Employees'!A:G,7,FALSE),""),"")</f>
        <v/>
      </c>
      <c r="L1162" s="5" t="str">
        <f t="shared" si="1"/>
        <v/>
      </c>
    </row>
    <row r="1163" ht="15.75" customHeight="1">
      <c r="B1163" s="26"/>
      <c r="K1163" s="5" t="str">
        <f>IF(J1163="Yes",IFERROR(VLOOKUP(C1163,'14_Master_Employees'!A:G,7,FALSE),""),"")</f>
        <v/>
      </c>
      <c r="L1163" s="5" t="str">
        <f t="shared" si="1"/>
        <v/>
      </c>
    </row>
    <row r="1164" ht="15.75" customHeight="1">
      <c r="B1164" s="26"/>
      <c r="K1164" s="5" t="str">
        <f>IF(J1164="Yes",IFERROR(VLOOKUP(C1164,'14_Master_Employees'!A:G,7,FALSE),""),"")</f>
        <v/>
      </c>
      <c r="L1164" s="5" t="str">
        <f t="shared" si="1"/>
        <v/>
      </c>
    </row>
    <row r="1165" ht="15.75" customHeight="1">
      <c r="B1165" s="26"/>
      <c r="K1165" s="5" t="str">
        <f>IF(J1165="Yes",IFERROR(VLOOKUP(C1165,'14_Master_Employees'!A:G,7,FALSE),""),"")</f>
        <v/>
      </c>
      <c r="L1165" s="5" t="str">
        <f t="shared" si="1"/>
        <v/>
      </c>
    </row>
    <row r="1166" ht="15.75" customHeight="1">
      <c r="B1166" s="26"/>
      <c r="K1166" s="5" t="str">
        <f>IF(J1166="Yes",IFERROR(VLOOKUP(C1166,'14_Master_Employees'!A:G,7,FALSE),""),"")</f>
        <v/>
      </c>
      <c r="L1166" s="5" t="str">
        <f t="shared" si="1"/>
        <v/>
      </c>
    </row>
    <row r="1167" ht="15.75" customHeight="1">
      <c r="B1167" s="26"/>
      <c r="K1167" s="5" t="str">
        <f>IF(J1167="Yes",IFERROR(VLOOKUP(C1167,'14_Master_Employees'!A:G,7,FALSE),""),"")</f>
        <v/>
      </c>
      <c r="L1167" s="5" t="str">
        <f t="shared" si="1"/>
        <v/>
      </c>
    </row>
    <row r="1168" ht="15.75" customHeight="1">
      <c r="B1168" s="26"/>
      <c r="K1168" s="5" t="str">
        <f>IF(J1168="Yes",IFERROR(VLOOKUP(C1168,'14_Master_Employees'!A:G,7,FALSE),""),"")</f>
        <v/>
      </c>
      <c r="L1168" s="5" t="str">
        <f t="shared" si="1"/>
        <v/>
      </c>
    </row>
    <row r="1169" ht="15.75" customHeight="1">
      <c r="B1169" s="26"/>
      <c r="K1169" s="5" t="str">
        <f>IF(J1169="Yes",IFERROR(VLOOKUP(C1169,'14_Master_Employees'!A:G,7,FALSE),""),"")</f>
        <v/>
      </c>
      <c r="L1169" s="5" t="str">
        <f t="shared" si="1"/>
        <v/>
      </c>
    </row>
    <row r="1170" ht="15.75" customHeight="1">
      <c r="B1170" s="26"/>
      <c r="K1170" s="5" t="str">
        <f>IF(J1170="Yes",IFERROR(VLOOKUP(C1170,'14_Master_Employees'!A:G,7,FALSE),""),"")</f>
        <v/>
      </c>
      <c r="L1170" s="5" t="str">
        <f t="shared" si="1"/>
        <v/>
      </c>
    </row>
    <row r="1171" ht="15.75" customHeight="1">
      <c r="B1171" s="26"/>
      <c r="K1171" s="5" t="str">
        <f>IF(J1171="Yes",IFERROR(VLOOKUP(C1171,'14_Master_Employees'!A:G,7,FALSE),""),"")</f>
        <v/>
      </c>
      <c r="L1171" s="5" t="str">
        <f t="shared" si="1"/>
        <v/>
      </c>
    </row>
    <row r="1172" ht="15.75" customHeight="1">
      <c r="B1172" s="26"/>
      <c r="K1172" s="5" t="str">
        <f>IF(J1172="Yes",IFERROR(VLOOKUP(C1172,'14_Master_Employees'!A:G,7,FALSE),""),"")</f>
        <v/>
      </c>
      <c r="L1172" s="5" t="str">
        <f t="shared" si="1"/>
        <v/>
      </c>
    </row>
    <row r="1173" ht="15.75" customHeight="1">
      <c r="B1173" s="26"/>
      <c r="K1173" s="5" t="str">
        <f>IF(J1173="Yes",IFERROR(VLOOKUP(C1173,'14_Master_Employees'!A:G,7,FALSE),""),"")</f>
        <v/>
      </c>
      <c r="L1173" s="5" t="str">
        <f t="shared" si="1"/>
        <v/>
      </c>
    </row>
    <row r="1174" ht="15.75" customHeight="1">
      <c r="B1174" s="26"/>
      <c r="K1174" s="5" t="str">
        <f>IF(J1174="Yes",IFERROR(VLOOKUP(C1174,'14_Master_Employees'!A:G,7,FALSE),""),"")</f>
        <v/>
      </c>
      <c r="L1174" s="5" t="str">
        <f t="shared" si="1"/>
        <v/>
      </c>
    </row>
    <row r="1175" ht="15.75" customHeight="1">
      <c r="B1175" s="26"/>
      <c r="K1175" s="5" t="str">
        <f>IF(J1175="Yes",IFERROR(VLOOKUP(C1175,'14_Master_Employees'!A:G,7,FALSE),""),"")</f>
        <v/>
      </c>
      <c r="L1175" s="5" t="str">
        <f t="shared" si="1"/>
        <v/>
      </c>
    </row>
    <row r="1176" ht="15.75" customHeight="1">
      <c r="B1176" s="26"/>
      <c r="K1176" s="5" t="str">
        <f>IF(J1176="Yes",IFERROR(VLOOKUP(C1176,'14_Master_Employees'!A:G,7,FALSE),""),"")</f>
        <v/>
      </c>
      <c r="L1176" s="5" t="str">
        <f t="shared" si="1"/>
        <v/>
      </c>
    </row>
    <row r="1177" ht="15.75" customHeight="1">
      <c r="B1177" s="26"/>
      <c r="K1177" s="5" t="str">
        <f>IF(J1177="Yes",IFERROR(VLOOKUP(C1177,'14_Master_Employees'!A:G,7,FALSE),""),"")</f>
        <v/>
      </c>
      <c r="L1177" s="5" t="str">
        <f t="shared" si="1"/>
        <v/>
      </c>
    </row>
    <row r="1178" ht="15.75" customHeight="1">
      <c r="B1178" s="26"/>
      <c r="K1178" s="5" t="str">
        <f>IF(J1178="Yes",IFERROR(VLOOKUP(C1178,'14_Master_Employees'!A:G,7,FALSE),""),"")</f>
        <v/>
      </c>
      <c r="L1178" s="5" t="str">
        <f t="shared" si="1"/>
        <v/>
      </c>
    </row>
    <row r="1179" ht="15.75" customHeight="1">
      <c r="B1179" s="26"/>
      <c r="K1179" s="5" t="str">
        <f>IF(J1179="Yes",IFERROR(VLOOKUP(C1179,'14_Master_Employees'!A:G,7,FALSE),""),"")</f>
        <v/>
      </c>
      <c r="L1179" s="5" t="str">
        <f t="shared" si="1"/>
        <v/>
      </c>
    </row>
    <row r="1180" ht="15.75" customHeight="1">
      <c r="B1180" s="26"/>
      <c r="K1180" s="5" t="str">
        <f>IF(J1180="Yes",IFERROR(VLOOKUP(C1180,'14_Master_Employees'!A:G,7,FALSE),""),"")</f>
        <v/>
      </c>
      <c r="L1180" s="5" t="str">
        <f t="shared" si="1"/>
        <v/>
      </c>
    </row>
    <row r="1181" ht="15.75" customHeight="1">
      <c r="B1181" s="26"/>
      <c r="K1181" s="5" t="str">
        <f>IF(J1181="Yes",IFERROR(VLOOKUP(C1181,'14_Master_Employees'!A:G,7,FALSE),""),"")</f>
        <v/>
      </c>
      <c r="L1181" s="5" t="str">
        <f t="shared" si="1"/>
        <v/>
      </c>
    </row>
    <row r="1182" ht="15.75" customHeight="1">
      <c r="B1182" s="26"/>
      <c r="K1182" s="5" t="str">
        <f>IF(J1182="Yes",IFERROR(VLOOKUP(C1182,'14_Master_Employees'!A:G,7,FALSE),""),"")</f>
        <v/>
      </c>
      <c r="L1182" s="5" t="str">
        <f t="shared" si="1"/>
        <v/>
      </c>
    </row>
    <row r="1183" ht="15.75" customHeight="1">
      <c r="B1183" s="26"/>
      <c r="K1183" s="5" t="str">
        <f>IF(J1183="Yes",IFERROR(VLOOKUP(C1183,'14_Master_Employees'!A:G,7,FALSE),""),"")</f>
        <v/>
      </c>
      <c r="L1183" s="5" t="str">
        <f t="shared" si="1"/>
        <v/>
      </c>
    </row>
    <row r="1184" ht="15.75" customHeight="1">
      <c r="B1184" s="26"/>
      <c r="K1184" s="5" t="str">
        <f>IF(J1184="Yes",IFERROR(VLOOKUP(C1184,'14_Master_Employees'!A:G,7,FALSE),""),"")</f>
        <v/>
      </c>
      <c r="L1184" s="5" t="str">
        <f t="shared" si="1"/>
        <v/>
      </c>
    </row>
    <row r="1185" ht="15.75" customHeight="1">
      <c r="B1185" s="26"/>
      <c r="K1185" s="5" t="str">
        <f>IF(J1185="Yes",IFERROR(VLOOKUP(C1185,'14_Master_Employees'!A:G,7,FALSE),""),"")</f>
        <v/>
      </c>
      <c r="L1185" s="5" t="str">
        <f t="shared" si="1"/>
        <v/>
      </c>
    </row>
    <row r="1186" ht="15.75" customHeight="1">
      <c r="B1186" s="26"/>
      <c r="K1186" s="5" t="str">
        <f>IF(J1186="Yes",IFERROR(VLOOKUP(C1186,'14_Master_Employees'!A:G,7,FALSE),""),"")</f>
        <v/>
      </c>
      <c r="L1186" s="5" t="str">
        <f t="shared" si="1"/>
        <v/>
      </c>
    </row>
    <row r="1187" ht="15.75" customHeight="1">
      <c r="B1187" s="26"/>
      <c r="K1187" s="5" t="str">
        <f>IF(J1187="Yes",IFERROR(VLOOKUP(C1187,'14_Master_Employees'!A:G,7,FALSE),""),"")</f>
        <v/>
      </c>
      <c r="L1187" s="5" t="str">
        <f t="shared" si="1"/>
        <v/>
      </c>
    </row>
    <row r="1188" ht="15.75" customHeight="1">
      <c r="B1188" s="26"/>
      <c r="K1188" s="5" t="str">
        <f>IF(J1188="Yes",IFERROR(VLOOKUP(C1188,'14_Master_Employees'!A:G,7,FALSE),""),"")</f>
        <v/>
      </c>
      <c r="L1188" s="5" t="str">
        <f t="shared" si="1"/>
        <v/>
      </c>
    </row>
    <row r="1189" ht="15.75" customHeight="1">
      <c r="B1189" s="26"/>
      <c r="K1189" s="5" t="str">
        <f>IF(J1189="Yes",IFERROR(VLOOKUP(C1189,'14_Master_Employees'!A:G,7,FALSE),""),"")</f>
        <v/>
      </c>
      <c r="L1189" s="5" t="str">
        <f t="shared" si="1"/>
        <v/>
      </c>
    </row>
    <row r="1190" ht="15.75" customHeight="1">
      <c r="B1190" s="26"/>
      <c r="K1190" s="5" t="str">
        <f>IF(J1190="Yes",IFERROR(VLOOKUP(C1190,'14_Master_Employees'!A:G,7,FALSE),""),"")</f>
        <v/>
      </c>
      <c r="L1190" s="5" t="str">
        <f t="shared" si="1"/>
        <v/>
      </c>
    </row>
    <row r="1191" ht="15.75" customHeight="1">
      <c r="B1191" s="26"/>
      <c r="K1191" s="5" t="str">
        <f>IF(J1191="Yes",IFERROR(VLOOKUP(C1191,'14_Master_Employees'!A:G,7,FALSE),""),"")</f>
        <v/>
      </c>
      <c r="L1191" s="5" t="str">
        <f t="shared" si="1"/>
        <v/>
      </c>
    </row>
    <row r="1192" ht="15.75" customHeight="1">
      <c r="B1192" s="26"/>
      <c r="K1192" s="5" t="str">
        <f>IF(J1192="Yes",IFERROR(VLOOKUP(C1192,'14_Master_Employees'!A:G,7,FALSE),""),"")</f>
        <v/>
      </c>
      <c r="L1192" s="5" t="str">
        <f t="shared" si="1"/>
        <v/>
      </c>
    </row>
    <row r="1193" ht="15.75" customHeight="1">
      <c r="B1193" s="26"/>
      <c r="K1193" s="5" t="str">
        <f>IF(J1193="Yes",IFERROR(VLOOKUP(C1193,'14_Master_Employees'!A:G,7,FALSE),""),"")</f>
        <v/>
      </c>
      <c r="L1193" s="5" t="str">
        <f t="shared" si="1"/>
        <v/>
      </c>
    </row>
    <row r="1194" ht="15.75" customHeight="1">
      <c r="B1194" s="26"/>
      <c r="K1194" s="5" t="str">
        <f>IF(J1194="Yes",IFERROR(VLOOKUP(C1194,'14_Master_Employees'!A:G,7,FALSE),""),"")</f>
        <v/>
      </c>
      <c r="L1194" s="5" t="str">
        <f t="shared" si="1"/>
        <v/>
      </c>
    </row>
    <row r="1195" ht="15.75" customHeight="1">
      <c r="B1195" s="26"/>
      <c r="K1195" s="5" t="str">
        <f>IF(J1195="Yes",IFERROR(VLOOKUP(C1195,'14_Master_Employees'!A:G,7,FALSE),""),"")</f>
        <v/>
      </c>
      <c r="L1195" s="5" t="str">
        <f t="shared" si="1"/>
        <v/>
      </c>
    </row>
    <row r="1196" ht="15.75" customHeight="1">
      <c r="B1196" s="26"/>
      <c r="K1196" s="5" t="str">
        <f>IF(J1196="Yes",IFERROR(VLOOKUP(C1196,'14_Master_Employees'!A:G,7,FALSE),""),"")</f>
        <v/>
      </c>
      <c r="L1196" s="5" t="str">
        <f t="shared" si="1"/>
        <v/>
      </c>
    </row>
    <row r="1197" ht="15.75" customHeight="1">
      <c r="B1197" s="26"/>
      <c r="K1197" s="5" t="str">
        <f>IF(J1197="Yes",IFERROR(VLOOKUP(C1197,'14_Master_Employees'!A:G,7,FALSE),""),"")</f>
        <v/>
      </c>
      <c r="L1197" s="5" t="str">
        <f t="shared" si="1"/>
        <v/>
      </c>
    </row>
    <row r="1198" ht="15.75" customHeight="1">
      <c r="B1198" s="26"/>
      <c r="K1198" s="5" t="str">
        <f>IF(J1198="Yes",IFERROR(VLOOKUP(C1198,'14_Master_Employees'!A:G,7,FALSE),""),"")</f>
        <v/>
      </c>
      <c r="L1198" s="5" t="str">
        <f t="shared" si="1"/>
        <v/>
      </c>
    </row>
    <row r="1199" ht="15.75" customHeight="1">
      <c r="B1199" s="26"/>
      <c r="K1199" s="5" t="str">
        <f>IF(J1199="Yes",IFERROR(VLOOKUP(C1199,'14_Master_Employees'!A:G,7,FALSE),""),"")</f>
        <v/>
      </c>
      <c r="L1199" s="5" t="str">
        <f t="shared" si="1"/>
        <v/>
      </c>
    </row>
    <row r="1200" ht="15.75" customHeight="1">
      <c r="B1200" s="26"/>
      <c r="K1200" s="5" t="str">
        <f>IF(J1200="Yes",IFERROR(VLOOKUP(C1200,'14_Master_Employees'!A:G,7,FALSE),""),"")</f>
        <v/>
      </c>
      <c r="L1200" s="5" t="str">
        <f t="shared" si="1"/>
        <v/>
      </c>
    </row>
    <row r="1201" ht="15.75" customHeight="1">
      <c r="B1201" s="26"/>
      <c r="K1201" s="5" t="str">
        <f>IF(J1201="Yes",IFERROR(VLOOKUP(C1201,'14_Master_Employees'!A:G,7,FALSE),""),"")</f>
        <v/>
      </c>
      <c r="L1201" s="5" t="str">
        <f t="shared" si="1"/>
        <v/>
      </c>
    </row>
    <row r="1202" ht="15.75" customHeight="1">
      <c r="B1202" s="26"/>
      <c r="K1202" s="5" t="str">
        <f>IF(J1202="Yes",IFERROR(VLOOKUP(C1202,'14_Master_Employees'!A:G,7,FALSE),""),"")</f>
        <v/>
      </c>
      <c r="L1202" s="5" t="str">
        <f t="shared" si="1"/>
        <v/>
      </c>
    </row>
    <row r="1203" ht="15.75" customHeight="1">
      <c r="B1203" s="26"/>
      <c r="K1203" s="5" t="str">
        <f>IF(J1203="Yes",IFERROR(VLOOKUP(C1203,'14_Master_Employees'!A:G,7,FALSE),""),"")</f>
        <v/>
      </c>
      <c r="L1203" s="5" t="str">
        <f t="shared" si="1"/>
        <v/>
      </c>
    </row>
    <row r="1204" ht="15.75" customHeight="1">
      <c r="B1204" s="26"/>
      <c r="K1204" s="5" t="str">
        <f>IF(J1204="Yes",IFERROR(VLOOKUP(C1204,'14_Master_Employees'!A:G,7,FALSE),""),"")</f>
        <v/>
      </c>
      <c r="L1204" s="5" t="str">
        <f t="shared" si="1"/>
        <v/>
      </c>
    </row>
    <row r="1205" ht="15.75" customHeight="1">
      <c r="B1205" s="26"/>
      <c r="K1205" s="5" t="str">
        <f>IF(J1205="Yes",IFERROR(VLOOKUP(C1205,'14_Master_Employees'!A:G,7,FALSE),""),"")</f>
        <v/>
      </c>
      <c r="L1205" s="5" t="str">
        <f t="shared" si="1"/>
        <v/>
      </c>
    </row>
    <row r="1206" ht="15.75" customHeight="1">
      <c r="B1206" s="26"/>
      <c r="K1206" s="5" t="str">
        <f>IF(J1206="Yes",IFERROR(VLOOKUP(C1206,'14_Master_Employees'!A:G,7,FALSE),""),"")</f>
        <v/>
      </c>
      <c r="L1206" s="5" t="str">
        <f t="shared" si="1"/>
        <v/>
      </c>
    </row>
    <row r="1207" ht="15.75" customHeight="1">
      <c r="B1207" s="26"/>
      <c r="K1207" s="5" t="str">
        <f>IF(J1207="Yes",IFERROR(VLOOKUP(C1207,'14_Master_Employees'!A:G,7,FALSE),""),"")</f>
        <v/>
      </c>
      <c r="L1207" s="5" t="str">
        <f t="shared" si="1"/>
        <v/>
      </c>
    </row>
    <row r="1208" ht="15.75" customHeight="1">
      <c r="B1208" s="26"/>
      <c r="K1208" s="5" t="str">
        <f>IF(J1208="Yes",IFERROR(VLOOKUP(C1208,'14_Master_Employees'!A:G,7,FALSE),""),"")</f>
        <v/>
      </c>
      <c r="L1208" s="5" t="str">
        <f t="shared" si="1"/>
        <v/>
      </c>
    </row>
    <row r="1209" ht="15.75" customHeight="1">
      <c r="B1209" s="26"/>
      <c r="K1209" s="5" t="str">
        <f>IF(J1209="Yes",IFERROR(VLOOKUP(C1209,'14_Master_Employees'!A:G,7,FALSE),""),"")</f>
        <v/>
      </c>
      <c r="L1209" s="5" t="str">
        <f t="shared" si="1"/>
        <v/>
      </c>
    </row>
    <row r="1210" ht="15.75" customHeight="1">
      <c r="B1210" s="26"/>
      <c r="K1210" s="5" t="str">
        <f>IF(J1210="Yes",IFERROR(VLOOKUP(C1210,'14_Master_Employees'!A:G,7,FALSE),""),"")</f>
        <v/>
      </c>
      <c r="L1210" s="5" t="str">
        <f t="shared" si="1"/>
        <v/>
      </c>
    </row>
    <row r="1211" ht="15.75" customHeight="1">
      <c r="B1211" s="26"/>
      <c r="K1211" s="5" t="str">
        <f>IF(J1211="Yes",IFERROR(VLOOKUP(C1211,'14_Master_Employees'!A:G,7,FALSE),""),"")</f>
        <v/>
      </c>
      <c r="L1211" s="5" t="str">
        <f t="shared" si="1"/>
        <v/>
      </c>
    </row>
    <row r="1212" ht="15.75" customHeight="1">
      <c r="B1212" s="26"/>
      <c r="K1212" s="5" t="str">
        <f>IF(J1212="Yes",IFERROR(VLOOKUP(C1212,'14_Master_Employees'!A:G,7,FALSE),""),"")</f>
        <v/>
      </c>
      <c r="L1212" s="5" t="str">
        <f t="shared" si="1"/>
        <v/>
      </c>
    </row>
    <row r="1213" ht="15.75" customHeight="1">
      <c r="B1213" s="26"/>
      <c r="K1213" s="5" t="str">
        <f>IF(J1213="Yes",IFERROR(VLOOKUP(C1213,'14_Master_Employees'!A:G,7,FALSE),""),"")</f>
        <v/>
      </c>
      <c r="L1213" s="5" t="str">
        <f t="shared" si="1"/>
        <v/>
      </c>
    </row>
    <row r="1214" ht="15.75" customHeight="1">
      <c r="B1214" s="26"/>
      <c r="K1214" s="5" t="str">
        <f>IF(J1214="Yes",IFERROR(VLOOKUP(C1214,'14_Master_Employees'!A:G,7,FALSE),""),"")</f>
        <v/>
      </c>
      <c r="L1214" s="5" t="str">
        <f t="shared" si="1"/>
        <v/>
      </c>
    </row>
    <row r="1215" ht="15.75" customHeight="1">
      <c r="B1215" s="26"/>
      <c r="K1215" s="5" t="str">
        <f>IF(J1215="Yes",IFERROR(VLOOKUP(C1215,'14_Master_Employees'!A:G,7,FALSE),""),"")</f>
        <v/>
      </c>
      <c r="L1215" s="5" t="str">
        <f t="shared" si="1"/>
        <v/>
      </c>
    </row>
    <row r="1216" ht="15.75" customHeight="1">
      <c r="B1216" s="26"/>
      <c r="K1216" s="5" t="str">
        <f>IF(J1216="Yes",IFERROR(VLOOKUP(C1216,'14_Master_Employees'!A:G,7,FALSE),""),"")</f>
        <v/>
      </c>
      <c r="L1216" s="5" t="str">
        <f t="shared" si="1"/>
        <v/>
      </c>
    </row>
    <row r="1217" ht="15.75" customHeight="1">
      <c r="B1217" s="26"/>
      <c r="K1217" s="5" t="str">
        <f>IF(J1217="Yes",IFERROR(VLOOKUP(C1217,'14_Master_Employees'!A:G,7,FALSE),""),"")</f>
        <v/>
      </c>
      <c r="L1217" s="5" t="str">
        <f t="shared" si="1"/>
        <v/>
      </c>
    </row>
    <row r="1218" ht="15.75" customHeight="1">
      <c r="B1218" s="26"/>
      <c r="K1218" s="5" t="str">
        <f>IF(J1218="Yes",IFERROR(VLOOKUP(C1218,'14_Master_Employees'!A:G,7,FALSE),""),"")</f>
        <v/>
      </c>
      <c r="L1218" s="5" t="str">
        <f t="shared" si="1"/>
        <v/>
      </c>
    </row>
    <row r="1219" ht="15.75" customHeight="1">
      <c r="B1219" s="26"/>
      <c r="K1219" s="5" t="str">
        <f>IF(J1219="Yes",IFERROR(VLOOKUP(C1219,'14_Master_Employees'!A:G,7,FALSE),""),"")</f>
        <v/>
      </c>
      <c r="L1219" s="5" t="str">
        <f t="shared" si="1"/>
        <v/>
      </c>
    </row>
    <row r="1220" ht="15.75" customHeight="1">
      <c r="B1220" s="26"/>
      <c r="K1220" s="5" t="str">
        <f>IF(J1220="Yes",IFERROR(VLOOKUP(C1220,'14_Master_Employees'!A:G,7,FALSE),""),"")</f>
        <v/>
      </c>
      <c r="L1220" s="5" t="str">
        <f t="shared" si="1"/>
        <v/>
      </c>
    </row>
    <row r="1221" ht="15.75" customHeight="1">
      <c r="B1221" s="26"/>
      <c r="K1221" s="5" t="str">
        <f>IF(J1221="Yes",IFERROR(VLOOKUP(C1221,'14_Master_Employees'!A:G,7,FALSE),""),"")</f>
        <v/>
      </c>
      <c r="L1221" s="5" t="str">
        <f t="shared" si="1"/>
        <v/>
      </c>
    </row>
    <row r="1222" ht="15.75" customHeight="1">
      <c r="B1222" s="26"/>
      <c r="K1222" s="5" t="str">
        <f>IF(J1222="Yes",IFERROR(VLOOKUP(C1222,'14_Master_Employees'!A:G,7,FALSE),""),"")</f>
        <v/>
      </c>
      <c r="L1222" s="5" t="str">
        <f t="shared" si="1"/>
        <v/>
      </c>
    </row>
    <row r="1223" ht="15.75" customHeight="1">
      <c r="B1223" s="26"/>
      <c r="K1223" s="5" t="str">
        <f>IF(J1223="Yes",IFERROR(VLOOKUP(C1223,'14_Master_Employees'!A:G,7,FALSE),""),"")</f>
        <v/>
      </c>
      <c r="L1223" s="5" t="str">
        <f t="shared" si="1"/>
        <v/>
      </c>
    </row>
    <row r="1224" ht="15.75" customHeight="1">
      <c r="B1224" s="26"/>
      <c r="K1224" s="5" t="str">
        <f>IF(J1224="Yes",IFERROR(VLOOKUP(C1224,'14_Master_Employees'!A:G,7,FALSE),""),"")</f>
        <v/>
      </c>
      <c r="L1224" s="5" t="str">
        <f t="shared" si="1"/>
        <v/>
      </c>
    </row>
    <row r="1225" ht="15.75" customHeight="1">
      <c r="B1225" s="26"/>
      <c r="K1225" s="5" t="str">
        <f>IF(J1225="Yes",IFERROR(VLOOKUP(C1225,'14_Master_Employees'!A:G,7,FALSE),""),"")</f>
        <v/>
      </c>
      <c r="L1225" s="5" t="str">
        <f t="shared" si="1"/>
        <v/>
      </c>
    </row>
    <row r="1226" ht="15.75" customHeight="1">
      <c r="B1226" s="26"/>
      <c r="K1226" s="5" t="str">
        <f>IF(J1226="Yes",IFERROR(VLOOKUP(C1226,'14_Master_Employees'!A:G,7,FALSE),""),"")</f>
        <v/>
      </c>
      <c r="L1226" s="5" t="str">
        <f t="shared" si="1"/>
        <v/>
      </c>
    </row>
    <row r="1227" ht="15.75" customHeight="1">
      <c r="B1227" s="26"/>
      <c r="K1227" s="5" t="str">
        <f>IF(J1227="Yes",IFERROR(VLOOKUP(C1227,'14_Master_Employees'!A:G,7,FALSE),""),"")</f>
        <v/>
      </c>
      <c r="L1227" s="5" t="str">
        <f t="shared" si="1"/>
        <v/>
      </c>
    </row>
    <row r="1228" ht="15.75" customHeight="1">
      <c r="B1228" s="26"/>
      <c r="K1228" s="5" t="str">
        <f>IF(J1228="Yes",IFERROR(VLOOKUP(C1228,'14_Master_Employees'!A:G,7,FALSE),""),"")</f>
        <v/>
      </c>
      <c r="L1228" s="5" t="str">
        <f t="shared" si="1"/>
        <v/>
      </c>
    </row>
    <row r="1229" ht="15.75" customHeight="1">
      <c r="B1229" s="26"/>
      <c r="K1229" s="5" t="str">
        <f>IF(J1229="Yes",IFERROR(VLOOKUP(C1229,'14_Master_Employees'!A:G,7,FALSE),""),"")</f>
        <v/>
      </c>
      <c r="L1229" s="5" t="str">
        <f t="shared" si="1"/>
        <v/>
      </c>
    </row>
    <row r="1230" ht="15.75" customHeight="1">
      <c r="B1230" s="26"/>
      <c r="K1230" s="5" t="str">
        <f>IF(J1230="Yes",IFERROR(VLOOKUP(C1230,'14_Master_Employees'!A:G,7,FALSE),""),"")</f>
        <v/>
      </c>
      <c r="L1230" s="5" t="str">
        <f t="shared" si="1"/>
        <v/>
      </c>
    </row>
    <row r="1231" ht="15.75" customHeight="1">
      <c r="B1231" s="26"/>
      <c r="K1231" s="5" t="str">
        <f>IF(J1231="Yes",IFERROR(VLOOKUP(C1231,'14_Master_Employees'!A:G,7,FALSE),""),"")</f>
        <v/>
      </c>
      <c r="L1231" s="5" t="str">
        <f t="shared" si="1"/>
        <v/>
      </c>
    </row>
    <row r="1232" ht="15.75" customHeight="1">
      <c r="B1232" s="26"/>
      <c r="K1232" s="5" t="str">
        <f>IF(J1232="Yes",IFERROR(VLOOKUP(C1232,'14_Master_Employees'!A:G,7,FALSE),""),"")</f>
        <v/>
      </c>
      <c r="L1232" s="5" t="str">
        <f t="shared" si="1"/>
        <v/>
      </c>
    </row>
    <row r="1233" ht="15.75" customHeight="1">
      <c r="B1233" s="26"/>
      <c r="K1233" s="5" t="str">
        <f>IF(J1233="Yes",IFERROR(VLOOKUP(C1233,'14_Master_Employees'!A:G,7,FALSE),""),"")</f>
        <v/>
      </c>
      <c r="L1233" s="5" t="str">
        <f t="shared" si="1"/>
        <v/>
      </c>
    </row>
    <row r="1234" ht="15.75" customHeight="1">
      <c r="B1234" s="26"/>
      <c r="K1234" s="5" t="str">
        <f>IF(J1234="Yes",IFERROR(VLOOKUP(C1234,'14_Master_Employees'!A:G,7,FALSE),""),"")</f>
        <v/>
      </c>
      <c r="L1234" s="5" t="str">
        <f t="shared" si="1"/>
        <v/>
      </c>
    </row>
    <row r="1235" ht="15.75" customHeight="1">
      <c r="B1235" s="26"/>
      <c r="K1235" s="5" t="str">
        <f>IF(J1235="Yes",IFERROR(VLOOKUP(C1235,'14_Master_Employees'!A:G,7,FALSE),""),"")</f>
        <v/>
      </c>
      <c r="L1235" s="5" t="str">
        <f t="shared" si="1"/>
        <v/>
      </c>
    </row>
    <row r="1236" ht="15.75" customHeight="1">
      <c r="B1236" s="26"/>
      <c r="K1236" s="5" t="str">
        <f>IF(J1236="Yes",IFERROR(VLOOKUP(C1236,'14_Master_Employees'!A:G,7,FALSE),""),"")</f>
        <v/>
      </c>
      <c r="L1236" s="5" t="str">
        <f t="shared" si="1"/>
        <v/>
      </c>
    </row>
    <row r="1237" ht="15.75" customHeight="1">
      <c r="B1237" s="26"/>
      <c r="K1237" s="5" t="str">
        <f>IF(J1237="Yes",IFERROR(VLOOKUP(C1237,'14_Master_Employees'!A:G,7,FALSE),""),"")</f>
        <v/>
      </c>
      <c r="L1237" s="5" t="str">
        <f t="shared" si="1"/>
        <v/>
      </c>
    </row>
    <row r="1238" ht="15.75" customHeight="1">
      <c r="B1238" s="26"/>
      <c r="K1238" s="5" t="str">
        <f>IF(J1238="Yes",IFERROR(VLOOKUP(C1238,'14_Master_Employees'!A:G,7,FALSE),""),"")</f>
        <v/>
      </c>
      <c r="L1238" s="5" t="str">
        <f t="shared" si="1"/>
        <v/>
      </c>
    </row>
    <row r="1239" ht="15.75" customHeight="1">
      <c r="B1239" s="26"/>
      <c r="K1239" s="5" t="str">
        <f>IF(J1239="Yes",IFERROR(VLOOKUP(C1239,'14_Master_Employees'!A:G,7,FALSE),""),"")</f>
        <v/>
      </c>
      <c r="L1239" s="5" t="str">
        <f t="shared" si="1"/>
        <v/>
      </c>
    </row>
    <row r="1240" ht="15.75" customHeight="1">
      <c r="B1240" s="26"/>
      <c r="K1240" s="5" t="str">
        <f>IF(J1240="Yes",IFERROR(VLOOKUP(C1240,'14_Master_Employees'!A:G,7,FALSE),""),"")</f>
        <v/>
      </c>
      <c r="L1240" s="5" t="str">
        <f t="shared" si="1"/>
        <v/>
      </c>
    </row>
    <row r="1241" ht="15.75" customHeight="1">
      <c r="B1241" s="26"/>
      <c r="K1241" s="5" t="str">
        <f>IF(J1241="Yes",IFERROR(VLOOKUP(C1241,'14_Master_Employees'!A:G,7,FALSE),""),"")</f>
        <v/>
      </c>
      <c r="L1241" s="5" t="str">
        <f t="shared" si="1"/>
        <v/>
      </c>
    </row>
    <row r="1242" ht="15.75" customHeight="1">
      <c r="B1242" s="26"/>
      <c r="K1242" s="5" t="str">
        <f>IF(J1242="Yes",IFERROR(VLOOKUP(C1242,'14_Master_Employees'!A:G,7,FALSE),""),"")</f>
        <v/>
      </c>
      <c r="L1242" s="5" t="str">
        <f t="shared" si="1"/>
        <v/>
      </c>
    </row>
    <row r="1243" ht="15.75" customHeight="1">
      <c r="B1243" s="26"/>
      <c r="K1243" s="5" t="str">
        <f>IF(J1243="Yes",IFERROR(VLOOKUP(C1243,'14_Master_Employees'!A:G,7,FALSE),""),"")</f>
        <v/>
      </c>
      <c r="L1243" s="5" t="str">
        <f t="shared" si="1"/>
        <v/>
      </c>
    </row>
    <row r="1244" ht="15.75" customHeight="1">
      <c r="B1244" s="26"/>
      <c r="K1244" s="5" t="str">
        <f>IF(J1244="Yes",IFERROR(VLOOKUP(C1244,'14_Master_Employees'!A:G,7,FALSE),""),"")</f>
        <v/>
      </c>
      <c r="L1244" s="5" t="str">
        <f t="shared" si="1"/>
        <v/>
      </c>
    </row>
    <row r="1245" ht="15.75" customHeight="1">
      <c r="B1245" s="26"/>
      <c r="K1245" s="5" t="str">
        <f>IF(J1245="Yes",IFERROR(VLOOKUP(C1245,'14_Master_Employees'!A:G,7,FALSE),""),"")</f>
        <v/>
      </c>
      <c r="L1245" s="5" t="str">
        <f t="shared" si="1"/>
        <v/>
      </c>
    </row>
    <row r="1246" ht="15.75" customHeight="1">
      <c r="B1246" s="26"/>
      <c r="K1246" s="5" t="str">
        <f>IF(J1246="Yes",IFERROR(VLOOKUP(C1246,'14_Master_Employees'!A:G,7,FALSE),""),"")</f>
        <v/>
      </c>
      <c r="L1246" s="5" t="str">
        <f t="shared" si="1"/>
        <v/>
      </c>
    </row>
    <row r="1247" ht="15.75" customHeight="1">
      <c r="B1247" s="26"/>
      <c r="K1247" s="5" t="str">
        <f>IF(J1247="Yes",IFERROR(VLOOKUP(C1247,'14_Master_Employees'!A:G,7,FALSE),""),"")</f>
        <v/>
      </c>
      <c r="L1247" s="5" t="str">
        <f t="shared" si="1"/>
        <v/>
      </c>
    </row>
    <row r="1248" ht="15.75" customHeight="1">
      <c r="B1248" s="26"/>
      <c r="K1248" s="5" t="str">
        <f>IF(J1248="Yes",IFERROR(VLOOKUP(C1248,'14_Master_Employees'!A:G,7,FALSE),""),"")</f>
        <v/>
      </c>
      <c r="L1248" s="5" t="str">
        <f t="shared" si="1"/>
        <v/>
      </c>
    </row>
    <row r="1249" ht="15.75" customHeight="1">
      <c r="B1249" s="26"/>
      <c r="K1249" s="5" t="str">
        <f>IF(J1249="Yes",IFERROR(VLOOKUP(C1249,'14_Master_Employees'!A:G,7,FALSE),""),"")</f>
        <v/>
      </c>
      <c r="L1249" s="5" t="str">
        <f t="shared" si="1"/>
        <v/>
      </c>
    </row>
    <row r="1250" ht="15.75" customHeight="1">
      <c r="B1250" s="26"/>
      <c r="K1250" s="5" t="str">
        <f>IF(J1250="Yes",IFERROR(VLOOKUP(C1250,'14_Master_Employees'!A:G,7,FALSE),""),"")</f>
        <v/>
      </c>
      <c r="L1250" s="5" t="str">
        <f t="shared" si="1"/>
        <v/>
      </c>
    </row>
    <row r="1251" ht="15.75" customHeight="1">
      <c r="B1251" s="26"/>
      <c r="K1251" s="5" t="str">
        <f>IF(J1251="Yes",IFERROR(VLOOKUP(C1251,'14_Master_Employees'!A:G,7,FALSE),""),"")</f>
        <v/>
      </c>
      <c r="L1251" s="5" t="str">
        <f t="shared" si="1"/>
        <v/>
      </c>
    </row>
    <row r="1252" ht="15.75" customHeight="1">
      <c r="B1252" s="26"/>
      <c r="K1252" s="5" t="str">
        <f>IF(J1252="Yes",IFERROR(VLOOKUP(C1252,'14_Master_Employees'!A:G,7,FALSE),""),"")</f>
        <v/>
      </c>
      <c r="L1252" s="5" t="str">
        <f t="shared" si="1"/>
        <v/>
      </c>
    </row>
    <row r="1253" ht="15.75" customHeight="1">
      <c r="B1253" s="26"/>
      <c r="K1253" s="5" t="str">
        <f>IF(J1253="Yes",IFERROR(VLOOKUP(C1253,'14_Master_Employees'!A:G,7,FALSE),""),"")</f>
        <v/>
      </c>
      <c r="L1253" s="5" t="str">
        <f t="shared" si="1"/>
        <v/>
      </c>
    </row>
    <row r="1254" ht="15.75" customHeight="1">
      <c r="B1254" s="26"/>
      <c r="K1254" s="5" t="str">
        <f>IF(J1254="Yes",IFERROR(VLOOKUP(C1254,'14_Master_Employees'!A:G,7,FALSE),""),"")</f>
        <v/>
      </c>
      <c r="L1254" s="5" t="str">
        <f t="shared" si="1"/>
        <v/>
      </c>
    </row>
    <row r="1255" ht="15.75" customHeight="1">
      <c r="B1255" s="26"/>
      <c r="K1255" s="5" t="str">
        <f>IF(J1255="Yes",IFERROR(VLOOKUP(C1255,'14_Master_Employees'!A:G,7,FALSE),""),"")</f>
        <v/>
      </c>
      <c r="L1255" s="5" t="str">
        <f t="shared" si="1"/>
        <v/>
      </c>
    </row>
    <row r="1256" ht="15.75" customHeight="1">
      <c r="B1256" s="26"/>
      <c r="K1256" s="5" t="str">
        <f>IF(J1256="Yes",IFERROR(VLOOKUP(C1256,'14_Master_Employees'!A:G,7,FALSE),""),"")</f>
        <v/>
      </c>
      <c r="L1256" s="5" t="str">
        <f t="shared" si="1"/>
        <v/>
      </c>
    </row>
    <row r="1257" ht="15.75" customHeight="1">
      <c r="B1257" s="26"/>
      <c r="K1257" s="5" t="str">
        <f>IF(J1257="Yes",IFERROR(VLOOKUP(C1257,'14_Master_Employees'!A:G,7,FALSE),""),"")</f>
        <v/>
      </c>
      <c r="L1257" s="5" t="str">
        <f t="shared" si="1"/>
        <v/>
      </c>
    </row>
    <row r="1258" ht="15.75" customHeight="1">
      <c r="B1258" s="26"/>
      <c r="K1258" s="5" t="str">
        <f>IF(J1258="Yes",IFERROR(VLOOKUP(C1258,'14_Master_Employees'!A:G,7,FALSE),""),"")</f>
        <v/>
      </c>
      <c r="L1258" s="5" t="str">
        <f t="shared" si="1"/>
        <v/>
      </c>
    </row>
    <row r="1259" ht="15.75" customHeight="1">
      <c r="B1259" s="26"/>
      <c r="K1259" s="5" t="str">
        <f>IF(J1259="Yes",IFERROR(VLOOKUP(C1259,'14_Master_Employees'!A:G,7,FALSE),""),"")</f>
        <v/>
      </c>
      <c r="L1259" s="5" t="str">
        <f t="shared" si="1"/>
        <v/>
      </c>
    </row>
    <row r="1260" ht="15.75" customHeight="1">
      <c r="B1260" s="26"/>
      <c r="K1260" s="5" t="str">
        <f>IF(J1260="Yes",IFERROR(VLOOKUP(C1260,'14_Master_Employees'!A:G,7,FALSE),""),"")</f>
        <v/>
      </c>
      <c r="L1260" s="5" t="str">
        <f t="shared" si="1"/>
        <v/>
      </c>
    </row>
    <row r="1261" ht="15.75" customHeight="1">
      <c r="B1261" s="26"/>
      <c r="K1261" s="5" t="str">
        <f>IF(J1261="Yes",IFERROR(VLOOKUP(C1261,'14_Master_Employees'!A:G,7,FALSE),""),"")</f>
        <v/>
      </c>
      <c r="L1261" s="5" t="str">
        <f t="shared" si="1"/>
        <v/>
      </c>
    </row>
    <row r="1262" ht="15.75" customHeight="1">
      <c r="B1262" s="26"/>
      <c r="K1262" s="5" t="str">
        <f>IF(J1262="Yes",IFERROR(VLOOKUP(C1262,'14_Master_Employees'!A:G,7,FALSE),""),"")</f>
        <v/>
      </c>
      <c r="L1262" s="5" t="str">
        <f t="shared" si="1"/>
        <v/>
      </c>
    </row>
    <row r="1263" ht="15.75" customHeight="1">
      <c r="B1263" s="26"/>
      <c r="K1263" s="5" t="str">
        <f>IF(J1263="Yes",IFERROR(VLOOKUP(C1263,'14_Master_Employees'!A:G,7,FALSE),""),"")</f>
        <v/>
      </c>
      <c r="L1263" s="5" t="str">
        <f t="shared" si="1"/>
        <v/>
      </c>
    </row>
    <row r="1264" ht="15.75" customHeight="1">
      <c r="B1264" s="26"/>
      <c r="K1264" s="5" t="str">
        <f>IF(J1264="Yes",IFERROR(VLOOKUP(C1264,'14_Master_Employees'!A:G,7,FALSE),""),"")</f>
        <v/>
      </c>
      <c r="L1264" s="5" t="str">
        <f t="shared" si="1"/>
        <v/>
      </c>
    </row>
    <row r="1265" ht="15.75" customHeight="1">
      <c r="B1265" s="26"/>
      <c r="K1265" s="5" t="str">
        <f>IF(J1265="Yes",IFERROR(VLOOKUP(C1265,'14_Master_Employees'!A:G,7,FALSE),""),"")</f>
        <v/>
      </c>
      <c r="L1265" s="5" t="str">
        <f t="shared" si="1"/>
        <v/>
      </c>
    </row>
    <row r="1266" ht="15.75" customHeight="1">
      <c r="B1266" s="26"/>
      <c r="K1266" s="5" t="str">
        <f>IF(J1266="Yes",IFERROR(VLOOKUP(C1266,'14_Master_Employees'!A:G,7,FALSE),""),"")</f>
        <v/>
      </c>
      <c r="L1266" s="5" t="str">
        <f t="shared" si="1"/>
        <v/>
      </c>
    </row>
    <row r="1267" ht="15.75" customHeight="1">
      <c r="B1267" s="26"/>
      <c r="K1267" s="5" t="str">
        <f>IF(J1267="Yes",IFERROR(VLOOKUP(C1267,'14_Master_Employees'!A:G,7,FALSE),""),"")</f>
        <v/>
      </c>
      <c r="L1267" s="5" t="str">
        <f t="shared" si="1"/>
        <v/>
      </c>
    </row>
    <row r="1268" ht="15.75" customHeight="1">
      <c r="B1268" s="26"/>
      <c r="K1268" s="5" t="str">
        <f>IF(J1268="Yes",IFERROR(VLOOKUP(C1268,'14_Master_Employees'!A:G,7,FALSE),""),"")</f>
        <v/>
      </c>
      <c r="L1268" s="5" t="str">
        <f t="shared" si="1"/>
        <v/>
      </c>
    </row>
    <row r="1269" ht="15.75" customHeight="1">
      <c r="B1269" s="26"/>
      <c r="K1269" s="5" t="str">
        <f>IF(J1269="Yes",IFERROR(VLOOKUP(C1269,'14_Master_Employees'!A:G,7,FALSE),""),"")</f>
        <v/>
      </c>
      <c r="L1269" s="5" t="str">
        <f t="shared" si="1"/>
        <v/>
      </c>
    </row>
    <row r="1270" ht="15.75" customHeight="1">
      <c r="B1270" s="26"/>
      <c r="K1270" s="5" t="str">
        <f>IF(J1270="Yes",IFERROR(VLOOKUP(C1270,'14_Master_Employees'!A:G,7,FALSE),""),"")</f>
        <v/>
      </c>
      <c r="L1270" s="5" t="str">
        <f t="shared" si="1"/>
        <v/>
      </c>
    </row>
    <row r="1271" ht="15.75" customHeight="1">
      <c r="B1271" s="26"/>
      <c r="K1271" s="5" t="str">
        <f>IF(J1271="Yes",IFERROR(VLOOKUP(C1271,'14_Master_Employees'!A:G,7,FALSE),""),"")</f>
        <v/>
      </c>
      <c r="L1271" s="5" t="str">
        <f t="shared" si="1"/>
        <v/>
      </c>
    </row>
    <row r="1272" ht="15.75" customHeight="1">
      <c r="B1272" s="26"/>
      <c r="K1272" s="5" t="str">
        <f>IF(J1272="Yes",IFERROR(VLOOKUP(C1272,'14_Master_Employees'!A:G,7,FALSE),""),"")</f>
        <v/>
      </c>
      <c r="L1272" s="5" t="str">
        <f t="shared" si="1"/>
        <v/>
      </c>
    </row>
    <row r="1273" ht="15.75" customHeight="1">
      <c r="B1273" s="26"/>
      <c r="K1273" s="5" t="str">
        <f>IF(J1273="Yes",IFERROR(VLOOKUP(C1273,'14_Master_Employees'!A:G,7,FALSE),""),"")</f>
        <v/>
      </c>
      <c r="L1273" s="5" t="str">
        <f t="shared" si="1"/>
        <v/>
      </c>
    </row>
    <row r="1274" ht="15.75" customHeight="1">
      <c r="B1274" s="26"/>
      <c r="K1274" s="5" t="str">
        <f>IF(J1274="Yes",IFERROR(VLOOKUP(C1274,'14_Master_Employees'!A:G,7,FALSE),""),"")</f>
        <v/>
      </c>
      <c r="L1274" s="5" t="str">
        <f t="shared" si="1"/>
        <v/>
      </c>
    </row>
    <row r="1275" ht="15.75" customHeight="1">
      <c r="B1275" s="26"/>
      <c r="K1275" s="5" t="str">
        <f>IF(J1275="Yes",IFERROR(VLOOKUP(C1275,'14_Master_Employees'!A:G,7,FALSE),""),"")</f>
        <v/>
      </c>
      <c r="L1275" s="5" t="str">
        <f t="shared" si="1"/>
        <v/>
      </c>
    </row>
    <row r="1276" ht="15.75" customHeight="1">
      <c r="B1276" s="26"/>
      <c r="K1276" s="5" t="str">
        <f>IF(J1276="Yes",IFERROR(VLOOKUP(C1276,'14_Master_Employees'!A:G,7,FALSE),""),"")</f>
        <v/>
      </c>
      <c r="L1276" s="5" t="str">
        <f t="shared" si="1"/>
        <v/>
      </c>
    </row>
    <row r="1277" ht="15.75" customHeight="1">
      <c r="B1277" s="26"/>
      <c r="K1277" s="5" t="str">
        <f>IF(J1277="Yes",IFERROR(VLOOKUP(C1277,'14_Master_Employees'!A:G,7,FALSE),""),"")</f>
        <v/>
      </c>
      <c r="L1277" s="5" t="str">
        <f t="shared" si="1"/>
        <v/>
      </c>
    </row>
    <row r="1278" ht="15.75" customHeight="1">
      <c r="B1278" s="26"/>
      <c r="K1278" s="5" t="str">
        <f>IF(J1278="Yes",IFERROR(VLOOKUP(C1278,'14_Master_Employees'!A:G,7,FALSE),""),"")</f>
        <v/>
      </c>
      <c r="L1278" s="5" t="str">
        <f t="shared" si="1"/>
        <v/>
      </c>
    </row>
    <row r="1279" ht="15.75" customHeight="1">
      <c r="B1279" s="26"/>
      <c r="K1279" s="5" t="str">
        <f>IF(J1279="Yes",IFERROR(VLOOKUP(C1279,'14_Master_Employees'!A:G,7,FALSE),""),"")</f>
        <v/>
      </c>
      <c r="L1279" s="5" t="str">
        <f t="shared" si="1"/>
        <v/>
      </c>
    </row>
    <row r="1280" ht="15.75" customHeight="1">
      <c r="B1280" s="26"/>
      <c r="K1280" s="5" t="str">
        <f>IF(J1280="Yes",IFERROR(VLOOKUP(C1280,'14_Master_Employees'!A:G,7,FALSE),""),"")</f>
        <v/>
      </c>
      <c r="L1280" s="5" t="str">
        <f t="shared" si="1"/>
        <v/>
      </c>
    </row>
    <row r="1281" ht="15.75" customHeight="1">
      <c r="B1281" s="26"/>
      <c r="K1281" s="5" t="str">
        <f>IF(J1281="Yes",IFERROR(VLOOKUP(C1281,'14_Master_Employees'!A:G,7,FALSE),""),"")</f>
        <v/>
      </c>
      <c r="L1281" s="5" t="str">
        <f t="shared" si="1"/>
        <v/>
      </c>
    </row>
    <row r="1282" ht="15.75" customHeight="1">
      <c r="B1282" s="26"/>
      <c r="K1282" s="5" t="str">
        <f>IF(J1282="Yes",IFERROR(VLOOKUP(C1282,'14_Master_Employees'!A:G,7,FALSE),""),"")</f>
        <v/>
      </c>
      <c r="L1282" s="5" t="str">
        <f t="shared" si="1"/>
        <v/>
      </c>
    </row>
    <row r="1283" ht="15.75" customHeight="1">
      <c r="B1283" s="26"/>
      <c r="K1283" s="5" t="str">
        <f>IF(J1283="Yes",IFERROR(VLOOKUP(C1283,'14_Master_Employees'!A:G,7,FALSE),""),"")</f>
        <v/>
      </c>
      <c r="L1283" s="5" t="str">
        <f t="shared" si="1"/>
        <v/>
      </c>
    </row>
    <row r="1284" ht="15.75" customHeight="1">
      <c r="B1284" s="26"/>
      <c r="K1284" s="5" t="str">
        <f>IF(J1284="Yes",IFERROR(VLOOKUP(C1284,'14_Master_Employees'!A:G,7,FALSE),""),"")</f>
        <v/>
      </c>
      <c r="L1284" s="5" t="str">
        <f t="shared" si="1"/>
        <v/>
      </c>
    </row>
    <row r="1285" ht="15.75" customHeight="1">
      <c r="B1285" s="26"/>
      <c r="K1285" s="5" t="str">
        <f>IF(J1285="Yes",IFERROR(VLOOKUP(C1285,'14_Master_Employees'!A:G,7,FALSE),""),"")</f>
        <v/>
      </c>
      <c r="L1285" s="5" t="str">
        <f t="shared" si="1"/>
        <v/>
      </c>
    </row>
    <row r="1286" ht="15.75" customHeight="1">
      <c r="B1286" s="26"/>
      <c r="K1286" s="5" t="str">
        <f>IF(J1286="Yes",IFERROR(VLOOKUP(C1286,'14_Master_Employees'!A:G,7,FALSE),""),"")</f>
        <v/>
      </c>
      <c r="L1286" s="5" t="str">
        <f t="shared" si="1"/>
        <v/>
      </c>
    </row>
    <row r="1287" ht="15.75" customHeight="1">
      <c r="B1287" s="26"/>
      <c r="K1287" s="5" t="str">
        <f>IF(J1287="Yes",IFERROR(VLOOKUP(C1287,'14_Master_Employees'!A:G,7,FALSE),""),"")</f>
        <v/>
      </c>
      <c r="L1287" s="5" t="str">
        <f t="shared" si="1"/>
        <v/>
      </c>
    </row>
    <row r="1288" ht="15.75" customHeight="1">
      <c r="B1288" s="26"/>
      <c r="K1288" s="5" t="str">
        <f>IF(J1288="Yes",IFERROR(VLOOKUP(C1288,'14_Master_Employees'!A:G,7,FALSE),""),"")</f>
        <v/>
      </c>
      <c r="L1288" s="5" t="str">
        <f t="shared" si="1"/>
        <v/>
      </c>
    </row>
    <row r="1289" ht="15.75" customHeight="1">
      <c r="B1289" s="26"/>
      <c r="K1289" s="5" t="str">
        <f>IF(J1289="Yes",IFERROR(VLOOKUP(C1289,'14_Master_Employees'!A:G,7,FALSE),""),"")</f>
        <v/>
      </c>
      <c r="L1289" s="5" t="str">
        <f t="shared" si="1"/>
        <v/>
      </c>
    </row>
    <row r="1290" ht="15.75" customHeight="1">
      <c r="B1290" s="26"/>
      <c r="K1290" s="5" t="str">
        <f>IF(J1290="Yes",IFERROR(VLOOKUP(C1290,'14_Master_Employees'!A:G,7,FALSE),""),"")</f>
        <v/>
      </c>
      <c r="L1290" s="5" t="str">
        <f t="shared" si="1"/>
        <v/>
      </c>
    </row>
    <row r="1291" ht="15.75" customHeight="1">
      <c r="B1291" s="26"/>
      <c r="K1291" s="5" t="str">
        <f>IF(J1291="Yes",IFERROR(VLOOKUP(C1291,'14_Master_Employees'!A:G,7,FALSE),""),"")</f>
        <v/>
      </c>
      <c r="L1291" s="5" t="str">
        <f t="shared" si="1"/>
        <v/>
      </c>
    </row>
    <row r="1292" ht="15.75" customHeight="1">
      <c r="B1292" s="26"/>
      <c r="K1292" s="5" t="str">
        <f>IF(J1292="Yes",IFERROR(VLOOKUP(C1292,'14_Master_Employees'!A:G,7,FALSE),""),"")</f>
        <v/>
      </c>
      <c r="L1292" s="5" t="str">
        <f t="shared" si="1"/>
        <v/>
      </c>
    </row>
    <row r="1293" ht="15.75" customHeight="1">
      <c r="B1293" s="26"/>
      <c r="K1293" s="5" t="str">
        <f>IF(J1293="Yes",IFERROR(VLOOKUP(C1293,'14_Master_Employees'!A:G,7,FALSE),""),"")</f>
        <v/>
      </c>
      <c r="L1293" s="5" t="str">
        <f t="shared" si="1"/>
        <v/>
      </c>
    </row>
    <row r="1294" ht="15.75" customHeight="1">
      <c r="B1294" s="26"/>
      <c r="K1294" s="5" t="str">
        <f>IF(J1294="Yes",IFERROR(VLOOKUP(C1294,'14_Master_Employees'!A:G,7,FALSE),""),"")</f>
        <v/>
      </c>
      <c r="L1294" s="5" t="str">
        <f t="shared" si="1"/>
        <v/>
      </c>
    </row>
    <row r="1295" ht="15.75" customHeight="1">
      <c r="B1295" s="26"/>
      <c r="K1295" s="5" t="str">
        <f>IF(J1295="Yes",IFERROR(VLOOKUP(C1295,'14_Master_Employees'!A:G,7,FALSE),""),"")</f>
        <v/>
      </c>
      <c r="L1295" s="5" t="str">
        <f t="shared" si="1"/>
        <v/>
      </c>
    </row>
    <row r="1296" ht="15.75" customHeight="1">
      <c r="B1296" s="26"/>
      <c r="K1296" s="5" t="str">
        <f>IF(J1296="Yes",IFERROR(VLOOKUP(C1296,'14_Master_Employees'!A:G,7,FALSE),""),"")</f>
        <v/>
      </c>
      <c r="L1296" s="5" t="str">
        <f t="shared" si="1"/>
        <v/>
      </c>
    </row>
    <row r="1297" ht="15.75" customHeight="1">
      <c r="B1297" s="26"/>
      <c r="K1297" s="5" t="str">
        <f>IF(J1297="Yes",IFERROR(VLOOKUP(C1297,'14_Master_Employees'!A:G,7,FALSE),""),"")</f>
        <v/>
      </c>
      <c r="L1297" s="5" t="str">
        <f t="shared" si="1"/>
        <v/>
      </c>
    </row>
    <row r="1298" ht="15.75" customHeight="1">
      <c r="B1298" s="26"/>
      <c r="K1298" s="5" t="str">
        <f>IF(J1298="Yes",IFERROR(VLOOKUP(C1298,'14_Master_Employees'!A:G,7,FALSE),""),"")</f>
        <v/>
      </c>
      <c r="L1298" s="5" t="str">
        <f t="shared" si="1"/>
        <v/>
      </c>
    </row>
    <row r="1299" ht="15.75" customHeight="1">
      <c r="B1299" s="26"/>
      <c r="K1299" s="5" t="str">
        <f>IF(J1299="Yes",IFERROR(VLOOKUP(C1299,'14_Master_Employees'!A:G,7,FALSE),""),"")</f>
        <v/>
      </c>
      <c r="L1299" s="5" t="str">
        <f t="shared" si="1"/>
        <v/>
      </c>
    </row>
    <row r="1300" ht="15.75" customHeight="1">
      <c r="B1300" s="26"/>
      <c r="K1300" s="5" t="str">
        <f>IF(J1300="Yes",IFERROR(VLOOKUP(C1300,'14_Master_Employees'!A:G,7,FALSE),""),"")</f>
        <v/>
      </c>
      <c r="L1300" s="5" t="str">
        <f t="shared" si="1"/>
        <v/>
      </c>
    </row>
    <row r="1301" ht="15.75" customHeight="1">
      <c r="B1301" s="26"/>
      <c r="K1301" s="5" t="str">
        <f>IF(J1301="Yes",IFERROR(VLOOKUP(C1301,'14_Master_Employees'!A:G,7,FALSE),""),"")</f>
        <v/>
      </c>
      <c r="L1301" s="5" t="str">
        <f t="shared" si="1"/>
        <v/>
      </c>
    </row>
    <row r="1302" ht="15.75" customHeight="1">
      <c r="B1302" s="26"/>
      <c r="K1302" s="5" t="str">
        <f>IF(J1302="Yes",IFERROR(VLOOKUP(C1302,'14_Master_Employees'!A:G,7,FALSE),""),"")</f>
        <v/>
      </c>
      <c r="L1302" s="5" t="str">
        <f t="shared" si="1"/>
        <v/>
      </c>
    </row>
    <row r="1303" ht="15.75" customHeight="1">
      <c r="B1303" s="26"/>
      <c r="K1303" s="5" t="str">
        <f>IF(J1303="Yes",IFERROR(VLOOKUP(C1303,'14_Master_Employees'!A:G,7,FALSE),""),"")</f>
        <v/>
      </c>
      <c r="L1303" s="5" t="str">
        <f t="shared" si="1"/>
        <v/>
      </c>
    </row>
    <row r="1304" ht="15.75" customHeight="1">
      <c r="B1304" s="26"/>
      <c r="K1304" s="5" t="str">
        <f>IF(J1304="Yes",IFERROR(VLOOKUP(C1304,'14_Master_Employees'!A:G,7,FALSE),""),"")</f>
        <v/>
      </c>
      <c r="L1304" s="5" t="str">
        <f t="shared" si="1"/>
        <v/>
      </c>
    </row>
    <row r="1305" ht="15.75" customHeight="1">
      <c r="B1305" s="26"/>
      <c r="K1305" s="5" t="str">
        <f>IF(J1305="Yes",IFERROR(VLOOKUP(C1305,'14_Master_Employees'!A:G,7,FALSE),""),"")</f>
        <v/>
      </c>
      <c r="L1305" s="5" t="str">
        <f t="shared" si="1"/>
        <v/>
      </c>
    </row>
    <row r="1306" ht="15.75" customHeight="1">
      <c r="B1306" s="26"/>
      <c r="K1306" s="5" t="str">
        <f>IF(J1306="Yes",IFERROR(VLOOKUP(C1306,'14_Master_Employees'!A:G,7,FALSE),""),"")</f>
        <v/>
      </c>
      <c r="L1306" s="5" t="str">
        <f t="shared" si="1"/>
        <v/>
      </c>
    </row>
    <row r="1307" ht="15.75" customHeight="1">
      <c r="B1307" s="26"/>
      <c r="K1307" s="5" t="str">
        <f>IF(J1307="Yes",IFERROR(VLOOKUP(C1307,'14_Master_Employees'!A:G,7,FALSE),""),"")</f>
        <v/>
      </c>
      <c r="L1307" s="5" t="str">
        <f t="shared" si="1"/>
        <v/>
      </c>
    </row>
    <row r="1308" ht="15.75" customHeight="1">
      <c r="B1308" s="26"/>
      <c r="K1308" s="5" t="str">
        <f>IF(J1308="Yes",IFERROR(VLOOKUP(C1308,'14_Master_Employees'!A:G,7,FALSE),""),"")</f>
        <v/>
      </c>
      <c r="L1308" s="5" t="str">
        <f t="shared" si="1"/>
        <v/>
      </c>
    </row>
    <row r="1309" ht="15.75" customHeight="1">
      <c r="B1309" s="26"/>
      <c r="K1309" s="5" t="str">
        <f>IF(J1309="Yes",IFERROR(VLOOKUP(C1309,'14_Master_Employees'!A:G,7,FALSE),""),"")</f>
        <v/>
      </c>
      <c r="L1309" s="5" t="str">
        <f t="shared" si="1"/>
        <v/>
      </c>
    </row>
    <row r="1310" ht="15.75" customHeight="1">
      <c r="B1310" s="26"/>
      <c r="K1310" s="5" t="str">
        <f>IF(J1310="Yes",IFERROR(VLOOKUP(C1310,'14_Master_Employees'!A:G,7,FALSE),""),"")</f>
        <v/>
      </c>
      <c r="L1310" s="5" t="str">
        <f t="shared" si="1"/>
        <v/>
      </c>
    </row>
    <row r="1311" ht="15.75" customHeight="1">
      <c r="B1311" s="26"/>
      <c r="K1311" s="5" t="str">
        <f>IF(J1311="Yes",IFERROR(VLOOKUP(C1311,'14_Master_Employees'!A:G,7,FALSE),""),"")</f>
        <v/>
      </c>
      <c r="L1311" s="5" t="str">
        <f t="shared" si="1"/>
        <v/>
      </c>
    </row>
    <row r="1312" ht="15.75" customHeight="1">
      <c r="B1312" s="26"/>
      <c r="K1312" s="5" t="str">
        <f>IF(J1312="Yes",IFERROR(VLOOKUP(C1312,'14_Master_Employees'!A:G,7,FALSE),""),"")</f>
        <v/>
      </c>
      <c r="L1312" s="5" t="str">
        <f t="shared" si="1"/>
        <v/>
      </c>
    </row>
    <row r="1313" ht="15.75" customHeight="1">
      <c r="B1313" s="26"/>
      <c r="K1313" s="5" t="str">
        <f>IF(J1313="Yes",IFERROR(VLOOKUP(C1313,'14_Master_Employees'!A:G,7,FALSE),""),"")</f>
        <v/>
      </c>
      <c r="L1313" s="5" t="str">
        <f t="shared" si="1"/>
        <v/>
      </c>
    </row>
    <row r="1314" ht="15.75" customHeight="1">
      <c r="B1314" s="26"/>
      <c r="K1314" s="5" t="str">
        <f>IF(J1314="Yes",IFERROR(VLOOKUP(C1314,'14_Master_Employees'!A:G,7,FALSE),""),"")</f>
        <v/>
      </c>
      <c r="L1314" s="5" t="str">
        <f t="shared" si="1"/>
        <v/>
      </c>
    </row>
    <row r="1315" ht="15.75" customHeight="1">
      <c r="B1315" s="26"/>
      <c r="K1315" s="5" t="str">
        <f>IF(J1315="Yes",IFERROR(VLOOKUP(C1315,'14_Master_Employees'!A:G,7,FALSE),""),"")</f>
        <v/>
      </c>
      <c r="L1315" s="5" t="str">
        <f t="shared" si="1"/>
        <v/>
      </c>
    </row>
    <row r="1316" ht="15.75" customHeight="1">
      <c r="B1316" s="26"/>
      <c r="K1316" s="5" t="str">
        <f>IF(J1316="Yes",IFERROR(VLOOKUP(C1316,'14_Master_Employees'!A:G,7,FALSE),""),"")</f>
        <v/>
      </c>
      <c r="L1316" s="5" t="str">
        <f t="shared" si="1"/>
        <v/>
      </c>
    </row>
    <row r="1317" ht="15.75" customHeight="1">
      <c r="B1317" s="26"/>
      <c r="K1317" s="5" t="str">
        <f>IF(J1317="Yes",IFERROR(VLOOKUP(C1317,'14_Master_Employees'!A:G,7,FALSE),""),"")</f>
        <v/>
      </c>
      <c r="L1317" s="5" t="str">
        <f t="shared" si="1"/>
        <v/>
      </c>
    </row>
    <row r="1318" ht="15.75" customHeight="1">
      <c r="B1318" s="26"/>
      <c r="K1318" s="5" t="str">
        <f>IF(J1318="Yes",IFERROR(VLOOKUP(C1318,'14_Master_Employees'!A:G,7,FALSE),""),"")</f>
        <v/>
      </c>
      <c r="L1318" s="5" t="str">
        <f t="shared" si="1"/>
        <v/>
      </c>
    </row>
    <row r="1319" ht="15.75" customHeight="1">
      <c r="B1319" s="26"/>
      <c r="K1319" s="5" t="str">
        <f>IF(J1319="Yes",IFERROR(VLOOKUP(C1319,'14_Master_Employees'!A:G,7,FALSE),""),"")</f>
        <v/>
      </c>
      <c r="L1319" s="5" t="str">
        <f t="shared" si="1"/>
        <v/>
      </c>
    </row>
    <row r="1320" ht="15.75" customHeight="1">
      <c r="B1320" s="26"/>
      <c r="K1320" s="5" t="str">
        <f>IF(J1320="Yes",IFERROR(VLOOKUP(C1320,'14_Master_Employees'!A:G,7,FALSE),""),"")</f>
        <v/>
      </c>
      <c r="L1320" s="5" t="str">
        <f t="shared" si="1"/>
        <v/>
      </c>
    </row>
    <row r="1321" ht="15.75" customHeight="1">
      <c r="B1321" s="26"/>
      <c r="K1321" s="5" t="str">
        <f>IF(J1321="Yes",IFERROR(VLOOKUP(C1321,'14_Master_Employees'!A:G,7,FALSE),""),"")</f>
        <v/>
      </c>
      <c r="L1321" s="5" t="str">
        <f t="shared" si="1"/>
        <v/>
      </c>
    </row>
    <row r="1322" ht="15.75" customHeight="1">
      <c r="B1322" s="26"/>
      <c r="K1322" s="5" t="str">
        <f>IF(J1322="Yes",IFERROR(VLOOKUP(C1322,'14_Master_Employees'!A:G,7,FALSE),""),"")</f>
        <v/>
      </c>
      <c r="L1322" s="5" t="str">
        <f t="shared" si="1"/>
        <v/>
      </c>
    </row>
    <row r="1323" ht="15.75" customHeight="1">
      <c r="B1323" s="26"/>
      <c r="K1323" s="5" t="str">
        <f>IF(J1323="Yes",IFERROR(VLOOKUP(C1323,'14_Master_Employees'!A:G,7,FALSE),""),"")</f>
        <v/>
      </c>
      <c r="L1323" s="5" t="str">
        <f t="shared" si="1"/>
        <v/>
      </c>
    </row>
    <row r="1324" ht="15.75" customHeight="1">
      <c r="B1324" s="26"/>
      <c r="K1324" s="5" t="str">
        <f>IF(J1324="Yes",IFERROR(VLOOKUP(C1324,'14_Master_Employees'!A:G,7,FALSE),""),"")</f>
        <v/>
      </c>
      <c r="L1324" s="5" t="str">
        <f t="shared" si="1"/>
        <v/>
      </c>
    </row>
    <row r="1325" ht="15.75" customHeight="1">
      <c r="B1325" s="26"/>
      <c r="K1325" s="5" t="str">
        <f>IF(J1325="Yes",IFERROR(VLOOKUP(C1325,'14_Master_Employees'!A:G,7,FALSE),""),"")</f>
        <v/>
      </c>
      <c r="L1325" s="5" t="str">
        <f t="shared" si="1"/>
        <v/>
      </c>
    </row>
    <row r="1326" ht="15.75" customHeight="1">
      <c r="B1326" s="26"/>
      <c r="K1326" s="5" t="str">
        <f>IF(J1326="Yes",IFERROR(VLOOKUP(C1326,'14_Master_Employees'!A:G,7,FALSE),""),"")</f>
        <v/>
      </c>
      <c r="L1326" s="5" t="str">
        <f t="shared" si="1"/>
        <v/>
      </c>
    </row>
    <row r="1327" ht="15.75" customHeight="1">
      <c r="B1327" s="26"/>
      <c r="K1327" s="5" t="str">
        <f>IF(J1327="Yes",IFERROR(VLOOKUP(C1327,'14_Master_Employees'!A:G,7,FALSE),""),"")</f>
        <v/>
      </c>
      <c r="L1327" s="5" t="str">
        <f t="shared" si="1"/>
        <v/>
      </c>
    </row>
    <row r="1328" ht="15.75" customHeight="1">
      <c r="B1328" s="26"/>
      <c r="K1328" s="5" t="str">
        <f>IF(J1328="Yes",IFERROR(VLOOKUP(C1328,'14_Master_Employees'!A:G,7,FALSE),""),"")</f>
        <v/>
      </c>
      <c r="L1328" s="5" t="str">
        <f t="shared" si="1"/>
        <v/>
      </c>
    </row>
    <row r="1329" ht="15.75" customHeight="1">
      <c r="B1329" s="26"/>
      <c r="K1329" s="5" t="str">
        <f>IF(J1329="Yes",IFERROR(VLOOKUP(C1329,'14_Master_Employees'!A:G,7,FALSE),""),"")</f>
        <v/>
      </c>
      <c r="L1329" s="5" t="str">
        <f t="shared" si="1"/>
        <v/>
      </c>
    </row>
    <row r="1330" ht="15.75" customHeight="1">
      <c r="B1330" s="26"/>
      <c r="K1330" s="5" t="str">
        <f>IF(J1330="Yes",IFERROR(VLOOKUP(C1330,'14_Master_Employees'!A:G,7,FALSE),""),"")</f>
        <v/>
      </c>
      <c r="L1330" s="5" t="str">
        <f t="shared" si="1"/>
        <v/>
      </c>
    </row>
    <row r="1331" ht="15.75" customHeight="1">
      <c r="B1331" s="26"/>
      <c r="K1331" s="5" t="str">
        <f>IF(J1331="Yes",IFERROR(VLOOKUP(C1331,'14_Master_Employees'!A:G,7,FALSE),""),"")</f>
        <v/>
      </c>
      <c r="L1331" s="5" t="str">
        <f t="shared" si="1"/>
        <v/>
      </c>
    </row>
    <row r="1332" ht="15.75" customHeight="1">
      <c r="B1332" s="26"/>
      <c r="K1332" s="5" t="str">
        <f>IF(J1332="Yes",IFERROR(VLOOKUP(C1332,'14_Master_Employees'!A:G,7,FALSE),""),"")</f>
        <v/>
      </c>
      <c r="L1332" s="5" t="str">
        <f t="shared" si="1"/>
        <v/>
      </c>
    </row>
    <row r="1333" ht="15.75" customHeight="1">
      <c r="B1333" s="26"/>
      <c r="K1333" s="5" t="str">
        <f>IF(J1333="Yes",IFERROR(VLOOKUP(C1333,'14_Master_Employees'!A:G,7,FALSE),""),"")</f>
        <v/>
      </c>
      <c r="L1333" s="5" t="str">
        <f t="shared" si="1"/>
        <v/>
      </c>
    </row>
    <row r="1334" ht="15.75" customHeight="1">
      <c r="B1334" s="26"/>
      <c r="K1334" s="5" t="str">
        <f>IF(J1334="Yes",IFERROR(VLOOKUP(C1334,'14_Master_Employees'!A:G,7,FALSE),""),"")</f>
        <v/>
      </c>
      <c r="L1334" s="5" t="str">
        <f t="shared" si="1"/>
        <v/>
      </c>
    </row>
    <row r="1335" ht="15.75" customHeight="1">
      <c r="B1335" s="26"/>
      <c r="K1335" s="5" t="str">
        <f>IF(J1335="Yes",IFERROR(VLOOKUP(C1335,'14_Master_Employees'!A:G,7,FALSE),""),"")</f>
        <v/>
      </c>
      <c r="L1335" s="5" t="str">
        <f t="shared" si="1"/>
        <v/>
      </c>
    </row>
    <row r="1336" ht="15.75" customHeight="1">
      <c r="B1336" s="26"/>
      <c r="K1336" s="5" t="str">
        <f>IF(J1336="Yes",IFERROR(VLOOKUP(C1336,'14_Master_Employees'!A:G,7,FALSE),""),"")</f>
        <v/>
      </c>
      <c r="L1336" s="5" t="str">
        <f t="shared" si="1"/>
        <v/>
      </c>
    </row>
    <row r="1337" ht="15.75" customHeight="1">
      <c r="B1337" s="26"/>
      <c r="K1337" s="5" t="str">
        <f>IF(J1337="Yes",IFERROR(VLOOKUP(C1337,'14_Master_Employees'!A:G,7,FALSE),""),"")</f>
        <v/>
      </c>
      <c r="L1337" s="5" t="str">
        <f t="shared" si="1"/>
        <v/>
      </c>
    </row>
    <row r="1338" ht="15.75" customHeight="1">
      <c r="B1338" s="26"/>
      <c r="K1338" s="5" t="str">
        <f>IF(J1338="Yes",IFERROR(VLOOKUP(C1338,'14_Master_Employees'!A:G,7,FALSE),""),"")</f>
        <v/>
      </c>
      <c r="L1338" s="5" t="str">
        <f t="shared" si="1"/>
        <v/>
      </c>
    </row>
    <row r="1339" ht="15.75" customHeight="1">
      <c r="B1339" s="26"/>
      <c r="K1339" s="5" t="str">
        <f>IF(J1339="Yes",IFERROR(VLOOKUP(C1339,'14_Master_Employees'!A:G,7,FALSE),""),"")</f>
        <v/>
      </c>
      <c r="L1339" s="5" t="str">
        <f t="shared" si="1"/>
        <v/>
      </c>
    </row>
    <row r="1340" ht="15.75" customHeight="1">
      <c r="B1340" s="26"/>
      <c r="K1340" s="5" t="str">
        <f>IF(J1340="Yes",IFERROR(VLOOKUP(C1340,'14_Master_Employees'!A:G,7,FALSE),""),"")</f>
        <v/>
      </c>
      <c r="L1340" s="5" t="str">
        <f t="shared" si="1"/>
        <v/>
      </c>
    </row>
    <row r="1341" ht="15.75" customHeight="1">
      <c r="B1341" s="26"/>
      <c r="K1341" s="5" t="str">
        <f>IF(J1341="Yes",IFERROR(VLOOKUP(C1341,'14_Master_Employees'!A:G,7,FALSE),""),"")</f>
        <v/>
      </c>
      <c r="L1341" s="5" t="str">
        <f t="shared" si="1"/>
        <v/>
      </c>
    </row>
    <row r="1342" ht="15.75" customHeight="1">
      <c r="B1342" s="26"/>
      <c r="K1342" s="5" t="str">
        <f>IF(J1342="Yes",IFERROR(VLOOKUP(C1342,'14_Master_Employees'!A:G,7,FALSE),""),"")</f>
        <v/>
      </c>
      <c r="L1342" s="5" t="str">
        <f t="shared" si="1"/>
        <v/>
      </c>
    </row>
    <row r="1343" ht="15.75" customHeight="1">
      <c r="B1343" s="26"/>
      <c r="K1343" s="5" t="str">
        <f>IF(J1343="Yes",IFERROR(VLOOKUP(C1343,'14_Master_Employees'!A:G,7,FALSE),""),"")</f>
        <v/>
      </c>
      <c r="L1343" s="5" t="str">
        <f t="shared" si="1"/>
        <v/>
      </c>
    </row>
    <row r="1344" ht="15.75" customHeight="1">
      <c r="B1344" s="26"/>
      <c r="K1344" s="5" t="str">
        <f>IF(J1344="Yes",IFERROR(VLOOKUP(C1344,'14_Master_Employees'!A:G,7,FALSE),""),"")</f>
        <v/>
      </c>
      <c r="L1344" s="5" t="str">
        <f t="shared" si="1"/>
        <v/>
      </c>
    </row>
    <row r="1345" ht="15.75" customHeight="1">
      <c r="B1345" s="26"/>
      <c r="K1345" s="5" t="str">
        <f>IF(J1345="Yes",IFERROR(VLOOKUP(C1345,'14_Master_Employees'!A:G,7,FALSE),""),"")</f>
        <v/>
      </c>
      <c r="L1345" s="5" t="str">
        <f t="shared" si="1"/>
        <v/>
      </c>
    </row>
    <row r="1346" ht="15.75" customHeight="1">
      <c r="B1346" s="26"/>
      <c r="K1346" s="5" t="str">
        <f>IF(J1346="Yes",IFERROR(VLOOKUP(C1346,'14_Master_Employees'!A:G,7,FALSE),""),"")</f>
        <v/>
      </c>
      <c r="L1346" s="5" t="str">
        <f t="shared" si="1"/>
        <v/>
      </c>
    </row>
    <row r="1347" ht="15.75" customHeight="1">
      <c r="B1347" s="26"/>
      <c r="K1347" s="5" t="str">
        <f>IF(J1347="Yes",IFERROR(VLOOKUP(C1347,'14_Master_Employees'!A:G,7,FALSE),""),"")</f>
        <v/>
      </c>
      <c r="L1347" s="5" t="str">
        <f t="shared" si="1"/>
        <v/>
      </c>
    </row>
    <row r="1348" ht="15.75" customHeight="1">
      <c r="B1348" s="26"/>
      <c r="K1348" s="5" t="str">
        <f>IF(J1348="Yes",IFERROR(VLOOKUP(C1348,'14_Master_Employees'!A:G,7,FALSE),""),"")</f>
        <v/>
      </c>
      <c r="L1348" s="5" t="str">
        <f t="shared" si="1"/>
        <v/>
      </c>
    </row>
    <row r="1349" ht="15.75" customHeight="1">
      <c r="B1349" s="26"/>
      <c r="K1349" s="5" t="str">
        <f>IF(J1349="Yes",IFERROR(VLOOKUP(C1349,'14_Master_Employees'!A:G,7,FALSE),""),"")</f>
        <v/>
      </c>
      <c r="L1349" s="5" t="str">
        <f t="shared" si="1"/>
        <v/>
      </c>
    </row>
    <row r="1350" ht="15.75" customHeight="1">
      <c r="B1350" s="26"/>
      <c r="K1350" s="5" t="str">
        <f>IF(J1350="Yes",IFERROR(VLOOKUP(C1350,'14_Master_Employees'!A:G,7,FALSE),""),"")</f>
        <v/>
      </c>
      <c r="L1350" s="5" t="str">
        <f t="shared" si="1"/>
        <v/>
      </c>
    </row>
    <row r="1351" ht="15.75" customHeight="1">
      <c r="B1351" s="26"/>
      <c r="K1351" s="5" t="str">
        <f>IF(J1351="Yes",IFERROR(VLOOKUP(C1351,'14_Master_Employees'!A:G,7,FALSE),""),"")</f>
        <v/>
      </c>
      <c r="L1351" s="5" t="str">
        <f t="shared" si="1"/>
        <v/>
      </c>
    </row>
    <row r="1352" ht="15.75" customHeight="1">
      <c r="B1352" s="26"/>
      <c r="K1352" s="5" t="str">
        <f>IF(J1352="Yes",IFERROR(VLOOKUP(C1352,'14_Master_Employees'!A:G,7,FALSE),""),"")</f>
        <v/>
      </c>
      <c r="L1352" s="5" t="str">
        <f t="shared" si="1"/>
        <v/>
      </c>
    </row>
    <row r="1353" ht="15.75" customHeight="1">
      <c r="B1353" s="26"/>
      <c r="K1353" s="5" t="str">
        <f>IF(J1353="Yes",IFERROR(VLOOKUP(C1353,'14_Master_Employees'!A:G,7,FALSE),""),"")</f>
        <v/>
      </c>
      <c r="L1353" s="5" t="str">
        <f t="shared" si="1"/>
        <v/>
      </c>
    </row>
    <row r="1354" ht="15.75" customHeight="1">
      <c r="B1354" s="26"/>
      <c r="K1354" s="5" t="str">
        <f>IF(J1354="Yes",IFERROR(VLOOKUP(C1354,'14_Master_Employees'!A:G,7,FALSE),""),"")</f>
        <v/>
      </c>
      <c r="L1354" s="5" t="str">
        <f t="shared" si="1"/>
        <v/>
      </c>
    </row>
    <row r="1355" ht="15.75" customHeight="1">
      <c r="B1355" s="26"/>
      <c r="K1355" s="5" t="str">
        <f>IF(J1355="Yes",IFERROR(VLOOKUP(C1355,'14_Master_Employees'!A:G,7,FALSE),""),"")</f>
        <v/>
      </c>
      <c r="L1355" s="5" t="str">
        <f t="shared" si="1"/>
        <v/>
      </c>
    </row>
    <row r="1356" ht="15.75" customHeight="1">
      <c r="B1356" s="26"/>
      <c r="K1356" s="5" t="str">
        <f>IF(J1356="Yes",IFERROR(VLOOKUP(C1356,'14_Master_Employees'!A:G,7,FALSE),""),"")</f>
        <v/>
      </c>
      <c r="L1356" s="5" t="str">
        <f t="shared" si="1"/>
        <v/>
      </c>
    </row>
    <row r="1357" ht="15.75" customHeight="1">
      <c r="B1357" s="26"/>
      <c r="K1357" s="5" t="str">
        <f>IF(J1357="Yes",IFERROR(VLOOKUP(C1357,'14_Master_Employees'!A:G,7,FALSE),""),"")</f>
        <v/>
      </c>
      <c r="L1357" s="5" t="str">
        <f t="shared" si="1"/>
        <v/>
      </c>
    </row>
    <row r="1358" ht="15.75" customHeight="1">
      <c r="B1358" s="26"/>
      <c r="K1358" s="5" t="str">
        <f>IF(J1358="Yes",IFERROR(VLOOKUP(C1358,'14_Master_Employees'!A:G,7,FALSE),""),"")</f>
        <v/>
      </c>
      <c r="L1358" s="5" t="str">
        <f t="shared" si="1"/>
        <v/>
      </c>
    </row>
    <row r="1359" ht="15.75" customHeight="1">
      <c r="B1359" s="26"/>
      <c r="K1359" s="5" t="str">
        <f>IF(J1359="Yes",IFERROR(VLOOKUP(C1359,'14_Master_Employees'!A:G,7,FALSE),""),"")</f>
        <v/>
      </c>
      <c r="L1359" s="5" t="str">
        <f t="shared" si="1"/>
        <v/>
      </c>
    </row>
    <row r="1360" ht="15.75" customHeight="1">
      <c r="B1360" s="26"/>
      <c r="K1360" s="5" t="str">
        <f>IF(J1360="Yes",IFERROR(VLOOKUP(C1360,'14_Master_Employees'!A:G,7,FALSE),""),"")</f>
        <v/>
      </c>
      <c r="L1360" s="5" t="str">
        <f t="shared" si="1"/>
        <v/>
      </c>
    </row>
    <row r="1361" ht="15.75" customHeight="1">
      <c r="B1361" s="26"/>
      <c r="K1361" s="5" t="str">
        <f>IF(J1361="Yes",IFERROR(VLOOKUP(C1361,'14_Master_Employees'!A:G,7,FALSE),""),"")</f>
        <v/>
      </c>
      <c r="L1361" s="5" t="str">
        <f t="shared" si="1"/>
        <v/>
      </c>
    </row>
    <row r="1362" ht="15.75" customHeight="1">
      <c r="B1362" s="26"/>
      <c r="K1362" s="5" t="str">
        <f>IF(J1362="Yes",IFERROR(VLOOKUP(C1362,'14_Master_Employees'!A:G,7,FALSE),""),"")</f>
        <v/>
      </c>
      <c r="L1362" s="5" t="str">
        <f t="shared" si="1"/>
        <v/>
      </c>
    </row>
    <row r="1363" ht="15.75" customHeight="1">
      <c r="B1363" s="26"/>
      <c r="K1363" s="5" t="str">
        <f>IF(J1363="Yes",IFERROR(VLOOKUP(C1363,'14_Master_Employees'!A:G,7,FALSE),""),"")</f>
        <v/>
      </c>
      <c r="L1363" s="5" t="str">
        <f t="shared" si="1"/>
        <v/>
      </c>
    </row>
    <row r="1364" ht="15.75" customHeight="1">
      <c r="B1364" s="26"/>
      <c r="K1364" s="5" t="str">
        <f>IF(J1364="Yes",IFERROR(VLOOKUP(C1364,'14_Master_Employees'!A:G,7,FALSE),""),"")</f>
        <v/>
      </c>
      <c r="L1364" s="5" t="str">
        <f t="shared" si="1"/>
        <v/>
      </c>
    </row>
    <row r="1365" ht="15.75" customHeight="1">
      <c r="B1365" s="26"/>
      <c r="K1365" s="5" t="str">
        <f>IF(J1365="Yes",IFERROR(VLOOKUP(C1365,'14_Master_Employees'!A:G,7,FALSE),""),"")</f>
        <v/>
      </c>
      <c r="L1365" s="5" t="str">
        <f t="shared" si="1"/>
        <v/>
      </c>
    </row>
    <row r="1366" ht="15.75" customHeight="1">
      <c r="B1366" s="26"/>
      <c r="K1366" s="5" t="str">
        <f>IF(J1366="Yes",IFERROR(VLOOKUP(C1366,'14_Master_Employees'!A:G,7,FALSE),""),"")</f>
        <v/>
      </c>
      <c r="L1366" s="5" t="str">
        <f t="shared" si="1"/>
        <v/>
      </c>
    </row>
    <row r="1367" ht="15.75" customHeight="1">
      <c r="B1367" s="26"/>
      <c r="K1367" s="5" t="str">
        <f>IF(J1367="Yes",IFERROR(VLOOKUP(C1367,'14_Master_Employees'!A:G,7,FALSE),""),"")</f>
        <v/>
      </c>
      <c r="L1367" s="5" t="str">
        <f t="shared" si="1"/>
        <v/>
      </c>
    </row>
    <row r="1368" ht="15.75" customHeight="1">
      <c r="B1368" s="26"/>
      <c r="K1368" s="5" t="str">
        <f>IF(J1368="Yes",IFERROR(VLOOKUP(C1368,'14_Master_Employees'!A:G,7,FALSE),""),"")</f>
        <v/>
      </c>
      <c r="L1368" s="5" t="str">
        <f t="shared" si="1"/>
        <v/>
      </c>
    </row>
    <row r="1369" ht="15.75" customHeight="1">
      <c r="B1369" s="26"/>
      <c r="K1369" s="5" t="str">
        <f>IF(J1369="Yes",IFERROR(VLOOKUP(C1369,'14_Master_Employees'!A:G,7,FALSE),""),"")</f>
        <v/>
      </c>
      <c r="L1369" s="5" t="str">
        <f t="shared" si="1"/>
        <v/>
      </c>
    </row>
    <row r="1370" ht="15.75" customHeight="1">
      <c r="B1370" s="26"/>
      <c r="K1370" s="5" t="str">
        <f>IF(J1370="Yes",IFERROR(VLOOKUP(C1370,'14_Master_Employees'!A:G,7,FALSE),""),"")</f>
        <v/>
      </c>
      <c r="L1370" s="5" t="str">
        <f t="shared" si="1"/>
        <v/>
      </c>
    </row>
    <row r="1371" ht="15.75" customHeight="1">
      <c r="B1371" s="26"/>
      <c r="K1371" s="5" t="str">
        <f>IF(J1371="Yes",IFERROR(VLOOKUP(C1371,'14_Master_Employees'!A:G,7,FALSE),""),"")</f>
        <v/>
      </c>
      <c r="L1371" s="5" t="str">
        <f t="shared" si="1"/>
        <v/>
      </c>
    </row>
    <row r="1372" ht="15.75" customHeight="1">
      <c r="B1372" s="26"/>
      <c r="K1372" s="5" t="str">
        <f>IF(J1372="Yes",IFERROR(VLOOKUP(C1372,'14_Master_Employees'!A:G,7,FALSE),""),"")</f>
        <v/>
      </c>
      <c r="L1372" s="5" t="str">
        <f t="shared" si="1"/>
        <v/>
      </c>
    </row>
    <row r="1373" ht="15.75" customHeight="1">
      <c r="B1373" s="26"/>
      <c r="K1373" s="5" t="str">
        <f>IF(J1373="Yes",IFERROR(VLOOKUP(C1373,'14_Master_Employees'!A:G,7,FALSE),""),"")</f>
        <v/>
      </c>
      <c r="L1373" s="5" t="str">
        <f t="shared" si="1"/>
        <v/>
      </c>
    </row>
    <row r="1374" ht="15.75" customHeight="1">
      <c r="B1374" s="26"/>
      <c r="K1374" s="5" t="str">
        <f>IF(J1374="Yes",IFERROR(VLOOKUP(C1374,'14_Master_Employees'!A:G,7,FALSE),""),"")</f>
        <v/>
      </c>
      <c r="L1374" s="5" t="str">
        <f t="shared" si="1"/>
        <v/>
      </c>
    </row>
    <row r="1375" ht="15.75" customHeight="1">
      <c r="B1375" s="26"/>
      <c r="K1375" s="5" t="str">
        <f>IF(J1375="Yes",IFERROR(VLOOKUP(C1375,'14_Master_Employees'!A:G,7,FALSE),""),"")</f>
        <v/>
      </c>
      <c r="L1375" s="5" t="str">
        <f t="shared" si="1"/>
        <v/>
      </c>
    </row>
    <row r="1376" ht="15.75" customHeight="1">
      <c r="B1376" s="26"/>
      <c r="K1376" s="5" t="str">
        <f>IF(J1376="Yes",IFERROR(VLOOKUP(C1376,'14_Master_Employees'!A:G,7,FALSE),""),"")</f>
        <v/>
      </c>
      <c r="L1376" s="5" t="str">
        <f t="shared" si="1"/>
        <v/>
      </c>
    </row>
    <row r="1377" ht="15.75" customHeight="1">
      <c r="B1377" s="26"/>
      <c r="K1377" s="5" t="str">
        <f>IF(J1377="Yes",IFERROR(VLOOKUP(C1377,'14_Master_Employees'!A:G,7,FALSE),""),"")</f>
        <v/>
      </c>
      <c r="L1377" s="5" t="str">
        <f t="shared" si="1"/>
        <v/>
      </c>
    </row>
    <row r="1378" ht="15.75" customHeight="1">
      <c r="B1378" s="26"/>
      <c r="K1378" s="5" t="str">
        <f>IF(J1378="Yes",IFERROR(VLOOKUP(C1378,'14_Master_Employees'!A:G,7,FALSE),""),"")</f>
        <v/>
      </c>
      <c r="L1378" s="5" t="str">
        <f t="shared" si="1"/>
        <v/>
      </c>
    </row>
    <row r="1379" ht="15.75" customHeight="1">
      <c r="B1379" s="26"/>
      <c r="K1379" s="5" t="str">
        <f>IF(J1379="Yes",IFERROR(VLOOKUP(C1379,'14_Master_Employees'!A:G,7,FALSE),""),"")</f>
        <v/>
      </c>
      <c r="L1379" s="5" t="str">
        <f t="shared" si="1"/>
        <v/>
      </c>
    </row>
    <row r="1380" ht="15.75" customHeight="1">
      <c r="B1380" s="26"/>
      <c r="K1380" s="5" t="str">
        <f>IF(J1380="Yes",IFERROR(VLOOKUP(C1380,'14_Master_Employees'!A:G,7,FALSE),""),"")</f>
        <v/>
      </c>
      <c r="L1380" s="5" t="str">
        <f t="shared" si="1"/>
        <v/>
      </c>
    </row>
    <row r="1381" ht="15.75" customHeight="1">
      <c r="B1381" s="26"/>
      <c r="K1381" s="5" t="str">
        <f>IF(J1381="Yes",IFERROR(VLOOKUP(C1381,'14_Master_Employees'!A:G,7,FALSE),""),"")</f>
        <v/>
      </c>
      <c r="L1381" s="5" t="str">
        <f t="shared" si="1"/>
        <v/>
      </c>
    </row>
    <row r="1382" ht="15.75" customHeight="1">
      <c r="B1382" s="26"/>
      <c r="K1382" s="5" t="str">
        <f>IF(J1382="Yes",IFERROR(VLOOKUP(C1382,'14_Master_Employees'!A:G,7,FALSE),""),"")</f>
        <v/>
      </c>
      <c r="L1382" s="5" t="str">
        <f t="shared" si="1"/>
        <v/>
      </c>
    </row>
    <row r="1383" ht="15.75" customHeight="1">
      <c r="B1383" s="26"/>
      <c r="K1383" s="5" t="str">
        <f>IF(J1383="Yes",IFERROR(VLOOKUP(C1383,'14_Master_Employees'!A:G,7,FALSE),""),"")</f>
        <v/>
      </c>
      <c r="L1383" s="5" t="str">
        <f t="shared" si="1"/>
        <v/>
      </c>
    </row>
    <row r="1384" ht="15.75" customHeight="1">
      <c r="B1384" s="26"/>
      <c r="K1384" s="5" t="str">
        <f>IF(J1384="Yes",IFERROR(VLOOKUP(C1384,'14_Master_Employees'!A:G,7,FALSE),""),"")</f>
        <v/>
      </c>
      <c r="L1384" s="5" t="str">
        <f t="shared" si="1"/>
        <v/>
      </c>
    </row>
    <row r="1385" ht="15.75" customHeight="1">
      <c r="B1385" s="26"/>
      <c r="K1385" s="5" t="str">
        <f>IF(J1385="Yes",IFERROR(VLOOKUP(C1385,'14_Master_Employees'!A:G,7,FALSE),""),"")</f>
        <v/>
      </c>
      <c r="L1385" s="5" t="str">
        <f t="shared" si="1"/>
        <v/>
      </c>
    </row>
    <row r="1386" ht="15.75" customHeight="1">
      <c r="B1386" s="26"/>
      <c r="K1386" s="5" t="str">
        <f>IF(J1386="Yes",IFERROR(VLOOKUP(C1386,'14_Master_Employees'!A:G,7,FALSE),""),"")</f>
        <v/>
      </c>
      <c r="L1386" s="5" t="str">
        <f t="shared" si="1"/>
        <v/>
      </c>
    </row>
    <row r="1387" ht="15.75" customHeight="1">
      <c r="B1387" s="26"/>
      <c r="K1387" s="5" t="str">
        <f>IF(J1387="Yes",IFERROR(VLOOKUP(C1387,'14_Master_Employees'!A:G,7,FALSE),""),"")</f>
        <v/>
      </c>
      <c r="L1387" s="5" t="str">
        <f t="shared" si="1"/>
        <v/>
      </c>
    </row>
    <row r="1388" ht="15.75" customHeight="1">
      <c r="B1388" s="26"/>
      <c r="K1388" s="5" t="str">
        <f>IF(J1388="Yes",IFERROR(VLOOKUP(C1388,'14_Master_Employees'!A:G,7,FALSE),""),"")</f>
        <v/>
      </c>
      <c r="L1388" s="5" t="str">
        <f t="shared" si="1"/>
        <v/>
      </c>
    </row>
    <row r="1389" ht="15.75" customHeight="1">
      <c r="B1389" s="26"/>
      <c r="K1389" s="5" t="str">
        <f>IF(J1389="Yes",IFERROR(VLOOKUP(C1389,'14_Master_Employees'!A:G,7,FALSE),""),"")</f>
        <v/>
      </c>
      <c r="L1389" s="5" t="str">
        <f t="shared" si="1"/>
        <v/>
      </c>
    </row>
    <row r="1390" ht="15.75" customHeight="1">
      <c r="B1390" s="26"/>
      <c r="K1390" s="5" t="str">
        <f>IF(J1390="Yes",IFERROR(VLOOKUP(C1390,'14_Master_Employees'!A:G,7,FALSE),""),"")</f>
        <v/>
      </c>
      <c r="L1390" s="5" t="str">
        <f t="shared" si="1"/>
        <v/>
      </c>
    </row>
    <row r="1391" ht="15.75" customHeight="1">
      <c r="B1391" s="26"/>
      <c r="K1391" s="5" t="str">
        <f>IF(J1391="Yes",IFERROR(VLOOKUP(C1391,'14_Master_Employees'!A:G,7,FALSE),""),"")</f>
        <v/>
      </c>
      <c r="L1391" s="5" t="str">
        <f t="shared" si="1"/>
        <v/>
      </c>
    </row>
    <row r="1392" ht="15.75" customHeight="1">
      <c r="B1392" s="26"/>
      <c r="K1392" s="5" t="str">
        <f>IF(J1392="Yes",IFERROR(VLOOKUP(C1392,'14_Master_Employees'!A:G,7,FALSE),""),"")</f>
        <v/>
      </c>
      <c r="L1392" s="5" t="str">
        <f t="shared" si="1"/>
        <v/>
      </c>
    </row>
    <row r="1393" ht="15.75" customHeight="1">
      <c r="B1393" s="26"/>
      <c r="K1393" s="5" t="str">
        <f>IF(J1393="Yes",IFERROR(VLOOKUP(C1393,'14_Master_Employees'!A:G,7,FALSE),""),"")</f>
        <v/>
      </c>
      <c r="L1393" s="5" t="str">
        <f t="shared" si="1"/>
        <v/>
      </c>
    </row>
    <row r="1394" ht="15.75" customHeight="1">
      <c r="B1394" s="26"/>
      <c r="K1394" s="5" t="str">
        <f>IF(J1394="Yes",IFERROR(VLOOKUP(C1394,'14_Master_Employees'!A:G,7,FALSE),""),"")</f>
        <v/>
      </c>
      <c r="L1394" s="5" t="str">
        <f t="shared" si="1"/>
        <v/>
      </c>
    </row>
    <row r="1395" ht="15.75" customHeight="1">
      <c r="B1395" s="26"/>
      <c r="K1395" s="5" t="str">
        <f>IF(J1395="Yes",IFERROR(VLOOKUP(C1395,'14_Master_Employees'!A:G,7,FALSE),""),"")</f>
        <v/>
      </c>
      <c r="L1395" s="5" t="str">
        <f t="shared" si="1"/>
        <v/>
      </c>
    </row>
    <row r="1396" ht="15.75" customHeight="1">
      <c r="B1396" s="26"/>
      <c r="K1396" s="5" t="str">
        <f>IF(J1396="Yes",IFERROR(VLOOKUP(C1396,'14_Master_Employees'!A:G,7,FALSE),""),"")</f>
        <v/>
      </c>
      <c r="L1396" s="5" t="str">
        <f t="shared" si="1"/>
        <v/>
      </c>
    </row>
    <row r="1397" ht="15.75" customHeight="1">
      <c r="B1397" s="26"/>
      <c r="K1397" s="5" t="str">
        <f>IF(J1397="Yes",IFERROR(VLOOKUP(C1397,'14_Master_Employees'!A:G,7,FALSE),""),"")</f>
        <v/>
      </c>
      <c r="L1397" s="5" t="str">
        <f t="shared" si="1"/>
        <v/>
      </c>
    </row>
    <row r="1398" ht="15.75" customHeight="1">
      <c r="B1398" s="26"/>
      <c r="K1398" s="5" t="str">
        <f>IF(J1398="Yes",IFERROR(VLOOKUP(C1398,'14_Master_Employees'!A:G,7,FALSE),""),"")</f>
        <v/>
      </c>
      <c r="L1398" s="5" t="str">
        <f t="shared" si="1"/>
        <v/>
      </c>
    </row>
    <row r="1399" ht="15.75" customHeight="1">
      <c r="B1399" s="26"/>
      <c r="K1399" s="5" t="str">
        <f>IF(J1399="Yes",IFERROR(VLOOKUP(C1399,'14_Master_Employees'!A:G,7,FALSE),""),"")</f>
        <v/>
      </c>
      <c r="L1399" s="5" t="str">
        <f t="shared" si="1"/>
        <v/>
      </c>
    </row>
    <row r="1400" ht="15.75" customHeight="1">
      <c r="B1400" s="26"/>
      <c r="K1400" s="5" t="str">
        <f>IF(J1400="Yes",IFERROR(VLOOKUP(C1400,'14_Master_Employees'!A:G,7,FALSE),""),"")</f>
        <v/>
      </c>
      <c r="L1400" s="5" t="str">
        <f t="shared" si="1"/>
        <v/>
      </c>
    </row>
    <row r="1401" ht="15.75" customHeight="1">
      <c r="B1401" s="26"/>
      <c r="K1401" s="5" t="str">
        <f>IF(J1401="Yes",IFERROR(VLOOKUP(C1401,'14_Master_Employees'!A:G,7,FALSE),""),"")</f>
        <v/>
      </c>
      <c r="L1401" s="5" t="str">
        <f t="shared" si="1"/>
        <v/>
      </c>
    </row>
    <row r="1402" ht="15.75" customHeight="1">
      <c r="B1402" s="26"/>
      <c r="K1402" s="5" t="str">
        <f>IF(J1402="Yes",IFERROR(VLOOKUP(C1402,'14_Master_Employees'!A:G,7,FALSE),""),"")</f>
        <v/>
      </c>
      <c r="L1402" s="5" t="str">
        <f t="shared" si="1"/>
        <v/>
      </c>
    </row>
    <row r="1403" ht="15.75" customHeight="1">
      <c r="B1403" s="26"/>
      <c r="K1403" s="5" t="str">
        <f>IF(J1403="Yes",IFERROR(VLOOKUP(C1403,'14_Master_Employees'!A:G,7,FALSE),""),"")</f>
        <v/>
      </c>
      <c r="L1403" s="5" t="str">
        <f t="shared" si="1"/>
        <v/>
      </c>
    </row>
    <row r="1404" ht="15.75" customHeight="1">
      <c r="B1404" s="26"/>
      <c r="K1404" s="5" t="str">
        <f>IF(J1404="Yes",IFERROR(VLOOKUP(C1404,'14_Master_Employees'!A:G,7,FALSE),""),"")</f>
        <v/>
      </c>
      <c r="L1404" s="5" t="str">
        <f t="shared" si="1"/>
        <v/>
      </c>
    </row>
    <row r="1405" ht="15.75" customHeight="1">
      <c r="B1405" s="26"/>
      <c r="K1405" s="5" t="str">
        <f>IF(J1405="Yes",IFERROR(VLOOKUP(C1405,'14_Master_Employees'!A:G,7,FALSE),""),"")</f>
        <v/>
      </c>
      <c r="L1405" s="5" t="str">
        <f t="shared" si="1"/>
        <v/>
      </c>
    </row>
    <row r="1406" ht="15.75" customHeight="1">
      <c r="B1406" s="26"/>
      <c r="K1406" s="5" t="str">
        <f>IF(J1406="Yes",IFERROR(VLOOKUP(C1406,'14_Master_Employees'!A:G,7,FALSE),""),"")</f>
        <v/>
      </c>
      <c r="L1406" s="5" t="str">
        <f t="shared" si="1"/>
        <v/>
      </c>
    </row>
    <row r="1407" ht="15.75" customHeight="1">
      <c r="B1407" s="26"/>
      <c r="K1407" s="5" t="str">
        <f>IF(J1407="Yes",IFERROR(VLOOKUP(C1407,'14_Master_Employees'!A:G,7,FALSE),""),"")</f>
        <v/>
      </c>
      <c r="L1407" s="5" t="str">
        <f t="shared" si="1"/>
        <v/>
      </c>
    </row>
    <row r="1408" ht="15.75" customHeight="1">
      <c r="B1408" s="26"/>
      <c r="K1408" s="5" t="str">
        <f>IF(J1408="Yes",IFERROR(VLOOKUP(C1408,'14_Master_Employees'!A:G,7,FALSE),""),"")</f>
        <v/>
      </c>
      <c r="L1408" s="5" t="str">
        <f t="shared" si="1"/>
        <v/>
      </c>
    </row>
    <row r="1409" ht="15.75" customHeight="1">
      <c r="B1409" s="26"/>
      <c r="K1409" s="5" t="str">
        <f>IF(J1409="Yes",IFERROR(VLOOKUP(C1409,'14_Master_Employees'!A:G,7,FALSE),""),"")</f>
        <v/>
      </c>
      <c r="L1409" s="5" t="str">
        <f t="shared" si="1"/>
        <v/>
      </c>
    </row>
    <row r="1410" ht="15.75" customHeight="1">
      <c r="B1410" s="26"/>
      <c r="K1410" s="5" t="str">
        <f>IF(J1410="Yes",IFERROR(VLOOKUP(C1410,'14_Master_Employees'!A:G,7,FALSE),""),"")</f>
        <v/>
      </c>
      <c r="L1410" s="5" t="str">
        <f t="shared" si="1"/>
        <v/>
      </c>
    </row>
    <row r="1411" ht="15.75" customHeight="1">
      <c r="B1411" s="26"/>
      <c r="K1411" s="5" t="str">
        <f>IF(J1411="Yes",IFERROR(VLOOKUP(C1411,'14_Master_Employees'!A:G,7,FALSE),""),"")</f>
        <v/>
      </c>
      <c r="L1411" s="5" t="str">
        <f t="shared" si="1"/>
        <v/>
      </c>
    </row>
    <row r="1412" ht="15.75" customHeight="1">
      <c r="B1412" s="26"/>
      <c r="K1412" s="5" t="str">
        <f>IF(J1412="Yes",IFERROR(VLOOKUP(C1412,'14_Master_Employees'!A:G,7,FALSE),""),"")</f>
        <v/>
      </c>
      <c r="L1412" s="5" t="str">
        <f t="shared" si="1"/>
        <v/>
      </c>
    </row>
    <row r="1413" ht="15.75" customHeight="1">
      <c r="B1413" s="26"/>
      <c r="K1413" s="5" t="str">
        <f>IF(J1413="Yes",IFERROR(VLOOKUP(C1413,'14_Master_Employees'!A:G,7,FALSE),""),"")</f>
        <v/>
      </c>
      <c r="L1413" s="5" t="str">
        <f t="shared" si="1"/>
        <v/>
      </c>
    </row>
    <row r="1414" ht="15.75" customHeight="1">
      <c r="B1414" s="26"/>
      <c r="K1414" s="5" t="str">
        <f>IF(J1414="Yes",IFERROR(VLOOKUP(C1414,'14_Master_Employees'!A:G,7,FALSE),""),"")</f>
        <v/>
      </c>
      <c r="L1414" s="5" t="str">
        <f t="shared" si="1"/>
        <v/>
      </c>
    </row>
    <row r="1415" ht="15.75" customHeight="1">
      <c r="B1415" s="26"/>
      <c r="K1415" s="5" t="str">
        <f>IF(J1415="Yes",IFERROR(VLOOKUP(C1415,'14_Master_Employees'!A:G,7,FALSE),""),"")</f>
        <v/>
      </c>
      <c r="L1415" s="5" t="str">
        <f t="shared" si="1"/>
        <v/>
      </c>
    </row>
    <row r="1416" ht="15.75" customHeight="1">
      <c r="B1416" s="26"/>
      <c r="K1416" s="5" t="str">
        <f>IF(J1416="Yes",IFERROR(VLOOKUP(C1416,'14_Master_Employees'!A:G,7,FALSE),""),"")</f>
        <v/>
      </c>
      <c r="L1416" s="5" t="str">
        <f t="shared" si="1"/>
        <v/>
      </c>
    </row>
    <row r="1417" ht="15.75" customHeight="1">
      <c r="B1417" s="26"/>
      <c r="K1417" s="5" t="str">
        <f>IF(J1417="Yes",IFERROR(VLOOKUP(C1417,'14_Master_Employees'!A:G,7,FALSE),""),"")</f>
        <v/>
      </c>
      <c r="L1417" s="5" t="str">
        <f t="shared" si="1"/>
        <v/>
      </c>
    </row>
    <row r="1418" ht="15.75" customHeight="1">
      <c r="B1418" s="26"/>
      <c r="K1418" s="5" t="str">
        <f>IF(J1418="Yes",IFERROR(VLOOKUP(C1418,'14_Master_Employees'!A:G,7,FALSE),""),"")</f>
        <v/>
      </c>
      <c r="L1418" s="5" t="str">
        <f t="shared" si="1"/>
        <v/>
      </c>
    </row>
    <row r="1419" ht="15.75" customHeight="1">
      <c r="B1419" s="26"/>
      <c r="K1419" s="5" t="str">
        <f>IF(J1419="Yes",IFERROR(VLOOKUP(C1419,'14_Master_Employees'!A:G,7,FALSE),""),"")</f>
        <v/>
      </c>
      <c r="L1419" s="5" t="str">
        <f t="shared" si="1"/>
        <v/>
      </c>
    </row>
    <row r="1420" ht="15.75" customHeight="1">
      <c r="B1420" s="26"/>
      <c r="K1420" s="5" t="str">
        <f>IF(J1420="Yes",IFERROR(VLOOKUP(C1420,'14_Master_Employees'!A:G,7,FALSE),""),"")</f>
        <v/>
      </c>
      <c r="L1420" s="5" t="str">
        <f t="shared" si="1"/>
        <v/>
      </c>
    </row>
    <row r="1421" ht="15.75" customHeight="1">
      <c r="B1421" s="26"/>
      <c r="K1421" s="5" t="str">
        <f>IF(J1421="Yes",IFERROR(VLOOKUP(C1421,'14_Master_Employees'!A:G,7,FALSE),""),"")</f>
        <v/>
      </c>
      <c r="L1421" s="5" t="str">
        <f t="shared" si="1"/>
        <v/>
      </c>
    </row>
    <row r="1422" ht="15.75" customHeight="1">
      <c r="B1422" s="26"/>
      <c r="K1422" s="5" t="str">
        <f>IF(J1422="Yes",IFERROR(VLOOKUP(C1422,'14_Master_Employees'!A:G,7,FALSE),""),"")</f>
        <v/>
      </c>
      <c r="L1422" s="5" t="str">
        <f t="shared" si="1"/>
        <v/>
      </c>
    </row>
    <row r="1423" ht="15.75" customHeight="1">
      <c r="B1423" s="26"/>
      <c r="K1423" s="5" t="str">
        <f>IF(J1423="Yes",IFERROR(VLOOKUP(C1423,'14_Master_Employees'!A:G,7,FALSE),""),"")</f>
        <v/>
      </c>
      <c r="L1423" s="5" t="str">
        <f t="shared" si="1"/>
        <v/>
      </c>
    </row>
    <row r="1424" ht="15.75" customHeight="1">
      <c r="B1424" s="26"/>
      <c r="K1424" s="5" t="str">
        <f>IF(J1424="Yes",IFERROR(VLOOKUP(C1424,'14_Master_Employees'!A:G,7,FALSE),""),"")</f>
        <v/>
      </c>
      <c r="L1424" s="5" t="str">
        <f t="shared" si="1"/>
        <v/>
      </c>
    </row>
    <row r="1425" ht="15.75" customHeight="1">
      <c r="B1425" s="26"/>
      <c r="K1425" s="5" t="str">
        <f>IF(J1425="Yes",IFERROR(VLOOKUP(C1425,'14_Master_Employees'!A:G,7,FALSE),""),"")</f>
        <v/>
      </c>
      <c r="L1425" s="5" t="str">
        <f t="shared" si="1"/>
        <v/>
      </c>
    </row>
    <row r="1426" ht="15.75" customHeight="1">
      <c r="B1426" s="26"/>
      <c r="K1426" s="5" t="str">
        <f>IF(J1426="Yes",IFERROR(VLOOKUP(C1426,'14_Master_Employees'!A:G,7,FALSE),""),"")</f>
        <v/>
      </c>
      <c r="L1426" s="5" t="str">
        <f t="shared" si="1"/>
        <v/>
      </c>
    </row>
    <row r="1427" ht="15.75" customHeight="1">
      <c r="B1427" s="26"/>
      <c r="K1427" s="5" t="str">
        <f>IF(J1427="Yes",IFERROR(VLOOKUP(C1427,'14_Master_Employees'!A:G,7,FALSE),""),"")</f>
        <v/>
      </c>
      <c r="L1427" s="5" t="str">
        <f t="shared" si="1"/>
        <v/>
      </c>
    </row>
    <row r="1428" ht="15.75" customHeight="1">
      <c r="B1428" s="26"/>
      <c r="K1428" s="5" t="str">
        <f>IF(J1428="Yes",IFERROR(VLOOKUP(C1428,'14_Master_Employees'!A:G,7,FALSE),""),"")</f>
        <v/>
      </c>
      <c r="L1428" s="5" t="str">
        <f t="shared" si="1"/>
        <v/>
      </c>
    </row>
    <row r="1429" ht="15.75" customHeight="1">
      <c r="B1429" s="26"/>
      <c r="K1429" s="5" t="str">
        <f>IF(J1429="Yes",IFERROR(VLOOKUP(C1429,'14_Master_Employees'!A:G,7,FALSE),""),"")</f>
        <v/>
      </c>
      <c r="L1429" s="5" t="str">
        <f t="shared" si="1"/>
        <v/>
      </c>
    </row>
    <row r="1430" ht="15.75" customHeight="1">
      <c r="B1430" s="26"/>
      <c r="K1430" s="5" t="str">
        <f>IF(J1430="Yes",IFERROR(VLOOKUP(C1430,'14_Master_Employees'!A:G,7,FALSE),""),"")</f>
        <v/>
      </c>
      <c r="L1430" s="5" t="str">
        <f t="shared" si="1"/>
        <v/>
      </c>
    </row>
    <row r="1431" ht="15.75" customHeight="1">
      <c r="B1431" s="26"/>
      <c r="K1431" s="5" t="str">
        <f>IF(J1431="Yes",IFERROR(VLOOKUP(C1431,'14_Master_Employees'!A:G,7,FALSE),""),"")</f>
        <v/>
      </c>
      <c r="L1431" s="5" t="str">
        <f t="shared" si="1"/>
        <v/>
      </c>
    </row>
    <row r="1432" ht="15.75" customHeight="1">
      <c r="B1432" s="26"/>
      <c r="K1432" s="5" t="str">
        <f>IF(J1432="Yes",IFERROR(VLOOKUP(C1432,'14_Master_Employees'!A:G,7,FALSE),""),"")</f>
        <v/>
      </c>
      <c r="L1432" s="5" t="str">
        <f t="shared" si="1"/>
        <v/>
      </c>
    </row>
    <row r="1433" ht="15.75" customHeight="1">
      <c r="B1433" s="26"/>
      <c r="K1433" s="5" t="str">
        <f>IF(J1433="Yes",IFERROR(VLOOKUP(C1433,'14_Master_Employees'!A:G,7,FALSE),""),"")</f>
        <v/>
      </c>
      <c r="L1433" s="5" t="str">
        <f t="shared" si="1"/>
        <v/>
      </c>
    </row>
    <row r="1434" ht="15.75" customHeight="1">
      <c r="B1434" s="26"/>
      <c r="K1434" s="5" t="str">
        <f>IF(J1434="Yes",IFERROR(VLOOKUP(C1434,'14_Master_Employees'!A:G,7,FALSE),""),"")</f>
        <v/>
      </c>
      <c r="L1434" s="5" t="str">
        <f t="shared" si="1"/>
        <v/>
      </c>
    </row>
    <row r="1435" ht="15.75" customHeight="1">
      <c r="B1435" s="26"/>
      <c r="K1435" s="5" t="str">
        <f>IF(J1435="Yes",IFERROR(VLOOKUP(C1435,'14_Master_Employees'!A:G,7,FALSE),""),"")</f>
        <v/>
      </c>
      <c r="L1435" s="5" t="str">
        <f t="shared" si="1"/>
        <v/>
      </c>
    </row>
    <row r="1436" ht="15.75" customHeight="1">
      <c r="B1436" s="26"/>
      <c r="K1436" s="5" t="str">
        <f>IF(J1436="Yes",IFERROR(VLOOKUP(C1436,'14_Master_Employees'!A:G,7,FALSE),""),"")</f>
        <v/>
      </c>
      <c r="L1436" s="5" t="str">
        <f t="shared" si="1"/>
        <v/>
      </c>
    </row>
    <row r="1437" ht="15.75" customHeight="1">
      <c r="B1437" s="26"/>
      <c r="K1437" s="5" t="str">
        <f>IF(J1437="Yes",IFERROR(VLOOKUP(C1437,'14_Master_Employees'!A:G,7,FALSE),""),"")</f>
        <v/>
      </c>
      <c r="L1437" s="5" t="str">
        <f t="shared" si="1"/>
        <v/>
      </c>
    </row>
    <row r="1438" ht="15.75" customHeight="1">
      <c r="B1438" s="26"/>
      <c r="K1438" s="5" t="str">
        <f>IF(J1438="Yes",IFERROR(VLOOKUP(C1438,'14_Master_Employees'!A:G,7,FALSE),""),"")</f>
        <v/>
      </c>
      <c r="L1438" s="5" t="str">
        <f t="shared" si="1"/>
        <v/>
      </c>
    </row>
    <row r="1439" ht="15.75" customHeight="1">
      <c r="B1439" s="26"/>
      <c r="K1439" s="5" t="str">
        <f>IF(J1439="Yes",IFERROR(VLOOKUP(C1439,'14_Master_Employees'!A:G,7,FALSE),""),"")</f>
        <v/>
      </c>
      <c r="L1439" s="5" t="str">
        <f t="shared" si="1"/>
        <v/>
      </c>
    </row>
    <row r="1440" ht="15.75" customHeight="1">
      <c r="B1440" s="26"/>
      <c r="K1440" s="5" t="str">
        <f>IF(J1440="Yes",IFERROR(VLOOKUP(C1440,'14_Master_Employees'!A:G,7,FALSE),""),"")</f>
        <v/>
      </c>
      <c r="L1440" s="5" t="str">
        <f t="shared" si="1"/>
        <v/>
      </c>
    </row>
    <row r="1441" ht="15.75" customHeight="1">
      <c r="B1441" s="26"/>
      <c r="K1441" s="5" t="str">
        <f>IF(J1441="Yes",IFERROR(VLOOKUP(C1441,'14_Master_Employees'!A:G,7,FALSE),""),"")</f>
        <v/>
      </c>
      <c r="L1441" s="5" t="str">
        <f t="shared" si="1"/>
        <v/>
      </c>
    </row>
    <row r="1442" ht="15.75" customHeight="1">
      <c r="B1442" s="26"/>
      <c r="K1442" s="5" t="str">
        <f>IF(J1442="Yes",IFERROR(VLOOKUP(C1442,'14_Master_Employees'!A:G,7,FALSE),""),"")</f>
        <v/>
      </c>
      <c r="L1442" s="5" t="str">
        <f t="shared" si="1"/>
        <v/>
      </c>
    </row>
    <row r="1443" ht="15.75" customHeight="1">
      <c r="B1443" s="26"/>
      <c r="K1443" s="5" t="str">
        <f>IF(J1443="Yes",IFERROR(VLOOKUP(C1443,'14_Master_Employees'!A:G,7,FALSE),""),"")</f>
        <v/>
      </c>
      <c r="L1443" s="5" t="str">
        <f t="shared" si="1"/>
        <v/>
      </c>
    </row>
    <row r="1444" ht="15.75" customHeight="1">
      <c r="B1444" s="26"/>
      <c r="K1444" s="5" t="str">
        <f>IF(J1444="Yes",IFERROR(VLOOKUP(C1444,'14_Master_Employees'!A:G,7,FALSE),""),"")</f>
        <v/>
      </c>
      <c r="L1444" s="5" t="str">
        <f t="shared" si="1"/>
        <v/>
      </c>
    </row>
    <row r="1445" ht="15.75" customHeight="1">
      <c r="B1445" s="26"/>
      <c r="K1445" s="5" t="str">
        <f>IF(J1445="Yes",IFERROR(VLOOKUP(C1445,'14_Master_Employees'!A:G,7,FALSE),""),"")</f>
        <v/>
      </c>
      <c r="L1445" s="5" t="str">
        <f t="shared" si="1"/>
        <v/>
      </c>
    </row>
    <row r="1446" ht="15.75" customHeight="1">
      <c r="B1446" s="26"/>
      <c r="K1446" s="5" t="str">
        <f>IF(J1446="Yes",IFERROR(VLOOKUP(C1446,'14_Master_Employees'!A:G,7,FALSE),""),"")</f>
        <v/>
      </c>
      <c r="L1446" s="5" t="str">
        <f t="shared" si="1"/>
        <v/>
      </c>
    </row>
    <row r="1447" ht="15.75" customHeight="1">
      <c r="B1447" s="26"/>
      <c r="K1447" s="5" t="str">
        <f>IF(J1447="Yes",IFERROR(VLOOKUP(C1447,'14_Master_Employees'!A:G,7,FALSE),""),"")</f>
        <v/>
      </c>
      <c r="L1447" s="5" t="str">
        <f t="shared" si="1"/>
        <v/>
      </c>
    </row>
    <row r="1448" ht="15.75" customHeight="1">
      <c r="B1448" s="26"/>
      <c r="K1448" s="5" t="str">
        <f>IF(J1448="Yes",IFERROR(VLOOKUP(C1448,'14_Master_Employees'!A:G,7,FALSE),""),"")</f>
        <v/>
      </c>
      <c r="L1448" s="5" t="str">
        <f t="shared" si="1"/>
        <v/>
      </c>
    </row>
    <row r="1449" ht="15.75" customHeight="1">
      <c r="B1449" s="26"/>
      <c r="K1449" s="5" t="str">
        <f>IF(J1449="Yes",IFERROR(VLOOKUP(C1449,'14_Master_Employees'!A:G,7,FALSE),""),"")</f>
        <v/>
      </c>
      <c r="L1449" s="5" t="str">
        <f t="shared" si="1"/>
        <v/>
      </c>
    </row>
    <row r="1450" ht="15.75" customHeight="1">
      <c r="B1450" s="26"/>
      <c r="K1450" s="5" t="str">
        <f>IF(J1450="Yes",IFERROR(VLOOKUP(C1450,'14_Master_Employees'!A:G,7,FALSE),""),"")</f>
        <v/>
      </c>
      <c r="L1450" s="5" t="str">
        <f t="shared" si="1"/>
        <v/>
      </c>
    </row>
    <row r="1451" ht="15.75" customHeight="1">
      <c r="B1451" s="26"/>
      <c r="K1451" s="5" t="str">
        <f>IF(J1451="Yes",IFERROR(VLOOKUP(C1451,'14_Master_Employees'!A:G,7,FALSE),""),"")</f>
        <v/>
      </c>
      <c r="L1451" s="5" t="str">
        <f t="shared" si="1"/>
        <v/>
      </c>
    </row>
    <row r="1452" ht="15.75" customHeight="1">
      <c r="B1452" s="26"/>
      <c r="K1452" s="5" t="str">
        <f>IF(J1452="Yes",IFERROR(VLOOKUP(C1452,'14_Master_Employees'!A:G,7,FALSE),""),"")</f>
        <v/>
      </c>
      <c r="L1452" s="5" t="str">
        <f t="shared" si="1"/>
        <v/>
      </c>
    </row>
    <row r="1453" ht="15.75" customHeight="1">
      <c r="B1453" s="26"/>
      <c r="K1453" s="5" t="str">
        <f>IF(J1453="Yes",IFERROR(VLOOKUP(C1453,'14_Master_Employees'!A:G,7,FALSE),""),"")</f>
        <v/>
      </c>
      <c r="L1453" s="5" t="str">
        <f t="shared" si="1"/>
        <v/>
      </c>
    </row>
    <row r="1454" ht="15.75" customHeight="1">
      <c r="B1454" s="26"/>
      <c r="K1454" s="5" t="str">
        <f>IF(J1454="Yes",IFERROR(VLOOKUP(C1454,'14_Master_Employees'!A:G,7,FALSE),""),"")</f>
        <v/>
      </c>
      <c r="L1454" s="5" t="str">
        <f t="shared" si="1"/>
        <v/>
      </c>
    </row>
    <row r="1455" ht="15.75" customHeight="1">
      <c r="B1455" s="26"/>
      <c r="K1455" s="5" t="str">
        <f>IF(J1455="Yes",IFERROR(VLOOKUP(C1455,'14_Master_Employees'!A:G,7,FALSE),""),"")</f>
        <v/>
      </c>
      <c r="L1455" s="5" t="str">
        <f t="shared" si="1"/>
        <v/>
      </c>
    </row>
    <row r="1456" ht="15.75" customHeight="1">
      <c r="B1456" s="26"/>
      <c r="K1456" s="5" t="str">
        <f>IF(J1456="Yes",IFERROR(VLOOKUP(C1456,'14_Master_Employees'!A:G,7,FALSE),""),"")</f>
        <v/>
      </c>
      <c r="L1456" s="5" t="str">
        <f t="shared" si="1"/>
        <v/>
      </c>
    </row>
    <row r="1457" ht="15.75" customHeight="1">
      <c r="B1457" s="26"/>
      <c r="K1457" s="5" t="str">
        <f>IF(J1457="Yes",IFERROR(VLOOKUP(C1457,'14_Master_Employees'!A:G,7,FALSE),""),"")</f>
        <v/>
      </c>
      <c r="L1457" s="5" t="str">
        <f t="shared" si="1"/>
        <v/>
      </c>
    </row>
    <row r="1458" ht="15.75" customHeight="1">
      <c r="B1458" s="26"/>
      <c r="K1458" s="5" t="str">
        <f>IF(J1458="Yes",IFERROR(VLOOKUP(C1458,'14_Master_Employees'!A:G,7,FALSE),""),"")</f>
        <v/>
      </c>
      <c r="L1458" s="5" t="str">
        <f t="shared" si="1"/>
        <v/>
      </c>
    </row>
    <row r="1459" ht="15.75" customHeight="1">
      <c r="B1459" s="26"/>
      <c r="K1459" s="5" t="str">
        <f>IF(J1459="Yes",IFERROR(VLOOKUP(C1459,'14_Master_Employees'!A:G,7,FALSE),""),"")</f>
        <v/>
      </c>
      <c r="L1459" s="5" t="str">
        <f t="shared" si="1"/>
        <v/>
      </c>
    </row>
    <row r="1460" ht="15.75" customHeight="1">
      <c r="B1460" s="26"/>
      <c r="K1460" s="5" t="str">
        <f>IF(J1460="Yes",IFERROR(VLOOKUP(C1460,'14_Master_Employees'!A:G,7,FALSE),""),"")</f>
        <v/>
      </c>
      <c r="L1460" s="5" t="str">
        <f t="shared" si="1"/>
        <v/>
      </c>
    </row>
    <row r="1461" ht="15.75" customHeight="1">
      <c r="B1461" s="26"/>
      <c r="K1461" s="5" t="str">
        <f>IF(J1461="Yes",IFERROR(VLOOKUP(C1461,'14_Master_Employees'!A:G,7,FALSE),""),"")</f>
        <v/>
      </c>
      <c r="L1461" s="5" t="str">
        <f t="shared" si="1"/>
        <v/>
      </c>
    </row>
    <row r="1462" ht="15.75" customHeight="1">
      <c r="B1462" s="26"/>
      <c r="K1462" s="5" t="str">
        <f>IF(J1462="Yes",IFERROR(VLOOKUP(C1462,'14_Master_Employees'!A:G,7,FALSE),""),"")</f>
        <v/>
      </c>
      <c r="L1462" s="5" t="str">
        <f t="shared" si="1"/>
        <v/>
      </c>
    </row>
    <row r="1463" ht="15.75" customHeight="1">
      <c r="B1463" s="26"/>
      <c r="K1463" s="5" t="str">
        <f>IF(J1463="Yes",IFERROR(VLOOKUP(C1463,'14_Master_Employees'!A:G,7,FALSE),""),"")</f>
        <v/>
      </c>
      <c r="L1463" s="5" t="str">
        <f t="shared" si="1"/>
        <v/>
      </c>
    </row>
    <row r="1464" ht="15.75" customHeight="1">
      <c r="B1464" s="26"/>
      <c r="K1464" s="5" t="str">
        <f>IF(J1464="Yes",IFERROR(VLOOKUP(C1464,'14_Master_Employees'!A:G,7,FALSE),""),"")</f>
        <v/>
      </c>
      <c r="L1464" s="5" t="str">
        <f t="shared" si="1"/>
        <v/>
      </c>
    </row>
    <row r="1465" ht="15.75" customHeight="1">
      <c r="B1465" s="26"/>
      <c r="K1465" s="5" t="str">
        <f>IF(J1465="Yes",IFERROR(VLOOKUP(C1465,'14_Master_Employees'!A:G,7,FALSE),""),"")</f>
        <v/>
      </c>
      <c r="L1465" s="5" t="str">
        <f t="shared" si="1"/>
        <v/>
      </c>
    </row>
    <row r="1466" ht="15.75" customHeight="1">
      <c r="B1466" s="26"/>
      <c r="K1466" s="5" t="str">
        <f>IF(J1466="Yes",IFERROR(VLOOKUP(C1466,'14_Master_Employees'!A:G,7,FALSE),""),"")</f>
        <v/>
      </c>
      <c r="L1466" s="5" t="str">
        <f t="shared" si="1"/>
        <v/>
      </c>
    </row>
    <row r="1467" ht="15.75" customHeight="1">
      <c r="B1467" s="26"/>
      <c r="K1467" s="5" t="str">
        <f>IF(J1467="Yes",IFERROR(VLOOKUP(C1467,'14_Master_Employees'!A:G,7,FALSE),""),"")</f>
        <v/>
      </c>
      <c r="L1467" s="5" t="str">
        <f t="shared" si="1"/>
        <v/>
      </c>
    </row>
    <row r="1468" ht="15.75" customHeight="1">
      <c r="B1468" s="26"/>
      <c r="K1468" s="5" t="str">
        <f>IF(J1468="Yes",IFERROR(VLOOKUP(C1468,'14_Master_Employees'!A:G,7,FALSE),""),"")</f>
        <v/>
      </c>
      <c r="L1468" s="5" t="str">
        <f t="shared" si="1"/>
        <v/>
      </c>
    </row>
    <row r="1469" ht="15.75" customHeight="1">
      <c r="B1469" s="26"/>
      <c r="K1469" s="5" t="str">
        <f>IF(J1469="Yes",IFERROR(VLOOKUP(C1469,'14_Master_Employees'!A:G,7,FALSE),""),"")</f>
        <v/>
      </c>
      <c r="L1469" s="5" t="str">
        <f t="shared" si="1"/>
        <v/>
      </c>
    </row>
    <row r="1470" ht="15.75" customHeight="1">
      <c r="B1470" s="26"/>
      <c r="K1470" s="5" t="str">
        <f>IF(J1470="Yes",IFERROR(VLOOKUP(C1470,'14_Master_Employees'!A:G,7,FALSE),""),"")</f>
        <v/>
      </c>
      <c r="L1470" s="5" t="str">
        <f t="shared" si="1"/>
        <v/>
      </c>
    </row>
    <row r="1471" ht="15.75" customHeight="1">
      <c r="B1471" s="26"/>
      <c r="K1471" s="5" t="str">
        <f>IF(J1471="Yes",IFERROR(VLOOKUP(C1471,'14_Master_Employees'!A:G,7,FALSE),""),"")</f>
        <v/>
      </c>
      <c r="L1471" s="5" t="str">
        <f t="shared" si="1"/>
        <v/>
      </c>
    </row>
    <row r="1472" ht="15.75" customHeight="1">
      <c r="B1472" s="26"/>
      <c r="K1472" s="5" t="str">
        <f>IF(J1472="Yes",IFERROR(VLOOKUP(C1472,'14_Master_Employees'!A:G,7,FALSE),""),"")</f>
        <v/>
      </c>
      <c r="L1472" s="5" t="str">
        <f t="shared" si="1"/>
        <v/>
      </c>
    </row>
    <row r="1473" ht="15.75" customHeight="1">
      <c r="B1473" s="26"/>
      <c r="K1473" s="5" t="str">
        <f>IF(J1473="Yes",IFERROR(VLOOKUP(C1473,'14_Master_Employees'!A:G,7,FALSE),""),"")</f>
        <v/>
      </c>
      <c r="L1473" s="5" t="str">
        <f t="shared" si="1"/>
        <v/>
      </c>
    </row>
    <row r="1474" ht="15.75" customHeight="1">
      <c r="B1474" s="26"/>
      <c r="K1474" s="5" t="str">
        <f>IF(J1474="Yes",IFERROR(VLOOKUP(C1474,'14_Master_Employees'!A:G,7,FALSE),""),"")</f>
        <v/>
      </c>
      <c r="L1474" s="5" t="str">
        <f t="shared" si="1"/>
        <v/>
      </c>
    </row>
    <row r="1475" ht="15.75" customHeight="1">
      <c r="B1475" s="26"/>
      <c r="K1475" s="5" t="str">
        <f>IF(J1475="Yes",IFERROR(VLOOKUP(C1475,'14_Master_Employees'!A:G,7,FALSE),""),"")</f>
        <v/>
      </c>
      <c r="L1475" s="5" t="str">
        <f t="shared" si="1"/>
        <v/>
      </c>
    </row>
    <row r="1476" ht="15.75" customHeight="1">
      <c r="B1476" s="26"/>
      <c r="K1476" s="5" t="str">
        <f>IF(J1476="Yes",IFERROR(VLOOKUP(C1476,'14_Master_Employees'!A:G,7,FALSE),""),"")</f>
        <v/>
      </c>
      <c r="L1476" s="5" t="str">
        <f t="shared" si="1"/>
        <v/>
      </c>
    </row>
    <row r="1477" ht="15.75" customHeight="1">
      <c r="B1477" s="26"/>
      <c r="K1477" s="5" t="str">
        <f>IF(J1477="Yes",IFERROR(VLOOKUP(C1477,'14_Master_Employees'!A:G,7,FALSE),""),"")</f>
        <v/>
      </c>
      <c r="L1477" s="5" t="str">
        <f t="shared" si="1"/>
        <v/>
      </c>
    </row>
    <row r="1478" ht="15.75" customHeight="1">
      <c r="B1478" s="26"/>
      <c r="K1478" s="5" t="str">
        <f>IF(J1478="Yes",IFERROR(VLOOKUP(C1478,'14_Master_Employees'!A:G,7,FALSE),""),"")</f>
        <v/>
      </c>
      <c r="L1478" s="5" t="str">
        <f t="shared" si="1"/>
        <v/>
      </c>
    </row>
    <row r="1479" ht="15.75" customHeight="1">
      <c r="B1479" s="26"/>
      <c r="K1479" s="5" t="str">
        <f>IF(J1479="Yes",IFERROR(VLOOKUP(C1479,'14_Master_Employees'!A:G,7,FALSE),""),"")</f>
        <v/>
      </c>
      <c r="L1479" s="5" t="str">
        <f t="shared" si="1"/>
        <v/>
      </c>
    </row>
    <row r="1480" ht="15.75" customHeight="1">
      <c r="B1480" s="26"/>
      <c r="K1480" s="5" t="str">
        <f>IF(J1480="Yes",IFERROR(VLOOKUP(C1480,'14_Master_Employees'!A:G,7,FALSE),""),"")</f>
        <v/>
      </c>
      <c r="L1480" s="5" t="str">
        <f t="shared" si="1"/>
        <v/>
      </c>
    </row>
    <row r="1481" ht="15.75" customHeight="1">
      <c r="B1481" s="26"/>
      <c r="K1481" s="5" t="str">
        <f>IF(J1481="Yes",IFERROR(VLOOKUP(C1481,'14_Master_Employees'!A:G,7,FALSE),""),"")</f>
        <v/>
      </c>
      <c r="L1481" s="5" t="str">
        <f t="shared" si="1"/>
        <v/>
      </c>
    </row>
    <row r="1482" ht="15.75" customHeight="1">
      <c r="B1482" s="26"/>
      <c r="K1482" s="5" t="str">
        <f>IF(J1482="Yes",IFERROR(VLOOKUP(C1482,'14_Master_Employees'!A:G,7,FALSE),""),"")</f>
        <v/>
      </c>
      <c r="L1482" s="5" t="str">
        <f t="shared" si="1"/>
        <v/>
      </c>
    </row>
    <row r="1483" ht="15.75" customHeight="1">
      <c r="B1483" s="26"/>
      <c r="K1483" s="5" t="str">
        <f>IF(J1483="Yes",IFERROR(VLOOKUP(C1483,'14_Master_Employees'!A:G,7,FALSE),""),"")</f>
        <v/>
      </c>
      <c r="L1483" s="5" t="str">
        <f t="shared" si="1"/>
        <v/>
      </c>
    </row>
    <row r="1484" ht="15.75" customHeight="1">
      <c r="B1484" s="26"/>
      <c r="K1484" s="5" t="str">
        <f>IF(J1484="Yes",IFERROR(VLOOKUP(C1484,'14_Master_Employees'!A:G,7,FALSE),""),"")</f>
        <v/>
      </c>
      <c r="L1484" s="5" t="str">
        <f t="shared" si="1"/>
        <v/>
      </c>
    </row>
    <row r="1485" ht="15.75" customHeight="1">
      <c r="B1485" s="26"/>
      <c r="K1485" s="5" t="str">
        <f>IF(J1485="Yes",IFERROR(VLOOKUP(C1485,'14_Master_Employees'!A:G,7,FALSE),""),"")</f>
        <v/>
      </c>
      <c r="L1485" s="5" t="str">
        <f t="shared" si="1"/>
        <v/>
      </c>
    </row>
    <row r="1486" ht="15.75" customHeight="1">
      <c r="B1486" s="26"/>
      <c r="K1486" s="5" t="str">
        <f>IF(J1486="Yes",IFERROR(VLOOKUP(C1486,'14_Master_Employees'!A:G,7,FALSE),""),"")</f>
        <v/>
      </c>
      <c r="L1486" s="5" t="str">
        <f t="shared" si="1"/>
        <v/>
      </c>
    </row>
    <row r="1487" ht="15.75" customHeight="1">
      <c r="B1487" s="26"/>
      <c r="K1487" s="5" t="str">
        <f>IF(J1487="Yes",IFERROR(VLOOKUP(C1487,'14_Master_Employees'!A:G,7,FALSE),""),"")</f>
        <v/>
      </c>
      <c r="L1487" s="5" t="str">
        <f t="shared" si="1"/>
        <v/>
      </c>
    </row>
    <row r="1488" ht="15.75" customHeight="1">
      <c r="B1488" s="26"/>
      <c r="K1488" s="5" t="str">
        <f>IF(J1488="Yes",IFERROR(VLOOKUP(C1488,'14_Master_Employees'!A:G,7,FALSE),""),"")</f>
        <v/>
      </c>
      <c r="L1488" s="5" t="str">
        <f t="shared" si="1"/>
        <v/>
      </c>
    </row>
    <row r="1489" ht="15.75" customHeight="1">
      <c r="B1489" s="26"/>
      <c r="K1489" s="5" t="str">
        <f>IF(J1489="Yes",IFERROR(VLOOKUP(C1489,'14_Master_Employees'!A:G,7,FALSE),""),"")</f>
        <v/>
      </c>
      <c r="L1489" s="5" t="str">
        <f t="shared" si="1"/>
        <v/>
      </c>
    </row>
    <row r="1490" ht="15.75" customHeight="1">
      <c r="B1490" s="26"/>
      <c r="K1490" s="5" t="str">
        <f>IF(J1490="Yes",IFERROR(VLOOKUP(C1490,'14_Master_Employees'!A:G,7,FALSE),""),"")</f>
        <v/>
      </c>
      <c r="L1490" s="5" t="str">
        <f t="shared" si="1"/>
        <v/>
      </c>
    </row>
    <row r="1491" ht="15.75" customHeight="1">
      <c r="B1491" s="26"/>
      <c r="K1491" s="5" t="str">
        <f>IF(J1491="Yes",IFERROR(VLOOKUP(C1491,'14_Master_Employees'!A:G,7,FALSE),""),"")</f>
        <v/>
      </c>
      <c r="L1491" s="5" t="str">
        <f t="shared" si="1"/>
        <v/>
      </c>
    </row>
    <row r="1492" ht="15.75" customHeight="1">
      <c r="B1492" s="26"/>
      <c r="K1492" s="5" t="str">
        <f>IF(J1492="Yes",IFERROR(VLOOKUP(C1492,'14_Master_Employees'!A:G,7,FALSE),""),"")</f>
        <v/>
      </c>
      <c r="L1492" s="5" t="str">
        <f t="shared" si="1"/>
        <v/>
      </c>
    </row>
    <row r="1493" ht="15.75" customHeight="1">
      <c r="B1493" s="26"/>
      <c r="K1493" s="5" t="str">
        <f>IF(J1493="Yes",IFERROR(VLOOKUP(C1493,'14_Master_Employees'!A:G,7,FALSE),""),"")</f>
        <v/>
      </c>
      <c r="L1493" s="5" t="str">
        <f t="shared" si="1"/>
        <v/>
      </c>
    </row>
    <row r="1494" ht="15.75" customHeight="1">
      <c r="B1494" s="26"/>
      <c r="K1494" s="5" t="str">
        <f>IF(J1494="Yes",IFERROR(VLOOKUP(C1494,'14_Master_Employees'!A:G,7,FALSE),""),"")</f>
        <v/>
      </c>
      <c r="L1494" s="5" t="str">
        <f t="shared" si="1"/>
        <v/>
      </c>
    </row>
    <row r="1495" ht="15.75" customHeight="1">
      <c r="B1495" s="26"/>
      <c r="K1495" s="5" t="str">
        <f>IF(J1495="Yes",IFERROR(VLOOKUP(C1495,'14_Master_Employees'!A:G,7,FALSE),""),"")</f>
        <v/>
      </c>
      <c r="L1495" s="5" t="str">
        <f t="shared" si="1"/>
        <v/>
      </c>
    </row>
    <row r="1496" ht="15.75" customHeight="1">
      <c r="B1496" s="26"/>
      <c r="K1496" s="5" t="str">
        <f>IF(J1496="Yes",IFERROR(VLOOKUP(C1496,'14_Master_Employees'!A:G,7,FALSE),""),"")</f>
        <v/>
      </c>
      <c r="L1496" s="5" t="str">
        <f t="shared" si="1"/>
        <v/>
      </c>
    </row>
    <row r="1497" ht="15.75" customHeight="1">
      <c r="B1497" s="26"/>
      <c r="K1497" s="5" t="str">
        <f>IF(J1497="Yes",IFERROR(VLOOKUP(C1497,'14_Master_Employees'!A:G,7,FALSE),""),"")</f>
        <v/>
      </c>
      <c r="L1497" s="5" t="str">
        <f t="shared" si="1"/>
        <v/>
      </c>
    </row>
    <row r="1498" ht="15.75" customHeight="1">
      <c r="B1498" s="26"/>
      <c r="K1498" s="5" t="str">
        <f>IF(J1498="Yes",IFERROR(VLOOKUP(C1498,'14_Master_Employees'!A:G,7,FALSE),""),"")</f>
        <v/>
      </c>
      <c r="L1498" s="5" t="str">
        <f t="shared" si="1"/>
        <v/>
      </c>
    </row>
    <row r="1499" ht="15.75" customHeight="1">
      <c r="B1499" s="26"/>
      <c r="K1499" s="5" t="str">
        <f>IF(J1499="Yes",IFERROR(VLOOKUP(C1499,'14_Master_Employees'!A:G,7,FALSE),""),"")</f>
        <v/>
      </c>
      <c r="L1499" s="5" t="str">
        <f t="shared" si="1"/>
        <v/>
      </c>
    </row>
    <row r="1500" ht="15.75" customHeight="1">
      <c r="B1500" s="26"/>
      <c r="K1500" s="5" t="str">
        <f>IF(J1500="Yes",IFERROR(VLOOKUP(C1500,'14_Master_Employees'!A:G,7,FALSE),""),"")</f>
        <v/>
      </c>
      <c r="L1500" s="5" t="str">
        <f t="shared" si="1"/>
        <v/>
      </c>
    </row>
    <row r="1501" ht="15.75" customHeight="1">
      <c r="B1501" s="26"/>
      <c r="K1501" s="5" t="str">
        <f>IF(J1501="Yes",IFERROR(VLOOKUP(C1501,'14_Master_Employees'!A:G,7,FALSE),""),"")</f>
        <v/>
      </c>
      <c r="L1501" s="5" t="str">
        <f t="shared" si="1"/>
        <v/>
      </c>
    </row>
    <row r="1502" ht="15.75" customHeight="1">
      <c r="B1502" s="26"/>
      <c r="K1502" s="5" t="str">
        <f>IF(J1502="Yes",IFERROR(VLOOKUP(C1502,'14_Master_Employees'!A:G,7,FALSE),""),"")</f>
        <v/>
      </c>
      <c r="L1502" s="5" t="str">
        <f t="shared" si="1"/>
        <v/>
      </c>
    </row>
    <row r="1503" ht="15.75" customHeight="1">
      <c r="B1503" s="26"/>
      <c r="K1503" s="5" t="str">
        <f>IF(J1503="Yes",IFERROR(VLOOKUP(C1503,'14_Master_Employees'!A:G,7,FALSE),""),"")</f>
        <v/>
      </c>
      <c r="L1503" s="5" t="str">
        <f t="shared" si="1"/>
        <v/>
      </c>
    </row>
    <row r="1504" ht="15.75" customHeight="1">
      <c r="B1504" s="26"/>
      <c r="K1504" s="5" t="str">
        <f>IF(J1504="Yes",IFERROR(VLOOKUP(C1504,'14_Master_Employees'!A:G,7,FALSE),""),"")</f>
        <v/>
      </c>
      <c r="L1504" s="5" t="str">
        <f t="shared" si="1"/>
        <v/>
      </c>
    </row>
    <row r="1505" ht="15.75" customHeight="1">
      <c r="B1505" s="26"/>
      <c r="K1505" s="5" t="str">
        <f>IF(J1505="Yes",IFERROR(VLOOKUP(C1505,'14_Master_Employees'!A:G,7,FALSE),""),"")</f>
        <v/>
      </c>
      <c r="L1505" s="5" t="str">
        <f t="shared" si="1"/>
        <v/>
      </c>
    </row>
    <row r="1506" ht="15.75" customHeight="1">
      <c r="B1506" s="26"/>
      <c r="K1506" s="5" t="str">
        <f>IF(J1506="Yes",IFERROR(VLOOKUP(C1506,'14_Master_Employees'!A:G,7,FALSE),""),"")</f>
        <v/>
      </c>
      <c r="L1506" s="5" t="str">
        <f t="shared" si="1"/>
        <v/>
      </c>
    </row>
    <row r="1507" ht="15.75" customHeight="1">
      <c r="B1507" s="26"/>
      <c r="K1507" s="5" t="str">
        <f>IF(J1507="Yes",IFERROR(VLOOKUP(C1507,'14_Master_Employees'!A:G,7,FALSE),""),"")</f>
        <v/>
      </c>
      <c r="L1507" s="5" t="str">
        <f t="shared" si="1"/>
        <v/>
      </c>
    </row>
    <row r="1508" ht="15.75" customHeight="1">
      <c r="B1508" s="26"/>
      <c r="K1508" s="5" t="str">
        <f>IF(J1508="Yes",IFERROR(VLOOKUP(C1508,'14_Master_Employees'!A:G,7,FALSE),""),"")</f>
        <v/>
      </c>
      <c r="L1508" s="5" t="str">
        <f t="shared" si="1"/>
        <v/>
      </c>
    </row>
    <row r="1509" ht="15.75" customHeight="1">
      <c r="B1509" s="26"/>
      <c r="K1509" s="5" t="str">
        <f>IF(J1509="Yes",IFERROR(VLOOKUP(C1509,'14_Master_Employees'!A:G,7,FALSE),""),"")</f>
        <v/>
      </c>
      <c r="L1509" s="5" t="str">
        <f t="shared" si="1"/>
        <v/>
      </c>
    </row>
    <row r="1510" ht="15.75" customHeight="1">
      <c r="B1510" s="26"/>
      <c r="K1510" s="5" t="str">
        <f>IF(J1510="Yes",IFERROR(VLOOKUP(C1510,'14_Master_Employees'!A:G,7,FALSE),""),"")</f>
        <v/>
      </c>
      <c r="L1510" s="5" t="str">
        <f t="shared" si="1"/>
        <v/>
      </c>
    </row>
    <row r="1511" ht="15.75" customHeight="1">
      <c r="B1511" s="26"/>
      <c r="K1511" s="5" t="str">
        <f>IF(J1511="Yes",IFERROR(VLOOKUP(C1511,'14_Master_Employees'!A:G,7,FALSE),""),"")</f>
        <v/>
      </c>
      <c r="L1511" s="5" t="str">
        <f t="shared" si="1"/>
        <v/>
      </c>
    </row>
    <row r="1512" ht="15.75" customHeight="1">
      <c r="B1512" s="26"/>
      <c r="K1512" s="5" t="str">
        <f>IF(J1512="Yes",IFERROR(VLOOKUP(C1512,'14_Master_Employees'!A:G,7,FALSE),""),"")</f>
        <v/>
      </c>
      <c r="L1512" s="5" t="str">
        <f t="shared" si="1"/>
        <v/>
      </c>
    </row>
    <row r="1513" ht="15.75" customHeight="1">
      <c r="B1513" s="26"/>
      <c r="K1513" s="5" t="str">
        <f>IF(J1513="Yes",IFERROR(VLOOKUP(C1513,'14_Master_Employees'!A:G,7,FALSE),""),"")</f>
        <v/>
      </c>
      <c r="L1513" s="5" t="str">
        <f t="shared" si="1"/>
        <v/>
      </c>
    </row>
    <row r="1514" ht="15.75" customHeight="1">
      <c r="B1514" s="26"/>
      <c r="K1514" s="5" t="str">
        <f>IF(J1514="Yes",IFERROR(VLOOKUP(C1514,'14_Master_Employees'!A:G,7,FALSE),""),"")</f>
        <v/>
      </c>
      <c r="L1514" s="5" t="str">
        <f t="shared" si="1"/>
        <v/>
      </c>
    </row>
    <row r="1515" ht="15.75" customHeight="1">
      <c r="B1515" s="26"/>
      <c r="K1515" s="5" t="str">
        <f>IF(J1515="Yes",IFERROR(VLOOKUP(C1515,'14_Master_Employees'!A:G,7,FALSE),""),"")</f>
        <v/>
      </c>
      <c r="L1515" s="5" t="str">
        <f t="shared" si="1"/>
        <v/>
      </c>
    </row>
    <row r="1516" ht="15.75" customHeight="1">
      <c r="B1516" s="26"/>
      <c r="K1516" s="5" t="str">
        <f>IF(J1516="Yes",IFERROR(VLOOKUP(C1516,'14_Master_Employees'!A:G,7,FALSE),""),"")</f>
        <v/>
      </c>
      <c r="L1516" s="5" t="str">
        <f t="shared" si="1"/>
        <v/>
      </c>
    </row>
    <row r="1517" ht="15.75" customHeight="1">
      <c r="B1517" s="26"/>
      <c r="K1517" s="5" t="str">
        <f>IF(J1517="Yes",IFERROR(VLOOKUP(C1517,'14_Master_Employees'!A:G,7,FALSE),""),"")</f>
        <v/>
      </c>
      <c r="L1517" s="5" t="str">
        <f t="shared" si="1"/>
        <v/>
      </c>
    </row>
    <row r="1518" ht="15.75" customHeight="1">
      <c r="B1518" s="26"/>
      <c r="K1518" s="5" t="str">
        <f>IF(J1518="Yes",IFERROR(VLOOKUP(C1518,'14_Master_Employees'!A:G,7,FALSE),""),"")</f>
        <v/>
      </c>
      <c r="L1518" s="5" t="str">
        <f t="shared" si="1"/>
        <v/>
      </c>
    </row>
    <row r="1519" ht="15.75" customHeight="1">
      <c r="B1519" s="26"/>
      <c r="K1519" s="5" t="str">
        <f>IF(J1519="Yes",IFERROR(VLOOKUP(C1519,'14_Master_Employees'!A:G,7,FALSE),""),"")</f>
        <v/>
      </c>
      <c r="L1519" s="5" t="str">
        <f t="shared" si="1"/>
        <v/>
      </c>
    </row>
    <row r="1520" ht="15.75" customHeight="1">
      <c r="B1520" s="26"/>
      <c r="K1520" s="5" t="str">
        <f>IF(J1520="Yes",IFERROR(VLOOKUP(C1520,'14_Master_Employees'!A:G,7,FALSE),""),"")</f>
        <v/>
      </c>
      <c r="L1520" s="5" t="str">
        <f t="shared" si="1"/>
        <v/>
      </c>
    </row>
    <row r="1521" ht="15.75" customHeight="1">
      <c r="B1521" s="26"/>
      <c r="K1521" s="5" t="str">
        <f>IF(J1521="Yes",IFERROR(VLOOKUP(C1521,'14_Master_Employees'!A:G,7,FALSE),""),"")</f>
        <v/>
      </c>
      <c r="L1521" s="5" t="str">
        <f t="shared" si="1"/>
        <v/>
      </c>
    </row>
    <row r="1522" ht="15.75" customHeight="1">
      <c r="B1522" s="26"/>
      <c r="K1522" s="5" t="str">
        <f>IF(J1522="Yes",IFERROR(VLOOKUP(C1522,'14_Master_Employees'!A:G,7,FALSE),""),"")</f>
        <v/>
      </c>
      <c r="L1522" s="5" t="str">
        <f t="shared" si="1"/>
        <v/>
      </c>
    </row>
    <row r="1523" ht="15.75" customHeight="1">
      <c r="B1523" s="26"/>
      <c r="K1523" s="5" t="str">
        <f>IF(J1523="Yes",IFERROR(VLOOKUP(C1523,'14_Master_Employees'!A:G,7,FALSE),""),"")</f>
        <v/>
      </c>
      <c r="L1523" s="5" t="str">
        <f t="shared" si="1"/>
        <v/>
      </c>
    </row>
    <row r="1524" ht="15.75" customHeight="1">
      <c r="B1524" s="26"/>
      <c r="K1524" s="5" t="str">
        <f>IF(J1524="Yes",IFERROR(VLOOKUP(C1524,'14_Master_Employees'!A:G,7,FALSE),""),"")</f>
        <v/>
      </c>
      <c r="L1524" s="5" t="str">
        <f t="shared" si="1"/>
        <v/>
      </c>
    </row>
    <row r="1525" ht="15.75" customHeight="1">
      <c r="B1525" s="26"/>
      <c r="K1525" s="5" t="str">
        <f>IF(J1525="Yes",IFERROR(VLOOKUP(C1525,'14_Master_Employees'!A:G,7,FALSE),""),"")</f>
        <v/>
      </c>
      <c r="L1525" s="5" t="str">
        <f t="shared" si="1"/>
        <v/>
      </c>
    </row>
    <row r="1526" ht="15.75" customHeight="1">
      <c r="B1526" s="26"/>
      <c r="K1526" s="5" t="str">
        <f>IF(J1526="Yes",IFERROR(VLOOKUP(C1526,'14_Master_Employees'!A:G,7,FALSE),""),"")</f>
        <v/>
      </c>
      <c r="L1526" s="5" t="str">
        <f t="shared" si="1"/>
        <v/>
      </c>
    </row>
    <row r="1527" ht="15.75" customHeight="1">
      <c r="B1527" s="26"/>
      <c r="K1527" s="5" t="str">
        <f>IF(J1527="Yes",IFERROR(VLOOKUP(C1527,'14_Master_Employees'!A:G,7,FALSE),""),"")</f>
        <v/>
      </c>
      <c r="L1527" s="5" t="str">
        <f t="shared" si="1"/>
        <v/>
      </c>
    </row>
    <row r="1528" ht="15.75" customHeight="1">
      <c r="B1528" s="26"/>
      <c r="K1528" s="5" t="str">
        <f>IF(J1528="Yes",IFERROR(VLOOKUP(C1528,'14_Master_Employees'!A:G,7,FALSE),""),"")</f>
        <v/>
      </c>
      <c r="L1528" s="5" t="str">
        <f t="shared" si="1"/>
        <v/>
      </c>
    </row>
    <row r="1529" ht="15.75" customHeight="1">
      <c r="B1529" s="26"/>
      <c r="K1529" s="5" t="str">
        <f>IF(J1529="Yes",IFERROR(VLOOKUP(C1529,'14_Master_Employees'!A:G,7,FALSE),""),"")</f>
        <v/>
      </c>
      <c r="L1529" s="5" t="str">
        <f t="shared" si="1"/>
        <v/>
      </c>
    </row>
    <row r="1530" ht="15.75" customHeight="1">
      <c r="B1530" s="26"/>
      <c r="K1530" s="5" t="str">
        <f>IF(J1530="Yes",IFERROR(VLOOKUP(C1530,'14_Master_Employees'!A:G,7,FALSE),""),"")</f>
        <v/>
      </c>
      <c r="L1530" s="5" t="str">
        <f t="shared" si="1"/>
        <v/>
      </c>
    </row>
    <row r="1531" ht="15.75" customHeight="1">
      <c r="B1531" s="26"/>
      <c r="K1531" s="5" t="str">
        <f>IF(J1531="Yes",IFERROR(VLOOKUP(C1531,'14_Master_Employees'!A:G,7,FALSE),""),"")</f>
        <v/>
      </c>
      <c r="L1531" s="5" t="str">
        <f t="shared" si="1"/>
        <v/>
      </c>
    </row>
    <row r="1532" ht="15.75" customHeight="1">
      <c r="B1532" s="26"/>
      <c r="K1532" s="5" t="str">
        <f>IF(J1532="Yes",IFERROR(VLOOKUP(C1532,'14_Master_Employees'!A:G,7,FALSE),""),"")</f>
        <v/>
      </c>
      <c r="L1532" s="5" t="str">
        <f t="shared" si="1"/>
        <v/>
      </c>
    </row>
    <row r="1533" ht="15.75" customHeight="1">
      <c r="B1533" s="26"/>
      <c r="K1533" s="5" t="str">
        <f>IF(J1533="Yes",IFERROR(VLOOKUP(C1533,'14_Master_Employees'!A:G,7,FALSE),""),"")</f>
        <v/>
      </c>
      <c r="L1533" s="5" t="str">
        <f t="shared" si="1"/>
        <v/>
      </c>
    </row>
    <row r="1534" ht="15.75" customHeight="1">
      <c r="B1534" s="26"/>
      <c r="K1534" s="5" t="str">
        <f>IF(J1534="Yes",IFERROR(VLOOKUP(C1534,'14_Master_Employees'!A:G,7,FALSE),""),"")</f>
        <v/>
      </c>
      <c r="L1534" s="5" t="str">
        <f t="shared" si="1"/>
        <v/>
      </c>
    </row>
    <row r="1535" ht="15.75" customHeight="1">
      <c r="B1535" s="26"/>
      <c r="K1535" s="5" t="str">
        <f>IF(J1535="Yes",IFERROR(VLOOKUP(C1535,'14_Master_Employees'!A:G,7,FALSE),""),"")</f>
        <v/>
      </c>
      <c r="L1535" s="5" t="str">
        <f t="shared" si="1"/>
        <v/>
      </c>
    </row>
    <row r="1536" ht="15.75" customHeight="1">
      <c r="B1536" s="26"/>
      <c r="K1536" s="5" t="str">
        <f>IF(J1536="Yes",IFERROR(VLOOKUP(C1536,'14_Master_Employees'!A:G,7,FALSE),""),"")</f>
        <v/>
      </c>
      <c r="L1536" s="5" t="str">
        <f t="shared" si="1"/>
        <v/>
      </c>
    </row>
    <row r="1537" ht="15.75" customHeight="1">
      <c r="B1537" s="26"/>
      <c r="K1537" s="5" t="str">
        <f>IF(J1537="Yes",IFERROR(VLOOKUP(C1537,'14_Master_Employees'!A:G,7,FALSE),""),"")</f>
        <v/>
      </c>
      <c r="L1537" s="5" t="str">
        <f t="shared" si="1"/>
        <v/>
      </c>
    </row>
    <row r="1538" ht="15.75" customHeight="1">
      <c r="B1538" s="26"/>
      <c r="K1538" s="5" t="str">
        <f>IF(J1538="Yes",IFERROR(VLOOKUP(C1538,'14_Master_Employees'!A:G,7,FALSE),""),"")</f>
        <v/>
      </c>
      <c r="L1538" s="5" t="str">
        <f t="shared" si="1"/>
        <v/>
      </c>
    </row>
    <row r="1539" ht="15.75" customHeight="1">
      <c r="B1539" s="26"/>
      <c r="K1539" s="5" t="str">
        <f>IF(J1539="Yes",IFERROR(VLOOKUP(C1539,'14_Master_Employees'!A:G,7,FALSE),""),"")</f>
        <v/>
      </c>
      <c r="L1539" s="5" t="str">
        <f t="shared" si="1"/>
        <v/>
      </c>
    </row>
    <row r="1540" ht="15.75" customHeight="1">
      <c r="B1540" s="26"/>
      <c r="K1540" s="5" t="str">
        <f>IF(J1540="Yes",IFERROR(VLOOKUP(C1540,'14_Master_Employees'!A:G,7,FALSE),""),"")</f>
        <v/>
      </c>
      <c r="L1540" s="5" t="str">
        <f t="shared" si="1"/>
        <v/>
      </c>
    </row>
    <row r="1541" ht="15.75" customHeight="1">
      <c r="B1541" s="26"/>
      <c r="K1541" s="5" t="str">
        <f>IF(J1541="Yes",IFERROR(VLOOKUP(C1541,'14_Master_Employees'!A:G,7,FALSE),""),"")</f>
        <v/>
      </c>
      <c r="L1541" s="5" t="str">
        <f t="shared" si="1"/>
        <v/>
      </c>
    </row>
    <row r="1542" ht="15.75" customHeight="1">
      <c r="B1542" s="26"/>
      <c r="K1542" s="5" t="str">
        <f>IF(J1542="Yes",IFERROR(VLOOKUP(C1542,'14_Master_Employees'!A:G,7,FALSE),""),"")</f>
        <v/>
      </c>
      <c r="L1542" s="5" t="str">
        <f t="shared" si="1"/>
        <v/>
      </c>
    </row>
    <row r="1543" ht="15.75" customHeight="1">
      <c r="B1543" s="26"/>
      <c r="K1543" s="5" t="str">
        <f>IF(J1543="Yes",IFERROR(VLOOKUP(C1543,'14_Master_Employees'!A:G,7,FALSE),""),"")</f>
        <v/>
      </c>
      <c r="L1543" s="5" t="str">
        <f t="shared" si="1"/>
        <v/>
      </c>
    </row>
    <row r="1544" ht="15.75" customHeight="1">
      <c r="B1544" s="26"/>
      <c r="K1544" s="5" t="str">
        <f>IF(J1544="Yes",IFERROR(VLOOKUP(C1544,'14_Master_Employees'!A:G,7,FALSE),""),"")</f>
        <v/>
      </c>
      <c r="L1544" s="5" t="str">
        <f t="shared" si="1"/>
        <v/>
      </c>
    </row>
    <row r="1545" ht="15.75" customHeight="1">
      <c r="B1545" s="26"/>
      <c r="K1545" s="5" t="str">
        <f>IF(J1545="Yes",IFERROR(VLOOKUP(C1545,'14_Master_Employees'!A:G,7,FALSE),""),"")</f>
        <v/>
      </c>
      <c r="L1545" s="5" t="str">
        <f t="shared" si="1"/>
        <v/>
      </c>
    </row>
    <row r="1546" ht="15.75" customHeight="1">
      <c r="B1546" s="26"/>
      <c r="K1546" s="5" t="str">
        <f>IF(J1546="Yes",IFERROR(VLOOKUP(C1546,'14_Master_Employees'!A:G,7,FALSE),""),"")</f>
        <v/>
      </c>
      <c r="L1546" s="5" t="str">
        <f t="shared" si="1"/>
        <v/>
      </c>
    </row>
    <row r="1547" ht="15.75" customHeight="1">
      <c r="B1547" s="26"/>
      <c r="K1547" s="5" t="str">
        <f>IF(J1547="Yes",IFERROR(VLOOKUP(C1547,'14_Master_Employees'!A:G,7,FALSE),""),"")</f>
        <v/>
      </c>
      <c r="L1547" s="5" t="str">
        <f t="shared" si="1"/>
        <v/>
      </c>
    </row>
    <row r="1548" ht="15.75" customHeight="1">
      <c r="B1548" s="26"/>
      <c r="K1548" s="5" t="str">
        <f>IF(J1548="Yes",IFERROR(VLOOKUP(C1548,'14_Master_Employees'!A:G,7,FALSE),""),"")</f>
        <v/>
      </c>
      <c r="L1548" s="5" t="str">
        <f t="shared" si="1"/>
        <v/>
      </c>
    </row>
    <row r="1549" ht="15.75" customHeight="1">
      <c r="B1549" s="26"/>
      <c r="K1549" s="5" t="str">
        <f>IF(J1549="Yes",IFERROR(VLOOKUP(C1549,'14_Master_Employees'!A:G,7,FALSE),""),"")</f>
        <v/>
      </c>
      <c r="L1549" s="5" t="str">
        <f t="shared" si="1"/>
        <v/>
      </c>
    </row>
    <row r="1550" ht="15.75" customHeight="1">
      <c r="B1550" s="26"/>
      <c r="K1550" s="5" t="str">
        <f>IF(J1550="Yes",IFERROR(VLOOKUP(C1550,'14_Master_Employees'!A:G,7,FALSE),""),"")</f>
        <v/>
      </c>
      <c r="L1550" s="5" t="str">
        <f t="shared" si="1"/>
        <v/>
      </c>
    </row>
    <row r="1551" ht="15.75" customHeight="1">
      <c r="B1551" s="26"/>
      <c r="K1551" s="5" t="str">
        <f>IF(J1551="Yes",IFERROR(VLOOKUP(C1551,'14_Master_Employees'!A:G,7,FALSE),""),"")</f>
        <v/>
      </c>
      <c r="L1551" s="5" t="str">
        <f t="shared" si="1"/>
        <v/>
      </c>
    </row>
    <row r="1552" ht="15.75" customHeight="1">
      <c r="B1552" s="26"/>
      <c r="K1552" s="5" t="str">
        <f>IF(J1552="Yes",IFERROR(VLOOKUP(C1552,'14_Master_Employees'!A:G,7,FALSE),""),"")</f>
        <v/>
      </c>
      <c r="L1552" s="5" t="str">
        <f t="shared" si="1"/>
        <v/>
      </c>
    </row>
    <row r="1553" ht="15.75" customHeight="1">
      <c r="B1553" s="26"/>
      <c r="K1553" s="5" t="str">
        <f>IF(J1553="Yes",IFERROR(VLOOKUP(C1553,'14_Master_Employees'!A:G,7,FALSE),""),"")</f>
        <v/>
      </c>
      <c r="L1553" s="5" t="str">
        <f t="shared" si="1"/>
        <v/>
      </c>
    </row>
    <row r="1554" ht="15.75" customHeight="1">
      <c r="B1554" s="26"/>
      <c r="K1554" s="5" t="str">
        <f>IF(J1554="Yes",IFERROR(VLOOKUP(C1554,'14_Master_Employees'!A:G,7,FALSE),""),"")</f>
        <v/>
      </c>
      <c r="L1554" s="5" t="str">
        <f t="shared" si="1"/>
        <v/>
      </c>
    </row>
    <row r="1555" ht="15.75" customHeight="1">
      <c r="B1555" s="26"/>
      <c r="K1555" s="5" t="str">
        <f>IF(J1555="Yes",IFERROR(VLOOKUP(C1555,'14_Master_Employees'!A:G,7,FALSE),""),"")</f>
        <v/>
      </c>
      <c r="L1555" s="5" t="str">
        <f t="shared" si="1"/>
        <v/>
      </c>
    </row>
    <row r="1556" ht="15.75" customHeight="1">
      <c r="B1556" s="26"/>
      <c r="K1556" s="5" t="str">
        <f>IF(J1556="Yes",IFERROR(VLOOKUP(C1556,'14_Master_Employees'!A:G,7,FALSE),""),"")</f>
        <v/>
      </c>
      <c r="L1556" s="5" t="str">
        <f t="shared" si="1"/>
        <v/>
      </c>
    </row>
    <row r="1557" ht="15.75" customHeight="1">
      <c r="B1557" s="26"/>
      <c r="K1557" s="5" t="str">
        <f>IF(J1557="Yes",IFERROR(VLOOKUP(C1557,'14_Master_Employees'!A:G,7,FALSE),""),"")</f>
        <v/>
      </c>
      <c r="L1557" s="5" t="str">
        <f t="shared" si="1"/>
        <v/>
      </c>
    </row>
    <row r="1558" ht="15.75" customHeight="1">
      <c r="B1558" s="26"/>
      <c r="K1558" s="5" t="str">
        <f>IF(J1558="Yes",IFERROR(VLOOKUP(C1558,'14_Master_Employees'!A:G,7,FALSE),""),"")</f>
        <v/>
      </c>
      <c r="L1558" s="5" t="str">
        <f t="shared" si="1"/>
        <v/>
      </c>
    </row>
    <row r="1559" ht="15.75" customHeight="1">
      <c r="B1559" s="26"/>
      <c r="K1559" s="5" t="str">
        <f>IF(J1559="Yes",IFERROR(VLOOKUP(C1559,'14_Master_Employees'!A:G,7,FALSE),""),"")</f>
        <v/>
      </c>
      <c r="L1559" s="5" t="str">
        <f t="shared" si="1"/>
        <v/>
      </c>
    </row>
    <row r="1560" ht="15.75" customHeight="1">
      <c r="B1560" s="26"/>
      <c r="K1560" s="5" t="str">
        <f>IF(J1560="Yes",IFERROR(VLOOKUP(C1560,'14_Master_Employees'!A:G,7,FALSE),""),"")</f>
        <v/>
      </c>
      <c r="L1560" s="5" t="str">
        <f t="shared" si="1"/>
        <v/>
      </c>
    </row>
    <row r="1561" ht="15.75" customHeight="1">
      <c r="B1561" s="26"/>
      <c r="K1561" s="5" t="str">
        <f>IF(J1561="Yes",IFERROR(VLOOKUP(C1561,'14_Master_Employees'!A:G,7,FALSE),""),"")</f>
        <v/>
      </c>
      <c r="L1561" s="5" t="str">
        <f t="shared" si="1"/>
        <v/>
      </c>
    </row>
    <row r="1562" ht="15.75" customHeight="1">
      <c r="B1562" s="26"/>
      <c r="K1562" s="5" t="str">
        <f>IF(J1562="Yes",IFERROR(VLOOKUP(C1562,'14_Master_Employees'!A:G,7,FALSE),""),"")</f>
        <v/>
      </c>
      <c r="L1562" s="5" t="str">
        <f t="shared" si="1"/>
        <v/>
      </c>
    </row>
    <row r="1563" ht="15.75" customHeight="1">
      <c r="B1563" s="26"/>
      <c r="K1563" s="5" t="str">
        <f>IF(J1563="Yes",IFERROR(VLOOKUP(C1563,'14_Master_Employees'!A:G,7,FALSE),""),"")</f>
        <v/>
      </c>
      <c r="L1563" s="5" t="str">
        <f t="shared" si="1"/>
        <v/>
      </c>
    </row>
    <row r="1564" ht="15.75" customHeight="1">
      <c r="B1564" s="26"/>
      <c r="K1564" s="5" t="str">
        <f>IF(J1564="Yes",IFERROR(VLOOKUP(C1564,'14_Master_Employees'!A:G,7,FALSE),""),"")</f>
        <v/>
      </c>
      <c r="L1564" s="5" t="str">
        <f t="shared" si="1"/>
        <v/>
      </c>
    </row>
    <row r="1565" ht="15.75" customHeight="1">
      <c r="B1565" s="26"/>
      <c r="K1565" s="5" t="str">
        <f>IF(J1565="Yes",IFERROR(VLOOKUP(C1565,'14_Master_Employees'!A:G,7,FALSE),""),"")</f>
        <v/>
      </c>
      <c r="L1565" s="5" t="str">
        <f t="shared" si="1"/>
        <v/>
      </c>
    </row>
    <row r="1566" ht="15.75" customHeight="1">
      <c r="B1566" s="26"/>
      <c r="K1566" s="5" t="str">
        <f>IF(J1566="Yes",IFERROR(VLOOKUP(C1566,'14_Master_Employees'!A:G,7,FALSE),""),"")</f>
        <v/>
      </c>
      <c r="L1566" s="5" t="str">
        <f t="shared" si="1"/>
        <v/>
      </c>
    </row>
    <row r="1567" ht="15.75" customHeight="1">
      <c r="B1567" s="26"/>
      <c r="K1567" s="5" t="str">
        <f>IF(J1567="Yes",IFERROR(VLOOKUP(C1567,'14_Master_Employees'!A:G,7,FALSE),""),"")</f>
        <v/>
      </c>
      <c r="L1567" s="5" t="str">
        <f t="shared" si="1"/>
        <v/>
      </c>
    </row>
    <row r="1568" ht="15.75" customHeight="1">
      <c r="B1568" s="26"/>
      <c r="K1568" s="5" t="str">
        <f>IF(J1568="Yes",IFERROR(VLOOKUP(C1568,'14_Master_Employees'!A:G,7,FALSE),""),"")</f>
        <v/>
      </c>
      <c r="L1568" s="5" t="str">
        <f t="shared" si="1"/>
        <v/>
      </c>
    </row>
    <row r="1569" ht="15.75" customHeight="1">
      <c r="B1569" s="26"/>
      <c r="K1569" s="5" t="str">
        <f>IF(J1569="Yes",IFERROR(VLOOKUP(C1569,'14_Master_Employees'!A:G,7,FALSE),""),"")</f>
        <v/>
      </c>
      <c r="L1569" s="5" t="str">
        <f t="shared" si="1"/>
        <v/>
      </c>
    </row>
    <row r="1570" ht="15.75" customHeight="1">
      <c r="B1570" s="26"/>
      <c r="K1570" s="5" t="str">
        <f>IF(J1570="Yes",IFERROR(VLOOKUP(C1570,'14_Master_Employees'!A:G,7,FALSE),""),"")</f>
        <v/>
      </c>
      <c r="L1570" s="5" t="str">
        <f t="shared" si="1"/>
        <v/>
      </c>
    </row>
    <row r="1571" ht="15.75" customHeight="1">
      <c r="B1571" s="26"/>
      <c r="K1571" s="5" t="str">
        <f>IF(J1571="Yes",IFERROR(VLOOKUP(C1571,'14_Master_Employees'!A:G,7,FALSE),""),"")</f>
        <v/>
      </c>
      <c r="L1571" s="5" t="str">
        <f t="shared" si="1"/>
        <v/>
      </c>
    </row>
    <row r="1572" ht="15.75" customHeight="1">
      <c r="B1572" s="26"/>
      <c r="K1572" s="5" t="str">
        <f>IF(J1572="Yes",IFERROR(VLOOKUP(C1572,'14_Master_Employees'!A:G,7,FALSE),""),"")</f>
        <v/>
      </c>
      <c r="L1572" s="5" t="str">
        <f t="shared" si="1"/>
        <v/>
      </c>
    </row>
    <row r="1573" ht="15.75" customHeight="1">
      <c r="B1573" s="26"/>
      <c r="K1573" s="5" t="str">
        <f>IF(J1573="Yes",IFERROR(VLOOKUP(C1573,'14_Master_Employees'!A:G,7,FALSE),""),"")</f>
        <v/>
      </c>
      <c r="L1573" s="5" t="str">
        <f t="shared" si="1"/>
        <v/>
      </c>
    </row>
    <row r="1574" ht="15.75" customHeight="1">
      <c r="B1574" s="26"/>
      <c r="K1574" s="5" t="str">
        <f>IF(J1574="Yes",IFERROR(VLOOKUP(C1574,'14_Master_Employees'!A:G,7,FALSE),""),"")</f>
        <v/>
      </c>
      <c r="L1574" s="5" t="str">
        <f t="shared" si="1"/>
        <v/>
      </c>
    </row>
    <row r="1575" ht="15.75" customHeight="1">
      <c r="B1575" s="26"/>
      <c r="K1575" s="5" t="str">
        <f>IF(J1575="Yes",IFERROR(VLOOKUP(C1575,'14_Master_Employees'!A:G,7,FALSE),""),"")</f>
        <v/>
      </c>
      <c r="L1575" s="5" t="str">
        <f t="shared" si="1"/>
        <v/>
      </c>
    </row>
    <row r="1576" ht="15.75" customHeight="1">
      <c r="B1576" s="26"/>
      <c r="K1576" s="5" t="str">
        <f>IF(J1576="Yes",IFERROR(VLOOKUP(C1576,'14_Master_Employees'!A:G,7,FALSE),""),"")</f>
        <v/>
      </c>
      <c r="L1576" s="5" t="str">
        <f t="shared" si="1"/>
        <v/>
      </c>
    </row>
    <row r="1577" ht="15.75" customHeight="1">
      <c r="B1577" s="26"/>
      <c r="K1577" s="5" t="str">
        <f>IF(J1577="Yes",IFERROR(VLOOKUP(C1577,'14_Master_Employees'!A:G,7,FALSE),""),"")</f>
        <v/>
      </c>
      <c r="L1577" s="5" t="str">
        <f t="shared" si="1"/>
        <v/>
      </c>
    </row>
    <row r="1578" ht="15.75" customHeight="1">
      <c r="B1578" s="26"/>
      <c r="K1578" s="5" t="str">
        <f>IF(J1578="Yes",IFERROR(VLOOKUP(C1578,'14_Master_Employees'!A:G,7,FALSE),""),"")</f>
        <v/>
      </c>
      <c r="L1578" s="5" t="str">
        <f t="shared" si="1"/>
        <v/>
      </c>
    </row>
    <row r="1579" ht="15.75" customHeight="1">
      <c r="B1579" s="26"/>
      <c r="K1579" s="5" t="str">
        <f>IF(J1579="Yes",IFERROR(VLOOKUP(C1579,'14_Master_Employees'!A:G,7,FALSE),""),"")</f>
        <v/>
      </c>
      <c r="L1579" s="5" t="str">
        <f t="shared" si="1"/>
        <v/>
      </c>
    </row>
    <row r="1580" ht="15.75" customHeight="1">
      <c r="B1580" s="26"/>
      <c r="K1580" s="5" t="str">
        <f>IF(J1580="Yes",IFERROR(VLOOKUP(C1580,'14_Master_Employees'!A:G,7,FALSE),""),"")</f>
        <v/>
      </c>
      <c r="L1580" s="5" t="str">
        <f t="shared" si="1"/>
        <v/>
      </c>
    </row>
    <row r="1581" ht="15.75" customHeight="1">
      <c r="B1581" s="26"/>
      <c r="K1581" s="5" t="str">
        <f>IF(J1581="Yes",IFERROR(VLOOKUP(C1581,'14_Master_Employees'!A:G,7,FALSE),""),"")</f>
        <v/>
      </c>
      <c r="L1581" s="5" t="str">
        <f t="shared" si="1"/>
        <v/>
      </c>
    </row>
    <row r="1582" ht="15.75" customHeight="1">
      <c r="B1582" s="26"/>
      <c r="K1582" s="5" t="str">
        <f>IF(J1582="Yes",IFERROR(VLOOKUP(C1582,'14_Master_Employees'!A:G,7,FALSE),""),"")</f>
        <v/>
      </c>
      <c r="L1582" s="5" t="str">
        <f t="shared" si="1"/>
        <v/>
      </c>
    </row>
    <row r="1583" ht="15.75" customHeight="1">
      <c r="B1583" s="26"/>
      <c r="K1583" s="5" t="str">
        <f>IF(J1583="Yes",IFERROR(VLOOKUP(C1583,'14_Master_Employees'!A:G,7,FALSE),""),"")</f>
        <v/>
      </c>
      <c r="L1583" s="5" t="str">
        <f t="shared" si="1"/>
        <v/>
      </c>
    </row>
    <row r="1584" ht="15.75" customHeight="1">
      <c r="B1584" s="26"/>
      <c r="K1584" s="5" t="str">
        <f>IF(J1584="Yes",IFERROR(VLOOKUP(C1584,'14_Master_Employees'!A:G,7,FALSE),""),"")</f>
        <v/>
      </c>
      <c r="L1584" s="5" t="str">
        <f t="shared" si="1"/>
        <v/>
      </c>
    </row>
    <row r="1585" ht="15.75" customHeight="1">
      <c r="B1585" s="26"/>
      <c r="K1585" s="5" t="str">
        <f>IF(J1585="Yes",IFERROR(VLOOKUP(C1585,'14_Master_Employees'!A:G,7,FALSE),""),"")</f>
        <v/>
      </c>
      <c r="L1585" s="5" t="str">
        <f t="shared" si="1"/>
        <v/>
      </c>
    </row>
    <row r="1586" ht="15.75" customHeight="1">
      <c r="B1586" s="26"/>
      <c r="K1586" s="5" t="str">
        <f>IF(J1586="Yes",IFERROR(VLOOKUP(C1586,'14_Master_Employees'!A:G,7,FALSE),""),"")</f>
        <v/>
      </c>
      <c r="L1586" s="5" t="str">
        <f t="shared" si="1"/>
        <v/>
      </c>
    </row>
    <row r="1587" ht="15.75" customHeight="1">
      <c r="B1587" s="26"/>
      <c r="K1587" s="5" t="str">
        <f>IF(J1587="Yes",IFERROR(VLOOKUP(C1587,'14_Master_Employees'!A:G,7,FALSE),""),"")</f>
        <v/>
      </c>
      <c r="L1587" s="5" t="str">
        <f t="shared" si="1"/>
        <v/>
      </c>
    </row>
    <row r="1588" ht="15.75" customHeight="1">
      <c r="B1588" s="26"/>
      <c r="K1588" s="5" t="str">
        <f>IF(J1588="Yes",IFERROR(VLOOKUP(C1588,'14_Master_Employees'!A:G,7,FALSE),""),"")</f>
        <v/>
      </c>
      <c r="L1588" s="5" t="str">
        <f t="shared" si="1"/>
        <v/>
      </c>
    </row>
    <row r="1589" ht="15.75" customHeight="1">
      <c r="B1589" s="26"/>
      <c r="K1589" s="5" t="str">
        <f>IF(J1589="Yes",IFERROR(VLOOKUP(C1589,'14_Master_Employees'!A:G,7,FALSE),""),"")</f>
        <v/>
      </c>
      <c r="L1589" s="5" t="str">
        <f t="shared" si="1"/>
        <v/>
      </c>
    </row>
    <row r="1590" ht="15.75" customHeight="1">
      <c r="B1590" s="26"/>
      <c r="K1590" s="5" t="str">
        <f>IF(J1590="Yes",IFERROR(VLOOKUP(C1590,'14_Master_Employees'!A:G,7,FALSE),""),"")</f>
        <v/>
      </c>
      <c r="L1590" s="5" t="str">
        <f t="shared" si="1"/>
        <v/>
      </c>
    </row>
    <row r="1591" ht="15.75" customHeight="1">
      <c r="B1591" s="26"/>
      <c r="K1591" s="5" t="str">
        <f>IF(J1591="Yes",IFERROR(VLOOKUP(C1591,'14_Master_Employees'!A:G,7,FALSE),""),"")</f>
        <v/>
      </c>
      <c r="L1591" s="5" t="str">
        <f t="shared" si="1"/>
        <v/>
      </c>
    </row>
    <row r="1592" ht="15.75" customHeight="1">
      <c r="B1592" s="26"/>
      <c r="K1592" s="5" t="str">
        <f>IF(J1592="Yes",IFERROR(VLOOKUP(C1592,'14_Master_Employees'!A:G,7,FALSE),""),"")</f>
        <v/>
      </c>
      <c r="L1592" s="5" t="str">
        <f t="shared" si="1"/>
        <v/>
      </c>
    </row>
    <row r="1593" ht="15.75" customHeight="1">
      <c r="B1593" s="26"/>
      <c r="K1593" s="5" t="str">
        <f>IF(J1593="Yes",IFERROR(VLOOKUP(C1593,'14_Master_Employees'!A:G,7,FALSE),""),"")</f>
        <v/>
      </c>
      <c r="L1593" s="5" t="str">
        <f t="shared" si="1"/>
        <v/>
      </c>
    </row>
    <row r="1594" ht="15.75" customHeight="1">
      <c r="B1594" s="26"/>
      <c r="K1594" s="5" t="str">
        <f>IF(J1594="Yes",IFERROR(VLOOKUP(C1594,'14_Master_Employees'!A:G,7,FALSE),""),"")</f>
        <v/>
      </c>
      <c r="L1594" s="5" t="str">
        <f t="shared" si="1"/>
        <v/>
      </c>
    </row>
    <row r="1595" ht="15.75" customHeight="1">
      <c r="B1595" s="26"/>
      <c r="K1595" s="5" t="str">
        <f>IF(J1595="Yes",IFERROR(VLOOKUP(C1595,'14_Master_Employees'!A:G,7,FALSE),""),"")</f>
        <v/>
      </c>
      <c r="L1595" s="5" t="str">
        <f t="shared" si="1"/>
        <v/>
      </c>
    </row>
    <row r="1596" ht="15.75" customHeight="1">
      <c r="B1596" s="26"/>
      <c r="K1596" s="5" t="str">
        <f>IF(J1596="Yes",IFERROR(VLOOKUP(C1596,'14_Master_Employees'!A:G,7,FALSE),""),"")</f>
        <v/>
      </c>
      <c r="L1596" s="5" t="str">
        <f t="shared" si="1"/>
        <v/>
      </c>
    </row>
    <row r="1597" ht="15.75" customHeight="1">
      <c r="B1597" s="26"/>
      <c r="K1597" s="5" t="str">
        <f>IF(J1597="Yes",IFERROR(VLOOKUP(C1597,'14_Master_Employees'!A:G,7,FALSE),""),"")</f>
        <v/>
      </c>
      <c r="L1597" s="5" t="str">
        <f t="shared" si="1"/>
        <v/>
      </c>
    </row>
    <row r="1598" ht="15.75" customHeight="1">
      <c r="B1598" s="26"/>
      <c r="K1598" s="5" t="str">
        <f>IF(J1598="Yes",IFERROR(VLOOKUP(C1598,'14_Master_Employees'!A:G,7,FALSE),""),"")</f>
        <v/>
      </c>
      <c r="L1598" s="5" t="str">
        <f t="shared" si="1"/>
        <v/>
      </c>
    </row>
    <row r="1599" ht="15.75" customHeight="1">
      <c r="B1599" s="26"/>
      <c r="K1599" s="5" t="str">
        <f>IF(J1599="Yes",IFERROR(VLOOKUP(C1599,'14_Master_Employees'!A:G,7,FALSE),""),"")</f>
        <v/>
      </c>
      <c r="L1599" s="5" t="str">
        <f t="shared" si="1"/>
        <v/>
      </c>
    </row>
    <row r="1600" ht="15.75" customHeight="1">
      <c r="B1600" s="26"/>
      <c r="K1600" s="5" t="str">
        <f>IF(J1600="Yes",IFERROR(VLOOKUP(C1600,'14_Master_Employees'!A:G,7,FALSE),""),"")</f>
        <v/>
      </c>
      <c r="L1600" s="5" t="str">
        <f t="shared" si="1"/>
        <v/>
      </c>
    </row>
    <row r="1601" ht="15.75" customHeight="1">
      <c r="B1601" s="26"/>
      <c r="K1601" s="5" t="str">
        <f>IF(J1601="Yes",IFERROR(VLOOKUP(C1601,'14_Master_Employees'!A:G,7,FALSE),""),"")</f>
        <v/>
      </c>
      <c r="L1601" s="5" t="str">
        <f t="shared" si="1"/>
        <v/>
      </c>
    </row>
    <row r="1602" ht="15.75" customHeight="1">
      <c r="B1602" s="26"/>
      <c r="K1602" s="5" t="str">
        <f>IF(J1602="Yes",IFERROR(VLOOKUP(C1602,'14_Master_Employees'!A:G,7,FALSE),""),"")</f>
        <v/>
      </c>
      <c r="L1602" s="5" t="str">
        <f t="shared" si="1"/>
        <v/>
      </c>
    </row>
    <row r="1603" ht="15.75" customHeight="1">
      <c r="B1603" s="26"/>
      <c r="K1603" s="5" t="str">
        <f>IF(J1603="Yes",IFERROR(VLOOKUP(C1603,'14_Master_Employees'!A:G,7,FALSE),""),"")</f>
        <v/>
      </c>
      <c r="L1603" s="5" t="str">
        <f t="shared" si="1"/>
        <v/>
      </c>
    </row>
    <row r="1604" ht="15.75" customHeight="1">
      <c r="B1604" s="26"/>
      <c r="K1604" s="5" t="str">
        <f>IF(J1604="Yes",IFERROR(VLOOKUP(C1604,'14_Master_Employees'!A:G,7,FALSE),""),"")</f>
        <v/>
      </c>
      <c r="L1604" s="5" t="str">
        <f t="shared" si="1"/>
        <v/>
      </c>
    </row>
    <row r="1605" ht="15.75" customHeight="1">
      <c r="B1605" s="26"/>
      <c r="K1605" s="5" t="str">
        <f>IF(J1605="Yes",IFERROR(VLOOKUP(C1605,'14_Master_Employees'!A:G,7,FALSE),""),"")</f>
        <v/>
      </c>
      <c r="L1605" s="5" t="str">
        <f t="shared" si="1"/>
        <v/>
      </c>
    </row>
    <row r="1606" ht="15.75" customHeight="1">
      <c r="B1606" s="26"/>
      <c r="K1606" s="5" t="str">
        <f>IF(J1606="Yes",IFERROR(VLOOKUP(C1606,'14_Master_Employees'!A:G,7,FALSE),""),"")</f>
        <v/>
      </c>
      <c r="L1606" s="5" t="str">
        <f t="shared" si="1"/>
        <v/>
      </c>
    </row>
    <row r="1607" ht="15.75" customHeight="1">
      <c r="B1607" s="26"/>
      <c r="K1607" s="5" t="str">
        <f>IF(J1607="Yes",IFERROR(VLOOKUP(C1607,'14_Master_Employees'!A:G,7,FALSE),""),"")</f>
        <v/>
      </c>
      <c r="L1607" s="5" t="str">
        <f t="shared" si="1"/>
        <v/>
      </c>
    </row>
    <row r="1608" ht="15.75" customHeight="1">
      <c r="B1608" s="26"/>
      <c r="K1608" s="5" t="str">
        <f>IF(J1608="Yes",IFERROR(VLOOKUP(C1608,'14_Master_Employees'!A:G,7,FALSE),""),"")</f>
        <v/>
      </c>
      <c r="L1608" s="5" t="str">
        <f t="shared" si="1"/>
        <v/>
      </c>
    </row>
    <row r="1609" ht="15.75" customHeight="1">
      <c r="B1609" s="26"/>
      <c r="K1609" s="5" t="str">
        <f>IF(J1609="Yes",IFERROR(VLOOKUP(C1609,'14_Master_Employees'!A:G,7,FALSE),""),"")</f>
        <v/>
      </c>
      <c r="L1609" s="5" t="str">
        <f t="shared" si="1"/>
        <v/>
      </c>
    </row>
    <row r="1610" ht="15.75" customHeight="1">
      <c r="B1610" s="26"/>
      <c r="K1610" s="5" t="str">
        <f>IF(J1610="Yes",IFERROR(VLOOKUP(C1610,'14_Master_Employees'!A:G,7,FALSE),""),"")</f>
        <v/>
      </c>
      <c r="L1610" s="5" t="str">
        <f t="shared" si="1"/>
        <v/>
      </c>
    </row>
    <row r="1611" ht="15.75" customHeight="1">
      <c r="B1611" s="26"/>
      <c r="K1611" s="5" t="str">
        <f>IF(J1611="Yes",IFERROR(VLOOKUP(C1611,'14_Master_Employees'!A:G,7,FALSE),""),"")</f>
        <v/>
      </c>
      <c r="L1611" s="5" t="str">
        <f t="shared" si="1"/>
        <v/>
      </c>
    </row>
    <row r="1612" ht="15.75" customHeight="1">
      <c r="B1612" s="26"/>
      <c r="K1612" s="5" t="str">
        <f>IF(J1612="Yes",IFERROR(VLOOKUP(C1612,'14_Master_Employees'!A:G,7,FALSE),""),"")</f>
        <v/>
      </c>
      <c r="L1612" s="5" t="str">
        <f t="shared" si="1"/>
        <v/>
      </c>
    </row>
    <row r="1613" ht="15.75" customHeight="1">
      <c r="B1613" s="26"/>
      <c r="K1613" s="5" t="str">
        <f>IF(J1613="Yes",IFERROR(VLOOKUP(C1613,'14_Master_Employees'!A:G,7,FALSE),""),"")</f>
        <v/>
      </c>
      <c r="L1613" s="5" t="str">
        <f t="shared" si="1"/>
        <v/>
      </c>
    </row>
    <row r="1614" ht="15.75" customHeight="1">
      <c r="B1614" s="26"/>
      <c r="K1614" s="5" t="str">
        <f>IF(J1614="Yes",IFERROR(VLOOKUP(C1614,'14_Master_Employees'!A:G,7,FALSE),""),"")</f>
        <v/>
      </c>
      <c r="L1614" s="5" t="str">
        <f t="shared" si="1"/>
        <v/>
      </c>
    </row>
    <row r="1615" ht="15.75" customHeight="1">
      <c r="B1615" s="26"/>
      <c r="K1615" s="5" t="str">
        <f>IF(J1615="Yes",IFERROR(VLOOKUP(C1615,'14_Master_Employees'!A:G,7,FALSE),""),"")</f>
        <v/>
      </c>
      <c r="L1615" s="5" t="str">
        <f t="shared" si="1"/>
        <v/>
      </c>
    </row>
    <row r="1616" ht="15.75" customHeight="1">
      <c r="B1616" s="26"/>
      <c r="K1616" s="5" t="str">
        <f>IF(J1616="Yes",IFERROR(VLOOKUP(C1616,'14_Master_Employees'!A:G,7,FALSE),""),"")</f>
        <v/>
      </c>
      <c r="L1616" s="5" t="str">
        <f t="shared" si="1"/>
        <v/>
      </c>
    </row>
    <row r="1617" ht="15.75" customHeight="1">
      <c r="B1617" s="26"/>
      <c r="K1617" s="5" t="str">
        <f>IF(J1617="Yes",IFERROR(VLOOKUP(C1617,'14_Master_Employees'!A:G,7,FALSE),""),"")</f>
        <v/>
      </c>
      <c r="L1617" s="5" t="str">
        <f t="shared" si="1"/>
        <v/>
      </c>
    </row>
    <row r="1618" ht="15.75" customHeight="1">
      <c r="B1618" s="26"/>
      <c r="K1618" s="5" t="str">
        <f>IF(J1618="Yes",IFERROR(VLOOKUP(C1618,'14_Master_Employees'!A:G,7,FALSE),""),"")</f>
        <v/>
      </c>
      <c r="L1618" s="5" t="str">
        <f t="shared" si="1"/>
        <v/>
      </c>
    </row>
    <row r="1619" ht="15.75" customHeight="1">
      <c r="B1619" s="26"/>
      <c r="K1619" s="5" t="str">
        <f>IF(J1619="Yes",IFERROR(VLOOKUP(C1619,'14_Master_Employees'!A:G,7,FALSE),""),"")</f>
        <v/>
      </c>
      <c r="L1619" s="5" t="str">
        <f t="shared" si="1"/>
        <v/>
      </c>
    </row>
    <row r="1620" ht="15.75" customHeight="1">
      <c r="B1620" s="26"/>
      <c r="K1620" s="5" t="str">
        <f>IF(J1620="Yes",IFERROR(VLOOKUP(C1620,'14_Master_Employees'!A:G,7,FALSE),""),"")</f>
        <v/>
      </c>
      <c r="L1620" s="5" t="str">
        <f t="shared" si="1"/>
        <v/>
      </c>
    </row>
    <row r="1621" ht="15.75" customHeight="1">
      <c r="B1621" s="26"/>
      <c r="K1621" s="5" t="str">
        <f>IF(J1621="Yes",IFERROR(VLOOKUP(C1621,'14_Master_Employees'!A:G,7,FALSE),""),"")</f>
        <v/>
      </c>
      <c r="L1621" s="5" t="str">
        <f t="shared" si="1"/>
        <v/>
      </c>
    </row>
    <row r="1622" ht="15.75" customHeight="1">
      <c r="B1622" s="26"/>
      <c r="K1622" s="5" t="str">
        <f>IF(J1622="Yes",IFERROR(VLOOKUP(C1622,'14_Master_Employees'!A:G,7,FALSE),""),"")</f>
        <v/>
      </c>
      <c r="L1622" s="5" t="str">
        <f t="shared" si="1"/>
        <v/>
      </c>
    </row>
    <row r="1623" ht="15.75" customHeight="1">
      <c r="B1623" s="26"/>
      <c r="K1623" s="5" t="str">
        <f>IF(J1623="Yes",IFERROR(VLOOKUP(C1623,'14_Master_Employees'!A:G,7,FALSE),""),"")</f>
        <v/>
      </c>
      <c r="L1623" s="5" t="str">
        <f t="shared" si="1"/>
        <v/>
      </c>
    </row>
    <row r="1624" ht="15.75" customHeight="1">
      <c r="B1624" s="26"/>
      <c r="K1624" s="5" t="str">
        <f>IF(J1624="Yes",IFERROR(VLOOKUP(C1624,'14_Master_Employees'!A:G,7,FALSE),""),"")</f>
        <v/>
      </c>
      <c r="L1624" s="5" t="str">
        <f t="shared" si="1"/>
        <v/>
      </c>
    </row>
    <row r="1625" ht="15.75" customHeight="1">
      <c r="B1625" s="26"/>
      <c r="K1625" s="5" t="str">
        <f>IF(J1625="Yes",IFERROR(VLOOKUP(C1625,'14_Master_Employees'!A:G,7,FALSE),""),"")</f>
        <v/>
      </c>
      <c r="L1625" s="5" t="str">
        <f t="shared" si="1"/>
        <v/>
      </c>
    </row>
    <row r="1626" ht="15.75" customHeight="1">
      <c r="B1626" s="26"/>
      <c r="K1626" s="5" t="str">
        <f>IF(J1626="Yes",IFERROR(VLOOKUP(C1626,'14_Master_Employees'!A:G,7,FALSE),""),"")</f>
        <v/>
      </c>
      <c r="L1626" s="5" t="str">
        <f t="shared" si="1"/>
        <v/>
      </c>
    </row>
    <row r="1627" ht="15.75" customHeight="1">
      <c r="B1627" s="26"/>
      <c r="K1627" s="5" t="str">
        <f>IF(J1627="Yes",IFERROR(VLOOKUP(C1627,'14_Master_Employees'!A:G,7,FALSE),""),"")</f>
        <v/>
      </c>
      <c r="L1627" s="5" t="str">
        <f t="shared" si="1"/>
        <v/>
      </c>
    </row>
    <row r="1628" ht="15.75" customHeight="1">
      <c r="B1628" s="26"/>
      <c r="K1628" s="5" t="str">
        <f>IF(J1628="Yes",IFERROR(VLOOKUP(C1628,'14_Master_Employees'!A:G,7,FALSE),""),"")</f>
        <v/>
      </c>
      <c r="L1628" s="5" t="str">
        <f t="shared" si="1"/>
        <v/>
      </c>
    </row>
    <row r="1629" ht="15.75" customHeight="1">
      <c r="B1629" s="26"/>
      <c r="K1629" s="5" t="str">
        <f>IF(J1629="Yes",IFERROR(VLOOKUP(C1629,'14_Master_Employees'!A:G,7,FALSE),""),"")</f>
        <v/>
      </c>
      <c r="L1629" s="5" t="str">
        <f t="shared" si="1"/>
        <v/>
      </c>
    </row>
    <row r="1630" ht="15.75" customHeight="1">
      <c r="B1630" s="26"/>
      <c r="K1630" s="5" t="str">
        <f>IF(J1630="Yes",IFERROR(VLOOKUP(C1630,'14_Master_Employees'!A:G,7,FALSE),""),"")</f>
        <v/>
      </c>
      <c r="L1630" s="5" t="str">
        <f t="shared" si="1"/>
        <v/>
      </c>
    </row>
    <row r="1631" ht="15.75" customHeight="1">
      <c r="B1631" s="26"/>
      <c r="K1631" s="5" t="str">
        <f>IF(J1631="Yes",IFERROR(VLOOKUP(C1631,'14_Master_Employees'!A:G,7,FALSE),""),"")</f>
        <v/>
      </c>
      <c r="L1631" s="5" t="str">
        <f t="shared" si="1"/>
        <v/>
      </c>
    </row>
    <row r="1632" ht="15.75" customHeight="1">
      <c r="B1632" s="26"/>
      <c r="K1632" s="5" t="str">
        <f>IF(J1632="Yes",IFERROR(VLOOKUP(C1632,'14_Master_Employees'!A:G,7,FALSE),""),"")</f>
        <v/>
      </c>
      <c r="L1632" s="5" t="str">
        <f t="shared" si="1"/>
        <v/>
      </c>
    </row>
    <row r="1633" ht="15.75" customHeight="1">
      <c r="B1633" s="26"/>
      <c r="K1633" s="5" t="str">
        <f>IF(J1633="Yes",IFERROR(VLOOKUP(C1633,'14_Master_Employees'!A:G,7,FALSE),""),"")</f>
        <v/>
      </c>
      <c r="L1633" s="5" t="str">
        <f t="shared" si="1"/>
        <v/>
      </c>
    </row>
    <row r="1634" ht="15.75" customHeight="1">
      <c r="B1634" s="26"/>
      <c r="K1634" s="5" t="str">
        <f>IF(J1634="Yes",IFERROR(VLOOKUP(C1634,'14_Master_Employees'!A:G,7,FALSE),""),"")</f>
        <v/>
      </c>
      <c r="L1634" s="5" t="str">
        <f t="shared" si="1"/>
        <v/>
      </c>
    </row>
    <row r="1635" ht="15.75" customHeight="1">
      <c r="B1635" s="26"/>
      <c r="K1635" s="5" t="str">
        <f>IF(J1635="Yes",IFERROR(VLOOKUP(C1635,'14_Master_Employees'!A:G,7,FALSE),""),"")</f>
        <v/>
      </c>
      <c r="L1635" s="5" t="str">
        <f t="shared" si="1"/>
        <v/>
      </c>
    </row>
    <row r="1636" ht="15.75" customHeight="1">
      <c r="B1636" s="26"/>
      <c r="K1636" s="5" t="str">
        <f>IF(J1636="Yes",IFERROR(VLOOKUP(C1636,'14_Master_Employees'!A:G,7,FALSE),""),"")</f>
        <v/>
      </c>
      <c r="L1636" s="5" t="str">
        <f t="shared" si="1"/>
        <v/>
      </c>
    </row>
    <row r="1637" ht="15.75" customHeight="1">
      <c r="B1637" s="26"/>
      <c r="K1637" s="5" t="str">
        <f>IF(J1637="Yes",IFERROR(VLOOKUP(C1637,'14_Master_Employees'!A:G,7,FALSE),""),"")</f>
        <v/>
      </c>
      <c r="L1637" s="5" t="str">
        <f t="shared" si="1"/>
        <v/>
      </c>
    </row>
    <row r="1638" ht="15.75" customHeight="1">
      <c r="B1638" s="26"/>
      <c r="K1638" s="5" t="str">
        <f>IF(J1638="Yes",IFERROR(VLOOKUP(C1638,'14_Master_Employees'!A:G,7,FALSE),""),"")</f>
        <v/>
      </c>
      <c r="L1638" s="5" t="str">
        <f t="shared" si="1"/>
        <v/>
      </c>
    </row>
    <row r="1639" ht="15.75" customHeight="1">
      <c r="B1639" s="26"/>
      <c r="K1639" s="5" t="str">
        <f>IF(J1639="Yes",IFERROR(VLOOKUP(C1639,'14_Master_Employees'!A:G,7,FALSE),""),"")</f>
        <v/>
      </c>
      <c r="L1639" s="5" t="str">
        <f t="shared" si="1"/>
        <v/>
      </c>
    </row>
    <row r="1640" ht="15.75" customHeight="1">
      <c r="B1640" s="26"/>
      <c r="K1640" s="5" t="str">
        <f>IF(J1640="Yes",IFERROR(VLOOKUP(C1640,'14_Master_Employees'!A:G,7,FALSE),""),"")</f>
        <v/>
      </c>
      <c r="L1640" s="5" t="str">
        <f t="shared" si="1"/>
        <v/>
      </c>
    </row>
    <row r="1641" ht="15.75" customHeight="1">
      <c r="B1641" s="26"/>
      <c r="K1641" s="5" t="str">
        <f>IF(J1641="Yes",IFERROR(VLOOKUP(C1641,'14_Master_Employees'!A:G,7,FALSE),""),"")</f>
        <v/>
      </c>
      <c r="L1641" s="5" t="str">
        <f t="shared" si="1"/>
        <v/>
      </c>
    </row>
    <row r="1642" ht="15.75" customHeight="1">
      <c r="B1642" s="26"/>
      <c r="K1642" s="5" t="str">
        <f>IF(J1642="Yes",IFERROR(VLOOKUP(C1642,'14_Master_Employees'!A:G,7,FALSE),""),"")</f>
        <v/>
      </c>
      <c r="L1642" s="5" t="str">
        <f t="shared" si="1"/>
        <v/>
      </c>
    </row>
    <row r="1643" ht="15.75" customHeight="1">
      <c r="B1643" s="26"/>
      <c r="K1643" s="5" t="str">
        <f>IF(J1643="Yes",IFERROR(VLOOKUP(C1643,'14_Master_Employees'!A:G,7,FALSE),""),"")</f>
        <v/>
      </c>
      <c r="L1643" s="5" t="str">
        <f t="shared" si="1"/>
        <v/>
      </c>
    </row>
    <row r="1644" ht="15.75" customHeight="1">
      <c r="B1644" s="26"/>
      <c r="K1644" s="5" t="str">
        <f>IF(J1644="Yes",IFERROR(VLOOKUP(C1644,'14_Master_Employees'!A:G,7,FALSE),""),"")</f>
        <v/>
      </c>
      <c r="L1644" s="5" t="str">
        <f t="shared" si="1"/>
        <v/>
      </c>
    </row>
    <row r="1645" ht="15.75" customHeight="1">
      <c r="B1645" s="26"/>
      <c r="K1645" s="5" t="str">
        <f>IF(J1645="Yes",IFERROR(VLOOKUP(C1645,'14_Master_Employees'!A:G,7,FALSE),""),"")</f>
        <v/>
      </c>
      <c r="L1645" s="5" t="str">
        <f t="shared" si="1"/>
        <v/>
      </c>
    </row>
    <row r="1646" ht="15.75" customHeight="1">
      <c r="B1646" s="26"/>
      <c r="K1646" s="5" t="str">
        <f>IF(J1646="Yes",IFERROR(VLOOKUP(C1646,'14_Master_Employees'!A:G,7,FALSE),""),"")</f>
        <v/>
      </c>
      <c r="L1646" s="5" t="str">
        <f t="shared" si="1"/>
        <v/>
      </c>
    </row>
    <row r="1647" ht="15.75" customHeight="1">
      <c r="B1647" s="26"/>
      <c r="K1647" s="5" t="str">
        <f>IF(J1647="Yes",IFERROR(VLOOKUP(C1647,'14_Master_Employees'!A:G,7,FALSE),""),"")</f>
        <v/>
      </c>
      <c r="L1647" s="5" t="str">
        <f t="shared" si="1"/>
        <v/>
      </c>
    </row>
    <row r="1648" ht="15.75" customHeight="1">
      <c r="B1648" s="26"/>
      <c r="K1648" s="5" t="str">
        <f>IF(J1648="Yes",IFERROR(VLOOKUP(C1648,'14_Master_Employees'!A:G,7,FALSE),""),"")</f>
        <v/>
      </c>
      <c r="L1648" s="5" t="str">
        <f t="shared" si="1"/>
        <v/>
      </c>
    </row>
    <row r="1649" ht="15.75" customHeight="1">
      <c r="B1649" s="26"/>
      <c r="K1649" s="5" t="str">
        <f>IF(J1649="Yes",IFERROR(VLOOKUP(C1649,'14_Master_Employees'!A:G,7,FALSE),""),"")</f>
        <v/>
      </c>
      <c r="L1649" s="5" t="str">
        <f t="shared" si="1"/>
        <v/>
      </c>
    </row>
    <row r="1650" ht="15.75" customHeight="1">
      <c r="B1650" s="26"/>
      <c r="K1650" s="5" t="str">
        <f>IF(J1650="Yes",IFERROR(VLOOKUP(C1650,'14_Master_Employees'!A:G,7,FALSE),""),"")</f>
        <v/>
      </c>
      <c r="L1650" s="5" t="str">
        <f t="shared" si="1"/>
        <v/>
      </c>
    </row>
    <row r="1651" ht="15.75" customHeight="1">
      <c r="B1651" s="26"/>
      <c r="K1651" s="5" t="str">
        <f>IF(J1651="Yes",IFERROR(VLOOKUP(C1651,'14_Master_Employees'!A:G,7,FALSE),""),"")</f>
        <v/>
      </c>
      <c r="L1651" s="5" t="str">
        <f t="shared" si="1"/>
        <v/>
      </c>
    </row>
    <row r="1652" ht="15.75" customHeight="1">
      <c r="B1652" s="26"/>
      <c r="K1652" s="5" t="str">
        <f>IF(J1652="Yes",IFERROR(VLOOKUP(C1652,'14_Master_Employees'!A:G,7,FALSE),""),"")</f>
        <v/>
      </c>
      <c r="L1652" s="5" t="str">
        <f t="shared" si="1"/>
        <v/>
      </c>
    </row>
    <row r="1653" ht="15.75" customHeight="1">
      <c r="B1653" s="26"/>
      <c r="K1653" s="5" t="str">
        <f>IF(J1653="Yes",IFERROR(VLOOKUP(C1653,'14_Master_Employees'!A:G,7,FALSE),""),"")</f>
        <v/>
      </c>
      <c r="L1653" s="5" t="str">
        <f t="shared" si="1"/>
        <v/>
      </c>
    </row>
    <row r="1654" ht="15.75" customHeight="1">
      <c r="B1654" s="26"/>
      <c r="K1654" s="5" t="str">
        <f>IF(J1654="Yes",IFERROR(VLOOKUP(C1654,'14_Master_Employees'!A:G,7,FALSE),""),"")</f>
        <v/>
      </c>
      <c r="L1654" s="5" t="str">
        <f t="shared" si="1"/>
        <v/>
      </c>
    </row>
    <row r="1655" ht="15.75" customHeight="1">
      <c r="B1655" s="26"/>
      <c r="K1655" s="5" t="str">
        <f>IF(J1655="Yes",IFERROR(VLOOKUP(C1655,'14_Master_Employees'!A:G,7,FALSE),""),"")</f>
        <v/>
      </c>
      <c r="L1655" s="5" t="str">
        <f t="shared" si="1"/>
        <v/>
      </c>
    </row>
    <row r="1656" ht="15.75" customHeight="1">
      <c r="B1656" s="26"/>
      <c r="K1656" s="5" t="str">
        <f>IF(J1656="Yes",IFERROR(VLOOKUP(C1656,'14_Master_Employees'!A:G,7,FALSE),""),"")</f>
        <v/>
      </c>
      <c r="L1656" s="5" t="str">
        <f t="shared" si="1"/>
        <v/>
      </c>
    </row>
    <row r="1657" ht="15.75" customHeight="1">
      <c r="B1657" s="26"/>
      <c r="K1657" s="5" t="str">
        <f>IF(J1657="Yes",IFERROR(VLOOKUP(C1657,'14_Master_Employees'!A:G,7,FALSE),""),"")</f>
        <v/>
      </c>
      <c r="L1657" s="5" t="str">
        <f t="shared" si="1"/>
        <v/>
      </c>
    </row>
    <row r="1658" ht="15.75" customHeight="1">
      <c r="B1658" s="26"/>
      <c r="K1658" s="5" t="str">
        <f>IF(J1658="Yes",IFERROR(VLOOKUP(C1658,'14_Master_Employees'!A:G,7,FALSE),""),"")</f>
        <v/>
      </c>
      <c r="L1658" s="5" t="str">
        <f t="shared" si="1"/>
        <v/>
      </c>
    </row>
    <row r="1659" ht="15.75" customHeight="1">
      <c r="B1659" s="26"/>
      <c r="K1659" s="5" t="str">
        <f>IF(J1659="Yes",IFERROR(VLOOKUP(C1659,'14_Master_Employees'!A:G,7,FALSE),""),"")</f>
        <v/>
      </c>
      <c r="L1659" s="5" t="str">
        <f t="shared" si="1"/>
        <v/>
      </c>
    </row>
    <row r="1660" ht="15.75" customHeight="1">
      <c r="B1660" s="26"/>
      <c r="K1660" s="5" t="str">
        <f>IF(J1660="Yes",IFERROR(VLOOKUP(C1660,'14_Master_Employees'!A:G,7,FALSE),""),"")</f>
        <v/>
      </c>
      <c r="L1660" s="5" t="str">
        <f t="shared" si="1"/>
        <v/>
      </c>
    </row>
    <row r="1661" ht="15.75" customHeight="1">
      <c r="B1661" s="26"/>
      <c r="K1661" s="5" t="str">
        <f>IF(J1661="Yes",IFERROR(VLOOKUP(C1661,'14_Master_Employees'!A:G,7,FALSE),""),"")</f>
        <v/>
      </c>
      <c r="L1661" s="5" t="str">
        <f t="shared" si="1"/>
        <v/>
      </c>
    </row>
    <row r="1662" ht="15.75" customHeight="1">
      <c r="B1662" s="26"/>
      <c r="K1662" s="5" t="str">
        <f>IF(J1662="Yes",IFERROR(VLOOKUP(C1662,'14_Master_Employees'!A:G,7,FALSE),""),"")</f>
        <v/>
      </c>
      <c r="L1662" s="5" t="str">
        <f t="shared" si="1"/>
        <v/>
      </c>
    </row>
    <row r="1663" ht="15.75" customHeight="1">
      <c r="B1663" s="26"/>
      <c r="K1663" s="5" t="str">
        <f>IF(J1663="Yes",IFERROR(VLOOKUP(C1663,'14_Master_Employees'!A:G,7,FALSE),""),"")</f>
        <v/>
      </c>
      <c r="L1663" s="5" t="str">
        <f t="shared" si="1"/>
        <v/>
      </c>
    </row>
    <row r="1664" ht="15.75" customHeight="1">
      <c r="B1664" s="26"/>
      <c r="K1664" s="5" t="str">
        <f>IF(J1664="Yes",IFERROR(VLOOKUP(C1664,'14_Master_Employees'!A:G,7,FALSE),""),"")</f>
        <v/>
      </c>
      <c r="L1664" s="5" t="str">
        <f t="shared" si="1"/>
        <v/>
      </c>
    </row>
    <row r="1665" ht="15.75" customHeight="1">
      <c r="B1665" s="26"/>
      <c r="K1665" s="5" t="str">
        <f>IF(J1665="Yes",IFERROR(VLOOKUP(C1665,'14_Master_Employees'!A:G,7,FALSE),""),"")</f>
        <v/>
      </c>
      <c r="L1665" s="5" t="str">
        <f t="shared" si="1"/>
        <v/>
      </c>
    </row>
    <row r="1666" ht="15.75" customHeight="1">
      <c r="B1666" s="26"/>
      <c r="K1666" s="5" t="str">
        <f>IF(J1666="Yes",IFERROR(VLOOKUP(C1666,'14_Master_Employees'!A:G,7,FALSE),""),"")</f>
        <v/>
      </c>
      <c r="L1666" s="5" t="str">
        <f t="shared" si="1"/>
        <v/>
      </c>
    </row>
    <row r="1667" ht="15.75" customHeight="1">
      <c r="B1667" s="26"/>
      <c r="K1667" s="5" t="str">
        <f>IF(J1667="Yes",IFERROR(VLOOKUP(C1667,'14_Master_Employees'!A:G,7,FALSE),""),"")</f>
        <v/>
      </c>
      <c r="L1667" s="5" t="str">
        <f t="shared" si="1"/>
        <v/>
      </c>
    </row>
    <row r="1668" ht="15.75" customHeight="1">
      <c r="B1668" s="26"/>
      <c r="K1668" s="5" t="str">
        <f>IF(J1668="Yes",IFERROR(VLOOKUP(C1668,'14_Master_Employees'!A:G,7,FALSE),""),"")</f>
        <v/>
      </c>
      <c r="L1668" s="5" t="str">
        <f t="shared" si="1"/>
        <v/>
      </c>
    </row>
    <row r="1669" ht="15.75" customHeight="1">
      <c r="B1669" s="26"/>
      <c r="K1669" s="5" t="str">
        <f>IF(J1669="Yes",IFERROR(VLOOKUP(C1669,'14_Master_Employees'!A:G,7,FALSE),""),"")</f>
        <v/>
      </c>
      <c r="L1669" s="5" t="str">
        <f t="shared" si="1"/>
        <v/>
      </c>
    </row>
    <row r="1670" ht="15.75" customHeight="1">
      <c r="B1670" s="26"/>
      <c r="K1670" s="5" t="str">
        <f>IF(J1670="Yes",IFERROR(VLOOKUP(C1670,'14_Master_Employees'!A:G,7,FALSE),""),"")</f>
        <v/>
      </c>
      <c r="L1670" s="5" t="str">
        <f t="shared" si="1"/>
        <v/>
      </c>
    </row>
    <row r="1671" ht="15.75" customHeight="1">
      <c r="B1671" s="26"/>
      <c r="K1671" s="5" t="str">
        <f>IF(J1671="Yes",IFERROR(VLOOKUP(C1671,'14_Master_Employees'!A:G,7,FALSE),""),"")</f>
        <v/>
      </c>
      <c r="L1671" s="5" t="str">
        <f t="shared" si="1"/>
        <v/>
      </c>
    </row>
    <row r="1672" ht="15.75" customHeight="1">
      <c r="B1672" s="26"/>
      <c r="K1672" s="5" t="str">
        <f>IF(J1672="Yes",IFERROR(VLOOKUP(C1672,'14_Master_Employees'!A:G,7,FALSE),""),"")</f>
        <v/>
      </c>
      <c r="L1672" s="5" t="str">
        <f t="shared" si="1"/>
        <v/>
      </c>
    </row>
    <row r="1673" ht="15.75" customHeight="1">
      <c r="B1673" s="26"/>
      <c r="K1673" s="5" t="str">
        <f>IF(J1673="Yes",IFERROR(VLOOKUP(C1673,'14_Master_Employees'!A:G,7,FALSE),""),"")</f>
        <v/>
      </c>
      <c r="L1673" s="5" t="str">
        <f t="shared" si="1"/>
        <v/>
      </c>
    </row>
    <row r="1674" ht="15.75" customHeight="1">
      <c r="B1674" s="26"/>
      <c r="K1674" s="5" t="str">
        <f>IF(J1674="Yes",IFERROR(VLOOKUP(C1674,'14_Master_Employees'!A:G,7,FALSE),""),"")</f>
        <v/>
      </c>
      <c r="L1674" s="5" t="str">
        <f t="shared" si="1"/>
        <v/>
      </c>
    </row>
    <row r="1675" ht="15.75" customHeight="1">
      <c r="B1675" s="26"/>
      <c r="K1675" s="5" t="str">
        <f>IF(J1675="Yes",IFERROR(VLOOKUP(C1675,'14_Master_Employees'!A:G,7,FALSE),""),"")</f>
        <v/>
      </c>
      <c r="L1675" s="5" t="str">
        <f t="shared" si="1"/>
        <v/>
      </c>
    </row>
    <row r="1676" ht="15.75" customHeight="1">
      <c r="B1676" s="26"/>
      <c r="K1676" s="5" t="str">
        <f>IF(J1676="Yes",IFERROR(VLOOKUP(C1676,'14_Master_Employees'!A:G,7,FALSE),""),"")</f>
        <v/>
      </c>
      <c r="L1676" s="5" t="str">
        <f t="shared" si="1"/>
        <v/>
      </c>
    </row>
    <row r="1677" ht="15.75" customHeight="1">
      <c r="B1677" s="26"/>
      <c r="K1677" s="5" t="str">
        <f>IF(J1677="Yes",IFERROR(VLOOKUP(C1677,'14_Master_Employees'!A:G,7,FALSE),""),"")</f>
        <v/>
      </c>
      <c r="L1677" s="5" t="str">
        <f t="shared" si="1"/>
        <v/>
      </c>
    </row>
    <row r="1678" ht="15.75" customHeight="1">
      <c r="B1678" s="26"/>
      <c r="K1678" s="5" t="str">
        <f>IF(J1678="Yes",IFERROR(VLOOKUP(C1678,'14_Master_Employees'!A:G,7,FALSE),""),"")</f>
        <v/>
      </c>
      <c r="L1678" s="5" t="str">
        <f t="shared" si="1"/>
        <v/>
      </c>
    </row>
    <row r="1679" ht="15.75" customHeight="1">
      <c r="B1679" s="26"/>
      <c r="K1679" s="5" t="str">
        <f>IF(J1679="Yes",IFERROR(VLOOKUP(C1679,'14_Master_Employees'!A:G,7,FALSE),""),"")</f>
        <v/>
      </c>
      <c r="L1679" s="5" t="str">
        <f t="shared" si="1"/>
        <v/>
      </c>
    </row>
    <row r="1680" ht="15.75" customHeight="1">
      <c r="B1680" s="26"/>
      <c r="K1680" s="5" t="str">
        <f>IF(J1680="Yes",IFERROR(VLOOKUP(C1680,'14_Master_Employees'!A:G,7,FALSE),""),"")</f>
        <v/>
      </c>
      <c r="L1680" s="5" t="str">
        <f t="shared" si="1"/>
        <v/>
      </c>
    </row>
    <row r="1681" ht="15.75" customHeight="1">
      <c r="B1681" s="26"/>
      <c r="K1681" s="5" t="str">
        <f>IF(J1681="Yes",IFERROR(VLOOKUP(C1681,'14_Master_Employees'!A:G,7,FALSE),""),"")</f>
        <v/>
      </c>
      <c r="L1681" s="5" t="str">
        <f t="shared" si="1"/>
        <v/>
      </c>
    </row>
    <row r="1682" ht="15.75" customHeight="1">
      <c r="B1682" s="26"/>
      <c r="K1682" s="5" t="str">
        <f>IF(J1682="Yes",IFERROR(VLOOKUP(C1682,'14_Master_Employees'!A:G,7,FALSE),""),"")</f>
        <v/>
      </c>
      <c r="L1682" s="5" t="str">
        <f t="shared" si="1"/>
        <v/>
      </c>
    </row>
    <row r="1683" ht="15.75" customHeight="1">
      <c r="B1683" s="26"/>
      <c r="K1683" s="5" t="str">
        <f>IF(J1683="Yes",IFERROR(VLOOKUP(C1683,'14_Master_Employees'!A:G,7,FALSE),""),"")</f>
        <v/>
      </c>
      <c r="L1683" s="5" t="str">
        <f t="shared" si="1"/>
        <v/>
      </c>
    </row>
    <row r="1684" ht="15.75" customHeight="1">
      <c r="B1684" s="26"/>
      <c r="K1684" s="5" t="str">
        <f>IF(J1684="Yes",IFERROR(VLOOKUP(C1684,'14_Master_Employees'!A:G,7,FALSE),""),"")</f>
        <v/>
      </c>
      <c r="L1684" s="5" t="str">
        <f t="shared" si="1"/>
        <v/>
      </c>
    </row>
    <row r="1685" ht="15.75" customHeight="1">
      <c r="B1685" s="26"/>
      <c r="K1685" s="5" t="str">
        <f>IF(J1685="Yes",IFERROR(VLOOKUP(C1685,'14_Master_Employees'!A:G,7,FALSE),""),"")</f>
        <v/>
      </c>
      <c r="L1685" s="5" t="str">
        <f t="shared" si="1"/>
        <v/>
      </c>
    </row>
    <row r="1686" ht="15.75" customHeight="1">
      <c r="B1686" s="26"/>
      <c r="K1686" s="5" t="str">
        <f>IF(J1686="Yes",IFERROR(VLOOKUP(C1686,'14_Master_Employees'!A:G,7,FALSE),""),"")</f>
        <v/>
      </c>
      <c r="L1686" s="5" t="str">
        <f t="shared" si="1"/>
        <v/>
      </c>
    </row>
    <row r="1687" ht="15.75" customHeight="1">
      <c r="B1687" s="26"/>
      <c r="K1687" s="5" t="str">
        <f>IF(J1687="Yes",IFERROR(VLOOKUP(C1687,'14_Master_Employees'!A:G,7,FALSE),""),"")</f>
        <v/>
      </c>
      <c r="L1687" s="5" t="str">
        <f t="shared" si="1"/>
        <v/>
      </c>
    </row>
    <row r="1688" ht="15.75" customHeight="1">
      <c r="B1688" s="26"/>
      <c r="K1688" s="5" t="str">
        <f>IF(J1688="Yes",IFERROR(VLOOKUP(C1688,'14_Master_Employees'!A:G,7,FALSE),""),"")</f>
        <v/>
      </c>
      <c r="L1688" s="5" t="str">
        <f t="shared" si="1"/>
        <v/>
      </c>
    </row>
    <row r="1689" ht="15.75" customHeight="1">
      <c r="B1689" s="26"/>
      <c r="K1689" s="5" t="str">
        <f>IF(J1689="Yes",IFERROR(VLOOKUP(C1689,'14_Master_Employees'!A:G,7,FALSE),""),"")</f>
        <v/>
      </c>
      <c r="L1689" s="5" t="str">
        <f t="shared" si="1"/>
        <v/>
      </c>
    </row>
    <row r="1690" ht="15.75" customHeight="1">
      <c r="B1690" s="26"/>
      <c r="K1690" s="5" t="str">
        <f>IF(J1690="Yes",IFERROR(VLOOKUP(C1690,'14_Master_Employees'!A:G,7,FALSE),""),"")</f>
        <v/>
      </c>
      <c r="L1690" s="5" t="str">
        <f t="shared" si="1"/>
        <v/>
      </c>
    </row>
    <row r="1691" ht="15.75" customHeight="1">
      <c r="B1691" s="26"/>
      <c r="K1691" s="5" t="str">
        <f>IF(J1691="Yes",IFERROR(VLOOKUP(C1691,'14_Master_Employees'!A:G,7,FALSE),""),"")</f>
        <v/>
      </c>
      <c r="L1691" s="5" t="str">
        <f t="shared" si="1"/>
        <v/>
      </c>
    </row>
    <row r="1692" ht="15.75" customHeight="1">
      <c r="B1692" s="26"/>
      <c r="K1692" s="5" t="str">
        <f>IF(J1692="Yes",IFERROR(VLOOKUP(C1692,'14_Master_Employees'!A:G,7,FALSE),""),"")</f>
        <v/>
      </c>
      <c r="L1692" s="5" t="str">
        <f t="shared" si="1"/>
        <v/>
      </c>
    </row>
    <row r="1693" ht="15.75" customHeight="1">
      <c r="B1693" s="26"/>
      <c r="K1693" s="5" t="str">
        <f>IF(J1693="Yes",IFERROR(VLOOKUP(C1693,'14_Master_Employees'!A:G,7,FALSE),""),"")</f>
        <v/>
      </c>
      <c r="L1693" s="5" t="str">
        <f t="shared" si="1"/>
        <v/>
      </c>
    </row>
    <row r="1694" ht="15.75" customHeight="1">
      <c r="B1694" s="26"/>
      <c r="K1694" s="5" t="str">
        <f>IF(J1694="Yes",IFERROR(VLOOKUP(C1694,'14_Master_Employees'!A:G,7,FALSE),""),"")</f>
        <v/>
      </c>
      <c r="L1694" s="5" t="str">
        <f t="shared" si="1"/>
        <v/>
      </c>
    </row>
    <row r="1695" ht="15.75" customHeight="1">
      <c r="B1695" s="26"/>
      <c r="K1695" s="5" t="str">
        <f>IF(J1695="Yes",IFERROR(VLOOKUP(C1695,'14_Master_Employees'!A:G,7,FALSE),""),"")</f>
        <v/>
      </c>
      <c r="L1695" s="5" t="str">
        <f t="shared" si="1"/>
        <v/>
      </c>
    </row>
    <row r="1696" ht="15.75" customHeight="1">
      <c r="B1696" s="26"/>
      <c r="K1696" s="5" t="str">
        <f>IF(J1696="Yes",IFERROR(VLOOKUP(C1696,'14_Master_Employees'!A:G,7,FALSE),""),"")</f>
        <v/>
      </c>
      <c r="L1696" s="5" t="str">
        <f t="shared" si="1"/>
        <v/>
      </c>
    </row>
    <row r="1697" ht="15.75" customHeight="1">
      <c r="B1697" s="26"/>
      <c r="K1697" s="5" t="str">
        <f>IF(J1697="Yes",IFERROR(VLOOKUP(C1697,'14_Master_Employees'!A:G,7,FALSE),""),"")</f>
        <v/>
      </c>
      <c r="L1697" s="5" t="str">
        <f t="shared" si="1"/>
        <v/>
      </c>
    </row>
    <row r="1698" ht="15.75" customHeight="1">
      <c r="B1698" s="26"/>
      <c r="K1698" s="5" t="str">
        <f>IF(J1698="Yes",IFERROR(VLOOKUP(C1698,'14_Master_Employees'!A:G,7,FALSE),""),"")</f>
        <v/>
      </c>
      <c r="L1698" s="5" t="str">
        <f t="shared" si="1"/>
        <v/>
      </c>
    </row>
    <row r="1699" ht="15.75" customHeight="1">
      <c r="B1699" s="26"/>
      <c r="K1699" s="5" t="str">
        <f>IF(J1699="Yes",IFERROR(VLOOKUP(C1699,'14_Master_Employees'!A:G,7,FALSE),""),"")</f>
        <v/>
      </c>
      <c r="L1699" s="5" t="str">
        <f t="shared" si="1"/>
        <v/>
      </c>
    </row>
    <row r="1700" ht="15.75" customHeight="1">
      <c r="B1700" s="26"/>
      <c r="K1700" s="5" t="str">
        <f>IF(J1700="Yes",IFERROR(VLOOKUP(C1700,'14_Master_Employees'!A:G,7,FALSE),""),"")</f>
        <v/>
      </c>
      <c r="L1700" s="5" t="str">
        <f t="shared" si="1"/>
        <v/>
      </c>
    </row>
    <row r="1701" ht="15.75" customHeight="1">
      <c r="B1701" s="26"/>
      <c r="K1701" s="5" t="str">
        <f>IF(J1701="Yes",IFERROR(VLOOKUP(C1701,'14_Master_Employees'!A:G,7,FALSE),""),"")</f>
        <v/>
      </c>
      <c r="L1701" s="5" t="str">
        <f t="shared" si="1"/>
        <v/>
      </c>
    </row>
    <row r="1702" ht="15.75" customHeight="1">
      <c r="B1702" s="26"/>
      <c r="K1702" s="5" t="str">
        <f>IF(J1702="Yes",IFERROR(VLOOKUP(C1702,'14_Master_Employees'!A:G,7,FALSE),""),"")</f>
        <v/>
      </c>
      <c r="L1702" s="5" t="str">
        <f t="shared" si="1"/>
        <v/>
      </c>
    </row>
    <row r="1703" ht="15.75" customHeight="1">
      <c r="B1703" s="26"/>
      <c r="K1703" s="5" t="str">
        <f>IF(J1703="Yes",IFERROR(VLOOKUP(C1703,'14_Master_Employees'!A:G,7,FALSE),""),"")</f>
        <v/>
      </c>
      <c r="L1703" s="5" t="str">
        <f t="shared" si="1"/>
        <v/>
      </c>
    </row>
    <row r="1704" ht="15.75" customHeight="1">
      <c r="B1704" s="26"/>
      <c r="K1704" s="5" t="str">
        <f>IF(J1704="Yes",IFERROR(VLOOKUP(C1704,'14_Master_Employees'!A:G,7,FALSE),""),"")</f>
        <v/>
      </c>
      <c r="L1704" s="5" t="str">
        <f t="shared" si="1"/>
        <v/>
      </c>
    </row>
    <row r="1705" ht="15.75" customHeight="1">
      <c r="B1705" s="26"/>
      <c r="K1705" s="5" t="str">
        <f>IF(J1705="Yes",IFERROR(VLOOKUP(C1705,'14_Master_Employees'!A:G,7,FALSE),""),"")</f>
        <v/>
      </c>
      <c r="L1705" s="5" t="str">
        <f t="shared" si="1"/>
        <v/>
      </c>
    </row>
    <row r="1706" ht="15.75" customHeight="1">
      <c r="B1706" s="26"/>
      <c r="K1706" s="5" t="str">
        <f>IF(J1706="Yes",IFERROR(VLOOKUP(C1706,'14_Master_Employees'!A:G,7,FALSE),""),"")</f>
        <v/>
      </c>
      <c r="L1706" s="5" t="str">
        <f t="shared" si="1"/>
        <v/>
      </c>
    </row>
    <row r="1707" ht="15.75" customHeight="1">
      <c r="B1707" s="26"/>
      <c r="K1707" s="5" t="str">
        <f>IF(J1707="Yes",IFERROR(VLOOKUP(C1707,'14_Master_Employees'!A:G,7,FALSE),""),"")</f>
        <v/>
      </c>
      <c r="L1707" s="5" t="str">
        <f t="shared" si="1"/>
        <v/>
      </c>
    </row>
    <row r="1708" ht="15.75" customHeight="1">
      <c r="B1708" s="26"/>
      <c r="K1708" s="5" t="str">
        <f>IF(J1708="Yes",IFERROR(VLOOKUP(C1708,'14_Master_Employees'!A:G,7,FALSE),""),"")</f>
        <v/>
      </c>
      <c r="L1708" s="5" t="str">
        <f t="shared" si="1"/>
        <v/>
      </c>
    </row>
    <row r="1709" ht="15.75" customHeight="1">
      <c r="B1709" s="26"/>
      <c r="K1709" s="5" t="str">
        <f>IF(J1709="Yes",IFERROR(VLOOKUP(C1709,'14_Master_Employees'!A:G,7,FALSE),""),"")</f>
        <v/>
      </c>
      <c r="L1709" s="5" t="str">
        <f t="shared" si="1"/>
        <v/>
      </c>
    </row>
    <row r="1710" ht="15.75" customHeight="1">
      <c r="B1710" s="26"/>
      <c r="K1710" s="5" t="str">
        <f>IF(J1710="Yes",IFERROR(VLOOKUP(C1710,'14_Master_Employees'!A:G,7,FALSE),""),"")</f>
        <v/>
      </c>
      <c r="L1710" s="5" t="str">
        <f t="shared" si="1"/>
        <v/>
      </c>
    </row>
    <row r="1711" ht="15.75" customHeight="1">
      <c r="B1711" s="26"/>
      <c r="K1711" s="5" t="str">
        <f>IF(J1711="Yes",IFERROR(VLOOKUP(C1711,'14_Master_Employees'!A:G,7,FALSE),""),"")</f>
        <v/>
      </c>
      <c r="L1711" s="5" t="str">
        <f t="shared" si="1"/>
        <v/>
      </c>
    </row>
    <row r="1712" ht="15.75" customHeight="1">
      <c r="B1712" s="26"/>
      <c r="K1712" s="5" t="str">
        <f>IF(J1712="Yes",IFERROR(VLOOKUP(C1712,'14_Master_Employees'!A:G,7,FALSE),""),"")</f>
        <v/>
      </c>
      <c r="L1712" s="5" t="str">
        <f t="shared" si="1"/>
        <v/>
      </c>
    </row>
    <row r="1713" ht="15.75" customHeight="1">
      <c r="B1713" s="26"/>
      <c r="K1713" s="5" t="str">
        <f>IF(J1713="Yes",IFERROR(VLOOKUP(C1713,'14_Master_Employees'!A:G,7,FALSE),""),"")</f>
        <v/>
      </c>
      <c r="L1713" s="5" t="str">
        <f t="shared" si="1"/>
        <v/>
      </c>
    </row>
    <row r="1714" ht="15.75" customHeight="1">
      <c r="B1714" s="26"/>
      <c r="K1714" s="5" t="str">
        <f>IF(J1714="Yes",IFERROR(VLOOKUP(C1714,'14_Master_Employees'!A:G,7,FALSE),""),"")</f>
        <v/>
      </c>
      <c r="L1714" s="5" t="str">
        <f t="shared" si="1"/>
        <v/>
      </c>
    </row>
    <row r="1715" ht="15.75" customHeight="1">
      <c r="B1715" s="26"/>
      <c r="K1715" s="5" t="str">
        <f>IF(J1715="Yes",IFERROR(VLOOKUP(C1715,'14_Master_Employees'!A:G,7,FALSE),""),"")</f>
        <v/>
      </c>
      <c r="L1715" s="5" t="str">
        <f t="shared" si="1"/>
        <v/>
      </c>
    </row>
    <row r="1716" ht="15.75" customHeight="1">
      <c r="B1716" s="26"/>
      <c r="K1716" s="5" t="str">
        <f>IF(J1716="Yes",IFERROR(VLOOKUP(C1716,'14_Master_Employees'!A:G,7,FALSE),""),"")</f>
        <v/>
      </c>
      <c r="L1716" s="5" t="str">
        <f t="shared" si="1"/>
        <v/>
      </c>
    </row>
    <row r="1717" ht="15.75" customHeight="1">
      <c r="B1717" s="26"/>
      <c r="K1717" s="5" t="str">
        <f>IF(J1717="Yes",IFERROR(VLOOKUP(C1717,'14_Master_Employees'!A:G,7,FALSE),""),"")</f>
        <v/>
      </c>
      <c r="L1717" s="5" t="str">
        <f t="shared" si="1"/>
        <v/>
      </c>
    </row>
    <row r="1718" ht="15.75" customHeight="1">
      <c r="B1718" s="26"/>
      <c r="K1718" s="5" t="str">
        <f>IF(J1718="Yes",IFERROR(VLOOKUP(C1718,'14_Master_Employees'!A:G,7,FALSE),""),"")</f>
        <v/>
      </c>
      <c r="L1718" s="5" t="str">
        <f t="shared" si="1"/>
        <v/>
      </c>
    </row>
    <row r="1719" ht="15.75" customHeight="1">
      <c r="B1719" s="26"/>
      <c r="K1719" s="5" t="str">
        <f>IF(J1719="Yes",IFERROR(VLOOKUP(C1719,'14_Master_Employees'!A:G,7,FALSE),""),"")</f>
        <v/>
      </c>
      <c r="L1719" s="5" t="str">
        <f t="shared" si="1"/>
        <v/>
      </c>
    </row>
    <row r="1720" ht="15.75" customHeight="1">
      <c r="B1720" s="26"/>
      <c r="K1720" s="5" t="str">
        <f>IF(J1720="Yes",IFERROR(VLOOKUP(C1720,'14_Master_Employees'!A:G,7,FALSE),""),"")</f>
        <v/>
      </c>
      <c r="L1720" s="5" t="str">
        <f t="shared" si="1"/>
        <v/>
      </c>
    </row>
    <row r="1721" ht="15.75" customHeight="1">
      <c r="B1721" s="26"/>
      <c r="K1721" s="5" t="str">
        <f>IF(J1721="Yes",IFERROR(VLOOKUP(C1721,'14_Master_Employees'!A:G,7,FALSE),""),"")</f>
        <v/>
      </c>
      <c r="L1721" s="5" t="str">
        <f t="shared" si="1"/>
        <v/>
      </c>
    </row>
    <row r="1722" ht="15.75" customHeight="1">
      <c r="B1722" s="26"/>
      <c r="K1722" s="5" t="str">
        <f>IF(J1722="Yes",IFERROR(VLOOKUP(C1722,'14_Master_Employees'!A:G,7,FALSE),""),"")</f>
        <v/>
      </c>
      <c r="L1722" s="5" t="str">
        <f t="shared" si="1"/>
        <v/>
      </c>
    </row>
    <row r="1723" ht="15.75" customHeight="1">
      <c r="B1723" s="26"/>
      <c r="K1723" s="5" t="str">
        <f>IF(J1723="Yes",IFERROR(VLOOKUP(C1723,'14_Master_Employees'!A:G,7,FALSE),""),"")</f>
        <v/>
      </c>
      <c r="L1723" s="5" t="str">
        <f t="shared" si="1"/>
        <v/>
      </c>
    </row>
    <row r="1724" ht="15.75" customHeight="1">
      <c r="B1724" s="26"/>
      <c r="K1724" s="5" t="str">
        <f>IF(J1724="Yes",IFERROR(VLOOKUP(C1724,'14_Master_Employees'!A:G,7,FALSE),""),"")</f>
        <v/>
      </c>
      <c r="L1724" s="5" t="str">
        <f t="shared" si="1"/>
        <v/>
      </c>
    </row>
    <row r="1725" ht="15.75" customHeight="1">
      <c r="B1725" s="26"/>
      <c r="K1725" s="5" t="str">
        <f>IF(J1725="Yes",IFERROR(VLOOKUP(C1725,'14_Master_Employees'!A:G,7,FALSE),""),"")</f>
        <v/>
      </c>
      <c r="L1725" s="5" t="str">
        <f t="shared" si="1"/>
        <v/>
      </c>
    </row>
    <row r="1726" ht="15.75" customHeight="1">
      <c r="B1726" s="26"/>
      <c r="K1726" s="5" t="str">
        <f>IF(J1726="Yes",IFERROR(VLOOKUP(C1726,'14_Master_Employees'!A:G,7,FALSE),""),"")</f>
        <v/>
      </c>
      <c r="L1726" s="5" t="str">
        <f t="shared" si="1"/>
        <v/>
      </c>
    </row>
    <row r="1727" ht="15.75" customHeight="1">
      <c r="B1727" s="26"/>
      <c r="K1727" s="5" t="str">
        <f>IF(J1727="Yes",IFERROR(VLOOKUP(C1727,'14_Master_Employees'!A:G,7,FALSE),""),"")</f>
        <v/>
      </c>
      <c r="L1727" s="5" t="str">
        <f t="shared" si="1"/>
        <v/>
      </c>
    </row>
    <row r="1728" ht="15.75" customHeight="1">
      <c r="B1728" s="26"/>
      <c r="K1728" s="5" t="str">
        <f>IF(J1728="Yes",IFERROR(VLOOKUP(C1728,'14_Master_Employees'!A:G,7,FALSE),""),"")</f>
        <v/>
      </c>
      <c r="L1728" s="5" t="str">
        <f t="shared" si="1"/>
        <v/>
      </c>
    </row>
    <row r="1729" ht="15.75" customHeight="1">
      <c r="B1729" s="26"/>
      <c r="K1729" s="5" t="str">
        <f>IF(J1729="Yes",IFERROR(VLOOKUP(C1729,'14_Master_Employees'!A:G,7,FALSE),""),"")</f>
        <v/>
      </c>
      <c r="L1729" s="5" t="str">
        <f t="shared" si="1"/>
        <v/>
      </c>
    </row>
    <row r="1730" ht="15.75" customHeight="1">
      <c r="B1730" s="26"/>
      <c r="K1730" s="5" t="str">
        <f>IF(J1730="Yes",IFERROR(VLOOKUP(C1730,'14_Master_Employees'!A:G,7,FALSE),""),"")</f>
        <v/>
      </c>
      <c r="L1730" s="5" t="str">
        <f t="shared" si="1"/>
        <v/>
      </c>
    </row>
    <row r="1731" ht="15.75" customHeight="1">
      <c r="B1731" s="26"/>
      <c r="K1731" s="5" t="str">
        <f>IF(J1731="Yes",IFERROR(VLOOKUP(C1731,'14_Master_Employees'!A:G,7,FALSE),""),"")</f>
        <v/>
      </c>
      <c r="L1731" s="5" t="str">
        <f t="shared" si="1"/>
        <v/>
      </c>
    </row>
    <row r="1732" ht="15.75" customHeight="1">
      <c r="B1732" s="26"/>
      <c r="K1732" s="5" t="str">
        <f>IF(J1732="Yes",IFERROR(VLOOKUP(C1732,'14_Master_Employees'!A:G,7,FALSE),""),"")</f>
        <v/>
      </c>
      <c r="L1732" s="5" t="str">
        <f t="shared" si="1"/>
        <v/>
      </c>
    </row>
    <row r="1733" ht="15.75" customHeight="1">
      <c r="B1733" s="26"/>
      <c r="K1733" s="5" t="str">
        <f>IF(J1733="Yes",IFERROR(VLOOKUP(C1733,'14_Master_Employees'!A:G,7,FALSE),""),"")</f>
        <v/>
      </c>
      <c r="L1733" s="5" t="str">
        <f t="shared" si="1"/>
        <v/>
      </c>
    </row>
    <row r="1734" ht="15.75" customHeight="1">
      <c r="B1734" s="26"/>
      <c r="K1734" s="5" t="str">
        <f>IF(J1734="Yes",IFERROR(VLOOKUP(C1734,'14_Master_Employees'!A:G,7,FALSE),""),"")</f>
        <v/>
      </c>
      <c r="L1734" s="5" t="str">
        <f t="shared" si="1"/>
        <v/>
      </c>
    </row>
    <row r="1735" ht="15.75" customHeight="1">
      <c r="B1735" s="26"/>
      <c r="K1735" s="5" t="str">
        <f>IF(J1735="Yes",IFERROR(VLOOKUP(C1735,'14_Master_Employees'!A:G,7,FALSE),""),"")</f>
        <v/>
      </c>
      <c r="L1735" s="5" t="str">
        <f t="shared" si="1"/>
        <v/>
      </c>
    </row>
    <row r="1736" ht="15.75" customHeight="1">
      <c r="B1736" s="26"/>
      <c r="K1736" s="5" t="str">
        <f>IF(J1736="Yes",IFERROR(VLOOKUP(C1736,'14_Master_Employees'!A:G,7,FALSE),""),"")</f>
        <v/>
      </c>
      <c r="L1736" s="5" t="str">
        <f t="shared" si="1"/>
        <v/>
      </c>
    </row>
    <row r="1737" ht="15.75" customHeight="1">
      <c r="B1737" s="26"/>
      <c r="K1737" s="5" t="str">
        <f>IF(J1737="Yes",IFERROR(VLOOKUP(C1737,'14_Master_Employees'!A:G,7,FALSE),""),"")</f>
        <v/>
      </c>
      <c r="L1737" s="5" t="str">
        <f t="shared" si="1"/>
        <v/>
      </c>
    </row>
    <row r="1738" ht="15.75" customHeight="1">
      <c r="B1738" s="26"/>
      <c r="K1738" s="5" t="str">
        <f>IF(J1738="Yes",IFERROR(VLOOKUP(C1738,'14_Master_Employees'!A:G,7,FALSE),""),"")</f>
        <v/>
      </c>
      <c r="L1738" s="5" t="str">
        <f t="shared" si="1"/>
        <v/>
      </c>
    </row>
    <row r="1739" ht="15.75" customHeight="1">
      <c r="B1739" s="26"/>
      <c r="K1739" s="5" t="str">
        <f>IF(J1739="Yes",IFERROR(VLOOKUP(C1739,'14_Master_Employees'!A:G,7,FALSE),""),"")</f>
        <v/>
      </c>
      <c r="L1739" s="5" t="str">
        <f t="shared" si="1"/>
        <v/>
      </c>
    </row>
    <row r="1740" ht="15.75" customHeight="1">
      <c r="B1740" s="26"/>
      <c r="K1740" s="5" t="str">
        <f>IF(J1740="Yes",IFERROR(VLOOKUP(C1740,'14_Master_Employees'!A:G,7,FALSE),""),"")</f>
        <v/>
      </c>
      <c r="L1740" s="5" t="str">
        <f t="shared" si="1"/>
        <v/>
      </c>
    </row>
    <row r="1741" ht="15.75" customHeight="1">
      <c r="B1741" s="26"/>
      <c r="K1741" s="5" t="str">
        <f>IF(J1741="Yes",IFERROR(VLOOKUP(C1741,'14_Master_Employees'!A:G,7,FALSE),""),"")</f>
        <v/>
      </c>
      <c r="L1741" s="5" t="str">
        <f t="shared" si="1"/>
        <v/>
      </c>
    </row>
    <row r="1742" ht="15.75" customHeight="1">
      <c r="B1742" s="26"/>
      <c r="K1742" s="5" t="str">
        <f>IF(J1742="Yes",IFERROR(VLOOKUP(C1742,'14_Master_Employees'!A:G,7,FALSE),""),"")</f>
        <v/>
      </c>
      <c r="L1742" s="5" t="str">
        <f t="shared" si="1"/>
        <v/>
      </c>
    </row>
    <row r="1743" ht="15.75" customHeight="1">
      <c r="B1743" s="26"/>
      <c r="K1743" s="5" t="str">
        <f>IF(J1743="Yes",IFERROR(VLOOKUP(C1743,'14_Master_Employees'!A:G,7,FALSE),""),"")</f>
        <v/>
      </c>
      <c r="L1743" s="5" t="str">
        <f t="shared" si="1"/>
        <v/>
      </c>
    </row>
    <row r="1744" ht="15.75" customHeight="1">
      <c r="B1744" s="26"/>
      <c r="K1744" s="5" t="str">
        <f>IF(J1744="Yes",IFERROR(VLOOKUP(C1744,'14_Master_Employees'!A:G,7,FALSE),""),"")</f>
        <v/>
      </c>
      <c r="L1744" s="5" t="str">
        <f t="shared" si="1"/>
        <v/>
      </c>
    </row>
    <row r="1745" ht="15.75" customHeight="1">
      <c r="B1745" s="26"/>
      <c r="K1745" s="5" t="str">
        <f>IF(J1745="Yes",IFERROR(VLOOKUP(C1745,'14_Master_Employees'!A:G,7,FALSE),""),"")</f>
        <v/>
      </c>
      <c r="L1745" s="5" t="str">
        <f t="shared" si="1"/>
        <v/>
      </c>
    </row>
    <row r="1746" ht="15.75" customHeight="1">
      <c r="B1746" s="26"/>
      <c r="K1746" s="5" t="str">
        <f>IF(J1746="Yes",IFERROR(VLOOKUP(C1746,'14_Master_Employees'!A:G,7,FALSE),""),"")</f>
        <v/>
      </c>
      <c r="L1746" s="5" t="str">
        <f t="shared" si="1"/>
        <v/>
      </c>
    </row>
    <row r="1747" ht="15.75" customHeight="1">
      <c r="B1747" s="26"/>
      <c r="K1747" s="5" t="str">
        <f>IF(J1747="Yes",IFERROR(VLOOKUP(C1747,'14_Master_Employees'!A:G,7,FALSE),""),"")</f>
        <v/>
      </c>
      <c r="L1747" s="5" t="str">
        <f t="shared" si="1"/>
        <v/>
      </c>
    </row>
    <row r="1748" ht="15.75" customHeight="1">
      <c r="B1748" s="26"/>
      <c r="K1748" s="5" t="str">
        <f>IF(J1748="Yes",IFERROR(VLOOKUP(C1748,'14_Master_Employees'!A:G,7,FALSE),""),"")</f>
        <v/>
      </c>
      <c r="L1748" s="5" t="str">
        <f t="shared" si="1"/>
        <v/>
      </c>
    </row>
    <row r="1749" ht="15.75" customHeight="1">
      <c r="B1749" s="26"/>
      <c r="K1749" s="5" t="str">
        <f>IF(J1749="Yes",IFERROR(VLOOKUP(C1749,'14_Master_Employees'!A:G,7,FALSE),""),"")</f>
        <v/>
      </c>
      <c r="L1749" s="5" t="str">
        <f t="shared" si="1"/>
        <v/>
      </c>
    </row>
    <row r="1750" ht="15.75" customHeight="1">
      <c r="B1750" s="26"/>
      <c r="K1750" s="5" t="str">
        <f>IF(J1750="Yes",IFERROR(VLOOKUP(C1750,'14_Master_Employees'!A:G,7,FALSE),""),"")</f>
        <v/>
      </c>
      <c r="L1750" s="5" t="str">
        <f t="shared" si="1"/>
        <v/>
      </c>
    </row>
    <row r="1751" ht="15.75" customHeight="1">
      <c r="B1751" s="26"/>
      <c r="K1751" s="5" t="str">
        <f>IF(J1751="Yes",IFERROR(VLOOKUP(C1751,'14_Master_Employees'!A:G,7,FALSE),""),"")</f>
        <v/>
      </c>
      <c r="L1751" s="5" t="str">
        <f t="shared" si="1"/>
        <v/>
      </c>
    </row>
    <row r="1752" ht="15.75" customHeight="1">
      <c r="B1752" s="26"/>
      <c r="K1752" s="5" t="str">
        <f>IF(J1752="Yes",IFERROR(VLOOKUP(C1752,'14_Master_Employees'!A:G,7,FALSE),""),"")</f>
        <v/>
      </c>
      <c r="L1752" s="5" t="str">
        <f t="shared" si="1"/>
        <v/>
      </c>
    </row>
    <row r="1753" ht="15.75" customHeight="1">
      <c r="B1753" s="26"/>
      <c r="K1753" s="5" t="str">
        <f>IF(J1753="Yes",IFERROR(VLOOKUP(C1753,'14_Master_Employees'!A:G,7,FALSE),""),"")</f>
        <v/>
      </c>
      <c r="L1753" s="5" t="str">
        <f t="shared" si="1"/>
        <v/>
      </c>
    </row>
    <row r="1754" ht="15.75" customHeight="1">
      <c r="B1754" s="26"/>
      <c r="K1754" s="5" t="str">
        <f>IF(J1754="Yes",IFERROR(VLOOKUP(C1754,'14_Master_Employees'!A:G,7,FALSE),""),"")</f>
        <v/>
      </c>
      <c r="L1754" s="5" t="str">
        <f t="shared" si="1"/>
        <v/>
      </c>
    </row>
    <row r="1755" ht="15.75" customHeight="1">
      <c r="B1755" s="26"/>
      <c r="K1755" s="5" t="str">
        <f>IF(J1755="Yes",IFERROR(VLOOKUP(C1755,'14_Master_Employees'!A:G,7,FALSE),""),"")</f>
        <v/>
      </c>
      <c r="L1755" s="5" t="str">
        <f t="shared" si="1"/>
        <v/>
      </c>
    </row>
    <row r="1756" ht="15.75" customHeight="1">
      <c r="B1756" s="26"/>
      <c r="K1756" s="5" t="str">
        <f>IF(J1756="Yes",IFERROR(VLOOKUP(C1756,'14_Master_Employees'!A:G,7,FALSE),""),"")</f>
        <v/>
      </c>
      <c r="L1756" s="5" t="str">
        <f t="shared" si="1"/>
        <v/>
      </c>
    </row>
    <row r="1757" ht="15.75" customHeight="1">
      <c r="B1757" s="26"/>
      <c r="K1757" s="5" t="str">
        <f>IF(J1757="Yes",IFERROR(VLOOKUP(C1757,'14_Master_Employees'!A:G,7,FALSE),""),"")</f>
        <v/>
      </c>
      <c r="L1757" s="5" t="str">
        <f t="shared" si="1"/>
        <v/>
      </c>
    </row>
    <row r="1758" ht="15.75" customHeight="1">
      <c r="B1758" s="26"/>
      <c r="K1758" s="5" t="str">
        <f>IF(J1758="Yes",IFERROR(VLOOKUP(C1758,'14_Master_Employees'!A:G,7,FALSE),""),"")</f>
        <v/>
      </c>
      <c r="L1758" s="5" t="str">
        <f t="shared" si="1"/>
        <v/>
      </c>
    </row>
    <row r="1759" ht="15.75" customHeight="1">
      <c r="B1759" s="26"/>
      <c r="K1759" s="5" t="str">
        <f>IF(J1759="Yes",IFERROR(VLOOKUP(C1759,'14_Master_Employees'!A:G,7,FALSE),""),"")</f>
        <v/>
      </c>
      <c r="L1759" s="5" t="str">
        <f t="shared" si="1"/>
        <v/>
      </c>
    </row>
    <row r="1760" ht="15.75" customHeight="1">
      <c r="B1760" s="26"/>
      <c r="K1760" s="5" t="str">
        <f>IF(J1760="Yes",IFERROR(VLOOKUP(C1760,'14_Master_Employees'!A:G,7,FALSE),""),"")</f>
        <v/>
      </c>
      <c r="L1760" s="5" t="str">
        <f t="shared" si="1"/>
        <v/>
      </c>
    </row>
    <row r="1761" ht="15.75" customHeight="1">
      <c r="B1761" s="26"/>
      <c r="K1761" s="5" t="str">
        <f>IF(J1761="Yes",IFERROR(VLOOKUP(C1761,'14_Master_Employees'!A:G,7,FALSE),""),"")</f>
        <v/>
      </c>
      <c r="L1761" s="5" t="str">
        <f t="shared" si="1"/>
        <v/>
      </c>
    </row>
    <row r="1762" ht="15.75" customHeight="1">
      <c r="B1762" s="26"/>
      <c r="K1762" s="5" t="str">
        <f>IF(J1762="Yes",IFERROR(VLOOKUP(C1762,'14_Master_Employees'!A:G,7,FALSE),""),"")</f>
        <v/>
      </c>
      <c r="L1762" s="5" t="str">
        <f t="shared" si="1"/>
        <v/>
      </c>
    </row>
    <row r="1763" ht="15.75" customHeight="1">
      <c r="B1763" s="26"/>
      <c r="K1763" s="5" t="str">
        <f>IF(J1763="Yes",IFERROR(VLOOKUP(C1763,'14_Master_Employees'!A:G,7,FALSE),""),"")</f>
        <v/>
      </c>
      <c r="L1763" s="5" t="str">
        <f t="shared" si="1"/>
        <v/>
      </c>
    </row>
    <row r="1764" ht="15.75" customHeight="1">
      <c r="B1764" s="26"/>
      <c r="K1764" s="5" t="str">
        <f>IF(J1764="Yes",IFERROR(VLOOKUP(C1764,'14_Master_Employees'!A:G,7,FALSE),""),"")</f>
        <v/>
      </c>
      <c r="L1764" s="5" t="str">
        <f t="shared" si="1"/>
        <v/>
      </c>
    </row>
    <row r="1765" ht="15.75" customHeight="1">
      <c r="B1765" s="26"/>
      <c r="K1765" s="5" t="str">
        <f>IF(J1765="Yes",IFERROR(VLOOKUP(C1765,'14_Master_Employees'!A:G,7,FALSE),""),"")</f>
        <v/>
      </c>
      <c r="L1765" s="5" t="str">
        <f t="shared" si="1"/>
        <v/>
      </c>
    </row>
    <row r="1766" ht="15.75" customHeight="1">
      <c r="B1766" s="26"/>
      <c r="K1766" s="5" t="str">
        <f>IF(J1766="Yes",IFERROR(VLOOKUP(C1766,'14_Master_Employees'!A:G,7,FALSE),""),"")</f>
        <v/>
      </c>
      <c r="L1766" s="5" t="str">
        <f t="shared" si="1"/>
        <v/>
      </c>
    </row>
    <row r="1767" ht="15.75" customHeight="1">
      <c r="B1767" s="26"/>
      <c r="K1767" s="5" t="str">
        <f>IF(J1767="Yes",IFERROR(VLOOKUP(C1767,'14_Master_Employees'!A:G,7,FALSE),""),"")</f>
        <v/>
      </c>
      <c r="L1767" s="5" t="str">
        <f t="shared" si="1"/>
        <v/>
      </c>
    </row>
    <row r="1768" ht="15.75" customHeight="1">
      <c r="B1768" s="26"/>
      <c r="K1768" s="5" t="str">
        <f>IF(J1768="Yes",IFERROR(VLOOKUP(C1768,'14_Master_Employees'!A:G,7,FALSE),""),"")</f>
        <v/>
      </c>
      <c r="L1768" s="5" t="str">
        <f t="shared" si="1"/>
        <v/>
      </c>
    </row>
    <row r="1769" ht="15.75" customHeight="1">
      <c r="B1769" s="26"/>
      <c r="K1769" s="5" t="str">
        <f>IF(J1769="Yes",IFERROR(VLOOKUP(C1769,'14_Master_Employees'!A:G,7,FALSE),""),"")</f>
        <v/>
      </c>
      <c r="L1769" s="5" t="str">
        <f t="shared" si="1"/>
        <v/>
      </c>
    </row>
    <row r="1770" ht="15.75" customHeight="1">
      <c r="B1770" s="26"/>
      <c r="K1770" s="5" t="str">
        <f>IF(J1770="Yes",IFERROR(VLOOKUP(C1770,'14_Master_Employees'!A:G,7,FALSE),""),"")</f>
        <v/>
      </c>
      <c r="L1770" s="5" t="str">
        <f t="shared" si="1"/>
        <v/>
      </c>
    </row>
    <row r="1771" ht="15.75" customHeight="1">
      <c r="B1771" s="26"/>
      <c r="K1771" s="5" t="str">
        <f>IF(J1771="Yes",IFERROR(VLOOKUP(C1771,'14_Master_Employees'!A:G,7,FALSE),""),"")</f>
        <v/>
      </c>
      <c r="L1771" s="5" t="str">
        <f t="shared" si="1"/>
        <v/>
      </c>
    </row>
    <row r="1772" ht="15.75" customHeight="1">
      <c r="B1772" s="26"/>
      <c r="K1772" s="5" t="str">
        <f>IF(J1772="Yes",IFERROR(VLOOKUP(C1772,'14_Master_Employees'!A:G,7,FALSE),""),"")</f>
        <v/>
      </c>
      <c r="L1772" s="5" t="str">
        <f t="shared" si="1"/>
        <v/>
      </c>
    </row>
    <row r="1773" ht="15.75" customHeight="1">
      <c r="B1773" s="26"/>
      <c r="K1773" s="5" t="str">
        <f>IF(J1773="Yes",IFERROR(VLOOKUP(C1773,'14_Master_Employees'!A:G,7,FALSE),""),"")</f>
        <v/>
      </c>
      <c r="L1773" s="5" t="str">
        <f t="shared" si="1"/>
        <v/>
      </c>
    </row>
    <row r="1774" ht="15.75" customHeight="1">
      <c r="B1774" s="26"/>
      <c r="K1774" s="5" t="str">
        <f>IF(J1774="Yes",IFERROR(VLOOKUP(C1774,'14_Master_Employees'!A:G,7,FALSE),""),"")</f>
        <v/>
      </c>
      <c r="L1774" s="5" t="str">
        <f t="shared" si="1"/>
        <v/>
      </c>
    </row>
    <row r="1775" ht="15.75" customHeight="1">
      <c r="B1775" s="26"/>
      <c r="K1775" s="5" t="str">
        <f>IF(J1775="Yes",IFERROR(VLOOKUP(C1775,'14_Master_Employees'!A:G,7,FALSE),""),"")</f>
        <v/>
      </c>
      <c r="L1775" s="5" t="str">
        <f t="shared" si="1"/>
        <v/>
      </c>
    </row>
    <row r="1776" ht="15.75" customHeight="1">
      <c r="B1776" s="26"/>
      <c r="K1776" s="5" t="str">
        <f>IF(J1776="Yes",IFERROR(VLOOKUP(C1776,'14_Master_Employees'!A:G,7,FALSE),""),"")</f>
        <v/>
      </c>
      <c r="L1776" s="5" t="str">
        <f t="shared" si="1"/>
        <v/>
      </c>
    </row>
    <row r="1777" ht="15.75" customHeight="1">
      <c r="B1777" s="26"/>
      <c r="K1777" s="5" t="str">
        <f>IF(J1777="Yes",IFERROR(VLOOKUP(C1777,'14_Master_Employees'!A:G,7,FALSE),""),"")</f>
        <v/>
      </c>
      <c r="L1777" s="5" t="str">
        <f t="shared" si="1"/>
        <v/>
      </c>
    </row>
    <row r="1778" ht="15.75" customHeight="1">
      <c r="B1778" s="26"/>
      <c r="K1778" s="5" t="str">
        <f>IF(J1778="Yes",IFERROR(VLOOKUP(C1778,'14_Master_Employees'!A:G,7,FALSE),""),"")</f>
        <v/>
      </c>
      <c r="L1778" s="5" t="str">
        <f t="shared" si="1"/>
        <v/>
      </c>
    </row>
    <row r="1779" ht="15.75" customHeight="1">
      <c r="B1779" s="26"/>
      <c r="K1779" s="5" t="str">
        <f>IF(J1779="Yes",IFERROR(VLOOKUP(C1779,'14_Master_Employees'!A:G,7,FALSE),""),"")</f>
        <v/>
      </c>
      <c r="L1779" s="5" t="str">
        <f t="shared" si="1"/>
        <v/>
      </c>
    </row>
    <row r="1780" ht="15.75" customHeight="1">
      <c r="B1780" s="26"/>
      <c r="K1780" s="5" t="str">
        <f>IF(J1780="Yes",IFERROR(VLOOKUP(C1780,'14_Master_Employees'!A:G,7,FALSE),""),"")</f>
        <v/>
      </c>
      <c r="L1780" s="5" t="str">
        <f t="shared" si="1"/>
        <v/>
      </c>
    </row>
    <row r="1781" ht="15.75" customHeight="1">
      <c r="B1781" s="26"/>
      <c r="K1781" s="5" t="str">
        <f>IF(J1781="Yes",IFERROR(VLOOKUP(C1781,'14_Master_Employees'!A:G,7,FALSE),""),"")</f>
        <v/>
      </c>
      <c r="L1781" s="5" t="str">
        <f t="shared" si="1"/>
        <v/>
      </c>
    </row>
    <row r="1782" ht="15.75" customHeight="1">
      <c r="B1782" s="26"/>
      <c r="K1782" s="5" t="str">
        <f>IF(J1782="Yes",IFERROR(VLOOKUP(C1782,'14_Master_Employees'!A:G,7,FALSE),""),"")</f>
        <v/>
      </c>
      <c r="L1782" s="5" t="str">
        <f t="shared" si="1"/>
        <v/>
      </c>
    </row>
    <row r="1783" ht="15.75" customHeight="1">
      <c r="B1783" s="26"/>
      <c r="K1783" s="5" t="str">
        <f>IF(J1783="Yes",IFERROR(VLOOKUP(C1783,'14_Master_Employees'!A:G,7,FALSE),""),"")</f>
        <v/>
      </c>
      <c r="L1783" s="5" t="str">
        <f t="shared" si="1"/>
        <v/>
      </c>
    </row>
    <row r="1784" ht="15.75" customHeight="1">
      <c r="B1784" s="26"/>
      <c r="K1784" s="5" t="str">
        <f>IF(J1784="Yes",IFERROR(VLOOKUP(C1784,'14_Master_Employees'!A:G,7,FALSE),""),"")</f>
        <v/>
      </c>
      <c r="L1784" s="5" t="str">
        <f t="shared" si="1"/>
        <v/>
      </c>
    </row>
    <row r="1785" ht="15.75" customHeight="1">
      <c r="B1785" s="26"/>
      <c r="K1785" s="5" t="str">
        <f>IF(J1785="Yes",IFERROR(VLOOKUP(C1785,'14_Master_Employees'!A:G,7,FALSE),""),"")</f>
        <v/>
      </c>
      <c r="L1785" s="5" t="str">
        <f t="shared" si="1"/>
        <v/>
      </c>
    </row>
    <row r="1786" ht="15.75" customHeight="1">
      <c r="B1786" s="26"/>
      <c r="K1786" s="5" t="str">
        <f>IF(J1786="Yes",IFERROR(VLOOKUP(C1786,'14_Master_Employees'!A:G,7,FALSE),""),"")</f>
        <v/>
      </c>
      <c r="L1786" s="5" t="str">
        <f t="shared" si="1"/>
        <v/>
      </c>
    </row>
    <row r="1787" ht="15.75" customHeight="1">
      <c r="B1787" s="26"/>
      <c r="K1787" s="5" t="str">
        <f>IF(J1787="Yes",IFERROR(VLOOKUP(C1787,'14_Master_Employees'!A:G,7,FALSE),""),"")</f>
        <v/>
      </c>
      <c r="L1787" s="5" t="str">
        <f t="shared" si="1"/>
        <v/>
      </c>
    </row>
    <row r="1788" ht="15.75" customHeight="1">
      <c r="B1788" s="26"/>
      <c r="K1788" s="5" t="str">
        <f>IF(J1788="Yes",IFERROR(VLOOKUP(C1788,'14_Master_Employees'!A:G,7,FALSE),""),"")</f>
        <v/>
      </c>
      <c r="L1788" s="5" t="str">
        <f t="shared" si="1"/>
        <v/>
      </c>
    </row>
    <row r="1789" ht="15.75" customHeight="1">
      <c r="B1789" s="26"/>
      <c r="K1789" s="5" t="str">
        <f>IF(J1789="Yes",IFERROR(VLOOKUP(C1789,'14_Master_Employees'!A:G,7,FALSE),""),"")</f>
        <v/>
      </c>
      <c r="L1789" s="5" t="str">
        <f t="shared" si="1"/>
        <v/>
      </c>
    </row>
    <row r="1790" ht="15.75" customHeight="1">
      <c r="B1790" s="26"/>
      <c r="K1790" s="5" t="str">
        <f>IF(J1790="Yes",IFERROR(VLOOKUP(C1790,'14_Master_Employees'!A:G,7,FALSE),""),"")</f>
        <v/>
      </c>
      <c r="L1790" s="5" t="str">
        <f t="shared" si="1"/>
        <v/>
      </c>
    </row>
    <row r="1791" ht="15.75" customHeight="1">
      <c r="B1791" s="26"/>
      <c r="K1791" s="5" t="str">
        <f>IF(J1791="Yes",IFERROR(VLOOKUP(C1791,'14_Master_Employees'!A:G,7,FALSE),""),"")</f>
        <v/>
      </c>
      <c r="L1791" s="5" t="str">
        <f t="shared" si="1"/>
        <v/>
      </c>
    </row>
    <row r="1792" ht="15.75" customHeight="1">
      <c r="B1792" s="26"/>
      <c r="K1792" s="5" t="str">
        <f>IF(J1792="Yes",IFERROR(VLOOKUP(C1792,'14_Master_Employees'!A:G,7,FALSE),""),"")</f>
        <v/>
      </c>
      <c r="L1792" s="5" t="str">
        <f t="shared" si="1"/>
        <v/>
      </c>
    </row>
    <row r="1793" ht="15.75" customHeight="1">
      <c r="B1793" s="26"/>
      <c r="K1793" s="5" t="str">
        <f>IF(J1793="Yes",IFERROR(VLOOKUP(C1793,'14_Master_Employees'!A:G,7,FALSE),""),"")</f>
        <v/>
      </c>
      <c r="L1793" s="5" t="str">
        <f t="shared" si="1"/>
        <v/>
      </c>
    </row>
    <row r="1794" ht="15.75" customHeight="1">
      <c r="B1794" s="26"/>
      <c r="K1794" s="5" t="str">
        <f>IF(J1794="Yes",IFERROR(VLOOKUP(C1794,'14_Master_Employees'!A:G,7,FALSE),""),"")</f>
        <v/>
      </c>
      <c r="L1794" s="5" t="str">
        <f t="shared" si="1"/>
        <v/>
      </c>
    </row>
    <row r="1795" ht="15.75" customHeight="1">
      <c r="B1795" s="26"/>
      <c r="K1795" s="5" t="str">
        <f>IF(J1795="Yes",IFERROR(VLOOKUP(C1795,'14_Master_Employees'!A:G,7,FALSE),""),"")</f>
        <v/>
      </c>
      <c r="L1795" s="5" t="str">
        <f t="shared" si="1"/>
        <v/>
      </c>
    </row>
    <row r="1796" ht="15.75" customHeight="1">
      <c r="B1796" s="26"/>
      <c r="K1796" s="5" t="str">
        <f>IF(J1796="Yes",IFERROR(VLOOKUP(C1796,'14_Master_Employees'!A:G,7,FALSE),""),"")</f>
        <v/>
      </c>
      <c r="L1796" s="5" t="str">
        <f t="shared" si="1"/>
        <v/>
      </c>
    </row>
    <row r="1797" ht="15.75" customHeight="1">
      <c r="B1797" s="26"/>
      <c r="K1797" s="5" t="str">
        <f>IF(J1797="Yes",IFERROR(VLOOKUP(C1797,'14_Master_Employees'!A:G,7,FALSE),""),"")</f>
        <v/>
      </c>
      <c r="L1797" s="5" t="str">
        <f t="shared" si="1"/>
        <v/>
      </c>
    </row>
    <row r="1798" ht="15.75" customHeight="1">
      <c r="B1798" s="26"/>
      <c r="K1798" s="5" t="str">
        <f>IF(J1798="Yes",IFERROR(VLOOKUP(C1798,'14_Master_Employees'!A:G,7,FALSE),""),"")</f>
        <v/>
      </c>
      <c r="L1798" s="5" t="str">
        <f t="shared" si="1"/>
        <v/>
      </c>
    </row>
    <row r="1799" ht="15.75" customHeight="1">
      <c r="B1799" s="26"/>
      <c r="K1799" s="5" t="str">
        <f>IF(J1799="Yes",IFERROR(VLOOKUP(C1799,'14_Master_Employees'!A:G,7,FALSE),""),"")</f>
        <v/>
      </c>
      <c r="L1799" s="5" t="str">
        <f t="shared" si="1"/>
        <v/>
      </c>
    </row>
    <row r="1800" ht="15.75" customHeight="1">
      <c r="B1800" s="26"/>
      <c r="K1800" s="5" t="str">
        <f>IF(J1800="Yes",IFERROR(VLOOKUP(C1800,'14_Master_Employees'!A:G,7,FALSE),""),"")</f>
        <v/>
      </c>
      <c r="L1800" s="5" t="str">
        <f t="shared" si="1"/>
        <v/>
      </c>
    </row>
    <row r="1801" ht="15.75" customHeight="1">
      <c r="B1801" s="26"/>
      <c r="K1801" s="5" t="str">
        <f>IF(J1801="Yes",IFERROR(VLOOKUP(C1801,'14_Master_Employees'!A:G,7,FALSE),""),"")</f>
        <v/>
      </c>
      <c r="L1801" s="5" t="str">
        <f t="shared" si="1"/>
        <v/>
      </c>
    </row>
    <row r="1802" ht="15.75" customHeight="1">
      <c r="B1802" s="26"/>
      <c r="K1802" s="5" t="str">
        <f>IF(J1802="Yes",IFERROR(VLOOKUP(C1802,'14_Master_Employees'!A:G,7,FALSE),""),"")</f>
        <v/>
      </c>
      <c r="L1802" s="5" t="str">
        <f t="shared" si="1"/>
        <v/>
      </c>
    </row>
    <row r="1803" ht="15.75" customHeight="1">
      <c r="B1803" s="26"/>
      <c r="K1803" s="5" t="str">
        <f>IF(J1803="Yes",IFERROR(VLOOKUP(C1803,'14_Master_Employees'!A:G,7,FALSE),""),"")</f>
        <v/>
      </c>
      <c r="L1803" s="5" t="str">
        <f t="shared" si="1"/>
        <v/>
      </c>
    </row>
    <row r="1804" ht="15.75" customHeight="1">
      <c r="B1804" s="26"/>
      <c r="K1804" s="5" t="str">
        <f>IF(J1804="Yes",IFERROR(VLOOKUP(C1804,'14_Master_Employees'!A:G,7,FALSE),""),"")</f>
        <v/>
      </c>
      <c r="L1804" s="5" t="str">
        <f t="shared" si="1"/>
        <v/>
      </c>
    </row>
    <row r="1805" ht="15.75" customHeight="1">
      <c r="B1805" s="26"/>
      <c r="K1805" s="5" t="str">
        <f>IF(J1805="Yes",IFERROR(VLOOKUP(C1805,'14_Master_Employees'!A:G,7,FALSE),""),"")</f>
        <v/>
      </c>
      <c r="L1805" s="5" t="str">
        <f t="shared" si="1"/>
        <v/>
      </c>
    </row>
    <row r="1806" ht="15.75" customHeight="1">
      <c r="B1806" s="26"/>
      <c r="K1806" s="5" t="str">
        <f>IF(J1806="Yes",IFERROR(VLOOKUP(C1806,'14_Master_Employees'!A:G,7,FALSE),""),"")</f>
        <v/>
      </c>
      <c r="L1806" s="5" t="str">
        <f t="shared" si="1"/>
        <v/>
      </c>
    </row>
    <row r="1807" ht="15.75" customHeight="1">
      <c r="B1807" s="26"/>
      <c r="K1807" s="5" t="str">
        <f>IF(J1807="Yes",IFERROR(VLOOKUP(C1807,'14_Master_Employees'!A:G,7,FALSE),""),"")</f>
        <v/>
      </c>
      <c r="L1807" s="5" t="str">
        <f t="shared" si="1"/>
        <v/>
      </c>
    </row>
    <row r="1808" ht="15.75" customHeight="1">
      <c r="B1808" s="26"/>
      <c r="K1808" s="5" t="str">
        <f>IF(J1808="Yes",IFERROR(VLOOKUP(C1808,'14_Master_Employees'!A:G,7,FALSE),""),"")</f>
        <v/>
      </c>
      <c r="L1808" s="5" t="str">
        <f t="shared" si="1"/>
        <v/>
      </c>
    </row>
    <row r="1809" ht="15.75" customHeight="1">
      <c r="B1809" s="26"/>
      <c r="K1809" s="5" t="str">
        <f>IF(J1809="Yes",IFERROR(VLOOKUP(C1809,'14_Master_Employees'!A:G,7,FALSE),""),"")</f>
        <v/>
      </c>
      <c r="L1809" s="5" t="str">
        <f t="shared" si="1"/>
        <v/>
      </c>
    </row>
    <row r="1810" ht="15.75" customHeight="1">
      <c r="B1810" s="26"/>
      <c r="K1810" s="5" t="str">
        <f>IF(J1810="Yes",IFERROR(VLOOKUP(C1810,'14_Master_Employees'!A:G,7,FALSE),""),"")</f>
        <v/>
      </c>
      <c r="L1810" s="5" t="str">
        <f t="shared" si="1"/>
        <v/>
      </c>
    </row>
    <row r="1811" ht="15.75" customHeight="1">
      <c r="B1811" s="26"/>
      <c r="K1811" s="5" t="str">
        <f>IF(J1811="Yes",IFERROR(VLOOKUP(C1811,'14_Master_Employees'!A:G,7,FALSE),""),"")</f>
        <v/>
      </c>
      <c r="L1811" s="5" t="str">
        <f t="shared" si="1"/>
        <v/>
      </c>
    </row>
    <row r="1812" ht="15.75" customHeight="1">
      <c r="B1812" s="26"/>
      <c r="K1812" s="5" t="str">
        <f>IF(J1812="Yes",IFERROR(VLOOKUP(C1812,'14_Master_Employees'!A:G,7,FALSE),""),"")</f>
        <v/>
      </c>
      <c r="L1812" s="5" t="str">
        <f t="shared" si="1"/>
        <v/>
      </c>
    </row>
    <row r="1813" ht="15.75" customHeight="1">
      <c r="B1813" s="26"/>
      <c r="K1813" s="5" t="str">
        <f>IF(J1813="Yes",IFERROR(VLOOKUP(C1813,'14_Master_Employees'!A:G,7,FALSE),""),"")</f>
        <v/>
      </c>
      <c r="L1813" s="5" t="str">
        <f t="shared" si="1"/>
        <v/>
      </c>
    </row>
    <row r="1814" ht="15.75" customHeight="1">
      <c r="B1814" s="26"/>
      <c r="K1814" s="5" t="str">
        <f>IF(J1814="Yes",IFERROR(VLOOKUP(C1814,'14_Master_Employees'!A:G,7,FALSE),""),"")</f>
        <v/>
      </c>
      <c r="L1814" s="5" t="str">
        <f t="shared" si="1"/>
        <v/>
      </c>
    </row>
    <row r="1815" ht="15.75" customHeight="1">
      <c r="B1815" s="26"/>
      <c r="K1815" s="5" t="str">
        <f>IF(J1815="Yes",IFERROR(VLOOKUP(C1815,'14_Master_Employees'!A:G,7,FALSE),""),"")</f>
        <v/>
      </c>
      <c r="L1815" s="5" t="str">
        <f t="shared" si="1"/>
        <v/>
      </c>
    </row>
    <row r="1816" ht="15.75" customHeight="1">
      <c r="B1816" s="26"/>
      <c r="K1816" s="5" t="str">
        <f>IF(J1816="Yes",IFERROR(VLOOKUP(C1816,'14_Master_Employees'!A:G,7,FALSE),""),"")</f>
        <v/>
      </c>
      <c r="L1816" s="5" t="str">
        <f t="shared" si="1"/>
        <v/>
      </c>
    </row>
    <row r="1817" ht="15.75" customHeight="1">
      <c r="B1817" s="26"/>
      <c r="K1817" s="5" t="str">
        <f>IF(J1817="Yes",IFERROR(VLOOKUP(C1817,'14_Master_Employees'!A:G,7,FALSE),""),"")</f>
        <v/>
      </c>
      <c r="L1817" s="5" t="str">
        <f t="shared" si="1"/>
        <v/>
      </c>
    </row>
    <row r="1818" ht="15.75" customHeight="1">
      <c r="B1818" s="26"/>
      <c r="K1818" s="5" t="str">
        <f>IF(J1818="Yes",IFERROR(VLOOKUP(C1818,'14_Master_Employees'!A:G,7,FALSE),""),"")</f>
        <v/>
      </c>
      <c r="L1818" s="5" t="str">
        <f t="shared" si="1"/>
        <v/>
      </c>
    </row>
    <row r="1819" ht="15.75" customHeight="1">
      <c r="B1819" s="26"/>
      <c r="K1819" s="5" t="str">
        <f>IF(J1819="Yes",IFERROR(VLOOKUP(C1819,'14_Master_Employees'!A:G,7,FALSE),""),"")</f>
        <v/>
      </c>
      <c r="L1819" s="5" t="str">
        <f t="shared" si="1"/>
        <v/>
      </c>
    </row>
    <row r="1820" ht="15.75" customHeight="1">
      <c r="B1820" s="26"/>
      <c r="K1820" s="5" t="str">
        <f>IF(J1820="Yes",IFERROR(VLOOKUP(C1820,'14_Master_Employees'!A:G,7,FALSE),""),"")</f>
        <v/>
      </c>
      <c r="L1820" s="5" t="str">
        <f t="shared" si="1"/>
        <v/>
      </c>
    </row>
    <row r="1821" ht="15.75" customHeight="1">
      <c r="B1821" s="26"/>
      <c r="K1821" s="5" t="str">
        <f>IF(J1821="Yes",IFERROR(VLOOKUP(C1821,'14_Master_Employees'!A:G,7,FALSE),""),"")</f>
        <v/>
      </c>
      <c r="L1821" s="5" t="str">
        <f t="shared" si="1"/>
        <v/>
      </c>
    </row>
    <row r="1822" ht="15.75" customHeight="1">
      <c r="B1822" s="26"/>
      <c r="K1822" s="5" t="str">
        <f>IF(J1822="Yes",IFERROR(VLOOKUP(C1822,'14_Master_Employees'!A:G,7,FALSE),""),"")</f>
        <v/>
      </c>
      <c r="L1822" s="5" t="str">
        <f t="shared" si="1"/>
        <v/>
      </c>
    </row>
    <row r="1823" ht="15.75" customHeight="1">
      <c r="B1823" s="26"/>
      <c r="K1823" s="5" t="str">
        <f>IF(J1823="Yes",IFERROR(VLOOKUP(C1823,'14_Master_Employees'!A:G,7,FALSE),""),"")</f>
        <v/>
      </c>
      <c r="L1823" s="5" t="str">
        <f t="shared" si="1"/>
        <v/>
      </c>
    </row>
    <row r="1824" ht="15.75" customHeight="1">
      <c r="B1824" s="26"/>
      <c r="K1824" s="5" t="str">
        <f>IF(J1824="Yes",IFERROR(VLOOKUP(C1824,'14_Master_Employees'!A:G,7,FALSE),""),"")</f>
        <v/>
      </c>
      <c r="L1824" s="5" t="str">
        <f t="shared" si="1"/>
        <v/>
      </c>
    </row>
    <row r="1825" ht="15.75" customHeight="1">
      <c r="B1825" s="26"/>
      <c r="K1825" s="5" t="str">
        <f>IF(J1825="Yes",IFERROR(VLOOKUP(C1825,'14_Master_Employees'!A:G,7,FALSE),""),"")</f>
        <v/>
      </c>
      <c r="L1825" s="5" t="str">
        <f t="shared" si="1"/>
        <v/>
      </c>
    </row>
    <row r="1826" ht="15.75" customHeight="1">
      <c r="B1826" s="26"/>
      <c r="K1826" s="5" t="str">
        <f>IF(J1826="Yes",IFERROR(VLOOKUP(C1826,'14_Master_Employees'!A:G,7,FALSE),""),"")</f>
        <v/>
      </c>
      <c r="L1826" s="5" t="str">
        <f t="shared" si="1"/>
        <v/>
      </c>
    </row>
    <row r="1827" ht="15.75" customHeight="1">
      <c r="B1827" s="26"/>
      <c r="K1827" s="5" t="str">
        <f>IF(J1827="Yes",IFERROR(VLOOKUP(C1827,'14_Master_Employees'!A:G,7,FALSE),""),"")</f>
        <v/>
      </c>
      <c r="L1827" s="5" t="str">
        <f t="shared" si="1"/>
        <v/>
      </c>
    </row>
    <row r="1828" ht="15.75" customHeight="1">
      <c r="B1828" s="26"/>
      <c r="K1828" s="5" t="str">
        <f>IF(J1828="Yes",IFERROR(VLOOKUP(C1828,'14_Master_Employees'!A:G,7,FALSE),""),"")</f>
        <v/>
      </c>
      <c r="L1828" s="5" t="str">
        <f t="shared" si="1"/>
        <v/>
      </c>
    </row>
    <row r="1829" ht="15.75" customHeight="1">
      <c r="B1829" s="26"/>
      <c r="K1829" s="5" t="str">
        <f>IF(J1829="Yes",IFERROR(VLOOKUP(C1829,'14_Master_Employees'!A:G,7,FALSE),""),"")</f>
        <v/>
      </c>
      <c r="L1829" s="5" t="str">
        <f t="shared" si="1"/>
        <v/>
      </c>
    </row>
    <row r="1830" ht="15.75" customHeight="1">
      <c r="B1830" s="26"/>
      <c r="K1830" s="5" t="str">
        <f>IF(J1830="Yes",IFERROR(VLOOKUP(C1830,'14_Master_Employees'!A:G,7,FALSE),""),"")</f>
        <v/>
      </c>
      <c r="L1830" s="5" t="str">
        <f t="shared" si="1"/>
        <v/>
      </c>
    </row>
    <row r="1831" ht="15.75" customHeight="1">
      <c r="B1831" s="26"/>
      <c r="K1831" s="5" t="str">
        <f>IF(J1831="Yes",IFERROR(VLOOKUP(C1831,'14_Master_Employees'!A:G,7,FALSE),""),"")</f>
        <v/>
      </c>
      <c r="L1831" s="5" t="str">
        <f t="shared" si="1"/>
        <v/>
      </c>
    </row>
    <row r="1832" ht="15.75" customHeight="1">
      <c r="B1832" s="26"/>
      <c r="K1832" s="5" t="str">
        <f>IF(J1832="Yes",IFERROR(VLOOKUP(C1832,'14_Master_Employees'!A:G,7,FALSE),""),"")</f>
        <v/>
      </c>
      <c r="L1832" s="5" t="str">
        <f t="shared" si="1"/>
        <v/>
      </c>
    </row>
    <row r="1833" ht="15.75" customHeight="1">
      <c r="B1833" s="26"/>
      <c r="K1833" s="5" t="str">
        <f>IF(J1833="Yes",IFERROR(VLOOKUP(C1833,'14_Master_Employees'!A:G,7,FALSE),""),"")</f>
        <v/>
      </c>
      <c r="L1833" s="5" t="str">
        <f t="shared" si="1"/>
        <v/>
      </c>
    </row>
    <row r="1834" ht="15.75" customHeight="1">
      <c r="B1834" s="26"/>
      <c r="K1834" s="5" t="str">
        <f>IF(J1834="Yes",IFERROR(VLOOKUP(C1834,'14_Master_Employees'!A:G,7,FALSE),""),"")</f>
        <v/>
      </c>
      <c r="L1834" s="5" t="str">
        <f t="shared" si="1"/>
        <v/>
      </c>
    </row>
    <row r="1835" ht="15.75" customHeight="1">
      <c r="B1835" s="26"/>
      <c r="K1835" s="5" t="str">
        <f>IF(J1835="Yes",IFERROR(VLOOKUP(C1835,'14_Master_Employees'!A:G,7,FALSE),""),"")</f>
        <v/>
      </c>
      <c r="L1835" s="5" t="str">
        <f t="shared" si="1"/>
        <v/>
      </c>
    </row>
    <row r="1836" ht="15.75" customHeight="1">
      <c r="B1836" s="26"/>
      <c r="K1836" s="5" t="str">
        <f>IF(J1836="Yes",IFERROR(VLOOKUP(C1836,'14_Master_Employees'!A:G,7,FALSE),""),"")</f>
        <v/>
      </c>
      <c r="L1836" s="5" t="str">
        <f t="shared" si="1"/>
        <v/>
      </c>
    </row>
    <row r="1837" ht="15.75" customHeight="1">
      <c r="B1837" s="26"/>
      <c r="K1837" s="5" t="str">
        <f>IF(J1837="Yes",IFERROR(VLOOKUP(C1837,'14_Master_Employees'!A:G,7,FALSE),""),"")</f>
        <v/>
      </c>
      <c r="L1837" s="5" t="str">
        <f t="shared" si="1"/>
        <v/>
      </c>
    </row>
    <row r="1838" ht="15.75" customHeight="1">
      <c r="B1838" s="26"/>
      <c r="K1838" s="5" t="str">
        <f>IF(J1838="Yes",IFERROR(VLOOKUP(C1838,'14_Master_Employees'!A:G,7,FALSE),""),"")</f>
        <v/>
      </c>
      <c r="L1838" s="5" t="str">
        <f t="shared" si="1"/>
        <v/>
      </c>
    </row>
    <row r="1839" ht="15.75" customHeight="1">
      <c r="B1839" s="26"/>
      <c r="K1839" s="5" t="str">
        <f>IF(J1839="Yes",IFERROR(VLOOKUP(C1839,'14_Master_Employees'!A:G,7,FALSE),""),"")</f>
        <v/>
      </c>
      <c r="L1839" s="5" t="str">
        <f t="shared" si="1"/>
        <v/>
      </c>
    </row>
    <row r="1840" ht="15.75" customHeight="1">
      <c r="B1840" s="26"/>
      <c r="K1840" s="5" t="str">
        <f>IF(J1840="Yes",IFERROR(VLOOKUP(C1840,'14_Master_Employees'!A:G,7,FALSE),""),"")</f>
        <v/>
      </c>
      <c r="L1840" s="5" t="str">
        <f t="shared" si="1"/>
        <v/>
      </c>
    </row>
    <row r="1841" ht="15.75" customHeight="1">
      <c r="B1841" s="26"/>
      <c r="K1841" s="5" t="str">
        <f>IF(J1841="Yes",IFERROR(VLOOKUP(C1841,'14_Master_Employees'!A:G,7,FALSE),""),"")</f>
        <v/>
      </c>
      <c r="L1841" s="5" t="str">
        <f t="shared" si="1"/>
        <v/>
      </c>
    </row>
    <row r="1842" ht="15.75" customHeight="1">
      <c r="B1842" s="26"/>
      <c r="K1842" s="5" t="str">
        <f>IF(J1842="Yes",IFERROR(VLOOKUP(C1842,'14_Master_Employees'!A:G,7,FALSE),""),"")</f>
        <v/>
      </c>
      <c r="L1842" s="5" t="str">
        <f t="shared" si="1"/>
        <v/>
      </c>
    </row>
    <row r="1843" ht="15.75" customHeight="1">
      <c r="B1843" s="26"/>
      <c r="K1843" s="5" t="str">
        <f>IF(J1843="Yes",IFERROR(VLOOKUP(C1843,'14_Master_Employees'!A:G,7,FALSE),""),"")</f>
        <v/>
      </c>
      <c r="L1843" s="5" t="str">
        <f t="shared" si="1"/>
        <v/>
      </c>
    </row>
    <row r="1844" ht="15.75" customHeight="1">
      <c r="B1844" s="26"/>
      <c r="K1844" s="5" t="str">
        <f>IF(J1844="Yes",IFERROR(VLOOKUP(C1844,'14_Master_Employees'!A:G,7,FALSE),""),"")</f>
        <v/>
      </c>
      <c r="L1844" s="5" t="str">
        <f t="shared" si="1"/>
        <v/>
      </c>
    </row>
    <row r="1845" ht="15.75" customHeight="1">
      <c r="B1845" s="26"/>
      <c r="K1845" s="5" t="str">
        <f>IF(J1845="Yes",IFERROR(VLOOKUP(C1845,'14_Master_Employees'!A:G,7,FALSE),""),"")</f>
        <v/>
      </c>
      <c r="L1845" s="5" t="str">
        <f t="shared" si="1"/>
        <v/>
      </c>
    </row>
    <row r="1846" ht="15.75" customHeight="1">
      <c r="B1846" s="26"/>
      <c r="K1846" s="5" t="str">
        <f>IF(J1846="Yes",IFERROR(VLOOKUP(C1846,'14_Master_Employees'!A:G,7,FALSE),""),"")</f>
        <v/>
      </c>
      <c r="L1846" s="5" t="str">
        <f t="shared" si="1"/>
        <v/>
      </c>
    </row>
    <row r="1847" ht="15.75" customHeight="1">
      <c r="B1847" s="26"/>
      <c r="K1847" s="5" t="str">
        <f>IF(J1847="Yes",IFERROR(VLOOKUP(C1847,'14_Master_Employees'!A:G,7,FALSE),""),"")</f>
        <v/>
      </c>
      <c r="L1847" s="5" t="str">
        <f t="shared" si="1"/>
        <v/>
      </c>
    </row>
    <row r="1848" ht="15.75" customHeight="1">
      <c r="B1848" s="26"/>
      <c r="K1848" s="5" t="str">
        <f>IF(J1848="Yes",IFERROR(VLOOKUP(C1848,'14_Master_Employees'!A:G,7,FALSE),""),"")</f>
        <v/>
      </c>
      <c r="L1848" s="5" t="str">
        <f t="shared" si="1"/>
        <v/>
      </c>
    </row>
    <row r="1849" ht="15.75" customHeight="1">
      <c r="B1849" s="26"/>
      <c r="K1849" s="5" t="str">
        <f>IF(J1849="Yes",IFERROR(VLOOKUP(C1849,'14_Master_Employees'!A:G,7,FALSE),""),"")</f>
        <v/>
      </c>
      <c r="L1849" s="5" t="str">
        <f t="shared" si="1"/>
        <v/>
      </c>
    </row>
    <row r="1850" ht="15.75" customHeight="1">
      <c r="B1850" s="26"/>
      <c r="K1850" s="5" t="str">
        <f>IF(J1850="Yes",IFERROR(VLOOKUP(C1850,'14_Master_Employees'!A:G,7,FALSE),""),"")</f>
        <v/>
      </c>
      <c r="L1850" s="5" t="str">
        <f t="shared" si="1"/>
        <v/>
      </c>
    </row>
    <row r="1851" ht="15.75" customHeight="1">
      <c r="B1851" s="26"/>
      <c r="K1851" s="5" t="str">
        <f>IF(J1851="Yes",IFERROR(VLOOKUP(C1851,'14_Master_Employees'!A:G,7,FALSE),""),"")</f>
        <v/>
      </c>
      <c r="L1851" s="5" t="str">
        <f t="shared" si="1"/>
        <v/>
      </c>
    </row>
    <row r="1852" ht="15.75" customHeight="1">
      <c r="B1852" s="26"/>
      <c r="K1852" s="5" t="str">
        <f>IF(J1852="Yes",IFERROR(VLOOKUP(C1852,'14_Master_Employees'!A:G,7,FALSE),""),"")</f>
        <v/>
      </c>
      <c r="L1852" s="5" t="str">
        <f t="shared" si="1"/>
        <v/>
      </c>
    </row>
    <row r="1853" ht="15.75" customHeight="1">
      <c r="B1853" s="26"/>
      <c r="K1853" s="5" t="str">
        <f>IF(J1853="Yes",IFERROR(VLOOKUP(C1853,'14_Master_Employees'!A:G,7,FALSE),""),"")</f>
        <v/>
      </c>
      <c r="L1853" s="5" t="str">
        <f t="shared" si="1"/>
        <v/>
      </c>
    </row>
    <row r="1854" ht="15.75" customHeight="1">
      <c r="B1854" s="26"/>
      <c r="K1854" s="5" t="str">
        <f>IF(J1854="Yes",IFERROR(VLOOKUP(C1854,'14_Master_Employees'!A:G,7,FALSE),""),"")</f>
        <v/>
      </c>
      <c r="L1854" s="5" t="str">
        <f t="shared" si="1"/>
        <v/>
      </c>
    </row>
    <row r="1855" ht="15.75" customHeight="1">
      <c r="B1855" s="26"/>
      <c r="K1855" s="5" t="str">
        <f>IF(J1855="Yes",IFERROR(VLOOKUP(C1855,'14_Master_Employees'!A:G,7,FALSE),""),"")</f>
        <v/>
      </c>
      <c r="L1855" s="5" t="str">
        <f t="shared" si="1"/>
        <v/>
      </c>
    </row>
    <row r="1856" ht="15.75" customHeight="1">
      <c r="B1856" s="26"/>
      <c r="K1856" s="5" t="str">
        <f>IF(J1856="Yes",IFERROR(VLOOKUP(C1856,'14_Master_Employees'!A:G,7,FALSE),""),"")</f>
        <v/>
      </c>
      <c r="L1856" s="5" t="str">
        <f t="shared" si="1"/>
        <v/>
      </c>
    </row>
    <row r="1857" ht="15.75" customHeight="1">
      <c r="B1857" s="26"/>
      <c r="K1857" s="5" t="str">
        <f>IF(J1857="Yes",IFERROR(VLOOKUP(C1857,'14_Master_Employees'!A:G,7,FALSE),""),"")</f>
        <v/>
      </c>
      <c r="L1857" s="5" t="str">
        <f t="shared" si="1"/>
        <v/>
      </c>
    </row>
    <row r="1858" ht="15.75" customHeight="1">
      <c r="B1858" s="26"/>
      <c r="K1858" s="5" t="str">
        <f>IF(J1858="Yes",IFERROR(VLOOKUP(C1858,'14_Master_Employees'!A:G,7,FALSE),""),"")</f>
        <v/>
      </c>
      <c r="L1858" s="5" t="str">
        <f t="shared" si="1"/>
        <v/>
      </c>
    </row>
    <row r="1859" ht="15.75" customHeight="1">
      <c r="B1859" s="26"/>
      <c r="K1859" s="5" t="str">
        <f>IF(J1859="Yes",IFERROR(VLOOKUP(C1859,'14_Master_Employees'!A:G,7,FALSE),""),"")</f>
        <v/>
      </c>
      <c r="L1859" s="5" t="str">
        <f t="shared" si="1"/>
        <v/>
      </c>
    </row>
    <row r="1860" ht="15.75" customHeight="1">
      <c r="B1860" s="26"/>
      <c r="K1860" s="5" t="str">
        <f>IF(J1860="Yes",IFERROR(VLOOKUP(C1860,'14_Master_Employees'!A:G,7,FALSE),""),"")</f>
        <v/>
      </c>
      <c r="L1860" s="5" t="str">
        <f t="shared" si="1"/>
        <v/>
      </c>
    </row>
    <row r="1861" ht="15.75" customHeight="1">
      <c r="B1861" s="26"/>
      <c r="K1861" s="5" t="str">
        <f>IF(J1861="Yes",IFERROR(VLOOKUP(C1861,'14_Master_Employees'!A:G,7,FALSE),""),"")</f>
        <v/>
      </c>
      <c r="L1861" s="5" t="str">
        <f t="shared" si="1"/>
        <v/>
      </c>
    </row>
    <row r="1862" ht="15.75" customHeight="1">
      <c r="B1862" s="26"/>
      <c r="K1862" s="5" t="str">
        <f>IF(J1862="Yes",IFERROR(VLOOKUP(C1862,'14_Master_Employees'!A:G,7,FALSE),""),"")</f>
        <v/>
      </c>
      <c r="L1862" s="5" t="str">
        <f t="shared" si="1"/>
        <v/>
      </c>
    </row>
    <row r="1863" ht="15.75" customHeight="1">
      <c r="B1863" s="26"/>
      <c r="K1863" s="5" t="str">
        <f>IF(J1863="Yes",IFERROR(VLOOKUP(C1863,'14_Master_Employees'!A:G,7,FALSE),""),"")</f>
        <v/>
      </c>
      <c r="L1863" s="5" t="str">
        <f t="shared" si="1"/>
        <v/>
      </c>
    </row>
    <row r="1864" ht="15.75" customHeight="1">
      <c r="B1864" s="26"/>
      <c r="K1864" s="5" t="str">
        <f>IF(J1864="Yes",IFERROR(VLOOKUP(C1864,'14_Master_Employees'!A:G,7,FALSE),""),"")</f>
        <v/>
      </c>
      <c r="L1864" s="5" t="str">
        <f t="shared" si="1"/>
        <v/>
      </c>
    </row>
    <row r="1865" ht="15.75" customHeight="1">
      <c r="B1865" s="26"/>
      <c r="K1865" s="5" t="str">
        <f>IF(J1865="Yes",IFERROR(VLOOKUP(C1865,'14_Master_Employees'!A:G,7,FALSE),""),"")</f>
        <v/>
      </c>
      <c r="L1865" s="5" t="str">
        <f t="shared" si="1"/>
        <v/>
      </c>
    </row>
    <row r="1866" ht="15.75" customHeight="1">
      <c r="B1866" s="26"/>
      <c r="K1866" s="5" t="str">
        <f>IF(J1866="Yes",IFERROR(VLOOKUP(C1866,'14_Master_Employees'!A:G,7,FALSE),""),"")</f>
        <v/>
      </c>
      <c r="L1866" s="5" t="str">
        <f t="shared" si="1"/>
        <v/>
      </c>
    </row>
    <row r="1867" ht="15.75" customHeight="1">
      <c r="B1867" s="26"/>
      <c r="K1867" s="5" t="str">
        <f>IF(J1867="Yes",IFERROR(VLOOKUP(C1867,'14_Master_Employees'!A:G,7,FALSE),""),"")</f>
        <v/>
      </c>
      <c r="L1867" s="5" t="str">
        <f t="shared" si="1"/>
        <v/>
      </c>
    </row>
    <row r="1868" ht="15.75" customHeight="1">
      <c r="B1868" s="26"/>
      <c r="K1868" s="5" t="str">
        <f>IF(J1868="Yes",IFERROR(VLOOKUP(C1868,'14_Master_Employees'!A:G,7,FALSE),""),"")</f>
        <v/>
      </c>
      <c r="L1868" s="5" t="str">
        <f t="shared" si="1"/>
        <v/>
      </c>
    </row>
    <row r="1869" ht="15.75" customHeight="1">
      <c r="B1869" s="26"/>
      <c r="K1869" s="5" t="str">
        <f>IF(J1869="Yes",IFERROR(VLOOKUP(C1869,'14_Master_Employees'!A:G,7,FALSE),""),"")</f>
        <v/>
      </c>
      <c r="L1869" s="5" t="str">
        <f t="shared" si="1"/>
        <v/>
      </c>
    </row>
    <row r="1870" ht="15.75" customHeight="1">
      <c r="B1870" s="26"/>
      <c r="K1870" s="5" t="str">
        <f>IF(J1870="Yes",IFERROR(VLOOKUP(C1870,'14_Master_Employees'!A:G,7,FALSE),""),"")</f>
        <v/>
      </c>
      <c r="L1870" s="5" t="str">
        <f t="shared" si="1"/>
        <v/>
      </c>
    </row>
    <row r="1871" ht="15.75" customHeight="1">
      <c r="B1871" s="26"/>
      <c r="K1871" s="5" t="str">
        <f>IF(J1871="Yes",IFERROR(VLOOKUP(C1871,'14_Master_Employees'!A:G,7,FALSE),""),"")</f>
        <v/>
      </c>
      <c r="L1871" s="5" t="str">
        <f t="shared" si="1"/>
        <v/>
      </c>
    </row>
    <row r="1872" ht="15.75" customHeight="1">
      <c r="B1872" s="26"/>
      <c r="K1872" s="5" t="str">
        <f>IF(J1872="Yes",IFERROR(VLOOKUP(C1872,'14_Master_Employees'!A:G,7,FALSE),""),"")</f>
        <v/>
      </c>
      <c r="L1872" s="5" t="str">
        <f t="shared" si="1"/>
        <v/>
      </c>
    </row>
    <row r="1873" ht="15.75" customHeight="1">
      <c r="B1873" s="26"/>
      <c r="K1873" s="5" t="str">
        <f>IF(J1873="Yes",IFERROR(VLOOKUP(C1873,'14_Master_Employees'!A:G,7,FALSE),""),"")</f>
        <v/>
      </c>
      <c r="L1873" s="5" t="str">
        <f t="shared" si="1"/>
        <v/>
      </c>
    </row>
    <row r="1874" ht="15.75" customHeight="1">
      <c r="B1874" s="26"/>
      <c r="K1874" s="5" t="str">
        <f>IF(J1874="Yes",IFERROR(VLOOKUP(C1874,'14_Master_Employees'!A:G,7,FALSE),""),"")</f>
        <v/>
      </c>
      <c r="L1874" s="5" t="str">
        <f t="shared" si="1"/>
        <v/>
      </c>
    </row>
    <row r="1875" ht="15.75" customHeight="1">
      <c r="B1875" s="26"/>
      <c r="K1875" s="5" t="str">
        <f>IF(J1875="Yes",IFERROR(VLOOKUP(C1875,'14_Master_Employees'!A:G,7,FALSE),""),"")</f>
        <v/>
      </c>
      <c r="L1875" s="5" t="str">
        <f t="shared" si="1"/>
        <v/>
      </c>
    </row>
    <row r="1876" ht="15.75" customHeight="1">
      <c r="B1876" s="26"/>
      <c r="K1876" s="5" t="str">
        <f>IF(J1876="Yes",IFERROR(VLOOKUP(C1876,'14_Master_Employees'!A:G,7,FALSE),""),"")</f>
        <v/>
      </c>
      <c r="L1876" s="5" t="str">
        <f t="shared" si="1"/>
        <v/>
      </c>
    </row>
    <row r="1877" ht="15.75" customHeight="1">
      <c r="B1877" s="26"/>
      <c r="K1877" s="5" t="str">
        <f>IF(J1877="Yes",IFERROR(VLOOKUP(C1877,'14_Master_Employees'!A:G,7,FALSE),""),"")</f>
        <v/>
      </c>
      <c r="L1877" s="5" t="str">
        <f t="shared" si="1"/>
        <v/>
      </c>
    </row>
    <row r="1878" ht="15.75" customHeight="1">
      <c r="B1878" s="26"/>
      <c r="K1878" s="5" t="str">
        <f>IF(J1878="Yes",IFERROR(VLOOKUP(C1878,'14_Master_Employees'!A:G,7,FALSE),""),"")</f>
        <v/>
      </c>
      <c r="L1878" s="5" t="str">
        <f t="shared" si="1"/>
        <v/>
      </c>
    </row>
    <row r="1879" ht="15.75" customHeight="1">
      <c r="B1879" s="26"/>
      <c r="K1879" s="5" t="str">
        <f>IF(J1879="Yes",IFERROR(VLOOKUP(C1879,'14_Master_Employees'!A:G,7,FALSE),""),"")</f>
        <v/>
      </c>
      <c r="L1879" s="5" t="str">
        <f t="shared" si="1"/>
        <v/>
      </c>
    </row>
    <row r="1880" ht="15.75" customHeight="1">
      <c r="B1880" s="26"/>
      <c r="K1880" s="5" t="str">
        <f>IF(J1880="Yes",IFERROR(VLOOKUP(C1880,'14_Master_Employees'!A:G,7,FALSE),""),"")</f>
        <v/>
      </c>
      <c r="L1880" s="5" t="str">
        <f t="shared" si="1"/>
        <v/>
      </c>
    </row>
    <row r="1881" ht="15.75" customHeight="1">
      <c r="B1881" s="26"/>
      <c r="K1881" s="5" t="str">
        <f>IF(J1881="Yes",IFERROR(VLOOKUP(C1881,'14_Master_Employees'!A:G,7,FALSE),""),"")</f>
        <v/>
      </c>
      <c r="L1881" s="5" t="str">
        <f t="shared" si="1"/>
        <v/>
      </c>
    </row>
    <row r="1882" ht="15.75" customHeight="1">
      <c r="B1882" s="26"/>
      <c r="K1882" s="5" t="str">
        <f>IF(J1882="Yes",IFERROR(VLOOKUP(C1882,'14_Master_Employees'!A:G,7,FALSE),""),"")</f>
        <v/>
      </c>
      <c r="L1882" s="5" t="str">
        <f t="shared" si="1"/>
        <v/>
      </c>
    </row>
    <row r="1883" ht="15.75" customHeight="1">
      <c r="B1883" s="26"/>
      <c r="K1883" s="5" t="str">
        <f>IF(J1883="Yes",IFERROR(VLOOKUP(C1883,'14_Master_Employees'!A:G,7,FALSE),""),"")</f>
        <v/>
      </c>
      <c r="L1883" s="5" t="str">
        <f t="shared" si="1"/>
        <v/>
      </c>
    </row>
    <row r="1884" ht="15.75" customHeight="1">
      <c r="B1884" s="26"/>
      <c r="K1884" s="5" t="str">
        <f>IF(J1884="Yes",IFERROR(VLOOKUP(C1884,'14_Master_Employees'!A:G,7,FALSE),""),"")</f>
        <v/>
      </c>
      <c r="L1884" s="5" t="str">
        <f t="shared" si="1"/>
        <v/>
      </c>
    </row>
    <row r="1885" ht="15.75" customHeight="1">
      <c r="B1885" s="26"/>
      <c r="K1885" s="5" t="str">
        <f>IF(J1885="Yes",IFERROR(VLOOKUP(C1885,'14_Master_Employees'!A:G,7,FALSE),""),"")</f>
        <v/>
      </c>
      <c r="L1885" s="5" t="str">
        <f t="shared" si="1"/>
        <v/>
      </c>
    </row>
    <row r="1886" ht="15.75" customHeight="1">
      <c r="B1886" s="26"/>
      <c r="K1886" s="5" t="str">
        <f>IF(J1886="Yes",IFERROR(VLOOKUP(C1886,'14_Master_Employees'!A:G,7,FALSE),""),"")</f>
        <v/>
      </c>
      <c r="L1886" s="5" t="str">
        <f t="shared" si="1"/>
        <v/>
      </c>
    </row>
    <row r="1887" ht="15.75" customHeight="1">
      <c r="B1887" s="26"/>
      <c r="K1887" s="5" t="str">
        <f>IF(J1887="Yes",IFERROR(VLOOKUP(C1887,'14_Master_Employees'!A:G,7,FALSE),""),"")</f>
        <v/>
      </c>
      <c r="L1887" s="5" t="str">
        <f t="shared" si="1"/>
        <v/>
      </c>
    </row>
    <row r="1888" ht="15.75" customHeight="1">
      <c r="B1888" s="26"/>
      <c r="K1888" s="5" t="str">
        <f>IF(J1888="Yes",IFERROR(VLOOKUP(C1888,'14_Master_Employees'!A:G,7,FALSE),""),"")</f>
        <v/>
      </c>
      <c r="L1888" s="5" t="str">
        <f t="shared" si="1"/>
        <v/>
      </c>
    </row>
    <row r="1889" ht="15.75" customHeight="1">
      <c r="B1889" s="26"/>
      <c r="K1889" s="5" t="str">
        <f>IF(J1889="Yes",IFERROR(VLOOKUP(C1889,'14_Master_Employees'!A:G,7,FALSE),""),"")</f>
        <v/>
      </c>
      <c r="L1889" s="5" t="str">
        <f t="shared" si="1"/>
        <v/>
      </c>
    </row>
    <row r="1890" ht="15.75" customHeight="1">
      <c r="B1890" s="26"/>
      <c r="K1890" s="5" t="str">
        <f>IF(J1890="Yes",IFERROR(VLOOKUP(C1890,'14_Master_Employees'!A:G,7,FALSE),""),"")</f>
        <v/>
      </c>
      <c r="L1890" s="5" t="str">
        <f t="shared" si="1"/>
        <v/>
      </c>
    </row>
    <row r="1891" ht="15.75" customHeight="1">
      <c r="B1891" s="26"/>
      <c r="K1891" s="5" t="str">
        <f>IF(J1891="Yes",IFERROR(VLOOKUP(C1891,'14_Master_Employees'!A:G,7,FALSE),""),"")</f>
        <v/>
      </c>
      <c r="L1891" s="5" t="str">
        <f t="shared" si="1"/>
        <v/>
      </c>
    </row>
    <row r="1892" ht="15.75" customHeight="1">
      <c r="B1892" s="26"/>
      <c r="K1892" s="5" t="str">
        <f>IF(J1892="Yes",IFERROR(VLOOKUP(C1892,'14_Master_Employees'!A:G,7,FALSE),""),"")</f>
        <v/>
      </c>
      <c r="L1892" s="5" t="str">
        <f t="shared" si="1"/>
        <v/>
      </c>
    </row>
    <row r="1893" ht="15.75" customHeight="1">
      <c r="B1893" s="26"/>
      <c r="K1893" s="5" t="str">
        <f>IF(J1893="Yes",IFERROR(VLOOKUP(C1893,'14_Master_Employees'!A:G,7,FALSE),""),"")</f>
        <v/>
      </c>
      <c r="L1893" s="5" t="str">
        <f t="shared" si="1"/>
        <v/>
      </c>
    </row>
    <row r="1894" ht="15.75" customHeight="1">
      <c r="B1894" s="26"/>
      <c r="K1894" s="5" t="str">
        <f>IF(J1894="Yes",IFERROR(VLOOKUP(C1894,'14_Master_Employees'!A:G,7,FALSE),""),"")</f>
        <v/>
      </c>
      <c r="L1894" s="5" t="str">
        <f t="shared" si="1"/>
        <v/>
      </c>
    </row>
    <row r="1895" ht="15.75" customHeight="1">
      <c r="B1895" s="26"/>
      <c r="K1895" s="5" t="str">
        <f>IF(J1895="Yes",IFERROR(VLOOKUP(C1895,'14_Master_Employees'!A:G,7,FALSE),""),"")</f>
        <v/>
      </c>
      <c r="L1895" s="5" t="str">
        <f t="shared" si="1"/>
        <v/>
      </c>
    </row>
    <row r="1896" ht="15.75" customHeight="1">
      <c r="B1896" s="26"/>
      <c r="K1896" s="5" t="str">
        <f>IF(J1896="Yes",IFERROR(VLOOKUP(C1896,'14_Master_Employees'!A:G,7,FALSE),""),"")</f>
        <v/>
      </c>
      <c r="L1896" s="5" t="str">
        <f t="shared" si="1"/>
        <v/>
      </c>
    </row>
    <row r="1897" ht="15.75" customHeight="1">
      <c r="B1897" s="26"/>
      <c r="K1897" s="5" t="str">
        <f>IF(J1897="Yes",IFERROR(VLOOKUP(C1897,'14_Master_Employees'!A:G,7,FALSE),""),"")</f>
        <v/>
      </c>
      <c r="L1897" s="5" t="str">
        <f t="shared" si="1"/>
        <v/>
      </c>
    </row>
    <row r="1898" ht="15.75" customHeight="1">
      <c r="B1898" s="26"/>
      <c r="K1898" s="5" t="str">
        <f>IF(J1898="Yes",IFERROR(VLOOKUP(C1898,'14_Master_Employees'!A:G,7,FALSE),""),"")</f>
        <v/>
      </c>
      <c r="L1898" s="5" t="str">
        <f t="shared" si="1"/>
        <v/>
      </c>
    </row>
    <row r="1899" ht="15.75" customHeight="1">
      <c r="B1899" s="26"/>
      <c r="K1899" s="5" t="str">
        <f>IF(J1899="Yes",IFERROR(VLOOKUP(C1899,'14_Master_Employees'!A:G,7,FALSE),""),"")</f>
        <v/>
      </c>
      <c r="L1899" s="5" t="str">
        <f t="shared" si="1"/>
        <v/>
      </c>
    </row>
    <row r="1900" ht="15.75" customHeight="1">
      <c r="B1900" s="26"/>
      <c r="K1900" s="5" t="str">
        <f>IF(J1900="Yes",IFERROR(VLOOKUP(C1900,'14_Master_Employees'!A:G,7,FALSE),""),"")</f>
        <v/>
      </c>
      <c r="L1900" s="5" t="str">
        <f t="shared" si="1"/>
        <v/>
      </c>
    </row>
    <row r="1901" ht="15.75" customHeight="1">
      <c r="B1901" s="26"/>
      <c r="K1901" s="5" t="str">
        <f>IF(J1901="Yes",IFERROR(VLOOKUP(C1901,'14_Master_Employees'!A:G,7,FALSE),""),"")</f>
        <v/>
      </c>
      <c r="L1901" s="5" t="str">
        <f t="shared" si="1"/>
        <v/>
      </c>
    </row>
    <row r="1902" ht="15.75" customHeight="1">
      <c r="B1902" s="26"/>
      <c r="K1902" s="5" t="str">
        <f>IF(J1902="Yes",IFERROR(VLOOKUP(C1902,'14_Master_Employees'!A:G,7,FALSE),""),"")</f>
        <v/>
      </c>
      <c r="L1902" s="5" t="str">
        <f t="shared" si="1"/>
        <v/>
      </c>
    </row>
    <row r="1903" ht="15.75" customHeight="1">
      <c r="B1903" s="26"/>
      <c r="K1903" s="5" t="str">
        <f>IF(J1903="Yes",IFERROR(VLOOKUP(C1903,'14_Master_Employees'!A:G,7,FALSE),""),"")</f>
        <v/>
      </c>
      <c r="L1903" s="5" t="str">
        <f t="shared" si="1"/>
        <v/>
      </c>
    </row>
    <row r="1904" ht="15.75" customHeight="1">
      <c r="B1904" s="26"/>
      <c r="K1904" s="5" t="str">
        <f>IF(J1904="Yes",IFERROR(VLOOKUP(C1904,'14_Master_Employees'!A:G,7,FALSE),""),"")</f>
        <v/>
      </c>
      <c r="L1904" s="5" t="str">
        <f t="shared" si="1"/>
        <v/>
      </c>
    </row>
    <row r="1905" ht="15.75" customHeight="1">
      <c r="B1905" s="26"/>
      <c r="K1905" s="5" t="str">
        <f>IF(J1905="Yes",IFERROR(VLOOKUP(C1905,'14_Master_Employees'!A:G,7,FALSE),""),"")</f>
        <v/>
      </c>
      <c r="L1905" s="5" t="str">
        <f t="shared" si="1"/>
        <v/>
      </c>
    </row>
    <row r="1906" ht="15.75" customHeight="1">
      <c r="B1906" s="26"/>
      <c r="K1906" s="5" t="str">
        <f>IF(J1906="Yes",IFERROR(VLOOKUP(C1906,'14_Master_Employees'!A:G,7,FALSE),""),"")</f>
        <v/>
      </c>
      <c r="L1906" s="5" t="str">
        <f t="shared" si="1"/>
        <v/>
      </c>
    </row>
    <row r="1907" ht="15.75" customHeight="1">
      <c r="B1907" s="26"/>
      <c r="K1907" s="5" t="str">
        <f>IF(J1907="Yes",IFERROR(VLOOKUP(C1907,'14_Master_Employees'!A:G,7,FALSE),""),"")</f>
        <v/>
      </c>
      <c r="L1907" s="5" t="str">
        <f t="shared" si="1"/>
        <v/>
      </c>
    </row>
    <row r="1908" ht="15.75" customHeight="1">
      <c r="B1908" s="26"/>
      <c r="K1908" s="5" t="str">
        <f>IF(J1908="Yes",IFERROR(VLOOKUP(C1908,'14_Master_Employees'!A:G,7,FALSE),""),"")</f>
        <v/>
      </c>
      <c r="L1908" s="5" t="str">
        <f t="shared" si="1"/>
        <v/>
      </c>
    </row>
    <row r="1909" ht="15.75" customHeight="1">
      <c r="B1909" s="26"/>
      <c r="K1909" s="5" t="str">
        <f>IF(J1909="Yes",IFERROR(VLOOKUP(C1909,'14_Master_Employees'!A:G,7,FALSE),""),"")</f>
        <v/>
      </c>
      <c r="L1909" s="5" t="str">
        <f t="shared" si="1"/>
        <v/>
      </c>
    </row>
    <row r="1910" ht="15.75" customHeight="1">
      <c r="B1910" s="26"/>
      <c r="K1910" s="5" t="str">
        <f>IF(J1910="Yes",IFERROR(VLOOKUP(C1910,'14_Master_Employees'!A:G,7,FALSE),""),"")</f>
        <v/>
      </c>
      <c r="L1910" s="5" t="str">
        <f t="shared" si="1"/>
        <v/>
      </c>
    </row>
    <row r="1911" ht="15.75" customHeight="1">
      <c r="B1911" s="26"/>
      <c r="K1911" s="5" t="str">
        <f>IF(J1911="Yes",IFERROR(VLOOKUP(C1911,'14_Master_Employees'!A:G,7,FALSE),""),"")</f>
        <v/>
      </c>
      <c r="L1911" s="5" t="str">
        <f t="shared" si="1"/>
        <v/>
      </c>
    </row>
    <row r="1912" ht="15.75" customHeight="1">
      <c r="B1912" s="26"/>
      <c r="K1912" s="5" t="str">
        <f>IF(J1912="Yes",IFERROR(VLOOKUP(C1912,'14_Master_Employees'!A:G,7,FALSE),""),"")</f>
        <v/>
      </c>
      <c r="L1912" s="5" t="str">
        <f t="shared" si="1"/>
        <v/>
      </c>
    </row>
    <row r="1913" ht="15.75" customHeight="1">
      <c r="B1913" s="26"/>
      <c r="K1913" s="5" t="str">
        <f>IF(J1913="Yes",IFERROR(VLOOKUP(C1913,'14_Master_Employees'!A:G,7,FALSE),""),"")</f>
        <v/>
      </c>
      <c r="L1913" s="5" t="str">
        <f t="shared" si="1"/>
        <v/>
      </c>
    </row>
    <row r="1914" ht="15.75" customHeight="1">
      <c r="B1914" s="26"/>
      <c r="K1914" s="5" t="str">
        <f>IF(J1914="Yes",IFERROR(VLOOKUP(C1914,'14_Master_Employees'!A:G,7,FALSE),""),"")</f>
        <v/>
      </c>
      <c r="L1914" s="5" t="str">
        <f t="shared" si="1"/>
        <v/>
      </c>
    </row>
    <row r="1915" ht="15.75" customHeight="1">
      <c r="B1915" s="26"/>
      <c r="K1915" s="5" t="str">
        <f>IF(J1915="Yes",IFERROR(VLOOKUP(C1915,'14_Master_Employees'!A:G,7,FALSE),""),"")</f>
        <v/>
      </c>
      <c r="L1915" s="5" t="str">
        <f t="shared" si="1"/>
        <v/>
      </c>
    </row>
    <row r="1916" ht="15.75" customHeight="1">
      <c r="B1916" s="26"/>
      <c r="K1916" s="5" t="str">
        <f>IF(J1916="Yes",IFERROR(VLOOKUP(C1916,'14_Master_Employees'!A:G,7,FALSE),""),"")</f>
        <v/>
      </c>
      <c r="L1916" s="5" t="str">
        <f t="shared" si="1"/>
        <v/>
      </c>
    </row>
    <row r="1917" ht="15.75" customHeight="1">
      <c r="B1917" s="26"/>
      <c r="K1917" s="5" t="str">
        <f>IF(J1917="Yes",IFERROR(VLOOKUP(C1917,'14_Master_Employees'!A:G,7,FALSE),""),"")</f>
        <v/>
      </c>
      <c r="L1917" s="5" t="str">
        <f t="shared" si="1"/>
        <v/>
      </c>
    </row>
    <row r="1918" ht="15.75" customHeight="1">
      <c r="B1918" s="26"/>
      <c r="K1918" s="5" t="str">
        <f>IF(J1918="Yes",IFERROR(VLOOKUP(C1918,'14_Master_Employees'!A:G,7,FALSE),""),"")</f>
        <v/>
      </c>
      <c r="L1918" s="5" t="str">
        <f t="shared" si="1"/>
        <v/>
      </c>
    </row>
    <row r="1919" ht="15.75" customHeight="1">
      <c r="B1919" s="26"/>
      <c r="K1919" s="5" t="str">
        <f>IF(J1919="Yes",IFERROR(VLOOKUP(C1919,'14_Master_Employees'!A:G,7,FALSE),""),"")</f>
        <v/>
      </c>
      <c r="L1919" s="5" t="str">
        <f t="shared" si="1"/>
        <v/>
      </c>
    </row>
    <row r="1920" ht="15.75" customHeight="1">
      <c r="B1920" s="26"/>
      <c r="K1920" s="5" t="str">
        <f>IF(J1920="Yes",IFERROR(VLOOKUP(C1920,'14_Master_Employees'!A:G,7,FALSE),""),"")</f>
        <v/>
      </c>
      <c r="L1920" s="5" t="str">
        <f t="shared" si="1"/>
        <v/>
      </c>
    </row>
    <row r="1921" ht="15.75" customHeight="1">
      <c r="B1921" s="26"/>
      <c r="K1921" s="5" t="str">
        <f>IF(J1921="Yes",IFERROR(VLOOKUP(C1921,'14_Master_Employees'!A:G,7,FALSE),""),"")</f>
        <v/>
      </c>
      <c r="L1921" s="5" t="str">
        <f t="shared" si="1"/>
        <v/>
      </c>
    </row>
    <row r="1922" ht="15.75" customHeight="1">
      <c r="B1922" s="26"/>
      <c r="K1922" s="5" t="str">
        <f>IF(J1922="Yes",IFERROR(VLOOKUP(C1922,'14_Master_Employees'!A:G,7,FALSE),""),"")</f>
        <v/>
      </c>
      <c r="L1922" s="5" t="str">
        <f t="shared" si="1"/>
        <v/>
      </c>
    </row>
    <row r="1923" ht="15.75" customHeight="1">
      <c r="B1923" s="26"/>
      <c r="K1923" s="5" t="str">
        <f>IF(J1923="Yes",IFERROR(VLOOKUP(C1923,'14_Master_Employees'!A:G,7,FALSE),""),"")</f>
        <v/>
      </c>
      <c r="L1923" s="5" t="str">
        <f t="shared" si="1"/>
        <v/>
      </c>
    </row>
    <row r="1924" ht="15.75" customHeight="1">
      <c r="B1924" s="26"/>
      <c r="K1924" s="5" t="str">
        <f>IF(J1924="Yes",IFERROR(VLOOKUP(C1924,'14_Master_Employees'!A:G,7,FALSE),""),"")</f>
        <v/>
      </c>
      <c r="L1924" s="5" t="str">
        <f t="shared" si="1"/>
        <v/>
      </c>
    </row>
    <row r="1925" ht="15.75" customHeight="1">
      <c r="B1925" s="26"/>
      <c r="K1925" s="5" t="str">
        <f>IF(J1925="Yes",IFERROR(VLOOKUP(C1925,'14_Master_Employees'!A:G,7,FALSE),""),"")</f>
        <v/>
      </c>
      <c r="L1925" s="5" t="str">
        <f t="shared" si="1"/>
        <v/>
      </c>
    </row>
    <row r="1926" ht="15.75" customHeight="1">
      <c r="B1926" s="26"/>
      <c r="K1926" s="5" t="str">
        <f>IF(J1926="Yes",IFERROR(VLOOKUP(C1926,'14_Master_Employees'!A:G,7,FALSE),""),"")</f>
        <v/>
      </c>
      <c r="L1926" s="5" t="str">
        <f t="shared" si="1"/>
        <v/>
      </c>
    </row>
    <row r="1927" ht="15.75" customHeight="1">
      <c r="B1927" s="26"/>
      <c r="K1927" s="5" t="str">
        <f>IF(J1927="Yes",IFERROR(VLOOKUP(C1927,'14_Master_Employees'!A:G,7,FALSE),""),"")</f>
        <v/>
      </c>
      <c r="L1927" s="5" t="str">
        <f t="shared" si="1"/>
        <v/>
      </c>
    </row>
    <row r="1928" ht="15.75" customHeight="1">
      <c r="B1928" s="26"/>
      <c r="K1928" s="5" t="str">
        <f>IF(J1928="Yes",IFERROR(VLOOKUP(C1928,'14_Master_Employees'!A:G,7,FALSE),""),"")</f>
        <v/>
      </c>
      <c r="L1928" s="5" t="str">
        <f t="shared" si="1"/>
        <v/>
      </c>
    </row>
    <row r="1929" ht="15.75" customHeight="1">
      <c r="B1929" s="26"/>
      <c r="K1929" s="5" t="str">
        <f>IF(J1929="Yes",IFERROR(VLOOKUP(C1929,'14_Master_Employees'!A:G,7,FALSE),""),"")</f>
        <v/>
      </c>
      <c r="L1929" s="5" t="str">
        <f t="shared" si="1"/>
        <v/>
      </c>
    </row>
    <row r="1930" ht="15.75" customHeight="1">
      <c r="B1930" s="26"/>
      <c r="K1930" s="5" t="str">
        <f>IF(J1930="Yes",IFERROR(VLOOKUP(C1930,'14_Master_Employees'!A:G,7,FALSE),""),"")</f>
        <v/>
      </c>
      <c r="L1930" s="5" t="str">
        <f t="shared" si="1"/>
        <v/>
      </c>
    </row>
    <row r="1931" ht="15.75" customHeight="1">
      <c r="B1931" s="26"/>
      <c r="K1931" s="5" t="str">
        <f>IF(J1931="Yes",IFERROR(VLOOKUP(C1931,'14_Master_Employees'!A:G,7,FALSE),""),"")</f>
        <v/>
      </c>
      <c r="L1931" s="5" t="str">
        <f t="shared" si="1"/>
        <v/>
      </c>
    </row>
    <row r="1932" ht="15.75" customHeight="1">
      <c r="B1932" s="26"/>
      <c r="K1932" s="5" t="str">
        <f>IF(J1932="Yes",IFERROR(VLOOKUP(C1932,'14_Master_Employees'!A:G,7,FALSE),""),"")</f>
        <v/>
      </c>
      <c r="L1932" s="5" t="str">
        <f t="shared" si="1"/>
        <v/>
      </c>
    </row>
    <row r="1933" ht="15.75" customHeight="1">
      <c r="B1933" s="26"/>
      <c r="K1933" s="5" t="str">
        <f>IF(J1933="Yes",IFERROR(VLOOKUP(C1933,'14_Master_Employees'!A:G,7,FALSE),""),"")</f>
        <v/>
      </c>
      <c r="L1933" s="5" t="str">
        <f t="shared" si="1"/>
        <v/>
      </c>
    </row>
    <row r="1934" ht="15.75" customHeight="1">
      <c r="B1934" s="26"/>
      <c r="K1934" s="5" t="str">
        <f>IF(J1934="Yes",IFERROR(VLOOKUP(C1934,'14_Master_Employees'!A:G,7,FALSE),""),"")</f>
        <v/>
      </c>
      <c r="L1934" s="5" t="str">
        <f t="shared" si="1"/>
        <v/>
      </c>
    </row>
    <row r="1935" ht="15.75" customHeight="1">
      <c r="B1935" s="26"/>
      <c r="K1935" s="5" t="str">
        <f>IF(J1935="Yes",IFERROR(VLOOKUP(C1935,'14_Master_Employees'!A:G,7,FALSE),""),"")</f>
        <v/>
      </c>
      <c r="L1935" s="5" t="str">
        <f t="shared" si="1"/>
        <v/>
      </c>
    </row>
    <row r="1936" ht="15.75" customHeight="1">
      <c r="B1936" s="26"/>
      <c r="K1936" s="5" t="str">
        <f>IF(J1936="Yes",IFERROR(VLOOKUP(C1936,'14_Master_Employees'!A:G,7,FALSE),""),"")</f>
        <v/>
      </c>
      <c r="L1936" s="5" t="str">
        <f t="shared" si="1"/>
        <v/>
      </c>
    </row>
    <row r="1937" ht="15.75" customHeight="1">
      <c r="B1937" s="26"/>
      <c r="K1937" s="5" t="str">
        <f>IF(J1937="Yes",IFERROR(VLOOKUP(C1937,'14_Master_Employees'!A:G,7,FALSE),""),"")</f>
        <v/>
      </c>
      <c r="L1937" s="5" t="str">
        <f t="shared" si="1"/>
        <v/>
      </c>
    </row>
    <row r="1938" ht="15.75" customHeight="1">
      <c r="B1938" s="26"/>
      <c r="K1938" s="5" t="str">
        <f>IF(J1938="Yes",IFERROR(VLOOKUP(C1938,'14_Master_Employees'!A:G,7,FALSE),""),"")</f>
        <v/>
      </c>
      <c r="L1938" s="5" t="str">
        <f t="shared" si="1"/>
        <v/>
      </c>
    </row>
    <row r="1939" ht="15.75" customHeight="1">
      <c r="B1939" s="26"/>
      <c r="K1939" s="5" t="str">
        <f>IF(J1939="Yes",IFERROR(VLOOKUP(C1939,'14_Master_Employees'!A:G,7,FALSE),""),"")</f>
        <v/>
      </c>
      <c r="L1939" s="5" t="str">
        <f t="shared" si="1"/>
        <v/>
      </c>
    </row>
    <row r="1940" ht="15.75" customHeight="1">
      <c r="B1940" s="26"/>
      <c r="K1940" s="5" t="str">
        <f>IF(J1940="Yes",IFERROR(VLOOKUP(C1940,'14_Master_Employees'!A:G,7,FALSE),""),"")</f>
        <v/>
      </c>
      <c r="L1940" s="5" t="str">
        <f t="shared" si="1"/>
        <v/>
      </c>
    </row>
    <row r="1941" ht="15.75" customHeight="1">
      <c r="B1941" s="26"/>
      <c r="K1941" s="5" t="str">
        <f>IF(J1941="Yes",IFERROR(VLOOKUP(C1941,'14_Master_Employees'!A:G,7,FALSE),""),"")</f>
        <v/>
      </c>
      <c r="L1941" s="5" t="str">
        <f t="shared" si="1"/>
        <v/>
      </c>
    </row>
    <row r="1942" ht="15.75" customHeight="1">
      <c r="B1942" s="26"/>
      <c r="K1942" s="5" t="str">
        <f>IF(J1942="Yes",IFERROR(VLOOKUP(C1942,'14_Master_Employees'!A:G,7,FALSE),""),"")</f>
        <v/>
      </c>
      <c r="L1942" s="5" t="str">
        <f t="shared" si="1"/>
        <v/>
      </c>
    </row>
    <row r="1943" ht="15.75" customHeight="1">
      <c r="B1943" s="26"/>
      <c r="K1943" s="5" t="str">
        <f>IF(J1943="Yes",IFERROR(VLOOKUP(C1943,'14_Master_Employees'!A:G,7,FALSE),""),"")</f>
        <v/>
      </c>
      <c r="L1943" s="5" t="str">
        <f t="shared" si="1"/>
        <v/>
      </c>
    </row>
    <row r="1944" ht="15.75" customHeight="1">
      <c r="B1944" s="26"/>
      <c r="K1944" s="5" t="str">
        <f>IF(J1944="Yes",IFERROR(VLOOKUP(C1944,'14_Master_Employees'!A:G,7,FALSE),""),"")</f>
        <v/>
      </c>
      <c r="L1944" s="5" t="str">
        <f t="shared" si="1"/>
        <v/>
      </c>
    </row>
    <row r="1945" ht="15.75" customHeight="1">
      <c r="B1945" s="26"/>
      <c r="K1945" s="5" t="str">
        <f>IF(J1945="Yes",IFERROR(VLOOKUP(C1945,'14_Master_Employees'!A:G,7,FALSE),""),"")</f>
        <v/>
      </c>
      <c r="L1945" s="5" t="str">
        <f t="shared" si="1"/>
        <v/>
      </c>
    </row>
    <row r="1946" ht="15.75" customHeight="1">
      <c r="B1946" s="26"/>
      <c r="K1946" s="5" t="str">
        <f>IF(J1946="Yes",IFERROR(VLOOKUP(C1946,'14_Master_Employees'!A:G,7,FALSE),""),"")</f>
        <v/>
      </c>
      <c r="L1946" s="5" t="str">
        <f t="shared" si="1"/>
        <v/>
      </c>
    </row>
    <row r="1947" ht="15.75" customHeight="1">
      <c r="B1947" s="26"/>
      <c r="K1947" s="5" t="str">
        <f>IF(J1947="Yes",IFERROR(VLOOKUP(C1947,'14_Master_Employees'!A:G,7,FALSE),""),"")</f>
        <v/>
      </c>
      <c r="L1947" s="5" t="str">
        <f t="shared" si="1"/>
        <v/>
      </c>
    </row>
    <row r="1948" ht="15.75" customHeight="1">
      <c r="B1948" s="26"/>
      <c r="K1948" s="5" t="str">
        <f>IF(J1948="Yes",IFERROR(VLOOKUP(C1948,'14_Master_Employees'!A:G,7,FALSE),""),"")</f>
        <v/>
      </c>
      <c r="L1948" s="5" t="str">
        <f t="shared" si="1"/>
        <v/>
      </c>
    </row>
    <row r="1949" ht="15.75" customHeight="1">
      <c r="B1949" s="26"/>
      <c r="K1949" s="5" t="str">
        <f>IF(J1949="Yes",IFERROR(VLOOKUP(C1949,'14_Master_Employees'!A:G,7,FALSE),""),"")</f>
        <v/>
      </c>
      <c r="L1949" s="5" t="str">
        <f t="shared" si="1"/>
        <v/>
      </c>
    </row>
    <row r="1950" ht="15.75" customHeight="1">
      <c r="B1950" s="26"/>
      <c r="K1950" s="5" t="str">
        <f>IF(J1950="Yes",IFERROR(VLOOKUP(C1950,'14_Master_Employees'!A:G,7,FALSE),""),"")</f>
        <v/>
      </c>
      <c r="L1950" s="5" t="str">
        <f t="shared" si="1"/>
        <v/>
      </c>
    </row>
    <row r="1951" ht="15.75" customHeight="1">
      <c r="B1951" s="26"/>
      <c r="K1951" s="5" t="str">
        <f>IF(J1951="Yes",IFERROR(VLOOKUP(C1951,'14_Master_Employees'!A:G,7,FALSE),""),"")</f>
        <v/>
      </c>
      <c r="L1951" s="5" t="str">
        <f t="shared" si="1"/>
        <v/>
      </c>
    </row>
    <row r="1952" ht="15.75" customHeight="1">
      <c r="B1952" s="26"/>
      <c r="K1952" s="5" t="str">
        <f>IF(J1952="Yes",IFERROR(VLOOKUP(C1952,'14_Master_Employees'!A:G,7,FALSE),""),"")</f>
        <v/>
      </c>
      <c r="L1952" s="5" t="str">
        <f t="shared" si="1"/>
        <v/>
      </c>
    </row>
    <row r="1953" ht="15.75" customHeight="1">
      <c r="B1953" s="26"/>
      <c r="K1953" s="5" t="str">
        <f>IF(J1953="Yes",IFERROR(VLOOKUP(C1953,'14_Master_Employees'!A:G,7,FALSE),""),"")</f>
        <v/>
      </c>
      <c r="L1953" s="5" t="str">
        <f t="shared" si="1"/>
        <v/>
      </c>
    </row>
    <row r="1954" ht="15.75" customHeight="1">
      <c r="B1954" s="26"/>
      <c r="K1954" s="5" t="str">
        <f>IF(J1954="Yes",IFERROR(VLOOKUP(C1954,'14_Master_Employees'!A:G,7,FALSE),""),"")</f>
        <v/>
      </c>
      <c r="L1954" s="5" t="str">
        <f t="shared" si="1"/>
        <v/>
      </c>
    </row>
    <row r="1955" ht="15.75" customHeight="1">
      <c r="B1955" s="26"/>
      <c r="K1955" s="5" t="str">
        <f>IF(J1955="Yes",IFERROR(VLOOKUP(C1955,'14_Master_Employees'!A:G,7,FALSE),""),"")</f>
        <v/>
      </c>
      <c r="L1955" s="5" t="str">
        <f t="shared" si="1"/>
        <v/>
      </c>
    </row>
    <row r="1956" ht="15.75" customHeight="1">
      <c r="B1956" s="26"/>
      <c r="K1956" s="5" t="str">
        <f>IF(J1956="Yes",IFERROR(VLOOKUP(C1956,'14_Master_Employees'!A:G,7,FALSE),""),"")</f>
        <v/>
      </c>
      <c r="L1956" s="5" t="str">
        <f t="shared" si="1"/>
        <v/>
      </c>
    </row>
    <row r="1957" ht="15.75" customHeight="1">
      <c r="B1957" s="26"/>
      <c r="K1957" s="5" t="str">
        <f>IF(J1957="Yes",IFERROR(VLOOKUP(C1957,'14_Master_Employees'!A:G,7,FALSE),""),"")</f>
        <v/>
      </c>
      <c r="L1957" s="5" t="str">
        <f t="shared" si="1"/>
        <v/>
      </c>
    </row>
    <row r="1958" ht="15.75" customHeight="1">
      <c r="B1958" s="26"/>
      <c r="K1958" s="5" t="str">
        <f>IF(J1958="Yes",IFERROR(VLOOKUP(C1958,'14_Master_Employees'!A:G,7,FALSE),""),"")</f>
        <v/>
      </c>
      <c r="L1958" s="5" t="str">
        <f t="shared" si="1"/>
        <v/>
      </c>
    </row>
    <row r="1959" ht="15.75" customHeight="1">
      <c r="B1959" s="26"/>
      <c r="K1959" s="5" t="str">
        <f>IF(J1959="Yes",IFERROR(VLOOKUP(C1959,'14_Master_Employees'!A:G,7,FALSE),""),"")</f>
        <v/>
      </c>
      <c r="L1959" s="5" t="str">
        <f t="shared" si="1"/>
        <v/>
      </c>
    </row>
    <row r="1960" ht="15.75" customHeight="1">
      <c r="B1960" s="26"/>
      <c r="K1960" s="5" t="str">
        <f>IF(J1960="Yes",IFERROR(VLOOKUP(C1960,'14_Master_Employees'!A:G,7,FALSE),""),"")</f>
        <v/>
      </c>
      <c r="L1960" s="5" t="str">
        <f t="shared" si="1"/>
        <v/>
      </c>
    </row>
    <row r="1961" ht="15.75" customHeight="1">
      <c r="B1961" s="26"/>
      <c r="K1961" s="5" t="str">
        <f>IF(J1961="Yes",IFERROR(VLOOKUP(C1961,'14_Master_Employees'!A:G,7,FALSE),""),"")</f>
        <v/>
      </c>
      <c r="L1961" s="5" t="str">
        <f t="shared" si="1"/>
        <v/>
      </c>
    </row>
    <row r="1962" ht="15.75" customHeight="1">
      <c r="B1962" s="26"/>
      <c r="K1962" s="5" t="str">
        <f>IF(J1962="Yes",IFERROR(VLOOKUP(C1962,'14_Master_Employees'!A:G,7,FALSE),""),"")</f>
        <v/>
      </c>
      <c r="L1962" s="5" t="str">
        <f t="shared" si="1"/>
        <v/>
      </c>
    </row>
    <row r="1963" ht="15.75" customHeight="1">
      <c r="B1963" s="26"/>
      <c r="K1963" s="5" t="str">
        <f>IF(J1963="Yes",IFERROR(VLOOKUP(C1963,'14_Master_Employees'!A:G,7,FALSE),""),"")</f>
        <v/>
      </c>
      <c r="L1963" s="5" t="str">
        <f t="shared" si="1"/>
        <v/>
      </c>
    </row>
    <row r="1964" ht="15.75" customHeight="1">
      <c r="B1964" s="26"/>
      <c r="K1964" s="5" t="str">
        <f>IF(J1964="Yes",IFERROR(VLOOKUP(C1964,'14_Master_Employees'!A:G,7,FALSE),""),"")</f>
        <v/>
      </c>
      <c r="L1964" s="5" t="str">
        <f t="shared" si="1"/>
        <v/>
      </c>
    </row>
    <row r="1965" ht="15.75" customHeight="1">
      <c r="B1965" s="26"/>
      <c r="K1965" s="5" t="str">
        <f>IF(J1965="Yes",IFERROR(VLOOKUP(C1965,'14_Master_Employees'!A:G,7,FALSE),""),"")</f>
        <v/>
      </c>
      <c r="L1965" s="5" t="str">
        <f t="shared" si="1"/>
        <v/>
      </c>
    </row>
    <row r="1966" ht="15.75" customHeight="1">
      <c r="B1966" s="26"/>
      <c r="K1966" s="5" t="str">
        <f>IF(J1966="Yes",IFERROR(VLOOKUP(C1966,'14_Master_Employees'!A:G,7,FALSE),""),"")</f>
        <v/>
      </c>
      <c r="L1966" s="5" t="str">
        <f t="shared" si="1"/>
        <v/>
      </c>
    </row>
    <row r="1967" ht="15.75" customHeight="1">
      <c r="B1967" s="26"/>
      <c r="K1967" s="5" t="str">
        <f>IF(J1967="Yes",IFERROR(VLOOKUP(C1967,'14_Master_Employees'!A:G,7,FALSE),""),"")</f>
        <v/>
      </c>
      <c r="L1967" s="5" t="str">
        <f t="shared" si="1"/>
        <v/>
      </c>
    </row>
    <row r="1968" ht="15.75" customHeight="1">
      <c r="B1968" s="26"/>
      <c r="K1968" s="5" t="str">
        <f>IF(J1968="Yes",IFERROR(VLOOKUP(C1968,'14_Master_Employees'!A:G,7,FALSE),""),"")</f>
        <v/>
      </c>
      <c r="L1968" s="5" t="str">
        <f t="shared" si="1"/>
        <v/>
      </c>
    </row>
    <row r="1969" ht="15.75" customHeight="1">
      <c r="B1969" s="26"/>
      <c r="K1969" s="5" t="str">
        <f>IF(J1969="Yes",IFERROR(VLOOKUP(C1969,'14_Master_Employees'!A:G,7,FALSE),""),"")</f>
        <v/>
      </c>
      <c r="L1969" s="5" t="str">
        <f t="shared" si="1"/>
        <v/>
      </c>
    </row>
    <row r="1970" ht="15.75" customHeight="1">
      <c r="B1970" s="26"/>
      <c r="K1970" s="5" t="str">
        <f>IF(J1970="Yes",IFERROR(VLOOKUP(C1970,'14_Master_Employees'!A:G,7,FALSE),""),"")</f>
        <v/>
      </c>
      <c r="L1970" s="5" t="str">
        <f t="shared" si="1"/>
        <v/>
      </c>
    </row>
    <row r="1971" ht="15.75" customHeight="1">
      <c r="B1971" s="26"/>
      <c r="K1971" s="5" t="str">
        <f>IF(J1971="Yes",IFERROR(VLOOKUP(C1971,'14_Master_Employees'!A:G,7,FALSE),""),"")</f>
        <v/>
      </c>
      <c r="L1971" s="5" t="str">
        <f t="shared" si="1"/>
        <v/>
      </c>
    </row>
    <row r="1972" ht="15.75" customHeight="1">
      <c r="B1972" s="26"/>
      <c r="K1972" s="5" t="str">
        <f>IF(J1972="Yes",IFERROR(VLOOKUP(C1972,'14_Master_Employees'!A:G,7,FALSE),""),"")</f>
        <v/>
      </c>
      <c r="L1972" s="5" t="str">
        <f t="shared" si="1"/>
        <v/>
      </c>
    </row>
    <row r="1973" ht="15.75" customHeight="1">
      <c r="B1973" s="26"/>
      <c r="K1973" s="5" t="str">
        <f>IF(J1973="Yes",IFERROR(VLOOKUP(C1973,'14_Master_Employees'!A:G,7,FALSE),""),"")</f>
        <v/>
      </c>
      <c r="L1973" s="5" t="str">
        <f t="shared" si="1"/>
        <v/>
      </c>
    </row>
    <row r="1974" ht="15.75" customHeight="1">
      <c r="B1974" s="26"/>
      <c r="K1974" s="5" t="str">
        <f>IF(J1974="Yes",IFERROR(VLOOKUP(C1974,'14_Master_Employees'!A:G,7,FALSE),""),"")</f>
        <v/>
      </c>
      <c r="L1974" s="5" t="str">
        <f t="shared" si="1"/>
        <v/>
      </c>
    </row>
    <row r="1975" ht="15.75" customHeight="1">
      <c r="B1975" s="26"/>
      <c r="K1975" s="5" t="str">
        <f>IF(J1975="Yes",IFERROR(VLOOKUP(C1975,'14_Master_Employees'!A:G,7,FALSE),""),"")</f>
        <v/>
      </c>
      <c r="L1975" s="5" t="str">
        <f t="shared" si="1"/>
        <v/>
      </c>
    </row>
    <row r="1976" ht="15.75" customHeight="1">
      <c r="B1976" s="26"/>
      <c r="K1976" s="5" t="str">
        <f>IF(J1976="Yes",IFERROR(VLOOKUP(C1976,'14_Master_Employees'!A:G,7,FALSE),""),"")</f>
        <v/>
      </c>
      <c r="L1976" s="5" t="str">
        <f t="shared" si="1"/>
        <v/>
      </c>
    </row>
    <row r="1977" ht="15.75" customHeight="1">
      <c r="B1977" s="26"/>
      <c r="K1977" s="5" t="str">
        <f>IF(J1977="Yes",IFERROR(VLOOKUP(C1977,'14_Master_Employees'!A:G,7,FALSE),""),"")</f>
        <v/>
      </c>
      <c r="L1977" s="5" t="str">
        <f t="shared" si="1"/>
        <v/>
      </c>
    </row>
    <row r="1978" ht="15.75" customHeight="1">
      <c r="B1978" s="26"/>
      <c r="K1978" s="5" t="str">
        <f>IF(J1978="Yes",IFERROR(VLOOKUP(C1978,'14_Master_Employees'!A:G,7,FALSE),""),"")</f>
        <v/>
      </c>
      <c r="L1978" s="5" t="str">
        <f t="shared" si="1"/>
        <v/>
      </c>
    </row>
    <row r="1979" ht="15.75" customHeight="1">
      <c r="B1979" s="26"/>
      <c r="K1979" s="5" t="str">
        <f>IF(J1979="Yes",IFERROR(VLOOKUP(C1979,'14_Master_Employees'!A:G,7,FALSE),""),"")</f>
        <v/>
      </c>
      <c r="L1979" s="5" t="str">
        <f t="shared" si="1"/>
        <v/>
      </c>
    </row>
    <row r="1980" ht="15.75" customHeight="1">
      <c r="B1980" s="26"/>
      <c r="K1980" s="5" t="str">
        <f>IF(J1980="Yes",IFERROR(VLOOKUP(C1980,'14_Master_Employees'!A:G,7,FALSE),""),"")</f>
        <v/>
      </c>
      <c r="L1980" s="5" t="str">
        <f t="shared" si="1"/>
        <v/>
      </c>
    </row>
    <row r="1981" ht="15.75" customHeight="1">
      <c r="B1981" s="26"/>
      <c r="K1981" s="5" t="str">
        <f>IF(J1981="Yes",IFERROR(VLOOKUP(C1981,'14_Master_Employees'!A:G,7,FALSE),""),"")</f>
        <v/>
      </c>
      <c r="L1981" s="5" t="str">
        <f t="shared" si="1"/>
        <v/>
      </c>
    </row>
    <row r="1982" ht="15.75" customHeight="1">
      <c r="B1982" s="26"/>
      <c r="K1982" s="5" t="str">
        <f>IF(J1982="Yes",IFERROR(VLOOKUP(C1982,'14_Master_Employees'!A:G,7,FALSE),""),"")</f>
        <v/>
      </c>
      <c r="L1982" s="5" t="str">
        <f t="shared" si="1"/>
        <v/>
      </c>
    </row>
    <row r="1983" ht="15.75" customHeight="1">
      <c r="B1983" s="26"/>
      <c r="K1983" s="5" t="str">
        <f>IF(J1983="Yes",IFERROR(VLOOKUP(C1983,'14_Master_Employees'!A:G,7,FALSE),""),"")</f>
        <v/>
      </c>
      <c r="L1983" s="5" t="str">
        <f t="shared" si="1"/>
        <v/>
      </c>
    </row>
    <row r="1984" ht="15.75" customHeight="1">
      <c r="B1984" s="26"/>
      <c r="K1984" s="5" t="str">
        <f>IF(J1984="Yes",IFERROR(VLOOKUP(C1984,'14_Master_Employees'!A:G,7,FALSE),""),"")</f>
        <v/>
      </c>
      <c r="L1984" s="5" t="str">
        <f t="shared" si="1"/>
        <v/>
      </c>
    </row>
    <row r="1985" ht="15.75" customHeight="1">
      <c r="B1985" s="26"/>
      <c r="K1985" s="5" t="str">
        <f>IF(J1985="Yes",IFERROR(VLOOKUP(C1985,'14_Master_Employees'!A:G,7,FALSE),""),"")</f>
        <v/>
      </c>
      <c r="L1985" s="5" t="str">
        <f t="shared" si="1"/>
        <v/>
      </c>
    </row>
    <row r="1986" ht="15.75" customHeight="1">
      <c r="B1986" s="26"/>
      <c r="K1986" s="5" t="str">
        <f>IF(J1986="Yes",IFERROR(VLOOKUP(C1986,'14_Master_Employees'!A:G,7,FALSE),""),"")</f>
        <v/>
      </c>
      <c r="L1986" s="5" t="str">
        <f t="shared" si="1"/>
        <v/>
      </c>
    </row>
    <row r="1987" ht="15.75" customHeight="1">
      <c r="B1987" s="26"/>
      <c r="K1987" s="5" t="str">
        <f>IF(J1987="Yes",IFERROR(VLOOKUP(C1987,'14_Master_Employees'!A:G,7,FALSE),""),"")</f>
        <v/>
      </c>
      <c r="L1987" s="5" t="str">
        <f t="shared" si="1"/>
        <v/>
      </c>
    </row>
    <row r="1988" ht="15.75" customHeight="1">
      <c r="B1988" s="26"/>
      <c r="K1988" s="5" t="str">
        <f>IF(J1988="Yes",IFERROR(VLOOKUP(C1988,'14_Master_Employees'!A:G,7,FALSE),""),"")</f>
        <v/>
      </c>
      <c r="L1988" s="5" t="str">
        <f t="shared" si="1"/>
        <v/>
      </c>
    </row>
    <row r="1989" ht="15.75" customHeight="1">
      <c r="B1989" s="26"/>
      <c r="K1989" s="5" t="str">
        <f>IF(J1989="Yes",IFERROR(VLOOKUP(C1989,'14_Master_Employees'!A:G,7,FALSE),""),"")</f>
        <v/>
      </c>
      <c r="L1989" s="5" t="str">
        <f t="shared" si="1"/>
        <v/>
      </c>
    </row>
    <row r="1990" ht="15.75" customHeight="1">
      <c r="B1990" s="26"/>
      <c r="K1990" s="5" t="str">
        <f>IF(J1990="Yes",IFERROR(VLOOKUP(C1990,'14_Master_Employees'!A:G,7,FALSE),""),"")</f>
        <v/>
      </c>
      <c r="L1990" s="5" t="str">
        <f t="shared" si="1"/>
        <v/>
      </c>
    </row>
    <row r="1991" ht="15.75" customHeight="1">
      <c r="B1991" s="26"/>
      <c r="K1991" s="5" t="str">
        <f>IF(J1991="Yes",IFERROR(VLOOKUP(C1991,'14_Master_Employees'!A:G,7,FALSE),""),"")</f>
        <v/>
      </c>
      <c r="L1991" s="5" t="str">
        <f t="shared" si="1"/>
        <v/>
      </c>
    </row>
    <row r="1992" ht="15.75" customHeight="1">
      <c r="B1992" s="26"/>
      <c r="K1992" s="5" t="str">
        <f>IF(J1992="Yes",IFERROR(VLOOKUP(C1992,'14_Master_Employees'!A:G,7,FALSE),""),"")</f>
        <v/>
      </c>
      <c r="L1992" s="5" t="str">
        <f t="shared" si="1"/>
        <v/>
      </c>
    </row>
    <row r="1993" ht="15.75" customHeight="1">
      <c r="B1993" s="26"/>
      <c r="K1993" s="5" t="str">
        <f>IF(J1993="Yes",IFERROR(VLOOKUP(C1993,'14_Master_Employees'!A:G,7,FALSE),""),"")</f>
        <v/>
      </c>
      <c r="L1993" s="5" t="str">
        <f t="shared" si="1"/>
        <v/>
      </c>
    </row>
    <row r="1994" ht="15.75" customHeight="1">
      <c r="B1994" s="26"/>
      <c r="K1994" s="5" t="str">
        <f>IF(J1994="Yes",IFERROR(VLOOKUP(C1994,'14_Master_Employees'!A:G,7,FALSE),""),"")</f>
        <v/>
      </c>
      <c r="L1994" s="5" t="str">
        <f t="shared" si="1"/>
        <v/>
      </c>
    </row>
    <row r="1995" ht="15.75" customHeight="1">
      <c r="B1995" s="26"/>
      <c r="K1995" s="5" t="str">
        <f>IF(J1995="Yes",IFERROR(VLOOKUP(C1995,'14_Master_Employees'!A:G,7,FALSE),""),"")</f>
        <v/>
      </c>
      <c r="L1995" s="5" t="str">
        <f t="shared" si="1"/>
        <v/>
      </c>
    </row>
    <row r="1996" ht="15.75" customHeight="1">
      <c r="B1996" s="26"/>
      <c r="K1996" s="5" t="str">
        <f>IF(J1996="Yes",IFERROR(VLOOKUP(C1996,'14_Master_Employees'!A:G,7,FALSE),""),"")</f>
        <v/>
      </c>
      <c r="L1996" s="5" t="str">
        <f t="shared" si="1"/>
        <v/>
      </c>
    </row>
    <row r="1997" ht="15.75" customHeight="1">
      <c r="B1997" s="26"/>
      <c r="K1997" s="5" t="str">
        <f>IF(J1997="Yes",IFERROR(VLOOKUP(C1997,'14_Master_Employees'!A:G,7,FALSE),""),"")</f>
        <v/>
      </c>
      <c r="L1997" s="5" t="str">
        <f t="shared" si="1"/>
        <v/>
      </c>
    </row>
    <row r="1998" ht="15.75" customHeight="1">
      <c r="B1998" s="26"/>
      <c r="K1998" s="5" t="str">
        <f>IF(J1998="Yes",IFERROR(VLOOKUP(C1998,'14_Master_Employees'!A:G,7,FALSE),""),"")</f>
        <v/>
      </c>
      <c r="L1998" s="5" t="str">
        <f t="shared" si="1"/>
        <v/>
      </c>
    </row>
    <row r="1999" ht="15.75" customHeight="1">
      <c r="B1999" s="26"/>
      <c r="K1999" s="5" t="str">
        <f>IF(J1999="Yes",IFERROR(VLOOKUP(C1999,'14_Master_Employees'!A:G,7,FALSE),""),"")</f>
        <v/>
      </c>
      <c r="L1999" s="5" t="str">
        <f t="shared" si="1"/>
        <v/>
      </c>
    </row>
    <row r="2000" ht="15.75" customHeight="1">
      <c r="B2000" s="26"/>
      <c r="K2000" s="5" t="str">
        <f>IF(J2000="Yes",IFERROR(VLOOKUP(C2000,'14_Master_Employees'!A:G,7,FALSE),""),"")</f>
        <v/>
      </c>
      <c r="L2000" s="5" t="str">
        <f t="shared" si="1"/>
        <v/>
      </c>
    </row>
    <row r="2001" ht="15.75" customHeight="1">
      <c r="K2001" s="5" t="str">
        <f>IF(J2001="Yes",IFERROR(VLOOKUP(C2001,'14_Master_Employees'!A:G,7,FALSE),""),"")</f>
        <v/>
      </c>
      <c r="L2001" s="5" t="str">
        <f t="shared" si="1"/>
        <v/>
      </c>
    </row>
    <row r="2002" ht="15.75" customHeight="1">
      <c r="K2002" s="5" t="str">
        <f>IF(J2002="Yes",IFERROR(VLOOKUP(C2002,'14_Master_Employees'!A:G,7,FALSE),""),"")</f>
        <v/>
      </c>
      <c r="L2002" s="5" t="str">
        <f t="shared" si="1"/>
        <v/>
      </c>
    </row>
    <row r="2003" ht="15.75" customHeight="1">
      <c r="K2003" s="5" t="str">
        <f>IF(J2003="Yes",IFERROR(VLOOKUP(C2003,'14_Master_Employees'!A:G,7,FALSE),""),"")</f>
        <v/>
      </c>
      <c r="L2003" s="5" t="str">
        <f t="shared" si="1"/>
        <v/>
      </c>
    </row>
    <row r="2004" ht="15.75" customHeight="1">
      <c r="K2004" s="5" t="str">
        <f>IF(J2004="Yes",IFERROR(VLOOKUP(C2004,'14_Master_Employees'!A:G,7,FALSE),""),"")</f>
        <v/>
      </c>
      <c r="L2004" s="5" t="str">
        <f t="shared" si="1"/>
        <v/>
      </c>
    </row>
  </sheetData>
  <customSheetViews>
    <customSheetView guid="{09171407-5CBE-4994-86C9-A423BD3C3D89}" filter="1" showAutoFilter="1">
      <autoFilter ref="$A$4:$O$5"/>
      <extLst>
        <ext uri="GoogleSheetsCustomDataVersion1">
          <go:sheetsCustomData xmlns:go="http://customooxmlschemas.google.com/" filterViewId="1361036684"/>
        </ext>
      </extLst>
    </customSheetView>
  </customSheetViews>
  <mergeCells count="2">
    <mergeCell ref="A1:H1"/>
    <mergeCell ref="A2:L2"/>
  </mergeCells>
  <printOptions/>
  <pageMargins bottom="1.0" footer="0.0" header="0.0" left="0.75" right="0.75" top="1.0"/>
  <pageSetup fitToHeight="0" orientation="landscape"/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14.0"/>
    <col customWidth="1" min="3" max="4" width="18.0"/>
    <col customWidth="1" min="5" max="6" width="14.0"/>
    <col customWidth="1" min="7" max="7" width="16.0"/>
    <col customWidth="1" min="8" max="10" width="30.0"/>
    <col customWidth="1" min="11" max="11" width="20.0"/>
    <col customWidth="1" min="12" max="12" width="14.0"/>
    <col customWidth="1" min="13" max="13" width="20.0"/>
    <col customWidth="1" min="14" max="14" width="16.0"/>
    <col customWidth="1" min="15" max="15" width="18.0"/>
    <col customWidth="1" min="16" max="16" width="35.0"/>
    <col customWidth="1" min="17" max="26" width="8.71"/>
  </cols>
  <sheetData>
    <row r="1">
      <c r="A1" s="1" t="s">
        <v>425</v>
      </c>
    </row>
    <row r="2">
      <c r="A2" s="2" t="s">
        <v>426</v>
      </c>
    </row>
    <row r="4">
      <c r="A4" s="7" t="s">
        <v>427</v>
      </c>
      <c r="B4" s="7" t="s">
        <v>388</v>
      </c>
      <c r="C4" s="7" t="s">
        <v>247</v>
      </c>
      <c r="D4" s="7" t="s">
        <v>428</v>
      </c>
      <c r="E4" s="7" t="s">
        <v>352</v>
      </c>
      <c r="F4" s="7" t="s">
        <v>353</v>
      </c>
      <c r="G4" s="7" t="s">
        <v>354</v>
      </c>
      <c r="H4" s="7" t="s">
        <v>429</v>
      </c>
      <c r="I4" s="7" t="s">
        <v>430</v>
      </c>
      <c r="J4" s="7" t="s">
        <v>431</v>
      </c>
      <c r="K4" s="7" t="s">
        <v>432</v>
      </c>
      <c r="L4" s="7" t="s">
        <v>433</v>
      </c>
      <c r="M4" s="7" t="s">
        <v>394</v>
      </c>
      <c r="N4" s="7" t="s">
        <v>4</v>
      </c>
      <c r="O4" s="7" t="s">
        <v>434</v>
      </c>
      <c r="P4" s="7" t="s">
        <v>359</v>
      </c>
    </row>
    <row r="5">
      <c r="B5" s="25"/>
      <c r="O5" s="25"/>
    </row>
    <row r="6">
      <c r="B6" s="26"/>
      <c r="O6" s="26"/>
    </row>
    <row r="7">
      <c r="B7" s="26"/>
      <c r="O7" s="26"/>
    </row>
    <row r="8">
      <c r="B8" s="26"/>
      <c r="O8" s="26"/>
    </row>
    <row r="9">
      <c r="B9" s="26"/>
      <c r="O9" s="26"/>
    </row>
    <row r="10">
      <c r="B10" s="26"/>
      <c r="O10" s="26"/>
    </row>
    <row r="11">
      <c r="B11" s="26"/>
      <c r="O11" s="26"/>
    </row>
    <row r="12">
      <c r="B12" s="26"/>
      <c r="O12" s="26"/>
    </row>
    <row r="13">
      <c r="B13" s="26"/>
      <c r="O13" s="26"/>
    </row>
    <row r="14">
      <c r="B14" s="26"/>
      <c r="O14" s="26"/>
    </row>
    <row r="15">
      <c r="B15" s="26"/>
      <c r="O15" s="26"/>
    </row>
    <row r="16">
      <c r="B16" s="26"/>
      <c r="O16" s="26"/>
    </row>
    <row r="17">
      <c r="B17" s="26"/>
      <c r="O17" s="26"/>
    </row>
    <row r="18">
      <c r="B18" s="26"/>
      <c r="O18" s="26"/>
    </row>
    <row r="19">
      <c r="B19" s="26"/>
      <c r="O19" s="26"/>
    </row>
    <row r="20">
      <c r="B20" s="26"/>
      <c r="O20" s="26"/>
    </row>
    <row r="21" ht="15.75" customHeight="1">
      <c r="B21" s="26"/>
      <c r="O21" s="26"/>
    </row>
    <row r="22" ht="15.75" customHeight="1">
      <c r="B22" s="26"/>
      <c r="O22" s="26"/>
    </row>
    <row r="23" ht="15.75" customHeight="1">
      <c r="B23" s="26"/>
      <c r="O23" s="26"/>
    </row>
    <row r="24" ht="15.75" customHeight="1">
      <c r="B24" s="26"/>
      <c r="O24" s="26"/>
    </row>
    <row r="25" ht="15.75" customHeight="1">
      <c r="B25" s="26"/>
      <c r="O25" s="26"/>
    </row>
    <row r="26" ht="15.75" customHeight="1">
      <c r="B26" s="26"/>
      <c r="O26" s="26"/>
    </row>
    <row r="27" ht="15.75" customHeight="1">
      <c r="B27" s="26"/>
      <c r="O27" s="26"/>
    </row>
    <row r="28" ht="15.75" customHeight="1">
      <c r="B28" s="26"/>
      <c r="O28" s="26"/>
    </row>
    <row r="29" ht="15.75" customHeight="1">
      <c r="B29" s="26"/>
      <c r="O29" s="26"/>
    </row>
    <row r="30" ht="15.75" customHeight="1">
      <c r="B30" s="26"/>
      <c r="O30" s="26"/>
    </row>
    <row r="31" ht="15.75" customHeight="1">
      <c r="B31" s="26"/>
      <c r="O31" s="26"/>
    </row>
    <row r="32" ht="15.75" customHeight="1">
      <c r="B32" s="26"/>
      <c r="O32" s="26"/>
    </row>
    <row r="33" ht="15.75" customHeight="1">
      <c r="B33" s="26"/>
      <c r="O33" s="26"/>
    </row>
    <row r="34" ht="15.75" customHeight="1">
      <c r="B34" s="26"/>
      <c r="O34" s="26"/>
    </row>
    <row r="35" ht="15.75" customHeight="1">
      <c r="B35" s="26"/>
      <c r="O35" s="26"/>
    </row>
    <row r="36" ht="15.75" customHeight="1">
      <c r="B36" s="26"/>
      <c r="O36" s="26"/>
    </row>
    <row r="37" ht="15.75" customHeight="1">
      <c r="B37" s="26"/>
      <c r="O37" s="26"/>
    </row>
    <row r="38" ht="15.75" customHeight="1">
      <c r="B38" s="26"/>
      <c r="O38" s="26"/>
    </row>
    <row r="39" ht="15.75" customHeight="1">
      <c r="B39" s="26"/>
      <c r="O39" s="26"/>
    </row>
    <row r="40" ht="15.75" customHeight="1">
      <c r="B40" s="26"/>
      <c r="O40" s="26"/>
    </row>
    <row r="41" ht="15.75" customHeight="1">
      <c r="B41" s="26"/>
      <c r="O41" s="26"/>
    </row>
    <row r="42" ht="15.75" customHeight="1">
      <c r="B42" s="26"/>
      <c r="O42" s="26"/>
    </row>
    <row r="43" ht="15.75" customHeight="1">
      <c r="B43" s="26"/>
      <c r="O43" s="26"/>
    </row>
    <row r="44" ht="15.75" customHeight="1">
      <c r="B44" s="26"/>
      <c r="O44" s="26"/>
    </row>
    <row r="45" ht="15.75" customHeight="1">
      <c r="B45" s="26"/>
      <c r="O45" s="26"/>
    </row>
    <row r="46" ht="15.75" customHeight="1">
      <c r="B46" s="26"/>
      <c r="O46" s="26"/>
    </row>
    <row r="47" ht="15.75" customHeight="1">
      <c r="B47" s="26"/>
      <c r="O47" s="26"/>
    </row>
    <row r="48" ht="15.75" customHeight="1">
      <c r="B48" s="26"/>
      <c r="O48" s="26"/>
    </row>
    <row r="49" ht="15.75" customHeight="1">
      <c r="B49" s="26"/>
      <c r="O49" s="26"/>
    </row>
    <row r="50" ht="15.75" customHeight="1">
      <c r="B50" s="26"/>
      <c r="O50" s="26"/>
    </row>
    <row r="51" ht="15.75" customHeight="1">
      <c r="B51" s="26"/>
      <c r="O51" s="26"/>
    </row>
    <row r="52" ht="15.75" customHeight="1">
      <c r="B52" s="26"/>
      <c r="O52" s="26"/>
    </row>
    <row r="53" ht="15.75" customHeight="1">
      <c r="B53" s="26"/>
      <c r="O53" s="26"/>
    </row>
    <row r="54" ht="15.75" customHeight="1">
      <c r="B54" s="26"/>
      <c r="O54" s="26"/>
    </row>
    <row r="55" ht="15.75" customHeight="1">
      <c r="B55" s="26"/>
      <c r="O55" s="26"/>
    </row>
    <row r="56" ht="15.75" customHeight="1">
      <c r="B56" s="26"/>
      <c r="O56" s="26"/>
    </row>
    <row r="57" ht="15.75" customHeight="1">
      <c r="B57" s="26"/>
      <c r="O57" s="26"/>
    </row>
    <row r="58" ht="15.75" customHeight="1">
      <c r="B58" s="26"/>
      <c r="O58" s="26"/>
    </row>
    <row r="59" ht="15.75" customHeight="1">
      <c r="B59" s="26"/>
      <c r="O59" s="26"/>
    </row>
    <row r="60" ht="15.75" customHeight="1">
      <c r="B60" s="26"/>
      <c r="O60" s="26"/>
    </row>
    <row r="61" ht="15.75" customHeight="1">
      <c r="B61" s="26"/>
      <c r="O61" s="26"/>
    </row>
    <row r="62" ht="15.75" customHeight="1">
      <c r="B62" s="26"/>
      <c r="O62" s="26"/>
    </row>
    <row r="63" ht="15.75" customHeight="1">
      <c r="B63" s="26"/>
      <c r="O63" s="26"/>
    </row>
    <row r="64" ht="15.75" customHeight="1">
      <c r="B64" s="26"/>
      <c r="O64" s="26"/>
    </row>
    <row r="65" ht="15.75" customHeight="1">
      <c r="B65" s="26"/>
      <c r="O65" s="26"/>
    </row>
    <row r="66" ht="15.75" customHeight="1">
      <c r="B66" s="26"/>
      <c r="O66" s="26"/>
    </row>
    <row r="67" ht="15.75" customHeight="1">
      <c r="B67" s="26"/>
      <c r="O67" s="26"/>
    </row>
    <row r="68" ht="15.75" customHeight="1">
      <c r="B68" s="26"/>
      <c r="O68" s="26"/>
    </row>
    <row r="69" ht="15.75" customHeight="1">
      <c r="B69" s="26"/>
      <c r="O69" s="26"/>
    </row>
    <row r="70" ht="15.75" customHeight="1">
      <c r="B70" s="26"/>
      <c r="O70" s="26"/>
    </row>
    <row r="71" ht="15.75" customHeight="1">
      <c r="B71" s="26"/>
      <c r="O71" s="26"/>
    </row>
    <row r="72" ht="15.75" customHeight="1">
      <c r="B72" s="26"/>
      <c r="O72" s="26"/>
    </row>
    <row r="73" ht="15.75" customHeight="1">
      <c r="B73" s="26"/>
      <c r="O73" s="26"/>
    </row>
    <row r="74" ht="15.75" customHeight="1">
      <c r="B74" s="26"/>
      <c r="O74" s="26"/>
    </row>
    <row r="75" ht="15.75" customHeight="1">
      <c r="B75" s="26"/>
      <c r="O75" s="26"/>
    </row>
    <row r="76" ht="15.75" customHeight="1">
      <c r="B76" s="26"/>
      <c r="O76" s="26"/>
    </row>
    <row r="77" ht="15.75" customHeight="1">
      <c r="B77" s="26"/>
      <c r="O77" s="26"/>
    </row>
    <row r="78" ht="15.75" customHeight="1">
      <c r="B78" s="26"/>
      <c r="O78" s="26"/>
    </row>
    <row r="79" ht="15.75" customHeight="1">
      <c r="B79" s="26"/>
      <c r="O79" s="26"/>
    </row>
    <row r="80" ht="15.75" customHeight="1">
      <c r="B80" s="26"/>
      <c r="O80" s="26"/>
    </row>
    <row r="81" ht="15.75" customHeight="1">
      <c r="B81" s="26"/>
      <c r="O81" s="26"/>
    </row>
    <row r="82" ht="15.75" customHeight="1">
      <c r="B82" s="26"/>
      <c r="O82" s="26"/>
    </row>
    <row r="83" ht="15.75" customHeight="1">
      <c r="B83" s="26"/>
      <c r="O83" s="26"/>
    </row>
    <row r="84" ht="15.75" customHeight="1">
      <c r="B84" s="26"/>
      <c r="O84" s="26"/>
    </row>
    <row r="85" ht="15.75" customHeight="1">
      <c r="B85" s="26"/>
      <c r="O85" s="26"/>
    </row>
    <row r="86" ht="15.75" customHeight="1">
      <c r="B86" s="26"/>
      <c r="O86" s="26"/>
    </row>
    <row r="87" ht="15.75" customHeight="1">
      <c r="B87" s="26"/>
      <c r="O87" s="26"/>
    </row>
    <row r="88" ht="15.75" customHeight="1">
      <c r="B88" s="26"/>
      <c r="O88" s="26"/>
    </row>
    <row r="89" ht="15.75" customHeight="1">
      <c r="B89" s="26"/>
      <c r="O89" s="26"/>
    </row>
    <row r="90" ht="15.75" customHeight="1">
      <c r="B90" s="26"/>
      <c r="O90" s="26"/>
    </row>
    <row r="91" ht="15.75" customHeight="1">
      <c r="B91" s="26"/>
      <c r="O91" s="26"/>
    </row>
    <row r="92" ht="15.75" customHeight="1">
      <c r="B92" s="26"/>
      <c r="O92" s="26"/>
    </row>
    <row r="93" ht="15.75" customHeight="1">
      <c r="B93" s="26"/>
      <c r="O93" s="26"/>
    </row>
    <row r="94" ht="15.75" customHeight="1">
      <c r="B94" s="26"/>
      <c r="O94" s="26"/>
    </row>
    <row r="95" ht="15.75" customHeight="1">
      <c r="B95" s="26"/>
      <c r="O95" s="26"/>
    </row>
    <row r="96" ht="15.75" customHeight="1">
      <c r="B96" s="26"/>
      <c r="O96" s="26"/>
    </row>
    <row r="97" ht="15.75" customHeight="1">
      <c r="B97" s="26"/>
      <c r="O97" s="26"/>
    </row>
    <row r="98" ht="15.75" customHeight="1">
      <c r="B98" s="26"/>
      <c r="O98" s="26"/>
    </row>
    <row r="99" ht="15.75" customHeight="1">
      <c r="B99" s="26"/>
      <c r="O99" s="26"/>
    </row>
    <row r="100" ht="15.75" customHeight="1">
      <c r="B100" s="26"/>
      <c r="O100" s="26"/>
    </row>
    <row r="101" ht="15.75" customHeight="1">
      <c r="B101" s="26"/>
      <c r="O101" s="26"/>
    </row>
    <row r="102" ht="15.75" customHeight="1">
      <c r="B102" s="26"/>
      <c r="O102" s="26"/>
    </row>
    <row r="103" ht="15.75" customHeight="1">
      <c r="B103" s="26"/>
      <c r="O103" s="26"/>
    </row>
    <row r="104" ht="15.75" customHeight="1">
      <c r="B104" s="26"/>
      <c r="O104" s="26"/>
    </row>
    <row r="105" ht="15.75" customHeight="1">
      <c r="B105" s="26"/>
      <c r="O105" s="26"/>
    </row>
    <row r="106" ht="15.75" customHeight="1">
      <c r="B106" s="26"/>
      <c r="O106" s="26"/>
    </row>
    <row r="107" ht="15.75" customHeight="1">
      <c r="B107" s="26"/>
      <c r="O107" s="26"/>
    </row>
    <row r="108" ht="15.75" customHeight="1">
      <c r="B108" s="26"/>
      <c r="O108" s="26"/>
    </row>
    <row r="109" ht="15.75" customHeight="1">
      <c r="B109" s="26"/>
      <c r="O109" s="26"/>
    </row>
    <row r="110" ht="15.75" customHeight="1">
      <c r="B110" s="26"/>
      <c r="O110" s="26"/>
    </row>
    <row r="111" ht="15.75" customHeight="1">
      <c r="B111" s="26"/>
      <c r="O111" s="26"/>
    </row>
    <row r="112" ht="15.75" customHeight="1">
      <c r="B112" s="26"/>
      <c r="O112" s="26"/>
    </row>
    <row r="113" ht="15.75" customHeight="1">
      <c r="B113" s="26"/>
      <c r="O113" s="26"/>
    </row>
    <row r="114" ht="15.75" customHeight="1">
      <c r="B114" s="26"/>
      <c r="O114" s="26"/>
    </row>
    <row r="115" ht="15.75" customHeight="1">
      <c r="B115" s="26"/>
      <c r="O115" s="26"/>
    </row>
    <row r="116" ht="15.75" customHeight="1">
      <c r="B116" s="26"/>
      <c r="O116" s="26"/>
    </row>
    <row r="117" ht="15.75" customHeight="1">
      <c r="B117" s="26"/>
      <c r="O117" s="26"/>
    </row>
    <row r="118" ht="15.75" customHeight="1">
      <c r="B118" s="26"/>
      <c r="O118" s="26"/>
    </row>
    <row r="119" ht="15.75" customHeight="1">
      <c r="B119" s="26"/>
      <c r="O119" s="26"/>
    </row>
    <row r="120" ht="15.75" customHeight="1">
      <c r="B120" s="26"/>
      <c r="O120" s="26"/>
    </row>
    <row r="121" ht="15.75" customHeight="1">
      <c r="B121" s="26"/>
      <c r="O121" s="26"/>
    </row>
    <row r="122" ht="15.75" customHeight="1">
      <c r="B122" s="26"/>
      <c r="O122" s="26"/>
    </row>
    <row r="123" ht="15.75" customHeight="1">
      <c r="B123" s="26"/>
      <c r="O123" s="26"/>
    </row>
    <row r="124" ht="15.75" customHeight="1">
      <c r="B124" s="26"/>
      <c r="O124" s="26"/>
    </row>
    <row r="125" ht="15.75" customHeight="1">
      <c r="B125" s="26"/>
      <c r="O125" s="26"/>
    </row>
    <row r="126" ht="15.75" customHeight="1">
      <c r="B126" s="26"/>
      <c r="O126" s="26"/>
    </row>
    <row r="127" ht="15.75" customHeight="1">
      <c r="B127" s="26"/>
      <c r="O127" s="26"/>
    </row>
    <row r="128" ht="15.75" customHeight="1">
      <c r="B128" s="26"/>
      <c r="O128" s="26"/>
    </row>
    <row r="129" ht="15.75" customHeight="1">
      <c r="B129" s="26"/>
      <c r="O129" s="26"/>
    </row>
    <row r="130" ht="15.75" customHeight="1">
      <c r="B130" s="26"/>
      <c r="O130" s="26"/>
    </row>
    <row r="131" ht="15.75" customHeight="1">
      <c r="B131" s="26"/>
      <c r="O131" s="26"/>
    </row>
    <row r="132" ht="15.75" customHeight="1">
      <c r="B132" s="26"/>
      <c r="O132" s="26"/>
    </row>
    <row r="133" ht="15.75" customHeight="1">
      <c r="B133" s="26"/>
      <c r="O133" s="26"/>
    </row>
    <row r="134" ht="15.75" customHeight="1">
      <c r="B134" s="26"/>
      <c r="O134" s="26"/>
    </row>
    <row r="135" ht="15.75" customHeight="1">
      <c r="B135" s="26"/>
      <c r="O135" s="26"/>
    </row>
    <row r="136" ht="15.75" customHeight="1">
      <c r="B136" s="26"/>
      <c r="O136" s="26"/>
    </row>
    <row r="137" ht="15.75" customHeight="1">
      <c r="B137" s="26"/>
      <c r="O137" s="26"/>
    </row>
    <row r="138" ht="15.75" customHeight="1">
      <c r="B138" s="26"/>
      <c r="O138" s="26"/>
    </row>
    <row r="139" ht="15.75" customHeight="1">
      <c r="B139" s="26"/>
      <c r="O139" s="26"/>
    </row>
    <row r="140" ht="15.75" customHeight="1">
      <c r="B140" s="26"/>
      <c r="O140" s="26"/>
    </row>
    <row r="141" ht="15.75" customHeight="1">
      <c r="B141" s="26"/>
      <c r="O141" s="26"/>
    </row>
    <row r="142" ht="15.75" customHeight="1">
      <c r="B142" s="26"/>
      <c r="O142" s="26"/>
    </row>
    <row r="143" ht="15.75" customHeight="1">
      <c r="B143" s="26"/>
      <c r="O143" s="26"/>
    </row>
    <row r="144" ht="15.75" customHeight="1">
      <c r="B144" s="26"/>
      <c r="O144" s="26"/>
    </row>
    <row r="145" ht="15.75" customHeight="1">
      <c r="B145" s="26"/>
      <c r="O145" s="26"/>
    </row>
    <row r="146" ht="15.75" customHeight="1">
      <c r="B146" s="26"/>
      <c r="O146" s="26"/>
    </row>
    <row r="147" ht="15.75" customHeight="1">
      <c r="B147" s="26"/>
      <c r="O147" s="26"/>
    </row>
    <row r="148" ht="15.75" customHeight="1">
      <c r="B148" s="26"/>
      <c r="O148" s="26"/>
    </row>
    <row r="149" ht="15.75" customHeight="1">
      <c r="B149" s="26"/>
      <c r="O149" s="26"/>
    </row>
    <row r="150" ht="15.75" customHeight="1">
      <c r="B150" s="26"/>
      <c r="O150" s="26"/>
    </row>
    <row r="151" ht="15.75" customHeight="1">
      <c r="B151" s="26"/>
      <c r="O151" s="26"/>
    </row>
    <row r="152" ht="15.75" customHeight="1">
      <c r="B152" s="26"/>
      <c r="O152" s="26"/>
    </row>
    <row r="153" ht="15.75" customHeight="1">
      <c r="B153" s="26"/>
      <c r="O153" s="26"/>
    </row>
    <row r="154" ht="15.75" customHeight="1">
      <c r="B154" s="26"/>
      <c r="O154" s="26"/>
    </row>
    <row r="155" ht="15.75" customHeight="1">
      <c r="B155" s="26"/>
      <c r="O155" s="26"/>
    </row>
    <row r="156" ht="15.75" customHeight="1">
      <c r="B156" s="26"/>
      <c r="O156" s="26"/>
    </row>
    <row r="157" ht="15.75" customHeight="1">
      <c r="B157" s="26"/>
      <c r="O157" s="26"/>
    </row>
    <row r="158" ht="15.75" customHeight="1">
      <c r="B158" s="26"/>
      <c r="O158" s="26"/>
    </row>
    <row r="159" ht="15.75" customHeight="1">
      <c r="B159" s="26"/>
      <c r="O159" s="26"/>
    </row>
    <row r="160" ht="15.75" customHeight="1">
      <c r="B160" s="26"/>
      <c r="O160" s="26"/>
    </row>
    <row r="161" ht="15.75" customHeight="1">
      <c r="B161" s="26"/>
      <c r="O161" s="26"/>
    </row>
    <row r="162" ht="15.75" customHeight="1">
      <c r="B162" s="26"/>
      <c r="O162" s="26"/>
    </row>
    <row r="163" ht="15.75" customHeight="1">
      <c r="B163" s="26"/>
      <c r="O163" s="26"/>
    </row>
    <row r="164" ht="15.75" customHeight="1">
      <c r="B164" s="26"/>
      <c r="O164" s="26"/>
    </row>
    <row r="165" ht="15.75" customHeight="1">
      <c r="B165" s="26"/>
      <c r="O165" s="26"/>
    </row>
    <row r="166" ht="15.75" customHeight="1">
      <c r="B166" s="26"/>
      <c r="O166" s="26"/>
    </row>
    <row r="167" ht="15.75" customHeight="1">
      <c r="B167" s="26"/>
      <c r="O167" s="26"/>
    </row>
    <row r="168" ht="15.75" customHeight="1">
      <c r="B168" s="26"/>
      <c r="O168" s="26"/>
    </row>
    <row r="169" ht="15.75" customHeight="1">
      <c r="B169" s="26"/>
      <c r="O169" s="26"/>
    </row>
    <row r="170" ht="15.75" customHeight="1">
      <c r="B170" s="26"/>
      <c r="O170" s="26"/>
    </row>
    <row r="171" ht="15.75" customHeight="1">
      <c r="B171" s="26"/>
      <c r="O171" s="26"/>
    </row>
    <row r="172" ht="15.75" customHeight="1">
      <c r="B172" s="26"/>
      <c r="O172" s="26"/>
    </row>
    <row r="173" ht="15.75" customHeight="1">
      <c r="B173" s="26"/>
      <c r="O173" s="26"/>
    </row>
    <row r="174" ht="15.75" customHeight="1">
      <c r="B174" s="26"/>
      <c r="O174" s="26"/>
    </row>
    <row r="175" ht="15.75" customHeight="1">
      <c r="B175" s="26"/>
      <c r="O175" s="26"/>
    </row>
    <row r="176" ht="15.75" customHeight="1">
      <c r="B176" s="26"/>
      <c r="O176" s="26"/>
    </row>
    <row r="177" ht="15.75" customHeight="1">
      <c r="B177" s="26"/>
      <c r="O177" s="26"/>
    </row>
    <row r="178" ht="15.75" customHeight="1">
      <c r="B178" s="26"/>
      <c r="O178" s="26"/>
    </row>
    <row r="179" ht="15.75" customHeight="1">
      <c r="B179" s="26"/>
      <c r="O179" s="26"/>
    </row>
    <row r="180" ht="15.75" customHeight="1">
      <c r="B180" s="26"/>
      <c r="O180" s="26"/>
    </row>
    <row r="181" ht="15.75" customHeight="1">
      <c r="B181" s="26"/>
      <c r="O181" s="26"/>
    </row>
    <row r="182" ht="15.75" customHeight="1">
      <c r="B182" s="26"/>
      <c r="O182" s="26"/>
    </row>
    <row r="183" ht="15.75" customHeight="1">
      <c r="B183" s="26"/>
      <c r="O183" s="26"/>
    </row>
    <row r="184" ht="15.75" customHeight="1">
      <c r="B184" s="26"/>
      <c r="O184" s="26"/>
    </row>
    <row r="185" ht="15.75" customHeight="1">
      <c r="B185" s="26"/>
      <c r="O185" s="26"/>
    </row>
    <row r="186" ht="15.75" customHeight="1">
      <c r="B186" s="26"/>
      <c r="O186" s="26"/>
    </row>
    <row r="187" ht="15.75" customHeight="1">
      <c r="B187" s="26"/>
      <c r="O187" s="26"/>
    </row>
    <row r="188" ht="15.75" customHeight="1">
      <c r="B188" s="26"/>
      <c r="O188" s="26"/>
    </row>
    <row r="189" ht="15.75" customHeight="1">
      <c r="B189" s="26"/>
      <c r="O189" s="26"/>
    </row>
    <row r="190" ht="15.75" customHeight="1">
      <c r="B190" s="26"/>
      <c r="O190" s="26"/>
    </row>
    <row r="191" ht="15.75" customHeight="1">
      <c r="B191" s="26"/>
      <c r="O191" s="26"/>
    </row>
    <row r="192" ht="15.75" customHeight="1">
      <c r="B192" s="26"/>
      <c r="O192" s="26"/>
    </row>
    <row r="193" ht="15.75" customHeight="1">
      <c r="B193" s="26"/>
      <c r="O193" s="26"/>
    </row>
    <row r="194" ht="15.75" customHeight="1">
      <c r="B194" s="26"/>
      <c r="O194" s="26"/>
    </row>
    <row r="195" ht="15.75" customHeight="1">
      <c r="B195" s="26"/>
      <c r="O195" s="26"/>
    </row>
    <row r="196" ht="15.75" customHeight="1">
      <c r="B196" s="26"/>
      <c r="O196" s="26"/>
    </row>
    <row r="197" ht="15.75" customHeight="1">
      <c r="B197" s="26"/>
      <c r="O197" s="26"/>
    </row>
    <row r="198" ht="15.75" customHeight="1">
      <c r="B198" s="26"/>
      <c r="O198" s="26"/>
    </row>
    <row r="199" ht="15.75" customHeight="1">
      <c r="B199" s="26"/>
      <c r="O199" s="26"/>
    </row>
    <row r="200" ht="15.75" customHeight="1">
      <c r="B200" s="26"/>
      <c r="O200" s="26"/>
    </row>
    <row r="201" ht="15.75" customHeight="1">
      <c r="B201" s="26"/>
      <c r="O201" s="26"/>
    </row>
    <row r="202" ht="15.75" customHeight="1">
      <c r="B202" s="26"/>
      <c r="O202" s="26"/>
    </row>
    <row r="203" ht="15.75" customHeight="1">
      <c r="B203" s="26"/>
      <c r="O203" s="26"/>
    </row>
    <row r="204" ht="15.75" customHeight="1">
      <c r="B204" s="26"/>
      <c r="O204" s="26"/>
    </row>
    <row r="205" ht="15.75" customHeight="1">
      <c r="B205" s="26"/>
      <c r="O205" s="26"/>
    </row>
    <row r="206" ht="15.75" customHeight="1">
      <c r="B206" s="26"/>
      <c r="O206" s="26"/>
    </row>
    <row r="207" ht="15.75" customHeight="1">
      <c r="B207" s="26"/>
      <c r="O207" s="26"/>
    </row>
    <row r="208" ht="15.75" customHeight="1">
      <c r="B208" s="26"/>
      <c r="O208" s="26"/>
    </row>
    <row r="209" ht="15.75" customHeight="1">
      <c r="B209" s="26"/>
      <c r="O209" s="26"/>
    </row>
    <row r="210" ht="15.75" customHeight="1">
      <c r="B210" s="26"/>
      <c r="O210" s="26"/>
    </row>
    <row r="211" ht="15.75" customHeight="1">
      <c r="B211" s="26"/>
      <c r="O211" s="26"/>
    </row>
    <row r="212" ht="15.75" customHeight="1">
      <c r="B212" s="26"/>
      <c r="O212" s="26"/>
    </row>
    <row r="213" ht="15.75" customHeight="1">
      <c r="B213" s="26"/>
      <c r="O213" s="26"/>
    </row>
    <row r="214" ht="15.75" customHeight="1">
      <c r="B214" s="26"/>
      <c r="O214" s="26"/>
    </row>
    <row r="215" ht="15.75" customHeight="1">
      <c r="B215" s="26"/>
      <c r="O215" s="26"/>
    </row>
    <row r="216" ht="15.75" customHeight="1">
      <c r="B216" s="26"/>
      <c r="O216" s="26"/>
    </row>
    <row r="217" ht="15.75" customHeight="1">
      <c r="B217" s="26"/>
      <c r="O217" s="26"/>
    </row>
    <row r="218" ht="15.75" customHeight="1">
      <c r="B218" s="26"/>
      <c r="O218" s="26"/>
    </row>
    <row r="219" ht="15.75" customHeight="1">
      <c r="B219" s="26"/>
      <c r="O219" s="26"/>
    </row>
    <row r="220" ht="15.75" customHeight="1">
      <c r="B220" s="26"/>
      <c r="O220" s="2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51422203-4DAE-40A0-B6D2-34FEAA60F206}" filter="1" showAutoFilter="1">
      <autoFilter ref="$A$4:$P$5"/>
      <extLst>
        <ext uri="GoogleSheetsCustomDataVersion1">
          <go:sheetsCustomData xmlns:go="http://customooxmlschemas.google.com/" filterViewId="1125776271"/>
        </ext>
      </extLst>
    </customSheetView>
  </customSheetViews>
  <mergeCells count="2">
    <mergeCell ref="A1:H1"/>
    <mergeCell ref="A2:L2"/>
  </mergeCells>
  <printOptions/>
  <pageMargins bottom="1.0" footer="0.0" header="0.0" left="0.75" right="0.75" top="1.0"/>
  <pageSetup fitToHeight="0" orientation="landscape"/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14.0"/>
    <col customWidth="1" min="3" max="5" width="18.0"/>
    <col customWidth="1" min="6" max="6" width="22.0"/>
    <col customWidth="1" min="7" max="7" width="14.0"/>
    <col customWidth="1" min="8" max="8" width="35.0"/>
    <col customWidth="1" min="9" max="9" width="30.0"/>
    <col customWidth="1" min="10" max="10" width="35.0"/>
    <col customWidth="1" min="11" max="11" width="20.0"/>
    <col customWidth="1" min="12" max="13" width="18.0"/>
    <col customWidth="1" min="14" max="14" width="16.0"/>
    <col customWidth="1" min="15" max="15" width="14.0"/>
    <col customWidth="1" min="16" max="16" width="18.0"/>
    <col customWidth="1" min="17" max="17" width="35.0"/>
    <col customWidth="1" min="18" max="26" width="8.71"/>
  </cols>
  <sheetData>
    <row r="1">
      <c r="A1" s="1" t="s">
        <v>435</v>
      </c>
    </row>
    <row r="2">
      <c r="A2" s="2" t="s">
        <v>436</v>
      </c>
    </row>
    <row r="4">
      <c r="A4" s="7" t="s">
        <v>437</v>
      </c>
      <c r="B4" s="7" t="s">
        <v>388</v>
      </c>
      <c r="C4" s="7" t="s">
        <v>181</v>
      </c>
      <c r="D4" s="7" t="s">
        <v>309</v>
      </c>
      <c r="E4" s="7" t="s">
        <v>204</v>
      </c>
      <c r="F4" s="7" t="s">
        <v>438</v>
      </c>
      <c r="G4" s="7" t="s">
        <v>381</v>
      </c>
      <c r="H4" s="7" t="s">
        <v>439</v>
      </c>
      <c r="I4" s="7" t="s">
        <v>430</v>
      </c>
      <c r="J4" s="7" t="s">
        <v>383</v>
      </c>
      <c r="K4" s="7" t="s">
        <v>394</v>
      </c>
      <c r="L4" s="7" t="s">
        <v>440</v>
      </c>
      <c r="M4" s="7" t="s">
        <v>441</v>
      </c>
      <c r="N4" s="7" t="s">
        <v>4</v>
      </c>
      <c r="O4" s="7" t="s">
        <v>442</v>
      </c>
      <c r="P4" s="7" t="s">
        <v>9</v>
      </c>
      <c r="Q4" s="7" t="s">
        <v>196</v>
      </c>
    </row>
    <row r="5">
      <c r="B5" s="25"/>
      <c r="L5" s="25"/>
      <c r="M5" s="25"/>
    </row>
    <row r="6">
      <c r="B6" s="26"/>
      <c r="L6" s="26"/>
      <c r="M6" s="26"/>
    </row>
    <row r="7">
      <c r="B7" s="26"/>
      <c r="L7" s="26"/>
      <c r="M7" s="26"/>
    </row>
    <row r="8">
      <c r="B8" s="26"/>
      <c r="L8" s="26"/>
      <c r="M8" s="26"/>
    </row>
    <row r="9">
      <c r="B9" s="26"/>
      <c r="L9" s="26"/>
      <c r="M9" s="26"/>
    </row>
    <row r="10">
      <c r="B10" s="26"/>
      <c r="L10" s="26"/>
      <c r="M10" s="26"/>
    </row>
    <row r="11">
      <c r="B11" s="26"/>
      <c r="L11" s="26"/>
      <c r="M11" s="26"/>
    </row>
    <row r="12">
      <c r="B12" s="26"/>
      <c r="L12" s="26"/>
      <c r="M12" s="26"/>
    </row>
    <row r="13">
      <c r="B13" s="26"/>
      <c r="L13" s="26"/>
      <c r="M13" s="26"/>
    </row>
    <row r="14">
      <c r="B14" s="26"/>
      <c r="L14" s="26"/>
      <c r="M14" s="26"/>
    </row>
    <row r="15">
      <c r="B15" s="26"/>
      <c r="L15" s="26"/>
      <c r="M15" s="26"/>
    </row>
    <row r="16">
      <c r="B16" s="26"/>
      <c r="L16" s="26"/>
      <c r="M16" s="26"/>
    </row>
    <row r="17">
      <c r="B17" s="26"/>
      <c r="L17" s="26"/>
      <c r="M17" s="26"/>
    </row>
    <row r="18">
      <c r="B18" s="26"/>
      <c r="L18" s="26"/>
      <c r="M18" s="26"/>
    </row>
    <row r="19">
      <c r="B19" s="26"/>
      <c r="L19" s="26"/>
      <c r="M19" s="26"/>
    </row>
    <row r="20">
      <c r="B20" s="26"/>
      <c r="L20" s="26"/>
      <c r="M20" s="26"/>
    </row>
    <row r="21" ht="15.75" customHeight="1">
      <c r="B21" s="26"/>
      <c r="L21" s="26"/>
      <c r="M21" s="26"/>
    </row>
    <row r="22" ht="15.75" customHeight="1">
      <c r="B22" s="26"/>
      <c r="L22" s="26"/>
      <c r="M22" s="26"/>
    </row>
    <row r="23" ht="15.75" customHeight="1">
      <c r="B23" s="26"/>
      <c r="L23" s="26"/>
      <c r="M23" s="26"/>
    </row>
    <row r="24" ht="15.75" customHeight="1">
      <c r="B24" s="26"/>
      <c r="L24" s="26"/>
      <c r="M24" s="26"/>
    </row>
    <row r="25" ht="15.75" customHeight="1">
      <c r="B25" s="26"/>
      <c r="L25" s="26"/>
      <c r="M25" s="26"/>
    </row>
    <row r="26" ht="15.75" customHeight="1">
      <c r="B26" s="26"/>
      <c r="L26" s="26"/>
      <c r="M26" s="26"/>
    </row>
    <row r="27" ht="15.75" customHeight="1">
      <c r="B27" s="26"/>
      <c r="L27" s="26"/>
      <c r="M27" s="26"/>
    </row>
    <row r="28" ht="15.75" customHeight="1">
      <c r="B28" s="26"/>
      <c r="L28" s="26"/>
      <c r="M28" s="26"/>
    </row>
    <row r="29" ht="15.75" customHeight="1">
      <c r="B29" s="26"/>
      <c r="L29" s="26"/>
      <c r="M29" s="26"/>
    </row>
    <row r="30" ht="15.75" customHeight="1">
      <c r="B30" s="26"/>
      <c r="L30" s="26"/>
      <c r="M30" s="26"/>
    </row>
    <row r="31" ht="15.75" customHeight="1">
      <c r="B31" s="26"/>
      <c r="L31" s="26"/>
      <c r="M31" s="26"/>
    </row>
    <row r="32" ht="15.75" customHeight="1">
      <c r="B32" s="26"/>
      <c r="L32" s="26"/>
      <c r="M32" s="26"/>
    </row>
    <row r="33" ht="15.75" customHeight="1">
      <c r="B33" s="26"/>
      <c r="L33" s="26"/>
      <c r="M33" s="26"/>
    </row>
    <row r="34" ht="15.75" customHeight="1">
      <c r="B34" s="26"/>
      <c r="L34" s="26"/>
      <c r="M34" s="26"/>
    </row>
    <row r="35" ht="15.75" customHeight="1">
      <c r="B35" s="26"/>
      <c r="L35" s="26"/>
      <c r="M35" s="26"/>
    </row>
    <row r="36" ht="15.75" customHeight="1">
      <c r="B36" s="26"/>
      <c r="L36" s="26"/>
      <c r="M36" s="26"/>
    </row>
    <row r="37" ht="15.75" customHeight="1">
      <c r="B37" s="26"/>
      <c r="L37" s="26"/>
      <c r="M37" s="26"/>
    </row>
    <row r="38" ht="15.75" customHeight="1">
      <c r="B38" s="26"/>
      <c r="L38" s="26"/>
      <c r="M38" s="26"/>
    </row>
    <row r="39" ht="15.75" customHeight="1">
      <c r="B39" s="26"/>
      <c r="L39" s="26"/>
      <c r="M39" s="26"/>
    </row>
    <row r="40" ht="15.75" customHeight="1">
      <c r="B40" s="26"/>
      <c r="L40" s="26"/>
      <c r="M40" s="26"/>
    </row>
    <row r="41" ht="15.75" customHeight="1">
      <c r="B41" s="26"/>
      <c r="L41" s="26"/>
      <c r="M41" s="26"/>
    </row>
    <row r="42" ht="15.75" customHeight="1">
      <c r="B42" s="26"/>
      <c r="L42" s="26"/>
      <c r="M42" s="26"/>
    </row>
    <row r="43" ht="15.75" customHeight="1">
      <c r="B43" s="26"/>
      <c r="L43" s="26"/>
      <c r="M43" s="26"/>
    </row>
    <row r="44" ht="15.75" customHeight="1">
      <c r="B44" s="26"/>
      <c r="L44" s="26"/>
      <c r="M44" s="26"/>
    </row>
    <row r="45" ht="15.75" customHeight="1">
      <c r="B45" s="26"/>
      <c r="L45" s="26"/>
      <c r="M45" s="26"/>
    </row>
    <row r="46" ht="15.75" customHeight="1">
      <c r="B46" s="26"/>
      <c r="L46" s="26"/>
      <c r="M46" s="26"/>
    </row>
    <row r="47" ht="15.75" customHeight="1">
      <c r="B47" s="26"/>
      <c r="L47" s="26"/>
      <c r="M47" s="26"/>
    </row>
    <row r="48" ht="15.75" customHeight="1">
      <c r="B48" s="26"/>
      <c r="L48" s="26"/>
      <c r="M48" s="26"/>
    </row>
    <row r="49" ht="15.75" customHeight="1">
      <c r="B49" s="26"/>
      <c r="L49" s="26"/>
      <c r="M49" s="26"/>
    </row>
    <row r="50" ht="15.75" customHeight="1">
      <c r="B50" s="26"/>
      <c r="L50" s="26"/>
      <c r="M50" s="26"/>
    </row>
    <row r="51" ht="15.75" customHeight="1">
      <c r="B51" s="26"/>
      <c r="L51" s="26"/>
      <c r="M51" s="26"/>
    </row>
    <row r="52" ht="15.75" customHeight="1">
      <c r="B52" s="26"/>
      <c r="L52" s="26"/>
      <c r="M52" s="26"/>
    </row>
    <row r="53" ht="15.75" customHeight="1">
      <c r="B53" s="26"/>
      <c r="L53" s="26"/>
      <c r="M53" s="26"/>
    </row>
    <row r="54" ht="15.75" customHeight="1">
      <c r="B54" s="26"/>
      <c r="L54" s="26"/>
      <c r="M54" s="26"/>
    </row>
    <row r="55" ht="15.75" customHeight="1">
      <c r="B55" s="26"/>
      <c r="L55" s="26"/>
      <c r="M55" s="26"/>
    </row>
    <row r="56" ht="15.75" customHeight="1">
      <c r="B56" s="26"/>
      <c r="L56" s="26"/>
      <c r="M56" s="26"/>
    </row>
    <row r="57" ht="15.75" customHeight="1">
      <c r="B57" s="26"/>
      <c r="L57" s="26"/>
      <c r="M57" s="26"/>
    </row>
    <row r="58" ht="15.75" customHeight="1">
      <c r="B58" s="26"/>
      <c r="L58" s="26"/>
      <c r="M58" s="26"/>
    </row>
    <row r="59" ht="15.75" customHeight="1">
      <c r="B59" s="26"/>
      <c r="L59" s="26"/>
      <c r="M59" s="26"/>
    </row>
    <row r="60" ht="15.75" customHeight="1">
      <c r="B60" s="26"/>
      <c r="L60" s="26"/>
      <c r="M60" s="26"/>
    </row>
    <row r="61" ht="15.75" customHeight="1">
      <c r="B61" s="26"/>
      <c r="L61" s="26"/>
      <c r="M61" s="26"/>
    </row>
    <row r="62" ht="15.75" customHeight="1">
      <c r="B62" s="26"/>
      <c r="L62" s="26"/>
      <c r="M62" s="26"/>
    </row>
    <row r="63" ht="15.75" customHeight="1">
      <c r="B63" s="26"/>
      <c r="L63" s="26"/>
      <c r="M63" s="26"/>
    </row>
    <row r="64" ht="15.75" customHeight="1">
      <c r="B64" s="26"/>
      <c r="L64" s="26"/>
      <c r="M64" s="26"/>
    </row>
    <row r="65" ht="15.75" customHeight="1">
      <c r="B65" s="26"/>
      <c r="L65" s="26"/>
      <c r="M65" s="26"/>
    </row>
    <row r="66" ht="15.75" customHeight="1">
      <c r="B66" s="26"/>
      <c r="L66" s="26"/>
      <c r="M66" s="26"/>
    </row>
    <row r="67" ht="15.75" customHeight="1">
      <c r="B67" s="26"/>
      <c r="L67" s="26"/>
      <c r="M67" s="26"/>
    </row>
    <row r="68" ht="15.75" customHeight="1">
      <c r="B68" s="26"/>
      <c r="L68" s="26"/>
      <c r="M68" s="26"/>
    </row>
    <row r="69" ht="15.75" customHeight="1">
      <c r="B69" s="26"/>
      <c r="L69" s="26"/>
      <c r="M69" s="26"/>
    </row>
    <row r="70" ht="15.75" customHeight="1">
      <c r="B70" s="26"/>
      <c r="L70" s="26"/>
      <c r="M70" s="26"/>
    </row>
    <row r="71" ht="15.75" customHeight="1">
      <c r="B71" s="26"/>
      <c r="L71" s="26"/>
      <c r="M71" s="26"/>
    </row>
    <row r="72" ht="15.75" customHeight="1">
      <c r="B72" s="26"/>
      <c r="L72" s="26"/>
      <c r="M72" s="26"/>
    </row>
    <row r="73" ht="15.75" customHeight="1">
      <c r="B73" s="26"/>
      <c r="L73" s="26"/>
      <c r="M73" s="26"/>
    </row>
    <row r="74" ht="15.75" customHeight="1">
      <c r="B74" s="26"/>
      <c r="L74" s="26"/>
      <c r="M74" s="26"/>
    </row>
    <row r="75" ht="15.75" customHeight="1">
      <c r="B75" s="26"/>
      <c r="L75" s="26"/>
      <c r="M75" s="26"/>
    </row>
    <row r="76" ht="15.75" customHeight="1">
      <c r="B76" s="26"/>
      <c r="L76" s="26"/>
      <c r="M76" s="26"/>
    </row>
    <row r="77" ht="15.75" customHeight="1">
      <c r="B77" s="26"/>
      <c r="L77" s="26"/>
      <c r="M77" s="26"/>
    </row>
    <row r="78" ht="15.75" customHeight="1">
      <c r="B78" s="26"/>
      <c r="L78" s="26"/>
      <c r="M78" s="26"/>
    </row>
    <row r="79" ht="15.75" customHeight="1">
      <c r="B79" s="26"/>
      <c r="L79" s="26"/>
      <c r="M79" s="26"/>
    </row>
    <row r="80" ht="15.75" customHeight="1">
      <c r="B80" s="26"/>
      <c r="L80" s="26"/>
      <c r="M80" s="26"/>
    </row>
    <row r="81" ht="15.75" customHeight="1">
      <c r="B81" s="26"/>
      <c r="L81" s="26"/>
      <c r="M81" s="26"/>
    </row>
    <row r="82" ht="15.75" customHeight="1">
      <c r="B82" s="26"/>
      <c r="L82" s="26"/>
      <c r="M82" s="26"/>
    </row>
    <row r="83" ht="15.75" customHeight="1">
      <c r="B83" s="26"/>
      <c r="L83" s="26"/>
      <c r="M83" s="26"/>
    </row>
    <row r="84" ht="15.75" customHeight="1">
      <c r="B84" s="26"/>
      <c r="L84" s="26"/>
      <c r="M84" s="26"/>
    </row>
    <row r="85" ht="15.75" customHeight="1">
      <c r="B85" s="26"/>
      <c r="L85" s="26"/>
      <c r="M85" s="26"/>
    </row>
    <row r="86" ht="15.75" customHeight="1">
      <c r="B86" s="26"/>
      <c r="L86" s="26"/>
      <c r="M86" s="26"/>
    </row>
    <row r="87" ht="15.75" customHeight="1">
      <c r="B87" s="26"/>
      <c r="L87" s="26"/>
      <c r="M87" s="26"/>
    </row>
    <row r="88" ht="15.75" customHeight="1">
      <c r="B88" s="26"/>
      <c r="L88" s="26"/>
      <c r="M88" s="26"/>
    </row>
    <row r="89" ht="15.75" customHeight="1">
      <c r="B89" s="26"/>
      <c r="L89" s="26"/>
      <c r="M89" s="26"/>
    </row>
    <row r="90" ht="15.75" customHeight="1">
      <c r="B90" s="26"/>
      <c r="L90" s="26"/>
      <c r="M90" s="26"/>
    </row>
    <row r="91" ht="15.75" customHeight="1">
      <c r="B91" s="26"/>
      <c r="L91" s="26"/>
      <c r="M91" s="26"/>
    </row>
    <row r="92" ht="15.75" customHeight="1">
      <c r="B92" s="26"/>
      <c r="L92" s="26"/>
      <c r="M92" s="26"/>
    </row>
    <row r="93" ht="15.75" customHeight="1">
      <c r="B93" s="26"/>
      <c r="L93" s="26"/>
      <c r="M93" s="26"/>
    </row>
    <row r="94" ht="15.75" customHeight="1">
      <c r="B94" s="26"/>
      <c r="L94" s="26"/>
      <c r="M94" s="26"/>
    </row>
    <row r="95" ht="15.75" customHeight="1">
      <c r="B95" s="26"/>
      <c r="L95" s="26"/>
      <c r="M95" s="26"/>
    </row>
    <row r="96" ht="15.75" customHeight="1">
      <c r="B96" s="26"/>
      <c r="L96" s="26"/>
      <c r="M96" s="26"/>
    </row>
    <row r="97" ht="15.75" customHeight="1">
      <c r="B97" s="26"/>
      <c r="L97" s="26"/>
      <c r="M97" s="26"/>
    </row>
    <row r="98" ht="15.75" customHeight="1">
      <c r="B98" s="26"/>
      <c r="L98" s="26"/>
      <c r="M98" s="26"/>
    </row>
    <row r="99" ht="15.75" customHeight="1">
      <c r="B99" s="26"/>
      <c r="L99" s="26"/>
      <c r="M99" s="26"/>
    </row>
    <row r="100" ht="15.75" customHeight="1">
      <c r="B100" s="26"/>
      <c r="L100" s="26"/>
      <c r="M100" s="26"/>
    </row>
    <row r="101" ht="15.75" customHeight="1">
      <c r="B101" s="26"/>
      <c r="L101" s="26"/>
      <c r="M101" s="26"/>
    </row>
    <row r="102" ht="15.75" customHeight="1">
      <c r="B102" s="26"/>
      <c r="L102" s="26"/>
      <c r="M102" s="26"/>
    </row>
    <row r="103" ht="15.75" customHeight="1">
      <c r="B103" s="26"/>
      <c r="L103" s="26"/>
      <c r="M103" s="26"/>
    </row>
    <row r="104" ht="15.75" customHeight="1">
      <c r="B104" s="26"/>
      <c r="L104" s="26"/>
      <c r="M104" s="26"/>
    </row>
    <row r="105" ht="15.75" customHeight="1">
      <c r="B105" s="26"/>
      <c r="L105" s="26"/>
      <c r="M105" s="26"/>
    </row>
    <row r="106" ht="15.75" customHeight="1">
      <c r="B106" s="26"/>
      <c r="L106" s="26"/>
      <c r="M106" s="26"/>
    </row>
    <row r="107" ht="15.75" customHeight="1">
      <c r="B107" s="26"/>
      <c r="L107" s="26"/>
      <c r="M107" s="26"/>
    </row>
    <row r="108" ht="15.75" customHeight="1">
      <c r="B108" s="26"/>
      <c r="L108" s="26"/>
      <c r="M108" s="26"/>
    </row>
    <row r="109" ht="15.75" customHeight="1">
      <c r="B109" s="26"/>
      <c r="L109" s="26"/>
      <c r="M109" s="26"/>
    </row>
    <row r="110" ht="15.75" customHeight="1">
      <c r="B110" s="26"/>
      <c r="L110" s="26"/>
      <c r="M110" s="26"/>
    </row>
    <row r="111" ht="15.75" customHeight="1">
      <c r="B111" s="26"/>
      <c r="L111" s="26"/>
      <c r="M111" s="26"/>
    </row>
    <row r="112" ht="15.75" customHeight="1">
      <c r="B112" s="26"/>
      <c r="L112" s="26"/>
      <c r="M112" s="26"/>
    </row>
    <row r="113" ht="15.75" customHeight="1">
      <c r="B113" s="26"/>
      <c r="L113" s="26"/>
      <c r="M113" s="26"/>
    </row>
    <row r="114" ht="15.75" customHeight="1">
      <c r="B114" s="26"/>
      <c r="L114" s="26"/>
      <c r="M114" s="26"/>
    </row>
    <row r="115" ht="15.75" customHeight="1">
      <c r="B115" s="26"/>
      <c r="L115" s="26"/>
      <c r="M115" s="26"/>
    </row>
    <row r="116" ht="15.75" customHeight="1">
      <c r="B116" s="26"/>
      <c r="L116" s="26"/>
      <c r="M116" s="26"/>
    </row>
    <row r="117" ht="15.75" customHeight="1">
      <c r="B117" s="26"/>
      <c r="L117" s="26"/>
      <c r="M117" s="26"/>
    </row>
    <row r="118" ht="15.75" customHeight="1">
      <c r="B118" s="26"/>
      <c r="L118" s="26"/>
      <c r="M118" s="26"/>
    </row>
    <row r="119" ht="15.75" customHeight="1">
      <c r="B119" s="26"/>
      <c r="L119" s="26"/>
      <c r="M119" s="26"/>
    </row>
    <row r="120" ht="15.75" customHeight="1">
      <c r="B120" s="26"/>
      <c r="L120" s="26"/>
      <c r="M120" s="26"/>
    </row>
    <row r="121" ht="15.75" customHeight="1">
      <c r="B121" s="26"/>
      <c r="L121" s="26"/>
      <c r="M121" s="26"/>
    </row>
    <row r="122" ht="15.75" customHeight="1">
      <c r="B122" s="26"/>
      <c r="L122" s="26"/>
      <c r="M122" s="26"/>
    </row>
    <row r="123" ht="15.75" customHeight="1">
      <c r="B123" s="26"/>
      <c r="L123" s="26"/>
      <c r="M123" s="26"/>
    </row>
    <row r="124" ht="15.75" customHeight="1">
      <c r="B124" s="26"/>
      <c r="L124" s="26"/>
      <c r="M124" s="26"/>
    </row>
    <row r="125" ht="15.75" customHeight="1">
      <c r="B125" s="26"/>
      <c r="L125" s="26"/>
      <c r="M125" s="26"/>
    </row>
    <row r="126" ht="15.75" customHeight="1">
      <c r="B126" s="26"/>
      <c r="L126" s="26"/>
      <c r="M126" s="26"/>
    </row>
    <row r="127" ht="15.75" customHeight="1">
      <c r="B127" s="26"/>
      <c r="L127" s="26"/>
      <c r="M127" s="26"/>
    </row>
    <row r="128" ht="15.75" customHeight="1">
      <c r="B128" s="26"/>
      <c r="L128" s="26"/>
      <c r="M128" s="26"/>
    </row>
    <row r="129" ht="15.75" customHeight="1">
      <c r="B129" s="26"/>
      <c r="L129" s="26"/>
      <c r="M129" s="26"/>
    </row>
    <row r="130" ht="15.75" customHeight="1">
      <c r="B130" s="26"/>
      <c r="L130" s="26"/>
      <c r="M130" s="26"/>
    </row>
    <row r="131" ht="15.75" customHeight="1">
      <c r="B131" s="26"/>
      <c r="L131" s="26"/>
      <c r="M131" s="26"/>
    </row>
    <row r="132" ht="15.75" customHeight="1">
      <c r="B132" s="26"/>
      <c r="L132" s="26"/>
      <c r="M132" s="26"/>
    </row>
    <row r="133" ht="15.75" customHeight="1">
      <c r="B133" s="26"/>
      <c r="L133" s="26"/>
      <c r="M133" s="26"/>
    </row>
    <row r="134" ht="15.75" customHeight="1">
      <c r="B134" s="26"/>
      <c r="L134" s="26"/>
      <c r="M134" s="26"/>
    </row>
    <row r="135" ht="15.75" customHeight="1">
      <c r="B135" s="26"/>
      <c r="L135" s="26"/>
      <c r="M135" s="26"/>
    </row>
    <row r="136" ht="15.75" customHeight="1">
      <c r="B136" s="26"/>
      <c r="L136" s="26"/>
      <c r="M136" s="26"/>
    </row>
    <row r="137" ht="15.75" customHeight="1">
      <c r="B137" s="26"/>
      <c r="L137" s="26"/>
      <c r="M137" s="26"/>
    </row>
    <row r="138" ht="15.75" customHeight="1">
      <c r="B138" s="26"/>
      <c r="L138" s="26"/>
      <c r="M138" s="26"/>
    </row>
    <row r="139" ht="15.75" customHeight="1">
      <c r="B139" s="26"/>
      <c r="L139" s="26"/>
      <c r="M139" s="26"/>
    </row>
    <row r="140" ht="15.75" customHeight="1">
      <c r="B140" s="26"/>
      <c r="L140" s="26"/>
      <c r="M140" s="26"/>
    </row>
    <row r="141" ht="15.75" customHeight="1">
      <c r="B141" s="26"/>
      <c r="L141" s="26"/>
      <c r="M141" s="26"/>
    </row>
    <row r="142" ht="15.75" customHeight="1">
      <c r="B142" s="26"/>
      <c r="L142" s="26"/>
      <c r="M142" s="26"/>
    </row>
    <row r="143" ht="15.75" customHeight="1">
      <c r="B143" s="26"/>
      <c r="L143" s="26"/>
      <c r="M143" s="26"/>
    </row>
    <row r="144" ht="15.75" customHeight="1">
      <c r="B144" s="26"/>
      <c r="L144" s="26"/>
      <c r="M144" s="26"/>
    </row>
    <row r="145" ht="15.75" customHeight="1">
      <c r="B145" s="26"/>
      <c r="L145" s="26"/>
      <c r="M145" s="26"/>
    </row>
    <row r="146" ht="15.75" customHeight="1">
      <c r="B146" s="26"/>
      <c r="L146" s="26"/>
      <c r="M146" s="26"/>
    </row>
    <row r="147" ht="15.75" customHeight="1">
      <c r="B147" s="26"/>
      <c r="L147" s="26"/>
      <c r="M147" s="26"/>
    </row>
    <row r="148" ht="15.75" customHeight="1">
      <c r="B148" s="26"/>
      <c r="L148" s="26"/>
      <c r="M148" s="26"/>
    </row>
    <row r="149" ht="15.75" customHeight="1">
      <c r="B149" s="26"/>
      <c r="L149" s="26"/>
      <c r="M149" s="26"/>
    </row>
    <row r="150" ht="15.75" customHeight="1">
      <c r="B150" s="26"/>
      <c r="L150" s="26"/>
      <c r="M150" s="26"/>
    </row>
    <row r="151" ht="15.75" customHeight="1">
      <c r="B151" s="26"/>
      <c r="L151" s="26"/>
      <c r="M151" s="26"/>
    </row>
    <row r="152" ht="15.75" customHeight="1">
      <c r="B152" s="26"/>
      <c r="L152" s="26"/>
      <c r="M152" s="26"/>
    </row>
    <row r="153" ht="15.75" customHeight="1">
      <c r="B153" s="26"/>
      <c r="L153" s="26"/>
      <c r="M153" s="26"/>
    </row>
    <row r="154" ht="15.75" customHeight="1">
      <c r="B154" s="26"/>
      <c r="L154" s="26"/>
      <c r="M154" s="26"/>
    </row>
    <row r="155" ht="15.75" customHeight="1">
      <c r="B155" s="26"/>
      <c r="L155" s="26"/>
      <c r="M155" s="26"/>
    </row>
    <row r="156" ht="15.75" customHeight="1">
      <c r="B156" s="26"/>
      <c r="L156" s="26"/>
      <c r="M156" s="26"/>
    </row>
    <row r="157" ht="15.75" customHeight="1">
      <c r="B157" s="26"/>
      <c r="L157" s="26"/>
      <c r="M157" s="26"/>
    </row>
    <row r="158" ht="15.75" customHeight="1">
      <c r="B158" s="26"/>
      <c r="L158" s="26"/>
      <c r="M158" s="26"/>
    </row>
    <row r="159" ht="15.75" customHeight="1">
      <c r="B159" s="26"/>
      <c r="L159" s="26"/>
      <c r="M159" s="26"/>
    </row>
    <row r="160" ht="15.75" customHeight="1">
      <c r="B160" s="26"/>
      <c r="L160" s="26"/>
      <c r="M160" s="26"/>
    </row>
    <row r="161" ht="15.75" customHeight="1">
      <c r="B161" s="26"/>
      <c r="L161" s="26"/>
      <c r="M161" s="26"/>
    </row>
    <row r="162" ht="15.75" customHeight="1">
      <c r="B162" s="26"/>
      <c r="L162" s="26"/>
      <c r="M162" s="26"/>
    </row>
    <row r="163" ht="15.75" customHeight="1">
      <c r="B163" s="26"/>
      <c r="L163" s="26"/>
      <c r="M163" s="26"/>
    </row>
    <row r="164" ht="15.75" customHeight="1">
      <c r="B164" s="26"/>
      <c r="L164" s="26"/>
      <c r="M164" s="26"/>
    </row>
    <row r="165" ht="15.75" customHeight="1">
      <c r="B165" s="26"/>
      <c r="L165" s="26"/>
      <c r="M165" s="26"/>
    </row>
    <row r="166" ht="15.75" customHeight="1">
      <c r="B166" s="26"/>
      <c r="L166" s="26"/>
      <c r="M166" s="26"/>
    </row>
    <row r="167" ht="15.75" customHeight="1">
      <c r="B167" s="26"/>
      <c r="L167" s="26"/>
      <c r="M167" s="26"/>
    </row>
    <row r="168" ht="15.75" customHeight="1">
      <c r="B168" s="26"/>
      <c r="L168" s="26"/>
      <c r="M168" s="26"/>
    </row>
    <row r="169" ht="15.75" customHeight="1">
      <c r="B169" s="26"/>
      <c r="L169" s="26"/>
      <c r="M169" s="26"/>
    </row>
    <row r="170" ht="15.75" customHeight="1">
      <c r="B170" s="26"/>
      <c r="L170" s="26"/>
      <c r="M170" s="26"/>
    </row>
    <row r="171" ht="15.75" customHeight="1">
      <c r="B171" s="26"/>
      <c r="L171" s="26"/>
      <c r="M171" s="26"/>
    </row>
    <row r="172" ht="15.75" customHeight="1">
      <c r="B172" s="26"/>
      <c r="L172" s="26"/>
      <c r="M172" s="26"/>
    </row>
    <row r="173" ht="15.75" customHeight="1">
      <c r="B173" s="26"/>
      <c r="L173" s="26"/>
      <c r="M173" s="26"/>
    </row>
    <row r="174" ht="15.75" customHeight="1">
      <c r="B174" s="26"/>
      <c r="L174" s="26"/>
      <c r="M174" s="26"/>
    </row>
    <row r="175" ht="15.75" customHeight="1">
      <c r="B175" s="26"/>
      <c r="L175" s="26"/>
      <c r="M175" s="26"/>
    </row>
    <row r="176" ht="15.75" customHeight="1">
      <c r="B176" s="26"/>
      <c r="L176" s="26"/>
      <c r="M176" s="26"/>
    </row>
    <row r="177" ht="15.75" customHeight="1">
      <c r="B177" s="26"/>
      <c r="L177" s="26"/>
      <c r="M177" s="26"/>
    </row>
    <row r="178" ht="15.75" customHeight="1">
      <c r="B178" s="26"/>
      <c r="L178" s="26"/>
      <c r="M178" s="26"/>
    </row>
    <row r="179" ht="15.75" customHeight="1">
      <c r="B179" s="26"/>
      <c r="L179" s="26"/>
      <c r="M179" s="26"/>
    </row>
    <row r="180" ht="15.75" customHeight="1">
      <c r="B180" s="26"/>
      <c r="L180" s="26"/>
      <c r="M180" s="26"/>
    </row>
    <row r="181" ht="15.75" customHeight="1">
      <c r="B181" s="26"/>
      <c r="L181" s="26"/>
      <c r="M181" s="26"/>
    </row>
    <row r="182" ht="15.75" customHeight="1">
      <c r="B182" s="26"/>
      <c r="L182" s="26"/>
      <c r="M182" s="26"/>
    </row>
    <row r="183" ht="15.75" customHeight="1">
      <c r="B183" s="26"/>
      <c r="L183" s="26"/>
      <c r="M183" s="26"/>
    </row>
    <row r="184" ht="15.75" customHeight="1">
      <c r="B184" s="26"/>
      <c r="L184" s="26"/>
      <c r="M184" s="26"/>
    </row>
    <row r="185" ht="15.75" customHeight="1">
      <c r="B185" s="26"/>
      <c r="L185" s="26"/>
      <c r="M185" s="26"/>
    </row>
    <row r="186" ht="15.75" customHeight="1">
      <c r="B186" s="26"/>
      <c r="L186" s="26"/>
      <c r="M186" s="26"/>
    </row>
    <row r="187" ht="15.75" customHeight="1">
      <c r="B187" s="26"/>
      <c r="L187" s="26"/>
      <c r="M187" s="26"/>
    </row>
    <row r="188" ht="15.75" customHeight="1">
      <c r="B188" s="26"/>
      <c r="L188" s="26"/>
      <c r="M188" s="26"/>
    </row>
    <row r="189" ht="15.75" customHeight="1">
      <c r="B189" s="26"/>
      <c r="L189" s="26"/>
      <c r="M189" s="26"/>
    </row>
    <row r="190" ht="15.75" customHeight="1">
      <c r="B190" s="26"/>
      <c r="L190" s="26"/>
      <c r="M190" s="26"/>
    </row>
    <row r="191" ht="15.75" customHeight="1">
      <c r="B191" s="26"/>
      <c r="L191" s="26"/>
      <c r="M191" s="26"/>
    </row>
    <row r="192" ht="15.75" customHeight="1">
      <c r="B192" s="26"/>
      <c r="L192" s="26"/>
      <c r="M192" s="26"/>
    </row>
    <row r="193" ht="15.75" customHeight="1">
      <c r="B193" s="26"/>
      <c r="L193" s="26"/>
      <c r="M193" s="26"/>
    </row>
    <row r="194" ht="15.75" customHeight="1">
      <c r="B194" s="26"/>
      <c r="L194" s="26"/>
      <c r="M194" s="26"/>
    </row>
    <row r="195" ht="15.75" customHeight="1">
      <c r="B195" s="26"/>
      <c r="L195" s="26"/>
      <c r="M195" s="26"/>
    </row>
    <row r="196" ht="15.75" customHeight="1">
      <c r="B196" s="26"/>
      <c r="L196" s="26"/>
      <c r="M196" s="26"/>
    </row>
    <row r="197" ht="15.75" customHeight="1">
      <c r="B197" s="26"/>
      <c r="L197" s="26"/>
      <c r="M197" s="26"/>
    </row>
    <row r="198" ht="15.75" customHeight="1">
      <c r="B198" s="26"/>
      <c r="L198" s="26"/>
      <c r="M198" s="26"/>
    </row>
    <row r="199" ht="15.75" customHeight="1">
      <c r="B199" s="26"/>
      <c r="L199" s="26"/>
      <c r="M199" s="26"/>
    </row>
    <row r="200" ht="15.75" customHeight="1">
      <c r="B200" s="26"/>
      <c r="L200" s="26"/>
      <c r="M200" s="26"/>
    </row>
    <row r="201" ht="15.75" customHeight="1">
      <c r="B201" s="26"/>
      <c r="L201" s="26"/>
      <c r="M201" s="26"/>
    </row>
    <row r="202" ht="15.75" customHeight="1">
      <c r="B202" s="26"/>
      <c r="L202" s="26"/>
      <c r="M202" s="26"/>
    </row>
    <row r="203" ht="15.75" customHeight="1">
      <c r="B203" s="26"/>
      <c r="L203" s="26"/>
      <c r="M203" s="26"/>
    </row>
    <row r="204" ht="15.75" customHeight="1">
      <c r="B204" s="26"/>
      <c r="L204" s="26"/>
      <c r="M204" s="26"/>
    </row>
    <row r="205" ht="15.75" customHeight="1">
      <c r="B205" s="26"/>
      <c r="L205" s="26"/>
      <c r="M205" s="26"/>
    </row>
    <row r="206" ht="15.75" customHeight="1">
      <c r="B206" s="26"/>
      <c r="L206" s="26"/>
      <c r="M206" s="26"/>
    </row>
    <row r="207" ht="15.75" customHeight="1">
      <c r="B207" s="26"/>
      <c r="L207" s="26"/>
      <c r="M207" s="26"/>
    </row>
    <row r="208" ht="15.75" customHeight="1">
      <c r="B208" s="26"/>
      <c r="L208" s="26"/>
      <c r="M208" s="26"/>
    </row>
    <row r="209" ht="15.75" customHeight="1">
      <c r="B209" s="26"/>
      <c r="L209" s="26"/>
      <c r="M209" s="26"/>
    </row>
    <row r="210" ht="15.75" customHeight="1">
      <c r="B210" s="26"/>
      <c r="L210" s="26"/>
      <c r="M210" s="26"/>
    </row>
    <row r="211" ht="15.75" customHeight="1">
      <c r="B211" s="26"/>
      <c r="L211" s="26"/>
      <c r="M211" s="26"/>
    </row>
    <row r="212" ht="15.75" customHeight="1">
      <c r="B212" s="26"/>
      <c r="L212" s="26"/>
      <c r="M212" s="26"/>
    </row>
    <row r="213" ht="15.75" customHeight="1">
      <c r="B213" s="26"/>
      <c r="L213" s="26"/>
      <c r="M213" s="26"/>
    </row>
    <row r="214" ht="15.75" customHeight="1">
      <c r="B214" s="26"/>
      <c r="L214" s="26"/>
      <c r="M214" s="26"/>
    </row>
    <row r="215" ht="15.75" customHeight="1">
      <c r="B215" s="26"/>
      <c r="L215" s="26"/>
      <c r="M215" s="26"/>
    </row>
    <row r="216" ht="15.75" customHeight="1">
      <c r="B216" s="26"/>
      <c r="L216" s="26"/>
      <c r="M216" s="26"/>
    </row>
    <row r="217" ht="15.75" customHeight="1">
      <c r="B217" s="26"/>
      <c r="L217" s="26"/>
      <c r="M217" s="26"/>
    </row>
    <row r="218" ht="15.75" customHeight="1">
      <c r="B218" s="26"/>
      <c r="L218" s="26"/>
      <c r="M218" s="26"/>
    </row>
    <row r="219" ht="15.75" customHeight="1">
      <c r="B219" s="26"/>
      <c r="L219" s="26"/>
      <c r="M219" s="26"/>
    </row>
    <row r="220" ht="15.75" customHeight="1">
      <c r="B220" s="26"/>
      <c r="L220" s="26"/>
      <c r="M220" s="2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EC489724-34B4-4C4E-99E3-944EE7CE0B99}" filter="1" showAutoFilter="1">
      <autoFilter ref="$A$4:$Q$5"/>
      <extLst>
        <ext uri="GoogleSheetsCustomDataVersion1">
          <go:sheetsCustomData xmlns:go="http://customooxmlschemas.google.com/" filterViewId="1148447249"/>
        </ext>
      </extLst>
    </customSheetView>
  </customSheetViews>
  <mergeCells count="2">
    <mergeCell ref="A1:H1"/>
    <mergeCell ref="A2:L2"/>
  </mergeCells>
  <printOptions/>
  <pageMargins bottom="1.0" footer="0.0" header="0.0" left="0.75" right="0.75" top="1.0"/>
  <pageSetup fitToHeight="0" orientation="landscape"/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8.0"/>
    <col customWidth="1" min="2" max="2" width="55.0"/>
    <col customWidth="1" min="3" max="3" width="20.0"/>
    <col customWidth="1" min="4" max="4" width="16.0"/>
    <col customWidth="1" min="5" max="5" width="24.0"/>
    <col customWidth="1" min="6" max="6" width="20.0"/>
    <col customWidth="1" min="7" max="7" width="38.0"/>
    <col customWidth="1" min="8" max="26" width="8.71"/>
  </cols>
  <sheetData>
    <row r="1">
      <c r="A1" s="1" t="s">
        <v>443</v>
      </c>
    </row>
    <row r="2">
      <c r="A2" s="2" t="s">
        <v>444</v>
      </c>
    </row>
    <row r="4">
      <c r="A4" s="7" t="s">
        <v>445</v>
      </c>
      <c r="B4" s="7" t="s">
        <v>78</v>
      </c>
      <c r="C4" s="7" t="s">
        <v>446</v>
      </c>
      <c r="D4" s="7" t="s">
        <v>447</v>
      </c>
      <c r="E4" s="7" t="s">
        <v>448</v>
      </c>
      <c r="F4" s="7" t="s">
        <v>449</v>
      </c>
      <c r="G4" s="7" t="s">
        <v>4</v>
      </c>
    </row>
    <row r="5">
      <c r="A5" s="8" t="s">
        <v>450</v>
      </c>
      <c r="B5" s="8" t="s">
        <v>451</v>
      </c>
      <c r="C5" s="8" t="s">
        <v>452</v>
      </c>
      <c r="D5" s="8" t="s">
        <v>453</v>
      </c>
      <c r="E5" s="8" t="s">
        <v>454</v>
      </c>
      <c r="F5" s="8" t="s">
        <v>262</v>
      </c>
      <c r="G5" s="8" t="s">
        <v>455</v>
      </c>
    </row>
    <row r="6">
      <c r="A6" s="8" t="s">
        <v>456</v>
      </c>
      <c r="B6" s="8" t="s">
        <v>457</v>
      </c>
      <c r="C6" s="8" t="s">
        <v>458</v>
      </c>
      <c r="D6" s="8" t="s">
        <v>453</v>
      </c>
      <c r="E6" s="8" t="s">
        <v>459</v>
      </c>
      <c r="F6" s="8" t="s">
        <v>262</v>
      </c>
      <c r="G6" s="8" t="s">
        <v>460</v>
      </c>
    </row>
    <row r="7">
      <c r="A7" s="8" t="s">
        <v>461</v>
      </c>
      <c r="B7" s="8" t="s">
        <v>462</v>
      </c>
      <c r="C7" s="8" t="s">
        <v>463</v>
      </c>
      <c r="D7" s="8" t="s">
        <v>453</v>
      </c>
      <c r="E7" s="8" t="s">
        <v>464</v>
      </c>
      <c r="F7" s="8" t="s">
        <v>262</v>
      </c>
      <c r="G7" s="8" t="s">
        <v>455</v>
      </c>
    </row>
    <row r="8">
      <c r="A8" s="8" t="s">
        <v>465</v>
      </c>
      <c r="B8" s="8" t="s">
        <v>466</v>
      </c>
      <c r="C8" s="8" t="s">
        <v>463</v>
      </c>
      <c r="D8" s="8" t="s">
        <v>467</v>
      </c>
      <c r="E8" s="8" t="s">
        <v>468</v>
      </c>
      <c r="F8" s="8" t="s">
        <v>469</v>
      </c>
      <c r="G8" s="8" t="s">
        <v>455</v>
      </c>
    </row>
    <row r="9">
      <c r="A9" s="8" t="s">
        <v>470</v>
      </c>
      <c r="B9" s="8" t="s">
        <v>471</v>
      </c>
      <c r="C9" s="8" t="s">
        <v>472</v>
      </c>
      <c r="D9" s="8" t="s">
        <v>467</v>
      </c>
      <c r="E9" s="8" t="s">
        <v>473</v>
      </c>
      <c r="F9" s="8" t="s">
        <v>474</v>
      </c>
      <c r="G9" s="8" t="s">
        <v>455</v>
      </c>
    </row>
    <row r="10">
      <c r="A10" s="8" t="s">
        <v>475</v>
      </c>
      <c r="B10" s="8" t="s">
        <v>476</v>
      </c>
      <c r="C10" s="8" t="s">
        <v>477</v>
      </c>
      <c r="D10" s="8" t="s">
        <v>453</v>
      </c>
      <c r="E10" s="8" t="s">
        <v>478</v>
      </c>
      <c r="F10" s="8" t="s">
        <v>262</v>
      </c>
      <c r="G10" s="8" t="s">
        <v>455</v>
      </c>
    </row>
    <row r="11">
      <c r="A11" s="8" t="s">
        <v>479</v>
      </c>
      <c r="B11" s="8" t="s">
        <v>480</v>
      </c>
      <c r="C11" s="8" t="s">
        <v>481</v>
      </c>
      <c r="D11" s="8" t="s">
        <v>453</v>
      </c>
      <c r="E11" s="8" t="s">
        <v>459</v>
      </c>
      <c r="F11" s="8" t="s">
        <v>262</v>
      </c>
      <c r="G11" s="8" t="s">
        <v>455</v>
      </c>
    </row>
    <row r="12">
      <c r="A12" s="8" t="s">
        <v>482</v>
      </c>
      <c r="B12" s="8" t="s">
        <v>483</v>
      </c>
      <c r="C12" s="8" t="s">
        <v>484</v>
      </c>
      <c r="D12" s="8" t="s">
        <v>453</v>
      </c>
      <c r="E12" s="8" t="s">
        <v>485</v>
      </c>
      <c r="F12" s="8" t="s">
        <v>486</v>
      </c>
      <c r="G12" s="8" t="s">
        <v>455</v>
      </c>
    </row>
    <row r="13">
      <c r="A13" s="8" t="s">
        <v>487</v>
      </c>
      <c r="B13" s="8" t="s">
        <v>488</v>
      </c>
      <c r="C13" s="8" t="s">
        <v>489</v>
      </c>
      <c r="D13" s="8" t="s">
        <v>469</v>
      </c>
      <c r="E13" s="8" t="s">
        <v>469</v>
      </c>
      <c r="F13" s="8" t="s">
        <v>469</v>
      </c>
      <c r="G13" s="8" t="s">
        <v>455</v>
      </c>
    </row>
    <row r="14">
      <c r="A14" s="8" t="s">
        <v>490</v>
      </c>
      <c r="B14" s="8" t="s">
        <v>491</v>
      </c>
      <c r="C14" s="8" t="s">
        <v>472</v>
      </c>
      <c r="D14" s="8" t="s">
        <v>469</v>
      </c>
      <c r="E14" s="8" t="s">
        <v>473</v>
      </c>
      <c r="F14" s="8" t="s">
        <v>474</v>
      </c>
      <c r="G14" s="8" t="s">
        <v>455</v>
      </c>
    </row>
    <row r="15">
      <c r="A15" s="8" t="s">
        <v>492</v>
      </c>
      <c r="B15" s="8" t="s">
        <v>493</v>
      </c>
      <c r="C15" s="8" t="s">
        <v>494</v>
      </c>
      <c r="D15" s="8" t="s">
        <v>469</v>
      </c>
      <c r="E15" s="8" t="s">
        <v>495</v>
      </c>
      <c r="F15" s="8" t="s">
        <v>469</v>
      </c>
      <c r="G15" s="8" t="s">
        <v>455</v>
      </c>
    </row>
    <row r="16">
      <c r="A16" s="8" t="s">
        <v>496</v>
      </c>
      <c r="B16" s="8" t="s">
        <v>497</v>
      </c>
      <c r="C16" s="8" t="s">
        <v>498</v>
      </c>
      <c r="D16" s="8" t="s">
        <v>469</v>
      </c>
      <c r="E16" s="8" t="s">
        <v>499</v>
      </c>
      <c r="F16" s="8" t="s">
        <v>469</v>
      </c>
      <c r="G16" s="8" t="s">
        <v>455</v>
      </c>
    </row>
    <row r="17">
      <c r="A17" s="8" t="s">
        <v>500</v>
      </c>
      <c r="B17" s="8" t="s">
        <v>501</v>
      </c>
      <c r="C17" s="8" t="s">
        <v>484</v>
      </c>
      <c r="D17" s="8" t="s">
        <v>474</v>
      </c>
      <c r="E17" s="8" t="s">
        <v>474</v>
      </c>
      <c r="F17" s="8" t="s">
        <v>474</v>
      </c>
      <c r="G17" s="8" t="s">
        <v>455</v>
      </c>
    </row>
    <row r="18">
      <c r="A18" s="8" t="s">
        <v>502</v>
      </c>
      <c r="B18" s="8" t="s">
        <v>503</v>
      </c>
      <c r="C18" s="8" t="s">
        <v>504</v>
      </c>
      <c r="D18" s="8" t="s">
        <v>474</v>
      </c>
      <c r="E18" s="8" t="s">
        <v>474</v>
      </c>
      <c r="F18" s="8" t="s">
        <v>474</v>
      </c>
      <c r="G18" s="8" t="s">
        <v>455</v>
      </c>
    </row>
    <row r="19">
      <c r="A19" s="8" t="s">
        <v>505</v>
      </c>
      <c r="B19" s="8" t="s">
        <v>506</v>
      </c>
      <c r="C19" s="8" t="s">
        <v>463</v>
      </c>
      <c r="D19" s="8" t="s">
        <v>507</v>
      </c>
      <c r="E19" s="8" t="s">
        <v>508</v>
      </c>
      <c r="F19" s="8" t="s">
        <v>486</v>
      </c>
      <c r="G19" s="8" t="s">
        <v>455</v>
      </c>
    </row>
    <row r="20">
      <c r="A20" s="8" t="s">
        <v>509</v>
      </c>
      <c r="B20" s="8" t="s">
        <v>510</v>
      </c>
      <c r="C20" s="8" t="s">
        <v>484</v>
      </c>
      <c r="D20" s="8" t="s">
        <v>507</v>
      </c>
      <c r="E20" s="8" t="s">
        <v>511</v>
      </c>
      <c r="F20" s="8" t="s">
        <v>486</v>
      </c>
      <c r="G20" s="8" t="s">
        <v>455</v>
      </c>
    </row>
    <row r="21" ht="15.75" customHeight="1">
      <c r="A21" s="8" t="s">
        <v>512</v>
      </c>
      <c r="B21" s="8" t="s">
        <v>483</v>
      </c>
      <c r="C21" s="8" t="s">
        <v>484</v>
      </c>
      <c r="D21" s="8" t="s">
        <v>485</v>
      </c>
      <c r="E21" s="8" t="s">
        <v>485</v>
      </c>
      <c r="F21" s="8" t="s">
        <v>486</v>
      </c>
      <c r="G21" s="8" t="s">
        <v>455</v>
      </c>
    </row>
    <row r="22" ht="15.75" customHeight="1">
      <c r="A22" s="8" t="s">
        <v>513</v>
      </c>
      <c r="B22" s="8" t="s">
        <v>514</v>
      </c>
      <c r="C22" s="8" t="s">
        <v>463</v>
      </c>
      <c r="D22" s="8" t="s">
        <v>515</v>
      </c>
      <c r="E22" s="8" t="s">
        <v>515</v>
      </c>
      <c r="F22" s="8" t="s">
        <v>515</v>
      </c>
      <c r="G22" s="8" t="s">
        <v>455</v>
      </c>
    </row>
    <row r="23" ht="15.75" customHeight="1">
      <c r="A23" s="8" t="s">
        <v>516</v>
      </c>
      <c r="B23" s="8" t="s">
        <v>517</v>
      </c>
      <c r="C23" s="8" t="s">
        <v>518</v>
      </c>
      <c r="D23" s="8" t="s">
        <v>515</v>
      </c>
      <c r="E23" s="8" t="s">
        <v>515</v>
      </c>
      <c r="F23" s="8" t="s">
        <v>515</v>
      </c>
      <c r="G23" s="8" t="s">
        <v>455</v>
      </c>
    </row>
    <row r="24" ht="15.75" customHeight="1">
      <c r="A24" s="8" t="s">
        <v>519</v>
      </c>
      <c r="B24" s="8" t="s">
        <v>520</v>
      </c>
      <c r="C24" s="8" t="s">
        <v>463</v>
      </c>
      <c r="D24" s="8" t="s">
        <v>459</v>
      </c>
      <c r="E24" s="8" t="s">
        <v>459</v>
      </c>
      <c r="F24" s="8" t="s">
        <v>262</v>
      </c>
      <c r="G24" s="8" t="s">
        <v>455</v>
      </c>
    </row>
    <row r="25" ht="15.75" customHeight="1">
      <c r="A25" s="8" t="s">
        <v>521</v>
      </c>
      <c r="B25" s="8" t="s">
        <v>522</v>
      </c>
      <c r="C25" s="8" t="s">
        <v>463</v>
      </c>
      <c r="D25" s="8" t="s">
        <v>499</v>
      </c>
      <c r="E25" s="8" t="s">
        <v>499</v>
      </c>
      <c r="F25" s="8" t="s">
        <v>499</v>
      </c>
      <c r="G25" s="8" t="s">
        <v>523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72F2CF4-29AA-4D47-AD59-511D081EBDD3}" filter="1" showAutoFilter="1">
      <autoFilter ref="$A$4:$G$25"/>
      <extLst>
        <ext uri="GoogleSheetsCustomDataVersion1">
          <go:sheetsCustomData xmlns:go="http://customooxmlschemas.google.com/" filterViewId="1182548431"/>
        </ext>
      </extLst>
    </customSheetView>
  </customSheetViews>
  <mergeCells count="2">
    <mergeCell ref="A1:G1"/>
    <mergeCell ref="A2:G2"/>
  </mergeCells>
  <printOptions/>
  <pageMargins bottom="1.0" footer="0.0" header="0.0" left="0.75" right="0.75" top="1.0"/>
  <pageSetup fitToHeight="0"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2026-09-22T08:01:32Z</dcterms:created>
  <dc:creator>openpyxl</dc:creator>
</cp:coreProperties>
</file>