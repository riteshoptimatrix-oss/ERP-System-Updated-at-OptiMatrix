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TART HERE" sheetId="2" r:id="rId5"/>
    <sheet state="visible" name="Settings" sheetId="3" r:id="rId6"/>
    <sheet state="visible" name="Master Data" sheetId="4" r:id="rId7"/>
    <sheet state="visible" name="Order Planning" sheetId="5" r:id="rId8"/>
    <sheet state="visible" name="Daily Production" sheetId="6" r:id="rId9"/>
    <sheet state="visible" name="Attendance" sheetId="7" r:id="rId10"/>
    <sheet state="visible" name="QC &amp; Wastage" sheetId="8" r:id="rId11"/>
    <sheet state="visible" name="Dispatch" sheetId="9" r:id="rId12"/>
    <sheet state="visible" name="Inventory Transactions" sheetId="10" r:id="rId13"/>
  </sheets>
  <definedNames/>
  <calcPr/>
  <extLst>
    <ext uri="GoogleSheetsCustomDataVersion2">
      <go:sheetsCustomData xmlns:go="http://customooxmlschemas.google.com/" r:id="rId14" roundtripDataChecksum="d1QW8U45lrwNjKF8qjpCmRIqCm7hV/90j4L+8yZ3vr4="/>
    </ext>
  </extLst>
</workbook>
</file>

<file path=xl/sharedStrings.xml><?xml version="1.0" encoding="utf-8"?>
<sst xmlns="http://schemas.openxmlformats.org/spreadsheetml/2006/main" count="295" uniqueCount="246">
  <si>
    <t>Enflow Operations System V2</t>
  </si>
  <si>
    <t>Enflow Operations System V2 – Settings</t>
  </si>
  <si>
    <t>Upload to Google Drive and open with Google Sheets</t>
  </si>
  <si>
    <t>User</t>
  </si>
  <si>
    <t>Main Tabs</t>
  </si>
  <si>
    <t>What to Update</t>
  </si>
  <si>
    <t>Master Data</t>
  </si>
  <si>
    <t>Do Not Edit</t>
  </si>
  <si>
    <t>Frequency</t>
  </si>
  <si>
    <t>Output</t>
  </si>
  <si>
    <t>Owner-controlled assumptions and targets</t>
  </si>
  <si>
    <t>Approval</t>
  </si>
  <si>
    <t>Notes</t>
  </si>
  <si>
    <t>Owner</t>
  </si>
  <si>
    <t>Edit lists used in dropdowns</t>
  </si>
  <si>
    <t>Dashboard</t>
  </si>
  <si>
    <t>Nothing</t>
  </si>
  <si>
    <t>Formula cells</t>
  </si>
  <si>
    <t>Daily review</t>
  </si>
  <si>
    <t>Exceptions and KPIs</t>
  </si>
  <si>
    <t>Major decisions</t>
  </si>
  <si>
    <t>Open Dashboard first</t>
  </si>
  <si>
    <t>Variants</t>
  </si>
  <si>
    <t>Taha</t>
  </si>
  <si>
    <t>Lengths</t>
  </si>
  <si>
    <t>Order Planning, Dispatch</t>
  </si>
  <si>
    <t>Orders, priorities, status, approvals</t>
  </si>
  <si>
    <t>Labours</t>
  </si>
  <si>
    <t>Formula columns K:O</t>
  </si>
  <si>
    <t>As orders change</t>
  </si>
  <si>
    <t>Machines</t>
  </si>
  <si>
    <t>Priority and dispatch control</t>
  </si>
  <si>
    <t>Final approval</t>
  </si>
  <si>
    <t>Defect Types</t>
  </si>
  <si>
    <t>One row per variant-length</t>
  </si>
  <si>
    <t>Shivakumar</t>
  </si>
  <si>
    <t>Priority</t>
  </si>
  <si>
    <t>Daily Production, Attendance, QC &amp; Wastage, Inventory Transactions</t>
  </si>
  <si>
    <t>Daily actuals and exceptions</t>
  </si>
  <si>
    <t>Order Status</t>
  </si>
  <si>
    <t>Linked formula columns</t>
  </si>
  <si>
    <t>Daily</t>
  </si>
  <si>
    <t>Execution data</t>
  </si>
  <si>
    <t>Transaction Type</t>
  </si>
  <si>
    <t>Reports to Taha</t>
  </si>
  <si>
    <t>Use dropdowns</t>
  </si>
  <si>
    <t>Attendance</t>
  </si>
  <si>
    <t>Implementation Sequence</t>
  </si>
  <si>
    <t>Action</t>
  </si>
  <si>
    <t>13 mm Round Nut</t>
  </si>
  <si>
    <t>1</t>
  </si>
  <si>
    <t>18 in</t>
  </si>
  <si>
    <t>Complete labour, machine, customer and item names</t>
  </si>
  <si>
    <t>Labour 1</t>
  </si>
  <si>
    <t>2</t>
  </si>
  <si>
    <t>Machine 1</t>
  </si>
  <si>
    <t>Setting</t>
  </si>
  <si>
    <t>Enter open orders in Order Planning</t>
  </si>
  <si>
    <t>Flash in parts</t>
  </si>
  <si>
    <t>Urgent</t>
  </si>
  <si>
    <t>3</t>
  </si>
  <si>
    <t>Open</t>
  </si>
  <si>
    <t>Enter attendance</t>
  </si>
  <si>
    <t>Purchase</t>
  </si>
  <si>
    <t>Present</t>
  </si>
  <si>
    <t>13 mm Hex Nut</t>
  </si>
  <si>
    <t>24 in</t>
  </si>
  <si>
    <t>Labour 2</t>
  </si>
  <si>
    <t>Value</t>
  </si>
  <si>
    <t>Machine 2</t>
  </si>
  <si>
    <t>Wrong pipe length</t>
  </si>
  <si>
    <t>High</t>
  </si>
  <si>
    <t>4</t>
  </si>
  <si>
    <t>Planned</t>
  </si>
  <si>
    <t>Plan and record production</t>
  </si>
  <si>
    <t>Issue to Order</t>
  </si>
  <si>
    <t>Absent</t>
  </si>
  <si>
    <t>5</t>
  </si>
  <si>
    <t>Record QC defects and corrective action</t>
  </si>
  <si>
    <t>13.5 mm Round Nut</t>
  </si>
  <si>
    <t>30 in</t>
  </si>
  <si>
    <t>6</t>
  </si>
  <si>
    <t>Labour 3</t>
  </si>
  <si>
    <t>Record inventory movements</t>
  </si>
  <si>
    <t>Machine 3</t>
  </si>
  <si>
    <t>Pipe ID out of tolerance</t>
  </si>
  <si>
    <t>7</t>
  </si>
  <si>
    <t>Normal</t>
  </si>
  <si>
    <t>Complete dispatch and Taha approval</t>
  </si>
  <si>
    <t>In Production</t>
  </si>
  <si>
    <t>Return from Order</t>
  </si>
  <si>
    <t>8</t>
  </si>
  <si>
    <t>Review Dashboard</t>
  </si>
  <si>
    <t>Half Day</t>
  </si>
  <si>
    <t>13.5 mm Hex Nut</t>
  </si>
  <si>
    <t>36 in</t>
  </si>
  <si>
    <t>Labour 4</t>
  </si>
  <si>
    <t>Daily wage rate (₹)</t>
  </si>
  <si>
    <t>Machine 4</t>
  </si>
  <si>
    <t>Pipe OD out of tolerance</t>
  </si>
  <si>
    <t>Low</t>
  </si>
  <si>
    <t>Packing</t>
  </si>
  <si>
    <t>Scrap</t>
  </si>
  <si>
    <t>Leave</t>
  </si>
  <si>
    <t>48 in</t>
  </si>
  <si>
    <t>Labour 5</t>
  </si>
  <si>
    <t>Machine 5</t>
  </si>
  <si>
    <t>Cap breaking</t>
  </si>
  <si>
    <t>Ready to Dispatch</t>
  </si>
  <si>
    <t>Adjustment In</t>
  </si>
  <si>
    <t>1 m</t>
  </si>
  <si>
    <t>Labour 6</t>
  </si>
  <si>
    <t>Machine 6</t>
  </si>
  <si>
    <t>Loose assembly</t>
  </si>
  <si>
    <t>Dispatched</t>
  </si>
  <si>
    <t>Adjustment Out</t>
  </si>
  <si>
    <t>1.5 m</t>
  </si>
  <si>
    <t>Labour 7</t>
  </si>
  <si>
    <t>Machine 7</t>
  </si>
  <si>
    <t>Full process target/day</t>
  </si>
  <si>
    <t>Missing washer</t>
  </si>
  <si>
    <t>Closed</t>
  </si>
  <si>
    <t>2 m</t>
  </si>
  <si>
    <t>Labour 8</t>
  </si>
  <si>
    <t>Machine 8</t>
  </si>
  <si>
    <t>Wrong label</t>
  </si>
  <si>
    <t>On Hold</t>
  </si>
  <si>
    <t>3 m</t>
  </si>
  <si>
    <t>Labour 9</t>
  </si>
  <si>
    <t>Machine 9</t>
  </si>
  <si>
    <t>Wrong cover</t>
  </si>
  <si>
    <t>Improper sealing</t>
  </si>
  <si>
    <t>Wrong bundle quantity</t>
  </si>
  <si>
    <t>Damaged pipe</t>
  </si>
  <si>
    <t>Other</t>
  </si>
  <si>
    <t>Assembly-only target/day</t>
  </si>
  <si>
    <t>Active labour</t>
  </si>
  <si>
    <t>Active machines</t>
  </si>
  <si>
    <t>QC rounds/day</t>
  </si>
  <si>
    <t>Default bundle quantity</t>
  </si>
  <si>
    <t>Version</t>
  </si>
  <si>
    <t>V2</t>
  </si>
  <si>
    <t>Enflow Operations Dashboard</t>
  </si>
  <si>
    <t>Owner view – no daily entry required</t>
  </si>
  <si>
    <t>Work Type</t>
  </si>
  <si>
    <t>TODAY'S OPERATIONS</t>
  </si>
  <si>
    <t>Target/Day</t>
  </si>
  <si>
    <t>Daily Rate ₹</t>
  </si>
  <si>
    <t>Unit Rate ₹/Pipe</t>
  </si>
  <si>
    <t>Packaging Included?</t>
  </si>
  <si>
    <t>Scope</t>
  </si>
  <si>
    <t>Orders Pending</t>
  </si>
  <si>
    <t>Orders Due Today</t>
  </si>
  <si>
    <t>Today's Planned Qty</t>
  </si>
  <si>
    <t>Full Process</t>
  </si>
  <si>
    <t>Today's Good Qty</t>
  </si>
  <si>
    <t>Yes</t>
  </si>
  <si>
    <t>Assembly + washer + label + cover + sealing + bundling</t>
  </si>
  <si>
    <t>Assembly Only</t>
  </si>
  <si>
    <t>No</t>
  </si>
  <si>
    <t>Assembly work only</t>
  </si>
  <si>
    <t>Labour Present</t>
  </si>
  <si>
    <t>Today's Rework</t>
  </si>
  <si>
    <t>Today's Scrap</t>
  </si>
  <si>
    <t>Dispatch Qty Today</t>
  </si>
  <si>
    <t>Labour</t>
  </si>
  <si>
    <t>Good Qty Today</t>
  </si>
  <si>
    <t>Rework</t>
  </si>
  <si>
    <t>Earned ₹</t>
  </si>
  <si>
    <t>Performance vs 350</t>
  </si>
  <si>
    <t>Order Planning</t>
  </si>
  <si>
    <t>Updated by Taha; one line per variant and length</t>
  </si>
  <si>
    <t>Order No.</t>
  </si>
  <si>
    <t>Order Date</t>
  </si>
  <si>
    <t>Customer</t>
  </si>
  <si>
    <t>Brand</t>
  </si>
  <si>
    <t>Variant</t>
  </si>
  <si>
    <t>Length</t>
  </si>
  <si>
    <t>Order Qty</t>
  </si>
  <si>
    <t>Required Dispatch Date</t>
  </si>
  <si>
    <t>Planned Qty</t>
  </si>
  <si>
    <t>Daily Production Planning &amp; Actual</t>
  </si>
  <si>
    <t>Produced Qty</t>
  </si>
  <si>
    <t>Balance Qty</t>
  </si>
  <si>
    <t>Main daily entry screen for Shivakumar</t>
  </si>
  <si>
    <t>Dispatch Qty</t>
  </si>
  <si>
    <t>Date</t>
  </si>
  <si>
    <t>Dispatch Balance</t>
  </si>
  <si>
    <t>Final Approval</t>
  </si>
  <si>
    <t>Remarks</t>
  </si>
  <si>
    <t>Machine</t>
  </si>
  <si>
    <t>Actual Qty</t>
  </si>
  <si>
    <t>Rework Qty</t>
  </si>
  <si>
    <t>Scrap Qty</t>
  </si>
  <si>
    <t>Good Qty</t>
  </si>
  <si>
    <t>Completion %</t>
  </si>
  <si>
    <t>Standard Target</t>
  </si>
  <si>
    <t>Performance %</t>
  </si>
  <si>
    <t>Daily Earned ₹</t>
  </si>
  <si>
    <t>Start Time</t>
  </si>
  <si>
    <t>End Time</t>
  </si>
  <si>
    <t>Supervisor Remarks</t>
  </si>
  <si>
    <t>Priority Change</t>
  </si>
  <si>
    <t>Attendance &amp; Labour Productivity</t>
  </si>
  <si>
    <t>Daily attendance and earned wage summary</t>
  </si>
  <si>
    <t>In Time</t>
  </si>
  <si>
    <t>Out Time</t>
  </si>
  <si>
    <t>Hours</t>
  </si>
  <si>
    <t>Orders Worked</t>
  </si>
  <si>
    <t>Attendance Pay ₹</t>
  </si>
  <si>
    <t>QC &amp; Wastage Register</t>
  </si>
  <si>
    <t>Incoming, in-process, packaging and dispatch quality</t>
  </si>
  <si>
    <t>QC Stage</t>
  </si>
  <si>
    <t>QC Round</t>
  </si>
  <si>
    <t>Defect Type</t>
  </si>
  <si>
    <t>Checked Qty</t>
  </si>
  <si>
    <t>Defect Qty</t>
  </si>
  <si>
    <t>Defect %</t>
  </si>
  <si>
    <t>Root Cause</t>
  </si>
  <si>
    <t>Corrective Action</t>
  </si>
  <si>
    <t>Status</t>
  </si>
  <si>
    <t>Dispatch Register</t>
  </si>
  <si>
    <t>Final verification and approval by Taha</t>
  </si>
  <si>
    <t>Dispatch Date</t>
  </si>
  <si>
    <t>Balance After Dispatch</t>
  </si>
  <si>
    <t>Bundle Qty</t>
  </si>
  <si>
    <t>No. of Bundles</t>
  </si>
  <si>
    <t>Packing List No.</t>
  </si>
  <si>
    <t>Invoice No.</t>
  </si>
  <si>
    <t>Transporter</t>
  </si>
  <si>
    <t>Cover/Label Verified</t>
  </si>
  <si>
    <t>Qty Verified</t>
  </si>
  <si>
    <t>Approved by Taha</t>
  </si>
  <si>
    <t>Inventory Transactions</t>
  </si>
  <si>
    <t>Purchase, issue, return, scrap and adjustment register</t>
  </si>
  <si>
    <t>Transaction ID</t>
  </si>
  <si>
    <t>Item Code</t>
  </si>
  <si>
    <t>Item Name</t>
  </si>
  <si>
    <t>Category</t>
  </si>
  <si>
    <t>Variant/Size</t>
  </si>
  <si>
    <t>Qty In</t>
  </si>
  <si>
    <t>Qty Out</t>
  </si>
  <si>
    <t>Running Balance</t>
  </si>
  <si>
    <t>Reorder Level</t>
  </si>
  <si>
    <t>Stock Alert</t>
  </si>
  <si>
    <t>Vendor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</si>
</sst>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₹#,##0.00"/>
    <numFmt numFmtId="165" formatCode="dd-mmm-yyyy"/>
    <numFmt numFmtId="166" formatCode="hh:mm"/>
  </numFmts>
  <fonts count="9">
    <font>
      <sz val="11.0"/>
      <color rgb="FF000000"/>
      <name val="Carlito"/>
      <scheme val="minor"/>
    </font>
    <font>
      <b/>
      <sz val="15.0"/>
      <color rgb="FFFFFFFF"/>
      <name val="Carlito"/>
    </font>
    <font>
      <color theme="1"/>
      <name val="Carlito"/>
      <scheme val="minor"/>
    </font>
    <font>
      <i/>
      <sz val="11.0"/>
      <color theme="1"/>
      <name val="Carlito"/>
    </font>
    <font>
      <b/>
      <sz val="11.0"/>
      <color rgb="FFFFFFFF"/>
      <name val="Carlito"/>
    </font>
    <font>
      <b/>
      <sz val="13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8.0"/>
      <color rgb="FF1F4E78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rgb="FFF8FBFD"/>
        <bgColor rgb="FFF8FBF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3" fontId="3" numFmtId="0" xfId="0" applyAlignment="1" applyFill="1" applyFont="1">
      <alignment horizontal="center"/>
    </xf>
    <xf borderId="0" fillId="4" fontId="4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left"/>
    </xf>
    <xf borderId="0" fillId="0" fontId="2" numFmtId="0" xfId="0" applyFont="1"/>
    <xf borderId="0" fillId="4" fontId="4" numFmtId="0" xfId="0" applyAlignment="1" applyFont="1">
      <alignment horizontal="left" shrinkToFit="0" vertical="center" wrapText="1"/>
    </xf>
    <xf borderId="0" fillId="5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0" fontId="7" numFmtId="164" xfId="0" applyAlignment="1" applyFont="1" applyNumberFormat="1">
      <alignment horizontal="left"/>
    </xf>
    <xf borderId="0" fillId="6" fontId="8" numFmtId="0" xfId="0" applyAlignment="1" applyFill="1" applyFont="1">
      <alignment horizontal="center" vertical="center"/>
    </xf>
    <xf borderId="0" fillId="0" fontId="7" numFmtId="164" xfId="0" applyFont="1" applyNumberFormat="1"/>
    <xf borderId="0" fillId="0" fontId="7" numFmtId="9" xfId="0" applyFont="1" applyNumberFormat="1"/>
    <xf borderId="0" fillId="0" fontId="7" numFmtId="165" xfId="0" applyFont="1" applyNumberFormat="1"/>
    <xf borderId="0" fillId="0" fontId="7" numFmtId="166" xfId="0" applyFont="1" applyNumberFormat="1"/>
    <xf borderId="0" fillId="0" fontId="7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7" numFmtId="20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2" numFmtId="166" xfId="0" applyFont="1" applyNumberFormat="1"/>
    <xf borderId="0" fillId="0" fontId="7" numFmtId="10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Today's Good Production by Labour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Good Qty Today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Dashboard!$A$16:$A$24</c:f>
            </c:strRef>
          </c:cat>
          <c:val>
            <c:numRef>
              <c:f>Dashboard!$B$16:$B$24</c:f>
              <c:numCache/>
            </c:numRef>
          </c:val>
        </c:ser>
        <c:axId val="776494164"/>
        <c:axId val="320832339"/>
      </c:barChart>
      <c:catAx>
        <c:axId val="776494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832339"/>
      </c:catAx>
      <c:valAx>
        <c:axId val="320832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64941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14</xdr:row>
      <xdr:rowOff>0</xdr:rowOff>
    </xdr:from>
    <xdr:ext cx="5486400" cy="3600450"/>
    <xdr:graphicFrame>
      <xdr:nvGraphicFramePr>
        <xdr:cNvPr id="15848052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3.0"/>
    <col customWidth="1" min="3" max="4" width="11.0"/>
    <col customWidth="1" min="5" max="5" width="13.0"/>
    <col customWidth="1" min="6" max="6" width="16.0"/>
    <col customWidth="1" min="7" max="7" width="3.0"/>
    <col customWidth="1" min="8" max="8" width="18.0"/>
    <col customWidth="1" min="9" max="9" width="12.0"/>
    <col customWidth="1" min="10" max="10" width="18.0"/>
    <col customWidth="1" min="11" max="11" width="12.0"/>
    <col customWidth="1" min="12" max="14" width="4.0"/>
    <col customWidth="1" min="15" max="26" width="8.63"/>
  </cols>
  <sheetData>
    <row r="1" ht="27.75" customHeight="1">
      <c r="A1" s="2" t="s">
        <v>142</v>
      </c>
    </row>
    <row r="2">
      <c r="A2" s="4" t="s">
        <v>143</v>
      </c>
    </row>
    <row r="4" ht="24.0" customHeight="1">
      <c r="A4" s="9" t="s">
        <v>145</v>
      </c>
    </row>
    <row r="6">
      <c r="A6" s="10" t="s">
        <v>151</v>
      </c>
      <c r="D6" s="10" t="s">
        <v>152</v>
      </c>
      <c r="G6" s="10" t="s">
        <v>153</v>
      </c>
      <c r="J6" s="10" t="s">
        <v>155</v>
      </c>
    </row>
    <row r="7">
      <c r="A7" s="12">
        <f>COUNTIF('Order Planning'!$M$5:$M$204,"&gt;0")</f>
        <v>0</v>
      </c>
      <c r="D7" s="12">
        <f>COUNTIFS('Order Planning'!$H$5:$H$204,TODAY(),'Order Planning'!$M$5:$M$204,"&gt;0")</f>
        <v>0</v>
      </c>
      <c r="G7" s="12">
        <f>SUMIF('Daily Production'!$A$5:$A$504,TODAY(),'Daily Production'!$H$5:$H$504)</f>
        <v>0</v>
      </c>
      <c r="J7" s="12">
        <f>SUMIF('Daily Production'!$A$5:$A$504,TODAY(),'Daily Production'!$L$5:$L$504)</f>
        <v>0</v>
      </c>
    </row>
    <row r="10">
      <c r="A10" s="10" t="s">
        <v>161</v>
      </c>
      <c r="D10" s="10" t="s">
        <v>162</v>
      </c>
      <c r="G10" s="10" t="s">
        <v>163</v>
      </c>
      <c r="J10" s="10" t="s">
        <v>164</v>
      </c>
    </row>
    <row r="11">
      <c r="A11" s="12">
        <f>COUNTIFS(Attendance!$A$5:$A$304,TODAY(),Attendance!$C$5:$C$304,"Present")</f>
        <v>0</v>
      </c>
      <c r="D11" s="12">
        <f>SUMIF('Daily Production'!$A$5:$A$504,TODAY(),'Daily Production'!$J$5:$J$504)</f>
        <v>0</v>
      </c>
      <c r="G11" s="12">
        <f>SUMIF('Daily Production'!$A$5:$A$504,TODAY(),'Daily Production'!$K$5:$K$504)</f>
        <v>0</v>
      </c>
      <c r="J11" s="12">
        <f>SUMIF(Dispatch!$A$5:$A$204,TODAY(),Dispatch!$G$5:$G$204)</f>
        <v>0</v>
      </c>
    </row>
    <row r="15" ht="31.5" customHeight="1">
      <c r="A15" s="5" t="s">
        <v>165</v>
      </c>
      <c r="B15" s="5" t="s">
        <v>166</v>
      </c>
      <c r="C15" s="5" t="s">
        <v>167</v>
      </c>
      <c r="D15" s="5" t="s">
        <v>102</v>
      </c>
      <c r="E15" s="5" t="s">
        <v>168</v>
      </c>
      <c r="F15" s="5" t="s">
        <v>169</v>
      </c>
    </row>
    <row r="16">
      <c r="A16" s="7" t="s">
        <v>53</v>
      </c>
      <c r="B16" s="7">
        <f>SUMIFS('Daily Production'!$L$5:$L$504,'Daily Production'!$A$5:$A$504,TODAY(),'Daily Production'!$F$5:$F$504,A16)</f>
        <v>0</v>
      </c>
      <c r="C16" s="7">
        <f>SUMIFS('Daily Production'!$J$5:$J$504,'Daily Production'!$A$5:$A$504,TODAY(),'Daily Production'!$F$5:$F$504,A16)</f>
        <v>0</v>
      </c>
      <c r="D16" s="7">
        <f>SUMIFS('Daily Production'!$K$5:$K$504,'Daily Production'!$A$5:$A$504,TODAY(),'Daily Production'!$F$5:$F$504,A16)</f>
        <v>0</v>
      </c>
      <c r="E16" s="13">
        <f>SUMIFS('Daily Production'!$Q$5:$Q$504,'Daily Production'!$A$5:$A$504,TODAY(),'Daily Production'!$F$5:$F$504,A16)</f>
        <v>0</v>
      </c>
      <c r="F16" s="14">
        <f>IF(Settings!$B$6=0,0,B16/Settings!$B$6)</f>
        <v>0</v>
      </c>
    </row>
    <row r="17">
      <c r="A17" s="7" t="s">
        <v>67</v>
      </c>
      <c r="B17" s="7">
        <f>SUMIFS('Daily Production'!$L$5:$L$504,'Daily Production'!$A$5:$A$504,TODAY(),'Daily Production'!$F$5:$F$504,A17)</f>
        <v>0</v>
      </c>
      <c r="C17" s="7">
        <f>SUMIFS('Daily Production'!$J$5:$J$504,'Daily Production'!$A$5:$A$504,TODAY(),'Daily Production'!$F$5:$F$504,A17)</f>
        <v>0</v>
      </c>
      <c r="D17" s="7">
        <f>SUMIFS('Daily Production'!$K$5:$K$504,'Daily Production'!$A$5:$A$504,TODAY(),'Daily Production'!$F$5:$F$504,A17)</f>
        <v>0</v>
      </c>
      <c r="E17" s="13">
        <f>SUMIFS('Daily Production'!$Q$5:$Q$504,'Daily Production'!$A$5:$A$504,TODAY(),'Daily Production'!$F$5:$F$504,A17)</f>
        <v>0</v>
      </c>
      <c r="F17" s="14">
        <f>IF(Settings!$B$6=0,0,B17/Settings!$B$6)</f>
        <v>0</v>
      </c>
    </row>
    <row r="18">
      <c r="A18" s="7" t="s">
        <v>82</v>
      </c>
      <c r="B18" s="7">
        <f>SUMIFS('Daily Production'!$L$5:$L$504,'Daily Production'!$A$5:$A$504,TODAY(),'Daily Production'!$F$5:$F$504,A18)</f>
        <v>0</v>
      </c>
      <c r="C18" s="7">
        <f>SUMIFS('Daily Production'!$J$5:$J$504,'Daily Production'!$A$5:$A$504,TODAY(),'Daily Production'!$F$5:$F$504,A18)</f>
        <v>0</v>
      </c>
      <c r="D18" s="7">
        <f>SUMIFS('Daily Production'!$K$5:$K$504,'Daily Production'!$A$5:$A$504,TODAY(),'Daily Production'!$F$5:$F$504,A18)</f>
        <v>0</v>
      </c>
      <c r="E18" s="13">
        <f>SUMIFS('Daily Production'!$Q$5:$Q$504,'Daily Production'!$A$5:$A$504,TODAY(),'Daily Production'!$F$5:$F$504,A18)</f>
        <v>0</v>
      </c>
      <c r="F18" s="14">
        <f>IF(Settings!$B$6=0,0,B18/Settings!$B$6)</f>
        <v>0</v>
      </c>
    </row>
    <row r="19">
      <c r="A19" s="7" t="s">
        <v>96</v>
      </c>
      <c r="B19" s="7">
        <f>SUMIFS('Daily Production'!$L$5:$L$504,'Daily Production'!$A$5:$A$504,TODAY(),'Daily Production'!$F$5:$F$504,A19)</f>
        <v>0</v>
      </c>
      <c r="C19" s="7">
        <f>SUMIFS('Daily Production'!$J$5:$J$504,'Daily Production'!$A$5:$A$504,TODAY(),'Daily Production'!$F$5:$F$504,A19)</f>
        <v>0</v>
      </c>
      <c r="D19" s="7">
        <f>SUMIFS('Daily Production'!$K$5:$K$504,'Daily Production'!$A$5:$A$504,TODAY(),'Daily Production'!$F$5:$F$504,A19)</f>
        <v>0</v>
      </c>
      <c r="E19" s="13">
        <f>SUMIFS('Daily Production'!$Q$5:$Q$504,'Daily Production'!$A$5:$A$504,TODAY(),'Daily Production'!$F$5:$F$504,A19)</f>
        <v>0</v>
      </c>
      <c r="F19" s="14">
        <f>IF(Settings!$B$6=0,0,B19/Settings!$B$6)</f>
        <v>0</v>
      </c>
    </row>
    <row r="20">
      <c r="A20" s="7" t="s">
        <v>105</v>
      </c>
      <c r="B20" s="7">
        <f>SUMIFS('Daily Production'!$L$5:$L$504,'Daily Production'!$A$5:$A$504,TODAY(),'Daily Production'!$F$5:$F$504,A20)</f>
        <v>0</v>
      </c>
      <c r="C20" s="7">
        <f>SUMIFS('Daily Production'!$J$5:$J$504,'Daily Production'!$A$5:$A$504,TODAY(),'Daily Production'!$F$5:$F$504,A20)</f>
        <v>0</v>
      </c>
      <c r="D20" s="7">
        <f>SUMIFS('Daily Production'!$K$5:$K$504,'Daily Production'!$A$5:$A$504,TODAY(),'Daily Production'!$F$5:$F$504,A20)</f>
        <v>0</v>
      </c>
      <c r="E20" s="13">
        <f>SUMIFS('Daily Production'!$Q$5:$Q$504,'Daily Production'!$A$5:$A$504,TODAY(),'Daily Production'!$F$5:$F$504,A20)</f>
        <v>0</v>
      </c>
      <c r="F20" s="14">
        <f>IF(Settings!$B$6=0,0,B20/Settings!$B$6)</f>
        <v>0</v>
      </c>
    </row>
    <row r="21" ht="15.75" customHeight="1">
      <c r="A21" s="7" t="s">
        <v>111</v>
      </c>
      <c r="B21" s="7">
        <f>SUMIFS('Daily Production'!$L$5:$L$504,'Daily Production'!$A$5:$A$504,TODAY(),'Daily Production'!$F$5:$F$504,A21)</f>
        <v>0</v>
      </c>
      <c r="C21" s="7">
        <f>SUMIFS('Daily Production'!$J$5:$J$504,'Daily Production'!$A$5:$A$504,TODAY(),'Daily Production'!$F$5:$F$504,A21)</f>
        <v>0</v>
      </c>
      <c r="D21" s="7">
        <f>SUMIFS('Daily Production'!$K$5:$K$504,'Daily Production'!$A$5:$A$504,TODAY(),'Daily Production'!$F$5:$F$504,A21)</f>
        <v>0</v>
      </c>
      <c r="E21" s="13">
        <f>SUMIFS('Daily Production'!$Q$5:$Q$504,'Daily Production'!$A$5:$A$504,TODAY(),'Daily Production'!$F$5:$F$504,A21)</f>
        <v>0</v>
      </c>
      <c r="F21" s="14">
        <f>IF(Settings!$B$6=0,0,B21/Settings!$B$6)</f>
        <v>0</v>
      </c>
    </row>
    <row r="22" ht="15.75" customHeight="1">
      <c r="A22" s="7" t="s">
        <v>117</v>
      </c>
      <c r="B22" s="7">
        <f>SUMIFS('Daily Production'!$L$5:$L$504,'Daily Production'!$A$5:$A$504,TODAY(),'Daily Production'!$F$5:$F$504,A22)</f>
        <v>0</v>
      </c>
      <c r="C22" s="7">
        <f>SUMIFS('Daily Production'!$J$5:$J$504,'Daily Production'!$A$5:$A$504,TODAY(),'Daily Production'!$F$5:$F$504,A22)</f>
        <v>0</v>
      </c>
      <c r="D22" s="7">
        <f>SUMIFS('Daily Production'!$K$5:$K$504,'Daily Production'!$A$5:$A$504,TODAY(),'Daily Production'!$F$5:$F$504,A22)</f>
        <v>0</v>
      </c>
      <c r="E22" s="13">
        <f>SUMIFS('Daily Production'!$Q$5:$Q$504,'Daily Production'!$A$5:$A$504,TODAY(),'Daily Production'!$F$5:$F$504,A22)</f>
        <v>0</v>
      </c>
      <c r="F22" s="14">
        <f>IF(Settings!$B$6=0,0,B22/Settings!$B$6)</f>
        <v>0</v>
      </c>
    </row>
    <row r="23" ht="15.75" customHeight="1">
      <c r="A23" s="7" t="s">
        <v>123</v>
      </c>
      <c r="B23" s="7">
        <f>SUMIFS('Daily Production'!$L$5:$L$504,'Daily Production'!$A$5:$A$504,TODAY(),'Daily Production'!$F$5:$F$504,A23)</f>
        <v>0</v>
      </c>
      <c r="C23" s="7">
        <f>SUMIFS('Daily Production'!$J$5:$J$504,'Daily Production'!$A$5:$A$504,TODAY(),'Daily Production'!$F$5:$F$504,A23)</f>
        <v>0</v>
      </c>
      <c r="D23" s="7">
        <f>SUMIFS('Daily Production'!$K$5:$K$504,'Daily Production'!$A$5:$A$504,TODAY(),'Daily Production'!$F$5:$F$504,A23)</f>
        <v>0</v>
      </c>
      <c r="E23" s="13">
        <f>SUMIFS('Daily Production'!$Q$5:$Q$504,'Daily Production'!$A$5:$A$504,TODAY(),'Daily Production'!$F$5:$F$504,A23)</f>
        <v>0</v>
      </c>
      <c r="F23" s="14">
        <f>IF(Settings!$B$6=0,0,B23/Settings!$B$6)</f>
        <v>0</v>
      </c>
    </row>
    <row r="24" ht="15.75" customHeight="1">
      <c r="A24" s="7" t="s">
        <v>128</v>
      </c>
      <c r="B24" s="7">
        <f>SUMIFS('Daily Production'!$L$5:$L$504,'Daily Production'!$A$5:$A$504,TODAY(),'Daily Production'!$F$5:$F$504,A24)</f>
        <v>0</v>
      </c>
      <c r="C24" s="7">
        <f>SUMIFS('Daily Production'!$J$5:$J$504,'Daily Production'!$A$5:$A$504,TODAY(),'Daily Production'!$F$5:$F$504,A24)</f>
        <v>0</v>
      </c>
      <c r="D24" s="7">
        <f>SUMIFS('Daily Production'!$K$5:$K$504,'Daily Production'!$A$5:$A$504,TODAY(),'Daily Production'!$F$5:$F$504,A24)</f>
        <v>0</v>
      </c>
      <c r="E24" s="13">
        <f>SUMIFS('Daily Production'!$Q$5:$Q$504,'Daily Production'!$A$5:$A$504,TODAY(),'Daily Production'!$F$5:$F$504,A24)</f>
        <v>0</v>
      </c>
      <c r="F24" s="14">
        <f>IF(Settings!$B$6=0,0,B24/Settings!$B$6)</f>
        <v>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N1"/>
    <mergeCell ref="A2:N2"/>
    <mergeCell ref="A4:N4"/>
    <mergeCell ref="A6:C6"/>
    <mergeCell ref="D6:F6"/>
    <mergeCell ref="G6:I6"/>
    <mergeCell ref="J6:L6"/>
    <mergeCell ref="A10:C10"/>
    <mergeCell ref="A11:C12"/>
    <mergeCell ref="D11:F12"/>
    <mergeCell ref="G11:I12"/>
    <mergeCell ref="J11:L12"/>
    <mergeCell ref="A7:C8"/>
    <mergeCell ref="D7:F8"/>
    <mergeCell ref="G7:I8"/>
    <mergeCell ref="J7:L8"/>
    <mergeCell ref="D10:F10"/>
    <mergeCell ref="G10:I10"/>
    <mergeCell ref="J10:L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51.63"/>
    <col customWidth="1" min="3" max="3" width="34.0"/>
    <col customWidth="1" min="4" max="4" width="28.0"/>
    <col customWidth="1" min="5" max="5" width="18.0"/>
    <col customWidth="1" min="6" max="6" width="22.0"/>
    <col customWidth="1" min="7" max="7" width="20.0"/>
    <col customWidth="1" min="8" max="8" width="30.0"/>
    <col customWidth="1" min="9" max="26" width="8.63"/>
  </cols>
  <sheetData>
    <row r="1" ht="27.75" customHeight="1">
      <c r="A1" s="2" t="s">
        <v>0</v>
      </c>
    </row>
    <row r="2">
      <c r="A2" s="4" t="s">
        <v>2</v>
      </c>
    </row>
    <row r="4" ht="31.5" customHeight="1">
      <c r="A4" s="5" t="s">
        <v>3</v>
      </c>
      <c r="B4" s="5" t="s">
        <v>4</v>
      </c>
      <c r="C4" s="5" t="s">
        <v>5</v>
      </c>
      <c r="D4" s="5" t="s">
        <v>7</v>
      </c>
      <c r="E4" s="5" t="s">
        <v>8</v>
      </c>
      <c r="F4" s="5" t="s">
        <v>9</v>
      </c>
      <c r="G4" s="5" t="s">
        <v>11</v>
      </c>
      <c r="H4" s="5" t="s">
        <v>12</v>
      </c>
    </row>
    <row r="5">
      <c r="A5" s="7" t="s">
        <v>13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</row>
    <row r="6">
      <c r="A6" s="7" t="s">
        <v>23</v>
      </c>
      <c r="B6" s="7" t="s">
        <v>25</v>
      </c>
      <c r="C6" s="7" t="s">
        <v>26</v>
      </c>
      <c r="D6" s="7" t="s">
        <v>28</v>
      </c>
      <c r="E6" s="7" t="s">
        <v>29</v>
      </c>
      <c r="F6" s="7" t="s">
        <v>31</v>
      </c>
      <c r="G6" s="7" t="s">
        <v>32</v>
      </c>
      <c r="H6" s="7" t="s">
        <v>34</v>
      </c>
    </row>
    <row r="7">
      <c r="A7" s="7" t="s">
        <v>35</v>
      </c>
      <c r="B7" s="7" t="s">
        <v>37</v>
      </c>
      <c r="C7" s="7" t="s">
        <v>38</v>
      </c>
      <c r="D7" s="7" t="s">
        <v>40</v>
      </c>
      <c r="E7" s="7" t="s">
        <v>41</v>
      </c>
      <c r="F7" s="7" t="s">
        <v>42</v>
      </c>
      <c r="G7" s="7" t="s">
        <v>44</v>
      </c>
      <c r="H7" s="7" t="s">
        <v>45</v>
      </c>
    </row>
    <row r="10" ht="31.5" customHeight="1">
      <c r="A10" s="5" t="s">
        <v>47</v>
      </c>
      <c r="B10" s="5" t="s">
        <v>48</v>
      </c>
    </row>
    <row r="11">
      <c r="A11" s="7" t="s">
        <v>50</v>
      </c>
      <c r="B11" s="7" t="s">
        <v>52</v>
      </c>
    </row>
    <row r="12">
      <c r="A12" s="7" t="s">
        <v>54</v>
      </c>
      <c r="B12" s="7" t="s">
        <v>57</v>
      </c>
    </row>
    <row r="13">
      <c r="A13" s="7" t="s">
        <v>60</v>
      </c>
      <c r="B13" s="7" t="s">
        <v>62</v>
      </c>
    </row>
    <row r="14">
      <c r="A14" s="7" t="s">
        <v>72</v>
      </c>
      <c r="B14" s="7" t="s">
        <v>74</v>
      </c>
    </row>
    <row r="15">
      <c r="A15" s="7" t="s">
        <v>77</v>
      </c>
      <c r="B15" s="7" t="s">
        <v>78</v>
      </c>
    </row>
    <row r="16">
      <c r="A16" s="7" t="s">
        <v>81</v>
      </c>
      <c r="B16" s="7" t="s">
        <v>83</v>
      </c>
    </row>
    <row r="17">
      <c r="A17" s="7" t="s">
        <v>86</v>
      </c>
      <c r="B17" s="7" t="s">
        <v>88</v>
      </c>
    </row>
    <row r="18">
      <c r="A18" s="7" t="s">
        <v>91</v>
      </c>
      <c r="B18" s="7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6.0"/>
    <col customWidth="1" min="3" max="3" width="14.0"/>
    <col customWidth="1" min="4" max="4" width="16.0"/>
    <col customWidth="1" min="5" max="5" width="20.0"/>
    <col customWidth="1" min="6" max="6" width="46.0"/>
    <col customWidth="1" min="7" max="26" width="8.63"/>
  </cols>
  <sheetData>
    <row r="1" ht="27.75" customHeight="1">
      <c r="A1" s="1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8" t="s">
        <v>56</v>
      </c>
      <c r="B4" s="8" t="s">
        <v>68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97</v>
      </c>
      <c r="B5" s="3">
        <v>350.0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119</v>
      </c>
      <c r="B6" s="3">
        <v>350.0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135</v>
      </c>
      <c r="B7" s="3">
        <v>700.0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136</v>
      </c>
      <c r="B8" s="3">
        <v>9.0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137</v>
      </c>
      <c r="B9" s="3">
        <v>9.0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138</v>
      </c>
      <c r="B10" s="3">
        <v>3.0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139</v>
      </c>
      <c r="B11" s="3">
        <v>10.0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140</v>
      </c>
      <c r="B12" s="3" t="s">
        <v>141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8" t="s">
        <v>144</v>
      </c>
      <c r="B14" s="8" t="s">
        <v>146</v>
      </c>
      <c r="C14" s="8" t="s">
        <v>147</v>
      </c>
      <c r="D14" s="8" t="s">
        <v>148</v>
      </c>
      <c r="E14" s="8" t="s">
        <v>149</v>
      </c>
      <c r="F14" s="8" t="s">
        <v>150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154</v>
      </c>
      <c r="B15" s="3">
        <v>350.0</v>
      </c>
      <c r="C15" s="11">
        <v>350.0</v>
      </c>
      <c r="D15" s="11">
        <f t="shared" ref="D15:D16" si="1">C15/B15</f>
        <v>1</v>
      </c>
      <c r="E15" s="3" t="s">
        <v>156</v>
      </c>
      <c r="F15" s="3" t="s">
        <v>157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158</v>
      </c>
      <c r="B16" s="3">
        <v>700.0</v>
      </c>
      <c r="C16" s="11">
        <v>350.0</v>
      </c>
      <c r="D16" s="11">
        <f t="shared" si="1"/>
        <v>0.5</v>
      </c>
      <c r="E16" s="3" t="s">
        <v>159</v>
      </c>
      <c r="F16" s="3" t="s">
        <v>160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3.13"/>
    <col customWidth="1" min="3" max="3" width="14.0"/>
    <col customWidth="1" min="4" max="4" width="2.88"/>
    <col customWidth="1" min="5" max="5" width="16.0"/>
    <col customWidth="1" min="6" max="6" width="2.75"/>
    <col customWidth="1" min="7" max="7" width="16.0"/>
    <col customWidth="1" min="8" max="8" width="2.88"/>
    <col customWidth="1" min="9" max="9" width="24.0"/>
    <col customWidth="1" min="10" max="10" width="3.5"/>
    <col customWidth="1" min="11" max="11" width="12.0"/>
    <col customWidth="1" min="12" max="12" width="2.5"/>
    <col customWidth="1" min="13" max="13" width="18.0"/>
    <col customWidth="1" min="14" max="14" width="2.63"/>
    <col customWidth="1" min="15" max="15" width="18.0"/>
    <col customWidth="1" min="16" max="16" width="2.63"/>
    <col customWidth="1" min="17" max="17" width="14.0"/>
    <col customWidth="1" min="18" max="26" width="8.63"/>
  </cols>
  <sheetData>
    <row r="1" ht="27.75" customHeight="1">
      <c r="A1" s="2" t="s">
        <v>6</v>
      </c>
    </row>
    <row r="2">
      <c r="A2" s="4" t="s">
        <v>14</v>
      </c>
    </row>
    <row r="4" ht="31.5" customHeight="1">
      <c r="A4" s="5" t="s">
        <v>22</v>
      </c>
      <c r="C4" s="5" t="s">
        <v>24</v>
      </c>
      <c r="E4" s="5" t="s">
        <v>27</v>
      </c>
      <c r="G4" s="5" t="s">
        <v>30</v>
      </c>
      <c r="I4" s="5" t="s">
        <v>33</v>
      </c>
      <c r="K4" s="5" t="s">
        <v>36</v>
      </c>
      <c r="M4" s="5" t="s">
        <v>39</v>
      </c>
      <c r="O4" s="5" t="s">
        <v>43</v>
      </c>
      <c r="Q4" s="5" t="s">
        <v>46</v>
      </c>
    </row>
    <row r="5">
      <c r="A5" s="7" t="s">
        <v>49</v>
      </c>
      <c r="C5" s="7" t="s">
        <v>51</v>
      </c>
      <c r="E5" s="7" t="s">
        <v>53</v>
      </c>
      <c r="G5" s="7" t="s">
        <v>55</v>
      </c>
      <c r="I5" s="7" t="s">
        <v>58</v>
      </c>
      <c r="K5" s="7" t="s">
        <v>59</v>
      </c>
      <c r="M5" s="7" t="s">
        <v>61</v>
      </c>
      <c r="O5" s="7" t="s">
        <v>63</v>
      </c>
      <c r="Q5" s="7" t="s">
        <v>64</v>
      </c>
    </row>
    <row r="6">
      <c r="A6" s="7" t="s">
        <v>65</v>
      </c>
      <c r="C6" s="7" t="s">
        <v>66</v>
      </c>
      <c r="E6" s="7" t="s">
        <v>67</v>
      </c>
      <c r="G6" s="7" t="s">
        <v>69</v>
      </c>
      <c r="I6" s="7" t="s">
        <v>70</v>
      </c>
      <c r="K6" s="7" t="s">
        <v>71</v>
      </c>
      <c r="M6" s="7" t="s">
        <v>73</v>
      </c>
      <c r="O6" s="7" t="s">
        <v>75</v>
      </c>
      <c r="Q6" s="7" t="s">
        <v>76</v>
      </c>
    </row>
    <row r="7">
      <c r="A7" s="7" t="s">
        <v>79</v>
      </c>
      <c r="C7" s="7" t="s">
        <v>80</v>
      </c>
      <c r="E7" s="7" t="s">
        <v>82</v>
      </c>
      <c r="G7" s="7" t="s">
        <v>84</v>
      </c>
      <c r="I7" s="7" t="s">
        <v>85</v>
      </c>
      <c r="K7" s="7" t="s">
        <v>87</v>
      </c>
      <c r="M7" s="7" t="s">
        <v>89</v>
      </c>
      <c r="O7" s="7" t="s">
        <v>90</v>
      </c>
      <c r="Q7" s="7" t="s">
        <v>93</v>
      </c>
    </row>
    <row r="8">
      <c r="A8" s="7" t="s">
        <v>94</v>
      </c>
      <c r="C8" s="7" t="s">
        <v>95</v>
      </c>
      <c r="E8" s="7" t="s">
        <v>96</v>
      </c>
      <c r="G8" s="7" t="s">
        <v>98</v>
      </c>
      <c r="I8" s="7" t="s">
        <v>99</v>
      </c>
      <c r="K8" s="7" t="s">
        <v>100</v>
      </c>
      <c r="M8" s="7" t="s">
        <v>101</v>
      </c>
      <c r="O8" s="7" t="s">
        <v>102</v>
      </c>
      <c r="Q8" s="7" t="s">
        <v>103</v>
      </c>
    </row>
    <row r="9">
      <c r="C9" s="7" t="s">
        <v>104</v>
      </c>
      <c r="E9" s="7" t="s">
        <v>105</v>
      </c>
      <c r="G9" s="7" t="s">
        <v>106</v>
      </c>
      <c r="I9" s="7" t="s">
        <v>107</v>
      </c>
      <c r="M9" s="7" t="s">
        <v>108</v>
      </c>
      <c r="O9" s="7" t="s">
        <v>109</v>
      </c>
    </row>
    <row r="10">
      <c r="C10" s="7" t="s">
        <v>110</v>
      </c>
      <c r="E10" s="7" t="s">
        <v>111</v>
      </c>
      <c r="G10" s="7" t="s">
        <v>112</v>
      </c>
      <c r="I10" s="7" t="s">
        <v>113</v>
      </c>
      <c r="M10" s="7" t="s">
        <v>114</v>
      </c>
      <c r="O10" s="7" t="s">
        <v>115</v>
      </c>
    </row>
    <row r="11">
      <c r="C11" s="7" t="s">
        <v>116</v>
      </c>
      <c r="E11" s="7" t="s">
        <v>117</v>
      </c>
      <c r="G11" s="7" t="s">
        <v>118</v>
      </c>
      <c r="I11" s="7" t="s">
        <v>120</v>
      </c>
      <c r="M11" s="7" t="s">
        <v>121</v>
      </c>
    </row>
    <row r="12">
      <c r="C12" s="7" t="s">
        <v>122</v>
      </c>
      <c r="E12" s="7" t="s">
        <v>123</v>
      </c>
      <c r="G12" s="7" t="s">
        <v>124</v>
      </c>
      <c r="I12" s="7" t="s">
        <v>125</v>
      </c>
      <c r="M12" s="7" t="s">
        <v>126</v>
      </c>
    </row>
    <row r="13">
      <c r="C13" s="7" t="s">
        <v>127</v>
      </c>
      <c r="E13" s="7" t="s">
        <v>128</v>
      </c>
      <c r="G13" s="7" t="s">
        <v>129</v>
      </c>
      <c r="I13" s="7" t="s">
        <v>130</v>
      </c>
    </row>
    <row r="14">
      <c r="I14" s="7" t="s">
        <v>131</v>
      </c>
    </row>
    <row r="15">
      <c r="I15" s="7" t="s">
        <v>132</v>
      </c>
    </row>
    <row r="16">
      <c r="I16" s="7" t="s">
        <v>133</v>
      </c>
    </row>
    <row r="17">
      <c r="I17" s="7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0"/>
    <col customWidth="1" min="3" max="3" width="20.0"/>
    <col customWidth="1" min="4" max="4" width="18.0"/>
    <col customWidth="1" min="5" max="5" width="22.0"/>
    <col customWidth="1" min="6" max="6" width="10.0"/>
    <col customWidth="1" min="7" max="7" width="11.0"/>
    <col customWidth="1" min="8" max="8" width="16.0"/>
    <col customWidth="1" min="9" max="9" width="11.0"/>
    <col customWidth="1" min="10" max="10" width="16.0"/>
    <col customWidth="1" min="11" max="14" width="11.0"/>
    <col customWidth="1" min="15" max="15" width="12.0"/>
    <col customWidth="1" min="16" max="16" width="18.0"/>
    <col customWidth="1" min="17" max="17" width="28.0"/>
    <col customWidth="1" min="18" max="26" width="8.63"/>
  </cols>
  <sheetData>
    <row r="1" ht="27.75" customHeight="1">
      <c r="A1" s="2" t="s">
        <v>170</v>
      </c>
    </row>
    <row r="2">
      <c r="A2" s="4" t="s">
        <v>171</v>
      </c>
    </row>
    <row r="4" ht="31.5" customHeight="1">
      <c r="A4" s="5" t="s">
        <v>172</v>
      </c>
      <c r="B4" s="5" t="s">
        <v>173</v>
      </c>
      <c r="C4" s="5" t="s">
        <v>174</v>
      </c>
      <c r="D4" s="5" t="s">
        <v>175</v>
      </c>
      <c r="E4" s="5" t="s">
        <v>176</v>
      </c>
      <c r="F4" s="5" t="s">
        <v>177</v>
      </c>
      <c r="G4" s="5" t="s">
        <v>178</v>
      </c>
      <c r="H4" s="5" t="s">
        <v>179</v>
      </c>
      <c r="I4" s="5" t="s">
        <v>36</v>
      </c>
      <c r="J4" s="5" t="s">
        <v>39</v>
      </c>
      <c r="K4" s="5" t="s">
        <v>180</v>
      </c>
      <c r="L4" s="5" t="s">
        <v>182</v>
      </c>
      <c r="M4" s="5" t="s">
        <v>183</v>
      </c>
      <c r="N4" s="5" t="s">
        <v>185</v>
      </c>
      <c r="O4" s="5" t="s">
        <v>187</v>
      </c>
      <c r="P4" s="5" t="s">
        <v>188</v>
      </c>
      <c r="Q4" s="5" t="s">
        <v>189</v>
      </c>
    </row>
    <row r="5">
      <c r="B5" s="15"/>
      <c r="E5" s="7"/>
      <c r="F5" s="7"/>
      <c r="H5" s="15"/>
      <c r="I5" s="7"/>
      <c r="J5" s="7"/>
      <c r="K5" s="7">
        <f>SUMIF('Daily Production'!$B$5:$B$504,A5,'Daily Production'!$H$5:$H$504)</f>
        <v>0</v>
      </c>
      <c r="L5" s="7">
        <f>SUMIF('Daily Production'!$B$5:$B$504,A5,'Daily Production'!$I$5:$I$504)</f>
        <v>0</v>
      </c>
      <c r="M5" s="7">
        <f t="shared" ref="M5:M204" si="1">MAX(0,G5-L5)</f>
        <v>0</v>
      </c>
      <c r="N5" s="7">
        <f>SUMIF(Dispatch!$B$5:$B$204,A5,Dispatch!$G$5:$G$204)</f>
        <v>0</v>
      </c>
      <c r="O5" s="7">
        <f t="shared" ref="O5:O204" si="2">MAX(0,G5-N5)</f>
        <v>0</v>
      </c>
      <c r="P5" s="7"/>
    </row>
    <row r="6">
      <c r="B6" s="15"/>
      <c r="E6" s="7"/>
      <c r="F6" s="7"/>
      <c r="H6" s="15"/>
      <c r="I6" s="7"/>
      <c r="J6" s="7"/>
      <c r="K6" s="7">
        <f>SUMIF('Daily Production'!$B$5:$B$504,A6,'Daily Production'!$H$5:$H$504)</f>
        <v>0</v>
      </c>
      <c r="L6" s="7">
        <f>SUMIF('Daily Production'!$B$5:$B$504,A6,'Daily Production'!$I$5:$I$504)</f>
        <v>0</v>
      </c>
      <c r="M6" s="7">
        <f t="shared" si="1"/>
        <v>0</v>
      </c>
      <c r="N6" s="7">
        <f>SUMIF(Dispatch!$B$5:$B$204,A6,Dispatch!$G$5:$G$204)</f>
        <v>0</v>
      </c>
      <c r="O6" s="7">
        <f t="shared" si="2"/>
        <v>0</v>
      </c>
      <c r="P6" s="7"/>
    </row>
    <row r="7">
      <c r="B7" s="15"/>
      <c r="E7" s="7"/>
      <c r="F7" s="7"/>
      <c r="H7" s="15"/>
      <c r="I7" s="7"/>
      <c r="J7" s="7"/>
      <c r="K7" s="7">
        <f>SUMIF('Daily Production'!$B$5:$B$504,A7,'Daily Production'!$H$5:$H$504)</f>
        <v>0</v>
      </c>
      <c r="L7" s="7">
        <f>SUMIF('Daily Production'!$B$5:$B$504,A7,'Daily Production'!$I$5:$I$504)</f>
        <v>0</v>
      </c>
      <c r="M7" s="7">
        <f t="shared" si="1"/>
        <v>0</v>
      </c>
      <c r="N7" s="7">
        <f>SUMIF(Dispatch!$B$5:$B$204,A7,Dispatch!$G$5:$G$204)</f>
        <v>0</v>
      </c>
      <c r="O7" s="7">
        <f t="shared" si="2"/>
        <v>0</v>
      </c>
      <c r="P7" s="7"/>
    </row>
    <row r="8">
      <c r="B8" s="15"/>
      <c r="E8" s="7"/>
      <c r="F8" s="7"/>
      <c r="H8" s="15"/>
      <c r="I8" s="7"/>
      <c r="J8" s="7"/>
      <c r="K8" s="7">
        <f>SUMIF('Daily Production'!$B$5:$B$504,A8,'Daily Production'!$H$5:$H$504)</f>
        <v>0</v>
      </c>
      <c r="L8" s="7">
        <f>SUMIF('Daily Production'!$B$5:$B$504,A8,'Daily Production'!$I$5:$I$504)</f>
        <v>0</v>
      </c>
      <c r="M8" s="7">
        <f t="shared" si="1"/>
        <v>0</v>
      </c>
      <c r="N8" s="7">
        <f>SUMIF(Dispatch!$B$5:$B$204,A8,Dispatch!$G$5:$G$204)</f>
        <v>0</v>
      </c>
      <c r="O8" s="7">
        <f t="shared" si="2"/>
        <v>0</v>
      </c>
      <c r="P8" s="7"/>
    </row>
    <row r="9">
      <c r="B9" s="15"/>
      <c r="E9" s="7"/>
      <c r="F9" s="7"/>
      <c r="H9" s="15"/>
      <c r="I9" s="7"/>
      <c r="J9" s="7"/>
      <c r="K9" s="7">
        <f>SUMIF('Daily Production'!$B$5:$B$504,A9,'Daily Production'!$H$5:$H$504)</f>
        <v>0</v>
      </c>
      <c r="L9" s="7">
        <f>SUMIF('Daily Production'!$B$5:$B$504,A9,'Daily Production'!$I$5:$I$504)</f>
        <v>0</v>
      </c>
      <c r="M9" s="7">
        <f t="shared" si="1"/>
        <v>0</v>
      </c>
      <c r="N9" s="7">
        <f>SUMIF(Dispatch!$B$5:$B$204,A9,Dispatch!$G$5:$G$204)</f>
        <v>0</v>
      </c>
      <c r="O9" s="7">
        <f t="shared" si="2"/>
        <v>0</v>
      </c>
      <c r="P9" s="7"/>
    </row>
    <row r="10">
      <c r="B10" s="15"/>
      <c r="E10" s="7"/>
      <c r="F10" s="7"/>
      <c r="H10" s="15"/>
      <c r="I10" s="7"/>
      <c r="J10" s="7"/>
      <c r="K10" s="7">
        <f>SUMIF('Daily Production'!$B$5:$B$504,A10,'Daily Production'!$H$5:$H$504)</f>
        <v>0</v>
      </c>
      <c r="L10" s="7">
        <f>SUMIF('Daily Production'!$B$5:$B$504,A10,'Daily Production'!$I$5:$I$504)</f>
        <v>0</v>
      </c>
      <c r="M10" s="7">
        <f t="shared" si="1"/>
        <v>0</v>
      </c>
      <c r="N10" s="7">
        <f>SUMIF(Dispatch!$B$5:$B$204,A10,Dispatch!$G$5:$G$204)</f>
        <v>0</v>
      </c>
      <c r="O10" s="7">
        <f t="shared" si="2"/>
        <v>0</v>
      </c>
      <c r="P10" s="7"/>
    </row>
    <row r="11">
      <c r="B11" s="15"/>
      <c r="E11" s="7"/>
      <c r="F11" s="7"/>
      <c r="H11" s="15"/>
      <c r="I11" s="7"/>
      <c r="J11" s="7"/>
      <c r="K11" s="7">
        <f>SUMIF('Daily Production'!$B$5:$B$504,A11,'Daily Production'!$H$5:$H$504)</f>
        <v>0</v>
      </c>
      <c r="L11" s="7">
        <f>SUMIF('Daily Production'!$B$5:$B$504,A11,'Daily Production'!$I$5:$I$504)</f>
        <v>0</v>
      </c>
      <c r="M11" s="7">
        <f t="shared" si="1"/>
        <v>0</v>
      </c>
      <c r="N11" s="7">
        <f>SUMIF(Dispatch!$B$5:$B$204,A11,Dispatch!$G$5:$G$204)</f>
        <v>0</v>
      </c>
      <c r="O11" s="7">
        <f t="shared" si="2"/>
        <v>0</v>
      </c>
      <c r="P11" s="7"/>
    </row>
    <row r="12">
      <c r="B12" s="15"/>
      <c r="E12" s="7"/>
      <c r="F12" s="7"/>
      <c r="H12" s="15"/>
      <c r="I12" s="7"/>
      <c r="J12" s="7"/>
      <c r="K12" s="7">
        <f>SUMIF('Daily Production'!$B$5:$B$504,A12,'Daily Production'!$H$5:$H$504)</f>
        <v>0</v>
      </c>
      <c r="L12" s="7">
        <f>SUMIF('Daily Production'!$B$5:$B$504,A12,'Daily Production'!$I$5:$I$504)</f>
        <v>0</v>
      </c>
      <c r="M12" s="7">
        <f t="shared" si="1"/>
        <v>0</v>
      </c>
      <c r="N12" s="7">
        <f>SUMIF(Dispatch!$B$5:$B$204,A12,Dispatch!$G$5:$G$204)</f>
        <v>0</v>
      </c>
      <c r="O12" s="7">
        <f t="shared" si="2"/>
        <v>0</v>
      </c>
      <c r="P12" s="7"/>
    </row>
    <row r="13">
      <c r="B13" s="15"/>
      <c r="E13" s="7"/>
      <c r="F13" s="7"/>
      <c r="H13" s="15"/>
      <c r="I13" s="7"/>
      <c r="J13" s="7"/>
      <c r="K13" s="7">
        <f>SUMIF('Daily Production'!$B$5:$B$504,A13,'Daily Production'!$H$5:$H$504)</f>
        <v>0</v>
      </c>
      <c r="L13" s="7">
        <f>SUMIF('Daily Production'!$B$5:$B$504,A13,'Daily Production'!$I$5:$I$504)</f>
        <v>0</v>
      </c>
      <c r="M13" s="7">
        <f t="shared" si="1"/>
        <v>0</v>
      </c>
      <c r="N13" s="7">
        <f>SUMIF(Dispatch!$B$5:$B$204,A13,Dispatch!$G$5:$G$204)</f>
        <v>0</v>
      </c>
      <c r="O13" s="7">
        <f t="shared" si="2"/>
        <v>0</v>
      </c>
      <c r="P13" s="7"/>
    </row>
    <row r="14">
      <c r="B14" s="15"/>
      <c r="E14" s="7"/>
      <c r="F14" s="7"/>
      <c r="H14" s="15"/>
      <c r="I14" s="7"/>
      <c r="J14" s="7"/>
      <c r="K14" s="7">
        <f>SUMIF('Daily Production'!$B$5:$B$504,A14,'Daily Production'!$H$5:$H$504)</f>
        <v>0</v>
      </c>
      <c r="L14" s="7">
        <f>SUMIF('Daily Production'!$B$5:$B$504,A14,'Daily Production'!$I$5:$I$504)</f>
        <v>0</v>
      </c>
      <c r="M14" s="7">
        <f t="shared" si="1"/>
        <v>0</v>
      </c>
      <c r="N14" s="7">
        <f>SUMIF(Dispatch!$B$5:$B$204,A14,Dispatch!$G$5:$G$204)</f>
        <v>0</v>
      </c>
      <c r="O14" s="7">
        <f t="shared" si="2"/>
        <v>0</v>
      </c>
      <c r="P14" s="7"/>
    </row>
    <row r="15">
      <c r="B15" s="15"/>
      <c r="E15" s="7"/>
      <c r="F15" s="7"/>
      <c r="H15" s="15"/>
      <c r="I15" s="7"/>
      <c r="J15" s="7"/>
      <c r="K15" s="7">
        <f>SUMIF('Daily Production'!$B$5:$B$504,A15,'Daily Production'!$H$5:$H$504)</f>
        <v>0</v>
      </c>
      <c r="L15" s="7">
        <f>SUMIF('Daily Production'!$B$5:$B$504,A15,'Daily Production'!$I$5:$I$504)</f>
        <v>0</v>
      </c>
      <c r="M15" s="7">
        <f t="shared" si="1"/>
        <v>0</v>
      </c>
      <c r="N15" s="7">
        <f>SUMIF(Dispatch!$B$5:$B$204,A15,Dispatch!$G$5:$G$204)</f>
        <v>0</v>
      </c>
      <c r="O15" s="7">
        <f t="shared" si="2"/>
        <v>0</v>
      </c>
      <c r="P15" s="7"/>
    </row>
    <row r="16">
      <c r="B16" s="15"/>
      <c r="E16" s="7"/>
      <c r="F16" s="7"/>
      <c r="H16" s="15"/>
      <c r="I16" s="7"/>
      <c r="J16" s="7"/>
      <c r="K16" s="7">
        <f>SUMIF('Daily Production'!$B$5:$B$504,A16,'Daily Production'!$H$5:$H$504)</f>
        <v>0</v>
      </c>
      <c r="L16" s="7">
        <f>SUMIF('Daily Production'!$B$5:$B$504,A16,'Daily Production'!$I$5:$I$504)</f>
        <v>0</v>
      </c>
      <c r="M16" s="7">
        <f t="shared" si="1"/>
        <v>0</v>
      </c>
      <c r="N16" s="7">
        <f>SUMIF(Dispatch!$B$5:$B$204,A16,Dispatch!$G$5:$G$204)</f>
        <v>0</v>
      </c>
      <c r="O16" s="7">
        <f t="shared" si="2"/>
        <v>0</v>
      </c>
      <c r="P16" s="7"/>
    </row>
    <row r="17">
      <c r="B17" s="15"/>
      <c r="E17" s="7"/>
      <c r="F17" s="7"/>
      <c r="H17" s="15"/>
      <c r="I17" s="7"/>
      <c r="J17" s="7"/>
      <c r="K17" s="7">
        <f>SUMIF('Daily Production'!$B$5:$B$504,A17,'Daily Production'!$H$5:$H$504)</f>
        <v>0</v>
      </c>
      <c r="L17" s="7">
        <f>SUMIF('Daily Production'!$B$5:$B$504,A17,'Daily Production'!$I$5:$I$504)</f>
        <v>0</v>
      </c>
      <c r="M17" s="7">
        <f t="shared" si="1"/>
        <v>0</v>
      </c>
      <c r="N17" s="7">
        <f>SUMIF(Dispatch!$B$5:$B$204,A17,Dispatch!$G$5:$G$204)</f>
        <v>0</v>
      </c>
      <c r="O17" s="7">
        <f t="shared" si="2"/>
        <v>0</v>
      </c>
      <c r="P17" s="7"/>
    </row>
    <row r="18">
      <c r="B18" s="15"/>
      <c r="E18" s="7"/>
      <c r="F18" s="7"/>
      <c r="H18" s="15"/>
      <c r="I18" s="7"/>
      <c r="J18" s="7"/>
      <c r="K18" s="7">
        <f>SUMIF('Daily Production'!$B$5:$B$504,A18,'Daily Production'!$H$5:$H$504)</f>
        <v>0</v>
      </c>
      <c r="L18" s="7">
        <f>SUMIF('Daily Production'!$B$5:$B$504,A18,'Daily Production'!$I$5:$I$504)</f>
        <v>0</v>
      </c>
      <c r="M18" s="7">
        <f t="shared" si="1"/>
        <v>0</v>
      </c>
      <c r="N18" s="7">
        <f>SUMIF(Dispatch!$B$5:$B$204,A18,Dispatch!$G$5:$G$204)</f>
        <v>0</v>
      </c>
      <c r="O18" s="7">
        <f t="shared" si="2"/>
        <v>0</v>
      </c>
      <c r="P18" s="7"/>
    </row>
    <row r="19">
      <c r="B19" s="15"/>
      <c r="E19" s="7"/>
      <c r="F19" s="7"/>
      <c r="H19" s="15"/>
      <c r="I19" s="7"/>
      <c r="J19" s="7"/>
      <c r="K19" s="7">
        <f>SUMIF('Daily Production'!$B$5:$B$504,A19,'Daily Production'!$H$5:$H$504)</f>
        <v>0</v>
      </c>
      <c r="L19" s="7">
        <f>SUMIF('Daily Production'!$B$5:$B$504,A19,'Daily Production'!$I$5:$I$504)</f>
        <v>0</v>
      </c>
      <c r="M19" s="7">
        <f t="shared" si="1"/>
        <v>0</v>
      </c>
      <c r="N19" s="7">
        <f>SUMIF(Dispatch!$B$5:$B$204,A19,Dispatch!$G$5:$G$204)</f>
        <v>0</v>
      </c>
      <c r="O19" s="7">
        <f t="shared" si="2"/>
        <v>0</v>
      </c>
      <c r="P19" s="7"/>
    </row>
    <row r="20">
      <c r="B20" s="15"/>
      <c r="E20" s="7"/>
      <c r="F20" s="7"/>
      <c r="H20" s="15"/>
      <c r="I20" s="7"/>
      <c r="J20" s="7"/>
      <c r="K20" s="7">
        <f>SUMIF('Daily Production'!$B$5:$B$504,A20,'Daily Production'!$H$5:$H$504)</f>
        <v>0</v>
      </c>
      <c r="L20" s="7">
        <f>SUMIF('Daily Production'!$B$5:$B$504,A20,'Daily Production'!$I$5:$I$504)</f>
        <v>0</v>
      </c>
      <c r="M20" s="7">
        <f t="shared" si="1"/>
        <v>0</v>
      </c>
      <c r="N20" s="7">
        <f>SUMIF(Dispatch!$B$5:$B$204,A20,Dispatch!$G$5:$G$204)</f>
        <v>0</v>
      </c>
      <c r="O20" s="7">
        <f t="shared" si="2"/>
        <v>0</v>
      </c>
      <c r="P20" s="7"/>
    </row>
    <row r="21" ht="15.75" customHeight="1">
      <c r="B21" s="15"/>
      <c r="E21" s="7"/>
      <c r="F21" s="7"/>
      <c r="H21" s="15"/>
      <c r="I21" s="7"/>
      <c r="J21" s="7"/>
      <c r="K21" s="7">
        <f>SUMIF('Daily Production'!$B$5:$B$504,A21,'Daily Production'!$H$5:$H$504)</f>
        <v>0</v>
      </c>
      <c r="L21" s="7">
        <f>SUMIF('Daily Production'!$B$5:$B$504,A21,'Daily Production'!$I$5:$I$504)</f>
        <v>0</v>
      </c>
      <c r="M21" s="7">
        <f t="shared" si="1"/>
        <v>0</v>
      </c>
      <c r="N21" s="7">
        <f>SUMIF(Dispatch!$B$5:$B$204,A21,Dispatch!$G$5:$G$204)</f>
        <v>0</v>
      </c>
      <c r="O21" s="7">
        <f t="shared" si="2"/>
        <v>0</v>
      </c>
      <c r="P21" s="7"/>
    </row>
    <row r="22" ht="15.75" customHeight="1">
      <c r="B22" s="15"/>
      <c r="E22" s="7"/>
      <c r="F22" s="7"/>
      <c r="H22" s="15"/>
      <c r="I22" s="7"/>
      <c r="J22" s="7"/>
      <c r="K22" s="7">
        <f>SUMIF('Daily Production'!$B$5:$B$504,A22,'Daily Production'!$H$5:$H$504)</f>
        <v>0</v>
      </c>
      <c r="L22" s="7">
        <f>SUMIF('Daily Production'!$B$5:$B$504,A22,'Daily Production'!$I$5:$I$504)</f>
        <v>0</v>
      </c>
      <c r="M22" s="7">
        <f t="shared" si="1"/>
        <v>0</v>
      </c>
      <c r="N22" s="7">
        <f>SUMIF(Dispatch!$B$5:$B$204,A22,Dispatch!$G$5:$G$204)</f>
        <v>0</v>
      </c>
      <c r="O22" s="7">
        <f t="shared" si="2"/>
        <v>0</v>
      </c>
      <c r="P22" s="7"/>
    </row>
    <row r="23" ht="15.75" customHeight="1">
      <c r="B23" s="15"/>
      <c r="E23" s="7"/>
      <c r="F23" s="7"/>
      <c r="H23" s="15"/>
      <c r="I23" s="7"/>
      <c r="J23" s="7"/>
      <c r="K23" s="7">
        <f>SUMIF('Daily Production'!$B$5:$B$504,A23,'Daily Production'!$H$5:$H$504)</f>
        <v>0</v>
      </c>
      <c r="L23" s="7">
        <f>SUMIF('Daily Production'!$B$5:$B$504,A23,'Daily Production'!$I$5:$I$504)</f>
        <v>0</v>
      </c>
      <c r="M23" s="7">
        <f t="shared" si="1"/>
        <v>0</v>
      </c>
      <c r="N23" s="7">
        <f>SUMIF(Dispatch!$B$5:$B$204,A23,Dispatch!$G$5:$G$204)</f>
        <v>0</v>
      </c>
      <c r="O23" s="7">
        <f t="shared" si="2"/>
        <v>0</v>
      </c>
      <c r="P23" s="7"/>
    </row>
    <row r="24" ht="15.75" customHeight="1">
      <c r="B24" s="15"/>
      <c r="E24" s="7"/>
      <c r="F24" s="7"/>
      <c r="H24" s="15"/>
      <c r="I24" s="7"/>
      <c r="J24" s="7"/>
      <c r="K24" s="7">
        <f>SUMIF('Daily Production'!$B$5:$B$504,A24,'Daily Production'!$H$5:$H$504)</f>
        <v>0</v>
      </c>
      <c r="L24" s="7">
        <f>SUMIF('Daily Production'!$B$5:$B$504,A24,'Daily Production'!$I$5:$I$504)</f>
        <v>0</v>
      </c>
      <c r="M24" s="7">
        <f t="shared" si="1"/>
        <v>0</v>
      </c>
      <c r="N24" s="7">
        <f>SUMIF(Dispatch!$B$5:$B$204,A24,Dispatch!$G$5:$G$204)</f>
        <v>0</v>
      </c>
      <c r="O24" s="7">
        <f t="shared" si="2"/>
        <v>0</v>
      </c>
      <c r="P24" s="7"/>
    </row>
    <row r="25" ht="15.75" customHeight="1">
      <c r="B25" s="15"/>
      <c r="E25" s="7"/>
      <c r="F25" s="7"/>
      <c r="H25" s="15"/>
      <c r="I25" s="7"/>
      <c r="J25" s="7"/>
      <c r="K25" s="7">
        <f>SUMIF('Daily Production'!$B$5:$B$504,A25,'Daily Production'!$H$5:$H$504)</f>
        <v>0</v>
      </c>
      <c r="L25" s="7">
        <f>SUMIF('Daily Production'!$B$5:$B$504,A25,'Daily Production'!$I$5:$I$504)</f>
        <v>0</v>
      </c>
      <c r="M25" s="7">
        <f t="shared" si="1"/>
        <v>0</v>
      </c>
      <c r="N25" s="7">
        <f>SUMIF(Dispatch!$B$5:$B$204,A25,Dispatch!$G$5:$G$204)</f>
        <v>0</v>
      </c>
      <c r="O25" s="7">
        <f t="shared" si="2"/>
        <v>0</v>
      </c>
      <c r="P25" s="7"/>
    </row>
    <row r="26" ht="15.75" customHeight="1">
      <c r="B26" s="15"/>
      <c r="E26" s="7"/>
      <c r="F26" s="7"/>
      <c r="H26" s="15"/>
      <c r="I26" s="7"/>
      <c r="J26" s="7"/>
      <c r="K26" s="7">
        <f>SUMIF('Daily Production'!$B$5:$B$504,A26,'Daily Production'!$H$5:$H$504)</f>
        <v>0</v>
      </c>
      <c r="L26" s="7">
        <f>SUMIF('Daily Production'!$B$5:$B$504,A26,'Daily Production'!$I$5:$I$504)</f>
        <v>0</v>
      </c>
      <c r="M26" s="7">
        <f t="shared" si="1"/>
        <v>0</v>
      </c>
      <c r="N26" s="7">
        <f>SUMIF(Dispatch!$B$5:$B$204,A26,Dispatch!$G$5:$G$204)</f>
        <v>0</v>
      </c>
      <c r="O26" s="7">
        <f t="shared" si="2"/>
        <v>0</v>
      </c>
      <c r="P26" s="7"/>
    </row>
    <row r="27" ht="15.75" customHeight="1">
      <c r="B27" s="15"/>
      <c r="E27" s="7"/>
      <c r="F27" s="7"/>
      <c r="H27" s="15"/>
      <c r="I27" s="7"/>
      <c r="J27" s="7"/>
      <c r="K27" s="7">
        <f>SUMIF('Daily Production'!$B$5:$B$504,A27,'Daily Production'!$H$5:$H$504)</f>
        <v>0</v>
      </c>
      <c r="L27" s="7">
        <f>SUMIF('Daily Production'!$B$5:$B$504,A27,'Daily Production'!$I$5:$I$504)</f>
        <v>0</v>
      </c>
      <c r="M27" s="7">
        <f t="shared" si="1"/>
        <v>0</v>
      </c>
      <c r="N27" s="7">
        <f>SUMIF(Dispatch!$B$5:$B$204,A27,Dispatch!$G$5:$G$204)</f>
        <v>0</v>
      </c>
      <c r="O27" s="7">
        <f t="shared" si="2"/>
        <v>0</v>
      </c>
      <c r="P27" s="7"/>
    </row>
    <row r="28" ht="15.75" customHeight="1">
      <c r="B28" s="15"/>
      <c r="E28" s="7"/>
      <c r="F28" s="7"/>
      <c r="H28" s="15"/>
      <c r="I28" s="7"/>
      <c r="J28" s="7"/>
      <c r="K28" s="7">
        <f>SUMIF('Daily Production'!$B$5:$B$504,A28,'Daily Production'!$H$5:$H$504)</f>
        <v>0</v>
      </c>
      <c r="L28" s="7">
        <f>SUMIF('Daily Production'!$B$5:$B$504,A28,'Daily Production'!$I$5:$I$504)</f>
        <v>0</v>
      </c>
      <c r="M28" s="7">
        <f t="shared" si="1"/>
        <v>0</v>
      </c>
      <c r="N28" s="7">
        <f>SUMIF(Dispatch!$B$5:$B$204,A28,Dispatch!$G$5:$G$204)</f>
        <v>0</v>
      </c>
      <c r="O28" s="7">
        <f t="shared" si="2"/>
        <v>0</v>
      </c>
      <c r="P28" s="7"/>
    </row>
    <row r="29" ht="15.75" customHeight="1">
      <c r="B29" s="15"/>
      <c r="E29" s="7"/>
      <c r="F29" s="7"/>
      <c r="H29" s="15"/>
      <c r="I29" s="7"/>
      <c r="J29" s="7"/>
      <c r="K29" s="7">
        <f>SUMIF('Daily Production'!$B$5:$B$504,A29,'Daily Production'!$H$5:$H$504)</f>
        <v>0</v>
      </c>
      <c r="L29" s="7">
        <f>SUMIF('Daily Production'!$B$5:$B$504,A29,'Daily Production'!$I$5:$I$504)</f>
        <v>0</v>
      </c>
      <c r="M29" s="7">
        <f t="shared" si="1"/>
        <v>0</v>
      </c>
      <c r="N29" s="7">
        <f>SUMIF(Dispatch!$B$5:$B$204,A29,Dispatch!$G$5:$G$204)</f>
        <v>0</v>
      </c>
      <c r="O29" s="7">
        <f t="shared" si="2"/>
        <v>0</v>
      </c>
      <c r="P29" s="7"/>
    </row>
    <row r="30" ht="15.75" customHeight="1">
      <c r="B30" s="15"/>
      <c r="E30" s="7"/>
      <c r="F30" s="7"/>
      <c r="H30" s="15"/>
      <c r="I30" s="7"/>
      <c r="J30" s="7"/>
      <c r="K30" s="7">
        <f>SUMIF('Daily Production'!$B$5:$B$504,A30,'Daily Production'!$H$5:$H$504)</f>
        <v>0</v>
      </c>
      <c r="L30" s="7">
        <f>SUMIF('Daily Production'!$B$5:$B$504,A30,'Daily Production'!$I$5:$I$504)</f>
        <v>0</v>
      </c>
      <c r="M30" s="7">
        <f t="shared" si="1"/>
        <v>0</v>
      </c>
      <c r="N30" s="7">
        <f>SUMIF(Dispatch!$B$5:$B$204,A30,Dispatch!$G$5:$G$204)</f>
        <v>0</v>
      </c>
      <c r="O30" s="7">
        <f t="shared" si="2"/>
        <v>0</v>
      </c>
      <c r="P30" s="7"/>
    </row>
    <row r="31" ht="15.75" customHeight="1">
      <c r="B31" s="15"/>
      <c r="E31" s="7"/>
      <c r="F31" s="7"/>
      <c r="H31" s="15"/>
      <c r="I31" s="7"/>
      <c r="J31" s="7"/>
      <c r="K31" s="7">
        <f>SUMIF('Daily Production'!$B$5:$B$504,A31,'Daily Production'!$H$5:$H$504)</f>
        <v>0</v>
      </c>
      <c r="L31" s="7">
        <f>SUMIF('Daily Production'!$B$5:$B$504,A31,'Daily Production'!$I$5:$I$504)</f>
        <v>0</v>
      </c>
      <c r="M31" s="7">
        <f t="shared" si="1"/>
        <v>0</v>
      </c>
      <c r="N31" s="7">
        <f>SUMIF(Dispatch!$B$5:$B$204,A31,Dispatch!$G$5:$G$204)</f>
        <v>0</v>
      </c>
      <c r="O31" s="7">
        <f t="shared" si="2"/>
        <v>0</v>
      </c>
      <c r="P31" s="7"/>
    </row>
    <row r="32" ht="15.75" customHeight="1">
      <c r="B32" s="15"/>
      <c r="E32" s="7"/>
      <c r="F32" s="7"/>
      <c r="H32" s="15"/>
      <c r="I32" s="7"/>
      <c r="J32" s="7"/>
      <c r="K32" s="7">
        <f>SUMIF('Daily Production'!$B$5:$B$504,A32,'Daily Production'!$H$5:$H$504)</f>
        <v>0</v>
      </c>
      <c r="L32" s="7">
        <f>SUMIF('Daily Production'!$B$5:$B$504,A32,'Daily Production'!$I$5:$I$504)</f>
        <v>0</v>
      </c>
      <c r="M32" s="7">
        <f t="shared" si="1"/>
        <v>0</v>
      </c>
      <c r="N32" s="7">
        <f>SUMIF(Dispatch!$B$5:$B$204,A32,Dispatch!$G$5:$G$204)</f>
        <v>0</v>
      </c>
      <c r="O32" s="7">
        <f t="shared" si="2"/>
        <v>0</v>
      </c>
      <c r="P32" s="7"/>
    </row>
    <row r="33" ht="15.75" customHeight="1">
      <c r="B33" s="15"/>
      <c r="E33" s="7"/>
      <c r="F33" s="7"/>
      <c r="H33" s="15"/>
      <c r="I33" s="7"/>
      <c r="J33" s="7"/>
      <c r="K33" s="7">
        <f>SUMIF('Daily Production'!$B$5:$B$504,A33,'Daily Production'!$H$5:$H$504)</f>
        <v>0</v>
      </c>
      <c r="L33" s="7">
        <f>SUMIF('Daily Production'!$B$5:$B$504,A33,'Daily Production'!$I$5:$I$504)</f>
        <v>0</v>
      </c>
      <c r="M33" s="7">
        <f t="shared" si="1"/>
        <v>0</v>
      </c>
      <c r="N33" s="7">
        <f>SUMIF(Dispatch!$B$5:$B$204,A33,Dispatch!$G$5:$G$204)</f>
        <v>0</v>
      </c>
      <c r="O33" s="7">
        <f t="shared" si="2"/>
        <v>0</v>
      </c>
      <c r="P33" s="7"/>
    </row>
    <row r="34" ht="15.75" customHeight="1">
      <c r="B34" s="15"/>
      <c r="E34" s="7"/>
      <c r="F34" s="7"/>
      <c r="H34" s="15"/>
      <c r="I34" s="7"/>
      <c r="J34" s="7"/>
      <c r="K34" s="7">
        <f>SUMIF('Daily Production'!$B$5:$B$504,A34,'Daily Production'!$H$5:$H$504)</f>
        <v>0</v>
      </c>
      <c r="L34" s="7">
        <f>SUMIF('Daily Production'!$B$5:$B$504,A34,'Daily Production'!$I$5:$I$504)</f>
        <v>0</v>
      </c>
      <c r="M34" s="7">
        <f t="shared" si="1"/>
        <v>0</v>
      </c>
      <c r="N34" s="7">
        <f>SUMIF(Dispatch!$B$5:$B$204,A34,Dispatch!$G$5:$G$204)</f>
        <v>0</v>
      </c>
      <c r="O34" s="7">
        <f t="shared" si="2"/>
        <v>0</v>
      </c>
      <c r="P34" s="7"/>
    </row>
    <row r="35" ht="15.75" customHeight="1">
      <c r="B35" s="15"/>
      <c r="E35" s="7"/>
      <c r="F35" s="7"/>
      <c r="H35" s="15"/>
      <c r="I35" s="7"/>
      <c r="J35" s="7"/>
      <c r="K35" s="7">
        <f>SUMIF('Daily Production'!$B$5:$B$504,A35,'Daily Production'!$H$5:$H$504)</f>
        <v>0</v>
      </c>
      <c r="L35" s="7">
        <f>SUMIF('Daily Production'!$B$5:$B$504,A35,'Daily Production'!$I$5:$I$504)</f>
        <v>0</v>
      </c>
      <c r="M35" s="7">
        <f t="shared" si="1"/>
        <v>0</v>
      </c>
      <c r="N35" s="7">
        <f>SUMIF(Dispatch!$B$5:$B$204,A35,Dispatch!$G$5:$G$204)</f>
        <v>0</v>
      </c>
      <c r="O35" s="7">
        <f t="shared" si="2"/>
        <v>0</v>
      </c>
      <c r="P35" s="7"/>
    </row>
    <row r="36" ht="15.75" customHeight="1">
      <c r="B36" s="15"/>
      <c r="E36" s="7"/>
      <c r="F36" s="7"/>
      <c r="H36" s="15"/>
      <c r="I36" s="7"/>
      <c r="J36" s="7"/>
      <c r="K36" s="7">
        <f>SUMIF('Daily Production'!$B$5:$B$504,A36,'Daily Production'!$H$5:$H$504)</f>
        <v>0</v>
      </c>
      <c r="L36" s="7">
        <f>SUMIF('Daily Production'!$B$5:$B$504,A36,'Daily Production'!$I$5:$I$504)</f>
        <v>0</v>
      </c>
      <c r="M36" s="7">
        <f t="shared" si="1"/>
        <v>0</v>
      </c>
      <c r="N36" s="7">
        <f>SUMIF(Dispatch!$B$5:$B$204,A36,Dispatch!$G$5:$G$204)</f>
        <v>0</v>
      </c>
      <c r="O36" s="7">
        <f t="shared" si="2"/>
        <v>0</v>
      </c>
      <c r="P36" s="7"/>
    </row>
    <row r="37" ht="15.75" customHeight="1">
      <c r="B37" s="15"/>
      <c r="E37" s="7"/>
      <c r="F37" s="7"/>
      <c r="H37" s="15"/>
      <c r="I37" s="7"/>
      <c r="J37" s="7"/>
      <c r="K37" s="7">
        <f>SUMIF('Daily Production'!$B$5:$B$504,A37,'Daily Production'!$H$5:$H$504)</f>
        <v>0</v>
      </c>
      <c r="L37" s="7">
        <f>SUMIF('Daily Production'!$B$5:$B$504,A37,'Daily Production'!$I$5:$I$504)</f>
        <v>0</v>
      </c>
      <c r="M37" s="7">
        <f t="shared" si="1"/>
        <v>0</v>
      </c>
      <c r="N37" s="7">
        <f>SUMIF(Dispatch!$B$5:$B$204,A37,Dispatch!$G$5:$G$204)</f>
        <v>0</v>
      </c>
      <c r="O37" s="7">
        <f t="shared" si="2"/>
        <v>0</v>
      </c>
      <c r="P37" s="7"/>
    </row>
    <row r="38" ht="15.75" customHeight="1">
      <c r="B38" s="15"/>
      <c r="E38" s="7"/>
      <c r="F38" s="7"/>
      <c r="H38" s="15"/>
      <c r="I38" s="7"/>
      <c r="J38" s="7"/>
      <c r="K38" s="7">
        <f>SUMIF('Daily Production'!$B$5:$B$504,A38,'Daily Production'!$H$5:$H$504)</f>
        <v>0</v>
      </c>
      <c r="L38" s="7">
        <f>SUMIF('Daily Production'!$B$5:$B$504,A38,'Daily Production'!$I$5:$I$504)</f>
        <v>0</v>
      </c>
      <c r="M38" s="7">
        <f t="shared" si="1"/>
        <v>0</v>
      </c>
      <c r="N38" s="7">
        <f>SUMIF(Dispatch!$B$5:$B$204,A38,Dispatch!$G$5:$G$204)</f>
        <v>0</v>
      </c>
      <c r="O38" s="7">
        <f t="shared" si="2"/>
        <v>0</v>
      </c>
      <c r="P38" s="7"/>
    </row>
    <row r="39" ht="15.75" customHeight="1">
      <c r="B39" s="15"/>
      <c r="E39" s="7"/>
      <c r="F39" s="7"/>
      <c r="H39" s="15"/>
      <c r="I39" s="7"/>
      <c r="J39" s="7"/>
      <c r="K39" s="7">
        <f>SUMIF('Daily Production'!$B$5:$B$504,A39,'Daily Production'!$H$5:$H$504)</f>
        <v>0</v>
      </c>
      <c r="L39" s="7">
        <f>SUMIF('Daily Production'!$B$5:$B$504,A39,'Daily Production'!$I$5:$I$504)</f>
        <v>0</v>
      </c>
      <c r="M39" s="7">
        <f t="shared" si="1"/>
        <v>0</v>
      </c>
      <c r="N39" s="7">
        <f>SUMIF(Dispatch!$B$5:$B$204,A39,Dispatch!$G$5:$G$204)</f>
        <v>0</v>
      </c>
      <c r="O39" s="7">
        <f t="shared" si="2"/>
        <v>0</v>
      </c>
      <c r="P39" s="7"/>
    </row>
    <row r="40" ht="15.75" customHeight="1">
      <c r="B40" s="15"/>
      <c r="E40" s="7"/>
      <c r="F40" s="7"/>
      <c r="H40" s="15"/>
      <c r="I40" s="7"/>
      <c r="J40" s="7"/>
      <c r="K40" s="7">
        <f>SUMIF('Daily Production'!$B$5:$B$504,A40,'Daily Production'!$H$5:$H$504)</f>
        <v>0</v>
      </c>
      <c r="L40" s="7">
        <f>SUMIF('Daily Production'!$B$5:$B$504,A40,'Daily Production'!$I$5:$I$504)</f>
        <v>0</v>
      </c>
      <c r="M40" s="7">
        <f t="shared" si="1"/>
        <v>0</v>
      </c>
      <c r="N40" s="7">
        <f>SUMIF(Dispatch!$B$5:$B$204,A40,Dispatch!$G$5:$G$204)</f>
        <v>0</v>
      </c>
      <c r="O40" s="7">
        <f t="shared" si="2"/>
        <v>0</v>
      </c>
      <c r="P40" s="7"/>
    </row>
    <row r="41" ht="15.75" customHeight="1">
      <c r="B41" s="15"/>
      <c r="E41" s="7"/>
      <c r="F41" s="7"/>
      <c r="H41" s="15"/>
      <c r="I41" s="7"/>
      <c r="J41" s="7"/>
      <c r="K41" s="7">
        <f>SUMIF('Daily Production'!$B$5:$B$504,A41,'Daily Production'!$H$5:$H$504)</f>
        <v>0</v>
      </c>
      <c r="L41" s="7">
        <f>SUMIF('Daily Production'!$B$5:$B$504,A41,'Daily Production'!$I$5:$I$504)</f>
        <v>0</v>
      </c>
      <c r="M41" s="7">
        <f t="shared" si="1"/>
        <v>0</v>
      </c>
      <c r="N41" s="7">
        <f>SUMIF(Dispatch!$B$5:$B$204,A41,Dispatch!$G$5:$G$204)</f>
        <v>0</v>
      </c>
      <c r="O41" s="7">
        <f t="shared" si="2"/>
        <v>0</v>
      </c>
      <c r="P41" s="7"/>
    </row>
    <row r="42" ht="15.75" customHeight="1">
      <c r="B42" s="15"/>
      <c r="E42" s="7"/>
      <c r="F42" s="7"/>
      <c r="H42" s="15"/>
      <c r="I42" s="7"/>
      <c r="J42" s="7"/>
      <c r="K42" s="7">
        <f>SUMIF('Daily Production'!$B$5:$B$504,A42,'Daily Production'!$H$5:$H$504)</f>
        <v>0</v>
      </c>
      <c r="L42" s="7">
        <f>SUMIF('Daily Production'!$B$5:$B$504,A42,'Daily Production'!$I$5:$I$504)</f>
        <v>0</v>
      </c>
      <c r="M42" s="7">
        <f t="shared" si="1"/>
        <v>0</v>
      </c>
      <c r="N42" s="7">
        <f>SUMIF(Dispatch!$B$5:$B$204,A42,Dispatch!$G$5:$G$204)</f>
        <v>0</v>
      </c>
      <c r="O42" s="7">
        <f t="shared" si="2"/>
        <v>0</v>
      </c>
      <c r="P42" s="7"/>
    </row>
    <row r="43" ht="15.75" customHeight="1">
      <c r="B43" s="15"/>
      <c r="E43" s="7"/>
      <c r="F43" s="7"/>
      <c r="H43" s="15"/>
      <c r="I43" s="7"/>
      <c r="J43" s="7"/>
      <c r="K43" s="7">
        <f>SUMIF('Daily Production'!$B$5:$B$504,A43,'Daily Production'!$H$5:$H$504)</f>
        <v>0</v>
      </c>
      <c r="L43" s="7">
        <f>SUMIF('Daily Production'!$B$5:$B$504,A43,'Daily Production'!$I$5:$I$504)</f>
        <v>0</v>
      </c>
      <c r="M43" s="7">
        <f t="shared" si="1"/>
        <v>0</v>
      </c>
      <c r="N43" s="7">
        <f>SUMIF(Dispatch!$B$5:$B$204,A43,Dispatch!$G$5:$G$204)</f>
        <v>0</v>
      </c>
      <c r="O43" s="7">
        <f t="shared" si="2"/>
        <v>0</v>
      </c>
      <c r="P43" s="7"/>
    </row>
    <row r="44" ht="15.75" customHeight="1">
      <c r="B44" s="15"/>
      <c r="E44" s="7"/>
      <c r="F44" s="7"/>
      <c r="H44" s="15"/>
      <c r="I44" s="7"/>
      <c r="J44" s="7"/>
      <c r="K44" s="7">
        <f>SUMIF('Daily Production'!$B$5:$B$504,A44,'Daily Production'!$H$5:$H$504)</f>
        <v>0</v>
      </c>
      <c r="L44" s="7">
        <f>SUMIF('Daily Production'!$B$5:$B$504,A44,'Daily Production'!$I$5:$I$504)</f>
        <v>0</v>
      </c>
      <c r="M44" s="7">
        <f t="shared" si="1"/>
        <v>0</v>
      </c>
      <c r="N44" s="7">
        <f>SUMIF(Dispatch!$B$5:$B$204,A44,Dispatch!$G$5:$G$204)</f>
        <v>0</v>
      </c>
      <c r="O44" s="7">
        <f t="shared" si="2"/>
        <v>0</v>
      </c>
      <c r="P44" s="7"/>
    </row>
    <row r="45" ht="15.75" customHeight="1">
      <c r="B45" s="15"/>
      <c r="E45" s="7"/>
      <c r="F45" s="7"/>
      <c r="H45" s="15"/>
      <c r="I45" s="7"/>
      <c r="J45" s="7"/>
      <c r="K45" s="7">
        <f>SUMIF('Daily Production'!$B$5:$B$504,A45,'Daily Production'!$H$5:$H$504)</f>
        <v>0</v>
      </c>
      <c r="L45" s="7">
        <f>SUMIF('Daily Production'!$B$5:$B$504,A45,'Daily Production'!$I$5:$I$504)</f>
        <v>0</v>
      </c>
      <c r="M45" s="7">
        <f t="shared" si="1"/>
        <v>0</v>
      </c>
      <c r="N45" s="7">
        <f>SUMIF(Dispatch!$B$5:$B$204,A45,Dispatch!$G$5:$G$204)</f>
        <v>0</v>
      </c>
      <c r="O45" s="7">
        <f t="shared" si="2"/>
        <v>0</v>
      </c>
      <c r="P45" s="7"/>
    </row>
    <row r="46" ht="15.75" customHeight="1">
      <c r="B46" s="15"/>
      <c r="E46" s="7"/>
      <c r="F46" s="7"/>
      <c r="H46" s="15"/>
      <c r="I46" s="7"/>
      <c r="J46" s="7"/>
      <c r="K46" s="7">
        <f>SUMIF('Daily Production'!$B$5:$B$504,A46,'Daily Production'!$H$5:$H$504)</f>
        <v>0</v>
      </c>
      <c r="L46" s="7">
        <f>SUMIF('Daily Production'!$B$5:$B$504,A46,'Daily Production'!$I$5:$I$504)</f>
        <v>0</v>
      </c>
      <c r="M46" s="7">
        <f t="shared" si="1"/>
        <v>0</v>
      </c>
      <c r="N46" s="7">
        <f>SUMIF(Dispatch!$B$5:$B$204,A46,Dispatch!$G$5:$G$204)</f>
        <v>0</v>
      </c>
      <c r="O46" s="7">
        <f t="shared" si="2"/>
        <v>0</v>
      </c>
      <c r="P46" s="7"/>
    </row>
    <row r="47" ht="15.75" customHeight="1">
      <c r="B47" s="15"/>
      <c r="E47" s="7"/>
      <c r="F47" s="7"/>
      <c r="H47" s="15"/>
      <c r="I47" s="7"/>
      <c r="J47" s="7"/>
      <c r="K47" s="7">
        <f>SUMIF('Daily Production'!$B$5:$B$504,A47,'Daily Production'!$H$5:$H$504)</f>
        <v>0</v>
      </c>
      <c r="L47" s="7">
        <f>SUMIF('Daily Production'!$B$5:$B$504,A47,'Daily Production'!$I$5:$I$504)</f>
        <v>0</v>
      </c>
      <c r="M47" s="7">
        <f t="shared" si="1"/>
        <v>0</v>
      </c>
      <c r="N47" s="7">
        <f>SUMIF(Dispatch!$B$5:$B$204,A47,Dispatch!$G$5:$G$204)</f>
        <v>0</v>
      </c>
      <c r="O47" s="7">
        <f t="shared" si="2"/>
        <v>0</v>
      </c>
      <c r="P47" s="7"/>
    </row>
    <row r="48" ht="15.75" customHeight="1">
      <c r="B48" s="15"/>
      <c r="E48" s="7"/>
      <c r="F48" s="7"/>
      <c r="H48" s="15"/>
      <c r="I48" s="7"/>
      <c r="J48" s="7"/>
      <c r="K48" s="7">
        <f>SUMIF('Daily Production'!$B$5:$B$504,A48,'Daily Production'!$H$5:$H$504)</f>
        <v>0</v>
      </c>
      <c r="L48" s="7">
        <f>SUMIF('Daily Production'!$B$5:$B$504,A48,'Daily Production'!$I$5:$I$504)</f>
        <v>0</v>
      </c>
      <c r="M48" s="7">
        <f t="shared" si="1"/>
        <v>0</v>
      </c>
      <c r="N48" s="7">
        <f>SUMIF(Dispatch!$B$5:$B$204,A48,Dispatch!$G$5:$G$204)</f>
        <v>0</v>
      </c>
      <c r="O48" s="7">
        <f t="shared" si="2"/>
        <v>0</v>
      </c>
      <c r="P48" s="7"/>
    </row>
    <row r="49" ht="15.75" customHeight="1">
      <c r="B49" s="15"/>
      <c r="E49" s="7"/>
      <c r="F49" s="7"/>
      <c r="H49" s="15"/>
      <c r="I49" s="7"/>
      <c r="J49" s="7"/>
      <c r="K49" s="7">
        <f>SUMIF('Daily Production'!$B$5:$B$504,A49,'Daily Production'!$H$5:$H$504)</f>
        <v>0</v>
      </c>
      <c r="L49" s="7">
        <f>SUMIF('Daily Production'!$B$5:$B$504,A49,'Daily Production'!$I$5:$I$504)</f>
        <v>0</v>
      </c>
      <c r="M49" s="7">
        <f t="shared" si="1"/>
        <v>0</v>
      </c>
      <c r="N49" s="7">
        <f>SUMIF(Dispatch!$B$5:$B$204,A49,Dispatch!$G$5:$G$204)</f>
        <v>0</v>
      </c>
      <c r="O49" s="7">
        <f t="shared" si="2"/>
        <v>0</v>
      </c>
      <c r="P49" s="7"/>
    </row>
    <row r="50" ht="15.75" customHeight="1">
      <c r="B50" s="15"/>
      <c r="E50" s="7"/>
      <c r="F50" s="7"/>
      <c r="H50" s="15"/>
      <c r="I50" s="7"/>
      <c r="J50" s="7"/>
      <c r="K50" s="7">
        <f>SUMIF('Daily Production'!$B$5:$B$504,A50,'Daily Production'!$H$5:$H$504)</f>
        <v>0</v>
      </c>
      <c r="L50" s="7">
        <f>SUMIF('Daily Production'!$B$5:$B$504,A50,'Daily Production'!$I$5:$I$504)</f>
        <v>0</v>
      </c>
      <c r="M50" s="7">
        <f t="shared" si="1"/>
        <v>0</v>
      </c>
      <c r="N50" s="7">
        <f>SUMIF(Dispatch!$B$5:$B$204,A50,Dispatch!$G$5:$G$204)</f>
        <v>0</v>
      </c>
      <c r="O50" s="7">
        <f t="shared" si="2"/>
        <v>0</v>
      </c>
      <c r="P50" s="7"/>
    </row>
    <row r="51" ht="15.75" customHeight="1">
      <c r="B51" s="15"/>
      <c r="E51" s="7"/>
      <c r="F51" s="7"/>
      <c r="H51" s="15"/>
      <c r="I51" s="7"/>
      <c r="J51" s="7"/>
      <c r="K51" s="7">
        <f>SUMIF('Daily Production'!$B$5:$B$504,A51,'Daily Production'!$H$5:$H$504)</f>
        <v>0</v>
      </c>
      <c r="L51" s="7">
        <f>SUMIF('Daily Production'!$B$5:$B$504,A51,'Daily Production'!$I$5:$I$504)</f>
        <v>0</v>
      </c>
      <c r="M51" s="7">
        <f t="shared" si="1"/>
        <v>0</v>
      </c>
      <c r="N51" s="7">
        <f>SUMIF(Dispatch!$B$5:$B$204,A51,Dispatch!$G$5:$G$204)</f>
        <v>0</v>
      </c>
      <c r="O51" s="7">
        <f t="shared" si="2"/>
        <v>0</v>
      </c>
      <c r="P51" s="7"/>
    </row>
    <row r="52" ht="15.75" customHeight="1">
      <c r="B52" s="15"/>
      <c r="E52" s="7"/>
      <c r="F52" s="7"/>
      <c r="H52" s="15"/>
      <c r="I52" s="7"/>
      <c r="J52" s="7"/>
      <c r="K52" s="7">
        <f>SUMIF('Daily Production'!$B$5:$B$504,A52,'Daily Production'!$H$5:$H$504)</f>
        <v>0</v>
      </c>
      <c r="L52" s="7">
        <f>SUMIF('Daily Production'!$B$5:$B$504,A52,'Daily Production'!$I$5:$I$504)</f>
        <v>0</v>
      </c>
      <c r="M52" s="7">
        <f t="shared" si="1"/>
        <v>0</v>
      </c>
      <c r="N52" s="7">
        <f>SUMIF(Dispatch!$B$5:$B$204,A52,Dispatch!$G$5:$G$204)</f>
        <v>0</v>
      </c>
      <c r="O52" s="7">
        <f t="shared" si="2"/>
        <v>0</v>
      </c>
      <c r="P52" s="7"/>
    </row>
    <row r="53" ht="15.75" customHeight="1">
      <c r="B53" s="15"/>
      <c r="E53" s="7"/>
      <c r="F53" s="7"/>
      <c r="H53" s="15"/>
      <c r="I53" s="7"/>
      <c r="J53" s="7"/>
      <c r="K53" s="7">
        <f>SUMIF('Daily Production'!$B$5:$B$504,A53,'Daily Production'!$H$5:$H$504)</f>
        <v>0</v>
      </c>
      <c r="L53" s="7">
        <f>SUMIF('Daily Production'!$B$5:$B$504,A53,'Daily Production'!$I$5:$I$504)</f>
        <v>0</v>
      </c>
      <c r="M53" s="7">
        <f t="shared" si="1"/>
        <v>0</v>
      </c>
      <c r="N53" s="7">
        <f>SUMIF(Dispatch!$B$5:$B$204,A53,Dispatch!$G$5:$G$204)</f>
        <v>0</v>
      </c>
      <c r="O53" s="7">
        <f t="shared" si="2"/>
        <v>0</v>
      </c>
      <c r="P53" s="7"/>
    </row>
    <row r="54" ht="15.75" customHeight="1">
      <c r="B54" s="15"/>
      <c r="E54" s="7"/>
      <c r="F54" s="7"/>
      <c r="H54" s="15"/>
      <c r="I54" s="7"/>
      <c r="J54" s="7"/>
      <c r="K54" s="7">
        <f>SUMIF('Daily Production'!$B$5:$B$504,A54,'Daily Production'!$H$5:$H$504)</f>
        <v>0</v>
      </c>
      <c r="L54" s="7">
        <f>SUMIF('Daily Production'!$B$5:$B$504,A54,'Daily Production'!$I$5:$I$504)</f>
        <v>0</v>
      </c>
      <c r="M54" s="7">
        <f t="shared" si="1"/>
        <v>0</v>
      </c>
      <c r="N54" s="7">
        <f>SUMIF(Dispatch!$B$5:$B$204,A54,Dispatch!$G$5:$G$204)</f>
        <v>0</v>
      </c>
      <c r="O54" s="7">
        <f t="shared" si="2"/>
        <v>0</v>
      </c>
      <c r="P54" s="7"/>
    </row>
    <row r="55" ht="15.75" customHeight="1">
      <c r="B55" s="15"/>
      <c r="E55" s="7"/>
      <c r="F55" s="7"/>
      <c r="H55" s="15"/>
      <c r="I55" s="7"/>
      <c r="J55" s="7"/>
      <c r="K55" s="7">
        <f>SUMIF('Daily Production'!$B$5:$B$504,A55,'Daily Production'!$H$5:$H$504)</f>
        <v>0</v>
      </c>
      <c r="L55" s="7">
        <f>SUMIF('Daily Production'!$B$5:$B$504,A55,'Daily Production'!$I$5:$I$504)</f>
        <v>0</v>
      </c>
      <c r="M55" s="7">
        <f t="shared" si="1"/>
        <v>0</v>
      </c>
      <c r="N55" s="7">
        <f>SUMIF(Dispatch!$B$5:$B$204,A55,Dispatch!$G$5:$G$204)</f>
        <v>0</v>
      </c>
      <c r="O55" s="7">
        <f t="shared" si="2"/>
        <v>0</v>
      </c>
      <c r="P55" s="7"/>
    </row>
    <row r="56" ht="15.75" customHeight="1">
      <c r="B56" s="15"/>
      <c r="E56" s="7"/>
      <c r="F56" s="7"/>
      <c r="H56" s="15"/>
      <c r="I56" s="7"/>
      <c r="J56" s="7"/>
      <c r="K56" s="7">
        <f>SUMIF('Daily Production'!$B$5:$B$504,A56,'Daily Production'!$H$5:$H$504)</f>
        <v>0</v>
      </c>
      <c r="L56" s="7">
        <f>SUMIF('Daily Production'!$B$5:$B$504,A56,'Daily Production'!$I$5:$I$504)</f>
        <v>0</v>
      </c>
      <c r="M56" s="7">
        <f t="shared" si="1"/>
        <v>0</v>
      </c>
      <c r="N56" s="7">
        <f>SUMIF(Dispatch!$B$5:$B$204,A56,Dispatch!$G$5:$G$204)</f>
        <v>0</v>
      </c>
      <c r="O56" s="7">
        <f t="shared" si="2"/>
        <v>0</v>
      </c>
      <c r="P56" s="7"/>
    </row>
    <row r="57" ht="15.75" customHeight="1">
      <c r="B57" s="15"/>
      <c r="E57" s="7"/>
      <c r="F57" s="7"/>
      <c r="H57" s="15"/>
      <c r="I57" s="7"/>
      <c r="J57" s="7"/>
      <c r="K57" s="7">
        <f>SUMIF('Daily Production'!$B$5:$B$504,A57,'Daily Production'!$H$5:$H$504)</f>
        <v>0</v>
      </c>
      <c r="L57" s="7">
        <f>SUMIF('Daily Production'!$B$5:$B$504,A57,'Daily Production'!$I$5:$I$504)</f>
        <v>0</v>
      </c>
      <c r="M57" s="7">
        <f t="shared" si="1"/>
        <v>0</v>
      </c>
      <c r="N57" s="7">
        <f>SUMIF(Dispatch!$B$5:$B$204,A57,Dispatch!$G$5:$G$204)</f>
        <v>0</v>
      </c>
      <c r="O57" s="7">
        <f t="shared" si="2"/>
        <v>0</v>
      </c>
      <c r="P57" s="7"/>
    </row>
    <row r="58" ht="15.75" customHeight="1">
      <c r="B58" s="15"/>
      <c r="E58" s="7"/>
      <c r="F58" s="7"/>
      <c r="H58" s="15"/>
      <c r="I58" s="7"/>
      <c r="J58" s="7"/>
      <c r="K58" s="7">
        <f>SUMIF('Daily Production'!$B$5:$B$504,A58,'Daily Production'!$H$5:$H$504)</f>
        <v>0</v>
      </c>
      <c r="L58" s="7">
        <f>SUMIF('Daily Production'!$B$5:$B$504,A58,'Daily Production'!$I$5:$I$504)</f>
        <v>0</v>
      </c>
      <c r="M58" s="7">
        <f t="shared" si="1"/>
        <v>0</v>
      </c>
      <c r="N58" s="7">
        <f>SUMIF(Dispatch!$B$5:$B$204,A58,Dispatch!$G$5:$G$204)</f>
        <v>0</v>
      </c>
      <c r="O58" s="7">
        <f t="shared" si="2"/>
        <v>0</v>
      </c>
      <c r="P58" s="7"/>
    </row>
    <row r="59" ht="15.75" customHeight="1">
      <c r="B59" s="15"/>
      <c r="E59" s="7"/>
      <c r="F59" s="7"/>
      <c r="H59" s="15"/>
      <c r="I59" s="7"/>
      <c r="J59" s="7"/>
      <c r="K59" s="7">
        <f>SUMIF('Daily Production'!$B$5:$B$504,A59,'Daily Production'!$H$5:$H$504)</f>
        <v>0</v>
      </c>
      <c r="L59" s="7">
        <f>SUMIF('Daily Production'!$B$5:$B$504,A59,'Daily Production'!$I$5:$I$504)</f>
        <v>0</v>
      </c>
      <c r="M59" s="7">
        <f t="shared" si="1"/>
        <v>0</v>
      </c>
      <c r="N59" s="7">
        <f>SUMIF(Dispatch!$B$5:$B$204,A59,Dispatch!$G$5:$G$204)</f>
        <v>0</v>
      </c>
      <c r="O59" s="7">
        <f t="shared" si="2"/>
        <v>0</v>
      </c>
      <c r="P59" s="7"/>
    </row>
    <row r="60" ht="15.75" customHeight="1">
      <c r="B60" s="15"/>
      <c r="E60" s="7"/>
      <c r="F60" s="7"/>
      <c r="H60" s="15"/>
      <c r="I60" s="7"/>
      <c r="J60" s="7"/>
      <c r="K60" s="7">
        <f>SUMIF('Daily Production'!$B$5:$B$504,A60,'Daily Production'!$H$5:$H$504)</f>
        <v>0</v>
      </c>
      <c r="L60" s="7">
        <f>SUMIF('Daily Production'!$B$5:$B$504,A60,'Daily Production'!$I$5:$I$504)</f>
        <v>0</v>
      </c>
      <c r="M60" s="7">
        <f t="shared" si="1"/>
        <v>0</v>
      </c>
      <c r="N60" s="7">
        <f>SUMIF(Dispatch!$B$5:$B$204,A60,Dispatch!$G$5:$G$204)</f>
        <v>0</v>
      </c>
      <c r="O60" s="7">
        <f t="shared" si="2"/>
        <v>0</v>
      </c>
      <c r="P60" s="7"/>
    </row>
    <row r="61" ht="15.75" customHeight="1">
      <c r="B61" s="15"/>
      <c r="E61" s="7"/>
      <c r="F61" s="7"/>
      <c r="H61" s="15"/>
      <c r="I61" s="7"/>
      <c r="J61" s="7"/>
      <c r="K61" s="7">
        <f>SUMIF('Daily Production'!$B$5:$B$504,A61,'Daily Production'!$H$5:$H$504)</f>
        <v>0</v>
      </c>
      <c r="L61" s="7">
        <f>SUMIF('Daily Production'!$B$5:$B$504,A61,'Daily Production'!$I$5:$I$504)</f>
        <v>0</v>
      </c>
      <c r="M61" s="7">
        <f t="shared" si="1"/>
        <v>0</v>
      </c>
      <c r="N61" s="7">
        <f>SUMIF(Dispatch!$B$5:$B$204,A61,Dispatch!$G$5:$G$204)</f>
        <v>0</v>
      </c>
      <c r="O61" s="7">
        <f t="shared" si="2"/>
        <v>0</v>
      </c>
      <c r="P61" s="7"/>
    </row>
    <row r="62" ht="15.75" customHeight="1">
      <c r="B62" s="15"/>
      <c r="E62" s="7"/>
      <c r="F62" s="7"/>
      <c r="H62" s="15"/>
      <c r="I62" s="7"/>
      <c r="J62" s="7"/>
      <c r="K62" s="7">
        <f>SUMIF('Daily Production'!$B$5:$B$504,A62,'Daily Production'!$H$5:$H$504)</f>
        <v>0</v>
      </c>
      <c r="L62" s="7">
        <f>SUMIF('Daily Production'!$B$5:$B$504,A62,'Daily Production'!$I$5:$I$504)</f>
        <v>0</v>
      </c>
      <c r="M62" s="7">
        <f t="shared" si="1"/>
        <v>0</v>
      </c>
      <c r="N62" s="7">
        <f>SUMIF(Dispatch!$B$5:$B$204,A62,Dispatch!$G$5:$G$204)</f>
        <v>0</v>
      </c>
      <c r="O62" s="7">
        <f t="shared" si="2"/>
        <v>0</v>
      </c>
      <c r="P62" s="7"/>
    </row>
    <row r="63" ht="15.75" customHeight="1">
      <c r="B63" s="15"/>
      <c r="E63" s="7"/>
      <c r="F63" s="7"/>
      <c r="H63" s="15"/>
      <c r="I63" s="7"/>
      <c r="J63" s="7"/>
      <c r="K63" s="7">
        <f>SUMIF('Daily Production'!$B$5:$B$504,A63,'Daily Production'!$H$5:$H$504)</f>
        <v>0</v>
      </c>
      <c r="L63" s="7">
        <f>SUMIF('Daily Production'!$B$5:$B$504,A63,'Daily Production'!$I$5:$I$504)</f>
        <v>0</v>
      </c>
      <c r="M63" s="7">
        <f t="shared" si="1"/>
        <v>0</v>
      </c>
      <c r="N63" s="7">
        <f>SUMIF(Dispatch!$B$5:$B$204,A63,Dispatch!$G$5:$G$204)</f>
        <v>0</v>
      </c>
      <c r="O63" s="7">
        <f t="shared" si="2"/>
        <v>0</v>
      </c>
      <c r="P63" s="7"/>
    </row>
    <row r="64" ht="15.75" customHeight="1">
      <c r="B64" s="15"/>
      <c r="E64" s="7"/>
      <c r="F64" s="7"/>
      <c r="H64" s="15"/>
      <c r="I64" s="7"/>
      <c r="J64" s="7"/>
      <c r="K64" s="7">
        <f>SUMIF('Daily Production'!$B$5:$B$504,A64,'Daily Production'!$H$5:$H$504)</f>
        <v>0</v>
      </c>
      <c r="L64" s="7">
        <f>SUMIF('Daily Production'!$B$5:$B$504,A64,'Daily Production'!$I$5:$I$504)</f>
        <v>0</v>
      </c>
      <c r="M64" s="7">
        <f t="shared" si="1"/>
        <v>0</v>
      </c>
      <c r="N64" s="7">
        <f>SUMIF(Dispatch!$B$5:$B$204,A64,Dispatch!$G$5:$G$204)</f>
        <v>0</v>
      </c>
      <c r="O64" s="7">
        <f t="shared" si="2"/>
        <v>0</v>
      </c>
      <c r="P64" s="7"/>
    </row>
    <row r="65" ht="15.75" customHeight="1">
      <c r="B65" s="15"/>
      <c r="E65" s="7"/>
      <c r="F65" s="7"/>
      <c r="H65" s="15"/>
      <c r="I65" s="7"/>
      <c r="J65" s="7"/>
      <c r="K65" s="7">
        <f>SUMIF('Daily Production'!$B$5:$B$504,A65,'Daily Production'!$H$5:$H$504)</f>
        <v>0</v>
      </c>
      <c r="L65" s="7">
        <f>SUMIF('Daily Production'!$B$5:$B$504,A65,'Daily Production'!$I$5:$I$504)</f>
        <v>0</v>
      </c>
      <c r="M65" s="7">
        <f t="shared" si="1"/>
        <v>0</v>
      </c>
      <c r="N65" s="7">
        <f>SUMIF(Dispatch!$B$5:$B$204,A65,Dispatch!$G$5:$G$204)</f>
        <v>0</v>
      </c>
      <c r="O65" s="7">
        <f t="shared" si="2"/>
        <v>0</v>
      </c>
      <c r="P65" s="7"/>
    </row>
    <row r="66" ht="15.75" customHeight="1">
      <c r="B66" s="15"/>
      <c r="E66" s="7"/>
      <c r="F66" s="7"/>
      <c r="H66" s="15"/>
      <c r="I66" s="7"/>
      <c r="J66" s="7"/>
      <c r="K66" s="7">
        <f>SUMIF('Daily Production'!$B$5:$B$504,A66,'Daily Production'!$H$5:$H$504)</f>
        <v>0</v>
      </c>
      <c r="L66" s="7">
        <f>SUMIF('Daily Production'!$B$5:$B$504,A66,'Daily Production'!$I$5:$I$504)</f>
        <v>0</v>
      </c>
      <c r="M66" s="7">
        <f t="shared" si="1"/>
        <v>0</v>
      </c>
      <c r="N66" s="7">
        <f>SUMIF(Dispatch!$B$5:$B$204,A66,Dispatch!$G$5:$G$204)</f>
        <v>0</v>
      </c>
      <c r="O66" s="7">
        <f t="shared" si="2"/>
        <v>0</v>
      </c>
      <c r="P66" s="7"/>
    </row>
    <row r="67" ht="15.75" customHeight="1">
      <c r="B67" s="15"/>
      <c r="E67" s="7"/>
      <c r="F67" s="7"/>
      <c r="H67" s="15"/>
      <c r="I67" s="7"/>
      <c r="J67" s="7"/>
      <c r="K67" s="7">
        <f>SUMIF('Daily Production'!$B$5:$B$504,A67,'Daily Production'!$H$5:$H$504)</f>
        <v>0</v>
      </c>
      <c r="L67" s="7">
        <f>SUMIF('Daily Production'!$B$5:$B$504,A67,'Daily Production'!$I$5:$I$504)</f>
        <v>0</v>
      </c>
      <c r="M67" s="7">
        <f t="shared" si="1"/>
        <v>0</v>
      </c>
      <c r="N67" s="7">
        <f>SUMIF(Dispatch!$B$5:$B$204,A67,Dispatch!$G$5:$G$204)</f>
        <v>0</v>
      </c>
      <c r="O67" s="7">
        <f t="shared" si="2"/>
        <v>0</v>
      </c>
      <c r="P67" s="7"/>
    </row>
    <row r="68" ht="15.75" customHeight="1">
      <c r="B68" s="15"/>
      <c r="E68" s="7"/>
      <c r="F68" s="7"/>
      <c r="H68" s="15"/>
      <c r="I68" s="7"/>
      <c r="J68" s="7"/>
      <c r="K68" s="7">
        <f>SUMIF('Daily Production'!$B$5:$B$504,A68,'Daily Production'!$H$5:$H$504)</f>
        <v>0</v>
      </c>
      <c r="L68" s="7">
        <f>SUMIF('Daily Production'!$B$5:$B$504,A68,'Daily Production'!$I$5:$I$504)</f>
        <v>0</v>
      </c>
      <c r="M68" s="7">
        <f t="shared" si="1"/>
        <v>0</v>
      </c>
      <c r="N68" s="7">
        <f>SUMIF(Dispatch!$B$5:$B$204,A68,Dispatch!$G$5:$G$204)</f>
        <v>0</v>
      </c>
      <c r="O68" s="7">
        <f t="shared" si="2"/>
        <v>0</v>
      </c>
      <c r="P68" s="7"/>
    </row>
    <row r="69" ht="15.75" customHeight="1">
      <c r="B69" s="15"/>
      <c r="E69" s="7"/>
      <c r="F69" s="7"/>
      <c r="H69" s="15"/>
      <c r="I69" s="7"/>
      <c r="J69" s="7"/>
      <c r="K69" s="7">
        <f>SUMIF('Daily Production'!$B$5:$B$504,A69,'Daily Production'!$H$5:$H$504)</f>
        <v>0</v>
      </c>
      <c r="L69" s="7">
        <f>SUMIF('Daily Production'!$B$5:$B$504,A69,'Daily Production'!$I$5:$I$504)</f>
        <v>0</v>
      </c>
      <c r="M69" s="7">
        <f t="shared" si="1"/>
        <v>0</v>
      </c>
      <c r="N69" s="7">
        <f>SUMIF(Dispatch!$B$5:$B$204,A69,Dispatch!$G$5:$G$204)</f>
        <v>0</v>
      </c>
      <c r="O69" s="7">
        <f t="shared" si="2"/>
        <v>0</v>
      </c>
      <c r="P69" s="7"/>
    </row>
    <row r="70" ht="15.75" customHeight="1">
      <c r="B70" s="15"/>
      <c r="E70" s="7"/>
      <c r="F70" s="7"/>
      <c r="H70" s="15"/>
      <c r="I70" s="7"/>
      <c r="J70" s="7"/>
      <c r="K70" s="7">
        <f>SUMIF('Daily Production'!$B$5:$B$504,A70,'Daily Production'!$H$5:$H$504)</f>
        <v>0</v>
      </c>
      <c r="L70" s="7">
        <f>SUMIF('Daily Production'!$B$5:$B$504,A70,'Daily Production'!$I$5:$I$504)</f>
        <v>0</v>
      </c>
      <c r="M70" s="7">
        <f t="shared" si="1"/>
        <v>0</v>
      </c>
      <c r="N70" s="7">
        <f>SUMIF(Dispatch!$B$5:$B$204,A70,Dispatch!$G$5:$G$204)</f>
        <v>0</v>
      </c>
      <c r="O70" s="7">
        <f t="shared" si="2"/>
        <v>0</v>
      </c>
      <c r="P70" s="7"/>
    </row>
    <row r="71" ht="15.75" customHeight="1">
      <c r="B71" s="15"/>
      <c r="E71" s="7"/>
      <c r="F71" s="7"/>
      <c r="H71" s="15"/>
      <c r="I71" s="7"/>
      <c r="J71" s="7"/>
      <c r="K71" s="7">
        <f>SUMIF('Daily Production'!$B$5:$B$504,A71,'Daily Production'!$H$5:$H$504)</f>
        <v>0</v>
      </c>
      <c r="L71" s="7">
        <f>SUMIF('Daily Production'!$B$5:$B$504,A71,'Daily Production'!$I$5:$I$504)</f>
        <v>0</v>
      </c>
      <c r="M71" s="7">
        <f t="shared" si="1"/>
        <v>0</v>
      </c>
      <c r="N71" s="7">
        <f>SUMIF(Dispatch!$B$5:$B$204,A71,Dispatch!$G$5:$G$204)</f>
        <v>0</v>
      </c>
      <c r="O71" s="7">
        <f t="shared" si="2"/>
        <v>0</v>
      </c>
      <c r="P71" s="7"/>
    </row>
    <row r="72" ht="15.75" customHeight="1">
      <c r="B72" s="15"/>
      <c r="E72" s="7"/>
      <c r="F72" s="7"/>
      <c r="H72" s="15"/>
      <c r="I72" s="7"/>
      <c r="J72" s="7"/>
      <c r="K72" s="7">
        <f>SUMIF('Daily Production'!$B$5:$B$504,A72,'Daily Production'!$H$5:$H$504)</f>
        <v>0</v>
      </c>
      <c r="L72" s="7">
        <f>SUMIF('Daily Production'!$B$5:$B$504,A72,'Daily Production'!$I$5:$I$504)</f>
        <v>0</v>
      </c>
      <c r="M72" s="7">
        <f t="shared" si="1"/>
        <v>0</v>
      </c>
      <c r="N72" s="7">
        <f>SUMIF(Dispatch!$B$5:$B$204,A72,Dispatch!$G$5:$G$204)</f>
        <v>0</v>
      </c>
      <c r="O72" s="7">
        <f t="shared" si="2"/>
        <v>0</v>
      </c>
      <c r="P72" s="7"/>
    </row>
    <row r="73" ht="15.75" customHeight="1">
      <c r="B73" s="15"/>
      <c r="E73" s="7"/>
      <c r="F73" s="7"/>
      <c r="H73" s="15"/>
      <c r="I73" s="7"/>
      <c r="J73" s="7"/>
      <c r="K73" s="7">
        <f>SUMIF('Daily Production'!$B$5:$B$504,A73,'Daily Production'!$H$5:$H$504)</f>
        <v>0</v>
      </c>
      <c r="L73" s="7">
        <f>SUMIF('Daily Production'!$B$5:$B$504,A73,'Daily Production'!$I$5:$I$504)</f>
        <v>0</v>
      </c>
      <c r="M73" s="7">
        <f t="shared" si="1"/>
        <v>0</v>
      </c>
      <c r="N73" s="7">
        <f>SUMIF(Dispatch!$B$5:$B$204,A73,Dispatch!$G$5:$G$204)</f>
        <v>0</v>
      </c>
      <c r="O73" s="7">
        <f t="shared" si="2"/>
        <v>0</v>
      </c>
      <c r="P73" s="7"/>
    </row>
    <row r="74" ht="15.75" customHeight="1">
      <c r="B74" s="15"/>
      <c r="E74" s="7"/>
      <c r="F74" s="7"/>
      <c r="H74" s="15"/>
      <c r="I74" s="7"/>
      <c r="J74" s="7"/>
      <c r="K74" s="7">
        <f>SUMIF('Daily Production'!$B$5:$B$504,A74,'Daily Production'!$H$5:$H$504)</f>
        <v>0</v>
      </c>
      <c r="L74" s="7">
        <f>SUMIF('Daily Production'!$B$5:$B$504,A74,'Daily Production'!$I$5:$I$504)</f>
        <v>0</v>
      </c>
      <c r="M74" s="7">
        <f t="shared" si="1"/>
        <v>0</v>
      </c>
      <c r="N74" s="7">
        <f>SUMIF(Dispatch!$B$5:$B$204,A74,Dispatch!$G$5:$G$204)</f>
        <v>0</v>
      </c>
      <c r="O74" s="7">
        <f t="shared" si="2"/>
        <v>0</v>
      </c>
      <c r="P74" s="7"/>
    </row>
    <row r="75" ht="15.75" customHeight="1">
      <c r="B75" s="15"/>
      <c r="E75" s="7"/>
      <c r="F75" s="7"/>
      <c r="H75" s="15"/>
      <c r="I75" s="7"/>
      <c r="J75" s="7"/>
      <c r="K75" s="7">
        <f>SUMIF('Daily Production'!$B$5:$B$504,A75,'Daily Production'!$H$5:$H$504)</f>
        <v>0</v>
      </c>
      <c r="L75" s="7">
        <f>SUMIF('Daily Production'!$B$5:$B$504,A75,'Daily Production'!$I$5:$I$504)</f>
        <v>0</v>
      </c>
      <c r="M75" s="7">
        <f t="shared" si="1"/>
        <v>0</v>
      </c>
      <c r="N75" s="7">
        <f>SUMIF(Dispatch!$B$5:$B$204,A75,Dispatch!$G$5:$G$204)</f>
        <v>0</v>
      </c>
      <c r="O75" s="7">
        <f t="shared" si="2"/>
        <v>0</v>
      </c>
      <c r="P75" s="7"/>
    </row>
    <row r="76" ht="15.75" customHeight="1">
      <c r="B76" s="15"/>
      <c r="E76" s="7"/>
      <c r="F76" s="7"/>
      <c r="H76" s="15"/>
      <c r="I76" s="7"/>
      <c r="J76" s="7"/>
      <c r="K76" s="7">
        <f>SUMIF('Daily Production'!$B$5:$B$504,A76,'Daily Production'!$H$5:$H$504)</f>
        <v>0</v>
      </c>
      <c r="L76" s="7">
        <f>SUMIF('Daily Production'!$B$5:$B$504,A76,'Daily Production'!$I$5:$I$504)</f>
        <v>0</v>
      </c>
      <c r="M76" s="7">
        <f t="shared" si="1"/>
        <v>0</v>
      </c>
      <c r="N76" s="7">
        <f>SUMIF(Dispatch!$B$5:$B$204,A76,Dispatch!$G$5:$G$204)</f>
        <v>0</v>
      </c>
      <c r="O76" s="7">
        <f t="shared" si="2"/>
        <v>0</v>
      </c>
      <c r="P76" s="7"/>
    </row>
    <row r="77" ht="15.75" customHeight="1">
      <c r="B77" s="15"/>
      <c r="E77" s="7"/>
      <c r="F77" s="7"/>
      <c r="H77" s="15"/>
      <c r="I77" s="7"/>
      <c r="J77" s="7"/>
      <c r="K77" s="7">
        <f>SUMIF('Daily Production'!$B$5:$B$504,A77,'Daily Production'!$H$5:$H$504)</f>
        <v>0</v>
      </c>
      <c r="L77" s="7">
        <f>SUMIF('Daily Production'!$B$5:$B$504,A77,'Daily Production'!$I$5:$I$504)</f>
        <v>0</v>
      </c>
      <c r="M77" s="7">
        <f t="shared" si="1"/>
        <v>0</v>
      </c>
      <c r="N77" s="7">
        <f>SUMIF(Dispatch!$B$5:$B$204,A77,Dispatch!$G$5:$G$204)</f>
        <v>0</v>
      </c>
      <c r="O77" s="7">
        <f t="shared" si="2"/>
        <v>0</v>
      </c>
      <c r="P77" s="7"/>
    </row>
    <row r="78" ht="15.75" customHeight="1">
      <c r="B78" s="15"/>
      <c r="E78" s="7"/>
      <c r="F78" s="7"/>
      <c r="H78" s="15"/>
      <c r="I78" s="7"/>
      <c r="J78" s="7"/>
      <c r="K78" s="7">
        <f>SUMIF('Daily Production'!$B$5:$B$504,A78,'Daily Production'!$H$5:$H$504)</f>
        <v>0</v>
      </c>
      <c r="L78" s="7">
        <f>SUMIF('Daily Production'!$B$5:$B$504,A78,'Daily Production'!$I$5:$I$504)</f>
        <v>0</v>
      </c>
      <c r="M78" s="7">
        <f t="shared" si="1"/>
        <v>0</v>
      </c>
      <c r="N78" s="7">
        <f>SUMIF(Dispatch!$B$5:$B$204,A78,Dispatch!$G$5:$G$204)</f>
        <v>0</v>
      </c>
      <c r="O78" s="7">
        <f t="shared" si="2"/>
        <v>0</v>
      </c>
      <c r="P78" s="7"/>
    </row>
    <row r="79" ht="15.75" customHeight="1">
      <c r="B79" s="15"/>
      <c r="E79" s="7"/>
      <c r="F79" s="7"/>
      <c r="H79" s="15"/>
      <c r="I79" s="7"/>
      <c r="J79" s="7"/>
      <c r="K79" s="7">
        <f>SUMIF('Daily Production'!$B$5:$B$504,A79,'Daily Production'!$H$5:$H$504)</f>
        <v>0</v>
      </c>
      <c r="L79" s="7">
        <f>SUMIF('Daily Production'!$B$5:$B$504,A79,'Daily Production'!$I$5:$I$504)</f>
        <v>0</v>
      </c>
      <c r="M79" s="7">
        <f t="shared" si="1"/>
        <v>0</v>
      </c>
      <c r="N79" s="7">
        <f>SUMIF(Dispatch!$B$5:$B$204,A79,Dispatch!$G$5:$G$204)</f>
        <v>0</v>
      </c>
      <c r="O79" s="7">
        <f t="shared" si="2"/>
        <v>0</v>
      </c>
      <c r="P79" s="7"/>
    </row>
    <row r="80" ht="15.75" customHeight="1">
      <c r="B80" s="15"/>
      <c r="E80" s="7"/>
      <c r="F80" s="7"/>
      <c r="H80" s="15"/>
      <c r="I80" s="7"/>
      <c r="J80" s="7"/>
      <c r="K80" s="7">
        <f>SUMIF('Daily Production'!$B$5:$B$504,A80,'Daily Production'!$H$5:$H$504)</f>
        <v>0</v>
      </c>
      <c r="L80" s="7">
        <f>SUMIF('Daily Production'!$B$5:$B$504,A80,'Daily Production'!$I$5:$I$504)</f>
        <v>0</v>
      </c>
      <c r="M80" s="7">
        <f t="shared" si="1"/>
        <v>0</v>
      </c>
      <c r="N80" s="7">
        <f>SUMIF(Dispatch!$B$5:$B$204,A80,Dispatch!$G$5:$G$204)</f>
        <v>0</v>
      </c>
      <c r="O80" s="7">
        <f t="shared" si="2"/>
        <v>0</v>
      </c>
      <c r="P80" s="7"/>
    </row>
    <row r="81" ht="15.75" customHeight="1">
      <c r="B81" s="15"/>
      <c r="E81" s="7"/>
      <c r="F81" s="7"/>
      <c r="H81" s="15"/>
      <c r="I81" s="7"/>
      <c r="J81" s="7"/>
      <c r="K81" s="7">
        <f>SUMIF('Daily Production'!$B$5:$B$504,A81,'Daily Production'!$H$5:$H$504)</f>
        <v>0</v>
      </c>
      <c r="L81" s="7">
        <f>SUMIF('Daily Production'!$B$5:$B$504,A81,'Daily Production'!$I$5:$I$504)</f>
        <v>0</v>
      </c>
      <c r="M81" s="7">
        <f t="shared" si="1"/>
        <v>0</v>
      </c>
      <c r="N81" s="7">
        <f>SUMIF(Dispatch!$B$5:$B$204,A81,Dispatch!$G$5:$G$204)</f>
        <v>0</v>
      </c>
      <c r="O81" s="7">
        <f t="shared" si="2"/>
        <v>0</v>
      </c>
      <c r="P81" s="7"/>
    </row>
    <row r="82" ht="15.75" customHeight="1">
      <c r="B82" s="15"/>
      <c r="E82" s="7"/>
      <c r="F82" s="7"/>
      <c r="H82" s="15"/>
      <c r="I82" s="7"/>
      <c r="J82" s="7"/>
      <c r="K82" s="7">
        <f>SUMIF('Daily Production'!$B$5:$B$504,A82,'Daily Production'!$H$5:$H$504)</f>
        <v>0</v>
      </c>
      <c r="L82" s="7">
        <f>SUMIF('Daily Production'!$B$5:$B$504,A82,'Daily Production'!$I$5:$I$504)</f>
        <v>0</v>
      </c>
      <c r="M82" s="7">
        <f t="shared" si="1"/>
        <v>0</v>
      </c>
      <c r="N82" s="7">
        <f>SUMIF(Dispatch!$B$5:$B$204,A82,Dispatch!$G$5:$G$204)</f>
        <v>0</v>
      </c>
      <c r="O82" s="7">
        <f t="shared" si="2"/>
        <v>0</v>
      </c>
      <c r="P82" s="7"/>
    </row>
    <row r="83" ht="15.75" customHeight="1">
      <c r="B83" s="15"/>
      <c r="E83" s="7"/>
      <c r="F83" s="7"/>
      <c r="H83" s="15"/>
      <c r="I83" s="7"/>
      <c r="J83" s="7"/>
      <c r="K83" s="7">
        <f>SUMIF('Daily Production'!$B$5:$B$504,A83,'Daily Production'!$H$5:$H$504)</f>
        <v>0</v>
      </c>
      <c r="L83" s="7">
        <f>SUMIF('Daily Production'!$B$5:$B$504,A83,'Daily Production'!$I$5:$I$504)</f>
        <v>0</v>
      </c>
      <c r="M83" s="7">
        <f t="shared" si="1"/>
        <v>0</v>
      </c>
      <c r="N83" s="7">
        <f>SUMIF(Dispatch!$B$5:$B$204,A83,Dispatch!$G$5:$G$204)</f>
        <v>0</v>
      </c>
      <c r="O83" s="7">
        <f t="shared" si="2"/>
        <v>0</v>
      </c>
      <c r="P83" s="7"/>
    </row>
    <row r="84" ht="15.75" customHeight="1">
      <c r="B84" s="15"/>
      <c r="E84" s="7"/>
      <c r="F84" s="7"/>
      <c r="H84" s="15"/>
      <c r="I84" s="7"/>
      <c r="J84" s="7"/>
      <c r="K84" s="7">
        <f>SUMIF('Daily Production'!$B$5:$B$504,A84,'Daily Production'!$H$5:$H$504)</f>
        <v>0</v>
      </c>
      <c r="L84" s="7">
        <f>SUMIF('Daily Production'!$B$5:$B$504,A84,'Daily Production'!$I$5:$I$504)</f>
        <v>0</v>
      </c>
      <c r="M84" s="7">
        <f t="shared" si="1"/>
        <v>0</v>
      </c>
      <c r="N84" s="7">
        <f>SUMIF(Dispatch!$B$5:$B$204,A84,Dispatch!$G$5:$G$204)</f>
        <v>0</v>
      </c>
      <c r="O84" s="7">
        <f t="shared" si="2"/>
        <v>0</v>
      </c>
      <c r="P84" s="7"/>
    </row>
    <row r="85" ht="15.75" customHeight="1">
      <c r="B85" s="15"/>
      <c r="E85" s="7"/>
      <c r="F85" s="7"/>
      <c r="H85" s="15"/>
      <c r="I85" s="7"/>
      <c r="J85" s="7"/>
      <c r="K85" s="7">
        <f>SUMIF('Daily Production'!$B$5:$B$504,A85,'Daily Production'!$H$5:$H$504)</f>
        <v>0</v>
      </c>
      <c r="L85" s="7">
        <f>SUMIF('Daily Production'!$B$5:$B$504,A85,'Daily Production'!$I$5:$I$504)</f>
        <v>0</v>
      </c>
      <c r="M85" s="7">
        <f t="shared" si="1"/>
        <v>0</v>
      </c>
      <c r="N85" s="7">
        <f>SUMIF(Dispatch!$B$5:$B$204,A85,Dispatch!$G$5:$G$204)</f>
        <v>0</v>
      </c>
      <c r="O85" s="7">
        <f t="shared" si="2"/>
        <v>0</v>
      </c>
      <c r="P85" s="7"/>
    </row>
    <row r="86" ht="15.75" customHeight="1">
      <c r="B86" s="15"/>
      <c r="E86" s="7"/>
      <c r="F86" s="7"/>
      <c r="H86" s="15"/>
      <c r="I86" s="7"/>
      <c r="J86" s="7"/>
      <c r="K86" s="7">
        <f>SUMIF('Daily Production'!$B$5:$B$504,A86,'Daily Production'!$H$5:$H$504)</f>
        <v>0</v>
      </c>
      <c r="L86" s="7">
        <f>SUMIF('Daily Production'!$B$5:$B$504,A86,'Daily Production'!$I$5:$I$504)</f>
        <v>0</v>
      </c>
      <c r="M86" s="7">
        <f t="shared" si="1"/>
        <v>0</v>
      </c>
      <c r="N86" s="7">
        <f>SUMIF(Dispatch!$B$5:$B$204,A86,Dispatch!$G$5:$G$204)</f>
        <v>0</v>
      </c>
      <c r="O86" s="7">
        <f t="shared" si="2"/>
        <v>0</v>
      </c>
      <c r="P86" s="7"/>
    </row>
    <row r="87" ht="15.75" customHeight="1">
      <c r="B87" s="15"/>
      <c r="E87" s="7"/>
      <c r="F87" s="7"/>
      <c r="H87" s="15"/>
      <c r="I87" s="7"/>
      <c r="J87" s="7"/>
      <c r="K87" s="7">
        <f>SUMIF('Daily Production'!$B$5:$B$504,A87,'Daily Production'!$H$5:$H$504)</f>
        <v>0</v>
      </c>
      <c r="L87" s="7">
        <f>SUMIF('Daily Production'!$B$5:$B$504,A87,'Daily Production'!$I$5:$I$504)</f>
        <v>0</v>
      </c>
      <c r="M87" s="7">
        <f t="shared" si="1"/>
        <v>0</v>
      </c>
      <c r="N87" s="7">
        <f>SUMIF(Dispatch!$B$5:$B$204,A87,Dispatch!$G$5:$G$204)</f>
        <v>0</v>
      </c>
      <c r="O87" s="7">
        <f t="shared" si="2"/>
        <v>0</v>
      </c>
      <c r="P87" s="7"/>
    </row>
    <row r="88" ht="15.75" customHeight="1">
      <c r="B88" s="15"/>
      <c r="E88" s="7"/>
      <c r="F88" s="7"/>
      <c r="H88" s="15"/>
      <c r="I88" s="7"/>
      <c r="J88" s="7"/>
      <c r="K88" s="7">
        <f>SUMIF('Daily Production'!$B$5:$B$504,A88,'Daily Production'!$H$5:$H$504)</f>
        <v>0</v>
      </c>
      <c r="L88" s="7">
        <f>SUMIF('Daily Production'!$B$5:$B$504,A88,'Daily Production'!$I$5:$I$504)</f>
        <v>0</v>
      </c>
      <c r="M88" s="7">
        <f t="shared" si="1"/>
        <v>0</v>
      </c>
      <c r="N88" s="7">
        <f>SUMIF(Dispatch!$B$5:$B$204,A88,Dispatch!$G$5:$G$204)</f>
        <v>0</v>
      </c>
      <c r="O88" s="7">
        <f t="shared" si="2"/>
        <v>0</v>
      </c>
      <c r="P88" s="7"/>
    </row>
    <row r="89" ht="15.75" customHeight="1">
      <c r="B89" s="15"/>
      <c r="E89" s="7"/>
      <c r="F89" s="7"/>
      <c r="H89" s="15"/>
      <c r="I89" s="7"/>
      <c r="J89" s="7"/>
      <c r="K89" s="7">
        <f>SUMIF('Daily Production'!$B$5:$B$504,A89,'Daily Production'!$H$5:$H$504)</f>
        <v>0</v>
      </c>
      <c r="L89" s="7">
        <f>SUMIF('Daily Production'!$B$5:$B$504,A89,'Daily Production'!$I$5:$I$504)</f>
        <v>0</v>
      </c>
      <c r="M89" s="7">
        <f t="shared" si="1"/>
        <v>0</v>
      </c>
      <c r="N89" s="7">
        <f>SUMIF(Dispatch!$B$5:$B$204,A89,Dispatch!$G$5:$G$204)</f>
        <v>0</v>
      </c>
      <c r="O89" s="7">
        <f t="shared" si="2"/>
        <v>0</v>
      </c>
      <c r="P89" s="7"/>
    </row>
    <row r="90" ht="15.75" customHeight="1">
      <c r="B90" s="15"/>
      <c r="E90" s="7"/>
      <c r="F90" s="7"/>
      <c r="H90" s="15"/>
      <c r="I90" s="7"/>
      <c r="J90" s="7"/>
      <c r="K90" s="7">
        <f>SUMIF('Daily Production'!$B$5:$B$504,A90,'Daily Production'!$H$5:$H$504)</f>
        <v>0</v>
      </c>
      <c r="L90" s="7">
        <f>SUMIF('Daily Production'!$B$5:$B$504,A90,'Daily Production'!$I$5:$I$504)</f>
        <v>0</v>
      </c>
      <c r="M90" s="7">
        <f t="shared" si="1"/>
        <v>0</v>
      </c>
      <c r="N90" s="7">
        <f>SUMIF(Dispatch!$B$5:$B$204,A90,Dispatch!$G$5:$G$204)</f>
        <v>0</v>
      </c>
      <c r="O90" s="7">
        <f t="shared" si="2"/>
        <v>0</v>
      </c>
      <c r="P90" s="7"/>
    </row>
    <row r="91" ht="15.75" customHeight="1">
      <c r="B91" s="15"/>
      <c r="E91" s="7"/>
      <c r="F91" s="7"/>
      <c r="H91" s="15"/>
      <c r="I91" s="7"/>
      <c r="J91" s="7"/>
      <c r="K91" s="7">
        <f>SUMIF('Daily Production'!$B$5:$B$504,A91,'Daily Production'!$H$5:$H$504)</f>
        <v>0</v>
      </c>
      <c r="L91" s="7">
        <f>SUMIF('Daily Production'!$B$5:$B$504,A91,'Daily Production'!$I$5:$I$504)</f>
        <v>0</v>
      </c>
      <c r="M91" s="7">
        <f t="shared" si="1"/>
        <v>0</v>
      </c>
      <c r="N91" s="7">
        <f>SUMIF(Dispatch!$B$5:$B$204,A91,Dispatch!$G$5:$G$204)</f>
        <v>0</v>
      </c>
      <c r="O91" s="7">
        <f t="shared" si="2"/>
        <v>0</v>
      </c>
      <c r="P91" s="7"/>
    </row>
    <row r="92" ht="15.75" customHeight="1">
      <c r="B92" s="15"/>
      <c r="E92" s="7"/>
      <c r="F92" s="7"/>
      <c r="H92" s="15"/>
      <c r="I92" s="7"/>
      <c r="J92" s="7"/>
      <c r="K92" s="7">
        <f>SUMIF('Daily Production'!$B$5:$B$504,A92,'Daily Production'!$H$5:$H$504)</f>
        <v>0</v>
      </c>
      <c r="L92" s="7">
        <f>SUMIF('Daily Production'!$B$5:$B$504,A92,'Daily Production'!$I$5:$I$504)</f>
        <v>0</v>
      </c>
      <c r="M92" s="7">
        <f t="shared" si="1"/>
        <v>0</v>
      </c>
      <c r="N92" s="7">
        <f>SUMIF(Dispatch!$B$5:$B$204,A92,Dispatch!$G$5:$G$204)</f>
        <v>0</v>
      </c>
      <c r="O92" s="7">
        <f t="shared" si="2"/>
        <v>0</v>
      </c>
      <c r="P92" s="7"/>
    </row>
    <row r="93" ht="15.75" customHeight="1">
      <c r="B93" s="15"/>
      <c r="E93" s="7"/>
      <c r="F93" s="7"/>
      <c r="H93" s="15"/>
      <c r="I93" s="7"/>
      <c r="J93" s="7"/>
      <c r="K93" s="7">
        <f>SUMIF('Daily Production'!$B$5:$B$504,A93,'Daily Production'!$H$5:$H$504)</f>
        <v>0</v>
      </c>
      <c r="L93" s="7">
        <f>SUMIF('Daily Production'!$B$5:$B$504,A93,'Daily Production'!$I$5:$I$504)</f>
        <v>0</v>
      </c>
      <c r="M93" s="7">
        <f t="shared" si="1"/>
        <v>0</v>
      </c>
      <c r="N93" s="7">
        <f>SUMIF(Dispatch!$B$5:$B$204,A93,Dispatch!$G$5:$G$204)</f>
        <v>0</v>
      </c>
      <c r="O93" s="7">
        <f t="shared" si="2"/>
        <v>0</v>
      </c>
      <c r="P93" s="7"/>
    </row>
    <row r="94" ht="15.75" customHeight="1">
      <c r="B94" s="15"/>
      <c r="E94" s="7"/>
      <c r="F94" s="7"/>
      <c r="H94" s="15"/>
      <c r="I94" s="7"/>
      <c r="J94" s="7"/>
      <c r="K94" s="7">
        <f>SUMIF('Daily Production'!$B$5:$B$504,A94,'Daily Production'!$H$5:$H$504)</f>
        <v>0</v>
      </c>
      <c r="L94" s="7">
        <f>SUMIF('Daily Production'!$B$5:$B$504,A94,'Daily Production'!$I$5:$I$504)</f>
        <v>0</v>
      </c>
      <c r="M94" s="7">
        <f t="shared" si="1"/>
        <v>0</v>
      </c>
      <c r="N94" s="7">
        <f>SUMIF(Dispatch!$B$5:$B$204,A94,Dispatch!$G$5:$G$204)</f>
        <v>0</v>
      </c>
      <c r="O94" s="7">
        <f t="shared" si="2"/>
        <v>0</v>
      </c>
      <c r="P94" s="7"/>
    </row>
    <row r="95" ht="15.75" customHeight="1">
      <c r="B95" s="15"/>
      <c r="E95" s="7"/>
      <c r="F95" s="7"/>
      <c r="H95" s="15"/>
      <c r="I95" s="7"/>
      <c r="J95" s="7"/>
      <c r="K95" s="7">
        <f>SUMIF('Daily Production'!$B$5:$B$504,A95,'Daily Production'!$H$5:$H$504)</f>
        <v>0</v>
      </c>
      <c r="L95" s="7">
        <f>SUMIF('Daily Production'!$B$5:$B$504,A95,'Daily Production'!$I$5:$I$504)</f>
        <v>0</v>
      </c>
      <c r="M95" s="7">
        <f t="shared" si="1"/>
        <v>0</v>
      </c>
      <c r="N95" s="7">
        <f>SUMIF(Dispatch!$B$5:$B$204,A95,Dispatch!$G$5:$G$204)</f>
        <v>0</v>
      </c>
      <c r="O95" s="7">
        <f t="shared" si="2"/>
        <v>0</v>
      </c>
      <c r="P95" s="7"/>
    </row>
    <row r="96" ht="15.75" customHeight="1">
      <c r="B96" s="15"/>
      <c r="E96" s="7"/>
      <c r="F96" s="7"/>
      <c r="H96" s="15"/>
      <c r="I96" s="7"/>
      <c r="J96" s="7"/>
      <c r="K96" s="7">
        <f>SUMIF('Daily Production'!$B$5:$B$504,A96,'Daily Production'!$H$5:$H$504)</f>
        <v>0</v>
      </c>
      <c r="L96" s="7">
        <f>SUMIF('Daily Production'!$B$5:$B$504,A96,'Daily Production'!$I$5:$I$504)</f>
        <v>0</v>
      </c>
      <c r="M96" s="7">
        <f t="shared" si="1"/>
        <v>0</v>
      </c>
      <c r="N96" s="7">
        <f>SUMIF(Dispatch!$B$5:$B$204,A96,Dispatch!$G$5:$G$204)</f>
        <v>0</v>
      </c>
      <c r="O96" s="7">
        <f t="shared" si="2"/>
        <v>0</v>
      </c>
      <c r="P96" s="7"/>
    </row>
    <row r="97" ht="15.75" customHeight="1">
      <c r="B97" s="15"/>
      <c r="E97" s="7"/>
      <c r="F97" s="7"/>
      <c r="H97" s="15"/>
      <c r="I97" s="7"/>
      <c r="J97" s="7"/>
      <c r="K97" s="7">
        <f>SUMIF('Daily Production'!$B$5:$B$504,A97,'Daily Production'!$H$5:$H$504)</f>
        <v>0</v>
      </c>
      <c r="L97" s="7">
        <f>SUMIF('Daily Production'!$B$5:$B$504,A97,'Daily Production'!$I$5:$I$504)</f>
        <v>0</v>
      </c>
      <c r="M97" s="7">
        <f t="shared" si="1"/>
        <v>0</v>
      </c>
      <c r="N97" s="7">
        <f>SUMIF(Dispatch!$B$5:$B$204,A97,Dispatch!$G$5:$G$204)</f>
        <v>0</v>
      </c>
      <c r="O97" s="7">
        <f t="shared" si="2"/>
        <v>0</v>
      </c>
      <c r="P97" s="7"/>
    </row>
    <row r="98" ht="15.75" customHeight="1">
      <c r="B98" s="15"/>
      <c r="E98" s="7"/>
      <c r="F98" s="7"/>
      <c r="H98" s="15"/>
      <c r="I98" s="7"/>
      <c r="J98" s="7"/>
      <c r="K98" s="7">
        <f>SUMIF('Daily Production'!$B$5:$B$504,A98,'Daily Production'!$H$5:$H$504)</f>
        <v>0</v>
      </c>
      <c r="L98" s="7">
        <f>SUMIF('Daily Production'!$B$5:$B$504,A98,'Daily Production'!$I$5:$I$504)</f>
        <v>0</v>
      </c>
      <c r="M98" s="7">
        <f t="shared" si="1"/>
        <v>0</v>
      </c>
      <c r="N98" s="7">
        <f>SUMIF(Dispatch!$B$5:$B$204,A98,Dispatch!$G$5:$G$204)</f>
        <v>0</v>
      </c>
      <c r="O98" s="7">
        <f t="shared" si="2"/>
        <v>0</v>
      </c>
      <c r="P98" s="7"/>
    </row>
    <row r="99" ht="15.75" customHeight="1">
      <c r="B99" s="15"/>
      <c r="E99" s="7"/>
      <c r="F99" s="7"/>
      <c r="H99" s="15"/>
      <c r="I99" s="7"/>
      <c r="J99" s="7"/>
      <c r="K99" s="7">
        <f>SUMIF('Daily Production'!$B$5:$B$504,A99,'Daily Production'!$H$5:$H$504)</f>
        <v>0</v>
      </c>
      <c r="L99" s="7">
        <f>SUMIF('Daily Production'!$B$5:$B$504,A99,'Daily Production'!$I$5:$I$504)</f>
        <v>0</v>
      </c>
      <c r="M99" s="7">
        <f t="shared" si="1"/>
        <v>0</v>
      </c>
      <c r="N99" s="7">
        <f>SUMIF(Dispatch!$B$5:$B$204,A99,Dispatch!$G$5:$G$204)</f>
        <v>0</v>
      </c>
      <c r="O99" s="7">
        <f t="shared" si="2"/>
        <v>0</v>
      </c>
      <c r="P99" s="7"/>
    </row>
    <row r="100" ht="15.75" customHeight="1">
      <c r="B100" s="15"/>
      <c r="E100" s="7"/>
      <c r="F100" s="7"/>
      <c r="H100" s="15"/>
      <c r="I100" s="7"/>
      <c r="J100" s="7"/>
      <c r="K100" s="7">
        <f>SUMIF('Daily Production'!$B$5:$B$504,A100,'Daily Production'!$H$5:$H$504)</f>
        <v>0</v>
      </c>
      <c r="L100" s="7">
        <f>SUMIF('Daily Production'!$B$5:$B$504,A100,'Daily Production'!$I$5:$I$504)</f>
        <v>0</v>
      </c>
      <c r="M100" s="7">
        <f t="shared" si="1"/>
        <v>0</v>
      </c>
      <c r="N100" s="7">
        <f>SUMIF(Dispatch!$B$5:$B$204,A100,Dispatch!$G$5:$G$204)</f>
        <v>0</v>
      </c>
      <c r="O100" s="7">
        <f t="shared" si="2"/>
        <v>0</v>
      </c>
      <c r="P100" s="7"/>
    </row>
    <row r="101" ht="15.75" customHeight="1">
      <c r="B101" s="15"/>
      <c r="E101" s="7"/>
      <c r="F101" s="7"/>
      <c r="H101" s="15"/>
      <c r="I101" s="7"/>
      <c r="J101" s="7"/>
      <c r="K101" s="7">
        <f>SUMIF('Daily Production'!$B$5:$B$504,A101,'Daily Production'!$H$5:$H$504)</f>
        <v>0</v>
      </c>
      <c r="L101" s="7">
        <f>SUMIF('Daily Production'!$B$5:$B$504,A101,'Daily Production'!$I$5:$I$504)</f>
        <v>0</v>
      </c>
      <c r="M101" s="7">
        <f t="shared" si="1"/>
        <v>0</v>
      </c>
      <c r="N101" s="7">
        <f>SUMIF(Dispatch!$B$5:$B$204,A101,Dispatch!$G$5:$G$204)</f>
        <v>0</v>
      </c>
      <c r="O101" s="7">
        <f t="shared" si="2"/>
        <v>0</v>
      </c>
      <c r="P101" s="7"/>
    </row>
    <row r="102" ht="15.75" customHeight="1">
      <c r="B102" s="15"/>
      <c r="E102" s="7"/>
      <c r="F102" s="7"/>
      <c r="H102" s="15"/>
      <c r="I102" s="7"/>
      <c r="J102" s="7"/>
      <c r="K102" s="7">
        <f>SUMIF('Daily Production'!$B$5:$B$504,A102,'Daily Production'!$H$5:$H$504)</f>
        <v>0</v>
      </c>
      <c r="L102" s="7">
        <f>SUMIF('Daily Production'!$B$5:$B$504,A102,'Daily Production'!$I$5:$I$504)</f>
        <v>0</v>
      </c>
      <c r="M102" s="7">
        <f t="shared" si="1"/>
        <v>0</v>
      </c>
      <c r="N102" s="7">
        <f>SUMIF(Dispatch!$B$5:$B$204,A102,Dispatch!$G$5:$G$204)</f>
        <v>0</v>
      </c>
      <c r="O102" s="7">
        <f t="shared" si="2"/>
        <v>0</v>
      </c>
      <c r="P102" s="7"/>
    </row>
    <row r="103" ht="15.75" customHeight="1">
      <c r="B103" s="15"/>
      <c r="E103" s="7"/>
      <c r="F103" s="7"/>
      <c r="H103" s="15"/>
      <c r="I103" s="7"/>
      <c r="J103" s="7"/>
      <c r="K103" s="7">
        <f>SUMIF('Daily Production'!$B$5:$B$504,A103,'Daily Production'!$H$5:$H$504)</f>
        <v>0</v>
      </c>
      <c r="L103" s="7">
        <f>SUMIF('Daily Production'!$B$5:$B$504,A103,'Daily Production'!$I$5:$I$504)</f>
        <v>0</v>
      </c>
      <c r="M103" s="7">
        <f t="shared" si="1"/>
        <v>0</v>
      </c>
      <c r="N103" s="7">
        <f>SUMIF(Dispatch!$B$5:$B$204,A103,Dispatch!$G$5:$G$204)</f>
        <v>0</v>
      </c>
      <c r="O103" s="7">
        <f t="shared" si="2"/>
        <v>0</v>
      </c>
      <c r="P103" s="7"/>
    </row>
    <row r="104" ht="15.75" customHeight="1">
      <c r="B104" s="15"/>
      <c r="E104" s="7"/>
      <c r="F104" s="7"/>
      <c r="H104" s="15"/>
      <c r="I104" s="7"/>
      <c r="J104" s="7"/>
      <c r="K104" s="7">
        <f>SUMIF('Daily Production'!$B$5:$B$504,A104,'Daily Production'!$H$5:$H$504)</f>
        <v>0</v>
      </c>
      <c r="L104" s="7">
        <f>SUMIF('Daily Production'!$B$5:$B$504,A104,'Daily Production'!$I$5:$I$504)</f>
        <v>0</v>
      </c>
      <c r="M104" s="7">
        <f t="shared" si="1"/>
        <v>0</v>
      </c>
      <c r="N104" s="7">
        <f>SUMIF(Dispatch!$B$5:$B$204,A104,Dispatch!$G$5:$G$204)</f>
        <v>0</v>
      </c>
      <c r="O104" s="7">
        <f t="shared" si="2"/>
        <v>0</v>
      </c>
      <c r="P104" s="7"/>
    </row>
    <row r="105" ht="15.75" customHeight="1">
      <c r="B105" s="15"/>
      <c r="E105" s="7"/>
      <c r="F105" s="7"/>
      <c r="H105" s="15"/>
      <c r="I105" s="7"/>
      <c r="J105" s="7"/>
      <c r="K105" s="7">
        <f>SUMIF('Daily Production'!$B$5:$B$504,A105,'Daily Production'!$H$5:$H$504)</f>
        <v>0</v>
      </c>
      <c r="L105" s="7">
        <f>SUMIF('Daily Production'!$B$5:$B$504,A105,'Daily Production'!$I$5:$I$504)</f>
        <v>0</v>
      </c>
      <c r="M105" s="7">
        <f t="shared" si="1"/>
        <v>0</v>
      </c>
      <c r="N105" s="7">
        <f>SUMIF(Dispatch!$B$5:$B$204,A105,Dispatch!$G$5:$G$204)</f>
        <v>0</v>
      </c>
      <c r="O105" s="7">
        <f t="shared" si="2"/>
        <v>0</v>
      </c>
      <c r="P105" s="7"/>
    </row>
    <row r="106" ht="15.75" customHeight="1">
      <c r="B106" s="15"/>
      <c r="E106" s="7"/>
      <c r="F106" s="7"/>
      <c r="H106" s="15"/>
      <c r="I106" s="7"/>
      <c r="J106" s="7"/>
      <c r="K106" s="7">
        <f>SUMIF('Daily Production'!$B$5:$B$504,A106,'Daily Production'!$H$5:$H$504)</f>
        <v>0</v>
      </c>
      <c r="L106" s="7">
        <f>SUMIF('Daily Production'!$B$5:$B$504,A106,'Daily Production'!$I$5:$I$504)</f>
        <v>0</v>
      </c>
      <c r="M106" s="7">
        <f t="shared" si="1"/>
        <v>0</v>
      </c>
      <c r="N106" s="7">
        <f>SUMIF(Dispatch!$B$5:$B$204,A106,Dispatch!$G$5:$G$204)</f>
        <v>0</v>
      </c>
      <c r="O106" s="7">
        <f t="shared" si="2"/>
        <v>0</v>
      </c>
      <c r="P106" s="7"/>
    </row>
    <row r="107" ht="15.75" customHeight="1">
      <c r="B107" s="15"/>
      <c r="E107" s="7"/>
      <c r="F107" s="7"/>
      <c r="H107" s="15"/>
      <c r="I107" s="7"/>
      <c r="J107" s="7"/>
      <c r="K107" s="7">
        <f>SUMIF('Daily Production'!$B$5:$B$504,A107,'Daily Production'!$H$5:$H$504)</f>
        <v>0</v>
      </c>
      <c r="L107" s="7">
        <f>SUMIF('Daily Production'!$B$5:$B$504,A107,'Daily Production'!$I$5:$I$504)</f>
        <v>0</v>
      </c>
      <c r="M107" s="7">
        <f t="shared" si="1"/>
        <v>0</v>
      </c>
      <c r="N107" s="7">
        <f>SUMIF(Dispatch!$B$5:$B$204,A107,Dispatch!$G$5:$G$204)</f>
        <v>0</v>
      </c>
      <c r="O107" s="7">
        <f t="shared" si="2"/>
        <v>0</v>
      </c>
      <c r="P107" s="7"/>
    </row>
    <row r="108" ht="15.75" customHeight="1">
      <c r="B108" s="15"/>
      <c r="E108" s="7"/>
      <c r="F108" s="7"/>
      <c r="H108" s="15"/>
      <c r="I108" s="7"/>
      <c r="J108" s="7"/>
      <c r="K108" s="7">
        <f>SUMIF('Daily Production'!$B$5:$B$504,A108,'Daily Production'!$H$5:$H$504)</f>
        <v>0</v>
      </c>
      <c r="L108" s="7">
        <f>SUMIF('Daily Production'!$B$5:$B$504,A108,'Daily Production'!$I$5:$I$504)</f>
        <v>0</v>
      </c>
      <c r="M108" s="7">
        <f t="shared" si="1"/>
        <v>0</v>
      </c>
      <c r="N108" s="7">
        <f>SUMIF(Dispatch!$B$5:$B$204,A108,Dispatch!$G$5:$G$204)</f>
        <v>0</v>
      </c>
      <c r="O108" s="7">
        <f t="shared" si="2"/>
        <v>0</v>
      </c>
      <c r="P108" s="7"/>
    </row>
    <row r="109" ht="15.75" customHeight="1">
      <c r="B109" s="15"/>
      <c r="E109" s="7"/>
      <c r="F109" s="7"/>
      <c r="H109" s="15"/>
      <c r="I109" s="7"/>
      <c r="J109" s="7"/>
      <c r="K109" s="7">
        <f>SUMIF('Daily Production'!$B$5:$B$504,A109,'Daily Production'!$H$5:$H$504)</f>
        <v>0</v>
      </c>
      <c r="L109" s="7">
        <f>SUMIF('Daily Production'!$B$5:$B$504,A109,'Daily Production'!$I$5:$I$504)</f>
        <v>0</v>
      </c>
      <c r="M109" s="7">
        <f t="shared" si="1"/>
        <v>0</v>
      </c>
      <c r="N109" s="7">
        <f>SUMIF(Dispatch!$B$5:$B$204,A109,Dispatch!$G$5:$G$204)</f>
        <v>0</v>
      </c>
      <c r="O109" s="7">
        <f t="shared" si="2"/>
        <v>0</v>
      </c>
      <c r="P109" s="7"/>
    </row>
    <row r="110" ht="15.75" customHeight="1">
      <c r="B110" s="15"/>
      <c r="E110" s="7"/>
      <c r="F110" s="7"/>
      <c r="H110" s="15"/>
      <c r="I110" s="7"/>
      <c r="J110" s="7"/>
      <c r="K110" s="7">
        <f>SUMIF('Daily Production'!$B$5:$B$504,A110,'Daily Production'!$H$5:$H$504)</f>
        <v>0</v>
      </c>
      <c r="L110" s="7">
        <f>SUMIF('Daily Production'!$B$5:$B$504,A110,'Daily Production'!$I$5:$I$504)</f>
        <v>0</v>
      </c>
      <c r="M110" s="7">
        <f t="shared" si="1"/>
        <v>0</v>
      </c>
      <c r="N110" s="7">
        <f>SUMIF(Dispatch!$B$5:$B$204,A110,Dispatch!$G$5:$G$204)</f>
        <v>0</v>
      </c>
      <c r="O110" s="7">
        <f t="shared" si="2"/>
        <v>0</v>
      </c>
      <c r="P110" s="7"/>
    </row>
    <row r="111" ht="15.75" customHeight="1">
      <c r="B111" s="15"/>
      <c r="E111" s="7"/>
      <c r="F111" s="7"/>
      <c r="H111" s="15"/>
      <c r="I111" s="7"/>
      <c r="J111" s="7"/>
      <c r="K111" s="7">
        <f>SUMIF('Daily Production'!$B$5:$B$504,A111,'Daily Production'!$H$5:$H$504)</f>
        <v>0</v>
      </c>
      <c r="L111" s="7">
        <f>SUMIF('Daily Production'!$B$5:$B$504,A111,'Daily Production'!$I$5:$I$504)</f>
        <v>0</v>
      </c>
      <c r="M111" s="7">
        <f t="shared" si="1"/>
        <v>0</v>
      </c>
      <c r="N111" s="7">
        <f>SUMIF(Dispatch!$B$5:$B$204,A111,Dispatch!$G$5:$G$204)</f>
        <v>0</v>
      </c>
      <c r="O111" s="7">
        <f t="shared" si="2"/>
        <v>0</v>
      </c>
      <c r="P111" s="7"/>
    </row>
    <row r="112" ht="15.75" customHeight="1">
      <c r="B112" s="15"/>
      <c r="E112" s="7"/>
      <c r="F112" s="7"/>
      <c r="H112" s="15"/>
      <c r="I112" s="7"/>
      <c r="J112" s="7"/>
      <c r="K112" s="7">
        <f>SUMIF('Daily Production'!$B$5:$B$504,A112,'Daily Production'!$H$5:$H$504)</f>
        <v>0</v>
      </c>
      <c r="L112" s="7">
        <f>SUMIF('Daily Production'!$B$5:$B$504,A112,'Daily Production'!$I$5:$I$504)</f>
        <v>0</v>
      </c>
      <c r="M112" s="7">
        <f t="shared" si="1"/>
        <v>0</v>
      </c>
      <c r="N112" s="7">
        <f>SUMIF(Dispatch!$B$5:$B$204,A112,Dispatch!$G$5:$G$204)</f>
        <v>0</v>
      </c>
      <c r="O112" s="7">
        <f t="shared" si="2"/>
        <v>0</v>
      </c>
      <c r="P112" s="7"/>
    </row>
    <row r="113" ht="15.75" customHeight="1">
      <c r="B113" s="15"/>
      <c r="E113" s="7"/>
      <c r="F113" s="7"/>
      <c r="H113" s="15"/>
      <c r="I113" s="7"/>
      <c r="J113" s="7"/>
      <c r="K113" s="7">
        <f>SUMIF('Daily Production'!$B$5:$B$504,A113,'Daily Production'!$H$5:$H$504)</f>
        <v>0</v>
      </c>
      <c r="L113" s="7">
        <f>SUMIF('Daily Production'!$B$5:$B$504,A113,'Daily Production'!$I$5:$I$504)</f>
        <v>0</v>
      </c>
      <c r="M113" s="7">
        <f t="shared" si="1"/>
        <v>0</v>
      </c>
      <c r="N113" s="7">
        <f>SUMIF(Dispatch!$B$5:$B$204,A113,Dispatch!$G$5:$G$204)</f>
        <v>0</v>
      </c>
      <c r="O113" s="7">
        <f t="shared" si="2"/>
        <v>0</v>
      </c>
      <c r="P113" s="7"/>
    </row>
    <row r="114" ht="15.75" customHeight="1">
      <c r="B114" s="15"/>
      <c r="E114" s="7"/>
      <c r="F114" s="7"/>
      <c r="H114" s="15"/>
      <c r="I114" s="7"/>
      <c r="J114" s="7"/>
      <c r="K114" s="7">
        <f>SUMIF('Daily Production'!$B$5:$B$504,A114,'Daily Production'!$H$5:$H$504)</f>
        <v>0</v>
      </c>
      <c r="L114" s="7">
        <f>SUMIF('Daily Production'!$B$5:$B$504,A114,'Daily Production'!$I$5:$I$504)</f>
        <v>0</v>
      </c>
      <c r="M114" s="7">
        <f t="shared" si="1"/>
        <v>0</v>
      </c>
      <c r="N114" s="7">
        <f>SUMIF(Dispatch!$B$5:$B$204,A114,Dispatch!$G$5:$G$204)</f>
        <v>0</v>
      </c>
      <c r="O114" s="7">
        <f t="shared" si="2"/>
        <v>0</v>
      </c>
      <c r="P114" s="7"/>
    </row>
    <row r="115" ht="15.75" customHeight="1">
      <c r="B115" s="15"/>
      <c r="E115" s="7"/>
      <c r="F115" s="7"/>
      <c r="H115" s="15"/>
      <c r="I115" s="7"/>
      <c r="J115" s="7"/>
      <c r="K115" s="7">
        <f>SUMIF('Daily Production'!$B$5:$B$504,A115,'Daily Production'!$H$5:$H$504)</f>
        <v>0</v>
      </c>
      <c r="L115" s="7">
        <f>SUMIF('Daily Production'!$B$5:$B$504,A115,'Daily Production'!$I$5:$I$504)</f>
        <v>0</v>
      </c>
      <c r="M115" s="7">
        <f t="shared" si="1"/>
        <v>0</v>
      </c>
      <c r="N115" s="7">
        <f>SUMIF(Dispatch!$B$5:$B$204,A115,Dispatch!$G$5:$G$204)</f>
        <v>0</v>
      </c>
      <c r="O115" s="7">
        <f t="shared" si="2"/>
        <v>0</v>
      </c>
      <c r="P115" s="7"/>
    </row>
    <row r="116" ht="15.75" customHeight="1">
      <c r="B116" s="15"/>
      <c r="E116" s="7"/>
      <c r="F116" s="7"/>
      <c r="H116" s="15"/>
      <c r="I116" s="7"/>
      <c r="J116" s="7"/>
      <c r="K116" s="7">
        <f>SUMIF('Daily Production'!$B$5:$B$504,A116,'Daily Production'!$H$5:$H$504)</f>
        <v>0</v>
      </c>
      <c r="L116" s="7">
        <f>SUMIF('Daily Production'!$B$5:$B$504,A116,'Daily Production'!$I$5:$I$504)</f>
        <v>0</v>
      </c>
      <c r="M116" s="7">
        <f t="shared" si="1"/>
        <v>0</v>
      </c>
      <c r="N116" s="7">
        <f>SUMIF(Dispatch!$B$5:$B$204,A116,Dispatch!$G$5:$G$204)</f>
        <v>0</v>
      </c>
      <c r="O116" s="7">
        <f t="shared" si="2"/>
        <v>0</v>
      </c>
      <c r="P116" s="7"/>
    </row>
    <row r="117" ht="15.75" customHeight="1">
      <c r="B117" s="15"/>
      <c r="E117" s="7"/>
      <c r="F117" s="7"/>
      <c r="H117" s="15"/>
      <c r="I117" s="7"/>
      <c r="J117" s="7"/>
      <c r="K117" s="7">
        <f>SUMIF('Daily Production'!$B$5:$B$504,A117,'Daily Production'!$H$5:$H$504)</f>
        <v>0</v>
      </c>
      <c r="L117" s="7">
        <f>SUMIF('Daily Production'!$B$5:$B$504,A117,'Daily Production'!$I$5:$I$504)</f>
        <v>0</v>
      </c>
      <c r="M117" s="7">
        <f t="shared" si="1"/>
        <v>0</v>
      </c>
      <c r="N117" s="7">
        <f>SUMIF(Dispatch!$B$5:$B$204,A117,Dispatch!$G$5:$G$204)</f>
        <v>0</v>
      </c>
      <c r="O117" s="7">
        <f t="shared" si="2"/>
        <v>0</v>
      </c>
      <c r="P117" s="7"/>
    </row>
    <row r="118" ht="15.75" customHeight="1">
      <c r="B118" s="15"/>
      <c r="E118" s="7"/>
      <c r="F118" s="7"/>
      <c r="H118" s="15"/>
      <c r="I118" s="7"/>
      <c r="J118" s="7"/>
      <c r="K118" s="7">
        <f>SUMIF('Daily Production'!$B$5:$B$504,A118,'Daily Production'!$H$5:$H$504)</f>
        <v>0</v>
      </c>
      <c r="L118" s="7">
        <f>SUMIF('Daily Production'!$B$5:$B$504,A118,'Daily Production'!$I$5:$I$504)</f>
        <v>0</v>
      </c>
      <c r="M118" s="7">
        <f t="shared" si="1"/>
        <v>0</v>
      </c>
      <c r="N118" s="7">
        <f>SUMIF(Dispatch!$B$5:$B$204,A118,Dispatch!$G$5:$G$204)</f>
        <v>0</v>
      </c>
      <c r="O118" s="7">
        <f t="shared" si="2"/>
        <v>0</v>
      </c>
      <c r="P118" s="7"/>
    </row>
    <row r="119" ht="15.75" customHeight="1">
      <c r="B119" s="15"/>
      <c r="E119" s="7"/>
      <c r="F119" s="7"/>
      <c r="H119" s="15"/>
      <c r="I119" s="7"/>
      <c r="J119" s="7"/>
      <c r="K119" s="7">
        <f>SUMIF('Daily Production'!$B$5:$B$504,A119,'Daily Production'!$H$5:$H$504)</f>
        <v>0</v>
      </c>
      <c r="L119" s="7">
        <f>SUMIF('Daily Production'!$B$5:$B$504,A119,'Daily Production'!$I$5:$I$504)</f>
        <v>0</v>
      </c>
      <c r="M119" s="7">
        <f t="shared" si="1"/>
        <v>0</v>
      </c>
      <c r="N119" s="7">
        <f>SUMIF(Dispatch!$B$5:$B$204,A119,Dispatch!$G$5:$G$204)</f>
        <v>0</v>
      </c>
      <c r="O119" s="7">
        <f t="shared" si="2"/>
        <v>0</v>
      </c>
      <c r="P119" s="7"/>
    </row>
    <row r="120" ht="15.75" customHeight="1">
      <c r="B120" s="15"/>
      <c r="E120" s="7"/>
      <c r="F120" s="7"/>
      <c r="H120" s="15"/>
      <c r="I120" s="7"/>
      <c r="J120" s="7"/>
      <c r="K120" s="7">
        <f>SUMIF('Daily Production'!$B$5:$B$504,A120,'Daily Production'!$H$5:$H$504)</f>
        <v>0</v>
      </c>
      <c r="L120" s="7">
        <f>SUMIF('Daily Production'!$B$5:$B$504,A120,'Daily Production'!$I$5:$I$504)</f>
        <v>0</v>
      </c>
      <c r="M120" s="7">
        <f t="shared" si="1"/>
        <v>0</v>
      </c>
      <c r="N120" s="7">
        <f>SUMIF(Dispatch!$B$5:$B$204,A120,Dispatch!$G$5:$G$204)</f>
        <v>0</v>
      </c>
      <c r="O120" s="7">
        <f t="shared" si="2"/>
        <v>0</v>
      </c>
      <c r="P120" s="7"/>
    </row>
    <row r="121" ht="15.75" customHeight="1">
      <c r="B121" s="15"/>
      <c r="E121" s="7"/>
      <c r="F121" s="7"/>
      <c r="H121" s="15"/>
      <c r="I121" s="7"/>
      <c r="J121" s="7"/>
      <c r="K121" s="7">
        <f>SUMIF('Daily Production'!$B$5:$B$504,A121,'Daily Production'!$H$5:$H$504)</f>
        <v>0</v>
      </c>
      <c r="L121" s="7">
        <f>SUMIF('Daily Production'!$B$5:$B$504,A121,'Daily Production'!$I$5:$I$504)</f>
        <v>0</v>
      </c>
      <c r="M121" s="7">
        <f t="shared" si="1"/>
        <v>0</v>
      </c>
      <c r="N121" s="7">
        <f>SUMIF(Dispatch!$B$5:$B$204,A121,Dispatch!$G$5:$G$204)</f>
        <v>0</v>
      </c>
      <c r="O121" s="7">
        <f t="shared" si="2"/>
        <v>0</v>
      </c>
      <c r="P121" s="7"/>
    </row>
    <row r="122" ht="15.75" customHeight="1">
      <c r="B122" s="15"/>
      <c r="E122" s="7"/>
      <c r="F122" s="7"/>
      <c r="H122" s="15"/>
      <c r="I122" s="7"/>
      <c r="J122" s="7"/>
      <c r="K122" s="7">
        <f>SUMIF('Daily Production'!$B$5:$B$504,A122,'Daily Production'!$H$5:$H$504)</f>
        <v>0</v>
      </c>
      <c r="L122" s="7">
        <f>SUMIF('Daily Production'!$B$5:$B$504,A122,'Daily Production'!$I$5:$I$504)</f>
        <v>0</v>
      </c>
      <c r="M122" s="7">
        <f t="shared" si="1"/>
        <v>0</v>
      </c>
      <c r="N122" s="7">
        <f>SUMIF(Dispatch!$B$5:$B$204,A122,Dispatch!$G$5:$G$204)</f>
        <v>0</v>
      </c>
      <c r="O122" s="7">
        <f t="shared" si="2"/>
        <v>0</v>
      </c>
      <c r="P122" s="7"/>
    </row>
    <row r="123" ht="15.75" customHeight="1">
      <c r="B123" s="15"/>
      <c r="E123" s="7"/>
      <c r="F123" s="7"/>
      <c r="H123" s="15"/>
      <c r="I123" s="7"/>
      <c r="J123" s="7"/>
      <c r="K123" s="7">
        <f>SUMIF('Daily Production'!$B$5:$B$504,A123,'Daily Production'!$H$5:$H$504)</f>
        <v>0</v>
      </c>
      <c r="L123" s="7">
        <f>SUMIF('Daily Production'!$B$5:$B$504,A123,'Daily Production'!$I$5:$I$504)</f>
        <v>0</v>
      </c>
      <c r="M123" s="7">
        <f t="shared" si="1"/>
        <v>0</v>
      </c>
      <c r="N123" s="7">
        <f>SUMIF(Dispatch!$B$5:$B$204,A123,Dispatch!$G$5:$G$204)</f>
        <v>0</v>
      </c>
      <c r="O123" s="7">
        <f t="shared" si="2"/>
        <v>0</v>
      </c>
      <c r="P123" s="7"/>
    </row>
    <row r="124" ht="15.75" customHeight="1">
      <c r="B124" s="15"/>
      <c r="E124" s="7"/>
      <c r="F124" s="7"/>
      <c r="H124" s="15"/>
      <c r="I124" s="7"/>
      <c r="J124" s="7"/>
      <c r="K124" s="7">
        <f>SUMIF('Daily Production'!$B$5:$B$504,A124,'Daily Production'!$H$5:$H$504)</f>
        <v>0</v>
      </c>
      <c r="L124" s="7">
        <f>SUMIF('Daily Production'!$B$5:$B$504,A124,'Daily Production'!$I$5:$I$504)</f>
        <v>0</v>
      </c>
      <c r="M124" s="7">
        <f t="shared" si="1"/>
        <v>0</v>
      </c>
      <c r="N124" s="7">
        <f>SUMIF(Dispatch!$B$5:$B$204,A124,Dispatch!$G$5:$G$204)</f>
        <v>0</v>
      </c>
      <c r="O124" s="7">
        <f t="shared" si="2"/>
        <v>0</v>
      </c>
      <c r="P124" s="7"/>
    </row>
    <row r="125" ht="15.75" customHeight="1">
      <c r="B125" s="15"/>
      <c r="E125" s="7"/>
      <c r="F125" s="7"/>
      <c r="H125" s="15"/>
      <c r="I125" s="7"/>
      <c r="J125" s="7"/>
      <c r="K125" s="7">
        <f>SUMIF('Daily Production'!$B$5:$B$504,A125,'Daily Production'!$H$5:$H$504)</f>
        <v>0</v>
      </c>
      <c r="L125" s="7">
        <f>SUMIF('Daily Production'!$B$5:$B$504,A125,'Daily Production'!$I$5:$I$504)</f>
        <v>0</v>
      </c>
      <c r="M125" s="7">
        <f t="shared" si="1"/>
        <v>0</v>
      </c>
      <c r="N125" s="7">
        <f>SUMIF(Dispatch!$B$5:$B$204,A125,Dispatch!$G$5:$G$204)</f>
        <v>0</v>
      </c>
      <c r="O125" s="7">
        <f t="shared" si="2"/>
        <v>0</v>
      </c>
      <c r="P125" s="7"/>
    </row>
    <row r="126" ht="15.75" customHeight="1">
      <c r="B126" s="15"/>
      <c r="E126" s="7"/>
      <c r="F126" s="7"/>
      <c r="H126" s="15"/>
      <c r="I126" s="7"/>
      <c r="J126" s="7"/>
      <c r="K126" s="7">
        <f>SUMIF('Daily Production'!$B$5:$B$504,A126,'Daily Production'!$H$5:$H$504)</f>
        <v>0</v>
      </c>
      <c r="L126" s="7">
        <f>SUMIF('Daily Production'!$B$5:$B$504,A126,'Daily Production'!$I$5:$I$504)</f>
        <v>0</v>
      </c>
      <c r="M126" s="7">
        <f t="shared" si="1"/>
        <v>0</v>
      </c>
      <c r="N126" s="7">
        <f>SUMIF(Dispatch!$B$5:$B$204,A126,Dispatch!$G$5:$G$204)</f>
        <v>0</v>
      </c>
      <c r="O126" s="7">
        <f t="shared" si="2"/>
        <v>0</v>
      </c>
      <c r="P126" s="7"/>
    </row>
    <row r="127" ht="15.75" customHeight="1">
      <c r="B127" s="15"/>
      <c r="E127" s="7"/>
      <c r="F127" s="7"/>
      <c r="H127" s="15"/>
      <c r="I127" s="7"/>
      <c r="J127" s="7"/>
      <c r="K127" s="7">
        <f>SUMIF('Daily Production'!$B$5:$B$504,A127,'Daily Production'!$H$5:$H$504)</f>
        <v>0</v>
      </c>
      <c r="L127" s="7">
        <f>SUMIF('Daily Production'!$B$5:$B$504,A127,'Daily Production'!$I$5:$I$504)</f>
        <v>0</v>
      </c>
      <c r="M127" s="7">
        <f t="shared" si="1"/>
        <v>0</v>
      </c>
      <c r="N127" s="7">
        <f>SUMIF(Dispatch!$B$5:$B$204,A127,Dispatch!$G$5:$G$204)</f>
        <v>0</v>
      </c>
      <c r="O127" s="7">
        <f t="shared" si="2"/>
        <v>0</v>
      </c>
      <c r="P127" s="7"/>
    </row>
    <row r="128" ht="15.75" customHeight="1">
      <c r="B128" s="15"/>
      <c r="E128" s="7"/>
      <c r="F128" s="7"/>
      <c r="H128" s="15"/>
      <c r="I128" s="7"/>
      <c r="J128" s="7"/>
      <c r="K128" s="7">
        <f>SUMIF('Daily Production'!$B$5:$B$504,A128,'Daily Production'!$H$5:$H$504)</f>
        <v>0</v>
      </c>
      <c r="L128" s="7">
        <f>SUMIF('Daily Production'!$B$5:$B$504,A128,'Daily Production'!$I$5:$I$504)</f>
        <v>0</v>
      </c>
      <c r="M128" s="7">
        <f t="shared" si="1"/>
        <v>0</v>
      </c>
      <c r="N128" s="7">
        <f>SUMIF(Dispatch!$B$5:$B$204,A128,Dispatch!$G$5:$G$204)</f>
        <v>0</v>
      </c>
      <c r="O128" s="7">
        <f t="shared" si="2"/>
        <v>0</v>
      </c>
      <c r="P128" s="7"/>
    </row>
    <row r="129" ht="15.75" customHeight="1">
      <c r="B129" s="15"/>
      <c r="E129" s="7"/>
      <c r="F129" s="7"/>
      <c r="H129" s="15"/>
      <c r="I129" s="7"/>
      <c r="J129" s="7"/>
      <c r="K129" s="7">
        <f>SUMIF('Daily Production'!$B$5:$B$504,A129,'Daily Production'!$H$5:$H$504)</f>
        <v>0</v>
      </c>
      <c r="L129" s="7">
        <f>SUMIF('Daily Production'!$B$5:$B$504,A129,'Daily Production'!$I$5:$I$504)</f>
        <v>0</v>
      </c>
      <c r="M129" s="7">
        <f t="shared" si="1"/>
        <v>0</v>
      </c>
      <c r="N129" s="7">
        <f>SUMIF(Dispatch!$B$5:$B$204,A129,Dispatch!$G$5:$G$204)</f>
        <v>0</v>
      </c>
      <c r="O129" s="7">
        <f t="shared" si="2"/>
        <v>0</v>
      </c>
      <c r="P129" s="7"/>
    </row>
    <row r="130" ht="15.75" customHeight="1">
      <c r="B130" s="15"/>
      <c r="E130" s="7"/>
      <c r="F130" s="7"/>
      <c r="H130" s="15"/>
      <c r="I130" s="7"/>
      <c r="J130" s="7"/>
      <c r="K130" s="7">
        <f>SUMIF('Daily Production'!$B$5:$B$504,A130,'Daily Production'!$H$5:$H$504)</f>
        <v>0</v>
      </c>
      <c r="L130" s="7">
        <f>SUMIF('Daily Production'!$B$5:$B$504,A130,'Daily Production'!$I$5:$I$504)</f>
        <v>0</v>
      </c>
      <c r="M130" s="7">
        <f t="shared" si="1"/>
        <v>0</v>
      </c>
      <c r="N130" s="7">
        <f>SUMIF(Dispatch!$B$5:$B$204,A130,Dispatch!$G$5:$G$204)</f>
        <v>0</v>
      </c>
      <c r="O130" s="7">
        <f t="shared" si="2"/>
        <v>0</v>
      </c>
      <c r="P130" s="7"/>
    </row>
    <row r="131" ht="15.75" customHeight="1">
      <c r="B131" s="15"/>
      <c r="E131" s="7"/>
      <c r="F131" s="7"/>
      <c r="H131" s="15"/>
      <c r="I131" s="7"/>
      <c r="J131" s="7"/>
      <c r="K131" s="7">
        <f>SUMIF('Daily Production'!$B$5:$B$504,A131,'Daily Production'!$H$5:$H$504)</f>
        <v>0</v>
      </c>
      <c r="L131" s="7">
        <f>SUMIF('Daily Production'!$B$5:$B$504,A131,'Daily Production'!$I$5:$I$504)</f>
        <v>0</v>
      </c>
      <c r="M131" s="7">
        <f t="shared" si="1"/>
        <v>0</v>
      </c>
      <c r="N131" s="7">
        <f>SUMIF(Dispatch!$B$5:$B$204,A131,Dispatch!$G$5:$G$204)</f>
        <v>0</v>
      </c>
      <c r="O131" s="7">
        <f t="shared" si="2"/>
        <v>0</v>
      </c>
      <c r="P131" s="7"/>
    </row>
    <row r="132" ht="15.75" customHeight="1">
      <c r="B132" s="15"/>
      <c r="E132" s="7"/>
      <c r="F132" s="7"/>
      <c r="H132" s="15"/>
      <c r="I132" s="7"/>
      <c r="J132" s="7"/>
      <c r="K132" s="7">
        <f>SUMIF('Daily Production'!$B$5:$B$504,A132,'Daily Production'!$H$5:$H$504)</f>
        <v>0</v>
      </c>
      <c r="L132" s="7">
        <f>SUMIF('Daily Production'!$B$5:$B$504,A132,'Daily Production'!$I$5:$I$504)</f>
        <v>0</v>
      </c>
      <c r="M132" s="7">
        <f t="shared" si="1"/>
        <v>0</v>
      </c>
      <c r="N132" s="7">
        <f>SUMIF(Dispatch!$B$5:$B$204,A132,Dispatch!$G$5:$G$204)</f>
        <v>0</v>
      </c>
      <c r="O132" s="7">
        <f t="shared" si="2"/>
        <v>0</v>
      </c>
      <c r="P132" s="7"/>
    </row>
    <row r="133" ht="15.75" customHeight="1">
      <c r="B133" s="15"/>
      <c r="E133" s="7"/>
      <c r="F133" s="7"/>
      <c r="H133" s="15"/>
      <c r="I133" s="7"/>
      <c r="J133" s="7"/>
      <c r="K133" s="7">
        <f>SUMIF('Daily Production'!$B$5:$B$504,A133,'Daily Production'!$H$5:$H$504)</f>
        <v>0</v>
      </c>
      <c r="L133" s="7">
        <f>SUMIF('Daily Production'!$B$5:$B$504,A133,'Daily Production'!$I$5:$I$504)</f>
        <v>0</v>
      </c>
      <c r="M133" s="7">
        <f t="shared" si="1"/>
        <v>0</v>
      </c>
      <c r="N133" s="7">
        <f>SUMIF(Dispatch!$B$5:$B$204,A133,Dispatch!$G$5:$G$204)</f>
        <v>0</v>
      </c>
      <c r="O133" s="7">
        <f t="shared" si="2"/>
        <v>0</v>
      </c>
      <c r="P133" s="7"/>
    </row>
    <row r="134" ht="15.75" customHeight="1">
      <c r="B134" s="15"/>
      <c r="E134" s="7"/>
      <c r="F134" s="7"/>
      <c r="H134" s="15"/>
      <c r="I134" s="7"/>
      <c r="J134" s="7"/>
      <c r="K134" s="7">
        <f>SUMIF('Daily Production'!$B$5:$B$504,A134,'Daily Production'!$H$5:$H$504)</f>
        <v>0</v>
      </c>
      <c r="L134" s="7">
        <f>SUMIF('Daily Production'!$B$5:$B$504,A134,'Daily Production'!$I$5:$I$504)</f>
        <v>0</v>
      </c>
      <c r="M134" s="7">
        <f t="shared" si="1"/>
        <v>0</v>
      </c>
      <c r="N134" s="7">
        <f>SUMIF(Dispatch!$B$5:$B$204,A134,Dispatch!$G$5:$G$204)</f>
        <v>0</v>
      </c>
      <c r="O134" s="7">
        <f t="shared" si="2"/>
        <v>0</v>
      </c>
      <c r="P134" s="7"/>
    </row>
    <row r="135" ht="15.75" customHeight="1">
      <c r="B135" s="15"/>
      <c r="E135" s="7"/>
      <c r="F135" s="7"/>
      <c r="H135" s="15"/>
      <c r="I135" s="7"/>
      <c r="J135" s="7"/>
      <c r="K135" s="7">
        <f>SUMIF('Daily Production'!$B$5:$B$504,A135,'Daily Production'!$H$5:$H$504)</f>
        <v>0</v>
      </c>
      <c r="L135" s="7">
        <f>SUMIF('Daily Production'!$B$5:$B$504,A135,'Daily Production'!$I$5:$I$504)</f>
        <v>0</v>
      </c>
      <c r="M135" s="7">
        <f t="shared" si="1"/>
        <v>0</v>
      </c>
      <c r="N135" s="7">
        <f>SUMIF(Dispatch!$B$5:$B$204,A135,Dispatch!$G$5:$G$204)</f>
        <v>0</v>
      </c>
      <c r="O135" s="7">
        <f t="shared" si="2"/>
        <v>0</v>
      </c>
      <c r="P135" s="7"/>
    </row>
    <row r="136" ht="15.75" customHeight="1">
      <c r="B136" s="15"/>
      <c r="E136" s="7"/>
      <c r="F136" s="7"/>
      <c r="H136" s="15"/>
      <c r="I136" s="7"/>
      <c r="J136" s="7"/>
      <c r="K136" s="7">
        <f>SUMIF('Daily Production'!$B$5:$B$504,A136,'Daily Production'!$H$5:$H$504)</f>
        <v>0</v>
      </c>
      <c r="L136" s="7">
        <f>SUMIF('Daily Production'!$B$5:$B$504,A136,'Daily Production'!$I$5:$I$504)</f>
        <v>0</v>
      </c>
      <c r="M136" s="7">
        <f t="shared" si="1"/>
        <v>0</v>
      </c>
      <c r="N136" s="7">
        <f>SUMIF(Dispatch!$B$5:$B$204,A136,Dispatch!$G$5:$G$204)</f>
        <v>0</v>
      </c>
      <c r="O136" s="7">
        <f t="shared" si="2"/>
        <v>0</v>
      </c>
      <c r="P136" s="7"/>
    </row>
    <row r="137" ht="15.75" customHeight="1">
      <c r="B137" s="15"/>
      <c r="E137" s="7"/>
      <c r="F137" s="7"/>
      <c r="H137" s="15"/>
      <c r="I137" s="7"/>
      <c r="J137" s="7"/>
      <c r="K137" s="7">
        <f>SUMIF('Daily Production'!$B$5:$B$504,A137,'Daily Production'!$H$5:$H$504)</f>
        <v>0</v>
      </c>
      <c r="L137" s="7">
        <f>SUMIF('Daily Production'!$B$5:$B$504,A137,'Daily Production'!$I$5:$I$504)</f>
        <v>0</v>
      </c>
      <c r="M137" s="7">
        <f t="shared" si="1"/>
        <v>0</v>
      </c>
      <c r="N137" s="7">
        <f>SUMIF(Dispatch!$B$5:$B$204,A137,Dispatch!$G$5:$G$204)</f>
        <v>0</v>
      </c>
      <c r="O137" s="7">
        <f t="shared" si="2"/>
        <v>0</v>
      </c>
      <c r="P137" s="7"/>
    </row>
    <row r="138" ht="15.75" customHeight="1">
      <c r="B138" s="15"/>
      <c r="E138" s="7"/>
      <c r="F138" s="7"/>
      <c r="H138" s="15"/>
      <c r="I138" s="7"/>
      <c r="J138" s="7"/>
      <c r="K138" s="7">
        <f>SUMIF('Daily Production'!$B$5:$B$504,A138,'Daily Production'!$H$5:$H$504)</f>
        <v>0</v>
      </c>
      <c r="L138" s="7">
        <f>SUMIF('Daily Production'!$B$5:$B$504,A138,'Daily Production'!$I$5:$I$504)</f>
        <v>0</v>
      </c>
      <c r="M138" s="7">
        <f t="shared" si="1"/>
        <v>0</v>
      </c>
      <c r="N138" s="7">
        <f>SUMIF(Dispatch!$B$5:$B$204,A138,Dispatch!$G$5:$G$204)</f>
        <v>0</v>
      </c>
      <c r="O138" s="7">
        <f t="shared" si="2"/>
        <v>0</v>
      </c>
      <c r="P138" s="7"/>
    </row>
    <row r="139" ht="15.75" customHeight="1">
      <c r="B139" s="15"/>
      <c r="E139" s="7"/>
      <c r="F139" s="7"/>
      <c r="H139" s="15"/>
      <c r="I139" s="7"/>
      <c r="J139" s="7"/>
      <c r="K139" s="7">
        <f>SUMIF('Daily Production'!$B$5:$B$504,A139,'Daily Production'!$H$5:$H$504)</f>
        <v>0</v>
      </c>
      <c r="L139" s="7">
        <f>SUMIF('Daily Production'!$B$5:$B$504,A139,'Daily Production'!$I$5:$I$504)</f>
        <v>0</v>
      </c>
      <c r="M139" s="7">
        <f t="shared" si="1"/>
        <v>0</v>
      </c>
      <c r="N139" s="7">
        <f>SUMIF(Dispatch!$B$5:$B$204,A139,Dispatch!$G$5:$G$204)</f>
        <v>0</v>
      </c>
      <c r="O139" s="7">
        <f t="shared" si="2"/>
        <v>0</v>
      </c>
      <c r="P139" s="7"/>
    </row>
    <row r="140" ht="15.75" customHeight="1">
      <c r="B140" s="15"/>
      <c r="E140" s="7"/>
      <c r="F140" s="7"/>
      <c r="H140" s="15"/>
      <c r="I140" s="7"/>
      <c r="J140" s="7"/>
      <c r="K140" s="7">
        <f>SUMIF('Daily Production'!$B$5:$B$504,A140,'Daily Production'!$H$5:$H$504)</f>
        <v>0</v>
      </c>
      <c r="L140" s="7">
        <f>SUMIF('Daily Production'!$B$5:$B$504,A140,'Daily Production'!$I$5:$I$504)</f>
        <v>0</v>
      </c>
      <c r="M140" s="7">
        <f t="shared" si="1"/>
        <v>0</v>
      </c>
      <c r="N140" s="7">
        <f>SUMIF(Dispatch!$B$5:$B$204,A140,Dispatch!$G$5:$G$204)</f>
        <v>0</v>
      </c>
      <c r="O140" s="7">
        <f t="shared" si="2"/>
        <v>0</v>
      </c>
      <c r="P140" s="7"/>
    </row>
    <row r="141" ht="15.75" customHeight="1">
      <c r="B141" s="15"/>
      <c r="E141" s="7"/>
      <c r="F141" s="7"/>
      <c r="H141" s="15"/>
      <c r="I141" s="7"/>
      <c r="J141" s="7"/>
      <c r="K141" s="7">
        <f>SUMIF('Daily Production'!$B$5:$B$504,A141,'Daily Production'!$H$5:$H$504)</f>
        <v>0</v>
      </c>
      <c r="L141" s="7">
        <f>SUMIF('Daily Production'!$B$5:$B$504,A141,'Daily Production'!$I$5:$I$504)</f>
        <v>0</v>
      </c>
      <c r="M141" s="7">
        <f t="shared" si="1"/>
        <v>0</v>
      </c>
      <c r="N141" s="7">
        <f>SUMIF(Dispatch!$B$5:$B$204,A141,Dispatch!$G$5:$G$204)</f>
        <v>0</v>
      </c>
      <c r="O141" s="7">
        <f t="shared" si="2"/>
        <v>0</v>
      </c>
      <c r="P141" s="7"/>
    </row>
    <row r="142" ht="15.75" customHeight="1">
      <c r="B142" s="15"/>
      <c r="E142" s="7"/>
      <c r="F142" s="7"/>
      <c r="H142" s="15"/>
      <c r="I142" s="7"/>
      <c r="J142" s="7"/>
      <c r="K142" s="7">
        <f>SUMIF('Daily Production'!$B$5:$B$504,A142,'Daily Production'!$H$5:$H$504)</f>
        <v>0</v>
      </c>
      <c r="L142" s="7">
        <f>SUMIF('Daily Production'!$B$5:$B$504,A142,'Daily Production'!$I$5:$I$504)</f>
        <v>0</v>
      </c>
      <c r="M142" s="7">
        <f t="shared" si="1"/>
        <v>0</v>
      </c>
      <c r="N142" s="7">
        <f>SUMIF(Dispatch!$B$5:$B$204,A142,Dispatch!$G$5:$G$204)</f>
        <v>0</v>
      </c>
      <c r="O142" s="7">
        <f t="shared" si="2"/>
        <v>0</v>
      </c>
      <c r="P142" s="7"/>
    </row>
    <row r="143" ht="15.75" customHeight="1">
      <c r="B143" s="15"/>
      <c r="E143" s="7"/>
      <c r="F143" s="7"/>
      <c r="H143" s="15"/>
      <c r="I143" s="7"/>
      <c r="J143" s="7"/>
      <c r="K143" s="7">
        <f>SUMIF('Daily Production'!$B$5:$B$504,A143,'Daily Production'!$H$5:$H$504)</f>
        <v>0</v>
      </c>
      <c r="L143" s="7">
        <f>SUMIF('Daily Production'!$B$5:$B$504,A143,'Daily Production'!$I$5:$I$504)</f>
        <v>0</v>
      </c>
      <c r="M143" s="7">
        <f t="shared" si="1"/>
        <v>0</v>
      </c>
      <c r="N143" s="7">
        <f>SUMIF(Dispatch!$B$5:$B$204,A143,Dispatch!$G$5:$G$204)</f>
        <v>0</v>
      </c>
      <c r="O143" s="7">
        <f t="shared" si="2"/>
        <v>0</v>
      </c>
      <c r="P143" s="7"/>
    </row>
    <row r="144" ht="15.75" customHeight="1">
      <c r="B144" s="15"/>
      <c r="E144" s="7"/>
      <c r="F144" s="7"/>
      <c r="H144" s="15"/>
      <c r="I144" s="7"/>
      <c r="J144" s="7"/>
      <c r="K144" s="7">
        <f>SUMIF('Daily Production'!$B$5:$B$504,A144,'Daily Production'!$H$5:$H$504)</f>
        <v>0</v>
      </c>
      <c r="L144" s="7">
        <f>SUMIF('Daily Production'!$B$5:$B$504,A144,'Daily Production'!$I$5:$I$504)</f>
        <v>0</v>
      </c>
      <c r="M144" s="7">
        <f t="shared" si="1"/>
        <v>0</v>
      </c>
      <c r="N144" s="7">
        <f>SUMIF(Dispatch!$B$5:$B$204,A144,Dispatch!$G$5:$G$204)</f>
        <v>0</v>
      </c>
      <c r="O144" s="7">
        <f t="shared" si="2"/>
        <v>0</v>
      </c>
      <c r="P144" s="7"/>
    </row>
    <row r="145" ht="15.75" customHeight="1">
      <c r="B145" s="15"/>
      <c r="E145" s="7"/>
      <c r="F145" s="7"/>
      <c r="H145" s="15"/>
      <c r="I145" s="7"/>
      <c r="J145" s="7"/>
      <c r="K145" s="7">
        <f>SUMIF('Daily Production'!$B$5:$B$504,A145,'Daily Production'!$H$5:$H$504)</f>
        <v>0</v>
      </c>
      <c r="L145" s="7">
        <f>SUMIF('Daily Production'!$B$5:$B$504,A145,'Daily Production'!$I$5:$I$504)</f>
        <v>0</v>
      </c>
      <c r="M145" s="7">
        <f t="shared" si="1"/>
        <v>0</v>
      </c>
      <c r="N145" s="7">
        <f>SUMIF(Dispatch!$B$5:$B$204,A145,Dispatch!$G$5:$G$204)</f>
        <v>0</v>
      </c>
      <c r="O145" s="7">
        <f t="shared" si="2"/>
        <v>0</v>
      </c>
      <c r="P145" s="7"/>
    </row>
    <row r="146" ht="15.75" customHeight="1">
      <c r="B146" s="15"/>
      <c r="E146" s="7"/>
      <c r="F146" s="7"/>
      <c r="H146" s="15"/>
      <c r="I146" s="7"/>
      <c r="J146" s="7"/>
      <c r="K146" s="7">
        <f>SUMIF('Daily Production'!$B$5:$B$504,A146,'Daily Production'!$H$5:$H$504)</f>
        <v>0</v>
      </c>
      <c r="L146" s="7">
        <f>SUMIF('Daily Production'!$B$5:$B$504,A146,'Daily Production'!$I$5:$I$504)</f>
        <v>0</v>
      </c>
      <c r="M146" s="7">
        <f t="shared" si="1"/>
        <v>0</v>
      </c>
      <c r="N146" s="7">
        <f>SUMIF(Dispatch!$B$5:$B$204,A146,Dispatch!$G$5:$G$204)</f>
        <v>0</v>
      </c>
      <c r="O146" s="7">
        <f t="shared" si="2"/>
        <v>0</v>
      </c>
      <c r="P146" s="7"/>
    </row>
    <row r="147" ht="15.75" customHeight="1">
      <c r="B147" s="15"/>
      <c r="E147" s="7"/>
      <c r="F147" s="7"/>
      <c r="H147" s="15"/>
      <c r="I147" s="7"/>
      <c r="J147" s="7"/>
      <c r="K147" s="7">
        <f>SUMIF('Daily Production'!$B$5:$B$504,A147,'Daily Production'!$H$5:$H$504)</f>
        <v>0</v>
      </c>
      <c r="L147" s="7">
        <f>SUMIF('Daily Production'!$B$5:$B$504,A147,'Daily Production'!$I$5:$I$504)</f>
        <v>0</v>
      </c>
      <c r="M147" s="7">
        <f t="shared" si="1"/>
        <v>0</v>
      </c>
      <c r="N147" s="7">
        <f>SUMIF(Dispatch!$B$5:$B$204,A147,Dispatch!$G$5:$G$204)</f>
        <v>0</v>
      </c>
      <c r="O147" s="7">
        <f t="shared" si="2"/>
        <v>0</v>
      </c>
      <c r="P147" s="7"/>
    </row>
    <row r="148" ht="15.75" customHeight="1">
      <c r="B148" s="15"/>
      <c r="E148" s="7"/>
      <c r="F148" s="7"/>
      <c r="H148" s="15"/>
      <c r="I148" s="7"/>
      <c r="J148" s="7"/>
      <c r="K148" s="7">
        <f>SUMIF('Daily Production'!$B$5:$B$504,A148,'Daily Production'!$H$5:$H$504)</f>
        <v>0</v>
      </c>
      <c r="L148" s="7">
        <f>SUMIF('Daily Production'!$B$5:$B$504,A148,'Daily Production'!$I$5:$I$504)</f>
        <v>0</v>
      </c>
      <c r="M148" s="7">
        <f t="shared" si="1"/>
        <v>0</v>
      </c>
      <c r="N148" s="7">
        <f>SUMIF(Dispatch!$B$5:$B$204,A148,Dispatch!$G$5:$G$204)</f>
        <v>0</v>
      </c>
      <c r="O148" s="7">
        <f t="shared" si="2"/>
        <v>0</v>
      </c>
      <c r="P148" s="7"/>
    </row>
    <row r="149" ht="15.75" customHeight="1">
      <c r="B149" s="15"/>
      <c r="E149" s="7"/>
      <c r="F149" s="7"/>
      <c r="H149" s="15"/>
      <c r="I149" s="7"/>
      <c r="J149" s="7"/>
      <c r="K149" s="7">
        <f>SUMIF('Daily Production'!$B$5:$B$504,A149,'Daily Production'!$H$5:$H$504)</f>
        <v>0</v>
      </c>
      <c r="L149" s="7">
        <f>SUMIF('Daily Production'!$B$5:$B$504,A149,'Daily Production'!$I$5:$I$504)</f>
        <v>0</v>
      </c>
      <c r="M149" s="7">
        <f t="shared" si="1"/>
        <v>0</v>
      </c>
      <c r="N149" s="7">
        <f>SUMIF(Dispatch!$B$5:$B$204,A149,Dispatch!$G$5:$G$204)</f>
        <v>0</v>
      </c>
      <c r="O149" s="7">
        <f t="shared" si="2"/>
        <v>0</v>
      </c>
      <c r="P149" s="7"/>
    </row>
    <row r="150" ht="15.75" customHeight="1">
      <c r="B150" s="15"/>
      <c r="E150" s="7"/>
      <c r="F150" s="7"/>
      <c r="H150" s="15"/>
      <c r="I150" s="7"/>
      <c r="J150" s="7"/>
      <c r="K150" s="7">
        <f>SUMIF('Daily Production'!$B$5:$B$504,A150,'Daily Production'!$H$5:$H$504)</f>
        <v>0</v>
      </c>
      <c r="L150" s="7">
        <f>SUMIF('Daily Production'!$B$5:$B$504,A150,'Daily Production'!$I$5:$I$504)</f>
        <v>0</v>
      </c>
      <c r="M150" s="7">
        <f t="shared" si="1"/>
        <v>0</v>
      </c>
      <c r="N150" s="7">
        <f>SUMIF(Dispatch!$B$5:$B$204,A150,Dispatch!$G$5:$G$204)</f>
        <v>0</v>
      </c>
      <c r="O150" s="7">
        <f t="shared" si="2"/>
        <v>0</v>
      </c>
      <c r="P150" s="7"/>
    </row>
    <row r="151" ht="15.75" customHeight="1">
      <c r="B151" s="15"/>
      <c r="E151" s="7"/>
      <c r="F151" s="7"/>
      <c r="H151" s="15"/>
      <c r="I151" s="7"/>
      <c r="J151" s="7"/>
      <c r="K151" s="7">
        <f>SUMIF('Daily Production'!$B$5:$B$504,A151,'Daily Production'!$H$5:$H$504)</f>
        <v>0</v>
      </c>
      <c r="L151" s="7">
        <f>SUMIF('Daily Production'!$B$5:$B$504,A151,'Daily Production'!$I$5:$I$504)</f>
        <v>0</v>
      </c>
      <c r="M151" s="7">
        <f t="shared" si="1"/>
        <v>0</v>
      </c>
      <c r="N151" s="7">
        <f>SUMIF(Dispatch!$B$5:$B$204,A151,Dispatch!$G$5:$G$204)</f>
        <v>0</v>
      </c>
      <c r="O151" s="7">
        <f t="shared" si="2"/>
        <v>0</v>
      </c>
      <c r="P151" s="7"/>
    </row>
    <row r="152" ht="15.75" customHeight="1">
      <c r="B152" s="15"/>
      <c r="E152" s="7"/>
      <c r="F152" s="7"/>
      <c r="H152" s="15"/>
      <c r="I152" s="7"/>
      <c r="J152" s="7"/>
      <c r="K152" s="7">
        <f>SUMIF('Daily Production'!$B$5:$B$504,A152,'Daily Production'!$H$5:$H$504)</f>
        <v>0</v>
      </c>
      <c r="L152" s="7">
        <f>SUMIF('Daily Production'!$B$5:$B$504,A152,'Daily Production'!$I$5:$I$504)</f>
        <v>0</v>
      </c>
      <c r="M152" s="7">
        <f t="shared" si="1"/>
        <v>0</v>
      </c>
      <c r="N152" s="7">
        <f>SUMIF(Dispatch!$B$5:$B$204,A152,Dispatch!$G$5:$G$204)</f>
        <v>0</v>
      </c>
      <c r="O152" s="7">
        <f t="shared" si="2"/>
        <v>0</v>
      </c>
      <c r="P152" s="7"/>
    </row>
    <row r="153" ht="15.75" customHeight="1">
      <c r="B153" s="15"/>
      <c r="E153" s="7"/>
      <c r="F153" s="7"/>
      <c r="H153" s="15"/>
      <c r="I153" s="7"/>
      <c r="J153" s="7"/>
      <c r="K153" s="7">
        <f>SUMIF('Daily Production'!$B$5:$B$504,A153,'Daily Production'!$H$5:$H$504)</f>
        <v>0</v>
      </c>
      <c r="L153" s="7">
        <f>SUMIF('Daily Production'!$B$5:$B$504,A153,'Daily Production'!$I$5:$I$504)</f>
        <v>0</v>
      </c>
      <c r="M153" s="7">
        <f t="shared" si="1"/>
        <v>0</v>
      </c>
      <c r="N153" s="7">
        <f>SUMIF(Dispatch!$B$5:$B$204,A153,Dispatch!$G$5:$G$204)</f>
        <v>0</v>
      </c>
      <c r="O153" s="7">
        <f t="shared" si="2"/>
        <v>0</v>
      </c>
      <c r="P153" s="7"/>
    </row>
    <row r="154" ht="15.75" customHeight="1">
      <c r="B154" s="15"/>
      <c r="E154" s="7"/>
      <c r="F154" s="7"/>
      <c r="H154" s="15"/>
      <c r="I154" s="7"/>
      <c r="J154" s="7"/>
      <c r="K154" s="7">
        <f>SUMIF('Daily Production'!$B$5:$B$504,A154,'Daily Production'!$H$5:$H$504)</f>
        <v>0</v>
      </c>
      <c r="L154" s="7">
        <f>SUMIF('Daily Production'!$B$5:$B$504,A154,'Daily Production'!$I$5:$I$504)</f>
        <v>0</v>
      </c>
      <c r="M154" s="7">
        <f t="shared" si="1"/>
        <v>0</v>
      </c>
      <c r="N154" s="7">
        <f>SUMIF(Dispatch!$B$5:$B$204,A154,Dispatch!$G$5:$G$204)</f>
        <v>0</v>
      </c>
      <c r="O154" s="7">
        <f t="shared" si="2"/>
        <v>0</v>
      </c>
      <c r="P154" s="7"/>
    </row>
    <row r="155" ht="15.75" customHeight="1">
      <c r="B155" s="15"/>
      <c r="E155" s="7"/>
      <c r="F155" s="7"/>
      <c r="H155" s="15"/>
      <c r="I155" s="7"/>
      <c r="J155" s="7"/>
      <c r="K155" s="7">
        <f>SUMIF('Daily Production'!$B$5:$B$504,A155,'Daily Production'!$H$5:$H$504)</f>
        <v>0</v>
      </c>
      <c r="L155" s="7">
        <f>SUMIF('Daily Production'!$B$5:$B$504,A155,'Daily Production'!$I$5:$I$504)</f>
        <v>0</v>
      </c>
      <c r="M155" s="7">
        <f t="shared" si="1"/>
        <v>0</v>
      </c>
      <c r="N155" s="7">
        <f>SUMIF(Dispatch!$B$5:$B$204,A155,Dispatch!$G$5:$G$204)</f>
        <v>0</v>
      </c>
      <c r="O155" s="7">
        <f t="shared" si="2"/>
        <v>0</v>
      </c>
      <c r="P155" s="7"/>
    </row>
    <row r="156" ht="15.75" customHeight="1">
      <c r="B156" s="15"/>
      <c r="E156" s="7"/>
      <c r="F156" s="7"/>
      <c r="H156" s="15"/>
      <c r="I156" s="7"/>
      <c r="J156" s="7"/>
      <c r="K156" s="7">
        <f>SUMIF('Daily Production'!$B$5:$B$504,A156,'Daily Production'!$H$5:$H$504)</f>
        <v>0</v>
      </c>
      <c r="L156" s="7">
        <f>SUMIF('Daily Production'!$B$5:$B$504,A156,'Daily Production'!$I$5:$I$504)</f>
        <v>0</v>
      </c>
      <c r="M156" s="7">
        <f t="shared" si="1"/>
        <v>0</v>
      </c>
      <c r="N156" s="7">
        <f>SUMIF(Dispatch!$B$5:$B$204,A156,Dispatch!$G$5:$G$204)</f>
        <v>0</v>
      </c>
      <c r="O156" s="7">
        <f t="shared" si="2"/>
        <v>0</v>
      </c>
      <c r="P156" s="7"/>
    </row>
    <row r="157" ht="15.75" customHeight="1">
      <c r="B157" s="15"/>
      <c r="E157" s="7"/>
      <c r="F157" s="7"/>
      <c r="H157" s="15"/>
      <c r="I157" s="7"/>
      <c r="J157" s="7"/>
      <c r="K157" s="7">
        <f>SUMIF('Daily Production'!$B$5:$B$504,A157,'Daily Production'!$H$5:$H$504)</f>
        <v>0</v>
      </c>
      <c r="L157" s="7">
        <f>SUMIF('Daily Production'!$B$5:$B$504,A157,'Daily Production'!$I$5:$I$504)</f>
        <v>0</v>
      </c>
      <c r="M157" s="7">
        <f t="shared" si="1"/>
        <v>0</v>
      </c>
      <c r="N157" s="7">
        <f>SUMIF(Dispatch!$B$5:$B$204,A157,Dispatch!$G$5:$G$204)</f>
        <v>0</v>
      </c>
      <c r="O157" s="7">
        <f t="shared" si="2"/>
        <v>0</v>
      </c>
      <c r="P157" s="7"/>
    </row>
    <row r="158" ht="15.75" customHeight="1">
      <c r="B158" s="15"/>
      <c r="E158" s="7"/>
      <c r="F158" s="7"/>
      <c r="H158" s="15"/>
      <c r="I158" s="7"/>
      <c r="J158" s="7"/>
      <c r="K158" s="7">
        <f>SUMIF('Daily Production'!$B$5:$B$504,A158,'Daily Production'!$H$5:$H$504)</f>
        <v>0</v>
      </c>
      <c r="L158" s="7">
        <f>SUMIF('Daily Production'!$B$5:$B$504,A158,'Daily Production'!$I$5:$I$504)</f>
        <v>0</v>
      </c>
      <c r="M158" s="7">
        <f t="shared" si="1"/>
        <v>0</v>
      </c>
      <c r="N158" s="7">
        <f>SUMIF(Dispatch!$B$5:$B$204,A158,Dispatch!$G$5:$G$204)</f>
        <v>0</v>
      </c>
      <c r="O158" s="7">
        <f t="shared" si="2"/>
        <v>0</v>
      </c>
      <c r="P158" s="7"/>
    </row>
    <row r="159" ht="15.75" customHeight="1">
      <c r="B159" s="15"/>
      <c r="E159" s="7"/>
      <c r="F159" s="7"/>
      <c r="H159" s="15"/>
      <c r="I159" s="7"/>
      <c r="J159" s="7"/>
      <c r="K159" s="7">
        <f>SUMIF('Daily Production'!$B$5:$B$504,A159,'Daily Production'!$H$5:$H$504)</f>
        <v>0</v>
      </c>
      <c r="L159" s="7">
        <f>SUMIF('Daily Production'!$B$5:$B$504,A159,'Daily Production'!$I$5:$I$504)</f>
        <v>0</v>
      </c>
      <c r="M159" s="7">
        <f t="shared" si="1"/>
        <v>0</v>
      </c>
      <c r="N159" s="7">
        <f>SUMIF(Dispatch!$B$5:$B$204,A159,Dispatch!$G$5:$G$204)</f>
        <v>0</v>
      </c>
      <c r="O159" s="7">
        <f t="shared" si="2"/>
        <v>0</v>
      </c>
      <c r="P159" s="7"/>
    </row>
    <row r="160" ht="15.75" customHeight="1">
      <c r="B160" s="15"/>
      <c r="E160" s="7"/>
      <c r="F160" s="7"/>
      <c r="H160" s="15"/>
      <c r="I160" s="7"/>
      <c r="J160" s="7"/>
      <c r="K160" s="7">
        <f>SUMIF('Daily Production'!$B$5:$B$504,A160,'Daily Production'!$H$5:$H$504)</f>
        <v>0</v>
      </c>
      <c r="L160" s="7">
        <f>SUMIF('Daily Production'!$B$5:$B$504,A160,'Daily Production'!$I$5:$I$504)</f>
        <v>0</v>
      </c>
      <c r="M160" s="7">
        <f t="shared" si="1"/>
        <v>0</v>
      </c>
      <c r="N160" s="7">
        <f>SUMIF(Dispatch!$B$5:$B$204,A160,Dispatch!$G$5:$G$204)</f>
        <v>0</v>
      </c>
      <c r="O160" s="7">
        <f t="shared" si="2"/>
        <v>0</v>
      </c>
      <c r="P160" s="7"/>
    </row>
    <row r="161" ht="15.75" customHeight="1">
      <c r="B161" s="15"/>
      <c r="E161" s="7"/>
      <c r="F161" s="7"/>
      <c r="H161" s="15"/>
      <c r="I161" s="7"/>
      <c r="J161" s="7"/>
      <c r="K161" s="7">
        <f>SUMIF('Daily Production'!$B$5:$B$504,A161,'Daily Production'!$H$5:$H$504)</f>
        <v>0</v>
      </c>
      <c r="L161" s="7">
        <f>SUMIF('Daily Production'!$B$5:$B$504,A161,'Daily Production'!$I$5:$I$504)</f>
        <v>0</v>
      </c>
      <c r="M161" s="7">
        <f t="shared" si="1"/>
        <v>0</v>
      </c>
      <c r="N161" s="7">
        <f>SUMIF(Dispatch!$B$5:$B$204,A161,Dispatch!$G$5:$G$204)</f>
        <v>0</v>
      </c>
      <c r="O161" s="7">
        <f t="shared" si="2"/>
        <v>0</v>
      </c>
      <c r="P161" s="7"/>
    </row>
    <row r="162" ht="15.75" customHeight="1">
      <c r="B162" s="15"/>
      <c r="E162" s="7"/>
      <c r="F162" s="7"/>
      <c r="H162" s="15"/>
      <c r="I162" s="7"/>
      <c r="J162" s="7"/>
      <c r="K162" s="7">
        <f>SUMIF('Daily Production'!$B$5:$B$504,A162,'Daily Production'!$H$5:$H$504)</f>
        <v>0</v>
      </c>
      <c r="L162" s="7">
        <f>SUMIF('Daily Production'!$B$5:$B$504,A162,'Daily Production'!$I$5:$I$504)</f>
        <v>0</v>
      </c>
      <c r="M162" s="7">
        <f t="shared" si="1"/>
        <v>0</v>
      </c>
      <c r="N162" s="7">
        <f>SUMIF(Dispatch!$B$5:$B$204,A162,Dispatch!$G$5:$G$204)</f>
        <v>0</v>
      </c>
      <c r="O162" s="7">
        <f t="shared" si="2"/>
        <v>0</v>
      </c>
      <c r="P162" s="7"/>
    </row>
    <row r="163" ht="15.75" customHeight="1">
      <c r="B163" s="15"/>
      <c r="E163" s="7"/>
      <c r="F163" s="7"/>
      <c r="H163" s="15"/>
      <c r="I163" s="7"/>
      <c r="J163" s="7"/>
      <c r="K163" s="7">
        <f>SUMIF('Daily Production'!$B$5:$B$504,A163,'Daily Production'!$H$5:$H$504)</f>
        <v>0</v>
      </c>
      <c r="L163" s="7">
        <f>SUMIF('Daily Production'!$B$5:$B$504,A163,'Daily Production'!$I$5:$I$504)</f>
        <v>0</v>
      </c>
      <c r="M163" s="7">
        <f t="shared" si="1"/>
        <v>0</v>
      </c>
      <c r="N163" s="7">
        <f>SUMIF(Dispatch!$B$5:$B$204,A163,Dispatch!$G$5:$G$204)</f>
        <v>0</v>
      </c>
      <c r="O163" s="7">
        <f t="shared" si="2"/>
        <v>0</v>
      </c>
      <c r="P163" s="7"/>
    </row>
    <row r="164" ht="15.75" customHeight="1">
      <c r="B164" s="15"/>
      <c r="E164" s="7"/>
      <c r="F164" s="7"/>
      <c r="H164" s="15"/>
      <c r="I164" s="7"/>
      <c r="J164" s="7"/>
      <c r="K164" s="7">
        <f>SUMIF('Daily Production'!$B$5:$B$504,A164,'Daily Production'!$H$5:$H$504)</f>
        <v>0</v>
      </c>
      <c r="L164" s="7">
        <f>SUMIF('Daily Production'!$B$5:$B$504,A164,'Daily Production'!$I$5:$I$504)</f>
        <v>0</v>
      </c>
      <c r="M164" s="7">
        <f t="shared" si="1"/>
        <v>0</v>
      </c>
      <c r="N164" s="7">
        <f>SUMIF(Dispatch!$B$5:$B$204,A164,Dispatch!$G$5:$G$204)</f>
        <v>0</v>
      </c>
      <c r="O164" s="7">
        <f t="shared" si="2"/>
        <v>0</v>
      </c>
      <c r="P164" s="7"/>
    </row>
    <row r="165" ht="15.75" customHeight="1">
      <c r="B165" s="15"/>
      <c r="E165" s="7"/>
      <c r="F165" s="7"/>
      <c r="H165" s="15"/>
      <c r="I165" s="7"/>
      <c r="J165" s="7"/>
      <c r="K165" s="7">
        <f>SUMIF('Daily Production'!$B$5:$B$504,A165,'Daily Production'!$H$5:$H$504)</f>
        <v>0</v>
      </c>
      <c r="L165" s="7">
        <f>SUMIF('Daily Production'!$B$5:$B$504,A165,'Daily Production'!$I$5:$I$504)</f>
        <v>0</v>
      </c>
      <c r="M165" s="7">
        <f t="shared" si="1"/>
        <v>0</v>
      </c>
      <c r="N165" s="7">
        <f>SUMIF(Dispatch!$B$5:$B$204,A165,Dispatch!$G$5:$G$204)</f>
        <v>0</v>
      </c>
      <c r="O165" s="7">
        <f t="shared" si="2"/>
        <v>0</v>
      </c>
      <c r="P165" s="7"/>
    </row>
    <row r="166" ht="15.75" customHeight="1">
      <c r="B166" s="15"/>
      <c r="E166" s="7"/>
      <c r="F166" s="7"/>
      <c r="H166" s="15"/>
      <c r="I166" s="7"/>
      <c r="J166" s="7"/>
      <c r="K166" s="7">
        <f>SUMIF('Daily Production'!$B$5:$B$504,A166,'Daily Production'!$H$5:$H$504)</f>
        <v>0</v>
      </c>
      <c r="L166" s="7">
        <f>SUMIF('Daily Production'!$B$5:$B$504,A166,'Daily Production'!$I$5:$I$504)</f>
        <v>0</v>
      </c>
      <c r="M166" s="7">
        <f t="shared" si="1"/>
        <v>0</v>
      </c>
      <c r="N166" s="7">
        <f>SUMIF(Dispatch!$B$5:$B$204,A166,Dispatch!$G$5:$G$204)</f>
        <v>0</v>
      </c>
      <c r="O166" s="7">
        <f t="shared" si="2"/>
        <v>0</v>
      </c>
      <c r="P166" s="7"/>
    </row>
    <row r="167" ht="15.75" customHeight="1">
      <c r="B167" s="15"/>
      <c r="E167" s="7"/>
      <c r="F167" s="7"/>
      <c r="H167" s="15"/>
      <c r="I167" s="7"/>
      <c r="J167" s="7"/>
      <c r="K167" s="7">
        <f>SUMIF('Daily Production'!$B$5:$B$504,A167,'Daily Production'!$H$5:$H$504)</f>
        <v>0</v>
      </c>
      <c r="L167" s="7">
        <f>SUMIF('Daily Production'!$B$5:$B$504,A167,'Daily Production'!$I$5:$I$504)</f>
        <v>0</v>
      </c>
      <c r="M167" s="7">
        <f t="shared" si="1"/>
        <v>0</v>
      </c>
      <c r="N167" s="7">
        <f>SUMIF(Dispatch!$B$5:$B$204,A167,Dispatch!$G$5:$G$204)</f>
        <v>0</v>
      </c>
      <c r="O167" s="7">
        <f t="shared" si="2"/>
        <v>0</v>
      </c>
      <c r="P167" s="7"/>
    </row>
    <row r="168" ht="15.75" customHeight="1">
      <c r="B168" s="15"/>
      <c r="E168" s="7"/>
      <c r="F168" s="7"/>
      <c r="H168" s="15"/>
      <c r="I168" s="7"/>
      <c r="J168" s="7"/>
      <c r="K168" s="7">
        <f>SUMIF('Daily Production'!$B$5:$B$504,A168,'Daily Production'!$H$5:$H$504)</f>
        <v>0</v>
      </c>
      <c r="L168" s="7">
        <f>SUMIF('Daily Production'!$B$5:$B$504,A168,'Daily Production'!$I$5:$I$504)</f>
        <v>0</v>
      </c>
      <c r="M168" s="7">
        <f t="shared" si="1"/>
        <v>0</v>
      </c>
      <c r="N168" s="7">
        <f>SUMIF(Dispatch!$B$5:$B$204,A168,Dispatch!$G$5:$G$204)</f>
        <v>0</v>
      </c>
      <c r="O168" s="7">
        <f t="shared" si="2"/>
        <v>0</v>
      </c>
      <c r="P168" s="7"/>
    </row>
    <row r="169" ht="15.75" customHeight="1">
      <c r="B169" s="15"/>
      <c r="E169" s="7"/>
      <c r="F169" s="7"/>
      <c r="H169" s="15"/>
      <c r="I169" s="7"/>
      <c r="J169" s="7"/>
      <c r="K169" s="7">
        <f>SUMIF('Daily Production'!$B$5:$B$504,A169,'Daily Production'!$H$5:$H$504)</f>
        <v>0</v>
      </c>
      <c r="L169" s="7">
        <f>SUMIF('Daily Production'!$B$5:$B$504,A169,'Daily Production'!$I$5:$I$504)</f>
        <v>0</v>
      </c>
      <c r="M169" s="7">
        <f t="shared" si="1"/>
        <v>0</v>
      </c>
      <c r="N169" s="7">
        <f>SUMIF(Dispatch!$B$5:$B$204,A169,Dispatch!$G$5:$G$204)</f>
        <v>0</v>
      </c>
      <c r="O169" s="7">
        <f t="shared" si="2"/>
        <v>0</v>
      </c>
      <c r="P169" s="7"/>
    </row>
    <row r="170" ht="15.75" customHeight="1">
      <c r="B170" s="15"/>
      <c r="E170" s="7"/>
      <c r="F170" s="7"/>
      <c r="H170" s="15"/>
      <c r="I170" s="7"/>
      <c r="J170" s="7"/>
      <c r="K170" s="7">
        <f>SUMIF('Daily Production'!$B$5:$B$504,A170,'Daily Production'!$H$5:$H$504)</f>
        <v>0</v>
      </c>
      <c r="L170" s="7">
        <f>SUMIF('Daily Production'!$B$5:$B$504,A170,'Daily Production'!$I$5:$I$504)</f>
        <v>0</v>
      </c>
      <c r="M170" s="7">
        <f t="shared" si="1"/>
        <v>0</v>
      </c>
      <c r="N170" s="7">
        <f>SUMIF(Dispatch!$B$5:$B$204,A170,Dispatch!$G$5:$G$204)</f>
        <v>0</v>
      </c>
      <c r="O170" s="7">
        <f t="shared" si="2"/>
        <v>0</v>
      </c>
      <c r="P170" s="7"/>
    </row>
    <row r="171" ht="15.75" customHeight="1">
      <c r="B171" s="15"/>
      <c r="E171" s="7"/>
      <c r="F171" s="7"/>
      <c r="H171" s="15"/>
      <c r="I171" s="7"/>
      <c r="J171" s="7"/>
      <c r="K171" s="7">
        <f>SUMIF('Daily Production'!$B$5:$B$504,A171,'Daily Production'!$H$5:$H$504)</f>
        <v>0</v>
      </c>
      <c r="L171" s="7">
        <f>SUMIF('Daily Production'!$B$5:$B$504,A171,'Daily Production'!$I$5:$I$504)</f>
        <v>0</v>
      </c>
      <c r="M171" s="7">
        <f t="shared" si="1"/>
        <v>0</v>
      </c>
      <c r="N171" s="7">
        <f>SUMIF(Dispatch!$B$5:$B$204,A171,Dispatch!$G$5:$G$204)</f>
        <v>0</v>
      </c>
      <c r="O171" s="7">
        <f t="shared" si="2"/>
        <v>0</v>
      </c>
      <c r="P171" s="7"/>
    </row>
    <row r="172" ht="15.75" customHeight="1">
      <c r="B172" s="15"/>
      <c r="E172" s="7"/>
      <c r="F172" s="7"/>
      <c r="H172" s="15"/>
      <c r="I172" s="7"/>
      <c r="J172" s="7"/>
      <c r="K172" s="7">
        <f>SUMIF('Daily Production'!$B$5:$B$504,A172,'Daily Production'!$H$5:$H$504)</f>
        <v>0</v>
      </c>
      <c r="L172" s="7">
        <f>SUMIF('Daily Production'!$B$5:$B$504,A172,'Daily Production'!$I$5:$I$504)</f>
        <v>0</v>
      </c>
      <c r="M172" s="7">
        <f t="shared" si="1"/>
        <v>0</v>
      </c>
      <c r="N172" s="7">
        <f>SUMIF(Dispatch!$B$5:$B$204,A172,Dispatch!$G$5:$G$204)</f>
        <v>0</v>
      </c>
      <c r="O172" s="7">
        <f t="shared" si="2"/>
        <v>0</v>
      </c>
      <c r="P172" s="7"/>
    </row>
    <row r="173" ht="15.75" customHeight="1">
      <c r="B173" s="15"/>
      <c r="E173" s="7"/>
      <c r="F173" s="7"/>
      <c r="H173" s="15"/>
      <c r="I173" s="7"/>
      <c r="J173" s="7"/>
      <c r="K173" s="7">
        <f>SUMIF('Daily Production'!$B$5:$B$504,A173,'Daily Production'!$H$5:$H$504)</f>
        <v>0</v>
      </c>
      <c r="L173" s="7">
        <f>SUMIF('Daily Production'!$B$5:$B$504,A173,'Daily Production'!$I$5:$I$504)</f>
        <v>0</v>
      </c>
      <c r="M173" s="7">
        <f t="shared" si="1"/>
        <v>0</v>
      </c>
      <c r="N173" s="7">
        <f>SUMIF(Dispatch!$B$5:$B$204,A173,Dispatch!$G$5:$G$204)</f>
        <v>0</v>
      </c>
      <c r="O173" s="7">
        <f t="shared" si="2"/>
        <v>0</v>
      </c>
      <c r="P173" s="7"/>
    </row>
    <row r="174" ht="15.75" customHeight="1">
      <c r="B174" s="15"/>
      <c r="E174" s="7"/>
      <c r="F174" s="7"/>
      <c r="H174" s="15"/>
      <c r="I174" s="7"/>
      <c r="J174" s="7"/>
      <c r="K174" s="7">
        <f>SUMIF('Daily Production'!$B$5:$B$504,A174,'Daily Production'!$H$5:$H$504)</f>
        <v>0</v>
      </c>
      <c r="L174" s="7">
        <f>SUMIF('Daily Production'!$B$5:$B$504,A174,'Daily Production'!$I$5:$I$504)</f>
        <v>0</v>
      </c>
      <c r="M174" s="7">
        <f t="shared" si="1"/>
        <v>0</v>
      </c>
      <c r="N174" s="7">
        <f>SUMIF(Dispatch!$B$5:$B$204,A174,Dispatch!$G$5:$G$204)</f>
        <v>0</v>
      </c>
      <c r="O174" s="7">
        <f t="shared" si="2"/>
        <v>0</v>
      </c>
      <c r="P174" s="7"/>
    </row>
    <row r="175" ht="15.75" customHeight="1">
      <c r="B175" s="15"/>
      <c r="E175" s="7"/>
      <c r="F175" s="7"/>
      <c r="H175" s="15"/>
      <c r="I175" s="7"/>
      <c r="J175" s="7"/>
      <c r="K175" s="7">
        <f>SUMIF('Daily Production'!$B$5:$B$504,A175,'Daily Production'!$H$5:$H$504)</f>
        <v>0</v>
      </c>
      <c r="L175" s="7">
        <f>SUMIF('Daily Production'!$B$5:$B$504,A175,'Daily Production'!$I$5:$I$504)</f>
        <v>0</v>
      </c>
      <c r="M175" s="7">
        <f t="shared" si="1"/>
        <v>0</v>
      </c>
      <c r="N175" s="7">
        <f>SUMIF(Dispatch!$B$5:$B$204,A175,Dispatch!$G$5:$G$204)</f>
        <v>0</v>
      </c>
      <c r="O175" s="7">
        <f t="shared" si="2"/>
        <v>0</v>
      </c>
      <c r="P175" s="7"/>
    </row>
    <row r="176" ht="15.75" customHeight="1">
      <c r="B176" s="15"/>
      <c r="E176" s="7"/>
      <c r="F176" s="7"/>
      <c r="H176" s="15"/>
      <c r="I176" s="7"/>
      <c r="J176" s="7"/>
      <c r="K176" s="7">
        <f>SUMIF('Daily Production'!$B$5:$B$504,A176,'Daily Production'!$H$5:$H$504)</f>
        <v>0</v>
      </c>
      <c r="L176" s="7">
        <f>SUMIF('Daily Production'!$B$5:$B$504,A176,'Daily Production'!$I$5:$I$504)</f>
        <v>0</v>
      </c>
      <c r="M176" s="7">
        <f t="shared" si="1"/>
        <v>0</v>
      </c>
      <c r="N176" s="7">
        <f>SUMIF(Dispatch!$B$5:$B$204,A176,Dispatch!$G$5:$G$204)</f>
        <v>0</v>
      </c>
      <c r="O176" s="7">
        <f t="shared" si="2"/>
        <v>0</v>
      </c>
      <c r="P176" s="7"/>
    </row>
    <row r="177" ht="15.75" customHeight="1">
      <c r="B177" s="15"/>
      <c r="E177" s="7"/>
      <c r="F177" s="7"/>
      <c r="H177" s="15"/>
      <c r="I177" s="7"/>
      <c r="J177" s="7"/>
      <c r="K177" s="7">
        <f>SUMIF('Daily Production'!$B$5:$B$504,A177,'Daily Production'!$H$5:$H$504)</f>
        <v>0</v>
      </c>
      <c r="L177" s="7">
        <f>SUMIF('Daily Production'!$B$5:$B$504,A177,'Daily Production'!$I$5:$I$504)</f>
        <v>0</v>
      </c>
      <c r="M177" s="7">
        <f t="shared" si="1"/>
        <v>0</v>
      </c>
      <c r="N177" s="7">
        <f>SUMIF(Dispatch!$B$5:$B$204,A177,Dispatch!$G$5:$G$204)</f>
        <v>0</v>
      </c>
      <c r="O177" s="7">
        <f t="shared" si="2"/>
        <v>0</v>
      </c>
      <c r="P177" s="7"/>
    </row>
    <row r="178" ht="15.75" customHeight="1">
      <c r="B178" s="15"/>
      <c r="E178" s="7"/>
      <c r="F178" s="7"/>
      <c r="H178" s="15"/>
      <c r="I178" s="7"/>
      <c r="J178" s="7"/>
      <c r="K178" s="7">
        <f>SUMIF('Daily Production'!$B$5:$B$504,A178,'Daily Production'!$H$5:$H$504)</f>
        <v>0</v>
      </c>
      <c r="L178" s="7">
        <f>SUMIF('Daily Production'!$B$5:$B$504,A178,'Daily Production'!$I$5:$I$504)</f>
        <v>0</v>
      </c>
      <c r="M178" s="7">
        <f t="shared" si="1"/>
        <v>0</v>
      </c>
      <c r="N178" s="7">
        <f>SUMIF(Dispatch!$B$5:$B$204,A178,Dispatch!$G$5:$G$204)</f>
        <v>0</v>
      </c>
      <c r="O178" s="7">
        <f t="shared" si="2"/>
        <v>0</v>
      </c>
      <c r="P178" s="7"/>
    </row>
    <row r="179" ht="15.75" customHeight="1">
      <c r="B179" s="15"/>
      <c r="E179" s="7"/>
      <c r="F179" s="7"/>
      <c r="H179" s="15"/>
      <c r="I179" s="7"/>
      <c r="J179" s="7"/>
      <c r="K179" s="7">
        <f>SUMIF('Daily Production'!$B$5:$B$504,A179,'Daily Production'!$H$5:$H$504)</f>
        <v>0</v>
      </c>
      <c r="L179" s="7">
        <f>SUMIF('Daily Production'!$B$5:$B$504,A179,'Daily Production'!$I$5:$I$504)</f>
        <v>0</v>
      </c>
      <c r="M179" s="7">
        <f t="shared" si="1"/>
        <v>0</v>
      </c>
      <c r="N179" s="7">
        <f>SUMIF(Dispatch!$B$5:$B$204,A179,Dispatch!$G$5:$G$204)</f>
        <v>0</v>
      </c>
      <c r="O179" s="7">
        <f t="shared" si="2"/>
        <v>0</v>
      </c>
      <c r="P179" s="7"/>
    </row>
    <row r="180" ht="15.75" customHeight="1">
      <c r="B180" s="15"/>
      <c r="E180" s="7"/>
      <c r="F180" s="7"/>
      <c r="H180" s="15"/>
      <c r="I180" s="7"/>
      <c r="J180" s="7"/>
      <c r="K180" s="7">
        <f>SUMIF('Daily Production'!$B$5:$B$504,A180,'Daily Production'!$H$5:$H$504)</f>
        <v>0</v>
      </c>
      <c r="L180" s="7">
        <f>SUMIF('Daily Production'!$B$5:$B$504,A180,'Daily Production'!$I$5:$I$504)</f>
        <v>0</v>
      </c>
      <c r="M180" s="7">
        <f t="shared" si="1"/>
        <v>0</v>
      </c>
      <c r="N180" s="7">
        <f>SUMIF(Dispatch!$B$5:$B$204,A180,Dispatch!$G$5:$G$204)</f>
        <v>0</v>
      </c>
      <c r="O180" s="7">
        <f t="shared" si="2"/>
        <v>0</v>
      </c>
      <c r="P180" s="7"/>
    </row>
    <row r="181" ht="15.75" customHeight="1">
      <c r="B181" s="15"/>
      <c r="E181" s="7"/>
      <c r="F181" s="7"/>
      <c r="H181" s="15"/>
      <c r="I181" s="7"/>
      <c r="J181" s="7"/>
      <c r="K181" s="7">
        <f>SUMIF('Daily Production'!$B$5:$B$504,A181,'Daily Production'!$H$5:$H$504)</f>
        <v>0</v>
      </c>
      <c r="L181" s="7">
        <f>SUMIF('Daily Production'!$B$5:$B$504,A181,'Daily Production'!$I$5:$I$504)</f>
        <v>0</v>
      </c>
      <c r="M181" s="7">
        <f t="shared" si="1"/>
        <v>0</v>
      </c>
      <c r="N181" s="7">
        <f>SUMIF(Dispatch!$B$5:$B$204,A181,Dispatch!$G$5:$G$204)</f>
        <v>0</v>
      </c>
      <c r="O181" s="7">
        <f t="shared" si="2"/>
        <v>0</v>
      </c>
      <c r="P181" s="7"/>
    </row>
    <row r="182" ht="15.75" customHeight="1">
      <c r="B182" s="15"/>
      <c r="E182" s="7"/>
      <c r="F182" s="7"/>
      <c r="H182" s="15"/>
      <c r="I182" s="7"/>
      <c r="J182" s="7"/>
      <c r="K182" s="7">
        <f>SUMIF('Daily Production'!$B$5:$B$504,A182,'Daily Production'!$H$5:$H$504)</f>
        <v>0</v>
      </c>
      <c r="L182" s="7">
        <f>SUMIF('Daily Production'!$B$5:$B$504,A182,'Daily Production'!$I$5:$I$504)</f>
        <v>0</v>
      </c>
      <c r="M182" s="7">
        <f t="shared" si="1"/>
        <v>0</v>
      </c>
      <c r="N182" s="7">
        <f>SUMIF(Dispatch!$B$5:$B$204,A182,Dispatch!$G$5:$G$204)</f>
        <v>0</v>
      </c>
      <c r="O182" s="7">
        <f t="shared" si="2"/>
        <v>0</v>
      </c>
      <c r="P182" s="7"/>
    </row>
    <row r="183" ht="15.75" customHeight="1">
      <c r="B183" s="15"/>
      <c r="E183" s="7"/>
      <c r="F183" s="7"/>
      <c r="H183" s="15"/>
      <c r="I183" s="7"/>
      <c r="J183" s="7"/>
      <c r="K183" s="7">
        <f>SUMIF('Daily Production'!$B$5:$B$504,A183,'Daily Production'!$H$5:$H$504)</f>
        <v>0</v>
      </c>
      <c r="L183" s="7">
        <f>SUMIF('Daily Production'!$B$5:$B$504,A183,'Daily Production'!$I$5:$I$504)</f>
        <v>0</v>
      </c>
      <c r="M183" s="7">
        <f t="shared" si="1"/>
        <v>0</v>
      </c>
      <c r="N183" s="7">
        <f>SUMIF(Dispatch!$B$5:$B$204,A183,Dispatch!$G$5:$G$204)</f>
        <v>0</v>
      </c>
      <c r="O183" s="7">
        <f t="shared" si="2"/>
        <v>0</v>
      </c>
      <c r="P183" s="7"/>
    </row>
    <row r="184" ht="15.75" customHeight="1">
      <c r="B184" s="15"/>
      <c r="E184" s="7"/>
      <c r="F184" s="7"/>
      <c r="H184" s="15"/>
      <c r="I184" s="7"/>
      <c r="J184" s="7"/>
      <c r="K184" s="7">
        <f>SUMIF('Daily Production'!$B$5:$B$504,A184,'Daily Production'!$H$5:$H$504)</f>
        <v>0</v>
      </c>
      <c r="L184" s="7">
        <f>SUMIF('Daily Production'!$B$5:$B$504,A184,'Daily Production'!$I$5:$I$504)</f>
        <v>0</v>
      </c>
      <c r="M184" s="7">
        <f t="shared" si="1"/>
        <v>0</v>
      </c>
      <c r="N184" s="7">
        <f>SUMIF(Dispatch!$B$5:$B$204,A184,Dispatch!$G$5:$G$204)</f>
        <v>0</v>
      </c>
      <c r="O184" s="7">
        <f t="shared" si="2"/>
        <v>0</v>
      </c>
      <c r="P184" s="7"/>
    </row>
    <row r="185" ht="15.75" customHeight="1">
      <c r="B185" s="15"/>
      <c r="E185" s="7"/>
      <c r="F185" s="7"/>
      <c r="H185" s="15"/>
      <c r="I185" s="7"/>
      <c r="J185" s="7"/>
      <c r="K185" s="7">
        <f>SUMIF('Daily Production'!$B$5:$B$504,A185,'Daily Production'!$H$5:$H$504)</f>
        <v>0</v>
      </c>
      <c r="L185" s="7">
        <f>SUMIF('Daily Production'!$B$5:$B$504,A185,'Daily Production'!$I$5:$I$504)</f>
        <v>0</v>
      </c>
      <c r="M185" s="7">
        <f t="shared" si="1"/>
        <v>0</v>
      </c>
      <c r="N185" s="7">
        <f>SUMIF(Dispatch!$B$5:$B$204,A185,Dispatch!$G$5:$G$204)</f>
        <v>0</v>
      </c>
      <c r="O185" s="7">
        <f t="shared" si="2"/>
        <v>0</v>
      </c>
      <c r="P185" s="7"/>
    </row>
    <row r="186" ht="15.75" customHeight="1">
      <c r="B186" s="15"/>
      <c r="E186" s="7"/>
      <c r="F186" s="7"/>
      <c r="H186" s="15"/>
      <c r="I186" s="7"/>
      <c r="J186" s="7"/>
      <c r="K186" s="7">
        <f>SUMIF('Daily Production'!$B$5:$B$504,A186,'Daily Production'!$H$5:$H$504)</f>
        <v>0</v>
      </c>
      <c r="L186" s="7">
        <f>SUMIF('Daily Production'!$B$5:$B$504,A186,'Daily Production'!$I$5:$I$504)</f>
        <v>0</v>
      </c>
      <c r="M186" s="7">
        <f t="shared" si="1"/>
        <v>0</v>
      </c>
      <c r="N186" s="7">
        <f>SUMIF(Dispatch!$B$5:$B$204,A186,Dispatch!$G$5:$G$204)</f>
        <v>0</v>
      </c>
      <c r="O186" s="7">
        <f t="shared" si="2"/>
        <v>0</v>
      </c>
      <c r="P186" s="7"/>
    </row>
    <row r="187" ht="15.75" customHeight="1">
      <c r="B187" s="15"/>
      <c r="E187" s="7"/>
      <c r="F187" s="7"/>
      <c r="H187" s="15"/>
      <c r="I187" s="7"/>
      <c r="J187" s="7"/>
      <c r="K187" s="7">
        <f>SUMIF('Daily Production'!$B$5:$B$504,A187,'Daily Production'!$H$5:$H$504)</f>
        <v>0</v>
      </c>
      <c r="L187" s="7">
        <f>SUMIF('Daily Production'!$B$5:$B$504,A187,'Daily Production'!$I$5:$I$504)</f>
        <v>0</v>
      </c>
      <c r="M187" s="7">
        <f t="shared" si="1"/>
        <v>0</v>
      </c>
      <c r="N187" s="7">
        <f>SUMIF(Dispatch!$B$5:$B$204,A187,Dispatch!$G$5:$G$204)</f>
        <v>0</v>
      </c>
      <c r="O187" s="7">
        <f t="shared" si="2"/>
        <v>0</v>
      </c>
      <c r="P187" s="7"/>
    </row>
    <row r="188" ht="15.75" customHeight="1">
      <c r="B188" s="15"/>
      <c r="E188" s="7"/>
      <c r="F188" s="7"/>
      <c r="H188" s="15"/>
      <c r="I188" s="7"/>
      <c r="J188" s="7"/>
      <c r="K188" s="7">
        <f>SUMIF('Daily Production'!$B$5:$B$504,A188,'Daily Production'!$H$5:$H$504)</f>
        <v>0</v>
      </c>
      <c r="L188" s="7">
        <f>SUMIF('Daily Production'!$B$5:$B$504,A188,'Daily Production'!$I$5:$I$504)</f>
        <v>0</v>
      </c>
      <c r="M188" s="7">
        <f t="shared" si="1"/>
        <v>0</v>
      </c>
      <c r="N188" s="7">
        <f>SUMIF(Dispatch!$B$5:$B$204,A188,Dispatch!$G$5:$G$204)</f>
        <v>0</v>
      </c>
      <c r="O188" s="7">
        <f t="shared" si="2"/>
        <v>0</v>
      </c>
      <c r="P188" s="7"/>
    </row>
    <row r="189" ht="15.75" customHeight="1">
      <c r="B189" s="15"/>
      <c r="E189" s="7"/>
      <c r="F189" s="7"/>
      <c r="H189" s="15"/>
      <c r="I189" s="7"/>
      <c r="J189" s="7"/>
      <c r="K189" s="7">
        <f>SUMIF('Daily Production'!$B$5:$B$504,A189,'Daily Production'!$H$5:$H$504)</f>
        <v>0</v>
      </c>
      <c r="L189" s="7">
        <f>SUMIF('Daily Production'!$B$5:$B$504,A189,'Daily Production'!$I$5:$I$504)</f>
        <v>0</v>
      </c>
      <c r="M189" s="7">
        <f t="shared" si="1"/>
        <v>0</v>
      </c>
      <c r="N189" s="7">
        <f>SUMIF(Dispatch!$B$5:$B$204,A189,Dispatch!$G$5:$G$204)</f>
        <v>0</v>
      </c>
      <c r="O189" s="7">
        <f t="shared" si="2"/>
        <v>0</v>
      </c>
      <c r="P189" s="7"/>
    </row>
    <row r="190" ht="15.75" customHeight="1">
      <c r="B190" s="15"/>
      <c r="E190" s="7"/>
      <c r="F190" s="7"/>
      <c r="H190" s="15"/>
      <c r="I190" s="7"/>
      <c r="J190" s="7"/>
      <c r="K190" s="7">
        <f>SUMIF('Daily Production'!$B$5:$B$504,A190,'Daily Production'!$H$5:$H$504)</f>
        <v>0</v>
      </c>
      <c r="L190" s="7">
        <f>SUMIF('Daily Production'!$B$5:$B$504,A190,'Daily Production'!$I$5:$I$504)</f>
        <v>0</v>
      </c>
      <c r="M190" s="7">
        <f t="shared" si="1"/>
        <v>0</v>
      </c>
      <c r="N190" s="7">
        <f>SUMIF(Dispatch!$B$5:$B$204,A190,Dispatch!$G$5:$G$204)</f>
        <v>0</v>
      </c>
      <c r="O190" s="7">
        <f t="shared" si="2"/>
        <v>0</v>
      </c>
      <c r="P190" s="7"/>
    </row>
    <row r="191" ht="15.75" customHeight="1">
      <c r="B191" s="15"/>
      <c r="E191" s="7"/>
      <c r="F191" s="7"/>
      <c r="H191" s="15"/>
      <c r="I191" s="7"/>
      <c r="J191" s="7"/>
      <c r="K191" s="7">
        <f>SUMIF('Daily Production'!$B$5:$B$504,A191,'Daily Production'!$H$5:$H$504)</f>
        <v>0</v>
      </c>
      <c r="L191" s="7">
        <f>SUMIF('Daily Production'!$B$5:$B$504,A191,'Daily Production'!$I$5:$I$504)</f>
        <v>0</v>
      </c>
      <c r="M191" s="7">
        <f t="shared" si="1"/>
        <v>0</v>
      </c>
      <c r="N191" s="7">
        <f>SUMIF(Dispatch!$B$5:$B$204,A191,Dispatch!$G$5:$G$204)</f>
        <v>0</v>
      </c>
      <c r="O191" s="7">
        <f t="shared" si="2"/>
        <v>0</v>
      </c>
      <c r="P191" s="7"/>
    </row>
    <row r="192" ht="15.75" customHeight="1">
      <c r="B192" s="15"/>
      <c r="E192" s="7"/>
      <c r="F192" s="7"/>
      <c r="H192" s="15"/>
      <c r="I192" s="7"/>
      <c r="J192" s="7"/>
      <c r="K192" s="7">
        <f>SUMIF('Daily Production'!$B$5:$B$504,A192,'Daily Production'!$H$5:$H$504)</f>
        <v>0</v>
      </c>
      <c r="L192" s="7">
        <f>SUMIF('Daily Production'!$B$5:$B$504,A192,'Daily Production'!$I$5:$I$504)</f>
        <v>0</v>
      </c>
      <c r="M192" s="7">
        <f t="shared" si="1"/>
        <v>0</v>
      </c>
      <c r="N192" s="7">
        <f>SUMIF(Dispatch!$B$5:$B$204,A192,Dispatch!$G$5:$G$204)</f>
        <v>0</v>
      </c>
      <c r="O192" s="7">
        <f t="shared" si="2"/>
        <v>0</v>
      </c>
      <c r="P192" s="7"/>
    </row>
    <row r="193" ht="15.75" customHeight="1">
      <c r="B193" s="15"/>
      <c r="E193" s="7"/>
      <c r="F193" s="7"/>
      <c r="H193" s="15"/>
      <c r="I193" s="7"/>
      <c r="J193" s="7"/>
      <c r="K193" s="7">
        <f>SUMIF('Daily Production'!$B$5:$B$504,A193,'Daily Production'!$H$5:$H$504)</f>
        <v>0</v>
      </c>
      <c r="L193" s="7">
        <f>SUMIF('Daily Production'!$B$5:$B$504,A193,'Daily Production'!$I$5:$I$504)</f>
        <v>0</v>
      </c>
      <c r="M193" s="7">
        <f t="shared" si="1"/>
        <v>0</v>
      </c>
      <c r="N193" s="7">
        <f>SUMIF(Dispatch!$B$5:$B$204,A193,Dispatch!$G$5:$G$204)</f>
        <v>0</v>
      </c>
      <c r="O193" s="7">
        <f t="shared" si="2"/>
        <v>0</v>
      </c>
      <c r="P193" s="7"/>
    </row>
    <row r="194" ht="15.75" customHeight="1">
      <c r="B194" s="15"/>
      <c r="E194" s="7"/>
      <c r="F194" s="7"/>
      <c r="H194" s="15"/>
      <c r="I194" s="7"/>
      <c r="J194" s="7"/>
      <c r="K194" s="7">
        <f>SUMIF('Daily Production'!$B$5:$B$504,A194,'Daily Production'!$H$5:$H$504)</f>
        <v>0</v>
      </c>
      <c r="L194" s="7">
        <f>SUMIF('Daily Production'!$B$5:$B$504,A194,'Daily Production'!$I$5:$I$504)</f>
        <v>0</v>
      </c>
      <c r="M194" s="7">
        <f t="shared" si="1"/>
        <v>0</v>
      </c>
      <c r="N194" s="7">
        <f>SUMIF(Dispatch!$B$5:$B$204,A194,Dispatch!$G$5:$G$204)</f>
        <v>0</v>
      </c>
      <c r="O194" s="7">
        <f t="shared" si="2"/>
        <v>0</v>
      </c>
      <c r="P194" s="7"/>
    </row>
    <row r="195" ht="15.75" customHeight="1">
      <c r="B195" s="15"/>
      <c r="E195" s="7"/>
      <c r="F195" s="7"/>
      <c r="H195" s="15"/>
      <c r="I195" s="7"/>
      <c r="J195" s="7"/>
      <c r="K195" s="7">
        <f>SUMIF('Daily Production'!$B$5:$B$504,A195,'Daily Production'!$H$5:$H$504)</f>
        <v>0</v>
      </c>
      <c r="L195" s="7">
        <f>SUMIF('Daily Production'!$B$5:$B$504,A195,'Daily Production'!$I$5:$I$504)</f>
        <v>0</v>
      </c>
      <c r="M195" s="7">
        <f t="shared" si="1"/>
        <v>0</v>
      </c>
      <c r="N195" s="7">
        <f>SUMIF(Dispatch!$B$5:$B$204,A195,Dispatch!$G$5:$G$204)</f>
        <v>0</v>
      </c>
      <c r="O195" s="7">
        <f t="shared" si="2"/>
        <v>0</v>
      </c>
      <c r="P195" s="7"/>
    </row>
    <row r="196" ht="15.75" customHeight="1">
      <c r="B196" s="15"/>
      <c r="E196" s="7"/>
      <c r="F196" s="7"/>
      <c r="H196" s="15"/>
      <c r="I196" s="7"/>
      <c r="J196" s="7"/>
      <c r="K196" s="7">
        <f>SUMIF('Daily Production'!$B$5:$B$504,A196,'Daily Production'!$H$5:$H$504)</f>
        <v>0</v>
      </c>
      <c r="L196" s="7">
        <f>SUMIF('Daily Production'!$B$5:$B$504,A196,'Daily Production'!$I$5:$I$504)</f>
        <v>0</v>
      </c>
      <c r="M196" s="7">
        <f t="shared" si="1"/>
        <v>0</v>
      </c>
      <c r="N196" s="7">
        <f>SUMIF(Dispatch!$B$5:$B$204,A196,Dispatch!$G$5:$G$204)</f>
        <v>0</v>
      </c>
      <c r="O196" s="7">
        <f t="shared" si="2"/>
        <v>0</v>
      </c>
      <c r="P196" s="7"/>
    </row>
    <row r="197" ht="15.75" customHeight="1">
      <c r="B197" s="15"/>
      <c r="E197" s="7"/>
      <c r="F197" s="7"/>
      <c r="H197" s="15"/>
      <c r="I197" s="7"/>
      <c r="J197" s="7"/>
      <c r="K197" s="7">
        <f>SUMIF('Daily Production'!$B$5:$B$504,A197,'Daily Production'!$H$5:$H$504)</f>
        <v>0</v>
      </c>
      <c r="L197" s="7">
        <f>SUMIF('Daily Production'!$B$5:$B$504,A197,'Daily Production'!$I$5:$I$504)</f>
        <v>0</v>
      </c>
      <c r="M197" s="7">
        <f t="shared" si="1"/>
        <v>0</v>
      </c>
      <c r="N197" s="7">
        <f>SUMIF(Dispatch!$B$5:$B$204,A197,Dispatch!$G$5:$G$204)</f>
        <v>0</v>
      </c>
      <c r="O197" s="7">
        <f t="shared" si="2"/>
        <v>0</v>
      </c>
      <c r="P197" s="7"/>
    </row>
    <row r="198" ht="15.75" customHeight="1">
      <c r="B198" s="15"/>
      <c r="E198" s="7"/>
      <c r="F198" s="7"/>
      <c r="H198" s="15"/>
      <c r="I198" s="7"/>
      <c r="J198" s="7"/>
      <c r="K198" s="7">
        <f>SUMIF('Daily Production'!$B$5:$B$504,A198,'Daily Production'!$H$5:$H$504)</f>
        <v>0</v>
      </c>
      <c r="L198" s="7">
        <f>SUMIF('Daily Production'!$B$5:$B$504,A198,'Daily Production'!$I$5:$I$504)</f>
        <v>0</v>
      </c>
      <c r="M198" s="7">
        <f t="shared" si="1"/>
        <v>0</v>
      </c>
      <c r="N198" s="7">
        <f>SUMIF(Dispatch!$B$5:$B$204,A198,Dispatch!$G$5:$G$204)</f>
        <v>0</v>
      </c>
      <c r="O198" s="7">
        <f t="shared" si="2"/>
        <v>0</v>
      </c>
      <c r="P198" s="7"/>
    </row>
    <row r="199" ht="15.75" customHeight="1">
      <c r="B199" s="15"/>
      <c r="E199" s="7"/>
      <c r="F199" s="7"/>
      <c r="H199" s="15"/>
      <c r="I199" s="7"/>
      <c r="J199" s="7"/>
      <c r="K199" s="7">
        <f>SUMIF('Daily Production'!$B$5:$B$504,A199,'Daily Production'!$H$5:$H$504)</f>
        <v>0</v>
      </c>
      <c r="L199" s="7">
        <f>SUMIF('Daily Production'!$B$5:$B$504,A199,'Daily Production'!$I$5:$I$504)</f>
        <v>0</v>
      </c>
      <c r="M199" s="7">
        <f t="shared" si="1"/>
        <v>0</v>
      </c>
      <c r="N199" s="7">
        <f>SUMIF(Dispatch!$B$5:$B$204,A199,Dispatch!$G$5:$G$204)</f>
        <v>0</v>
      </c>
      <c r="O199" s="7">
        <f t="shared" si="2"/>
        <v>0</v>
      </c>
      <c r="P199" s="7"/>
    </row>
    <row r="200" ht="15.75" customHeight="1">
      <c r="B200" s="15"/>
      <c r="E200" s="7"/>
      <c r="F200" s="7"/>
      <c r="H200" s="15"/>
      <c r="I200" s="7"/>
      <c r="J200" s="7"/>
      <c r="K200" s="7">
        <f>SUMIF('Daily Production'!$B$5:$B$504,A200,'Daily Production'!$H$5:$H$504)</f>
        <v>0</v>
      </c>
      <c r="L200" s="7">
        <f>SUMIF('Daily Production'!$B$5:$B$504,A200,'Daily Production'!$I$5:$I$504)</f>
        <v>0</v>
      </c>
      <c r="M200" s="7">
        <f t="shared" si="1"/>
        <v>0</v>
      </c>
      <c r="N200" s="7">
        <f>SUMIF(Dispatch!$B$5:$B$204,A200,Dispatch!$G$5:$G$204)</f>
        <v>0</v>
      </c>
      <c r="O200" s="7">
        <f t="shared" si="2"/>
        <v>0</v>
      </c>
      <c r="P200" s="7"/>
    </row>
    <row r="201" ht="15.75" customHeight="1">
      <c r="B201" s="15"/>
      <c r="E201" s="7"/>
      <c r="F201" s="7"/>
      <c r="H201" s="15"/>
      <c r="I201" s="7"/>
      <c r="J201" s="7"/>
      <c r="K201" s="7">
        <f>SUMIF('Daily Production'!$B$5:$B$504,A201,'Daily Production'!$H$5:$H$504)</f>
        <v>0</v>
      </c>
      <c r="L201" s="7">
        <f>SUMIF('Daily Production'!$B$5:$B$504,A201,'Daily Production'!$I$5:$I$504)</f>
        <v>0</v>
      </c>
      <c r="M201" s="7">
        <f t="shared" si="1"/>
        <v>0</v>
      </c>
      <c r="N201" s="7">
        <f>SUMIF(Dispatch!$B$5:$B$204,A201,Dispatch!$G$5:$G$204)</f>
        <v>0</v>
      </c>
      <c r="O201" s="7">
        <f t="shared" si="2"/>
        <v>0</v>
      </c>
      <c r="P201" s="7"/>
    </row>
    <row r="202" ht="15.75" customHeight="1">
      <c r="B202" s="15"/>
      <c r="E202" s="7"/>
      <c r="F202" s="7"/>
      <c r="H202" s="15"/>
      <c r="I202" s="7"/>
      <c r="J202" s="7"/>
      <c r="K202" s="7">
        <f>SUMIF('Daily Production'!$B$5:$B$504,A202,'Daily Production'!$H$5:$H$504)</f>
        <v>0</v>
      </c>
      <c r="L202" s="7">
        <f>SUMIF('Daily Production'!$B$5:$B$504,A202,'Daily Production'!$I$5:$I$504)</f>
        <v>0</v>
      </c>
      <c r="M202" s="7">
        <f t="shared" si="1"/>
        <v>0</v>
      </c>
      <c r="N202" s="7">
        <f>SUMIF(Dispatch!$B$5:$B$204,A202,Dispatch!$G$5:$G$204)</f>
        <v>0</v>
      </c>
      <c r="O202" s="7">
        <f t="shared" si="2"/>
        <v>0</v>
      </c>
      <c r="P202" s="7"/>
    </row>
    <row r="203" ht="15.75" customHeight="1">
      <c r="B203" s="15"/>
      <c r="E203" s="7"/>
      <c r="F203" s="7"/>
      <c r="H203" s="15"/>
      <c r="I203" s="7"/>
      <c r="J203" s="7"/>
      <c r="K203" s="7">
        <f>SUMIF('Daily Production'!$B$5:$B$504,A203,'Daily Production'!$H$5:$H$504)</f>
        <v>0</v>
      </c>
      <c r="L203" s="7">
        <f>SUMIF('Daily Production'!$B$5:$B$504,A203,'Daily Production'!$I$5:$I$504)</f>
        <v>0</v>
      </c>
      <c r="M203" s="7">
        <f t="shared" si="1"/>
        <v>0</v>
      </c>
      <c r="N203" s="7">
        <f>SUMIF(Dispatch!$B$5:$B$204,A203,Dispatch!$G$5:$G$204)</f>
        <v>0</v>
      </c>
      <c r="O203" s="7">
        <f t="shared" si="2"/>
        <v>0</v>
      </c>
      <c r="P203" s="7"/>
    </row>
    <row r="204" ht="15.75" customHeight="1">
      <c r="B204" s="15"/>
      <c r="E204" s="7"/>
      <c r="F204" s="7"/>
      <c r="H204" s="15"/>
      <c r="I204" s="7"/>
      <c r="J204" s="7"/>
      <c r="K204" s="7">
        <f>SUMIF('Daily Production'!$B$5:$B$504,A204,'Daily Production'!$H$5:$H$504)</f>
        <v>0</v>
      </c>
      <c r="L204" s="7">
        <f>SUMIF('Daily Production'!$B$5:$B$504,A204,'Daily Production'!$I$5:$I$504)</f>
        <v>0</v>
      </c>
      <c r="M204" s="7">
        <f t="shared" si="1"/>
        <v>0</v>
      </c>
      <c r="N204" s="7">
        <f>SUMIF(Dispatch!$B$5:$B$204,A204,Dispatch!$G$5:$G$204)</f>
        <v>0</v>
      </c>
      <c r="O204" s="7">
        <f t="shared" si="2"/>
        <v>0</v>
      </c>
      <c r="P204" s="7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dataValidations>
    <dataValidation type="list" allowBlank="1" sqref="P5:P204">
      <formula1>"Pending,Approved by Taha"</formula1>
    </dataValidation>
    <dataValidation type="list" allowBlank="1" sqref="I5:I204">
      <formula1>'Master Data'!$K$5:$K$8</formula1>
    </dataValidation>
    <dataValidation type="list" allowBlank="1" sqref="E5:E204">
      <formula1>'Master Data'!$A$5:$A$8</formula1>
    </dataValidation>
    <dataValidation type="list" allowBlank="1" sqref="F5:F204">
      <formula1>'Master Data'!$C$5:$C$13</formula1>
    </dataValidation>
    <dataValidation type="list" allowBlank="1" sqref="J5:J204">
      <formula1>'Master Data'!$M$5:$M$12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20.0"/>
    <col customWidth="1" min="4" max="4" width="22.0"/>
    <col customWidth="1" min="5" max="5" width="10.0"/>
    <col customWidth="1" min="6" max="6" width="14.0"/>
    <col customWidth="1" min="7" max="7" width="12.0"/>
    <col customWidth="1" min="8" max="9" width="11.0"/>
    <col customWidth="1" min="10" max="12" width="10.0"/>
    <col customWidth="1" min="13" max="13" width="11.0"/>
    <col customWidth="1" min="14" max="14" width="14.0"/>
    <col customWidth="1" min="15" max="16" width="12.0"/>
    <col customWidth="1" min="17" max="17" width="13.0"/>
    <col customWidth="1" min="18" max="19" width="10.0"/>
    <col customWidth="1" min="20" max="20" width="28.0"/>
    <col customWidth="1" min="21" max="21" width="15.0"/>
    <col customWidth="1" min="22" max="26" width="8.63"/>
  </cols>
  <sheetData>
    <row r="1" ht="27.75" customHeight="1">
      <c r="A1" s="2" t="s">
        <v>181</v>
      </c>
    </row>
    <row r="2">
      <c r="A2" s="4" t="s">
        <v>184</v>
      </c>
    </row>
    <row r="4" ht="31.5" customHeight="1">
      <c r="A4" s="5" t="s">
        <v>186</v>
      </c>
      <c r="B4" s="5" t="s">
        <v>172</v>
      </c>
      <c r="C4" s="5" t="s">
        <v>174</v>
      </c>
      <c r="D4" s="5" t="s">
        <v>176</v>
      </c>
      <c r="E4" s="5" t="s">
        <v>177</v>
      </c>
      <c r="F4" s="5" t="s">
        <v>165</v>
      </c>
      <c r="G4" s="5" t="s">
        <v>190</v>
      </c>
      <c r="H4" s="5" t="s">
        <v>180</v>
      </c>
      <c r="I4" s="5" t="s">
        <v>191</v>
      </c>
      <c r="J4" s="5" t="s">
        <v>192</v>
      </c>
      <c r="K4" s="5" t="s">
        <v>193</v>
      </c>
      <c r="L4" s="5" t="s">
        <v>194</v>
      </c>
      <c r="M4" s="5" t="s">
        <v>195</v>
      </c>
      <c r="N4" s="5" t="s">
        <v>144</v>
      </c>
      <c r="O4" s="5" t="s">
        <v>196</v>
      </c>
      <c r="P4" s="5" t="s">
        <v>197</v>
      </c>
      <c r="Q4" s="5" t="s">
        <v>198</v>
      </c>
      <c r="R4" s="5" t="s">
        <v>199</v>
      </c>
      <c r="S4" s="5" t="s">
        <v>200</v>
      </c>
      <c r="T4" s="5" t="s">
        <v>201</v>
      </c>
      <c r="U4" s="5" t="s">
        <v>202</v>
      </c>
    </row>
    <row r="5">
      <c r="A5" s="15"/>
      <c r="B5" s="7"/>
      <c r="C5" s="7" t="str">
        <f t="array" ref="C5">IFERROR(INDEX('Order Planning'!$C$5:$C$204,MATCH(B5,'Order Planning'!$A$5:$A$204,0)),"")</f>
        <v/>
      </c>
      <c r="D5" s="7" t="str">
        <f t="array" ref="D5">IFERROR(INDEX('Order Planning'!$E$5:$E$204,MATCH(B5,'Order Planning'!$A$5:$A$204,0)),"")</f>
        <v/>
      </c>
      <c r="E5" s="7" t="str">
        <f t="array" ref="E5">IFERROR(INDEX('Order Planning'!$F$5:$F$204,MATCH(B5,'Order Planning'!$A$5:$A$204,0)),"")</f>
        <v/>
      </c>
      <c r="F5" s="7"/>
      <c r="G5" s="7"/>
      <c r="L5" s="7">
        <f t="shared" ref="L5:L504" si="1">MAX(0,I5-J5-K5)</f>
        <v>0</v>
      </c>
      <c r="M5" s="14">
        <f t="shared" ref="M5:M504" si="2">IF(H5=0,0,L5/H5)</f>
        <v>0</v>
      </c>
      <c r="N5" s="7"/>
      <c r="O5" s="7">
        <f>IF(N5="Full Process",Settings!$B$6,IF(N5="Assembly Only",Settings!$B$7,0))</f>
        <v>0</v>
      </c>
      <c r="P5" s="14">
        <f t="shared" ref="P5:P504" si="3">IF(O5=0,0,L5/O5)</f>
        <v>0</v>
      </c>
      <c r="Q5" s="13">
        <f>IF(O5=0,0,MIN(1,L5/O5)*Settings!$B$5)</f>
        <v>0</v>
      </c>
      <c r="R5" s="16"/>
      <c r="S5" s="16"/>
      <c r="U5" s="7"/>
    </row>
    <row r="6">
      <c r="A6" s="15"/>
      <c r="B6" s="7"/>
      <c r="C6" s="7" t="str">
        <f t="array" ref="C6">IFERROR(INDEX('Order Planning'!$C$5:$C$204,MATCH(B6,'Order Planning'!$A$5:$A$204,0)),"")</f>
        <v/>
      </c>
      <c r="D6" s="7" t="str">
        <f t="array" ref="D6">IFERROR(INDEX('Order Planning'!$E$5:$E$204,MATCH(B6,'Order Planning'!$A$5:$A$204,0)),"")</f>
        <v/>
      </c>
      <c r="E6" s="7" t="str">
        <f t="array" ref="E6">IFERROR(INDEX('Order Planning'!$F$5:$F$204,MATCH(B6,'Order Planning'!$A$5:$A$204,0)),"")</f>
        <v/>
      </c>
      <c r="F6" s="7"/>
      <c r="G6" s="7"/>
      <c r="L6" s="7">
        <f t="shared" si="1"/>
        <v>0</v>
      </c>
      <c r="M6" s="14">
        <f t="shared" si="2"/>
        <v>0</v>
      </c>
      <c r="N6" s="7"/>
      <c r="O6" s="7">
        <f>IF(N6="Full Process",Settings!$B$6,IF(N6="Assembly Only",Settings!$B$7,0))</f>
        <v>0</v>
      </c>
      <c r="P6" s="14">
        <f t="shared" si="3"/>
        <v>0</v>
      </c>
      <c r="Q6" s="13">
        <f>IF(O6=0,0,MIN(1,L6/O6)*Settings!$B$5)</f>
        <v>0</v>
      </c>
      <c r="R6" s="16"/>
      <c r="S6" s="16"/>
      <c r="U6" s="7"/>
    </row>
    <row r="7">
      <c r="A7" s="15"/>
      <c r="B7" s="7"/>
      <c r="C7" s="7" t="str">
        <f t="array" ref="C7">IFERROR(INDEX('Order Planning'!$C$5:$C$204,MATCH(B7,'Order Planning'!$A$5:$A$204,0)),"")</f>
        <v/>
      </c>
      <c r="D7" s="7" t="str">
        <f t="array" ref="D7">IFERROR(INDEX('Order Planning'!$E$5:$E$204,MATCH(B7,'Order Planning'!$A$5:$A$204,0)),"")</f>
        <v/>
      </c>
      <c r="E7" s="7" t="str">
        <f t="array" ref="E7">IFERROR(INDEX('Order Planning'!$F$5:$F$204,MATCH(B7,'Order Planning'!$A$5:$A$204,0)),"")</f>
        <v/>
      </c>
      <c r="F7" s="7"/>
      <c r="G7" s="7"/>
      <c r="L7" s="7">
        <f t="shared" si="1"/>
        <v>0</v>
      </c>
      <c r="M7" s="14">
        <f t="shared" si="2"/>
        <v>0</v>
      </c>
      <c r="N7" s="7"/>
      <c r="O7" s="7">
        <f>IF(N7="Full Process",Settings!$B$6,IF(N7="Assembly Only",Settings!$B$7,0))</f>
        <v>0</v>
      </c>
      <c r="P7" s="14">
        <f t="shared" si="3"/>
        <v>0</v>
      </c>
      <c r="Q7" s="13">
        <f>IF(O7=0,0,MIN(1,L7/O7)*Settings!$B$5)</f>
        <v>0</v>
      </c>
      <c r="R7" s="16"/>
      <c r="S7" s="16"/>
      <c r="U7" s="7"/>
    </row>
    <row r="8">
      <c r="A8" s="15"/>
      <c r="B8" s="7"/>
      <c r="C8" s="7" t="str">
        <f t="array" ref="C8">IFERROR(INDEX('Order Planning'!$C$5:$C$204,MATCH(B8,'Order Planning'!$A$5:$A$204,0)),"")</f>
        <v/>
      </c>
      <c r="D8" s="7" t="str">
        <f t="array" ref="D8">IFERROR(INDEX('Order Planning'!$E$5:$E$204,MATCH(B8,'Order Planning'!$A$5:$A$204,0)),"")</f>
        <v/>
      </c>
      <c r="E8" s="7" t="str">
        <f t="array" ref="E8">IFERROR(INDEX('Order Planning'!$F$5:$F$204,MATCH(B8,'Order Planning'!$A$5:$A$204,0)),"")</f>
        <v/>
      </c>
      <c r="F8" s="7"/>
      <c r="G8" s="7"/>
      <c r="L8" s="7">
        <f t="shared" si="1"/>
        <v>0</v>
      </c>
      <c r="M8" s="14">
        <f t="shared" si="2"/>
        <v>0</v>
      </c>
      <c r="N8" s="7"/>
      <c r="O8" s="7">
        <f>IF(N8="Full Process",Settings!$B$6,IF(N8="Assembly Only",Settings!$B$7,0))</f>
        <v>0</v>
      </c>
      <c r="P8" s="14">
        <f t="shared" si="3"/>
        <v>0</v>
      </c>
      <c r="Q8" s="13">
        <f>IF(O8=0,0,MIN(1,L8/O8)*Settings!$B$5)</f>
        <v>0</v>
      </c>
      <c r="R8" s="16"/>
      <c r="S8" s="16"/>
      <c r="U8" s="7"/>
    </row>
    <row r="9">
      <c r="A9" s="15"/>
      <c r="B9" s="7"/>
      <c r="C9" s="7" t="str">
        <f t="array" ref="C9">IFERROR(INDEX('Order Planning'!$C$5:$C$204,MATCH(B9,'Order Planning'!$A$5:$A$204,0)),"")</f>
        <v/>
      </c>
      <c r="D9" s="7" t="str">
        <f t="array" ref="D9">IFERROR(INDEX('Order Planning'!$E$5:$E$204,MATCH(B9,'Order Planning'!$A$5:$A$204,0)),"")</f>
        <v/>
      </c>
      <c r="E9" s="7" t="str">
        <f t="array" ref="E9">IFERROR(INDEX('Order Planning'!$F$5:$F$204,MATCH(B9,'Order Planning'!$A$5:$A$204,0)),"")</f>
        <v/>
      </c>
      <c r="F9" s="7"/>
      <c r="G9" s="7"/>
      <c r="L9" s="7">
        <f t="shared" si="1"/>
        <v>0</v>
      </c>
      <c r="M9" s="14">
        <f t="shared" si="2"/>
        <v>0</v>
      </c>
      <c r="N9" s="7"/>
      <c r="O9" s="7">
        <f>IF(N9="Full Process",Settings!$B$6,IF(N9="Assembly Only",Settings!$B$7,0))</f>
        <v>0</v>
      </c>
      <c r="P9" s="14">
        <f t="shared" si="3"/>
        <v>0</v>
      </c>
      <c r="Q9" s="13">
        <f>IF(O9=0,0,MIN(1,L9/O9)*Settings!$B$5)</f>
        <v>0</v>
      </c>
      <c r="R9" s="16"/>
      <c r="S9" s="16"/>
      <c r="U9" s="7"/>
    </row>
    <row r="10">
      <c r="A10" s="15"/>
      <c r="B10" s="7"/>
      <c r="C10" s="7" t="str">
        <f t="array" ref="C10">IFERROR(INDEX('Order Planning'!$C$5:$C$204,MATCH(B10,'Order Planning'!$A$5:$A$204,0)),"")</f>
        <v/>
      </c>
      <c r="D10" s="7" t="str">
        <f t="array" ref="D10">IFERROR(INDEX('Order Planning'!$E$5:$E$204,MATCH(B10,'Order Planning'!$A$5:$A$204,0)),"")</f>
        <v/>
      </c>
      <c r="E10" s="7" t="str">
        <f t="array" ref="E10">IFERROR(INDEX('Order Planning'!$F$5:$F$204,MATCH(B10,'Order Planning'!$A$5:$A$204,0)),"")</f>
        <v/>
      </c>
      <c r="F10" s="7"/>
      <c r="G10" s="7"/>
      <c r="L10" s="7">
        <f t="shared" si="1"/>
        <v>0</v>
      </c>
      <c r="M10" s="14">
        <f t="shared" si="2"/>
        <v>0</v>
      </c>
      <c r="N10" s="7"/>
      <c r="O10" s="7">
        <f>IF(N10="Full Process",Settings!$B$6,IF(N10="Assembly Only",Settings!$B$7,0))</f>
        <v>0</v>
      </c>
      <c r="P10" s="14">
        <f t="shared" si="3"/>
        <v>0</v>
      </c>
      <c r="Q10" s="13">
        <f>IF(O10=0,0,MIN(1,L10/O10)*Settings!$B$5)</f>
        <v>0</v>
      </c>
      <c r="R10" s="16"/>
      <c r="S10" s="16"/>
      <c r="U10" s="7"/>
    </row>
    <row r="11">
      <c r="A11" s="15"/>
      <c r="B11" s="7"/>
      <c r="C11" s="7" t="str">
        <f t="array" ref="C11">IFERROR(INDEX('Order Planning'!$C$5:$C$204,MATCH(B11,'Order Planning'!$A$5:$A$204,0)),"")</f>
        <v/>
      </c>
      <c r="D11" s="7" t="str">
        <f t="array" ref="D11">IFERROR(INDEX('Order Planning'!$E$5:$E$204,MATCH(B11,'Order Planning'!$A$5:$A$204,0)),"")</f>
        <v/>
      </c>
      <c r="E11" s="7" t="str">
        <f t="array" ref="E11">IFERROR(INDEX('Order Planning'!$F$5:$F$204,MATCH(B11,'Order Planning'!$A$5:$A$204,0)),"")</f>
        <v/>
      </c>
      <c r="F11" s="7"/>
      <c r="G11" s="7"/>
      <c r="L11" s="7">
        <f t="shared" si="1"/>
        <v>0</v>
      </c>
      <c r="M11" s="14">
        <f t="shared" si="2"/>
        <v>0</v>
      </c>
      <c r="N11" s="7"/>
      <c r="O11" s="7">
        <f>IF(N11="Full Process",Settings!$B$6,IF(N11="Assembly Only",Settings!$B$7,0))</f>
        <v>0</v>
      </c>
      <c r="P11" s="14">
        <f t="shared" si="3"/>
        <v>0</v>
      </c>
      <c r="Q11" s="13">
        <f>IF(O11=0,0,MIN(1,L11/O11)*Settings!$B$5)</f>
        <v>0</v>
      </c>
      <c r="R11" s="16"/>
      <c r="S11" s="16"/>
      <c r="U11" s="7"/>
    </row>
    <row r="12">
      <c r="A12" s="15"/>
      <c r="B12" s="7"/>
      <c r="C12" s="7" t="str">
        <f t="array" ref="C12">IFERROR(INDEX('Order Planning'!$C$5:$C$204,MATCH(B12,'Order Planning'!$A$5:$A$204,0)),"")</f>
        <v/>
      </c>
      <c r="D12" s="7" t="str">
        <f t="array" ref="D12">IFERROR(INDEX('Order Planning'!$E$5:$E$204,MATCH(B12,'Order Planning'!$A$5:$A$204,0)),"")</f>
        <v/>
      </c>
      <c r="E12" s="7" t="str">
        <f t="array" ref="E12">IFERROR(INDEX('Order Planning'!$F$5:$F$204,MATCH(B12,'Order Planning'!$A$5:$A$204,0)),"")</f>
        <v/>
      </c>
      <c r="F12" s="7"/>
      <c r="G12" s="7"/>
      <c r="L12" s="7">
        <f t="shared" si="1"/>
        <v>0</v>
      </c>
      <c r="M12" s="14">
        <f t="shared" si="2"/>
        <v>0</v>
      </c>
      <c r="N12" s="7"/>
      <c r="O12" s="7">
        <f>IF(N12="Full Process",Settings!$B$6,IF(N12="Assembly Only",Settings!$B$7,0))</f>
        <v>0</v>
      </c>
      <c r="P12" s="14">
        <f t="shared" si="3"/>
        <v>0</v>
      </c>
      <c r="Q12" s="13">
        <f>IF(O12=0,0,MIN(1,L12/O12)*Settings!$B$5)</f>
        <v>0</v>
      </c>
      <c r="R12" s="16"/>
      <c r="S12" s="16"/>
      <c r="U12" s="7"/>
    </row>
    <row r="13">
      <c r="A13" s="15"/>
      <c r="B13" s="7"/>
      <c r="C13" s="7" t="str">
        <f t="array" ref="C13">IFERROR(INDEX('Order Planning'!$C$5:$C$204,MATCH(B13,'Order Planning'!$A$5:$A$204,0)),"")</f>
        <v/>
      </c>
      <c r="D13" s="7" t="str">
        <f t="array" ref="D13">IFERROR(INDEX('Order Planning'!$E$5:$E$204,MATCH(B13,'Order Planning'!$A$5:$A$204,0)),"")</f>
        <v/>
      </c>
      <c r="E13" s="7" t="str">
        <f t="array" ref="E13">IFERROR(INDEX('Order Planning'!$F$5:$F$204,MATCH(B13,'Order Planning'!$A$5:$A$204,0)),"")</f>
        <v/>
      </c>
      <c r="F13" s="7"/>
      <c r="G13" s="7"/>
      <c r="L13" s="7">
        <f t="shared" si="1"/>
        <v>0</v>
      </c>
      <c r="M13" s="14">
        <f t="shared" si="2"/>
        <v>0</v>
      </c>
      <c r="N13" s="7"/>
      <c r="O13" s="7">
        <f>IF(N13="Full Process",Settings!$B$6,IF(N13="Assembly Only",Settings!$B$7,0))</f>
        <v>0</v>
      </c>
      <c r="P13" s="14">
        <f t="shared" si="3"/>
        <v>0</v>
      </c>
      <c r="Q13" s="13">
        <f>IF(O13=0,0,MIN(1,L13/O13)*Settings!$B$5)</f>
        <v>0</v>
      </c>
      <c r="R13" s="16"/>
      <c r="S13" s="16"/>
      <c r="U13" s="7"/>
    </row>
    <row r="14">
      <c r="A14" s="15"/>
      <c r="B14" s="7"/>
      <c r="C14" s="7" t="str">
        <f t="array" ref="C14">IFERROR(INDEX('Order Planning'!$C$5:$C$204,MATCH(B14,'Order Planning'!$A$5:$A$204,0)),"")</f>
        <v/>
      </c>
      <c r="D14" s="7" t="str">
        <f t="array" ref="D14">IFERROR(INDEX('Order Planning'!$E$5:$E$204,MATCH(B14,'Order Planning'!$A$5:$A$204,0)),"")</f>
        <v/>
      </c>
      <c r="E14" s="7" t="str">
        <f t="array" ref="E14">IFERROR(INDEX('Order Planning'!$F$5:$F$204,MATCH(B14,'Order Planning'!$A$5:$A$204,0)),"")</f>
        <v/>
      </c>
      <c r="F14" s="7"/>
      <c r="G14" s="7"/>
      <c r="L14" s="7">
        <f t="shared" si="1"/>
        <v>0</v>
      </c>
      <c r="M14" s="14">
        <f t="shared" si="2"/>
        <v>0</v>
      </c>
      <c r="N14" s="7"/>
      <c r="O14" s="7">
        <f>IF(N14="Full Process",Settings!$B$6,IF(N14="Assembly Only",Settings!$B$7,0))</f>
        <v>0</v>
      </c>
      <c r="P14" s="14">
        <f t="shared" si="3"/>
        <v>0</v>
      </c>
      <c r="Q14" s="13">
        <f>IF(O14=0,0,MIN(1,L14/O14)*Settings!$B$5)</f>
        <v>0</v>
      </c>
      <c r="R14" s="16"/>
      <c r="S14" s="16"/>
      <c r="U14" s="7"/>
    </row>
    <row r="15">
      <c r="A15" s="15"/>
      <c r="B15" s="7"/>
      <c r="C15" s="7" t="str">
        <f t="array" ref="C15">IFERROR(INDEX('Order Planning'!$C$5:$C$204,MATCH(B15,'Order Planning'!$A$5:$A$204,0)),"")</f>
        <v/>
      </c>
      <c r="D15" s="7" t="str">
        <f t="array" ref="D15">IFERROR(INDEX('Order Planning'!$E$5:$E$204,MATCH(B15,'Order Planning'!$A$5:$A$204,0)),"")</f>
        <v/>
      </c>
      <c r="E15" s="7" t="str">
        <f t="array" ref="E15">IFERROR(INDEX('Order Planning'!$F$5:$F$204,MATCH(B15,'Order Planning'!$A$5:$A$204,0)),"")</f>
        <v/>
      </c>
      <c r="F15" s="7"/>
      <c r="G15" s="7"/>
      <c r="L15" s="7">
        <f t="shared" si="1"/>
        <v>0</v>
      </c>
      <c r="M15" s="14">
        <f t="shared" si="2"/>
        <v>0</v>
      </c>
      <c r="N15" s="7"/>
      <c r="O15" s="7">
        <f>IF(N15="Full Process",Settings!$B$6,IF(N15="Assembly Only",Settings!$B$7,0))</f>
        <v>0</v>
      </c>
      <c r="P15" s="14">
        <f t="shared" si="3"/>
        <v>0</v>
      </c>
      <c r="Q15" s="13">
        <f>IF(O15=0,0,MIN(1,L15/O15)*Settings!$B$5)</f>
        <v>0</v>
      </c>
      <c r="R15" s="16"/>
      <c r="S15" s="16"/>
      <c r="U15" s="7"/>
    </row>
    <row r="16">
      <c r="A16" s="15"/>
      <c r="B16" s="7"/>
      <c r="C16" s="7" t="str">
        <f t="array" ref="C16">IFERROR(INDEX('Order Planning'!$C$5:$C$204,MATCH(B16,'Order Planning'!$A$5:$A$204,0)),"")</f>
        <v/>
      </c>
      <c r="D16" s="7" t="str">
        <f t="array" ref="D16">IFERROR(INDEX('Order Planning'!$E$5:$E$204,MATCH(B16,'Order Planning'!$A$5:$A$204,0)),"")</f>
        <v/>
      </c>
      <c r="E16" s="7" t="str">
        <f t="array" ref="E16">IFERROR(INDEX('Order Planning'!$F$5:$F$204,MATCH(B16,'Order Planning'!$A$5:$A$204,0)),"")</f>
        <v/>
      </c>
      <c r="F16" s="7"/>
      <c r="G16" s="7"/>
      <c r="L16" s="7">
        <f t="shared" si="1"/>
        <v>0</v>
      </c>
      <c r="M16" s="14">
        <f t="shared" si="2"/>
        <v>0</v>
      </c>
      <c r="N16" s="7"/>
      <c r="O16" s="7">
        <f>IF(N16="Full Process",Settings!$B$6,IF(N16="Assembly Only",Settings!$B$7,0))</f>
        <v>0</v>
      </c>
      <c r="P16" s="14">
        <f t="shared" si="3"/>
        <v>0</v>
      </c>
      <c r="Q16" s="13">
        <f>IF(O16=0,0,MIN(1,L16/O16)*Settings!$B$5)</f>
        <v>0</v>
      </c>
      <c r="R16" s="16"/>
      <c r="S16" s="16"/>
      <c r="U16" s="7"/>
    </row>
    <row r="17">
      <c r="A17" s="15"/>
      <c r="B17" s="7"/>
      <c r="C17" s="7" t="str">
        <f t="array" ref="C17">IFERROR(INDEX('Order Planning'!$C$5:$C$204,MATCH(B17,'Order Planning'!$A$5:$A$204,0)),"")</f>
        <v/>
      </c>
      <c r="D17" s="7" t="str">
        <f t="array" ref="D17">IFERROR(INDEX('Order Planning'!$E$5:$E$204,MATCH(B17,'Order Planning'!$A$5:$A$204,0)),"")</f>
        <v/>
      </c>
      <c r="E17" s="7" t="str">
        <f t="array" ref="E17">IFERROR(INDEX('Order Planning'!$F$5:$F$204,MATCH(B17,'Order Planning'!$A$5:$A$204,0)),"")</f>
        <v/>
      </c>
      <c r="F17" s="7"/>
      <c r="G17" s="7"/>
      <c r="L17" s="7">
        <f t="shared" si="1"/>
        <v>0</v>
      </c>
      <c r="M17" s="14">
        <f t="shared" si="2"/>
        <v>0</v>
      </c>
      <c r="N17" s="7"/>
      <c r="O17" s="7">
        <f>IF(N17="Full Process",Settings!$B$6,IF(N17="Assembly Only",Settings!$B$7,0))</f>
        <v>0</v>
      </c>
      <c r="P17" s="14">
        <f t="shared" si="3"/>
        <v>0</v>
      </c>
      <c r="Q17" s="13">
        <f>IF(O17=0,0,MIN(1,L17/O17)*Settings!$B$5)</f>
        <v>0</v>
      </c>
      <c r="R17" s="16"/>
      <c r="S17" s="16"/>
      <c r="U17" s="7"/>
    </row>
    <row r="18">
      <c r="A18" s="15"/>
      <c r="B18" s="7"/>
      <c r="C18" s="7" t="str">
        <f t="array" ref="C18">IFERROR(INDEX('Order Planning'!$C$5:$C$204,MATCH(B18,'Order Planning'!$A$5:$A$204,0)),"")</f>
        <v/>
      </c>
      <c r="D18" s="7" t="str">
        <f t="array" ref="D18">IFERROR(INDEX('Order Planning'!$E$5:$E$204,MATCH(B18,'Order Planning'!$A$5:$A$204,0)),"")</f>
        <v/>
      </c>
      <c r="E18" s="7" t="str">
        <f t="array" ref="E18">IFERROR(INDEX('Order Planning'!$F$5:$F$204,MATCH(B18,'Order Planning'!$A$5:$A$204,0)),"")</f>
        <v/>
      </c>
      <c r="F18" s="7"/>
      <c r="G18" s="7"/>
      <c r="L18" s="7">
        <f t="shared" si="1"/>
        <v>0</v>
      </c>
      <c r="M18" s="14">
        <f t="shared" si="2"/>
        <v>0</v>
      </c>
      <c r="N18" s="7"/>
      <c r="O18" s="7">
        <f>IF(N18="Full Process",Settings!$B$6,IF(N18="Assembly Only",Settings!$B$7,0))</f>
        <v>0</v>
      </c>
      <c r="P18" s="14">
        <f t="shared" si="3"/>
        <v>0</v>
      </c>
      <c r="Q18" s="13">
        <f>IF(O18=0,0,MIN(1,L18/O18)*Settings!$B$5)</f>
        <v>0</v>
      </c>
      <c r="R18" s="16"/>
      <c r="S18" s="16"/>
      <c r="U18" s="7"/>
    </row>
    <row r="19">
      <c r="A19" s="15"/>
      <c r="B19" s="7"/>
      <c r="C19" s="7" t="str">
        <f t="array" ref="C19">IFERROR(INDEX('Order Planning'!$C$5:$C$204,MATCH(B19,'Order Planning'!$A$5:$A$204,0)),"")</f>
        <v/>
      </c>
      <c r="D19" s="7" t="str">
        <f t="array" ref="D19">IFERROR(INDEX('Order Planning'!$E$5:$E$204,MATCH(B19,'Order Planning'!$A$5:$A$204,0)),"")</f>
        <v/>
      </c>
      <c r="E19" s="7" t="str">
        <f t="array" ref="E19">IFERROR(INDEX('Order Planning'!$F$5:$F$204,MATCH(B19,'Order Planning'!$A$5:$A$204,0)),"")</f>
        <v/>
      </c>
      <c r="F19" s="7"/>
      <c r="G19" s="7"/>
      <c r="L19" s="7">
        <f t="shared" si="1"/>
        <v>0</v>
      </c>
      <c r="M19" s="14">
        <f t="shared" si="2"/>
        <v>0</v>
      </c>
      <c r="N19" s="7"/>
      <c r="O19" s="7">
        <f>IF(N19="Full Process",Settings!$B$6,IF(N19="Assembly Only",Settings!$B$7,0))</f>
        <v>0</v>
      </c>
      <c r="P19" s="14">
        <f t="shared" si="3"/>
        <v>0</v>
      </c>
      <c r="Q19" s="13">
        <f>IF(O19=0,0,MIN(1,L19/O19)*Settings!$B$5)</f>
        <v>0</v>
      </c>
      <c r="R19" s="16"/>
      <c r="S19" s="16"/>
      <c r="U19" s="7"/>
    </row>
    <row r="20">
      <c r="A20" s="15"/>
      <c r="B20" s="7"/>
      <c r="C20" s="7" t="str">
        <f t="array" ref="C20">IFERROR(INDEX('Order Planning'!$C$5:$C$204,MATCH(B20,'Order Planning'!$A$5:$A$204,0)),"")</f>
        <v/>
      </c>
      <c r="D20" s="7" t="str">
        <f t="array" ref="D20">IFERROR(INDEX('Order Planning'!$E$5:$E$204,MATCH(B20,'Order Planning'!$A$5:$A$204,0)),"")</f>
        <v/>
      </c>
      <c r="E20" s="7" t="str">
        <f t="array" ref="E20">IFERROR(INDEX('Order Planning'!$F$5:$F$204,MATCH(B20,'Order Planning'!$A$5:$A$204,0)),"")</f>
        <v/>
      </c>
      <c r="F20" s="7"/>
      <c r="G20" s="7"/>
      <c r="L20" s="7">
        <f t="shared" si="1"/>
        <v>0</v>
      </c>
      <c r="M20" s="14">
        <f t="shared" si="2"/>
        <v>0</v>
      </c>
      <c r="N20" s="7"/>
      <c r="O20" s="7">
        <f>IF(N20="Full Process",Settings!$B$6,IF(N20="Assembly Only",Settings!$B$7,0))</f>
        <v>0</v>
      </c>
      <c r="P20" s="14">
        <f t="shared" si="3"/>
        <v>0</v>
      </c>
      <c r="Q20" s="13">
        <f>IF(O20=0,0,MIN(1,L20/O20)*Settings!$B$5)</f>
        <v>0</v>
      </c>
      <c r="R20" s="16"/>
      <c r="S20" s="16"/>
      <c r="U20" s="7"/>
    </row>
    <row r="21" ht="15.75" customHeight="1">
      <c r="A21" s="15"/>
      <c r="B21" s="7"/>
      <c r="C21" s="7" t="str">
        <f t="array" ref="C21">IFERROR(INDEX('Order Planning'!$C$5:$C$204,MATCH(B21,'Order Planning'!$A$5:$A$204,0)),"")</f>
        <v/>
      </c>
      <c r="D21" s="7" t="str">
        <f t="array" ref="D21">IFERROR(INDEX('Order Planning'!$E$5:$E$204,MATCH(B21,'Order Planning'!$A$5:$A$204,0)),"")</f>
        <v/>
      </c>
      <c r="E21" s="7" t="str">
        <f t="array" ref="E21">IFERROR(INDEX('Order Planning'!$F$5:$F$204,MATCH(B21,'Order Planning'!$A$5:$A$204,0)),"")</f>
        <v/>
      </c>
      <c r="F21" s="7"/>
      <c r="G21" s="7"/>
      <c r="L21" s="7">
        <f t="shared" si="1"/>
        <v>0</v>
      </c>
      <c r="M21" s="14">
        <f t="shared" si="2"/>
        <v>0</v>
      </c>
      <c r="N21" s="7"/>
      <c r="O21" s="7">
        <f>IF(N21="Full Process",Settings!$B$6,IF(N21="Assembly Only",Settings!$B$7,0))</f>
        <v>0</v>
      </c>
      <c r="P21" s="14">
        <f t="shared" si="3"/>
        <v>0</v>
      </c>
      <c r="Q21" s="13">
        <f>IF(O21=0,0,MIN(1,L21/O21)*Settings!$B$5)</f>
        <v>0</v>
      </c>
      <c r="R21" s="16"/>
      <c r="S21" s="16"/>
      <c r="U21" s="7"/>
    </row>
    <row r="22" ht="15.75" customHeight="1">
      <c r="A22" s="15"/>
      <c r="B22" s="7"/>
      <c r="C22" s="7" t="str">
        <f t="array" ref="C22">IFERROR(INDEX('Order Planning'!$C$5:$C$204,MATCH(B22,'Order Planning'!$A$5:$A$204,0)),"")</f>
        <v/>
      </c>
      <c r="D22" s="7" t="str">
        <f t="array" ref="D22">IFERROR(INDEX('Order Planning'!$E$5:$E$204,MATCH(B22,'Order Planning'!$A$5:$A$204,0)),"")</f>
        <v/>
      </c>
      <c r="E22" s="7" t="str">
        <f t="array" ref="E22">IFERROR(INDEX('Order Planning'!$F$5:$F$204,MATCH(B22,'Order Planning'!$A$5:$A$204,0)),"")</f>
        <v/>
      </c>
      <c r="F22" s="7"/>
      <c r="G22" s="7"/>
      <c r="L22" s="7">
        <f t="shared" si="1"/>
        <v>0</v>
      </c>
      <c r="M22" s="14">
        <f t="shared" si="2"/>
        <v>0</v>
      </c>
      <c r="N22" s="7"/>
      <c r="O22" s="7">
        <f>IF(N22="Full Process",Settings!$B$6,IF(N22="Assembly Only",Settings!$B$7,0))</f>
        <v>0</v>
      </c>
      <c r="P22" s="14">
        <f t="shared" si="3"/>
        <v>0</v>
      </c>
      <c r="Q22" s="13">
        <f>IF(O22=0,0,MIN(1,L22/O22)*Settings!$B$5)</f>
        <v>0</v>
      </c>
      <c r="R22" s="16"/>
      <c r="S22" s="16"/>
      <c r="U22" s="7"/>
    </row>
    <row r="23" ht="15.75" customHeight="1">
      <c r="A23" s="15"/>
      <c r="B23" s="7"/>
      <c r="C23" s="7" t="str">
        <f t="array" ref="C23">IFERROR(INDEX('Order Planning'!$C$5:$C$204,MATCH(B23,'Order Planning'!$A$5:$A$204,0)),"")</f>
        <v/>
      </c>
      <c r="D23" s="7" t="str">
        <f t="array" ref="D23">IFERROR(INDEX('Order Planning'!$E$5:$E$204,MATCH(B23,'Order Planning'!$A$5:$A$204,0)),"")</f>
        <v/>
      </c>
      <c r="E23" s="7" t="str">
        <f t="array" ref="E23">IFERROR(INDEX('Order Planning'!$F$5:$F$204,MATCH(B23,'Order Planning'!$A$5:$A$204,0)),"")</f>
        <v/>
      </c>
      <c r="F23" s="7"/>
      <c r="G23" s="7"/>
      <c r="L23" s="7">
        <f t="shared" si="1"/>
        <v>0</v>
      </c>
      <c r="M23" s="14">
        <f t="shared" si="2"/>
        <v>0</v>
      </c>
      <c r="N23" s="7"/>
      <c r="O23" s="7">
        <f>IF(N23="Full Process",Settings!$B$6,IF(N23="Assembly Only",Settings!$B$7,0))</f>
        <v>0</v>
      </c>
      <c r="P23" s="14">
        <f t="shared" si="3"/>
        <v>0</v>
      </c>
      <c r="Q23" s="13">
        <f>IF(O23=0,0,MIN(1,L23/O23)*Settings!$B$5)</f>
        <v>0</v>
      </c>
      <c r="R23" s="16"/>
      <c r="S23" s="16"/>
      <c r="U23" s="7"/>
    </row>
    <row r="24" ht="15.75" customHeight="1">
      <c r="A24" s="15"/>
      <c r="B24" s="7"/>
      <c r="C24" s="7" t="str">
        <f t="array" ref="C24">IFERROR(INDEX('Order Planning'!$C$5:$C$204,MATCH(B24,'Order Planning'!$A$5:$A$204,0)),"")</f>
        <v/>
      </c>
      <c r="D24" s="7" t="str">
        <f t="array" ref="D24">IFERROR(INDEX('Order Planning'!$E$5:$E$204,MATCH(B24,'Order Planning'!$A$5:$A$204,0)),"")</f>
        <v/>
      </c>
      <c r="E24" s="7" t="str">
        <f t="array" ref="E24">IFERROR(INDEX('Order Planning'!$F$5:$F$204,MATCH(B24,'Order Planning'!$A$5:$A$204,0)),"")</f>
        <v/>
      </c>
      <c r="F24" s="7"/>
      <c r="G24" s="7"/>
      <c r="L24" s="7">
        <f t="shared" si="1"/>
        <v>0</v>
      </c>
      <c r="M24" s="14">
        <f t="shared" si="2"/>
        <v>0</v>
      </c>
      <c r="N24" s="7"/>
      <c r="O24" s="7">
        <f>IF(N24="Full Process",Settings!$B$6,IF(N24="Assembly Only",Settings!$B$7,0))</f>
        <v>0</v>
      </c>
      <c r="P24" s="14">
        <f t="shared" si="3"/>
        <v>0</v>
      </c>
      <c r="Q24" s="13">
        <f>IF(O24=0,0,MIN(1,L24/O24)*Settings!$B$5)</f>
        <v>0</v>
      </c>
      <c r="R24" s="16"/>
      <c r="S24" s="16"/>
      <c r="U24" s="7"/>
    </row>
    <row r="25" ht="15.75" customHeight="1">
      <c r="A25" s="15"/>
      <c r="B25" s="7"/>
      <c r="C25" s="7" t="str">
        <f t="array" ref="C25">IFERROR(INDEX('Order Planning'!$C$5:$C$204,MATCH(B25,'Order Planning'!$A$5:$A$204,0)),"")</f>
        <v/>
      </c>
      <c r="D25" s="7" t="str">
        <f t="array" ref="D25">IFERROR(INDEX('Order Planning'!$E$5:$E$204,MATCH(B25,'Order Planning'!$A$5:$A$204,0)),"")</f>
        <v/>
      </c>
      <c r="E25" s="7" t="str">
        <f t="array" ref="E25">IFERROR(INDEX('Order Planning'!$F$5:$F$204,MATCH(B25,'Order Planning'!$A$5:$A$204,0)),"")</f>
        <v/>
      </c>
      <c r="F25" s="7"/>
      <c r="G25" s="7"/>
      <c r="L25" s="7">
        <f t="shared" si="1"/>
        <v>0</v>
      </c>
      <c r="M25" s="14">
        <f t="shared" si="2"/>
        <v>0</v>
      </c>
      <c r="N25" s="7"/>
      <c r="O25" s="7">
        <f>IF(N25="Full Process",Settings!$B$6,IF(N25="Assembly Only",Settings!$B$7,0))</f>
        <v>0</v>
      </c>
      <c r="P25" s="14">
        <f t="shared" si="3"/>
        <v>0</v>
      </c>
      <c r="Q25" s="13">
        <f>IF(O25=0,0,MIN(1,L25/O25)*Settings!$B$5)</f>
        <v>0</v>
      </c>
      <c r="R25" s="16"/>
      <c r="S25" s="16"/>
      <c r="U25" s="7"/>
    </row>
    <row r="26" ht="15.75" customHeight="1">
      <c r="A26" s="15"/>
      <c r="B26" s="7"/>
      <c r="C26" s="7" t="str">
        <f t="array" ref="C26">IFERROR(INDEX('Order Planning'!$C$5:$C$204,MATCH(B26,'Order Planning'!$A$5:$A$204,0)),"")</f>
        <v/>
      </c>
      <c r="D26" s="7" t="str">
        <f t="array" ref="D26">IFERROR(INDEX('Order Planning'!$E$5:$E$204,MATCH(B26,'Order Planning'!$A$5:$A$204,0)),"")</f>
        <v/>
      </c>
      <c r="E26" s="7" t="str">
        <f t="array" ref="E26">IFERROR(INDEX('Order Planning'!$F$5:$F$204,MATCH(B26,'Order Planning'!$A$5:$A$204,0)),"")</f>
        <v/>
      </c>
      <c r="F26" s="7"/>
      <c r="G26" s="7"/>
      <c r="L26" s="7">
        <f t="shared" si="1"/>
        <v>0</v>
      </c>
      <c r="M26" s="14">
        <f t="shared" si="2"/>
        <v>0</v>
      </c>
      <c r="N26" s="7"/>
      <c r="O26" s="7">
        <f>IF(N26="Full Process",Settings!$B$6,IF(N26="Assembly Only",Settings!$B$7,0))</f>
        <v>0</v>
      </c>
      <c r="P26" s="14">
        <f t="shared" si="3"/>
        <v>0</v>
      </c>
      <c r="Q26" s="13">
        <f>IF(O26=0,0,MIN(1,L26/O26)*Settings!$B$5)</f>
        <v>0</v>
      </c>
      <c r="R26" s="16"/>
      <c r="S26" s="16"/>
      <c r="U26" s="7"/>
    </row>
    <row r="27" ht="15.75" customHeight="1">
      <c r="A27" s="15"/>
      <c r="B27" s="7"/>
      <c r="C27" s="7" t="str">
        <f t="array" ref="C27">IFERROR(INDEX('Order Planning'!$C$5:$C$204,MATCH(B27,'Order Planning'!$A$5:$A$204,0)),"")</f>
        <v/>
      </c>
      <c r="D27" s="7" t="str">
        <f t="array" ref="D27">IFERROR(INDEX('Order Planning'!$E$5:$E$204,MATCH(B27,'Order Planning'!$A$5:$A$204,0)),"")</f>
        <v/>
      </c>
      <c r="E27" s="7" t="str">
        <f t="array" ref="E27">IFERROR(INDEX('Order Planning'!$F$5:$F$204,MATCH(B27,'Order Planning'!$A$5:$A$204,0)),"")</f>
        <v/>
      </c>
      <c r="F27" s="7"/>
      <c r="G27" s="7"/>
      <c r="L27" s="7">
        <f t="shared" si="1"/>
        <v>0</v>
      </c>
      <c r="M27" s="14">
        <f t="shared" si="2"/>
        <v>0</v>
      </c>
      <c r="N27" s="7"/>
      <c r="O27" s="7">
        <f>IF(N27="Full Process",Settings!$B$6,IF(N27="Assembly Only",Settings!$B$7,0))</f>
        <v>0</v>
      </c>
      <c r="P27" s="14">
        <f t="shared" si="3"/>
        <v>0</v>
      </c>
      <c r="Q27" s="13">
        <f>IF(O27=0,0,MIN(1,L27/O27)*Settings!$B$5)</f>
        <v>0</v>
      </c>
      <c r="R27" s="16"/>
      <c r="S27" s="16"/>
      <c r="U27" s="7"/>
    </row>
    <row r="28" ht="15.75" customHeight="1">
      <c r="A28" s="15"/>
      <c r="B28" s="7"/>
      <c r="C28" s="7" t="str">
        <f t="array" ref="C28">IFERROR(INDEX('Order Planning'!$C$5:$C$204,MATCH(B28,'Order Planning'!$A$5:$A$204,0)),"")</f>
        <v/>
      </c>
      <c r="D28" s="7" t="str">
        <f t="array" ref="D28">IFERROR(INDEX('Order Planning'!$E$5:$E$204,MATCH(B28,'Order Planning'!$A$5:$A$204,0)),"")</f>
        <v/>
      </c>
      <c r="E28" s="7" t="str">
        <f t="array" ref="E28">IFERROR(INDEX('Order Planning'!$F$5:$F$204,MATCH(B28,'Order Planning'!$A$5:$A$204,0)),"")</f>
        <v/>
      </c>
      <c r="F28" s="7"/>
      <c r="G28" s="7"/>
      <c r="L28" s="7">
        <f t="shared" si="1"/>
        <v>0</v>
      </c>
      <c r="M28" s="14">
        <f t="shared" si="2"/>
        <v>0</v>
      </c>
      <c r="N28" s="7"/>
      <c r="O28" s="7">
        <f>IF(N28="Full Process",Settings!$B$6,IF(N28="Assembly Only",Settings!$B$7,0))</f>
        <v>0</v>
      </c>
      <c r="P28" s="14">
        <f t="shared" si="3"/>
        <v>0</v>
      </c>
      <c r="Q28" s="13">
        <f>IF(O28=0,0,MIN(1,L28/O28)*Settings!$B$5)</f>
        <v>0</v>
      </c>
      <c r="R28" s="16"/>
      <c r="S28" s="16"/>
      <c r="U28" s="7"/>
    </row>
    <row r="29" ht="15.75" customHeight="1">
      <c r="A29" s="15"/>
      <c r="B29" s="7"/>
      <c r="C29" s="7" t="str">
        <f t="array" ref="C29">IFERROR(INDEX('Order Planning'!$C$5:$C$204,MATCH(B29,'Order Planning'!$A$5:$A$204,0)),"")</f>
        <v/>
      </c>
      <c r="D29" s="7" t="str">
        <f t="array" ref="D29">IFERROR(INDEX('Order Planning'!$E$5:$E$204,MATCH(B29,'Order Planning'!$A$5:$A$204,0)),"")</f>
        <v/>
      </c>
      <c r="E29" s="7" t="str">
        <f t="array" ref="E29">IFERROR(INDEX('Order Planning'!$F$5:$F$204,MATCH(B29,'Order Planning'!$A$5:$A$204,0)),"")</f>
        <v/>
      </c>
      <c r="F29" s="7"/>
      <c r="G29" s="7"/>
      <c r="L29" s="7">
        <f t="shared" si="1"/>
        <v>0</v>
      </c>
      <c r="M29" s="14">
        <f t="shared" si="2"/>
        <v>0</v>
      </c>
      <c r="N29" s="7"/>
      <c r="O29" s="7">
        <f>IF(N29="Full Process",Settings!$B$6,IF(N29="Assembly Only",Settings!$B$7,0))</f>
        <v>0</v>
      </c>
      <c r="P29" s="14">
        <f t="shared" si="3"/>
        <v>0</v>
      </c>
      <c r="Q29" s="13">
        <f>IF(O29=0,0,MIN(1,L29/O29)*Settings!$B$5)</f>
        <v>0</v>
      </c>
      <c r="R29" s="16"/>
      <c r="S29" s="16"/>
      <c r="U29" s="7"/>
    </row>
    <row r="30" ht="15.75" customHeight="1">
      <c r="A30" s="15"/>
      <c r="B30" s="7"/>
      <c r="C30" s="7" t="str">
        <f t="array" ref="C30">IFERROR(INDEX('Order Planning'!$C$5:$C$204,MATCH(B30,'Order Planning'!$A$5:$A$204,0)),"")</f>
        <v/>
      </c>
      <c r="D30" s="7" t="str">
        <f t="array" ref="D30">IFERROR(INDEX('Order Planning'!$E$5:$E$204,MATCH(B30,'Order Planning'!$A$5:$A$204,0)),"")</f>
        <v/>
      </c>
      <c r="E30" s="7" t="str">
        <f t="array" ref="E30">IFERROR(INDEX('Order Planning'!$F$5:$F$204,MATCH(B30,'Order Planning'!$A$5:$A$204,0)),"")</f>
        <v/>
      </c>
      <c r="F30" s="7"/>
      <c r="G30" s="7"/>
      <c r="L30" s="7">
        <f t="shared" si="1"/>
        <v>0</v>
      </c>
      <c r="M30" s="14">
        <f t="shared" si="2"/>
        <v>0</v>
      </c>
      <c r="N30" s="7"/>
      <c r="O30" s="7">
        <f>IF(N30="Full Process",Settings!$B$6,IF(N30="Assembly Only",Settings!$B$7,0))</f>
        <v>0</v>
      </c>
      <c r="P30" s="14">
        <f t="shared" si="3"/>
        <v>0</v>
      </c>
      <c r="Q30" s="13">
        <f>IF(O30=0,0,MIN(1,L30/O30)*Settings!$B$5)</f>
        <v>0</v>
      </c>
      <c r="R30" s="16"/>
      <c r="S30" s="16"/>
      <c r="U30" s="7"/>
    </row>
    <row r="31" ht="15.75" customHeight="1">
      <c r="A31" s="15"/>
      <c r="B31" s="7"/>
      <c r="C31" s="7" t="str">
        <f t="array" ref="C31">IFERROR(INDEX('Order Planning'!$C$5:$C$204,MATCH(B31,'Order Planning'!$A$5:$A$204,0)),"")</f>
        <v/>
      </c>
      <c r="D31" s="7" t="str">
        <f t="array" ref="D31">IFERROR(INDEX('Order Planning'!$E$5:$E$204,MATCH(B31,'Order Planning'!$A$5:$A$204,0)),"")</f>
        <v/>
      </c>
      <c r="E31" s="7" t="str">
        <f t="array" ref="E31">IFERROR(INDEX('Order Planning'!$F$5:$F$204,MATCH(B31,'Order Planning'!$A$5:$A$204,0)),"")</f>
        <v/>
      </c>
      <c r="F31" s="7"/>
      <c r="G31" s="7"/>
      <c r="L31" s="7">
        <f t="shared" si="1"/>
        <v>0</v>
      </c>
      <c r="M31" s="14">
        <f t="shared" si="2"/>
        <v>0</v>
      </c>
      <c r="N31" s="7"/>
      <c r="O31" s="7">
        <f>IF(N31="Full Process",Settings!$B$6,IF(N31="Assembly Only",Settings!$B$7,0))</f>
        <v>0</v>
      </c>
      <c r="P31" s="14">
        <f t="shared" si="3"/>
        <v>0</v>
      </c>
      <c r="Q31" s="13">
        <f>IF(O31=0,0,MIN(1,L31/O31)*Settings!$B$5)</f>
        <v>0</v>
      </c>
      <c r="R31" s="16"/>
      <c r="S31" s="16"/>
      <c r="U31" s="7"/>
    </row>
    <row r="32" ht="15.75" customHeight="1">
      <c r="A32" s="15"/>
      <c r="B32" s="7"/>
      <c r="C32" s="7" t="str">
        <f t="array" ref="C32">IFERROR(INDEX('Order Planning'!$C$5:$C$204,MATCH(B32,'Order Planning'!$A$5:$A$204,0)),"")</f>
        <v/>
      </c>
      <c r="D32" s="7" t="str">
        <f t="array" ref="D32">IFERROR(INDEX('Order Planning'!$E$5:$E$204,MATCH(B32,'Order Planning'!$A$5:$A$204,0)),"")</f>
        <v/>
      </c>
      <c r="E32" s="7" t="str">
        <f t="array" ref="E32">IFERROR(INDEX('Order Planning'!$F$5:$F$204,MATCH(B32,'Order Planning'!$A$5:$A$204,0)),"")</f>
        <v/>
      </c>
      <c r="F32" s="7"/>
      <c r="G32" s="7"/>
      <c r="L32" s="7">
        <f t="shared" si="1"/>
        <v>0</v>
      </c>
      <c r="M32" s="14">
        <f t="shared" si="2"/>
        <v>0</v>
      </c>
      <c r="N32" s="7"/>
      <c r="O32" s="7">
        <f>IF(N32="Full Process",Settings!$B$6,IF(N32="Assembly Only",Settings!$B$7,0))</f>
        <v>0</v>
      </c>
      <c r="P32" s="14">
        <f t="shared" si="3"/>
        <v>0</v>
      </c>
      <c r="Q32" s="13">
        <f>IF(O32=0,0,MIN(1,L32/O32)*Settings!$B$5)</f>
        <v>0</v>
      </c>
      <c r="R32" s="16"/>
      <c r="S32" s="16"/>
      <c r="U32" s="7"/>
    </row>
    <row r="33" ht="15.75" customHeight="1">
      <c r="A33" s="15"/>
      <c r="B33" s="7"/>
      <c r="C33" s="7" t="str">
        <f t="array" ref="C33">IFERROR(INDEX('Order Planning'!$C$5:$C$204,MATCH(B33,'Order Planning'!$A$5:$A$204,0)),"")</f>
        <v/>
      </c>
      <c r="D33" s="7" t="str">
        <f t="array" ref="D33">IFERROR(INDEX('Order Planning'!$E$5:$E$204,MATCH(B33,'Order Planning'!$A$5:$A$204,0)),"")</f>
        <v/>
      </c>
      <c r="E33" s="7" t="str">
        <f t="array" ref="E33">IFERROR(INDEX('Order Planning'!$F$5:$F$204,MATCH(B33,'Order Planning'!$A$5:$A$204,0)),"")</f>
        <v/>
      </c>
      <c r="F33" s="7"/>
      <c r="G33" s="7"/>
      <c r="L33" s="7">
        <f t="shared" si="1"/>
        <v>0</v>
      </c>
      <c r="M33" s="14">
        <f t="shared" si="2"/>
        <v>0</v>
      </c>
      <c r="N33" s="7"/>
      <c r="O33" s="7">
        <f>IF(N33="Full Process",Settings!$B$6,IF(N33="Assembly Only",Settings!$B$7,0))</f>
        <v>0</v>
      </c>
      <c r="P33" s="14">
        <f t="shared" si="3"/>
        <v>0</v>
      </c>
      <c r="Q33" s="13">
        <f>IF(O33=0,0,MIN(1,L33/O33)*Settings!$B$5)</f>
        <v>0</v>
      </c>
      <c r="R33" s="16"/>
      <c r="S33" s="16"/>
      <c r="U33" s="7"/>
    </row>
    <row r="34" ht="15.75" customHeight="1">
      <c r="A34" s="15"/>
      <c r="B34" s="7"/>
      <c r="C34" s="7" t="str">
        <f t="array" ref="C34">IFERROR(INDEX('Order Planning'!$C$5:$C$204,MATCH(B34,'Order Planning'!$A$5:$A$204,0)),"")</f>
        <v/>
      </c>
      <c r="D34" s="7" t="str">
        <f t="array" ref="D34">IFERROR(INDEX('Order Planning'!$E$5:$E$204,MATCH(B34,'Order Planning'!$A$5:$A$204,0)),"")</f>
        <v/>
      </c>
      <c r="E34" s="7" t="str">
        <f t="array" ref="E34">IFERROR(INDEX('Order Planning'!$F$5:$F$204,MATCH(B34,'Order Planning'!$A$5:$A$204,0)),"")</f>
        <v/>
      </c>
      <c r="F34" s="7"/>
      <c r="G34" s="7"/>
      <c r="L34" s="7">
        <f t="shared" si="1"/>
        <v>0</v>
      </c>
      <c r="M34" s="14">
        <f t="shared" si="2"/>
        <v>0</v>
      </c>
      <c r="N34" s="7"/>
      <c r="O34" s="7">
        <f>IF(N34="Full Process",Settings!$B$6,IF(N34="Assembly Only",Settings!$B$7,0))</f>
        <v>0</v>
      </c>
      <c r="P34" s="14">
        <f t="shared" si="3"/>
        <v>0</v>
      </c>
      <c r="Q34" s="13">
        <f>IF(O34=0,0,MIN(1,L34/O34)*Settings!$B$5)</f>
        <v>0</v>
      </c>
      <c r="R34" s="16"/>
      <c r="S34" s="16"/>
      <c r="U34" s="7"/>
    </row>
    <row r="35" ht="15.75" customHeight="1">
      <c r="A35" s="15"/>
      <c r="B35" s="7"/>
      <c r="C35" s="7" t="str">
        <f t="array" ref="C35">IFERROR(INDEX('Order Planning'!$C$5:$C$204,MATCH(B35,'Order Planning'!$A$5:$A$204,0)),"")</f>
        <v/>
      </c>
      <c r="D35" s="7" t="str">
        <f t="array" ref="D35">IFERROR(INDEX('Order Planning'!$E$5:$E$204,MATCH(B35,'Order Planning'!$A$5:$A$204,0)),"")</f>
        <v/>
      </c>
      <c r="E35" s="7" t="str">
        <f t="array" ref="E35">IFERROR(INDEX('Order Planning'!$F$5:$F$204,MATCH(B35,'Order Planning'!$A$5:$A$204,0)),"")</f>
        <v/>
      </c>
      <c r="F35" s="7"/>
      <c r="G35" s="7"/>
      <c r="L35" s="7">
        <f t="shared" si="1"/>
        <v>0</v>
      </c>
      <c r="M35" s="14">
        <f t="shared" si="2"/>
        <v>0</v>
      </c>
      <c r="N35" s="7"/>
      <c r="O35" s="7">
        <f>IF(N35="Full Process",Settings!$B$6,IF(N35="Assembly Only",Settings!$B$7,0))</f>
        <v>0</v>
      </c>
      <c r="P35" s="14">
        <f t="shared" si="3"/>
        <v>0</v>
      </c>
      <c r="Q35" s="13">
        <f>IF(O35=0,0,MIN(1,L35/O35)*Settings!$B$5)</f>
        <v>0</v>
      </c>
      <c r="R35" s="16"/>
      <c r="S35" s="16"/>
      <c r="U35" s="7"/>
    </row>
    <row r="36" ht="15.75" customHeight="1">
      <c r="A36" s="15"/>
      <c r="B36" s="7"/>
      <c r="C36" s="7" t="str">
        <f t="array" ref="C36">IFERROR(INDEX('Order Planning'!$C$5:$C$204,MATCH(B36,'Order Planning'!$A$5:$A$204,0)),"")</f>
        <v/>
      </c>
      <c r="D36" s="7" t="str">
        <f t="array" ref="D36">IFERROR(INDEX('Order Planning'!$E$5:$E$204,MATCH(B36,'Order Planning'!$A$5:$A$204,0)),"")</f>
        <v/>
      </c>
      <c r="E36" s="7" t="str">
        <f t="array" ref="E36">IFERROR(INDEX('Order Planning'!$F$5:$F$204,MATCH(B36,'Order Planning'!$A$5:$A$204,0)),"")</f>
        <v/>
      </c>
      <c r="F36" s="7"/>
      <c r="G36" s="7"/>
      <c r="L36" s="7">
        <f t="shared" si="1"/>
        <v>0</v>
      </c>
      <c r="M36" s="14">
        <f t="shared" si="2"/>
        <v>0</v>
      </c>
      <c r="N36" s="7"/>
      <c r="O36" s="7">
        <f>IF(N36="Full Process",Settings!$B$6,IF(N36="Assembly Only",Settings!$B$7,0))</f>
        <v>0</v>
      </c>
      <c r="P36" s="14">
        <f t="shared" si="3"/>
        <v>0</v>
      </c>
      <c r="Q36" s="13">
        <f>IF(O36=0,0,MIN(1,L36/O36)*Settings!$B$5)</f>
        <v>0</v>
      </c>
      <c r="R36" s="16"/>
      <c r="S36" s="16"/>
      <c r="U36" s="7"/>
    </row>
    <row r="37" ht="15.75" customHeight="1">
      <c r="A37" s="15"/>
      <c r="B37" s="7"/>
      <c r="C37" s="7" t="str">
        <f t="array" ref="C37">IFERROR(INDEX('Order Planning'!$C$5:$C$204,MATCH(B37,'Order Planning'!$A$5:$A$204,0)),"")</f>
        <v/>
      </c>
      <c r="D37" s="7" t="str">
        <f t="array" ref="D37">IFERROR(INDEX('Order Planning'!$E$5:$E$204,MATCH(B37,'Order Planning'!$A$5:$A$204,0)),"")</f>
        <v/>
      </c>
      <c r="E37" s="7" t="str">
        <f t="array" ref="E37">IFERROR(INDEX('Order Planning'!$F$5:$F$204,MATCH(B37,'Order Planning'!$A$5:$A$204,0)),"")</f>
        <v/>
      </c>
      <c r="F37" s="7"/>
      <c r="G37" s="7"/>
      <c r="L37" s="7">
        <f t="shared" si="1"/>
        <v>0</v>
      </c>
      <c r="M37" s="14">
        <f t="shared" si="2"/>
        <v>0</v>
      </c>
      <c r="N37" s="7"/>
      <c r="O37" s="7">
        <f>IF(N37="Full Process",Settings!$B$6,IF(N37="Assembly Only",Settings!$B$7,0))</f>
        <v>0</v>
      </c>
      <c r="P37" s="14">
        <f t="shared" si="3"/>
        <v>0</v>
      </c>
      <c r="Q37" s="13">
        <f>IF(O37=0,0,MIN(1,L37/O37)*Settings!$B$5)</f>
        <v>0</v>
      </c>
      <c r="R37" s="16"/>
      <c r="S37" s="16"/>
      <c r="U37" s="7"/>
    </row>
    <row r="38" ht="15.75" customHeight="1">
      <c r="A38" s="15"/>
      <c r="B38" s="7"/>
      <c r="C38" s="7" t="str">
        <f t="array" ref="C38">IFERROR(INDEX('Order Planning'!$C$5:$C$204,MATCH(B38,'Order Planning'!$A$5:$A$204,0)),"")</f>
        <v/>
      </c>
      <c r="D38" s="7" t="str">
        <f t="array" ref="D38">IFERROR(INDEX('Order Planning'!$E$5:$E$204,MATCH(B38,'Order Planning'!$A$5:$A$204,0)),"")</f>
        <v/>
      </c>
      <c r="E38" s="7" t="str">
        <f t="array" ref="E38">IFERROR(INDEX('Order Planning'!$F$5:$F$204,MATCH(B38,'Order Planning'!$A$5:$A$204,0)),"")</f>
        <v/>
      </c>
      <c r="F38" s="7"/>
      <c r="G38" s="7"/>
      <c r="L38" s="7">
        <f t="shared" si="1"/>
        <v>0</v>
      </c>
      <c r="M38" s="14">
        <f t="shared" si="2"/>
        <v>0</v>
      </c>
      <c r="N38" s="7"/>
      <c r="O38" s="7">
        <f>IF(N38="Full Process",Settings!$B$6,IF(N38="Assembly Only",Settings!$B$7,0))</f>
        <v>0</v>
      </c>
      <c r="P38" s="14">
        <f t="shared" si="3"/>
        <v>0</v>
      </c>
      <c r="Q38" s="13">
        <f>IF(O38=0,0,MIN(1,L38/O38)*Settings!$B$5)</f>
        <v>0</v>
      </c>
      <c r="R38" s="16"/>
      <c r="S38" s="16"/>
      <c r="U38" s="7"/>
    </row>
    <row r="39" ht="15.75" customHeight="1">
      <c r="A39" s="15"/>
      <c r="B39" s="7"/>
      <c r="C39" s="7" t="str">
        <f t="array" ref="C39">IFERROR(INDEX('Order Planning'!$C$5:$C$204,MATCH(B39,'Order Planning'!$A$5:$A$204,0)),"")</f>
        <v/>
      </c>
      <c r="D39" s="7" t="str">
        <f t="array" ref="D39">IFERROR(INDEX('Order Planning'!$E$5:$E$204,MATCH(B39,'Order Planning'!$A$5:$A$204,0)),"")</f>
        <v/>
      </c>
      <c r="E39" s="7" t="str">
        <f t="array" ref="E39">IFERROR(INDEX('Order Planning'!$F$5:$F$204,MATCH(B39,'Order Planning'!$A$5:$A$204,0)),"")</f>
        <v/>
      </c>
      <c r="F39" s="7"/>
      <c r="G39" s="7"/>
      <c r="L39" s="7">
        <f t="shared" si="1"/>
        <v>0</v>
      </c>
      <c r="M39" s="14">
        <f t="shared" si="2"/>
        <v>0</v>
      </c>
      <c r="N39" s="7"/>
      <c r="O39" s="7">
        <f>IF(N39="Full Process",Settings!$B$6,IF(N39="Assembly Only",Settings!$B$7,0))</f>
        <v>0</v>
      </c>
      <c r="P39" s="14">
        <f t="shared" si="3"/>
        <v>0</v>
      </c>
      <c r="Q39" s="13">
        <f>IF(O39=0,0,MIN(1,L39/O39)*Settings!$B$5)</f>
        <v>0</v>
      </c>
      <c r="R39" s="16"/>
      <c r="S39" s="16"/>
      <c r="U39" s="7"/>
    </row>
    <row r="40" ht="15.75" customHeight="1">
      <c r="A40" s="15"/>
      <c r="B40" s="7"/>
      <c r="C40" s="7" t="str">
        <f t="array" ref="C40">IFERROR(INDEX('Order Planning'!$C$5:$C$204,MATCH(B40,'Order Planning'!$A$5:$A$204,0)),"")</f>
        <v/>
      </c>
      <c r="D40" s="7" t="str">
        <f t="array" ref="D40">IFERROR(INDEX('Order Planning'!$E$5:$E$204,MATCH(B40,'Order Planning'!$A$5:$A$204,0)),"")</f>
        <v/>
      </c>
      <c r="E40" s="7" t="str">
        <f t="array" ref="E40">IFERROR(INDEX('Order Planning'!$F$5:$F$204,MATCH(B40,'Order Planning'!$A$5:$A$204,0)),"")</f>
        <v/>
      </c>
      <c r="F40" s="7"/>
      <c r="G40" s="7"/>
      <c r="L40" s="7">
        <f t="shared" si="1"/>
        <v>0</v>
      </c>
      <c r="M40" s="14">
        <f t="shared" si="2"/>
        <v>0</v>
      </c>
      <c r="N40" s="7"/>
      <c r="O40" s="7">
        <f>IF(N40="Full Process",Settings!$B$6,IF(N40="Assembly Only",Settings!$B$7,0))</f>
        <v>0</v>
      </c>
      <c r="P40" s="14">
        <f t="shared" si="3"/>
        <v>0</v>
      </c>
      <c r="Q40" s="13">
        <f>IF(O40=0,0,MIN(1,L40/O40)*Settings!$B$5)</f>
        <v>0</v>
      </c>
      <c r="R40" s="16"/>
      <c r="S40" s="16"/>
      <c r="U40" s="7"/>
    </row>
    <row r="41" ht="15.75" customHeight="1">
      <c r="A41" s="15"/>
      <c r="B41" s="7"/>
      <c r="C41" s="7" t="str">
        <f t="array" ref="C41">IFERROR(INDEX('Order Planning'!$C$5:$C$204,MATCH(B41,'Order Planning'!$A$5:$A$204,0)),"")</f>
        <v/>
      </c>
      <c r="D41" s="7" t="str">
        <f t="array" ref="D41">IFERROR(INDEX('Order Planning'!$E$5:$E$204,MATCH(B41,'Order Planning'!$A$5:$A$204,0)),"")</f>
        <v/>
      </c>
      <c r="E41" s="7" t="str">
        <f t="array" ref="E41">IFERROR(INDEX('Order Planning'!$F$5:$F$204,MATCH(B41,'Order Planning'!$A$5:$A$204,0)),"")</f>
        <v/>
      </c>
      <c r="F41" s="7"/>
      <c r="G41" s="7"/>
      <c r="L41" s="7">
        <f t="shared" si="1"/>
        <v>0</v>
      </c>
      <c r="M41" s="14">
        <f t="shared" si="2"/>
        <v>0</v>
      </c>
      <c r="N41" s="7"/>
      <c r="O41" s="7">
        <f>IF(N41="Full Process",Settings!$B$6,IF(N41="Assembly Only",Settings!$B$7,0))</f>
        <v>0</v>
      </c>
      <c r="P41" s="14">
        <f t="shared" si="3"/>
        <v>0</v>
      </c>
      <c r="Q41" s="13">
        <f>IF(O41=0,0,MIN(1,L41/O41)*Settings!$B$5)</f>
        <v>0</v>
      </c>
      <c r="R41" s="16"/>
      <c r="S41" s="16"/>
      <c r="U41" s="7"/>
    </row>
    <row r="42" ht="15.75" customHeight="1">
      <c r="A42" s="15"/>
      <c r="B42" s="7"/>
      <c r="C42" s="7" t="str">
        <f t="array" ref="C42">IFERROR(INDEX('Order Planning'!$C$5:$C$204,MATCH(B42,'Order Planning'!$A$5:$A$204,0)),"")</f>
        <v/>
      </c>
      <c r="D42" s="7" t="str">
        <f t="array" ref="D42">IFERROR(INDEX('Order Planning'!$E$5:$E$204,MATCH(B42,'Order Planning'!$A$5:$A$204,0)),"")</f>
        <v/>
      </c>
      <c r="E42" s="7" t="str">
        <f t="array" ref="E42">IFERROR(INDEX('Order Planning'!$F$5:$F$204,MATCH(B42,'Order Planning'!$A$5:$A$204,0)),"")</f>
        <v/>
      </c>
      <c r="F42" s="7"/>
      <c r="G42" s="7"/>
      <c r="L42" s="7">
        <f t="shared" si="1"/>
        <v>0</v>
      </c>
      <c r="M42" s="14">
        <f t="shared" si="2"/>
        <v>0</v>
      </c>
      <c r="N42" s="7"/>
      <c r="O42" s="7">
        <f>IF(N42="Full Process",Settings!$B$6,IF(N42="Assembly Only",Settings!$B$7,0))</f>
        <v>0</v>
      </c>
      <c r="P42" s="14">
        <f t="shared" si="3"/>
        <v>0</v>
      </c>
      <c r="Q42" s="13">
        <f>IF(O42=0,0,MIN(1,L42/O42)*Settings!$B$5)</f>
        <v>0</v>
      </c>
      <c r="R42" s="16"/>
      <c r="S42" s="16"/>
      <c r="U42" s="7"/>
    </row>
    <row r="43" ht="15.75" customHeight="1">
      <c r="A43" s="15"/>
      <c r="B43" s="7"/>
      <c r="C43" s="7" t="str">
        <f t="array" ref="C43">IFERROR(INDEX('Order Planning'!$C$5:$C$204,MATCH(B43,'Order Planning'!$A$5:$A$204,0)),"")</f>
        <v/>
      </c>
      <c r="D43" s="7" t="str">
        <f t="array" ref="D43">IFERROR(INDEX('Order Planning'!$E$5:$E$204,MATCH(B43,'Order Planning'!$A$5:$A$204,0)),"")</f>
        <v/>
      </c>
      <c r="E43" s="7" t="str">
        <f t="array" ref="E43">IFERROR(INDEX('Order Planning'!$F$5:$F$204,MATCH(B43,'Order Planning'!$A$5:$A$204,0)),"")</f>
        <v/>
      </c>
      <c r="F43" s="7"/>
      <c r="G43" s="7"/>
      <c r="L43" s="7">
        <f t="shared" si="1"/>
        <v>0</v>
      </c>
      <c r="M43" s="14">
        <f t="shared" si="2"/>
        <v>0</v>
      </c>
      <c r="N43" s="7"/>
      <c r="O43" s="7">
        <f>IF(N43="Full Process",Settings!$B$6,IF(N43="Assembly Only",Settings!$B$7,0))</f>
        <v>0</v>
      </c>
      <c r="P43" s="14">
        <f t="shared" si="3"/>
        <v>0</v>
      </c>
      <c r="Q43" s="13">
        <f>IF(O43=0,0,MIN(1,L43/O43)*Settings!$B$5)</f>
        <v>0</v>
      </c>
      <c r="R43" s="16"/>
      <c r="S43" s="16"/>
      <c r="U43" s="7"/>
    </row>
    <row r="44" ht="15.75" customHeight="1">
      <c r="A44" s="15"/>
      <c r="B44" s="7"/>
      <c r="C44" s="7" t="str">
        <f t="array" ref="C44">IFERROR(INDEX('Order Planning'!$C$5:$C$204,MATCH(B44,'Order Planning'!$A$5:$A$204,0)),"")</f>
        <v/>
      </c>
      <c r="D44" s="7" t="str">
        <f t="array" ref="D44">IFERROR(INDEX('Order Planning'!$E$5:$E$204,MATCH(B44,'Order Planning'!$A$5:$A$204,0)),"")</f>
        <v/>
      </c>
      <c r="E44" s="7" t="str">
        <f t="array" ref="E44">IFERROR(INDEX('Order Planning'!$F$5:$F$204,MATCH(B44,'Order Planning'!$A$5:$A$204,0)),"")</f>
        <v/>
      </c>
      <c r="F44" s="7"/>
      <c r="G44" s="7"/>
      <c r="L44" s="7">
        <f t="shared" si="1"/>
        <v>0</v>
      </c>
      <c r="M44" s="14">
        <f t="shared" si="2"/>
        <v>0</v>
      </c>
      <c r="N44" s="7"/>
      <c r="O44" s="7">
        <f>IF(N44="Full Process",Settings!$B$6,IF(N44="Assembly Only",Settings!$B$7,0))</f>
        <v>0</v>
      </c>
      <c r="P44" s="14">
        <f t="shared" si="3"/>
        <v>0</v>
      </c>
      <c r="Q44" s="13">
        <f>IF(O44=0,0,MIN(1,L44/O44)*Settings!$B$5)</f>
        <v>0</v>
      </c>
      <c r="R44" s="16"/>
      <c r="S44" s="16"/>
      <c r="U44" s="7"/>
    </row>
    <row r="45" ht="15.75" customHeight="1">
      <c r="A45" s="15"/>
      <c r="B45" s="7"/>
      <c r="C45" s="7" t="str">
        <f t="array" ref="C45">IFERROR(INDEX('Order Planning'!$C$5:$C$204,MATCH(B45,'Order Planning'!$A$5:$A$204,0)),"")</f>
        <v/>
      </c>
      <c r="D45" s="7" t="str">
        <f t="array" ref="D45">IFERROR(INDEX('Order Planning'!$E$5:$E$204,MATCH(B45,'Order Planning'!$A$5:$A$204,0)),"")</f>
        <v/>
      </c>
      <c r="E45" s="7" t="str">
        <f t="array" ref="E45">IFERROR(INDEX('Order Planning'!$F$5:$F$204,MATCH(B45,'Order Planning'!$A$5:$A$204,0)),"")</f>
        <v/>
      </c>
      <c r="F45" s="7"/>
      <c r="G45" s="7"/>
      <c r="L45" s="7">
        <f t="shared" si="1"/>
        <v>0</v>
      </c>
      <c r="M45" s="14">
        <f t="shared" si="2"/>
        <v>0</v>
      </c>
      <c r="N45" s="7"/>
      <c r="O45" s="7">
        <f>IF(N45="Full Process",Settings!$B$6,IF(N45="Assembly Only",Settings!$B$7,0))</f>
        <v>0</v>
      </c>
      <c r="P45" s="14">
        <f t="shared" si="3"/>
        <v>0</v>
      </c>
      <c r="Q45" s="13">
        <f>IF(O45=0,0,MIN(1,L45/O45)*Settings!$B$5)</f>
        <v>0</v>
      </c>
      <c r="R45" s="16"/>
      <c r="S45" s="16"/>
      <c r="U45" s="7"/>
    </row>
    <row r="46" ht="15.75" customHeight="1">
      <c r="A46" s="15"/>
      <c r="B46" s="7"/>
      <c r="C46" s="7" t="str">
        <f t="array" ref="C46">IFERROR(INDEX('Order Planning'!$C$5:$C$204,MATCH(B46,'Order Planning'!$A$5:$A$204,0)),"")</f>
        <v/>
      </c>
      <c r="D46" s="7" t="str">
        <f t="array" ref="D46">IFERROR(INDEX('Order Planning'!$E$5:$E$204,MATCH(B46,'Order Planning'!$A$5:$A$204,0)),"")</f>
        <v/>
      </c>
      <c r="E46" s="7" t="str">
        <f t="array" ref="E46">IFERROR(INDEX('Order Planning'!$F$5:$F$204,MATCH(B46,'Order Planning'!$A$5:$A$204,0)),"")</f>
        <v/>
      </c>
      <c r="F46" s="7"/>
      <c r="G46" s="7"/>
      <c r="L46" s="7">
        <f t="shared" si="1"/>
        <v>0</v>
      </c>
      <c r="M46" s="14">
        <f t="shared" si="2"/>
        <v>0</v>
      </c>
      <c r="N46" s="7"/>
      <c r="O46" s="7">
        <f>IF(N46="Full Process",Settings!$B$6,IF(N46="Assembly Only",Settings!$B$7,0))</f>
        <v>0</v>
      </c>
      <c r="P46" s="14">
        <f t="shared" si="3"/>
        <v>0</v>
      </c>
      <c r="Q46" s="13">
        <f>IF(O46=0,0,MIN(1,L46/O46)*Settings!$B$5)</f>
        <v>0</v>
      </c>
      <c r="R46" s="16"/>
      <c r="S46" s="16"/>
      <c r="U46" s="7"/>
    </row>
    <row r="47" ht="15.75" customHeight="1">
      <c r="A47" s="15"/>
      <c r="B47" s="7"/>
      <c r="C47" s="7" t="str">
        <f t="array" ref="C47">IFERROR(INDEX('Order Planning'!$C$5:$C$204,MATCH(B47,'Order Planning'!$A$5:$A$204,0)),"")</f>
        <v/>
      </c>
      <c r="D47" s="7" t="str">
        <f t="array" ref="D47">IFERROR(INDEX('Order Planning'!$E$5:$E$204,MATCH(B47,'Order Planning'!$A$5:$A$204,0)),"")</f>
        <v/>
      </c>
      <c r="E47" s="7" t="str">
        <f t="array" ref="E47">IFERROR(INDEX('Order Planning'!$F$5:$F$204,MATCH(B47,'Order Planning'!$A$5:$A$204,0)),"")</f>
        <v/>
      </c>
      <c r="F47" s="7"/>
      <c r="G47" s="7"/>
      <c r="L47" s="7">
        <f t="shared" si="1"/>
        <v>0</v>
      </c>
      <c r="M47" s="14">
        <f t="shared" si="2"/>
        <v>0</v>
      </c>
      <c r="N47" s="7"/>
      <c r="O47" s="7">
        <f>IF(N47="Full Process",Settings!$B$6,IF(N47="Assembly Only",Settings!$B$7,0))</f>
        <v>0</v>
      </c>
      <c r="P47" s="14">
        <f t="shared" si="3"/>
        <v>0</v>
      </c>
      <c r="Q47" s="13">
        <f>IF(O47=0,0,MIN(1,L47/O47)*Settings!$B$5)</f>
        <v>0</v>
      </c>
      <c r="R47" s="16"/>
      <c r="S47" s="16"/>
      <c r="U47" s="7"/>
    </row>
    <row r="48" ht="15.75" customHeight="1">
      <c r="A48" s="15"/>
      <c r="B48" s="7"/>
      <c r="C48" s="7" t="str">
        <f t="array" ref="C48">IFERROR(INDEX('Order Planning'!$C$5:$C$204,MATCH(B48,'Order Planning'!$A$5:$A$204,0)),"")</f>
        <v/>
      </c>
      <c r="D48" s="7" t="str">
        <f t="array" ref="D48">IFERROR(INDEX('Order Planning'!$E$5:$E$204,MATCH(B48,'Order Planning'!$A$5:$A$204,0)),"")</f>
        <v/>
      </c>
      <c r="E48" s="7" t="str">
        <f t="array" ref="E48">IFERROR(INDEX('Order Planning'!$F$5:$F$204,MATCH(B48,'Order Planning'!$A$5:$A$204,0)),"")</f>
        <v/>
      </c>
      <c r="F48" s="7"/>
      <c r="G48" s="7"/>
      <c r="L48" s="7">
        <f t="shared" si="1"/>
        <v>0</v>
      </c>
      <c r="M48" s="14">
        <f t="shared" si="2"/>
        <v>0</v>
      </c>
      <c r="N48" s="7"/>
      <c r="O48" s="7">
        <f>IF(N48="Full Process",Settings!$B$6,IF(N48="Assembly Only",Settings!$B$7,0))</f>
        <v>0</v>
      </c>
      <c r="P48" s="14">
        <f t="shared" si="3"/>
        <v>0</v>
      </c>
      <c r="Q48" s="13">
        <f>IF(O48=0,0,MIN(1,L48/O48)*Settings!$B$5)</f>
        <v>0</v>
      </c>
      <c r="R48" s="16"/>
      <c r="S48" s="16"/>
      <c r="U48" s="7"/>
    </row>
    <row r="49" ht="15.75" customHeight="1">
      <c r="A49" s="15"/>
      <c r="B49" s="7"/>
      <c r="C49" s="7" t="str">
        <f t="array" ref="C49">IFERROR(INDEX('Order Planning'!$C$5:$C$204,MATCH(B49,'Order Planning'!$A$5:$A$204,0)),"")</f>
        <v/>
      </c>
      <c r="D49" s="7" t="str">
        <f t="array" ref="D49">IFERROR(INDEX('Order Planning'!$E$5:$E$204,MATCH(B49,'Order Planning'!$A$5:$A$204,0)),"")</f>
        <v/>
      </c>
      <c r="E49" s="7" t="str">
        <f t="array" ref="E49">IFERROR(INDEX('Order Planning'!$F$5:$F$204,MATCH(B49,'Order Planning'!$A$5:$A$204,0)),"")</f>
        <v/>
      </c>
      <c r="F49" s="7"/>
      <c r="G49" s="7"/>
      <c r="L49" s="7">
        <f t="shared" si="1"/>
        <v>0</v>
      </c>
      <c r="M49" s="14">
        <f t="shared" si="2"/>
        <v>0</v>
      </c>
      <c r="N49" s="7"/>
      <c r="O49" s="7">
        <f>IF(N49="Full Process",Settings!$B$6,IF(N49="Assembly Only",Settings!$B$7,0))</f>
        <v>0</v>
      </c>
      <c r="P49" s="14">
        <f t="shared" si="3"/>
        <v>0</v>
      </c>
      <c r="Q49" s="13">
        <f>IF(O49=0,0,MIN(1,L49/O49)*Settings!$B$5)</f>
        <v>0</v>
      </c>
      <c r="R49" s="16"/>
      <c r="S49" s="16"/>
      <c r="U49" s="7"/>
    </row>
    <row r="50" ht="15.75" customHeight="1">
      <c r="A50" s="15"/>
      <c r="B50" s="7"/>
      <c r="C50" s="7" t="str">
        <f t="array" ref="C50">IFERROR(INDEX('Order Planning'!$C$5:$C$204,MATCH(B50,'Order Planning'!$A$5:$A$204,0)),"")</f>
        <v/>
      </c>
      <c r="D50" s="7" t="str">
        <f t="array" ref="D50">IFERROR(INDEX('Order Planning'!$E$5:$E$204,MATCH(B50,'Order Planning'!$A$5:$A$204,0)),"")</f>
        <v/>
      </c>
      <c r="E50" s="7" t="str">
        <f t="array" ref="E50">IFERROR(INDEX('Order Planning'!$F$5:$F$204,MATCH(B50,'Order Planning'!$A$5:$A$204,0)),"")</f>
        <v/>
      </c>
      <c r="F50" s="7"/>
      <c r="G50" s="7"/>
      <c r="L50" s="7">
        <f t="shared" si="1"/>
        <v>0</v>
      </c>
      <c r="M50" s="14">
        <f t="shared" si="2"/>
        <v>0</v>
      </c>
      <c r="N50" s="7"/>
      <c r="O50" s="7">
        <f>IF(N50="Full Process",Settings!$B$6,IF(N50="Assembly Only",Settings!$B$7,0))</f>
        <v>0</v>
      </c>
      <c r="P50" s="14">
        <f t="shared" si="3"/>
        <v>0</v>
      </c>
      <c r="Q50" s="13">
        <f>IF(O50=0,0,MIN(1,L50/O50)*Settings!$B$5)</f>
        <v>0</v>
      </c>
      <c r="R50" s="16"/>
      <c r="S50" s="16"/>
      <c r="U50" s="7"/>
    </row>
    <row r="51" ht="15.75" customHeight="1">
      <c r="A51" s="15"/>
      <c r="B51" s="7"/>
      <c r="C51" s="7" t="str">
        <f t="array" ref="C51">IFERROR(INDEX('Order Planning'!$C$5:$C$204,MATCH(B51,'Order Planning'!$A$5:$A$204,0)),"")</f>
        <v/>
      </c>
      <c r="D51" s="7" t="str">
        <f t="array" ref="D51">IFERROR(INDEX('Order Planning'!$E$5:$E$204,MATCH(B51,'Order Planning'!$A$5:$A$204,0)),"")</f>
        <v/>
      </c>
      <c r="E51" s="7" t="str">
        <f t="array" ref="E51">IFERROR(INDEX('Order Planning'!$F$5:$F$204,MATCH(B51,'Order Planning'!$A$5:$A$204,0)),"")</f>
        <v/>
      </c>
      <c r="F51" s="7"/>
      <c r="G51" s="7"/>
      <c r="L51" s="7">
        <f t="shared" si="1"/>
        <v>0</v>
      </c>
      <c r="M51" s="14">
        <f t="shared" si="2"/>
        <v>0</v>
      </c>
      <c r="N51" s="7"/>
      <c r="O51" s="7">
        <f>IF(N51="Full Process",Settings!$B$6,IF(N51="Assembly Only",Settings!$B$7,0))</f>
        <v>0</v>
      </c>
      <c r="P51" s="14">
        <f t="shared" si="3"/>
        <v>0</v>
      </c>
      <c r="Q51" s="13">
        <f>IF(O51=0,0,MIN(1,L51/O51)*Settings!$B$5)</f>
        <v>0</v>
      </c>
      <c r="R51" s="16"/>
      <c r="S51" s="16"/>
      <c r="U51" s="7"/>
    </row>
    <row r="52" ht="15.75" customHeight="1">
      <c r="A52" s="15"/>
      <c r="B52" s="7"/>
      <c r="C52" s="7" t="str">
        <f t="array" ref="C52">IFERROR(INDEX('Order Planning'!$C$5:$C$204,MATCH(B52,'Order Planning'!$A$5:$A$204,0)),"")</f>
        <v/>
      </c>
      <c r="D52" s="7" t="str">
        <f t="array" ref="D52">IFERROR(INDEX('Order Planning'!$E$5:$E$204,MATCH(B52,'Order Planning'!$A$5:$A$204,0)),"")</f>
        <v/>
      </c>
      <c r="E52" s="7" t="str">
        <f t="array" ref="E52">IFERROR(INDEX('Order Planning'!$F$5:$F$204,MATCH(B52,'Order Planning'!$A$5:$A$204,0)),"")</f>
        <v/>
      </c>
      <c r="F52" s="7"/>
      <c r="G52" s="7"/>
      <c r="L52" s="7">
        <f t="shared" si="1"/>
        <v>0</v>
      </c>
      <c r="M52" s="14">
        <f t="shared" si="2"/>
        <v>0</v>
      </c>
      <c r="N52" s="7"/>
      <c r="O52" s="7">
        <f>IF(N52="Full Process",Settings!$B$6,IF(N52="Assembly Only",Settings!$B$7,0))</f>
        <v>0</v>
      </c>
      <c r="P52" s="14">
        <f t="shared" si="3"/>
        <v>0</v>
      </c>
      <c r="Q52" s="13">
        <f>IF(O52=0,0,MIN(1,L52/O52)*Settings!$B$5)</f>
        <v>0</v>
      </c>
      <c r="R52" s="16"/>
      <c r="S52" s="16"/>
      <c r="U52" s="7"/>
    </row>
    <row r="53" ht="15.75" customHeight="1">
      <c r="A53" s="15"/>
      <c r="B53" s="7"/>
      <c r="C53" s="7" t="str">
        <f t="array" ref="C53">IFERROR(INDEX('Order Planning'!$C$5:$C$204,MATCH(B53,'Order Planning'!$A$5:$A$204,0)),"")</f>
        <v/>
      </c>
      <c r="D53" s="7" t="str">
        <f t="array" ref="D53">IFERROR(INDEX('Order Planning'!$E$5:$E$204,MATCH(B53,'Order Planning'!$A$5:$A$204,0)),"")</f>
        <v/>
      </c>
      <c r="E53" s="7" t="str">
        <f t="array" ref="E53">IFERROR(INDEX('Order Planning'!$F$5:$F$204,MATCH(B53,'Order Planning'!$A$5:$A$204,0)),"")</f>
        <v/>
      </c>
      <c r="F53" s="7"/>
      <c r="G53" s="7"/>
      <c r="L53" s="7">
        <f t="shared" si="1"/>
        <v>0</v>
      </c>
      <c r="M53" s="14">
        <f t="shared" si="2"/>
        <v>0</v>
      </c>
      <c r="N53" s="7"/>
      <c r="O53" s="7">
        <f>IF(N53="Full Process",Settings!$B$6,IF(N53="Assembly Only",Settings!$B$7,0))</f>
        <v>0</v>
      </c>
      <c r="P53" s="14">
        <f t="shared" si="3"/>
        <v>0</v>
      </c>
      <c r="Q53" s="13">
        <f>IF(O53=0,0,MIN(1,L53/O53)*Settings!$B$5)</f>
        <v>0</v>
      </c>
      <c r="R53" s="16"/>
      <c r="S53" s="16"/>
      <c r="U53" s="7"/>
    </row>
    <row r="54" ht="15.75" customHeight="1">
      <c r="A54" s="15"/>
      <c r="B54" s="7"/>
      <c r="C54" s="7" t="str">
        <f t="array" ref="C54">IFERROR(INDEX('Order Planning'!$C$5:$C$204,MATCH(B54,'Order Planning'!$A$5:$A$204,0)),"")</f>
        <v/>
      </c>
      <c r="D54" s="7" t="str">
        <f t="array" ref="D54">IFERROR(INDEX('Order Planning'!$E$5:$E$204,MATCH(B54,'Order Planning'!$A$5:$A$204,0)),"")</f>
        <v/>
      </c>
      <c r="E54" s="7" t="str">
        <f t="array" ref="E54">IFERROR(INDEX('Order Planning'!$F$5:$F$204,MATCH(B54,'Order Planning'!$A$5:$A$204,0)),"")</f>
        <v/>
      </c>
      <c r="F54" s="7"/>
      <c r="G54" s="7"/>
      <c r="L54" s="7">
        <f t="shared" si="1"/>
        <v>0</v>
      </c>
      <c r="M54" s="14">
        <f t="shared" si="2"/>
        <v>0</v>
      </c>
      <c r="N54" s="7"/>
      <c r="O54" s="7">
        <f>IF(N54="Full Process",Settings!$B$6,IF(N54="Assembly Only",Settings!$B$7,0))</f>
        <v>0</v>
      </c>
      <c r="P54" s="14">
        <f t="shared" si="3"/>
        <v>0</v>
      </c>
      <c r="Q54" s="13">
        <f>IF(O54=0,0,MIN(1,L54/O54)*Settings!$B$5)</f>
        <v>0</v>
      </c>
      <c r="R54" s="16"/>
      <c r="S54" s="16"/>
      <c r="U54" s="7"/>
    </row>
    <row r="55" ht="15.75" customHeight="1">
      <c r="A55" s="15"/>
      <c r="B55" s="7"/>
      <c r="C55" s="7" t="str">
        <f t="array" ref="C55">IFERROR(INDEX('Order Planning'!$C$5:$C$204,MATCH(B55,'Order Planning'!$A$5:$A$204,0)),"")</f>
        <v/>
      </c>
      <c r="D55" s="7" t="str">
        <f t="array" ref="D55">IFERROR(INDEX('Order Planning'!$E$5:$E$204,MATCH(B55,'Order Planning'!$A$5:$A$204,0)),"")</f>
        <v/>
      </c>
      <c r="E55" s="7" t="str">
        <f t="array" ref="E55">IFERROR(INDEX('Order Planning'!$F$5:$F$204,MATCH(B55,'Order Planning'!$A$5:$A$204,0)),"")</f>
        <v/>
      </c>
      <c r="F55" s="7"/>
      <c r="G55" s="7"/>
      <c r="L55" s="7">
        <f t="shared" si="1"/>
        <v>0</v>
      </c>
      <c r="M55" s="14">
        <f t="shared" si="2"/>
        <v>0</v>
      </c>
      <c r="N55" s="7"/>
      <c r="O55" s="7">
        <f>IF(N55="Full Process",Settings!$B$6,IF(N55="Assembly Only",Settings!$B$7,0))</f>
        <v>0</v>
      </c>
      <c r="P55" s="14">
        <f t="shared" si="3"/>
        <v>0</v>
      </c>
      <c r="Q55" s="13">
        <f>IF(O55=0,0,MIN(1,L55/O55)*Settings!$B$5)</f>
        <v>0</v>
      </c>
      <c r="R55" s="16"/>
      <c r="S55" s="16"/>
      <c r="U55" s="7"/>
    </row>
    <row r="56" ht="15.75" customHeight="1">
      <c r="A56" s="15"/>
      <c r="B56" s="7"/>
      <c r="C56" s="7" t="str">
        <f t="array" ref="C56">IFERROR(INDEX('Order Planning'!$C$5:$C$204,MATCH(B56,'Order Planning'!$A$5:$A$204,0)),"")</f>
        <v/>
      </c>
      <c r="D56" s="7" t="str">
        <f t="array" ref="D56">IFERROR(INDEX('Order Planning'!$E$5:$E$204,MATCH(B56,'Order Planning'!$A$5:$A$204,0)),"")</f>
        <v/>
      </c>
      <c r="E56" s="7" t="str">
        <f t="array" ref="E56">IFERROR(INDEX('Order Planning'!$F$5:$F$204,MATCH(B56,'Order Planning'!$A$5:$A$204,0)),"")</f>
        <v/>
      </c>
      <c r="F56" s="7"/>
      <c r="G56" s="7"/>
      <c r="L56" s="7">
        <f t="shared" si="1"/>
        <v>0</v>
      </c>
      <c r="M56" s="14">
        <f t="shared" si="2"/>
        <v>0</v>
      </c>
      <c r="N56" s="7"/>
      <c r="O56" s="7">
        <f>IF(N56="Full Process",Settings!$B$6,IF(N56="Assembly Only",Settings!$B$7,0))</f>
        <v>0</v>
      </c>
      <c r="P56" s="14">
        <f t="shared" si="3"/>
        <v>0</v>
      </c>
      <c r="Q56" s="13">
        <f>IF(O56=0,0,MIN(1,L56/O56)*Settings!$B$5)</f>
        <v>0</v>
      </c>
      <c r="R56" s="16"/>
      <c r="S56" s="16"/>
      <c r="U56" s="7"/>
    </row>
    <row r="57" ht="15.75" customHeight="1">
      <c r="A57" s="15"/>
      <c r="B57" s="7"/>
      <c r="C57" s="7" t="str">
        <f t="array" ref="C57">IFERROR(INDEX('Order Planning'!$C$5:$C$204,MATCH(B57,'Order Planning'!$A$5:$A$204,0)),"")</f>
        <v/>
      </c>
      <c r="D57" s="7" t="str">
        <f t="array" ref="D57">IFERROR(INDEX('Order Planning'!$E$5:$E$204,MATCH(B57,'Order Planning'!$A$5:$A$204,0)),"")</f>
        <v/>
      </c>
      <c r="E57" s="7" t="str">
        <f t="array" ref="E57">IFERROR(INDEX('Order Planning'!$F$5:$F$204,MATCH(B57,'Order Planning'!$A$5:$A$204,0)),"")</f>
        <v/>
      </c>
      <c r="F57" s="7"/>
      <c r="G57" s="7"/>
      <c r="L57" s="7">
        <f t="shared" si="1"/>
        <v>0</v>
      </c>
      <c r="M57" s="14">
        <f t="shared" si="2"/>
        <v>0</v>
      </c>
      <c r="N57" s="7"/>
      <c r="O57" s="7">
        <f>IF(N57="Full Process",Settings!$B$6,IF(N57="Assembly Only",Settings!$B$7,0))</f>
        <v>0</v>
      </c>
      <c r="P57" s="14">
        <f t="shared" si="3"/>
        <v>0</v>
      </c>
      <c r="Q57" s="13">
        <f>IF(O57=0,0,MIN(1,L57/O57)*Settings!$B$5)</f>
        <v>0</v>
      </c>
      <c r="R57" s="16"/>
      <c r="S57" s="16"/>
      <c r="U57" s="7"/>
    </row>
    <row r="58" ht="15.75" customHeight="1">
      <c r="A58" s="15"/>
      <c r="B58" s="7"/>
      <c r="C58" s="7" t="str">
        <f t="array" ref="C58">IFERROR(INDEX('Order Planning'!$C$5:$C$204,MATCH(B58,'Order Planning'!$A$5:$A$204,0)),"")</f>
        <v/>
      </c>
      <c r="D58" s="7" t="str">
        <f t="array" ref="D58">IFERROR(INDEX('Order Planning'!$E$5:$E$204,MATCH(B58,'Order Planning'!$A$5:$A$204,0)),"")</f>
        <v/>
      </c>
      <c r="E58" s="7" t="str">
        <f t="array" ref="E58">IFERROR(INDEX('Order Planning'!$F$5:$F$204,MATCH(B58,'Order Planning'!$A$5:$A$204,0)),"")</f>
        <v/>
      </c>
      <c r="F58" s="7"/>
      <c r="G58" s="7"/>
      <c r="L58" s="7">
        <f t="shared" si="1"/>
        <v>0</v>
      </c>
      <c r="M58" s="14">
        <f t="shared" si="2"/>
        <v>0</v>
      </c>
      <c r="N58" s="7"/>
      <c r="O58" s="7">
        <f>IF(N58="Full Process",Settings!$B$6,IF(N58="Assembly Only",Settings!$B$7,0))</f>
        <v>0</v>
      </c>
      <c r="P58" s="14">
        <f t="shared" si="3"/>
        <v>0</v>
      </c>
      <c r="Q58" s="13">
        <f>IF(O58=0,0,MIN(1,L58/O58)*Settings!$B$5)</f>
        <v>0</v>
      </c>
      <c r="R58" s="16"/>
      <c r="S58" s="16"/>
      <c r="U58" s="7"/>
    </row>
    <row r="59" ht="15.75" customHeight="1">
      <c r="A59" s="15"/>
      <c r="B59" s="7"/>
      <c r="C59" s="7" t="str">
        <f t="array" ref="C59">IFERROR(INDEX('Order Planning'!$C$5:$C$204,MATCH(B59,'Order Planning'!$A$5:$A$204,0)),"")</f>
        <v/>
      </c>
      <c r="D59" s="7" t="str">
        <f t="array" ref="D59">IFERROR(INDEX('Order Planning'!$E$5:$E$204,MATCH(B59,'Order Planning'!$A$5:$A$204,0)),"")</f>
        <v/>
      </c>
      <c r="E59" s="7" t="str">
        <f t="array" ref="E59">IFERROR(INDEX('Order Planning'!$F$5:$F$204,MATCH(B59,'Order Planning'!$A$5:$A$204,0)),"")</f>
        <v/>
      </c>
      <c r="F59" s="7"/>
      <c r="G59" s="7"/>
      <c r="L59" s="7">
        <f t="shared" si="1"/>
        <v>0</v>
      </c>
      <c r="M59" s="14">
        <f t="shared" si="2"/>
        <v>0</v>
      </c>
      <c r="N59" s="7"/>
      <c r="O59" s="7">
        <f>IF(N59="Full Process",Settings!$B$6,IF(N59="Assembly Only",Settings!$B$7,0))</f>
        <v>0</v>
      </c>
      <c r="P59" s="14">
        <f t="shared" si="3"/>
        <v>0</v>
      </c>
      <c r="Q59" s="13">
        <f>IF(O59=0,0,MIN(1,L59/O59)*Settings!$B$5)</f>
        <v>0</v>
      </c>
      <c r="R59" s="16"/>
      <c r="S59" s="16"/>
      <c r="U59" s="7"/>
    </row>
    <row r="60" ht="15.75" customHeight="1">
      <c r="A60" s="15"/>
      <c r="B60" s="7"/>
      <c r="C60" s="7" t="str">
        <f t="array" ref="C60">IFERROR(INDEX('Order Planning'!$C$5:$C$204,MATCH(B60,'Order Planning'!$A$5:$A$204,0)),"")</f>
        <v/>
      </c>
      <c r="D60" s="7" t="str">
        <f t="array" ref="D60">IFERROR(INDEX('Order Planning'!$E$5:$E$204,MATCH(B60,'Order Planning'!$A$5:$A$204,0)),"")</f>
        <v/>
      </c>
      <c r="E60" s="7" t="str">
        <f t="array" ref="E60">IFERROR(INDEX('Order Planning'!$F$5:$F$204,MATCH(B60,'Order Planning'!$A$5:$A$204,0)),"")</f>
        <v/>
      </c>
      <c r="F60" s="7"/>
      <c r="G60" s="7"/>
      <c r="L60" s="7">
        <f t="shared" si="1"/>
        <v>0</v>
      </c>
      <c r="M60" s="14">
        <f t="shared" si="2"/>
        <v>0</v>
      </c>
      <c r="N60" s="7"/>
      <c r="O60" s="7">
        <f>IF(N60="Full Process",Settings!$B$6,IF(N60="Assembly Only",Settings!$B$7,0))</f>
        <v>0</v>
      </c>
      <c r="P60" s="14">
        <f t="shared" si="3"/>
        <v>0</v>
      </c>
      <c r="Q60" s="13">
        <f>IF(O60=0,0,MIN(1,L60/O60)*Settings!$B$5)</f>
        <v>0</v>
      </c>
      <c r="R60" s="16"/>
      <c r="S60" s="16"/>
      <c r="U60" s="7"/>
    </row>
    <row r="61" ht="15.75" customHeight="1">
      <c r="A61" s="15"/>
      <c r="B61" s="7"/>
      <c r="C61" s="7" t="str">
        <f t="array" ref="C61">IFERROR(INDEX('Order Planning'!$C$5:$C$204,MATCH(B61,'Order Planning'!$A$5:$A$204,0)),"")</f>
        <v/>
      </c>
      <c r="D61" s="7" t="str">
        <f t="array" ref="D61">IFERROR(INDEX('Order Planning'!$E$5:$E$204,MATCH(B61,'Order Planning'!$A$5:$A$204,0)),"")</f>
        <v/>
      </c>
      <c r="E61" s="7" t="str">
        <f t="array" ref="E61">IFERROR(INDEX('Order Planning'!$F$5:$F$204,MATCH(B61,'Order Planning'!$A$5:$A$204,0)),"")</f>
        <v/>
      </c>
      <c r="F61" s="7"/>
      <c r="G61" s="7"/>
      <c r="L61" s="7">
        <f t="shared" si="1"/>
        <v>0</v>
      </c>
      <c r="M61" s="14">
        <f t="shared" si="2"/>
        <v>0</v>
      </c>
      <c r="N61" s="7"/>
      <c r="O61" s="7">
        <f>IF(N61="Full Process",Settings!$B$6,IF(N61="Assembly Only",Settings!$B$7,0))</f>
        <v>0</v>
      </c>
      <c r="P61" s="14">
        <f t="shared" si="3"/>
        <v>0</v>
      </c>
      <c r="Q61" s="13">
        <f>IF(O61=0,0,MIN(1,L61/O61)*Settings!$B$5)</f>
        <v>0</v>
      </c>
      <c r="R61" s="16"/>
      <c r="S61" s="16"/>
      <c r="U61" s="7"/>
    </row>
    <row r="62" ht="15.75" customHeight="1">
      <c r="A62" s="15"/>
      <c r="B62" s="7"/>
      <c r="C62" s="7" t="str">
        <f t="array" ref="C62">IFERROR(INDEX('Order Planning'!$C$5:$C$204,MATCH(B62,'Order Planning'!$A$5:$A$204,0)),"")</f>
        <v/>
      </c>
      <c r="D62" s="7" t="str">
        <f t="array" ref="D62">IFERROR(INDEX('Order Planning'!$E$5:$E$204,MATCH(B62,'Order Planning'!$A$5:$A$204,0)),"")</f>
        <v/>
      </c>
      <c r="E62" s="7" t="str">
        <f t="array" ref="E62">IFERROR(INDEX('Order Planning'!$F$5:$F$204,MATCH(B62,'Order Planning'!$A$5:$A$204,0)),"")</f>
        <v/>
      </c>
      <c r="F62" s="7"/>
      <c r="G62" s="7"/>
      <c r="L62" s="7">
        <f t="shared" si="1"/>
        <v>0</v>
      </c>
      <c r="M62" s="14">
        <f t="shared" si="2"/>
        <v>0</v>
      </c>
      <c r="N62" s="7"/>
      <c r="O62" s="7">
        <f>IF(N62="Full Process",Settings!$B$6,IF(N62="Assembly Only",Settings!$B$7,0))</f>
        <v>0</v>
      </c>
      <c r="P62" s="14">
        <f t="shared" si="3"/>
        <v>0</v>
      </c>
      <c r="Q62" s="13">
        <f>IF(O62=0,0,MIN(1,L62/O62)*Settings!$B$5)</f>
        <v>0</v>
      </c>
      <c r="R62" s="16"/>
      <c r="S62" s="16"/>
      <c r="U62" s="7"/>
    </row>
    <row r="63" ht="15.75" customHeight="1">
      <c r="A63" s="15"/>
      <c r="B63" s="7"/>
      <c r="C63" s="7" t="str">
        <f t="array" ref="C63">IFERROR(INDEX('Order Planning'!$C$5:$C$204,MATCH(B63,'Order Planning'!$A$5:$A$204,0)),"")</f>
        <v/>
      </c>
      <c r="D63" s="7" t="str">
        <f t="array" ref="D63">IFERROR(INDEX('Order Planning'!$E$5:$E$204,MATCH(B63,'Order Planning'!$A$5:$A$204,0)),"")</f>
        <v/>
      </c>
      <c r="E63" s="7" t="str">
        <f t="array" ref="E63">IFERROR(INDEX('Order Planning'!$F$5:$F$204,MATCH(B63,'Order Planning'!$A$5:$A$204,0)),"")</f>
        <v/>
      </c>
      <c r="F63" s="7"/>
      <c r="G63" s="7"/>
      <c r="L63" s="7">
        <f t="shared" si="1"/>
        <v>0</v>
      </c>
      <c r="M63" s="14">
        <f t="shared" si="2"/>
        <v>0</v>
      </c>
      <c r="N63" s="7"/>
      <c r="O63" s="7">
        <f>IF(N63="Full Process",Settings!$B$6,IF(N63="Assembly Only",Settings!$B$7,0))</f>
        <v>0</v>
      </c>
      <c r="P63" s="14">
        <f t="shared" si="3"/>
        <v>0</v>
      </c>
      <c r="Q63" s="13">
        <f>IF(O63=0,0,MIN(1,L63/O63)*Settings!$B$5)</f>
        <v>0</v>
      </c>
      <c r="R63" s="16"/>
      <c r="S63" s="16"/>
      <c r="U63" s="7"/>
    </row>
    <row r="64" ht="15.75" customHeight="1">
      <c r="A64" s="15"/>
      <c r="B64" s="7"/>
      <c r="C64" s="7" t="str">
        <f t="array" ref="C64">IFERROR(INDEX('Order Planning'!$C$5:$C$204,MATCH(B64,'Order Planning'!$A$5:$A$204,0)),"")</f>
        <v/>
      </c>
      <c r="D64" s="7" t="str">
        <f t="array" ref="D64">IFERROR(INDEX('Order Planning'!$E$5:$E$204,MATCH(B64,'Order Planning'!$A$5:$A$204,0)),"")</f>
        <v/>
      </c>
      <c r="E64" s="7" t="str">
        <f t="array" ref="E64">IFERROR(INDEX('Order Planning'!$F$5:$F$204,MATCH(B64,'Order Planning'!$A$5:$A$204,0)),"")</f>
        <v/>
      </c>
      <c r="F64" s="7"/>
      <c r="G64" s="7"/>
      <c r="L64" s="7">
        <f t="shared" si="1"/>
        <v>0</v>
      </c>
      <c r="M64" s="14">
        <f t="shared" si="2"/>
        <v>0</v>
      </c>
      <c r="N64" s="7"/>
      <c r="O64" s="7">
        <f>IF(N64="Full Process",Settings!$B$6,IF(N64="Assembly Only",Settings!$B$7,0))</f>
        <v>0</v>
      </c>
      <c r="P64" s="14">
        <f t="shared" si="3"/>
        <v>0</v>
      </c>
      <c r="Q64" s="13">
        <f>IF(O64=0,0,MIN(1,L64/O64)*Settings!$B$5)</f>
        <v>0</v>
      </c>
      <c r="R64" s="16"/>
      <c r="S64" s="16"/>
      <c r="U64" s="7"/>
    </row>
    <row r="65" ht="15.75" customHeight="1">
      <c r="A65" s="15"/>
      <c r="B65" s="7"/>
      <c r="C65" s="7" t="str">
        <f t="array" ref="C65">IFERROR(INDEX('Order Planning'!$C$5:$C$204,MATCH(B65,'Order Planning'!$A$5:$A$204,0)),"")</f>
        <v/>
      </c>
      <c r="D65" s="7" t="str">
        <f t="array" ref="D65">IFERROR(INDEX('Order Planning'!$E$5:$E$204,MATCH(B65,'Order Planning'!$A$5:$A$204,0)),"")</f>
        <v/>
      </c>
      <c r="E65" s="7" t="str">
        <f t="array" ref="E65">IFERROR(INDEX('Order Planning'!$F$5:$F$204,MATCH(B65,'Order Planning'!$A$5:$A$204,0)),"")</f>
        <v/>
      </c>
      <c r="F65" s="7"/>
      <c r="G65" s="7"/>
      <c r="L65" s="7">
        <f t="shared" si="1"/>
        <v>0</v>
      </c>
      <c r="M65" s="14">
        <f t="shared" si="2"/>
        <v>0</v>
      </c>
      <c r="N65" s="7"/>
      <c r="O65" s="7">
        <f>IF(N65="Full Process",Settings!$B$6,IF(N65="Assembly Only",Settings!$B$7,0))</f>
        <v>0</v>
      </c>
      <c r="P65" s="14">
        <f t="shared" si="3"/>
        <v>0</v>
      </c>
      <c r="Q65" s="13">
        <f>IF(O65=0,0,MIN(1,L65/O65)*Settings!$B$5)</f>
        <v>0</v>
      </c>
      <c r="R65" s="16"/>
      <c r="S65" s="16"/>
      <c r="U65" s="7"/>
    </row>
    <row r="66" ht="15.75" customHeight="1">
      <c r="A66" s="15"/>
      <c r="B66" s="7"/>
      <c r="C66" s="7" t="str">
        <f t="array" ref="C66">IFERROR(INDEX('Order Planning'!$C$5:$C$204,MATCH(B66,'Order Planning'!$A$5:$A$204,0)),"")</f>
        <v/>
      </c>
      <c r="D66" s="7" t="str">
        <f t="array" ref="D66">IFERROR(INDEX('Order Planning'!$E$5:$E$204,MATCH(B66,'Order Planning'!$A$5:$A$204,0)),"")</f>
        <v/>
      </c>
      <c r="E66" s="7" t="str">
        <f t="array" ref="E66">IFERROR(INDEX('Order Planning'!$F$5:$F$204,MATCH(B66,'Order Planning'!$A$5:$A$204,0)),"")</f>
        <v/>
      </c>
      <c r="F66" s="7"/>
      <c r="G66" s="7"/>
      <c r="L66" s="7">
        <f t="shared" si="1"/>
        <v>0</v>
      </c>
      <c r="M66" s="14">
        <f t="shared" si="2"/>
        <v>0</v>
      </c>
      <c r="N66" s="7"/>
      <c r="O66" s="7">
        <f>IF(N66="Full Process",Settings!$B$6,IF(N66="Assembly Only",Settings!$B$7,0))</f>
        <v>0</v>
      </c>
      <c r="P66" s="14">
        <f t="shared" si="3"/>
        <v>0</v>
      </c>
      <c r="Q66" s="13">
        <f>IF(O66=0,0,MIN(1,L66/O66)*Settings!$B$5)</f>
        <v>0</v>
      </c>
      <c r="R66" s="16"/>
      <c r="S66" s="16"/>
      <c r="U66" s="7"/>
    </row>
    <row r="67" ht="15.75" customHeight="1">
      <c r="A67" s="15"/>
      <c r="B67" s="7"/>
      <c r="C67" s="7" t="str">
        <f t="array" ref="C67">IFERROR(INDEX('Order Planning'!$C$5:$C$204,MATCH(B67,'Order Planning'!$A$5:$A$204,0)),"")</f>
        <v/>
      </c>
      <c r="D67" s="7" t="str">
        <f t="array" ref="D67">IFERROR(INDEX('Order Planning'!$E$5:$E$204,MATCH(B67,'Order Planning'!$A$5:$A$204,0)),"")</f>
        <v/>
      </c>
      <c r="E67" s="7" t="str">
        <f t="array" ref="E67">IFERROR(INDEX('Order Planning'!$F$5:$F$204,MATCH(B67,'Order Planning'!$A$5:$A$204,0)),"")</f>
        <v/>
      </c>
      <c r="F67" s="7"/>
      <c r="G67" s="7"/>
      <c r="L67" s="7">
        <f t="shared" si="1"/>
        <v>0</v>
      </c>
      <c r="M67" s="14">
        <f t="shared" si="2"/>
        <v>0</v>
      </c>
      <c r="N67" s="7"/>
      <c r="O67" s="7">
        <f>IF(N67="Full Process",Settings!$B$6,IF(N67="Assembly Only",Settings!$B$7,0))</f>
        <v>0</v>
      </c>
      <c r="P67" s="14">
        <f t="shared" si="3"/>
        <v>0</v>
      </c>
      <c r="Q67" s="13">
        <f>IF(O67=0,0,MIN(1,L67/O67)*Settings!$B$5)</f>
        <v>0</v>
      </c>
      <c r="R67" s="16"/>
      <c r="S67" s="16"/>
      <c r="U67" s="7"/>
    </row>
    <row r="68" ht="15.75" customHeight="1">
      <c r="A68" s="15"/>
      <c r="B68" s="7"/>
      <c r="C68" s="7" t="str">
        <f t="array" ref="C68">IFERROR(INDEX('Order Planning'!$C$5:$C$204,MATCH(B68,'Order Planning'!$A$5:$A$204,0)),"")</f>
        <v/>
      </c>
      <c r="D68" s="7" t="str">
        <f t="array" ref="D68">IFERROR(INDEX('Order Planning'!$E$5:$E$204,MATCH(B68,'Order Planning'!$A$5:$A$204,0)),"")</f>
        <v/>
      </c>
      <c r="E68" s="7" t="str">
        <f t="array" ref="E68">IFERROR(INDEX('Order Planning'!$F$5:$F$204,MATCH(B68,'Order Planning'!$A$5:$A$204,0)),"")</f>
        <v/>
      </c>
      <c r="F68" s="7"/>
      <c r="G68" s="7"/>
      <c r="L68" s="7">
        <f t="shared" si="1"/>
        <v>0</v>
      </c>
      <c r="M68" s="14">
        <f t="shared" si="2"/>
        <v>0</v>
      </c>
      <c r="N68" s="7"/>
      <c r="O68" s="7">
        <f>IF(N68="Full Process",Settings!$B$6,IF(N68="Assembly Only",Settings!$B$7,0))</f>
        <v>0</v>
      </c>
      <c r="P68" s="14">
        <f t="shared" si="3"/>
        <v>0</v>
      </c>
      <c r="Q68" s="13">
        <f>IF(O68=0,0,MIN(1,L68/O68)*Settings!$B$5)</f>
        <v>0</v>
      </c>
      <c r="R68" s="16"/>
      <c r="S68" s="16"/>
      <c r="U68" s="7"/>
    </row>
    <row r="69" ht="15.75" customHeight="1">
      <c r="A69" s="15"/>
      <c r="B69" s="7"/>
      <c r="C69" s="7" t="str">
        <f t="array" ref="C69">IFERROR(INDEX('Order Planning'!$C$5:$C$204,MATCH(B69,'Order Planning'!$A$5:$A$204,0)),"")</f>
        <v/>
      </c>
      <c r="D69" s="7" t="str">
        <f t="array" ref="D69">IFERROR(INDEX('Order Planning'!$E$5:$E$204,MATCH(B69,'Order Planning'!$A$5:$A$204,0)),"")</f>
        <v/>
      </c>
      <c r="E69" s="7" t="str">
        <f t="array" ref="E69">IFERROR(INDEX('Order Planning'!$F$5:$F$204,MATCH(B69,'Order Planning'!$A$5:$A$204,0)),"")</f>
        <v/>
      </c>
      <c r="F69" s="7"/>
      <c r="G69" s="7"/>
      <c r="L69" s="7">
        <f t="shared" si="1"/>
        <v>0</v>
      </c>
      <c r="M69" s="14">
        <f t="shared" si="2"/>
        <v>0</v>
      </c>
      <c r="N69" s="7"/>
      <c r="O69" s="7">
        <f>IF(N69="Full Process",Settings!$B$6,IF(N69="Assembly Only",Settings!$B$7,0))</f>
        <v>0</v>
      </c>
      <c r="P69" s="14">
        <f t="shared" si="3"/>
        <v>0</v>
      </c>
      <c r="Q69" s="13">
        <f>IF(O69=0,0,MIN(1,L69/O69)*Settings!$B$5)</f>
        <v>0</v>
      </c>
      <c r="R69" s="16"/>
      <c r="S69" s="16"/>
      <c r="U69" s="7"/>
    </row>
    <row r="70" ht="15.75" customHeight="1">
      <c r="A70" s="15"/>
      <c r="B70" s="7"/>
      <c r="C70" s="7" t="str">
        <f t="array" ref="C70">IFERROR(INDEX('Order Planning'!$C$5:$C$204,MATCH(B70,'Order Planning'!$A$5:$A$204,0)),"")</f>
        <v/>
      </c>
      <c r="D70" s="7" t="str">
        <f t="array" ref="D70">IFERROR(INDEX('Order Planning'!$E$5:$E$204,MATCH(B70,'Order Planning'!$A$5:$A$204,0)),"")</f>
        <v/>
      </c>
      <c r="E70" s="7" t="str">
        <f t="array" ref="E70">IFERROR(INDEX('Order Planning'!$F$5:$F$204,MATCH(B70,'Order Planning'!$A$5:$A$204,0)),"")</f>
        <v/>
      </c>
      <c r="F70" s="7"/>
      <c r="G70" s="7"/>
      <c r="L70" s="7">
        <f t="shared" si="1"/>
        <v>0</v>
      </c>
      <c r="M70" s="14">
        <f t="shared" si="2"/>
        <v>0</v>
      </c>
      <c r="N70" s="7"/>
      <c r="O70" s="7">
        <f>IF(N70="Full Process",Settings!$B$6,IF(N70="Assembly Only",Settings!$B$7,0))</f>
        <v>0</v>
      </c>
      <c r="P70" s="14">
        <f t="shared" si="3"/>
        <v>0</v>
      </c>
      <c r="Q70" s="13">
        <f>IF(O70=0,0,MIN(1,L70/O70)*Settings!$B$5)</f>
        <v>0</v>
      </c>
      <c r="R70" s="16"/>
      <c r="S70" s="16"/>
      <c r="U70" s="7"/>
    </row>
    <row r="71" ht="15.75" customHeight="1">
      <c r="A71" s="15"/>
      <c r="B71" s="7"/>
      <c r="C71" s="7" t="str">
        <f t="array" ref="C71">IFERROR(INDEX('Order Planning'!$C$5:$C$204,MATCH(B71,'Order Planning'!$A$5:$A$204,0)),"")</f>
        <v/>
      </c>
      <c r="D71" s="7" t="str">
        <f t="array" ref="D71">IFERROR(INDEX('Order Planning'!$E$5:$E$204,MATCH(B71,'Order Planning'!$A$5:$A$204,0)),"")</f>
        <v/>
      </c>
      <c r="E71" s="7" t="str">
        <f t="array" ref="E71">IFERROR(INDEX('Order Planning'!$F$5:$F$204,MATCH(B71,'Order Planning'!$A$5:$A$204,0)),"")</f>
        <v/>
      </c>
      <c r="F71" s="7"/>
      <c r="G71" s="7"/>
      <c r="L71" s="7">
        <f t="shared" si="1"/>
        <v>0</v>
      </c>
      <c r="M71" s="14">
        <f t="shared" si="2"/>
        <v>0</v>
      </c>
      <c r="N71" s="7"/>
      <c r="O71" s="7">
        <f>IF(N71="Full Process",Settings!$B$6,IF(N71="Assembly Only",Settings!$B$7,0))</f>
        <v>0</v>
      </c>
      <c r="P71" s="14">
        <f t="shared" si="3"/>
        <v>0</v>
      </c>
      <c r="Q71" s="13">
        <f>IF(O71=0,0,MIN(1,L71/O71)*Settings!$B$5)</f>
        <v>0</v>
      </c>
      <c r="R71" s="16"/>
      <c r="S71" s="16"/>
      <c r="U71" s="7"/>
    </row>
    <row r="72" ht="15.75" customHeight="1">
      <c r="A72" s="15"/>
      <c r="B72" s="7"/>
      <c r="C72" s="7" t="str">
        <f t="array" ref="C72">IFERROR(INDEX('Order Planning'!$C$5:$C$204,MATCH(B72,'Order Planning'!$A$5:$A$204,0)),"")</f>
        <v/>
      </c>
      <c r="D72" s="7" t="str">
        <f t="array" ref="D72">IFERROR(INDEX('Order Planning'!$E$5:$E$204,MATCH(B72,'Order Planning'!$A$5:$A$204,0)),"")</f>
        <v/>
      </c>
      <c r="E72" s="7" t="str">
        <f t="array" ref="E72">IFERROR(INDEX('Order Planning'!$F$5:$F$204,MATCH(B72,'Order Planning'!$A$5:$A$204,0)),"")</f>
        <v/>
      </c>
      <c r="F72" s="7"/>
      <c r="G72" s="7"/>
      <c r="L72" s="7">
        <f t="shared" si="1"/>
        <v>0</v>
      </c>
      <c r="M72" s="14">
        <f t="shared" si="2"/>
        <v>0</v>
      </c>
      <c r="N72" s="7"/>
      <c r="O72" s="7">
        <f>IF(N72="Full Process",Settings!$B$6,IF(N72="Assembly Only",Settings!$B$7,0))</f>
        <v>0</v>
      </c>
      <c r="P72" s="14">
        <f t="shared" si="3"/>
        <v>0</v>
      </c>
      <c r="Q72" s="13">
        <f>IF(O72=0,0,MIN(1,L72/O72)*Settings!$B$5)</f>
        <v>0</v>
      </c>
      <c r="R72" s="16"/>
      <c r="S72" s="16"/>
      <c r="U72" s="7"/>
    </row>
    <row r="73" ht="15.75" customHeight="1">
      <c r="A73" s="15"/>
      <c r="B73" s="7"/>
      <c r="C73" s="7" t="str">
        <f t="array" ref="C73">IFERROR(INDEX('Order Planning'!$C$5:$C$204,MATCH(B73,'Order Planning'!$A$5:$A$204,0)),"")</f>
        <v/>
      </c>
      <c r="D73" s="7" t="str">
        <f t="array" ref="D73">IFERROR(INDEX('Order Planning'!$E$5:$E$204,MATCH(B73,'Order Planning'!$A$5:$A$204,0)),"")</f>
        <v/>
      </c>
      <c r="E73" s="7" t="str">
        <f t="array" ref="E73">IFERROR(INDEX('Order Planning'!$F$5:$F$204,MATCH(B73,'Order Planning'!$A$5:$A$204,0)),"")</f>
        <v/>
      </c>
      <c r="F73" s="7"/>
      <c r="G73" s="7"/>
      <c r="L73" s="7">
        <f t="shared" si="1"/>
        <v>0</v>
      </c>
      <c r="M73" s="14">
        <f t="shared" si="2"/>
        <v>0</v>
      </c>
      <c r="N73" s="7"/>
      <c r="O73" s="7">
        <f>IF(N73="Full Process",Settings!$B$6,IF(N73="Assembly Only",Settings!$B$7,0))</f>
        <v>0</v>
      </c>
      <c r="P73" s="14">
        <f t="shared" si="3"/>
        <v>0</v>
      </c>
      <c r="Q73" s="13">
        <f>IF(O73=0,0,MIN(1,L73/O73)*Settings!$B$5)</f>
        <v>0</v>
      </c>
      <c r="R73" s="16"/>
      <c r="S73" s="16"/>
      <c r="U73" s="7"/>
    </row>
    <row r="74" ht="15.75" customHeight="1">
      <c r="A74" s="15"/>
      <c r="B74" s="7"/>
      <c r="C74" s="7" t="str">
        <f t="array" ref="C74">IFERROR(INDEX('Order Planning'!$C$5:$C$204,MATCH(B74,'Order Planning'!$A$5:$A$204,0)),"")</f>
        <v/>
      </c>
      <c r="D74" s="7" t="str">
        <f t="array" ref="D74">IFERROR(INDEX('Order Planning'!$E$5:$E$204,MATCH(B74,'Order Planning'!$A$5:$A$204,0)),"")</f>
        <v/>
      </c>
      <c r="E74" s="7" t="str">
        <f t="array" ref="E74">IFERROR(INDEX('Order Planning'!$F$5:$F$204,MATCH(B74,'Order Planning'!$A$5:$A$204,0)),"")</f>
        <v/>
      </c>
      <c r="F74" s="7"/>
      <c r="G74" s="7"/>
      <c r="L74" s="7">
        <f t="shared" si="1"/>
        <v>0</v>
      </c>
      <c r="M74" s="14">
        <f t="shared" si="2"/>
        <v>0</v>
      </c>
      <c r="N74" s="7"/>
      <c r="O74" s="7">
        <f>IF(N74="Full Process",Settings!$B$6,IF(N74="Assembly Only",Settings!$B$7,0))</f>
        <v>0</v>
      </c>
      <c r="P74" s="14">
        <f t="shared" si="3"/>
        <v>0</v>
      </c>
      <c r="Q74" s="13">
        <f>IF(O74=0,0,MIN(1,L74/O74)*Settings!$B$5)</f>
        <v>0</v>
      </c>
      <c r="R74" s="16"/>
      <c r="S74" s="16"/>
      <c r="U74" s="7"/>
    </row>
    <row r="75" ht="15.75" customHeight="1">
      <c r="A75" s="15"/>
      <c r="B75" s="7"/>
      <c r="C75" s="7" t="str">
        <f t="array" ref="C75">IFERROR(INDEX('Order Planning'!$C$5:$C$204,MATCH(B75,'Order Planning'!$A$5:$A$204,0)),"")</f>
        <v/>
      </c>
      <c r="D75" s="7" t="str">
        <f t="array" ref="D75">IFERROR(INDEX('Order Planning'!$E$5:$E$204,MATCH(B75,'Order Planning'!$A$5:$A$204,0)),"")</f>
        <v/>
      </c>
      <c r="E75" s="7" t="str">
        <f t="array" ref="E75">IFERROR(INDEX('Order Planning'!$F$5:$F$204,MATCH(B75,'Order Planning'!$A$5:$A$204,0)),"")</f>
        <v/>
      </c>
      <c r="F75" s="7"/>
      <c r="G75" s="7"/>
      <c r="L75" s="7">
        <f t="shared" si="1"/>
        <v>0</v>
      </c>
      <c r="M75" s="14">
        <f t="shared" si="2"/>
        <v>0</v>
      </c>
      <c r="N75" s="7"/>
      <c r="O75" s="7">
        <f>IF(N75="Full Process",Settings!$B$6,IF(N75="Assembly Only",Settings!$B$7,0))</f>
        <v>0</v>
      </c>
      <c r="P75" s="14">
        <f t="shared" si="3"/>
        <v>0</v>
      </c>
      <c r="Q75" s="13">
        <f>IF(O75=0,0,MIN(1,L75/O75)*Settings!$B$5)</f>
        <v>0</v>
      </c>
      <c r="R75" s="16"/>
      <c r="S75" s="16"/>
      <c r="U75" s="7"/>
    </row>
    <row r="76" ht="15.75" customHeight="1">
      <c r="A76" s="15"/>
      <c r="B76" s="7"/>
      <c r="C76" s="7" t="str">
        <f t="array" ref="C76">IFERROR(INDEX('Order Planning'!$C$5:$C$204,MATCH(B76,'Order Planning'!$A$5:$A$204,0)),"")</f>
        <v/>
      </c>
      <c r="D76" s="7" t="str">
        <f t="array" ref="D76">IFERROR(INDEX('Order Planning'!$E$5:$E$204,MATCH(B76,'Order Planning'!$A$5:$A$204,0)),"")</f>
        <v/>
      </c>
      <c r="E76" s="7" t="str">
        <f t="array" ref="E76">IFERROR(INDEX('Order Planning'!$F$5:$F$204,MATCH(B76,'Order Planning'!$A$5:$A$204,0)),"")</f>
        <v/>
      </c>
      <c r="F76" s="7"/>
      <c r="G76" s="7"/>
      <c r="L76" s="7">
        <f t="shared" si="1"/>
        <v>0</v>
      </c>
      <c r="M76" s="14">
        <f t="shared" si="2"/>
        <v>0</v>
      </c>
      <c r="N76" s="7"/>
      <c r="O76" s="7">
        <f>IF(N76="Full Process",Settings!$B$6,IF(N76="Assembly Only",Settings!$B$7,0))</f>
        <v>0</v>
      </c>
      <c r="P76" s="14">
        <f t="shared" si="3"/>
        <v>0</v>
      </c>
      <c r="Q76" s="13">
        <f>IF(O76=0,0,MIN(1,L76/O76)*Settings!$B$5)</f>
        <v>0</v>
      </c>
      <c r="R76" s="16"/>
      <c r="S76" s="16"/>
      <c r="U76" s="7"/>
    </row>
    <row r="77" ht="15.75" customHeight="1">
      <c r="A77" s="15"/>
      <c r="B77" s="7"/>
      <c r="C77" s="7" t="str">
        <f t="array" ref="C77">IFERROR(INDEX('Order Planning'!$C$5:$C$204,MATCH(B77,'Order Planning'!$A$5:$A$204,0)),"")</f>
        <v/>
      </c>
      <c r="D77" s="7" t="str">
        <f t="array" ref="D77">IFERROR(INDEX('Order Planning'!$E$5:$E$204,MATCH(B77,'Order Planning'!$A$5:$A$204,0)),"")</f>
        <v/>
      </c>
      <c r="E77" s="7" t="str">
        <f t="array" ref="E77">IFERROR(INDEX('Order Planning'!$F$5:$F$204,MATCH(B77,'Order Planning'!$A$5:$A$204,0)),"")</f>
        <v/>
      </c>
      <c r="F77" s="7"/>
      <c r="G77" s="7"/>
      <c r="L77" s="7">
        <f t="shared" si="1"/>
        <v>0</v>
      </c>
      <c r="M77" s="14">
        <f t="shared" si="2"/>
        <v>0</v>
      </c>
      <c r="N77" s="7"/>
      <c r="O77" s="7">
        <f>IF(N77="Full Process",Settings!$B$6,IF(N77="Assembly Only",Settings!$B$7,0))</f>
        <v>0</v>
      </c>
      <c r="P77" s="14">
        <f t="shared" si="3"/>
        <v>0</v>
      </c>
      <c r="Q77" s="13">
        <f>IF(O77=0,0,MIN(1,L77/O77)*Settings!$B$5)</f>
        <v>0</v>
      </c>
      <c r="R77" s="16"/>
      <c r="S77" s="16"/>
      <c r="U77" s="7"/>
    </row>
    <row r="78" ht="15.75" customHeight="1">
      <c r="A78" s="15"/>
      <c r="B78" s="7"/>
      <c r="C78" s="7" t="str">
        <f t="array" ref="C78">IFERROR(INDEX('Order Planning'!$C$5:$C$204,MATCH(B78,'Order Planning'!$A$5:$A$204,0)),"")</f>
        <v/>
      </c>
      <c r="D78" s="7" t="str">
        <f t="array" ref="D78">IFERROR(INDEX('Order Planning'!$E$5:$E$204,MATCH(B78,'Order Planning'!$A$5:$A$204,0)),"")</f>
        <v/>
      </c>
      <c r="E78" s="7" t="str">
        <f t="array" ref="E78">IFERROR(INDEX('Order Planning'!$F$5:$F$204,MATCH(B78,'Order Planning'!$A$5:$A$204,0)),"")</f>
        <v/>
      </c>
      <c r="F78" s="7"/>
      <c r="G78" s="7"/>
      <c r="L78" s="7">
        <f t="shared" si="1"/>
        <v>0</v>
      </c>
      <c r="M78" s="14">
        <f t="shared" si="2"/>
        <v>0</v>
      </c>
      <c r="N78" s="7"/>
      <c r="O78" s="7">
        <f>IF(N78="Full Process",Settings!$B$6,IF(N78="Assembly Only",Settings!$B$7,0))</f>
        <v>0</v>
      </c>
      <c r="P78" s="14">
        <f t="shared" si="3"/>
        <v>0</v>
      </c>
      <c r="Q78" s="13">
        <f>IF(O78=0,0,MIN(1,L78/O78)*Settings!$B$5)</f>
        <v>0</v>
      </c>
      <c r="R78" s="16"/>
      <c r="S78" s="16"/>
      <c r="U78" s="7"/>
    </row>
    <row r="79" ht="15.75" customHeight="1">
      <c r="A79" s="15"/>
      <c r="B79" s="7"/>
      <c r="C79" s="7" t="str">
        <f t="array" ref="C79">IFERROR(INDEX('Order Planning'!$C$5:$C$204,MATCH(B79,'Order Planning'!$A$5:$A$204,0)),"")</f>
        <v/>
      </c>
      <c r="D79" s="7" t="str">
        <f t="array" ref="D79">IFERROR(INDEX('Order Planning'!$E$5:$E$204,MATCH(B79,'Order Planning'!$A$5:$A$204,0)),"")</f>
        <v/>
      </c>
      <c r="E79" s="7" t="str">
        <f t="array" ref="E79">IFERROR(INDEX('Order Planning'!$F$5:$F$204,MATCH(B79,'Order Planning'!$A$5:$A$204,0)),"")</f>
        <v/>
      </c>
      <c r="F79" s="7"/>
      <c r="G79" s="7"/>
      <c r="L79" s="7">
        <f t="shared" si="1"/>
        <v>0</v>
      </c>
      <c r="M79" s="14">
        <f t="shared" si="2"/>
        <v>0</v>
      </c>
      <c r="N79" s="7"/>
      <c r="O79" s="7">
        <f>IF(N79="Full Process",Settings!$B$6,IF(N79="Assembly Only",Settings!$B$7,0))</f>
        <v>0</v>
      </c>
      <c r="P79" s="14">
        <f t="shared" si="3"/>
        <v>0</v>
      </c>
      <c r="Q79" s="13">
        <f>IF(O79=0,0,MIN(1,L79/O79)*Settings!$B$5)</f>
        <v>0</v>
      </c>
      <c r="R79" s="16"/>
      <c r="S79" s="16"/>
      <c r="U79" s="7"/>
    </row>
    <row r="80" ht="15.75" customHeight="1">
      <c r="A80" s="15"/>
      <c r="B80" s="7"/>
      <c r="C80" s="7" t="str">
        <f t="array" ref="C80">IFERROR(INDEX('Order Planning'!$C$5:$C$204,MATCH(B80,'Order Planning'!$A$5:$A$204,0)),"")</f>
        <v/>
      </c>
      <c r="D80" s="7" t="str">
        <f t="array" ref="D80">IFERROR(INDEX('Order Planning'!$E$5:$E$204,MATCH(B80,'Order Planning'!$A$5:$A$204,0)),"")</f>
        <v/>
      </c>
      <c r="E80" s="7" t="str">
        <f t="array" ref="E80">IFERROR(INDEX('Order Planning'!$F$5:$F$204,MATCH(B80,'Order Planning'!$A$5:$A$204,0)),"")</f>
        <v/>
      </c>
      <c r="F80" s="7"/>
      <c r="G80" s="7"/>
      <c r="L80" s="7">
        <f t="shared" si="1"/>
        <v>0</v>
      </c>
      <c r="M80" s="14">
        <f t="shared" si="2"/>
        <v>0</v>
      </c>
      <c r="N80" s="7"/>
      <c r="O80" s="7">
        <f>IF(N80="Full Process",Settings!$B$6,IF(N80="Assembly Only",Settings!$B$7,0))</f>
        <v>0</v>
      </c>
      <c r="P80" s="14">
        <f t="shared" si="3"/>
        <v>0</v>
      </c>
      <c r="Q80" s="13">
        <f>IF(O80=0,0,MIN(1,L80/O80)*Settings!$B$5)</f>
        <v>0</v>
      </c>
      <c r="R80" s="16"/>
      <c r="S80" s="16"/>
      <c r="U80" s="7"/>
    </row>
    <row r="81" ht="15.75" customHeight="1">
      <c r="A81" s="15"/>
      <c r="B81" s="7"/>
      <c r="C81" s="7" t="str">
        <f t="array" ref="C81">IFERROR(INDEX('Order Planning'!$C$5:$C$204,MATCH(B81,'Order Planning'!$A$5:$A$204,0)),"")</f>
        <v/>
      </c>
      <c r="D81" s="7" t="str">
        <f t="array" ref="D81">IFERROR(INDEX('Order Planning'!$E$5:$E$204,MATCH(B81,'Order Planning'!$A$5:$A$204,0)),"")</f>
        <v/>
      </c>
      <c r="E81" s="7" t="str">
        <f t="array" ref="E81">IFERROR(INDEX('Order Planning'!$F$5:$F$204,MATCH(B81,'Order Planning'!$A$5:$A$204,0)),"")</f>
        <v/>
      </c>
      <c r="F81" s="7"/>
      <c r="G81" s="7"/>
      <c r="L81" s="7">
        <f t="shared" si="1"/>
        <v>0</v>
      </c>
      <c r="M81" s="14">
        <f t="shared" si="2"/>
        <v>0</v>
      </c>
      <c r="N81" s="7"/>
      <c r="O81" s="7">
        <f>IF(N81="Full Process",Settings!$B$6,IF(N81="Assembly Only",Settings!$B$7,0))</f>
        <v>0</v>
      </c>
      <c r="P81" s="14">
        <f t="shared" si="3"/>
        <v>0</v>
      </c>
      <c r="Q81" s="13">
        <f>IF(O81=0,0,MIN(1,L81/O81)*Settings!$B$5)</f>
        <v>0</v>
      </c>
      <c r="R81" s="16"/>
      <c r="S81" s="16"/>
      <c r="U81" s="7"/>
    </row>
    <row r="82" ht="15.75" customHeight="1">
      <c r="A82" s="15"/>
      <c r="B82" s="7"/>
      <c r="C82" s="7" t="str">
        <f t="array" ref="C82">IFERROR(INDEX('Order Planning'!$C$5:$C$204,MATCH(B82,'Order Planning'!$A$5:$A$204,0)),"")</f>
        <v/>
      </c>
      <c r="D82" s="7" t="str">
        <f t="array" ref="D82">IFERROR(INDEX('Order Planning'!$E$5:$E$204,MATCH(B82,'Order Planning'!$A$5:$A$204,0)),"")</f>
        <v/>
      </c>
      <c r="E82" s="7" t="str">
        <f t="array" ref="E82">IFERROR(INDEX('Order Planning'!$F$5:$F$204,MATCH(B82,'Order Planning'!$A$5:$A$204,0)),"")</f>
        <v/>
      </c>
      <c r="F82" s="7"/>
      <c r="G82" s="7"/>
      <c r="L82" s="7">
        <f t="shared" si="1"/>
        <v>0</v>
      </c>
      <c r="M82" s="14">
        <f t="shared" si="2"/>
        <v>0</v>
      </c>
      <c r="N82" s="7"/>
      <c r="O82" s="7">
        <f>IF(N82="Full Process",Settings!$B$6,IF(N82="Assembly Only",Settings!$B$7,0))</f>
        <v>0</v>
      </c>
      <c r="P82" s="14">
        <f t="shared" si="3"/>
        <v>0</v>
      </c>
      <c r="Q82" s="13">
        <f>IF(O82=0,0,MIN(1,L82/O82)*Settings!$B$5)</f>
        <v>0</v>
      </c>
      <c r="R82" s="16"/>
      <c r="S82" s="16"/>
      <c r="U82" s="7"/>
    </row>
    <row r="83" ht="15.75" customHeight="1">
      <c r="A83" s="15"/>
      <c r="B83" s="7"/>
      <c r="C83" s="7" t="str">
        <f t="array" ref="C83">IFERROR(INDEX('Order Planning'!$C$5:$C$204,MATCH(B83,'Order Planning'!$A$5:$A$204,0)),"")</f>
        <v/>
      </c>
      <c r="D83" s="7" t="str">
        <f t="array" ref="D83">IFERROR(INDEX('Order Planning'!$E$5:$E$204,MATCH(B83,'Order Planning'!$A$5:$A$204,0)),"")</f>
        <v/>
      </c>
      <c r="E83" s="7" t="str">
        <f t="array" ref="E83">IFERROR(INDEX('Order Planning'!$F$5:$F$204,MATCH(B83,'Order Planning'!$A$5:$A$204,0)),"")</f>
        <v/>
      </c>
      <c r="F83" s="7"/>
      <c r="G83" s="7"/>
      <c r="L83" s="7">
        <f t="shared" si="1"/>
        <v>0</v>
      </c>
      <c r="M83" s="14">
        <f t="shared" si="2"/>
        <v>0</v>
      </c>
      <c r="N83" s="7"/>
      <c r="O83" s="7">
        <f>IF(N83="Full Process",Settings!$B$6,IF(N83="Assembly Only",Settings!$B$7,0))</f>
        <v>0</v>
      </c>
      <c r="P83" s="14">
        <f t="shared" si="3"/>
        <v>0</v>
      </c>
      <c r="Q83" s="13">
        <f>IF(O83=0,0,MIN(1,L83/O83)*Settings!$B$5)</f>
        <v>0</v>
      </c>
      <c r="R83" s="16"/>
      <c r="S83" s="16"/>
      <c r="U83" s="7"/>
    </row>
    <row r="84" ht="15.75" customHeight="1">
      <c r="A84" s="15"/>
      <c r="B84" s="7"/>
      <c r="C84" s="7" t="str">
        <f t="array" ref="C84">IFERROR(INDEX('Order Planning'!$C$5:$C$204,MATCH(B84,'Order Planning'!$A$5:$A$204,0)),"")</f>
        <v/>
      </c>
      <c r="D84" s="7" t="str">
        <f t="array" ref="D84">IFERROR(INDEX('Order Planning'!$E$5:$E$204,MATCH(B84,'Order Planning'!$A$5:$A$204,0)),"")</f>
        <v/>
      </c>
      <c r="E84" s="7" t="str">
        <f t="array" ref="E84">IFERROR(INDEX('Order Planning'!$F$5:$F$204,MATCH(B84,'Order Planning'!$A$5:$A$204,0)),"")</f>
        <v/>
      </c>
      <c r="F84" s="7"/>
      <c r="G84" s="7"/>
      <c r="L84" s="7">
        <f t="shared" si="1"/>
        <v>0</v>
      </c>
      <c r="M84" s="14">
        <f t="shared" si="2"/>
        <v>0</v>
      </c>
      <c r="N84" s="7"/>
      <c r="O84" s="7">
        <f>IF(N84="Full Process",Settings!$B$6,IF(N84="Assembly Only",Settings!$B$7,0))</f>
        <v>0</v>
      </c>
      <c r="P84" s="14">
        <f t="shared" si="3"/>
        <v>0</v>
      </c>
      <c r="Q84" s="13">
        <f>IF(O84=0,0,MIN(1,L84/O84)*Settings!$B$5)</f>
        <v>0</v>
      </c>
      <c r="R84" s="16"/>
      <c r="S84" s="16"/>
      <c r="U84" s="7"/>
    </row>
    <row r="85" ht="15.75" customHeight="1">
      <c r="A85" s="15"/>
      <c r="B85" s="7"/>
      <c r="C85" s="7" t="str">
        <f t="array" ref="C85">IFERROR(INDEX('Order Planning'!$C$5:$C$204,MATCH(B85,'Order Planning'!$A$5:$A$204,0)),"")</f>
        <v/>
      </c>
      <c r="D85" s="7" t="str">
        <f t="array" ref="D85">IFERROR(INDEX('Order Planning'!$E$5:$E$204,MATCH(B85,'Order Planning'!$A$5:$A$204,0)),"")</f>
        <v/>
      </c>
      <c r="E85" s="7" t="str">
        <f t="array" ref="E85">IFERROR(INDEX('Order Planning'!$F$5:$F$204,MATCH(B85,'Order Planning'!$A$5:$A$204,0)),"")</f>
        <v/>
      </c>
      <c r="F85" s="7"/>
      <c r="G85" s="7"/>
      <c r="L85" s="7">
        <f t="shared" si="1"/>
        <v>0</v>
      </c>
      <c r="M85" s="14">
        <f t="shared" si="2"/>
        <v>0</v>
      </c>
      <c r="N85" s="7"/>
      <c r="O85" s="7">
        <f>IF(N85="Full Process",Settings!$B$6,IF(N85="Assembly Only",Settings!$B$7,0))</f>
        <v>0</v>
      </c>
      <c r="P85" s="14">
        <f t="shared" si="3"/>
        <v>0</v>
      </c>
      <c r="Q85" s="13">
        <f>IF(O85=0,0,MIN(1,L85/O85)*Settings!$B$5)</f>
        <v>0</v>
      </c>
      <c r="R85" s="16"/>
      <c r="S85" s="16"/>
      <c r="U85" s="7"/>
    </row>
    <row r="86" ht="15.75" customHeight="1">
      <c r="A86" s="15"/>
      <c r="B86" s="7"/>
      <c r="C86" s="7" t="str">
        <f t="array" ref="C86">IFERROR(INDEX('Order Planning'!$C$5:$C$204,MATCH(B86,'Order Planning'!$A$5:$A$204,0)),"")</f>
        <v/>
      </c>
      <c r="D86" s="7" t="str">
        <f t="array" ref="D86">IFERROR(INDEX('Order Planning'!$E$5:$E$204,MATCH(B86,'Order Planning'!$A$5:$A$204,0)),"")</f>
        <v/>
      </c>
      <c r="E86" s="7" t="str">
        <f t="array" ref="E86">IFERROR(INDEX('Order Planning'!$F$5:$F$204,MATCH(B86,'Order Planning'!$A$5:$A$204,0)),"")</f>
        <v/>
      </c>
      <c r="F86" s="7"/>
      <c r="G86" s="7"/>
      <c r="L86" s="7">
        <f t="shared" si="1"/>
        <v>0</v>
      </c>
      <c r="M86" s="14">
        <f t="shared" si="2"/>
        <v>0</v>
      </c>
      <c r="N86" s="7"/>
      <c r="O86" s="7">
        <f>IF(N86="Full Process",Settings!$B$6,IF(N86="Assembly Only",Settings!$B$7,0))</f>
        <v>0</v>
      </c>
      <c r="P86" s="14">
        <f t="shared" si="3"/>
        <v>0</v>
      </c>
      <c r="Q86" s="13">
        <f>IF(O86=0,0,MIN(1,L86/O86)*Settings!$B$5)</f>
        <v>0</v>
      </c>
      <c r="R86" s="16"/>
      <c r="S86" s="16"/>
      <c r="U86" s="7"/>
    </row>
    <row r="87" ht="15.75" customHeight="1">
      <c r="A87" s="15"/>
      <c r="B87" s="7"/>
      <c r="C87" s="7" t="str">
        <f t="array" ref="C87">IFERROR(INDEX('Order Planning'!$C$5:$C$204,MATCH(B87,'Order Planning'!$A$5:$A$204,0)),"")</f>
        <v/>
      </c>
      <c r="D87" s="7" t="str">
        <f t="array" ref="D87">IFERROR(INDEX('Order Planning'!$E$5:$E$204,MATCH(B87,'Order Planning'!$A$5:$A$204,0)),"")</f>
        <v/>
      </c>
      <c r="E87" s="7" t="str">
        <f t="array" ref="E87">IFERROR(INDEX('Order Planning'!$F$5:$F$204,MATCH(B87,'Order Planning'!$A$5:$A$204,0)),"")</f>
        <v/>
      </c>
      <c r="F87" s="7"/>
      <c r="G87" s="7"/>
      <c r="L87" s="7">
        <f t="shared" si="1"/>
        <v>0</v>
      </c>
      <c r="M87" s="14">
        <f t="shared" si="2"/>
        <v>0</v>
      </c>
      <c r="N87" s="7"/>
      <c r="O87" s="7">
        <f>IF(N87="Full Process",Settings!$B$6,IF(N87="Assembly Only",Settings!$B$7,0))</f>
        <v>0</v>
      </c>
      <c r="P87" s="14">
        <f t="shared" si="3"/>
        <v>0</v>
      </c>
      <c r="Q87" s="13">
        <f>IF(O87=0,0,MIN(1,L87/O87)*Settings!$B$5)</f>
        <v>0</v>
      </c>
      <c r="R87" s="16"/>
      <c r="S87" s="16"/>
      <c r="U87" s="7"/>
    </row>
    <row r="88" ht="15.75" customHeight="1">
      <c r="A88" s="15"/>
      <c r="B88" s="7"/>
      <c r="C88" s="7" t="str">
        <f t="array" ref="C88">IFERROR(INDEX('Order Planning'!$C$5:$C$204,MATCH(B88,'Order Planning'!$A$5:$A$204,0)),"")</f>
        <v/>
      </c>
      <c r="D88" s="7" t="str">
        <f t="array" ref="D88">IFERROR(INDEX('Order Planning'!$E$5:$E$204,MATCH(B88,'Order Planning'!$A$5:$A$204,0)),"")</f>
        <v/>
      </c>
      <c r="E88" s="7" t="str">
        <f t="array" ref="E88">IFERROR(INDEX('Order Planning'!$F$5:$F$204,MATCH(B88,'Order Planning'!$A$5:$A$204,0)),"")</f>
        <v/>
      </c>
      <c r="F88" s="7"/>
      <c r="G88" s="7"/>
      <c r="L88" s="7">
        <f t="shared" si="1"/>
        <v>0</v>
      </c>
      <c r="M88" s="14">
        <f t="shared" si="2"/>
        <v>0</v>
      </c>
      <c r="N88" s="7"/>
      <c r="O88" s="7">
        <f>IF(N88="Full Process",Settings!$B$6,IF(N88="Assembly Only",Settings!$B$7,0))</f>
        <v>0</v>
      </c>
      <c r="P88" s="14">
        <f t="shared" si="3"/>
        <v>0</v>
      </c>
      <c r="Q88" s="13">
        <f>IF(O88=0,0,MIN(1,L88/O88)*Settings!$B$5)</f>
        <v>0</v>
      </c>
      <c r="R88" s="16"/>
      <c r="S88" s="16"/>
      <c r="U88" s="7"/>
    </row>
    <row r="89" ht="15.75" customHeight="1">
      <c r="A89" s="15"/>
      <c r="B89" s="7"/>
      <c r="C89" s="7" t="str">
        <f t="array" ref="C89">IFERROR(INDEX('Order Planning'!$C$5:$C$204,MATCH(B89,'Order Planning'!$A$5:$A$204,0)),"")</f>
        <v/>
      </c>
      <c r="D89" s="7" t="str">
        <f t="array" ref="D89">IFERROR(INDEX('Order Planning'!$E$5:$E$204,MATCH(B89,'Order Planning'!$A$5:$A$204,0)),"")</f>
        <v/>
      </c>
      <c r="E89" s="7" t="str">
        <f t="array" ref="E89">IFERROR(INDEX('Order Planning'!$F$5:$F$204,MATCH(B89,'Order Planning'!$A$5:$A$204,0)),"")</f>
        <v/>
      </c>
      <c r="F89" s="7"/>
      <c r="G89" s="7"/>
      <c r="L89" s="7">
        <f t="shared" si="1"/>
        <v>0</v>
      </c>
      <c r="M89" s="14">
        <f t="shared" si="2"/>
        <v>0</v>
      </c>
      <c r="N89" s="7"/>
      <c r="O89" s="7">
        <f>IF(N89="Full Process",Settings!$B$6,IF(N89="Assembly Only",Settings!$B$7,0))</f>
        <v>0</v>
      </c>
      <c r="P89" s="14">
        <f t="shared" si="3"/>
        <v>0</v>
      </c>
      <c r="Q89" s="13">
        <f>IF(O89=0,0,MIN(1,L89/O89)*Settings!$B$5)</f>
        <v>0</v>
      </c>
      <c r="R89" s="16"/>
      <c r="S89" s="16"/>
      <c r="U89" s="7"/>
    </row>
    <row r="90" ht="15.75" customHeight="1">
      <c r="A90" s="15"/>
      <c r="B90" s="7"/>
      <c r="C90" s="7" t="str">
        <f t="array" ref="C90">IFERROR(INDEX('Order Planning'!$C$5:$C$204,MATCH(B90,'Order Planning'!$A$5:$A$204,0)),"")</f>
        <v/>
      </c>
      <c r="D90" s="7" t="str">
        <f t="array" ref="D90">IFERROR(INDEX('Order Planning'!$E$5:$E$204,MATCH(B90,'Order Planning'!$A$5:$A$204,0)),"")</f>
        <v/>
      </c>
      <c r="E90" s="7" t="str">
        <f t="array" ref="E90">IFERROR(INDEX('Order Planning'!$F$5:$F$204,MATCH(B90,'Order Planning'!$A$5:$A$204,0)),"")</f>
        <v/>
      </c>
      <c r="F90" s="7"/>
      <c r="G90" s="7"/>
      <c r="L90" s="7">
        <f t="shared" si="1"/>
        <v>0</v>
      </c>
      <c r="M90" s="14">
        <f t="shared" si="2"/>
        <v>0</v>
      </c>
      <c r="N90" s="7"/>
      <c r="O90" s="7">
        <f>IF(N90="Full Process",Settings!$B$6,IF(N90="Assembly Only",Settings!$B$7,0))</f>
        <v>0</v>
      </c>
      <c r="P90" s="14">
        <f t="shared" si="3"/>
        <v>0</v>
      </c>
      <c r="Q90" s="13">
        <f>IF(O90=0,0,MIN(1,L90/O90)*Settings!$B$5)</f>
        <v>0</v>
      </c>
      <c r="R90" s="16"/>
      <c r="S90" s="16"/>
      <c r="U90" s="7"/>
    </row>
    <row r="91" ht="15.75" customHeight="1">
      <c r="A91" s="15"/>
      <c r="B91" s="7"/>
      <c r="C91" s="7" t="str">
        <f t="array" ref="C91">IFERROR(INDEX('Order Planning'!$C$5:$C$204,MATCH(B91,'Order Planning'!$A$5:$A$204,0)),"")</f>
        <v/>
      </c>
      <c r="D91" s="7" t="str">
        <f t="array" ref="D91">IFERROR(INDEX('Order Planning'!$E$5:$E$204,MATCH(B91,'Order Planning'!$A$5:$A$204,0)),"")</f>
        <v/>
      </c>
      <c r="E91" s="7" t="str">
        <f t="array" ref="E91">IFERROR(INDEX('Order Planning'!$F$5:$F$204,MATCH(B91,'Order Planning'!$A$5:$A$204,0)),"")</f>
        <v/>
      </c>
      <c r="F91" s="7"/>
      <c r="G91" s="7"/>
      <c r="L91" s="7">
        <f t="shared" si="1"/>
        <v>0</v>
      </c>
      <c r="M91" s="14">
        <f t="shared" si="2"/>
        <v>0</v>
      </c>
      <c r="N91" s="7"/>
      <c r="O91" s="7">
        <f>IF(N91="Full Process",Settings!$B$6,IF(N91="Assembly Only",Settings!$B$7,0))</f>
        <v>0</v>
      </c>
      <c r="P91" s="14">
        <f t="shared" si="3"/>
        <v>0</v>
      </c>
      <c r="Q91" s="13">
        <f>IF(O91=0,0,MIN(1,L91/O91)*Settings!$B$5)</f>
        <v>0</v>
      </c>
      <c r="R91" s="16"/>
      <c r="S91" s="16"/>
      <c r="U91" s="7"/>
    </row>
    <row r="92" ht="15.75" customHeight="1">
      <c r="A92" s="15"/>
      <c r="B92" s="7"/>
      <c r="C92" s="7" t="str">
        <f t="array" ref="C92">IFERROR(INDEX('Order Planning'!$C$5:$C$204,MATCH(B92,'Order Planning'!$A$5:$A$204,0)),"")</f>
        <v/>
      </c>
      <c r="D92" s="7" t="str">
        <f t="array" ref="D92">IFERROR(INDEX('Order Planning'!$E$5:$E$204,MATCH(B92,'Order Planning'!$A$5:$A$204,0)),"")</f>
        <v/>
      </c>
      <c r="E92" s="7" t="str">
        <f t="array" ref="E92">IFERROR(INDEX('Order Planning'!$F$5:$F$204,MATCH(B92,'Order Planning'!$A$5:$A$204,0)),"")</f>
        <v/>
      </c>
      <c r="F92" s="7"/>
      <c r="G92" s="7"/>
      <c r="L92" s="7">
        <f t="shared" si="1"/>
        <v>0</v>
      </c>
      <c r="M92" s="14">
        <f t="shared" si="2"/>
        <v>0</v>
      </c>
      <c r="N92" s="7"/>
      <c r="O92" s="7">
        <f>IF(N92="Full Process",Settings!$B$6,IF(N92="Assembly Only",Settings!$B$7,0))</f>
        <v>0</v>
      </c>
      <c r="P92" s="14">
        <f t="shared" si="3"/>
        <v>0</v>
      </c>
      <c r="Q92" s="13">
        <f>IF(O92=0,0,MIN(1,L92/O92)*Settings!$B$5)</f>
        <v>0</v>
      </c>
      <c r="R92" s="16"/>
      <c r="S92" s="16"/>
      <c r="U92" s="7"/>
    </row>
    <row r="93" ht="15.75" customHeight="1">
      <c r="A93" s="15"/>
      <c r="B93" s="7"/>
      <c r="C93" s="7" t="str">
        <f t="array" ref="C93">IFERROR(INDEX('Order Planning'!$C$5:$C$204,MATCH(B93,'Order Planning'!$A$5:$A$204,0)),"")</f>
        <v/>
      </c>
      <c r="D93" s="7" t="str">
        <f t="array" ref="D93">IFERROR(INDEX('Order Planning'!$E$5:$E$204,MATCH(B93,'Order Planning'!$A$5:$A$204,0)),"")</f>
        <v/>
      </c>
      <c r="E93" s="7" t="str">
        <f t="array" ref="E93">IFERROR(INDEX('Order Planning'!$F$5:$F$204,MATCH(B93,'Order Planning'!$A$5:$A$204,0)),"")</f>
        <v/>
      </c>
      <c r="F93" s="7"/>
      <c r="G93" s="7"/>
      <c r="L93" s="7">
        <f t="shared" si="1"/>
        <v>0</v>
      </c>
      <c r="M93" s="14">
        <f t="shared" si="2"/>
        <v>0</v>
      </c>
      <c r="N93" s="7"/>
      <c r="O93" s="7">
        <f>IF(N93="Full Process",Settings!$B$6,IF(N93="Assembly Only",Settings!$B$7,0))</f>
        <v>0</v>
      </c>
      <c r="P93" s="14">
        <f t="shared" si="3"/>
        <v>0</v>
      </c>
      <c r="Q93" s="13">
        <f>IF(O93=0,0,MIN(1,L93/O93)*Settings!$B$5)</f>
        <v>0</v>
      </c>
      <c r="R93" s="16"/>
      <c r="S93" s="16"/>
      <c r="U93" s="7"/>
    </row>
    <row r="94" ht="15.75" customHeight="1">
      <c r="A94" s="15"/>
      <c r="B94" s="7"/>
      <c r="C94" s="7" t="str">
        <f t="array" ref="C94">IFERROR(INDEX('Order Planning'!$C$5:$C$204,MATCH(B94,'Order Planning'!$A$5:$A$204,0)),"")</f>
        <v/>
      </c>
      <c r="D94" s="7" t="str">
        <f t="array" ref="D94">IFERROR(INDEX('Order Planning'!$E$5:$E$204,MATCH(B94,'Order Planning'!$A$5:$A$204,0)),"")</f>
        <v/>
      </c>
      <c r="E94" s="7" t="str">
        <f t="array" ref="E94">IFERROR(INDEX('Order Planning'!$F$5:$F$204,MATCH(B94,'Order Planning'!$A$5:$A$204,0)),"")</f>
        <v/>
      </c>
      <c r="F94" s="7"/>
      <c r="G94" s="7"/>
      <c r="L94" s="7">
        <f t="shared" si="1"/>
        <v>0</v>
      </c>
      <c r="M94" s="14">
        <f t="shared" si="2"/>
        <v>0</v>
      </c>
      <c r="N94" s="7"/>
      <c r="O94" s="7">
        <f>IF(N94="Full Process",Settings!$B$6,IF(N94="Assembly Only",Settings!$B$7,0))</f>
        <v>0</v>
      </c>
      <c r="P94" s="14">
        <f t="shared" si="3"/>
        <v>0</v>
      </c>
      <c r="Q94" s="13">
        <f>IF(O94=0,0,MIN(1,L94/O94)*Settings!$B$5)</f>
        <v>0</v>
      </c>
      <c r="R94" s="16"/>
      <c r="S94" s="16"/>
      <c r="U94" s="7"/>
    </row>
    <row r="95" ht="15.75" customHeight="1">
      <c r="A95" s="15"/>
      <c r="B95" s="7"/>
      <c r="C95" s="7" t="str">
        <f t="array" ref="C95">IFERROR(INDEX('Order Planning'!$C$5:$C$204,MATCH(B95,'Order Planning'!$A$5:$A$204,0)),"")</f>
        <v/>
      </c>
      <c r="D95" s="7" t="str">
        <f t="array" ref="D95">IFERROR(INDEX('Order Planning'!$E$5:$E$204,MATCH(B95,'Order Planning'!$A$5:$A$204,0)),"")</f>
        <v/>
      </c>
      <c r="E95" s="7" t="str">
        <f t="array" ref="E95">IFERROR(INDEX('Order Planning'!$F$5:$F$204,MATCH(B95,'Order Planning'!$A$5:$A$204,0)),"")</f>
        <v/>
      </c>
      <c r="F95" s="7"/>
      <c r="G95" s="7"/>
      <c r="L95" s="7">
        <f t="shared" si="1"/>
        <v>0</v>
      </c>
      <c r="M95" s="14">
        <f t="shared" si="2"/>
        <v>0</v>
      </c>
      <c r="N95" s="7"/>
      <c r="O95" s="7">
        <f>IF(N95="Full Process",Settings!$B$6,IF(N95="Assembly Only",Settings!$B$7,0))</f>
        <v>0</v>
      </c>
      <c r="P95" s="14">
        <f t="shared" si="3"/>
        <v>0</v>
      </c>
      <c r="Q95" s="13">
        <f>IF(O95=0,0,MIN(1,L95/O95)*Settings!$B$5)</f>
        <v>0</v>
      </c>
      <c r="R95" s="16"/>
      <c r="S95" s="16"/>
      <c r="U95" s="7"/>
    </row>
    <row r="96" ht="15.75" customHeight="1">
      <c r="A96" s="15"/>
      <c r="B96" s="7"/>
      <c r="C96" s="7" t="str">
        <f t="array" ref="C96">IFERROR(INDEX('Order Planning'!$C$5:$C$204,MATCH(B96,'Order Planning'!$A$5:$A$204,0)),"")</f>
        <v/>
      </c>
      <c r="D96" s="7" t="str">
        <f t="array" ref="D96">IFERROR(INDEX('Order Planning'!$E$5:$E$204,MATCH(B96,'Order Planning'!$A$5:$A$204,0)),"")</f>
        <v/>
      </c>
      <c r="E96" s="7" t="str">
        <f t="array" ref="E96">IFERROR(INDEX('Order Planning'!$F$5:$F$204,MATCH(B96,'Order Planning'!$A$5:$A$204,0)),"")</f>
        <v/>
      </c>
      <c r="F96" s="7"/>
      <c r="G96" s="7"/>
      <c r="L96" s="7">
        <f t="shared" si="1"/>
        <v>0</v>
      </c>
      <c r="M96" s="14">
        <f t="shared" si="2"/>
        <v>0</v>
      </c>
      <c r="N96" s="7"/>
      <c r="O96" s="7">
        <f>IF(N96="Full Process",Settings!$B$6,IF(N96="Assembly Only",Settings!$B$7,0))</f>
        <v>0</v>
      </c>
      <c r="P96" s="14">
        <f t="shared" si="3"/>
        <v>0</v>
      </c>
      <c r="Q96" s="13">
        <f>IF(O96=0,0,MIN(1,L96/O96)*Settings!$B$5)</f>
        <v>0</v>
      </c>
      <c r="R96" s="16"/>
      <c r="S96" s="16"/>
      <c r="U96" s="7"/>
    </row>
    <row r="97" ht="15.75" customHeight="1">
      <c r="A97" s="15"/>
      <c r="B97" s="7"/>
      <c r="C97" s="7" t="str">
        <f t="array" ref="C97">IFERROR(INDEX('Order Planning'!$C$5:$C$204,MATCH(B97,'Order Planning'!$A$5:$A$204,0)),"")</f>
        <v/>
      </c>
      <c r="D97" s="7" t="str">
        <f t="array" ref="D97">IFERROR(INDEX('Order Planning'!$E$5:$E$204,MATCH(B97,'Order Planning'!$A$5:$A$204,0)),"")</f>
        <v/>
      </c>
      <c r="E97" s="7" t="str">
        <f t="array" ref="E97">IFERROR(INDEX('Order Planning'!$F$5:$F$204,MATCH(B97,'Order Planning'!$A$5:$A$204,0)),"")</f>
        <v/>
      </c>
      <c r="F97" s="7"/>
      <c r="G97" s="7"/>
      <c r="L97" s="7">
        <f t="shared" si="1"/>
        <v>0</v>
      </c>
      <c r="M97" s="14">
        <f t="shared" si="2"/>
        <v>0</v>
      </c>
      <c r="N97" s="7"/>
      <c r="O97" s="7">
        <f>IF(N97="Full Process",Settings!$B$6,IF(N97="Assembly Only",Settings!$B$7,0))</f>
        <v>0</v>
      </c>
      <c r="P97" s="14">
        <f t="shared" si="3"/>
        <v>0</v>
      </c>
      <c r="Q97" s="13">
        <f>IF(O97=0,0,MIN(1,L97/O97)*Settings!$B$5)</f>
        <v>0</v>
      </c>
      <c r="R97" s="16"/>
      <c r="S97" s="16"/>
      <c r="U97" s="7"/>
    </row>
    <row r="98" ht="15.75" customHeight="1">
      <c r="A98" s="15"/>
      <c r="B98" s="7"/>
      <c r="C98" s="7" t="str">
        <f t="array" ref="C98">IFERROR(INDEX('Order Planning'!$C$5:$C$204,MATCH(B98,'Order Planning'!$A$5:$A$204,0)),"")</f>
        <v/>
      </c>
      <c r="D98" s="7" t="str">
        <f t="array" ref="D98">IFERROR(INDEX('Order Planning'!$E$5:$E$204,MATCH(B98,'Order Planning'!$A$5:$A$204,0)),"")</f>
        <v/>
      </c>
      <c r="E98" s="7" t="str">
        <f t="array" ref="E98">IFERROR(INDEX('Order Planning'!$F$5:$F$204,MATCH(B98,'Order Planning'!$A$5:$A$204,0)),"")</f>
        <v/>
      </c>
      <c r="F98" s="7"/>
      <c r="G98" s="7"/>
      <c r="L98" s="7">
        <f t="shared" si="1"/>
        <v>0</v>
      </c>
      <c r="M98" s="14">
        <f t="shared" si="2"/>
        <v>0</v>
      </c>
      <c r="N98" s="7"/>
      <c r="O98" s="7">
        <f>IF(N98="Full Process",Settings!$B$6,IF(N98="Assembly Only",Settings!$B$7,0))</f>
        <v>0</v>
      </c>
      <c r="P98" s="14">
        <f t="shared" si="3"/>
        <v>0</v>
      </c>
      <c r="Q98" s="13">
        <f>IF(O98=0,0,MIN(1,L98/O98)*Settings!$B$5)</f>
        <v>0</v>
      </c>
      <c r="R98" s="16"/>
      <c r="S98" s="16"/>
      <c r="U98" s="7"/>
    </row>
    <row r="99" ht="15.75" customHeight="1">
      <c r="A99" s="15"/>
      <c r="B99" s="7"/>
      <c r="C99" s="7" t="str">
        <f t="array" ref="C99">IFERROR(INDEX('Order Planning'!$C$5:$C$204,MATCH(B99,'Order Planning'!$A$5:$A$204,0)),"")</f>
        <v/>
      </c>
      <c r="D99" s="7" t="str">
        <f t="array" ref="D99">IFERROR(INDEX('Order Planning'!$E$5:$E$204,MATCH(B99,'Order Planning'!$A$5:$A$204,0)),"")</f>
        <v/>
      </c>
      <c r="E99" s="7" t="str">
        <f t="array" ref="E99">IFERROR(INDEX('Order Planning'!$F$5:$F$204,MATCH(B99,'Order Planning'!$A$5:$A$204,0)),"")</f>
        <v/>
      </c>
      <c r="F99" s="7"/>
      <c r="G99" s="7"/>
      <c r="L99" s="7">
        <f t="shared" si="1"/>
        <v>0</v>
      </c>
      <c r="M99" s="14">
        <f t="shared" si="2"/>
        <v>0</v>
      </c>
      <c r="N99" s="7"/>
      <c r="O99" s="7">
        <f>IF(N99="Full Process",Settings!$B$6,IF(N99="Assembly Only",Settings!$B$7,0))</f>
        <v>0</v>
      </c>
      <c r="P99" s="14">
        <f t="shared" si="3"/>
        <v>0</v>
      </c>
      <c r="Q99" s="13">
        <f>IF(O99=0,0,MIN(1,L99/O99)*Settings!$B$5)</f>
        <v>0</v>
      </c>
      <c r="R99" s="16"/>
      <c r="S99" s="16"/>
      <c r="U99" s="7"/>
    </row>
    <row r="100" ht="15.75" customHeight="1">
      <c r="A100" s="15"/>
      <c r="B100" s="7"/>
      <c r="C100" s="7" t="str">
        <f t="array" ref="C100">IFERROR(INDEX('Order Planning'!$C$5:$C$204,MATCH(B100,'Order Planning'!$A$5:$A$204,0)),"")</f>
        <v/>
      </c>
      <c r="D100" s="7" t="str">
        <f t="array" ref="D100">IFERROR(INDEX('Order Planning'!$E$5:$E$204,MATCH(B100,'Order Planning'!$A$5:$A$204,0)),"")</f>
        <v/>
      </c>
      <c r="E100" s="7" t="str">
        <f t="array" ref="E100">IFERROR(INDEX('Order Planning'!$F$5:$F$204,MATCH(B100,'Order Planning'!$A$5:$A$204,0)),"")</f>
        <v/>
      </c>
      <c r="F100" s="7"/>
      <c r="G100" s="7"/>
      <c r="L100" s="7">
        <f t="shared" si="1"/>
        <v>0</v>
      </c>
      <c r="M100" s="14">
        <f t="shared" si="2"/>
        <v>0</v>
      </c>
      <c r="N100" s="7"/>
      <c r="O100" s="7">
        <f>IF(N100="Full Process",Settings!$B$6,IF(N100="Assembly Only",Settings!$B$7,0))</f>
        <v>0</v>
      </c>
      <c r="P100" s="14">
        <f t="shared" si="3"/>
        <v>0</v>
      </c>
      <c r="Q100" s="13">
        <f>IF(O100=0,0,MIN(1,L100/O100)*Settings!$B$5)</f>
        <v>0</v>
      </c>
      <c r="R100" s="16"/>
      <c r="S100" s="16"/>
      <c r="U100" s="7"/>
    </row>
    <row r="101" ht="15.75" customHeight="1">
      <c r="A101" s="15"/>
      <c r="B101" s="7"/>
      <c r="C101" s="7" t="str">
        <f t="array" ref="C101">IFERROR(INDEX('Order Planning'!$C$5:$C$204,MATCH(B101,'Order Planning'!$A$5:$A$204,0)),"")</f>
        <v/>
      </c>
      <c r="D101" s="7" t="str">
        <f t="array" ref="D101">IFERROR(INDEX('Order Planning'!$E$5:$E$204,MATCH(B101,'Order Planning'!$A$5:$A$204,0)),"")</f>
        <v/>
      </c>
      <c r="E101" s="7" t="str">
        <f t="array" ref="E101">IFERROR(INDEX('Order Planning'!$F$5:$F$204,MATCH(B101,'Order Planning'!$A$5:$A$204,0)),"")</f>
        <v/>
      </c>
      <c r="F101" s="7"/>
      <c r="G101" s="7"/>
      <c r="L101" s="7">
        <f t="shared" si="1"/>
        <v>0</v>
      </c>
      <c r="M101" s="14">
        <f t="shared" si="2"/>
        <v>0</v>
      </c>
      <c r="N101" s="7"/>
      <c r="O101" s="7">
        <f>IF(N101="Full Process",Settings!$B$6,IF(N101="Assembly Only",Settings!$B$7,0))</f>
        <v>0</v>
      </c>
      <c r="P101" s="14">
        <f t="shared" si="3"/>
        <v>0</v>
      </c>
      <c r="Q101" s="13">
        <f>IF(O101=0,0,MIN(1,L101/O101)*Settings!$B$5)</f>
        <v>0</v>
      </c>
      <c r="R101" s="16"/>
      <c r="S101" s="16"/>
      <c r="U101" s="7"/>
    </row>
    <row r="102" ht="15.75" customHeight="1">
      <c r="A102" s="15"/>
      <c r="B102" s="7"/>
      <c r="C102" s="7" t="str">
        <f t="array" ref="C102">IFERROR(INDEX('Order Planning'!$C$5:$C$204,MATCH(B102,'Order Planning'!$A$5:$A$204,0)),"")</f>
        <v/>
      </c>
      <c r="D102" s="7" t="str">
        <f t="array" ref="D102">IFERROR(INDEX('Order Planning'!$E$5:$E$204,MATCH(B102,'Order Planning'!$A$5:$A$204,0)),"")</f>
        <v/>
      </c>
      <c r="E102" s="7" t="str">
        <f t="array" ref="E102">IFERROR(INDEX('Order Planning'!$F$5:$F$204,MATCH(B102,'Order Planning'!$A$5:$A$204,0)),"")</f>
        <v/>
      </c>
      <c r="F102" s="7"/>
      <c r="G102" s="7"/>
      <c r="L102" s="7">
        <f t="shared" si="1"/>
        <v>0</v>
      </c>
      <c r="M102" s="14">
        <f t="shared" si="2"/>
        <v>0</v>
      </c>
      <c r="N102" s="7"/>
      <c r="O102" s="7">
        <f>IF(N102="Full Process",Settings!$B$6,IF(N102="Assembly Only",Settings!$B$7,0))</f>
        <v>0</v>
      </c>
      <c r="P102" s="14">
        <f t="shared" si="3"/>
        <v>0</v>
      </c>
      <c r="Q102" s="13">
        <f>IF(O102=0,0,MIN(1,L102/O102)*Settings!$B$5)</f>
        <v>0</v>
      </c>
      <c r="R102" s="16"/>
      <c r="S102" s="16"/>
      <c r="U102" s="7"/>
    </row>
    <row r="103" ht="15.75" customHeight="1">
      <c r="A103" s="15"/>
      <c r="B103" s="7"/>
      <c r="C103" s="7" t="str">
        <f t="array" ref="C103">IFERROR(INDEX('Order Planning'!$C$5:$C$204,MATCH(B103,'Order Planning'!$A$5:$A$204,0)),"")</f>
        <v/>
      </c>
      <c r="D103" s="7" t="str">
        <f t="array" ref="D103">IFERROR(INDEX('Order Planning'!$E$5:$E$204,MATCH(B103,'Order Planning'!$A$5:$A$204,0)),"")</f>
        <v/>
      </c>
      <c r="E103" s="7" t="str">
        <f t="array" ref="E103">IFERROR(INDEX('Order Planning'!$F$5:$F$204,MATCH(B103,'Order Planning'!$A$5:$A$204,0)),"")</f>
        <v/>
      </c>
      <c r="F103" s="7"/>
      <c r="G103" s="7"/>
      <c r="L103" s="7">
        <f t="shared" si="1"/>
        <v>0</v>
      </c>
      <c r="M103" s="14">
        <f t="shared" si="2"/>
        <v>0</v>
      </c>
      <c r="N103" s="7"/>
      <c r="O103" s="7">
        <f>IF(N103="Full Process",Settings!$B$6,IF(N103="Assembly Only",Settings!$B$7,0))</f>
        <v>0</v>
      </c>
      <c r="P103" s="14">
        <f t="shared" si="3"/>
        <v>0</v>
      </c>
      <c r="Q103" s="13">
        <f>IF(O103=0,0,MIN(1,L103/O103)*Settings!$B$5)</f>
        <v>0</v>
      </c>
      <c r="R103" s="16"/>
      <c r="S103" s="16"/>
      <c r="U103" s="7"/>
    </row>
    <row r="104" ht="15.75" customHeight="1">
      <c r="A104" s="15"/>
      <c r="B104" s="7"/>
      <c r="C104" s="7" t="str">
        <f t="array" ref="C104">IFERROR(INDEX('Order Planning'!$C$5:$C$204,MATCH(B104,'Order Planning'!$A$5:$A$204,0)),"")</f>
        <v/>
      </c>
      <c r="D104" s="7" t="str">
        <f t="array" ref="D104">IFERROR(INDEX('Order Planning'!$E$5:$E$204,MATCH(B104,'Order Planning'!$A$5:$A$204,0)),"")</f>
        <v/>
      </c>
      <c r="E104" s="7" t="str">
        <f t="array" ref="E104">IFERROR(INDEX('Order Planning'!$F$5:$F$204,MATCH(B104,'Order Planning'!$A$5:$A$204,0)),"")</f>
        <v/>
      </c>
      <c r="F104" s="7"/>
      <c r="G104" s="7"/>
      <c r="L104" s="7">
        <f t="shared" si="1"/>
        <v>0</v>
      </c>
      <c r="M104" s="14">
        <f t="shared" si="2"/>
        <v>0</v>
      </c>
      <c r="N104" s="7"/>
      <c r="O104" s="7">
        <f>IF(N104="Full Process",Settings!$B$6,IF(N104="Assembly Only",Settings!$B$7,0))</f>
        <v>0</v>
      </c>
      <c r="P104" s="14">
        <f t="shared" si="3"/>
        <v>0</v>
      </c>
      <c r="Q104" s="13">
        <f>IF(O104=0,0,MIN(1,L104/O104)*Settings!$B$5)</f>
        <v>0</v>
      </c>
      <c r="R104" s="16"/>
      <c r="S104" s="16"/>
      <c r="U104" s="7"/>
    </row>
    <row r="105" ht="15.75" customHeight="1">
      <c r="A105" s="15"/>
      <c r="B105" s="7"/>
      <c r="C105" s="7" t="str">
        <f t="array" ref="C105">IFERROR(INDEX('Order Planning'!$C$5:$C$204,MATCH(B105,'Order Planning'!$A$5:$A$204,0)),"")</f>
        <v/>
      </c>
      <c r="D105" s="7" t="str">
        <f t="array" ref="D105">IFERROR(INDEX('Order Planning'!$E$5:$E$204,MATCH(B105,'Order Planning'!$A$5:$A$204,0)),"")</f>
        <v/>
      </c>
      <c r="E105" s="7" t="str">
        <f t="array" ref="E105">IFERROR(INDEX('Order Planning'!$F$5:$F$204,MATCH(B105,'Order Planning'!$A$5:$A$204,0)),"")</f>
        <v/>
      </c>
      <c r="F105" s="7"/>
      <c r="G105" s="7"/>
      <c r="L105" s="7">
        <f t="shared" si="1"/>
        <v>0</v>
      </c>
      <c r="M105" s="14">
        <f t="shared" si="2"/>
        <v>0</v>
      </c>
      <c r="N105" s="7"/>
      <c r="O105" s="7">
        <f>IF(N105="Full Process",Settings!$B$6,IF(N105="Assembly Only",Settings!$B$7,0))</f>
        <v>0</v>
      </c>
      <c r="P105" s="14">
        <f t="shared" si="3"/>
        <v>0</v>
      </c>
      <c r="Q105" s="13">
        <f>IF(O105=0,0,MIN(1,L105/O105)*Settings!$B$5)</f>
        <v>0</v>
      </c>
      <c r="R105" s="16"/>
      <c r="S105" s="16"/>
      <c r="U105" s="7"/>
    </row>
    <row r="106" ht="15.75" customHeight="1">
      <c r="A106" s="15"/>
      <c r="B106" s="7"/>
      <c r="C106" s="7" t="str">
        <f t="array" ref="C106">IFERROR(INDEX('Order Planning'!$C$5:$C$204,MATCH(B106,'Order Planning'!$A$5:$A$204,0)),"")</f>
        <v/>
      </c>
      <c r="D106" s="7" t="str">
        <f t="array" ref="D106">IFERROR(INDEX('Order Planning'!$E$5:$E$204,MATCH(B106,'Order Planning'!$A$5:$A$204,0)),"")</f>
        <v/>
      </c>
      <c r="E106" s="7" t="str">
        <f t="array" ref="E106">IFERROR(INDEX('Order Planning'!$F$5:$F$204,MATCH(B106,'Order Planning'!$A$5:$A$204,0)),"")</f>
        <v/>
      </c>
      <c r="F106" s="7"/>
      <c r="G106" s="7"/>
      <c r="L106" s="7">
        <f t="shared" si="1"/>
        <v>0</v>
      </c>
      <c r="M106" s="14">
        <f t="shared" si="2"/>
        <v>0</v>
      </c>
      <c r="N106" s="7"/>
      <c r="O106" s="7">
        <f>IF(N106="Full Process",Settings!$B$6,IF(N106="Assembly Only",Settings!$B$7,0))</f>
        <v>0</v>
      </c>
      <c r="P106" s="14">
        <f t="shared" si="3"/>
        <v>0</v>
      </c>
      <c r="Q106" s="13">
        <f>IF(O106=0,0,MIN(1,L106/O106)*Settings!$B$5)</f>
        <v>0</v>
      </c>
      <c r="R106" s="16"/>
      <c r="S106" s="16"/>
      <c r="U106" s="7"/>
    </row>
    <row r="107" ht="15.75" customHeight="1">
      <c r="A107" s="15"/>
      <c r="B107" s="7"/>
      <c r="C107" s="7" t="str">
        <f t="array" ref="C107">IFERROR(INDEX('Order Planning'!$C$5:$C$204,MATCH(B107,'Order Planning'!$A$5:$A$204,0)),"")</f>
        <v/>
      </c>
      <c r="D107" s="7" t="str">
        <f t="array" ref="D107">IFERROR(INDEX('Order Planning'!$E$5:$E$204,MATCH(B107,'Order Planning'!$A$5:$A$204,0)),"")</f>
        <v/>
      </c>
      <c r="E107" s="7" t="str">
        <f t="array" ref="E107">IFERROR(INDEX('Order Planning'!$F$5:$F$204,MATCH(B107,'Order Planning'!$A$5:$A$204,0)),"")</f>
        <v/>
      </c>
      <c r="F107" s="7"/>
      <c r="G107" s="7"/>
      <c r="L107" s="7">
        <f t="shared" si="1"/>
        <v>0</v>
      </c>
      <c r="M107" s="14">
        <f t="shared" si="2"/>
        <v>0</v>
      </c>
      <c r="N107" s="7"/>
      <c r="O107" s="7">
        <f>IF(N107="Full Process",Settings!$B$6,IF(N107="Assembly Only",Settings!$B$7,0))</f>
        <v>0</v>
      </c>
      <c r="P107" s="14">
        <f t="shared" si="3"/>
        <v>0</v>
      </c>
      <c r="Q107" s="13">
        <f>IF(O107=0,0,MIN(1,L107/O107)*Settings!$B$5)</f>
        <v>0</v>
      </c>
      <c r="R107" s="16"/>
      <c r="S107" s="16"/>
      <c r="U107" s="7"/>
    </row>
    <row r="108" ht="15.75" customHeight="1">
      <c r="A108" s="15"/>
      <c r="B108" s="7"/>
      <c r="C108" s="7" t="str">
        <f t="array" ref="C108">IFERROR(INDEX('Order Planning'!$C$5:$C$204,MATCH(B108,'Order Planning'!$A$5:$A$204,0)),"")</f>
        <v/>
      </c>
      <c r="D108" s="7" t="str">
        <f t="array" ref="D108">IFERROR(INDEX('Order Planning'!$E$5:$E$204,MATCH(B108,'Order Planning'!$A$5:$A$204,0)),"")</f>
        <v/>
      </c>
      <c r="E108" s="7" t="str">
        <f t="array" ref="E108">IFERROR(INDEX('Order Planning'!$F$5:$F$204,MATCH(B108,'Order Planning'!$A$5:$A$204,0)),"")</f>
        <v/>
      </c>
      <c r="F108" s="7"/>
      <c r="G108" s="7"/>
      <c r="L108" s="7">
        <f t="shared" si="1"/>
        <v>0</v>
      </c>
      <c r="M108" s="14">
        <f t="shared" si="2"/>
        <v>0</v>
      </c>
      <c r="N108" s="7"/>
      <c r="O108" s="7">
        <f>IF(N108="Full Process",Settings!$B$6,IF(N108="Assembly Only",Settings!$B$7,0))</f>
        <v>0</v>
      </c>
      <c r="P108" s="14">
        <f t="shared" si="3"/>
        <v>0</v>
      </c>
      <c r="Q108" s="13">
        <f>IF(O108=0,0,MIN(1,L108/O108)*Settings!$B$5)</f>
        <v>0</v>
      </c>
      <c r="R108" s="16"/>
      <c r="S108" s="16"/>
      <c r="U108" s="7"/>
    </row>
    <row r="109" ht="15.75" customHeight="1">
      <c r="A109" s="15"/>
      <c r="B109" s="7"/>
      <c r="C109" s="7" t="str">
        <f t="array" ref="C109">IFERROR(INDEX('Order Planning'!$C$5:$C$204,MATCH(B109,'Order Planning'!$A$5:$A$204,0)),"")</f>
        <v/>
      </c>
      <c r="D109" s="7" t="str">
        <f t="array" ref="D109">IFERROR(INDEX('Order Planning'!$E$5:$E$204,MATCH(B109,'Order Planning'!$A$5:$A$204,0)),"")</f>
        <v/>
      </c>
      <c r="E109" s="7" t="str">
        <f t="array" ref="E109">IFERROR(INDEX('Order Planning'!$F$5:$F$204,MATCH(B109,'Order Planning'!$A$5:$A$204,0)),"")</f>
        <v/>
      </c>
      <c r="F109" s="7"/>
      <c r="G109" s="7"/>
      <c r="L109" s="7">
        <f t="shared" si="1"/>
        <v>0</v>
      </c>
      <c r="M109" s="14">
        <f t="shared" si="2"/>
        <v>0</v>
      </c>
      <c r="N109" s="7"/>
      <c r="O109" s="7">
        <f>IF(N109="Full Process",Settings!$B$6,IF(N109="Assembly Only",Settings!$B$7,0))</f>
        <v>0</v>
      </c>
      <c r="P109" s="14">
        <f t="shared" si="3"/>
        <v>0</v>
      </c>
      <c r="Q109" s="13">
        <f>IF(O109=0,0,MIN(1,L109/O109)*Settings!$B$5)</f>
        <v>0</v>
      </c>
      <c r="R109" s="16"/>
      <c r="S109" s="16"/>
      <c r="U109" s="7"/>
    </row>
    <row r="110" ht="15.75" customHeight="1">
      <c r="A110" s="15"/>
      <c r="B110" s="7"/>
      <c r="C110" s="7" t="str">
        <f t="array" ref="C110">IFERROR(INDEX('Order Planning'!$C$5:$C$204,MATCH(B110,'Order Planning'!$A$5:$A$204,0)),"")</f>
        <v/>
      </c>
      <c r="D110" s="7" t="str">
        <f t="array" ref="D110">IFERROR(INDEX('Order Planning'!$E$5:$E$204,MATCH(B110,'Order Planning'!$A$5:$A$204,0)),"")</f>
        <v/>
      </c>
      <c r="E110" s="7" t="str">
        <f t="array" ref="E110">IFERROR(INDEX('Order Planning'!$F$5:$F$204,MATCH(B110,'Order Planning'!$A$5:$A$204,0)),"")</f>
        <v/>
      </c>
      <c r="F110" s="7"/>
      <c r="G110" s="7"/>
      <c r="L110" s="7">
        <f t="shared" si="1"/>
        <v>0</v>
      </c>
      <c r="M110" s="14">
        <f t="shared" si="2"/>
        <v>0</v>
      </c>
      <c r="N110" s="7"/>
      <c r="O110" s="7">
        <f>IF(N110="Full Process",Settings!$B$6,IF(N110="Assembly Only",Settings!$B$7,0))</f>
        <v>0</v>
      </c>
      <c r="P110" s="14">
        <f t="shared" si="3"/>
        <v>0</v>
      </c>
      <c r="Q110" s="13">
        <f>IF(O110=0,0,MIN(1,L110/O110)*Settings!$B$5)</f>
        <v>0</v>
      </c>
      <c r="R110" s="16"/>
      <c r="S110" s="16"/>
      <c r="U110" s="7"/>
    </row>
    <row r="111" ht="15.75" customHeight="1">
      <c r="A111" s="15"/>
      <c r="B111" s="7"/>
      <c r="C111" s="7" t="str">
        <f t="array" ref="C111">IFERROR(INDEX('Order Planning'!$C$5:$C$204,MATCH(B111,'Order Planning'!$A$5:$A$204,0)),"")</f>
        <v/>
      </c>
      <c r="D111" s="7" t="str">
        <f t="array" ref="D111">IFERROR(INDEX('Order Planning'!$E$5:$E$204,MATCH(B111,'Order Planning'!$A$5:$A$204,0)),"")</f>
        <v/>
      </c>
      <c r="E111" s="7" t="str">
        <f t="array" ref="E111">IFERROR(INDEX('Order Planning'!$F$5:$F$204,MATCH(B111,'Order Planning'!$A$5:$A$204,0)),"")</f>
        <v/>
      </c>
      <c r="F111" s="7"/>
      <c r="G111" s="7"/>
      <c r="L111" s="7">
        <f t="shared" si="1"/>
        <v>0</v>
      </c>
      <c r="M111" s="14">
        <f t="shared" si="2"/>
        <v>0</v>
      </c>
      <c r="N111" s="7"/>
      <c r="O111" s="7">
        <f>IF(N111="Full Process",Settings!$B$6,IF(N111="Assembly Only",Settings!$B$7,0))</f>
        <v>0</v>
      </c>
      <c r="P111" s="14">
        <f t="shared" si="3"/>
        <v>0</v>
      </c>
      <c r="Q111" s="13">
        <f>IF(O111=0,0,MIN(1,L111/O111)*Settings!$B$5)</f>
        <v>0</v>
      </c>
      <c r="R111" s="16"/>
      <c r="S111" s="16"/>
      <c r="U111" s="7"/>
    </row>
    <row r="112" ht="15.75" customHeight="1">
      <c r="A112" s="15"/>
      <c r="B112" s="7"/>
      <c r="C112" s="7" t="str">
        <f t="array" ref="C112">IFERROR(INDEX('Order Planning'!$C$5:$C$204,MATCH(B112,'Order Planning'!$A$5:$A$204,0)),"")</f>
        <v/>
      </c>
      <c r="D112" s="7" t="str">
        <f t="array" ref="D112">IFERROR(INDEX('Order Planning'!$E$5:$E$204,MATCH(B112,'Order Planning'!$A$5:$A$204,0)),"")</f>
        <v/>
      </c>
      <c r="E112" s="7" t="str">
        <f t="array" ref="E112">IFERROR(INDEX('Order Planning'!$F$5:$F$204,MATCH(B112,'Order Planning'!$A$5:$A$204,0)),"")</f>
        <v/>
      </c>
      <c r="F112" s="7"/>
      <c r="G112" s="7"/>
      <c r="L112" s="7">
        <f t="shared" si="1"/>
        <v>0</v>
      </c>
      <c r="M112" s="14">
        <f t="shared" si="2"/>
        <v>0</v>
      </c>
      <c r="N112" s="7"/>
      <c r="O112" s="7">
        <f>IF(N112="Full Process",Settings!$B$6,IF(N112="Assembly Only",Settings!$B$7,0))</f>
        <v>0</v>
      </c>
      <c r="P112" s="14">
        <f t="shared" si="3"/>
        <v>0</v>
      </c>
      <c r="Q112" s="13">
        <f>IF(O112=0,0,MIN(1,L112/O112)*Settings!$B$5)</f>
        <v>0</v>
      </c>
      <c r="R112" s="16"/>
      <c r="S112" s="16"/>
      <c r="U112" s="7"/>
    </row>
    <row r="113" ht="15.75" customHeight="1">
      <c r="A113" s="15"/>
      <c r="B113" s="7"/>
      <c r="C113" s="7" t="str">
        <f t="array" ref="C113">IFERROR(INDEX('Order Planning'!$C$5:$C$204,MATCH(B113,'Order Planning'!$A$5:$A$204,0)),"")</f>
        <v/>
      </c>
      <c r="D113" s="7" t="str">
        <f t="array" ref="D113">IFERROR(INDEX('Order Planning'!$E$5:$E$204,MATCH(B113,'Order Planning'!$A$5:$A$204,0)),"")</f>
        <v/>
      </c>
      <c r="E113" s="7" t="str">
        <f t="array" ref="E113">IFERROR(INDEX('Order Planning'!$F$5:$F$204,MATCH(B113,'Order Planning'!$A$5:$A$204,0)),"")</f>
        <v/>
      </c>
      <c r="F113" s="7"/>
      <c r="G113" s="7"/>
      <c r="L113" s="7">
        <f t="shared" si="1"/>
        <v>0</v>
      </c>
      <c r="M113" s="14">
        <f t="shared" si="2"/>
        <v>0</v>
      </c>
      <c r="N113" s="7"/>
      <c r="O113" s="7">
        <f>IF(N113="Full Process",Settings!$B$6,IF(N113="Assembly Only",Settings!$B$7,0))</f>
        <v>0</v>
      </c>
      <c r="P113" s="14">
        <f t="shared" si="3"/>
        <v>0</v>
      </c>
      <c r="Q113" s="13">
        <f>IF(O113=0,0,MIN(1,L113/O113)*Settings!$B$5)</f>
        <v>0</v>
      </c>
      <c r="R113" s="16"/>
      <c r="S113" s="16"/>
      <c r="U113" s="7"/>
    </row>
    <row r="114" ht="15.75" customHeight="1">
      <c r="A114" s="15"/>
      <c r="B114" s="7"/>
      <c r="C114" s="7" t="str">
        <f t="array" ref="C114">IFERROR(INDEX('Order Planning'!$C$5:$C$204,MATCH(B114,'Order Planning'!$A$5:$A$204,0)),"")</f>
        <v/>
      </c>
      <c r="D114" s="7" t="str">
        <f t="array" ref="D114">IFERROR(INDEX('Order Planning'!$E$5:$E$204,MATCH(B114,'Order Planning'!$A$5:$A$204,0)),"")</f>
        <v/>
      </c>
      <c r="E114" s="7" t="str">
        <f t="array" ref="E114">IFERROR(INDEX('Order Planning'!$F$5:$F$204,MATCH(B114,'Order Planning'!$A$5:$A$204,0)),"")</f>
        <v/>
      </c>
      <c r="F114" s="7"/>
      <c r="G114" s="7"/>
      <c r="L114" s="7">
        <f t="shared" si="1"/>
        <v>0</v>
      </c>
      <c r="M114" s="14">
        <f t="shared" si="2"/>
        <v>0</v>
      </c>
      <c r="N114" s="7"/>
      <c r="O114" s="7">
        <f>IF(N114="Full Process",Settings!$B$6,IF(N114="Assembly Only",Settings!$B$7,0))</f>
        <v>0</v>
      </c>
      <c r="P114" s="14">
        <f t="shared" si="3"/>
        <v>0</v>
      </c>
      <c r="Q114" s="13">
        <f>IF(O114=0,0,MIN(1,L114/O114)*Settings!$B$5)</f>
        <v>0</v>
      </c>
      <c r="R114" s="16"/>
      <c r="S114" s="16"/>
      <c r="U114" s="7"/>
    </row>
    <row r="115" ht="15.75" customHeight="1">
      <c r="A115" s="15"/>
      <c r="B115" s="7"/>
      <c r="C115" s="7" t="str">
        <f t="array" ref="C115">IFERROR(INDEX('Order Planning'!$C$5:$C$204,MATCH(B115,'Order Planning'!$A$5:$A$204,0)),"")</f>
        <v/>
      </c>
      <c r="D115" s="7" t="str">
        <f t="array" ref="D115">IFERROR(INDEX('Order Planning'!$E$5:$E$204,MATCH(B115,'Order Planning'!$A$5:$A$204,0)),"")</f>
        <v/>
      </c>
      <c r="E115" s="7" t="str">
        <f t="array" ref="E115">IFERROR(INDEX('Order Planning'!$F$5:$F$204,MATCH(B115,'Order Planning'!$A$5:$A$204,0)),"")</f>
        <v/>
      </c>
      <c r="F115" s="7"/>
      <c r="G115" s="7"/>
      <c r="L115" s="7">
        <f t="shared" si="1"/>
        <v>0</v>
      </c>
      <c r="M115" s="14">
        <f t="shared" si="2"/>
        <v>0</v>
      </c>
      <c r="N115" s="7"/>
      <c r="O115" s="7">
        <f>IF(N115="Full Process",Settings!$B$6,IF(N115="Assembly Only",Settings!$B$7,0))</f>
        <v>0</v>
      </c>
      <c r="P115" s="14">
        <f t="shared" si="3"/>
        <v>0</v>
      </c>
      <c r="Q115" s="13">
        <f>IF(O115=0,0,MIN(1,L115/O115)*Settings!$B$5)</f>
        <v>0</v>
      </c>
      <c r="R115" s="16"/>
      <c r="S115" s="16"/>
      <c r="U115" s="7"/>
    </row>
    <row r="116" ht="15.75" customHeight="1">
      <c r="A116" s="15"/>
      <c r="B116" s="7"/>
      <c r="C116" s="7" t="str">
        <f t="array" ref="C116">IFERROR(INDEX('Order Planning'!$C$5:$C$204,MATCH(B116,'Order Planning'!$A$5:$A$204,0)),"")</f>
        <v/>
      </c>
      <c r="D116" s="7" t="str">
        <f t="array" ref="D116">IFERROR(INDEX('Order Planning'!$E$5:$E$204,MATCH(B116,'Order Planning'!$A$5:$A$204,0)),"")</f>
        <v/>
      </c>
      <c r="E116" s="7" t="str">
        <f t="array" ref="E116">IFERROR(INDEX('Order Planning'!$F$5:$F$204,MATCH(B116,'Order Planning'!$A$5:$A$204,0)),"")</f>
        <v/>
      </c>
      <c r="F116" s="7"/>
      <c r="G116" s="7"/>
      <c r="L116" s="7">
        <f t="shared" si="1"/>
        <v>0</v>
      </c>
      <c r="M116" s="14">
        <f t="shared" si="2"/>
        <v>0</v>
      </c>
      <c r="N116" s="7"/>
      <c r="O116" s="7">
        <f>IF(N116="Full Process",Settings!$B$6,IF(N116="Assembly Only",Settings!$B$7,0))</f>
        <v>0</v>
      </c>
      <c r="P116" s="14">
        <f t="shared" si="3"/>
        <v>0</v>
      </c>
      <c r="Q116" s="13">
        <f>IF(O116=0,0,MIN(1,L116/O116)*Settings!$B$5)</f>
        <v>0</v>
      </c>
      <c r="R116" s="16"/>
      <c r="S116" s="16"/>
      <c r="U116" s="7"/>
    </row>
    <row r="117" ht="15.75" customHeight="1">
      <c r="A117" s="15"/>
      <c r="B117" s="7"/>
      <c r="C117" s="7" t="str">
        <f t="array" ref="C117">IFERROR(INDEX('Order Planning'!$C$5:$C$204,MATCH(B117,'Order Planning'!$A$5:$A$204,0)),"")</f>
        <v/>
      </c>
      <c r="D117" s="7" t="str">
        <f t="array" ref="D117">IFERROR(INDEX('Order Planning'!$E$5:$E$204,MATCH(B117,'Order Planning'!$A$5:$A$204,0)),"")</f>
        <v/>
      </c>
      <c r="E117" s="7" t="str">
        <f t="array" ref="E117">IFERROR(INDEX('Order Planning'!$F$5:$F$204,MATCH(B117,'Order Planning'!$A$5:$A$204,0)),"")</f>
        <v/>
      </c>
      <c r="F117" s="7"/>
      <c r="G117" s="7"/>
      <c r="L117" s="7">
        <f t="shared" si="1"/>
        <v>0</v>
      </c>
      <c r="M117" s="14">
        <f t="shared" si="2"/>
        <v>0</v>
      </c>
      <c r="N117" s="7"/>
      <c r="O117" s="7">
        <f>IF(N117="Full Process",Settings!$B$6,IF(N117="Assembly Only",Settings!$B$7,0))</f>
        <v>0</v>
      </c>
      <c r="P117" s="14">
        <f t="shared" si="3"/>
        <v>0</v>
      </c>
      <c r="Q117" s="13">
        <f>IF(O117=0,0,MIN(1,L117/O117)*Settings!$B$5)</f>
        <v>0</v>
      </c>
      <c r="R117" s="16"/>
      <c r="S117" s="16"/>
      <c r="U117" s="7"/>
    </row>
    <row r="118" ht="15.75" customHeight="1">
      <c r="A118" s="15"/>
      <c r="B118" s="7"/>
      <c r="C118" s="7" t="str">
        <f t="array" ref="C118">IFERROR(INDEX('Order Planning'!$C$5:$C$204,MATCH(B118,'Order Planning'!$A$5:$A$204,0)),"")</f>
        <v/>
      </c>
      <c r="D118" s="7" t="str">
        <f t="array" ref="D118">IFERROR(INDEX('Order Planning'!$E$5:$E$204,MATCH(B118,'Order Planning'!$A$5:$A$204,0)),"")</f>
        <v/>
      </c>
      <c r="E118" s="7" t="str">
        <f t="array" ref="E118">IFERROR(INDEX('Order Planning'!$F$5:$F$204,MATCH(B118,'Order Planning'!$A$5:$A$204,0)),"")</f>
        <v/>
      </c>
      <c r="F118" s="7"/>
      <c r="G118" s="7"/>
      <c r="L118" s="7">
        <f t="shared" si="1"/>
        <v>0</v>
      </c>
      <c r="M118" s="14">
        <f t="shared" si="2"/>
        <v>0</v>
      </c>
      <c r="N118" s="7"/>
      <c r="O118" s="7">
        <f>IF(N118="Full Process",Settings!$B$6,IF(N118="Assembly Only",Settings!$B$7,0))</f>
        <v>0</v>
      </c>
      <c r="P118" s="14">
        <f t="shared" si="3"/>
        <v>0</v>
      </c>
      <c r="Q118" s="13">
        <f>IF(O118=0,0,MIN(1,L118/O118)*Settings!$B$5)</f>
        <v>0</v>
      </c>
      <c r="R118" s="16"/>
      <c r="S118" s="16"/>
      <c r="U118" s="7"/>
    </row>
    <row r="119" ht="15.75" customHeight="1">
      <c r="A119" s="15"/>
      <c r="B119" s="7"/>
      <c r="C119" s="7" t="str">
        <f t="array" ref="C119">IFERROR(INDEX('Order Planning'!$C$5:$C$204,MATCH(B119,'Order Planning'!$A$5:$A$204,0)),"")</f>
        <v/>
      </c>
      <c r="D119" s="7" t="str">
        <f t="array" ref="D119">IFERROR(INDEX('Order Planning'!$E$5:$E$204,MATCH(B119,'Order Planning'!$A$5:$A$204,0)),"")</f>
        <v/>
      </c>
      <c r="E119" s="7" t="str">
        <f t="array" ref="E119">IFERROR(INDEX('Order Planning'!$F$5:$F$204,MATCH(B119,'Order Planning'!$A$5:$A$204,0)),"")</f>
        <v/>
      </c>
      <c r="F119" s="7"/>
      <c r="G119" s="7"/>
      <c r="L119" s="7">
        <f t="shared" si="1"/>
        <v>0</v>
      </c>
      <c r="M119" s="14">
        <f t="shared" si="2"/>
        <v>0</v>
      </c>
      <c r="N119" s="7"/>
      <c r="O119" s="7">
        <f>IF(N119="Full Process",Settings!$B$6,IF(N119="Assembly Only",Settings!$B$7,0))</f>
        <v>0</v>
      </c>
      <c r="P119" s="14">
        <f t="shared" si="3"/>
        <v>0</v>
      </c>
      <c r="Q119" s="13">
        <f>IF(O119=0,0,MIN(1,L119/O119)*Settings!$B$5)</f>
        <v>0</v>
      </c>
      <c r="R119" s="16"/>
      <c r="S119" s="16"/>
      <c r="U119" s="7"/>
    </row>
    <row r="120" ht="15.75" customHeight="1">
      <c r="A120" s="15"/>
      <c r="B120" s="7"/>
      <c r="C120" s="7" t="str">
        <f t="array" ref="C120">IFERROR(INDEX('Order Planning'!$C$5:$C$204,MATCH(B120,'Order Planning'!$A$5:$A$204,0)),"")</f>
        <v/>
      </c>
      <c r="D120" s="7" t="str">
        <f t="array" ref="D120">IFERROR(INDEX('Order Planning'!$E$5:$E$204,MATCH(B120,'Order Planning'!$A$5:$A$204,0)),"")</f>
        <v/>
      </c>
      <c r="E120" s="7" t="str">
        <f t="array" ref="E120">IFERROR(INDEX('Order Planning'!$F$5:$F$204,MATCH(B120,'Order Planning'!$A$5:$A$204,0)),"")</f>
        <v/>
      </c>
      <c r="F120" s="7"/>
      <c r="G120" s="7"/>
      <c r="L120" s="7">
        <f t="shared" si="1"/>
        <v>0</v>
      </c>
      <c r="M120" s="14">
        <f t="shared" si="2"/>
        <v>0</v>
      </c>
      <c r="N120" s="7"/>
      <c r="O120" s="7">
        <f>IF(N120="Full Process",Settings!$B$6,IF(N120="Assembly Only",Settings!$B$7,0))</f>
        <v>0</v>
      </c>
      <c r="P120" s="14">
        <f t="shared" si="3"/>
        <v>0</v>
      </c>
      <c r="Q120" s="13">
        <f>IF(O120=0,0,MIN(1,L120/O120)*Settings!$B$5)</f>
        <v>0</v>
      </c>
      <c r="R120" s="16"/>
      <c r="S120" s="16"/>
      <c r="U120" s="7"/>
    </row>
    <row r="121" ht="15.75" customHeight="1">
      <c r="A121" s="15"/>
      <c r="B121" s="7"/>
      <c r="C121" s="7" t="str">
        <f t="array" ref="C121">IFERROR(INDEX('Order Planning'!$C$5:$C$204,MATCH(B121,'Order Planning'!$A$5:$A$204,0)),"")</f>
        <v/>
      </c>
      <c r="D121" s="7" t="str">
        <f t="array" ref="D121">IFERROR(INDEX('Order Planning'!$E$5:$E$204,MATCH(B121,'Order Planning'!$A$5:$A$204,0)),"")</f>
        <v/>
      </c>
      <c r="E121" s="7" t="str">
        <f t="array" ref="E121">IFERROR(INDEX('Order Planning'!$F$5:$F$204,MATCH(B121,'Order Planning'!$A$5:$A$204,0)),"")</f>
        <v/>
      </c>
      <c r="F121" s="7"/>
      <c r="G121" s="7"/>
      <c r="L121" s="7">
        <f t="shared" si="1"/>
        <v>0</v>
      </c>
      <c r="M121" s="14">
        <f t="shared" si="2"/>
        <v>0</v>
      </c>
      <c r="N121" s="7"/>
      <c r="O121" s="7">
        <f>IF(N121="Full Process",Settings!$B$6,IF(N121="Assembly Only",Settings!$B$7,0))</f>
        <v>0</v>
      </c>
      <c r="P121" s="14">
        <f t="shared" si="3"/>
        <v>0</v>
      </c>
      <c r="Q121" s="13">
        <f>IF(O121=0,0,MIN(1,L121/O121)*Settings!$B$5)</f>
        <v>0</v>
      </c>
      <c r="R121" s="16"/>
      <c r="S121" s="16"/>
      <c r="U121" s="7"/>
    </row>
    <row r="122" ht="15.75" customHeight="1">
      <c r="A122" s="15"/>
      <c r="B122" s="7"/>
      <c r="C122" s="7" t="str">
        <f t="array" ref="C122">IFERROR(INDEX('Order Planning'!$C$5:$C$204,MATCH(B122,'Order Planning'!$A$5:$A$204,0)),"")</f>
        <v/>
      </c>
      <c r="D122" s="7" t="str">
        <f t="array" ref="D122">IFERROR(INDEX('Order Planning'!$E$5:$E$204,MATCH(B122,'Order Planning'!$A$5:$A$204,0)),"")</f>
        <v/>
      </c>
      <c r="E122" s="7" t="str">
        <f t="array" ref="E122">IFERROR(INDEX('Order Planning'!$F$5:$F$204,MATCH(B122,'Order Planning'!$A$5:$A$204,0)),"")</f>
        <v/>
      </c>
      <c r="F122" s="7"/>
      <c r="G122" s="7"/>
      <c r="L122" s="7">
        <f t="shared" si="1"/>
        <v>0</v>
      </c>
      <c r="M122" s="14">
        <f t="shared" si="2"/>
        <v>0</v>
      </c>
      <c r="N122" s="7"/>
      <c r="O122" s="7">
        <f>IF(N122="Full Process",Settings!$B$6,IF(N122="Assembly Only",Settings!$B$7,0))</f>
        <v>0</v>
      </c>
      <c r="P122" s="14">
        <f t="shared" si="3"/>
        <v>0</v>
      </c>
      <c r="Q122" s="13">
        <f>IF(O122=0,0,MIN(1,L122/O122)*Settings!$B$5)</f>
        <v>0</v>
      </c>
      <c r="R122" s="16"/>
      <c r="S122" s="16"/>
      <c r="U122" s="7"/>
    </row>
    <row r="123" ht="15.75" customHeight="1">
      <c r="A123" s="15"/>
      <c r="B123" s="7"/>
      <c r="C123" s="7" t="str">
        <f t="array" ref="C123">IFERROR(INDEX('Order Planning'!$C$5:$C$204,MATCH(B123,'Order Planning'!$A$5:$A$204,0)),"")</f>
        <v/>
      </c>
      <c r="D123" s="7" t="str">
        <f t="array" ref="D123">IFERROR(INDEX('Order Planning'!$E$5:$E$204,MATCH(B123,'Order Planning'!$A$5:$A$204,0)),"")</f>
        <v/>
      </c>
      <c r="E123" s="7" t="str">
        <f t="array" ref="E123">IFERROR(INDEX('Order Planning'!$F$5:$F$204,MATCH(B123,'Order Planning'!$A$5:$A$204,0)),"")</f>
        <v/>
      </c>
      <c r="F123" s="7"/>
      <c r="G123" s="7"/>
      <c r="L123" s="7">
        <f t="shared" si="1"/>
        <v>0</v>
      </c>
      <c r="M123" s="14">
        <f t="shared" si="2"/>
        <v>0</v>
      </c>
      <c r="N123" s="7"/>
      <c r="O123" s="7">
        <f>IF(N123="Full Process",Settings!$B$6,IF(N123="Assembly Only",Settings!$B$7,0))</f>
        <v>0</v>
      </c>
      <c r="P123" s="14">
        <f t="shared" si="3"/>
        <v>0</v>
      </c>
      <c r="Q123" s="13">
        <f>IF(O123=0,0,MIN(1,L123/O123)*Settings!$B$5)</f>
        <v>0</v>
      </c>
      <c r="R123" s="16"/>
      <c r="S123" s="16"/>
      <c r="U123" s="7"/>
    </row>
    <row r="124" ht="15.75" customHeight="1">
      <c r="A124" s="15"/>
      <c r="B124" s="7"/>
      <c r="C124" s="7" t="str">
        <f t="array" ref="C124">IFERROR(INDEX('Order Planning'!$C$5:$C$204,MATCH(B124,'Order Planning'!$A$5:$A$204,0)),"")</f>
        <v/>
      </c>
      <c r="D124" s="7" t="str">
        <f t="array" ref="D124">IFERROR(INDEX('Order Planning'!$E$5:$E$204,MATCH(B124,'Order Planning'!$A$5:$A$204,0)),"")</f>
        <v/>
      </c>
      <c r="E124" s="7" t="str">
        <f t="array" ref="E124">IFERROR(INDEX('Order Planning'!$F$5:$F$204,MATCH(B124,'Order Planning'!$A$5:$A$204,0)),"")</f>
        <v/>
      </c>
      <c r="F124" s="7"/>
      <c r="G124" s="7"/>
      <c r="L124" s="7">
        <f t="shared" si="1"/>
        <v>0</v>
      </c>
      <c r="M124" s="14">
        <f t="shared" si="2"/>
        <v>0</v>
      </c>
      <c r="N124" s="7"/>
      <c r="O124" s="7">
        <f>IF(N124="Full Process",Settings!$B$6,IF(N124="Assembly Only",Settings!$B$7,0))</f>
        <v>0</v>
      </c>
      <c r="P124" s="14">
        <f t="shared" si="3"/>
        <v>0</v>
      </c>
      <c r="Q124" s="13">
        <f>IF(O124=0,0,MIN(1,L124/O124)*Settings!$B$5)</f>
        <v>0</v>
      </c>
      <c r="R124" s="16"/>
      <c r="S124" s="16"/>
      <c r="U124" s="7"/>
    </row>
    <row r="125" ht="15.75" customHeight="1">
      <c r="A125" s="15"/>
      <c r="B125" s="7"/>
      <c r="C125" s="7" t="str">
        <f t="array" ref="C125">IFERROR(INDEX('Order Planning'!$C$5:$C$204,MATCH(B125,'Order Planning'!$A$5:$A$204,0)),"")</f>
        <v/>
      </c>
      <c r="D125" s="7" t="str">
        <f t="array" ref="D125">IFERROR(INDEX('Order Planning'!$E$5:$E$204,MATCH(B125,'Order Planning'!$A$5:$A$204,0)),"")</f>
        <v/>
      </c>
      <c r="E125" s="7" t="str">
        <f t="array" ref="E125">IFERROR(INDEX('Order Planning'!$F$5:$F$204,MATCH(B125,'Order Planning'!$A$5:$A$204,0)),"")</f>
        <v/>
      </c>
      <c r="F125" s="7"/>
      <c r="G125" s="7"/>
      <c r="L125" s="7">
        <f t="shared" si="1"/>
        <v>0</v>
      </c>
      <c r="M125" s="14">
        <f t="shared" si="2"/>
        <v>0</v>
      </c>
      <c r="N125" s="7"/>
      <c r="O125" s="7">
        <f>IF(N125="Full Process",Settings!$B$6,IF(N125="Assembly Only",Settings!$B$7,0))</f>
        <v>0</v>
      </c>
      <c r="P125" s="14">
        <f t="shared" si="3"/>
        <v>0</v>
      </c>
      <c r="Q125" s="13">
        <f>IF(O125=0,0,MIN(1,L125/O125)*Settings!$B$5)</f>
        <v>0</v>
      </c>
      <c r="R125" s="16"/>
      <c r="S125" s="16"/>
      <c r="U125" s="7"/>
    </row>
    <row r="126" ht="15.75" customHeight="1">
      <c r="A126" s="15"/>
      <c r="B126" s="7"/>
      <c r="C126" s="7" t="str">
        <f t="array" ref="C126">IFERROR(INDEX('Order Planning'!$C$5:$C$204,MATCH(B126,'Order Planning'!$A$5:$A$204,0)),"")</f>
        <v/>
      </c>
      <c r="D126" s="7" t="str">
        <f t="array" ref="D126">IFERROR(INDEX('Order Planning'!$E$5:$E$204,MATCH(B126,'Order Planning'!$A$5:$A$204,0)),"")</f>
        <v/>
      </c>
      <c r="E126" s="7" t="str">
        <f t="array" ref="E126">IFERROR(INDEX('Order Planning'!$F$5:$F$204,MATCH(B126,'Order Planning'!$A$5:$A$204,0)),"")</f>
        <v/>
      </c>
      <c r="F126" s="7"/>
      <c r="G126" s="7"/>
      <c r="L126" s="7">
        <f t="shared" si="1"/>
        <v>0</v>
      </c>
      <c r="M126" s="14">
        <f t="shared" si="2"/>
        <v>0</v>
      </c>
      <c r="N126" s="7"/>
      <c r="O126" s="7">
        <f>IF(N126="Full Process",Settings!$B$6,IF(N126="Assembly Only",Settings!$B$7,0))</f>
        <v>0</v>
      </c>
      <c r="P126" s="14">
        <f t="shared" si="3"/>
        <v>0</v>
      </c>
      <c r="Q126" s="13">
        <f>IF(O126=0,0,MIN(1,L126/O126)*Settings!$B$5)</f>
        <v>0</v>
      </c>
      <c r="R126" s="16"/>
      <c r="S126" s="16"/>
      <c r="U126" s="7"/>
    </row>
    <row r="127" ht="15.75" customHeight="1">
      <c r="A127" s="15"/>
      <c r="B127" s="7"/>
      <c r="C127" s="7" t="str">
        <f t="array" ref="C127">IFERROR(INDEX('Order Planning'!$C$5:$C$204,MATCH(B127,'Order Planning'!$A$5:$A$204,0)),"")</f>
        <v/>
      </c>
      <c r="D127" s="7" t="str">
        <f t="array" ref="D127">IFERROR(INDEX('Order Planning'!$E$5:$E$204,MATCH(B127,'Order Planning'!$A$5:$A$204,0)),"")</f>
        <v/>
      </c>
      <c r="E127" s="7" t="str">
        <f t="array" ref="E127">IFERROR(INDEX('Order Planning'!$F$5:$F$204,MATCH(B127,'Order Planning'!$A$5:$A$204,0)),"")</f>
        <v/>
      </c>
      <c r="F127" s="7"/>
      <c r="G127" s="7"/>
      <c r="L127" s="7">
        <f t="shared" si="1"/>
        <v>0</v>
      </c>
      <c r="M127" s="14">
        <f t="shared" si="2"/>
        <v>0</v>
      </c>
      <c r="N127" s="7"/>
      <c r="O127" s="7">
        <f>IF(N127="Full Process",Settings!$B$6,IF(N127="Assembly Only",Settings!$B$7,0))</f>
        <v>0</v>
      </c>
      <c r="P127" s="14">
        <f t="shared" si="3"/>
        <v>0</v>
      </c>
      <c r="Q127" s="13">
        <f>IF(O127=0,0,MIN(1,L127/O127)*Settings!$B$5)</f>
        <v>0</v>
      </c>
      <c r="R127" s="16"/>
      <c r="S127" s="16"/>
      <c r="U127" s="7"/>
    </row>
    <row r="128" ht="15.75" customHeight="1">
      <c r="A128" s="15"/>
      <c r="B128" s="7"/>
      <c r="C128" s="7" t="str">
        <f t="array" ref="C128">IFERROR(INDEX('Order Planning'!$C$5:$C$204,MATCH(B128,'Order Planning'!$A$5:$A$204,0)),"")</f>
        <v/>
      </c>
      <c r="D128" s="7" t="str">
        <f t="array" ref="D128">IFERROR(INDEX('Order Planning'!$E$5:$E$204,MATCH(B128,'Order Planning'!$A$5:$A$204,0)),"")</f>
        <v/>
      </c>
      <c r="E128" s="7" t="str">
        <f t="array" ref="E128">IFERROR(INDEX('Order Planning'!$F$5:$F$204,MATCH(B128,'Order Planning'!$A$5:$A$204,0)),"")</f>
        <v/>
      </c>
      <c r="F128" s="7"/>
      <c r="G128" s="7"/>
      <c r="L128" s="7">
        <f t="shared" si="1"/>
        <v>0</v>
      </c>
      <c r="M128" s="14">
        <f t="shared" si="2"/>
        <v>0</v>
      </c>
      <c r="N128" s="7"/>
      <c r="O128" s="7">
        <f>IF(N128="Full Process",Settings!$B$6,IF(N128="Assembly Only",Settings!$B$7,0))</f>
        <v>0</v>
      </c>
      <c r="P128" s="14">
        <f t="shared" si="3"/>
        <v>0</v>
      </c>
      <c r="Q128" s="13">
        <f>IF(O128=0,0,MIN(1,L128/O128)*Settings!$B$5)</f>
        <v>0</v>
      </c>
      <c r="R128" s="16"/>
      <c r="S128" s="16"/>
      <c r="U128" s="7"/>
    </row>
    <row r="129" ht="15.75" customHeight="1">
      <c r="A129" s="15"/>
      <c r="B129" s="7"/>
      <c r="C129" s="7" t="str">
        <f t="array" ref="C129">IFERROR(INDEX('Order Planning'!$C$5:$C$204,MATCH(B129,'Order Planning'!$A$5:$A$204,0)),"")</f>
        <v/>
      </c>
      <c r="D129" s="7" t="str">
        <f t="array" ref="D129">IFERROR(INDEX('Order Planning'!$E$5:$E$204,MATCH(B129,'Order Planning'!$A$5:$A$204,0)),"")</f>
        <v/>
      </c>
      <c r="E129" s="7" t="str">
        <f t="array" ref="E129">IFERROR(INDEX('Order Planning'!$F$5:$F$204,MATCH(B129,'Order Planning'!$A$5:$A$204,0)),"")</f>
        <v/>
      </c>
      <c r="F129" s="7"/>
      <c r="G129" s="7"/>
      <c r="L129" s="7">
        <f t="shared" si="1"/>
        <v>0</v>
      </c>
      <c r="M129" s="14">
        <f t="shared" si="2"/>
        <v>0</v>
      </c>
      <c r="N129" s="7"/>
      <c r="O129" s="7">
        <f>IF(N129="Full Process",Settings!$B$6,IF(N129="Assembly Only",Settings!$B$7,0))</f>
        <v>0</v>
      </c>
      <c r="P129" s="14">
        <f t="shared" si="3"/>
        <v>0</v>
      </c>
      <c r="Q129" s="13">
        <f>IF(O129=0,0,MIN(1,L129/O129)*Settings!$B$5)</f>
        <v>0</v>
      </c>
      <c r="R129" s="16"/>
      <c r="S129" s="16"/>
      <c r="U129" s="7"/>
    </row>
    <row r="130" ht="15.75" customHeight="1">
      <c r="A130" s="15"/>
      <c r="B130" s="7"/>
      <c r="C130" s="7" t="str">
        <f t="array" ref="C130">IFERROR(INDEX('Order Planning'!$C$5:$C$204,MATCH(B130,'Order Planning'!$A$5:$A$204,0)),"")</f>
        <v/>
      </c>
      <c r="D130" s="7" t="str">
        <f t="array" ref="D130">IFERROR(INDEX('Order Planning'!$E$5:$E$204,MATCH(B130,'Order Planning'!$A$5:$A$204,0)),"")</f>
        <v/>
      </c>
      <c r="E130" s="7" t="str">
        <f t="array" ref="E130">IFERROR(INDEX('Order Planning'!$F$5:$F$204,MATCH(B130,'Order Planning'!$A$5:$A$204,0)),"")</f>
        <v/>
      </c>
      <c r="F130" s="7"/>
      <c r="G130" s="7"/>
      <c r="L130" s="7">
        <f t="shared" si="1"/>
        <v>0</v>
      </c>
      <c r="M130" s="14">
        <f t="shared" si="2"/>
        <v>0</v>
      </c>
      <c r="N130" s="7"/>
      <c r="O130" s="7">
        <f>IF(N130="Full Process",Settings!$B$6,IF(N130="Assembly Only",Settings!$B$7,0))</f>
        <v>0</v>
      </c>
      <c r="P130" s="14">
        <f t="shared" si="3"/>
        <v>0</v>
      </c>
      <c r="Q130" s="13">
        <f>IF(O130=0,0,MIN(1,L130/O130)*Settings!$B$5)</f>
        <v>0</v>
      </c>
      <c r="R130" s="16"/>
      <c r="S130" s="16"/>
      <c r="U130" s="7"/>
    </row>
    <row r="131" ht="15.75" customHeight="1">
      <c r="A131" s="15"/>
      <c r="B131" s="7"/>
      <c r="C131" s="7" t="str">
        <f t="array" ref="C131">IFERROR(INDEX('Order Planning'!$C$5:$C$204,MATCH(B131,'Order Planning'!$A$5:$A$204,0)),"")</f>
        <v/>
      </c>
      <c r="D131" s="7" t="str">
        <f t="array" ref="D131">IFERROR(INDEX('Order Planning'!$E$5:$E$204,MATCH(B131,'Order Planning'!$A$5:$A$204,0)),"")</f>
        <v/>
      </c>
      <c r="E131" s="7" t="str">
        <f t="array" ref="E131">IFERROR(INDEX('Order Planning'!$F$5:$F$204,MATCH(B131,'Order Planning'!$A$5:$A$204,0)),"")</f>
        <v/>
      </c>
      <c r="F131" s="7"/>
      <c r="G131" s="7"/>
      <c r="L131" s="7">
        <f t="shared" si="1"/>
        <v>0</v>
      </c>
      <c r="M131" s="14">
        <f t="shared" si="2"/>
        <v>0</v>
      </c>
      <c r="N131" s="7"/>
      <c r="O131" s="7">
        <f>IF(N131="Full Process",Settings!$B$6,IF(N131="Assembly Only",Settings!$B$7,0))</f>
        <v>0</v>
      </c>
      <c r="P131" s="14">
        <f t="shared" si="3"/>
        <v>0</v>
      </c>
      <c r="Q131" s="13">
        <f>IF(O131=0,0,MIN(1,L131/O131)*Settings!$B$5)</f>
        <v>0</v>
      </c>
      <c r="R131" s="16"/>
      <c r="S131" s="16"/>
      <c r="U131" s="7"/>
    </row>
    <row r="132" ht="15.75" customHeight="1">
      <c r="A132" s="15"/>
      <c r="B132" s="7"/>
      <c r="C132" s="7" t="str">
        <f t="array" ref="C132">IFERROR(INDEX('Order Planning'!$C$5:$C$204,MATCH(B132,'Order Planning'!$A$5:$A$204,0)),"")</f>
        <v/>
      </c>
      <c r="D132" s="7" t="str">
        <f t="array" ref="D132">IFERROR(INDEX('Order Planning'!$E$5:$E$204,MATCH(B132,'Order Planning'!$A$5:$A$204,0)),"")</f>
        <v/>
      </c>
      <c r="E132" s="7" t="str">
        <f t="array" ref="E132">IFERROR(INDEX('Order Planning'!$F$5:$F$204,MATCH(B132,'Order Planning'!$A$5:$A$204,0)),"")</f>
        <v/>
      </c>
      <c r="F132" s="7"/>
      <c r="G132" s="7"/>
      <c r="L132" s="7">
        <f t="shared" si="1"/>
        <v>0</v>
      </c>
      <c r="M132" s="14">
        <f t="shared" si="2"/>
        <v>0</v>
      </c>
      <c r="N132" s="7"/>
      <c r="O132" s="7">
        <f>IF(N132="Full Process",Settings!$B$6,IF(N132="Assembly Only",Settings!$B$7,0))</f>
        <v>0</v>
      </c>
      <c r="P132" s="14">
        <f t="shared" si="3"/>
        <v>0</v>
      </c>
      <c r="Q132" s="13">
        <f>IF(O132=0,0,MIN(1,L132/O132)*Settings!$B$5)</f>
        <v>0</v>
      </c>
      <c r="R132" s="16"/>
      <c r="S132" s="16"/>
      <c r="U132" s="7"/>
    </row>
    <row r="133" ht="15.75" customHeight="1">
      <c r="A133" s="15"/>
      <c r="B133" s="7"/>
      <c r="C133" s="7" t="str">
        <f t="array" ref="C133">IFERROR(INDEX('Order Planning'!$C$5:$C$204,MATCH(B133,'Order Planning'!$A$5:$A$204,0)),"")</f>
        <v/>
      </c>
      <c r="D133" s="7" t="str">
        <f t="array" ref="D133">IFERROR(INDEX('Order Planning'!$E$5:$E$204,MATCH(B133,'Order Planning'!$A$5:$A$204,0)),"")</f>
        <v/>
      </c>
      <c r="E133" s="7" t="str">
        <f t="array" ref="E133">IFERROR(INDEX('Order Planning'!$F$5:$F$204,MATCH(B133,'Order Planning'!$A$5:$A$204,0)),"")</f>
        <v/>
      </c>
      <c r="F133" s="7"/>
      <c r="G133" s="7"/>
      <c r="L133" s="7">
        <f t="shared" si="1"/>
        <v>0</v>
      </c>
      <c r="M133" s="14">
        <f t="shared" si="2"/>
        <v>0</v>
      </c>
      <c r="N133" s="7"/>
      <c r="O133" s="7">
        <f>IF(N133="Full Process",Settings!$B$6,IF(N133="Assembly Only",Settings!$B$7,0))</f>
        <v>0</v>
      </c>
      <c r="P133" s="14">
        <f t="shared" si="3"/>
        <v>0</v>
      </c>
      <c r="Q133" s="13">
        <f>IF(O133=0,0,MIN(1,L133/O133)*Settings!$B$5)</f>
        <v>0</v>
      </c>
      <c r="R133" s="16"/>
      <c r="S133" s="16"/>
      <c r="U133" s="7"/>
    </row>
    <row r="134" ht="15.75" customHeight="1">
      <c r="A134" s="15"/>
      <c r="B134" s="7"/>
      <c r="C134" s="7" t="str">
        <f t="array" ref="C134">IFERROR(INDEX('Order Planning'!$C$5:$C$204,MATCH(B134,'Order Planning'!$A$5:$A$204,0)),"")</f>
        <v/>
      </c>
      <c r="D134" s="7" t="str">
        <f t="array" ref="D134">IFERROR(INDEX('Order Planning'!$E$5:$E$204,MATCH(B134,'Order Planning'!$A$5:$A$204,0)),"")</f>
        <v/>
      </c>
      <c r="E134" s="7" t="str">
        <f t="array" ref="E134">IFERROR(INDEX('Order Planning'!$F$5:$F$204,MATCH(B134,'Order Planning'!$A$5:$A$204,0)),"")</f>
        <v/>
      </c>
      <c r="F134" s="7"/>
      <c r="G134" s="7"/>
      <c r="L134" s="7">
        <f t="shared" si="1"/>
        <v>0</v>
      </c>
      <c r="M134" s="14">
        <f t="shared" si="2"/>
        <v>0</v>
      </c>
      <c r="N134" s="7"/>
      <c r="O134" s="7">
        <f>IF(N134="Full Process",Settings!$B$6,IF(N134="Assembly Only",Settings!$B$7,0))</f>
        <v>0</v>
      </c>
      <c r="P134" s="14">
        <f t="shared" si="3"/>
        <v>0</v>
      </c>
      <c r="Q134" s="13">
        <f>IF(O134=0,0,MIN(1,L134/O134)*Settings!$B$5)</f>
        <v>0</v>
      </c>
      <c r="R134" s="16"/>
      <c r="S134" s="16"/>
      <c r="U134" s="7"/>
    </row>
    <row r="135" ht="15.75" customHeight="1">
      <c r="A135" s="15"/>
      <c r="B135" s="7"/>
      <c r="C135" s="7" t="str">
        <f t="array" ref="C135">IFERROR(INDEX('Order Planning'!$C$5:$C$204,MATCH(B135,'Order Planning'!$A$5:$A$204,0)),"")</f>
        <v/>
      </c>
      <c r="D135" s="7" t="str">
        <f t="array" ref="D135">IFERROR(INDEX('Order Planning'!$E$5:$E$204,MATCH(B135,'Order Planning'!$A$5:$A$204,0)),"")</f>
        <v/>
      </c>
      <c r="E135" s="7" t="str">
        <f t="array" ref="E135">IFERROR(INDEX('Order Planning'!$F$5:$F$204,MATCH(B135,'Order Planning'!$A$5:$A$204,0)),"")</f>
        <v/>
      </c>
      <c r="F135" s="7"/>
      <c r="G135" s="7"/>
      <c r="L135" s="7">
        <f t="shared" si="1"/>
        <v>0</v>
      </c>
      <c r="M135" s="14">
        <f t="shared" si="2"/>
        <v>0</v>
      </c>
      <c r="N135" s="7"/>
      <c r="O135" s="7">
        <f>IF(N135="Full Process",Settings!$B$6,IF(N135="Assembly Only",Settings!$B$7,0))</f>
        <v>0</v>
      </c>
      <c r="P135" s="14">
        <f t="shared" si="3"/>
        <v>0</v>
      </c>
      <c r="Q135" s="13">
        <f>IF(O135=0,0,MIN(1,L135/O135)*Settings!$B$5)</f>
        <v>0</v>
      </c>
      <c r="R135" s="16"/>
      <c r="S135" s="16"/>
      <c r="U135" s="7"/>
    </row>
    <row r="136" ht="15.75" customHeight="1">
      <c r="A136" s="15"/>
      <c r="B136" s="7"/>
      <c r="C136" s="7" t="str">
        <f t="array" ref="C136">IFERROR(INDEX('Order Planning'!$C$5:$C$204,MATCH(B136,'Order Planning'!$A$5:$A$204,0)),"")</f>
        <v/>
      </c>
      <c r="D136" s="7" t="str">
        <f t="array" ref="D136">IFERROR(INDEX('Order Planning'!$E$5:$E$204,MATCH(B136,'Order Planning'!$A$5:$A$204,0)),"")</f>
        <v/>
      </c>
      <c r="E136" s="7" t="str">
        <f t="array" ref="E136">IFERROR(INDEX('Order Planning'!$F$5:$F$204,MATCH(B136,'Order Planning'!$A$5:$A$204,0)),"")</f>
        <v/>
      </c>
      <c r="F136" s="7"/>
      <c r="G136" s="7"/>
      <c r="L136" s="7">
        <f t="shared" si="1"/>
        <v>0</v>
      </c>
      <c r="M136" s="14">
        <f t="shared" si="2"/>
        <v>0</v>
      </c>
      <c r="N136" s="7"/>
      <c r="O136" s="7">
        <f>IF(N136="Full Process",Settings!$B$6,IF(N136="Assembly Only",Settings!$B$7,0))</f>
        <v>0</v>
      </c>
      <c r="P136" s="14">
        <f t="shared" si="3"/>
        <v>0</v>
      </c>
      <c r="Q136" s="13">
        <f>IF(O136=0,0,MIN(1,L136/O136)*Settings!$B$5)</f>
        <v>0</v>
      </c>
      <c r="R136" s="16"/>
      <c r="S136" s="16"/>
      <c r="U136" s="7"/>
    </row>
    <row r="137" ht="15.75" customHeight="1">
      <c r="A137" s="15"/>
      <c r="B137" s="7"/>
      <c r="C137" s="7" t="str">
        <f t="array" ref="C137">IFERROR(INDEX('Order Planning'!$C$5:$C$204,MATCH(B137,'Order Planning'!$A$5:$A$204,0)),"")</f>
        <v/>
      </c>
      <c r="D137" s="7" t="str">
        <f t="array" ref="D137">IFERROR(INDEX('Order Planning'!$E$5:$E$204,MATCH(B137,'Order Planning'!$A$5:$A$204,0)),"")</f>
        <v/>
      </c>
      <c r="E137" s="7" t="str">
        <f t="array" ref="E137">IFERROR(INDEX('Order Planning'!$F$5:$F$204,MATCH(B137,'Order Planning'!$A$5:$A$204,0)),"")</f>
        <v/>
      </c>
      <c r="F137" s="7"/>
      <c r="G137" s="7"/>
      <c r="L137" s="7">
        <f t="shared" si="1"/>
        <v>0</v>
      </c>
      <c r="M137" s="14">
        <f t="shared" si="2"/>
        <v>0</v>
      </c>
      <c r="N137" s="7"/>
      <c r="O137" s="7">
        <f>IF(N137="Full Process",Settings!$B$6,IF(N137="Assembly Only",Settings!$B$7,0))</f>
        <v>0</v>
      </c>
      <c r="P137" s="14">
        <f t="shared" si="3"/>
        <v>0</v>
      </c>
      <c r="Q137" s="13">
        <f>IF(O137=0,0,MIN(1,L137/O137)*Settings!$B$5)</f>
        <v>0</v>
      </c>
      <c r="R137" s="16"/>
      <c r="S137" s="16"/>
      <c r="U137" s="7"/>
    </row>
    <row r="138" ht="15.75" customHeight="1">
      <c r="A138" s="15"/>
      <c r="B138" s="7"/>
      <c r="C138" s="7" t="str">
        <f t="array" ref="C138">IFERROR(INDEX('Order Planning'!$C$5:$C$204,MATCH(B138,'Order Planning'!$A$5:$A$204,0)),"")</f>
        <v/>
      </c>
      <c r="D138" s="7" t="str">
        <f t="array" ref="D138">IFERROR(INDEX('Order Planning'!$E$5:$E$204,MATCH(B138,'Order Planning'!$A$5:$A$204,0)),"")</f>
        <v/>
      </c>
      <c r="E138" s="7" t="str">
        <f t="array" ref="E138">IFERROR(INDEX('Order Planning'!$F$5:$F$204,MATCH(B138,'Order Planning'!$A$5:$A$204,0)),"")</f>
        <v/>
      </c>
      <c r="F138" s="7"/>
      <c r="G138" s="7"/>
      <c r="L138" s="7">
        <f t="shared" si="1"/>
        <v>0</v>
      </c>
      <c r="M138" s="14">
        <f t="shared" si="2"/>
        <v>0</v>
      </c>
      <c r="N138" s="7"/>
      <c r="O138" s="7">
        <f>IF(N138="Full Process",Settings!$B$6,IF(N138="Assembly Only",Settings!$B$7,0))</f>
        <v>0</v>
      </c>
      <c r="P138" s="14">
        <f t="shared" si="3"/>
        <v>0</v>
      </c>
      <c r="Q138" s="13">
        <f>IF(O138=0,0,MIN(1,L138/O138)*Settings!$B$5)</f>
        <v>0</v>
      </c>
      <c r="R138" s="16"/>
      <c r="S138" s="16"/>
      <c r="U138" s="7"/>
    </row>
    <row r="139" ht="15.75" customHeight="1">
      <c r="A139" s="15"/>
      <c r="B139" s="7"/>
      <c r="C139" s="7" t="str">
        <f t="array" ref="C139">IFERROR(INDEX('Order Planning'!$C$5:$C$204,MATCH(B139,'Order Planning'!$A$5:$A$204,0)),"")</f>
        <v/>
      </c>
      <c r="D139" s="7" t="str">
        <f t="array" ref="D139">IFERROR(INDEX('Order Planning'!$E$5:$E$204,MATCH(B139,'Order Planning'!$A$5:$A$204,0)),"")</f>
        <v/>
      </c>
      <c r="E139" s="7" t="str">
        <f t="array" ref="E139">IFERROR(INDEX('Order Planning'!$F$5:$F$204,MATCH(B139,'Order Planning'!$A$5:$A$204,0)),"")</f>
        <v/>
      </c>
      <c r="F139" s="7"/>
      <c r="G139" s="7"/>
      <c r="L139" s="7">
        <f t="shared" si="1"/>
        <v>0</v>
      </c>
      <c r="M139" s="14">
        <f t="shared" si="2"/>
        <v>0</v>
      </c>
      <c r="N139" s="7"/>
      <c r="O139" s="7">
        <f>IF(N139="Full Process",Settings!$B$6,IF(N139="Assembly Only",Settings!$B$7,0))</f>
        <v>0</v>
      </c>
      <c r="P139" s="14">
        <f t="shared" si="3"/>
        <v>0</v>
      </c>
      <c r="Q139" s="13">
        <f>IF(O139=0,0,MIN(1,L139/O139)*Settings!$B$5)</f>
        <v>0</v>
      </c>
      <c r="R139" s="16"/>
      <c r="S139" s="16"/>
      <c r="U139" s="7"/>
    </row>
    <row r="140" ht="15.75" customHeight="1">
      <c r="A140" s="15"/>
      <c r="B140" s="7"/>
      <c r="C140" s="7" t="str">
        <f t="array" ref="C140">IFERROR(INDEX('Order Planning'!$C$5:$C$204,MATCH(B140,'Order Planning'!$A$5:$A$204,0)),"")</f>
        <v/>
      </c>
      <c r="D140" s="7" t="str">
        <f t="array" ref="D140">IFERROR(INDEX('Order Planning'!$E$5:$E$204,MATCH(B140,'Order Planning'!$A$5:$A$204,0)),"")</f>
        <v/>
      </c>
      <c r="E140" s="7" t="str">
        <f t="array" ref="E140">IFERROR(INDEX('Order Planning'!$F$5:$F$204,MATCH(B140,'Order Planning'!$A$5:$A$204,0)),"")</f>
        <v/>
      </c>
      <c r="F140" s="7"/>
      <c r="G140" s="7"/>
      <c r="L140" s="7">
        <f t="shared" si="1"/>
        <v>0</v>
      </c>
      <c r="M140" s="14">
        <f t="shared" si="2"/>
        <v>0</v>
      </c>
      <c r="N140" s="7"/>
      <c r="O140" s="7">
        <f>IF(N140="Full Process",Settings!$B$6,IF(N140="Assembly Only",Settings!$B$7,0))</f>
        <v>0</v>
      </c>
      <c r="P140" s="14">
        <f t="shared" si="3"/>
        <v>0</v>
      </c>
      <c r="Q140" s="13">
        <f>IF(O140=0,0,MIN(1,L140/O140)*Settings!$B$5)</f>
        <v>0</v>
      </c>
      <c r="R140" s="16"/>
      <c r="S140" s="16"/>
      <c r="U140" s="7"/>
    </row>
    <row r="141" ht="15.75" customHeight="1">
      <c r="A141" s="15"/>
      <c r="B141" s="7"/>
      <c r="C141" s="7" t="str">
        <f t="array" ref="C141">IFERROR(INDEX('Order Planning'!$C$5:$C$204,MATCH(B141,'Order Planning'!$A$5:$A$204,0)),"")</f>
        <v/>
      </c>
      <c r="D141" s="7" t="str">
        <f t="array" ref="D141">IFERROR(INDEX('Order Planning'!$E$5:$E$204,MATCH(B141,'Order Planning'!$A$5:$A$204,0)),"")</f>
        <v/>
      </c>
      <c r="E141" s="7" t="str">
        <f t="array" ref="E141">IFERROR(INDEX('Order Planning'!$F$5:$F$204,MATCH(B141,'Order Planning'!$A$5:$A$204,0)),"")</f>
        <v/>
      </c>
      <c r="F141" s="7"/>
      <c r="G141" s="7"/>
      <c r="L141" s="7">
        <f t="shared" si="1"/>
        <v>0</v>
      </c>
      <c r="M141" s="14">
        <f t="shared" si="2"/>
        <v>0</v>
      </c>
      <c r="N141" s="7"/>
      <c r="O141" s="7">
        <f>IF(N141="Full Process",Settings!$B$6,IF(N141="Assembly Only",Settings!$B$7,0))</f>
        <v>0</v>
      </c>
      <c r="P141" s="14">
        <f t="shared" si="3"/>
        <v>0</v>
      </c>
      <c r="Q141" s="13">
        <f>IF(O141=0,0,MIN(1,L141/O141)*Settings!$B$5)</f>
        <v>0</v>
      </c>
      <c r="R141" s="16"/>
      <c r="S141" s="16"/>
      <c r="U141" s="7"/>
    </row>
    <row r="142" ht="15.75" customHeight="1">
      <c r="A142" s="15"/>
      <c r="B142" s="7"/>
      <c r="C142" s="7" t="str">
        <f t="array" ref="C142">IFERROR(INDEX('Order Planning'!$C$5:$C$204,MATCH(B142,'Order Planning'!$A$5:$A$204,0)),"")</f>
        <v/>
      </c>
      <c r="D142" s="7" t="str">
        <f t="array" ref="D142">IFERROR(INDEX('Order Planning'!$E$5:$E$204,MATCH(B142,'Order Planning'!$A$5:$A$204,0)),"")</f>
        <v/>
      </c>
      <c r="E142" s="7" t="str">
        <f t="array" ref="E142">IFERROR(INDEX('Order Planning'!$F$5:$F$204,MATCH(B142,'Order Planning'!$A$5:$A$204,0)),"")</f>
        <v/>
      </c>
      <c r="F142" s="7"/>
      <c r="G142" s="7"/>
      <c r="L142" s="7">
        <f t="shared" si="1"/>
        <v>0</v>
      </c>
      <c r="M142" s="14">
        <f t="shared" si="2"/>
        <v>0</v>
      </c>
      <c r="N142" s="7"/>
      <c r="O142" s="7">
        <f>IF(N142="Full Process",Settings!$B$6,IF(N142="Assembly Only",Settings!$B$7,0))</f>
        <v>0</v>
      </c>
      <c r="P142" s="14">
        <f t="shared" si="3"/>
        <v>0</v>
      </c>
      <c r="Q142" s="13">
        <f>IF(O142=0,0,MIN(1,L142/O142)*Settings!$B$5)</f>
        <v>0</v>
      </c>
      <c r="R142" s="16"/>
      <c r="S142" s="16"/>
      <c r="U142" s="7"/>
    </row>
    <row r="143" ht="15.75" customHeight="1">
      <c r="A143" s="15"/>
      <c r="B143" s="7"/>
      <c r="C143" s="7" t="str">
        <f t="array" ref="C143">IFERROR(INDEX('Order Planning'!$C$5:$C$204,MATCH(B143,'Order Planning'!$A$5:$A$204,0)),"")</f>
        <v/>
      </c>
      <c r="D143" s="7" t="str">
        <f t="array" ref="D143">IFERROR(INDEX('Order Planning'!$E$5:$E$204,MATCH(B143,'Order Planning'!$A$5:$A$204,0)),"")</f>
        <v/>
      </c>
      <c r="E143" s="7" t="str">
        <f t="array" ref="E143">IFERROR(INDEX('Order Planning'!$F$5:$F$204,MATCH(B143,'Order Planning'!$A$5:$A$204,0)),"")</f>
        <v/>
      </c>
      <c r="F143" s="7"/>
      <c r="G143" s="7"/>
      <c r="L143" s="7">
        <f t="shared" si="1"/>
        <v>0</v>
      </c>
      <c r="M143" s="14">
        <f t="shared" si="2"/>
        <v>0</v>
      </c>
      <c r="N143" s="7"/>
      <c r="O143" s="7">
        <f>IF(N143="Full Process",Settings!$B$6,IF(N143="Assembly Only",Settings!$B$7,0))</f>
        <v>0</v>
      </c>
      <c r="P143" s="14">
        <f t="shared" si="3"/>
        <v>0</v>
      </c>
      <c r="Q143" s="13">
        <f>IF(O143=0,0,MIN(1,L143/O143)*Settings!$B$5)</f>
        <v>0</v>
      </c>
      <c r="R143" s="16"/>
      <c r="S143" s="16"/>
      <c r="U143" s="7"/>
    </row>
    <row r="144" ht="15.75" customHeight="1">
      <c r="A144" s="15"/>
      <c r="B144" s="7"/>
      <c r="C144" s="7" t="str">
        <f t="array" ref="C144">IFERROR(INDEX('Order Planning'!$C$5:$C$204,MATCH(B144,'Order Planning'!$A$5:$A$204,0)),"")</f>
        <v/>
      </c>
      <c r="D144" s="7" t="str">
        <f t="array" ref="D144">IFERROR(INDEX('Order Planning'!$E$5:$E$204,MATCH(B144,'Order Planning'!$A$5:$A$204,0)),"")</f>
        <v/>
      </c>
      <c r="E144" s="7" t="str">
        <f t="array" ref="E144">IFERROR(INDEX('Order Planning'!$F$5:$F$204,MATCH(B144,'Order Planning'!$A$5:$A$204,0)),"")</f>
        <v/>
      </c>
      <c r="F144" s="7"/>
      <c r="G144" s="7"/>
      <c r="L144" s="7">
        <f t="shared" si="1"/>
        <v>0</v>
      </c>
      <c r="M144" s="14">
        <f t="shared" si="2"/>
        <v>0</v>
      </c>
      <c r="N144" s="7"/>
      <c r="O144" s="7">
        <f>IF(N144="Full Process",Settings!$B$6,IF(N144="Assembly Only",Settings!$B$7,0))</f>
        <v>0</v>
      </c>
      <c r="P144" s="14">
        <f t="shared" si="3"/>
        <v>0</v>
      </c>
      <c r="Q144" s="13">
        <f>IF(O144=0,0,MIN(1,L144/O144)*Settings!$B$5)</f>
        <v>0</v>
      </c>
      <c r="R144" s="16"/>
      <c r="S144" s="16"/>
      <c r="U144" s="7"/>
    </row>
    <row r="145" ht="15.75" customHeight="1">
      <c r="A145" s="15"/>
      <c r="B145" s="7"/>
      <c r="C145" s="7" t="str">
        <f t="array" ref="C145">IFERROR(INDEX('Order Planning'!$C$5:$C$204,MATCH(B145,'Order Planning'!$A$5:$A$204,0)),"")</f>
        <v/>
      </c>
      <c r="D145" s="7" t="str">
        <f t="array" ref="D145">IFERROR(INDEX('Order Planning'!$E$5:$E$204,MATCH(B145,'Order Planning'!$A$5:$A$204,0)),"")</f>
        <v/>
      </c>
      <c r="E145" s="7" t="str">
        <f t="array" ref="E145">IFERROR(INDEX('Order Planning'!$F$5:$F$204,MATCH(B145,'Order Planning'!$A$5:$A$204,0)),"")</f>
        <v/>
      </c>
      <c r="F145" s="7"/>
      <c r="G145" s="7"/>
      <c r="L145" s="7">
        <f t="shared" si="1"/>
        <v>0</v>
      </c>
      <c r="M145" s="14">
        <f t="shared" si="2"/>
        <v>0</v>
      </c>
      <c r="N145" s="7"/>
      <c r="O145" s="7">
        <f>IF(N145="Full Process",Settings!$B$6,IF(N145="Assembly Only",Settings!$B$7,0))</f>
        <v>0</v>
      </c>
      <c r="P145" s="14">
        <f t="shared" si="3"/>
        <v>0</v>
      </c>
      <c r="Q145" s="13">
        <f>IF(O145=0,0,MIN(1,L145/O145)*Settings!$B$5)</f>
        <v>0</v>
      </c>
      <c r="R145" s="16"/>
      <c r="S145" s="16"/>
      <c r="U145" s="7"/>
    </row>
    <row r="146" ht="15.75" customHeight="1">
      <c r="A146" s="15"/>
      <c r="B146" s="7"/>
      <c r="C146" s="7" t="str">
        <f t="array" ref="C146">IFERROR(INDEX('Order Planning'!$C$5:$C$204,MATCH(B146,'Order Planning'!$A$5:$A$204,0)),"")</f>
        <v/>
      </c>
      <c r="D146" s="7" t="str">
        <f t="array" ref="D146">IFERROR(INDEX('Order Planning'!$E$5:$E$204,MATCH(B146,'Order Planning'!$A$5:$A$204,0)),"")</f>
        <v/>
      </c>
      <c r="E146" s="7" t="str">
        <f t="array" ref="E146">IFERROR(INDEX('Order Planning'!$F$5:$F$204,MATCH(B146,'Order Planning'!$A$5:$A$204,0)),"")</f>
        <v/>
      </c>
      <c r="F146" s="7"/>
      <c r="G146" s="7"/>
      <c r="L146" s="7">
        <f t="shared" si="1"/>
        <v>0</v>
      </c>
      <c r="M146" s="14">
        <f t="shared" si="2"/>
        <v>0</v>
      </c>
      <c r="N146" s="7"/>
      <c r="O146" s="7">
        <f>IF(N146="Full Process",Settings!$B$6,IF(N146="Assembly Only",Settings!$B$7,0))</f>
        <v>0</v>
      </c>
      <c r="P146" s="14">
        <f t="shared" si="3"/>
        <v>0</v>
      </c>
      <c r="Q146" s="13">
        <f>IF(O146=0,0,MIN(1,L146/O146)*Settings!$B$5)</f>
        <v>0</v>
      </c>
      <c r="R146" s="16"/>
      <c r="S146" s="16"/>
      <c r="U146" s="7"/>
    </row>
    <row r="147" ht="15.75" customHeight="1">
      <c r="A147" s="15"/>
      <c r="B147" s="7"/>
      <c r="C147" s="7" t="str">
        <f t="array" ref="C147">IFERROR(INDEX('Order Planning'!$C$5:$C$204,MATCH(B147,'Order Planning'!$A$5:$A$204,0)),"")</f>
        <v/>
      </c>
      <c r="D147" s="7" t="str">
        <f t="array" ref="D147">IFERROR(INDEX('Order Planning'!$E$5:$E$204,MATCH(B147,'Order Planning'!$A$5:$A$204,0)),"")</f>
        <v/>
      </c>
      <c r="E147" s="7" t="str">
        <f t="array" ref="E147">IFERROR(INDEX('Order Planning'!$F$5:$F$204,MATCH(B147,'Order Planning'!$A$5:$A$204,0)),"")</f>
        <v/>
      </c>
      <c r="F147" s="7"/>
      <c r="G147" s="7"/>
      <c r="L147" s="7">
        <f t="shared" si="1"/>
        <v>0</v>
      </c>
      <c r="M147" s="14">
        <f t="shared" si="2"/>
        <v>0</v>
      </c>
      <c r="N147" s="7"/>
      <c r="O147" s="7">
        <f>IF(N147="Full Process",Settings!$B$6,IF(N147="Assembly Only",Settings!$B$7,0))</f>
        <v>0</v>
      </c>
      <c r="P147" s="14">
        <f t="shared" si="3"/>
        <v>0</v>
      </c>
      <c r="Q147" s="13">
        <f>IF(O147=0,0,MIN(1,L147/O147)*Settings!$B$5)</f>
        <v>0</v>
      </c>
      <c r="R147" s="16"/>
      <c r="S147" s="16"/>
      <c r="U147" s="7"/>
    </row>
    <row r="148" ht="15.75" customHeight="1">
      <c r="A148" s="15"/>
      <c r="B148" s="7"/>
      <c r="C148" s="7" t="str">
        <f t="array" ref="C148">IFERROR(INDEX('Order Planning'!$C$5:$C$204,MATCH(B148,'Order Planning'!$A$5:$A$204,0)),"")</f>
        <v/>
      </c>
      <c r="D148" s="7" t="str">
        <f t="array" ref="D148">IFERROR(INDEX('Order Planning'!$E$5:$E$204,MATCH(B148,'Order Planning'!$A$5:$A$204,0)),"")</f>
        <v/>
      </c>
      <c r="E148" s="7" t="str">
        <f t="array" ref="E148">IFERROR(INDEX('Order Planning'!$F$5:$F$204,MATCH(B148,'Order Planning'!$A$5:$A$204,0)),"")</f>
        <v/>
      </c>
      <c r="F148" s="7"/>
      <c r="G148" s="7"/>
      <c r="L148" s="7">
        <f t="shared" si="1"/>
        <v>0</v>
      </c>
      <c r="M148" s="14">
        <f t="shared" si="2"/>
        <v>0</v>
      </c>
      <c r="N148" s="7"/>
      <c r="O148" s="7">
        <f>IF(N148="Full Process",Settings!$B$6,IF(N148="Assembly Only",Settings!$B$7,0))</f>
        <v>0</v>
      </c>
      <c r="P148" s="14">
        <f t="shared" si="3"/>
        <v>0</v>
      </c>
      <c r="Q148" s="13">
        <f>IF(O148=0,0,MIN(1,L148/O148)*Settings!$B$5)</f>
        <v>0</v>
      </c>
      <c r="R148" s="16"/>
      <c r="S148" s="16"/>
      <c r="U148" s="7"/>
    </row>
    <row r="149" ht="15.75" customHeight="1">
      <c r="A149" s="15"/>
      <c r="B149" s="7"/>
      <c r="C149" s="7" t="str">
        <f t="array" ref="C149">IFERROR(INDEX('Order Planning'!$C$5:$C$204,MATCH(B149,'Order Planning'!$A$5:$A$204,0)),"")</f>
        <v/>
      </c>
      <c r="D149" s="7" t="str">
        <f t="array" ref="D149">IFERROR(INDEX('Order Planning'!$E$5:$E$204,MATCH(B149,'Order Planning'!$A$5:$A$204,0)),"")</f>
        <v/>
      </c>
      <c r="E149" s="7" t="str">
        <f t="array" ref="E149">IFERROR(INDEX('Order Planning'!$F$5:$F$204,MATCH(B149,'Order Planning'!$A$5:$A$204,0)),"")</f>
        <v/>
      </c>
      <c r="F149" s="7"/>
      <c r="G149" s="7"/>
      <c r="L149" s="7">
        <f t="shared" si="1"/>
        <v>0</v>
      </c>
      <c r="M149" s="14">
        <f t="shared" si="2"/>
        <v>0</v>
      </c>
      <c r="N149" s="7"/>
      <c r="O149" s="7">
        <f>IF(N149="Full Process",Settings!$B$6,IF(N149="Assembly Only",Settings!$B$7,0))</f>
        <v>0</v>
      </c>
      <c r="P149" s="14">
        <f t="shared" si="3"/>
        <v>0</v>
      </c>
      <c r="Q149" s="13">
        <f>IF(O149=0,0,MIN(1,L149/O149)*Settings!$B$5)</f>
        <v>0</v>
      </c>
      <c r="R149" s="16"/>
      <c r="S149" s="16"/>
      <c r="U149" s="7"/>
    </row>
    <row r="150" ht="15.75" customHeight="1">
      <c r="A150" s="15"/>
      <c r="B150" s="7"/>
      <c r="C150" s="7" t="str">
        <f t="array" ref="C150">IFERROR(INDEX('Order Planning'!$C$5:$C$204,MATCH(B150,'Order Planning'!$A$5:$A$204,0)),"")</f>
        <v/>
      </c>
      <c r="D150" s="7" t="str">
        <f t="array" ref="D150">IFERROR(INDEX('Order Planning'!$E$5:$E$204,MATCH(B150,'Order Planning'!$A$5:$A$204,0)),"")</f>
        <v/>
      </c>
      <c r="E150" s="7" t="str">
        <f t="array" ref="E150">IFERROR(INDEX('Order Planning'!$F$5:$F$204,MATCH(B150,'Order Planning'!$A$5:$A$204,0)),"")</f>
        <v/>
      </c>
      <c r="F150" s="7"/>
      <c r="G150" s="7"/>
      <c r="L150" s="7">
        <f t="shared" si="1"/>
        <v>0</v>
      </c>
      <c r="M150" s="14">
        <f t="shared" si="2"/>
        <v>0</v>
      </c>
      <c r="N150" s="7"/>
      <c r="O150" s="7">
        <f>IF(N150="Full Process",Settings!$B$6,IF(N150="Assembly Only",Settings!$B$7,0))</f>
        <v>0</v>
      </c>
      <c r="P150" s="14">
        <f t="shared" si="3"/>
        <v>0</v>
      </c>
      <c r="Q150" s="13">
        <f>IF(O150=0,0,MIN(1,L150/O150)*Settings!$B$5)</f>
        <v>0</v>
      </c>
      <c r="R150" s="16"/>
      <c r="S150" s="16"/>
      <c r="U150" s="7"/>
    </row>
    <row r="151" ht="15.75" customHeight="1">
      <c r="A151" s="15"/>
      <c r="B151" s="7"/>
      <c r="C151" s="7" t="str">
        <f t="array" ref="C151">IFERROR(INDEX('Order Planning'!$C$5:$C$204,MATCH(B151,'Order Planning'!$A$5:$A$204,0)),"")</f>
        <v/>
      </c>
      <c r="D151" s="7" t="str">
        <f t="array" ref="D151">IFERROR(INDEX('Order Planning'!$E$5:$E$204,MATCH(B151,'Order Planning'!$A$5:$A$204,0)),"")</f>
        <v/>
      </c>
      <c r="E151" s="7" t="str">
        <f t="array" ref="E151">IFERROR(INDEX('Order Planning'!$F$5:$F$204,MATCH(B151,'Order Planning'!$A$5:$A$204,0)),"")</f>
        <v/>
      </c>
      <c r="F151" s="7"/>
      <c r="G151" s="7"/>
      <c r="L151" s="7">
        <f t="shared" si="1"/>
        <v>0</v>
      </c>
      <c r="M151" s="14">
        <f t="shared" si="2"/>
        <v>0</v>
      </c>
      <c r="N151" s="7"/>
      <c r="O151" s="7">
        <f>IF(N151="Full Process",Settings!$B$6,IF(N151="Assembly Only",Settings!$B$7,0))</f>
        <v>0</v>
      </c>
      <c r="P151" s="14">
        <f t="shared" si="3"/>
        <v>0</v>
      </c>
      <c r="Q151" s="13">
        <f>IF(O151=0,0,MIN(1,L151/O151)*Settings!$B$5)</f>
        <v>0</v>
      </c>
      <c r="R151" s="16"/>
      <c r="S151" s="16"/>
      <c r="U151" s="7"/>
    </row>
    <row r="152" ht="15.75" customHeight="1">
      <c r="A152" s="15"/>
      <c r="B152" s="7"/>
      <c r="C152" s="7" t="str">
        <f t="array" ref="C152">IFERROR(INDEX('Order Planning'!$C$5:$C$204,MATCH(B152,'Order Planning'!$A$5:$A$204,0)),"")</f>
        <v/>
      </c>
      <c r="D152" s="7" t="str">
        <f t="array" ref="D152">IFERROR(INDEX('Order Planning'!$E$5:$E$204,MATCH(B152,'Order Planning'!$A$5:$A$204,0)),"")</f>
        <v/>
      </c>
      <c r="E152" s="7" t="str">
        <f t="array" ref="E152">IFERROR(INDEX('Order Planning'!$F$5:$F$204,MATCH(B152,'Order Planning'!$A$5:$A$204,0)),"")</f>
        <v/>
      </c>
      <c r="F152" s="7"/>
      <c r="G152" s="7"/>
      <c r="L152" s="7">
        <f t="shared" si="1"/>
        <v>0</v>
      </c>
      <c r="M152" s="14">
        <f t="shared" si="2"/>
        <v>0</v>
      </c>
      <c r="N152" s="7"/>
      <c r="O152" s="7">
        <f>IF(N152="Full Process",Settings!$B$6,IF(N152="Assembly Only",Settings!$B$7,0))</f>
        <v>0</v>
      </c>
      <c r="P152" s="14">
        <f t="shared" si="3"/>
        <v>0</v>
      </c>
      <c r="Q152" s="13">
        <f>IF(O152=0,0,MIN(1,L152/O152)*Settings!$B$5)</f>
        <v>0</v>
      </c>
      <c r="R152" s="16"/>
      <c r="S152" s="16"/>
      <c r="U152" s="7"/>
    </row>
    <row r="153" ht="15.75" customHeight="1">
      <c r="A153" s="15"/>
      <c r="B153" s="7"/>
      <c r="C153" s="7" t="str">
        <f t="array" ref="C153">IFERROR(INDEX('Order Planning'!$C$5:$C$204,MATCH(B153,'Order Planning'!$A$5:$A$204,0)),"")</f>
        <v/>
      </c>
      <c r="D153" s="7" t="str">
        <f t="array" ref="D153">IFERROR(INDEX('Order Planning'!$E$5:$E$204,MATCH(B153,'Order Planning'!$A$5:$A$204,0)),"")</f>
        <v/>
      </c>
      <c r="E153" s="7" t="str">
        <f t="array" ref="E153">IFERROR(INDEX('Order Planning'!$F$5:$F$204,MATCH(B153,'Order Planning'!$A$5:$A$204,0)),"")</f>
        <v/>
      </c>
      <c r="F153" s="7"/>
      <c r="G153" s="7"/>
      <c r="L153" s="7">
        <f t="shared" si="1"/>
        <v>0</v>
      </c>
      <c r="M153" s="14">
        <f t="shared" si="2"/>
        <v>0</v>
      </c>
      <c r="N153" s="7"/>
      <c r="O153" s="7">
        <f>IF(N153="Full Process",Settings!$B$6,IF(N153="Assembly Only",Settings!$B$7,0))</f>
        <v>0</v>
      </c>
      <c r="P153" s="14">
        <f t="shared" si="3"/>
        <v>0</v>
      </c>
      <c r="Q153" s="13">
        <f>IF(O153=0,0,MIN(1,L153/O153)*Settings!$B$5)</f>
        <v>0</v>
      </c>
      <c r="R153" s="16"/>
      <c r="S153" s="16"/>
      <c r="U153" s="7"/>
    </row>
    <row r="154" ht="15.75" customHeight="1">
      <c r="A154" s="15"/>
      <c r="B154" s="7"/>
      <c r="C154" s="7" t="str">
        <f t="array" ref="C154">IFERROR(INDEX('Order Planning'!$C$5:$C$204,MATCH(B154,'Order Planning'!$A$5:$A$204,0)),"")</f>
        <v/>
      </c>
      <c r="D154" s="7" t="str">
        <f t="array" ref="D154">IFERROR(INDEX('Order Planning'!$E$5:$E$204,MATCH(B154,'Order Planning'!$A$5:$A$204,0)),"")</f>
        <v/>
      </c>
      <c r="E154" s="7" t="str">
        <f t="array" ref="E154">IFERROR(INDEX('Order Planning'!$F$5:$F$204,MATCH(B154,'Order Planning'!$A$5:$A$204,0)),"")</f>
        <v/>
      </c>
      <c r="F154" s="7"/>
      <c r="G154" s="7"/>
      <c r="L154" s="7">
        <f t="shared" si="1"/>
        <v>0</v>
      </c>
      <c r="M154" s="14">
        <f t="shared" si="2"/>
        <v>0</v>
      </c>
      <c r="N154" s="7"/>
      <c r="O154" s="7">
        <f>IF(N154="Full Process",Settings!$B$6,IF(N154="Assembly Only",Settings!$B$7,0))</f>
        <v>0</v>
      </c>
      <c r="P154" s="14">
        <f t="shared" si="3"/>
        <v>0</v>
      </c>
      <c r="Q154" s="13">
        <f>IF(O154=0,0,MIN(1,L154/O154)*Settings!$B$5)</f>
        <v>0</v>
      </c>
      <c r="R154" s="16"/>
      <c r="S154" s="16"/>
      <c r="U154" s="7"/>
    </row>
    <row r="155" ht="15.75" customHeight="1">
      <c r="A155" s="15"/>
      <c r="B155" s="7"/>
      <c r="C155" s="7" t="str">
        <f t="array" ref="C155">IFERROR(INDEX('Order Planning'!$C$5:$C$204,MATCH(B155,'Order Planning'!$A$5:$A$204,0)),"")</f>
        <v/>
      </c>
      <c r="D155" s="7" t="str">
        <f t="array" ref="D155">IFERROR(INDEX('Order Planning'!$E$5:$E$204,MATCH(B155,'Order Planning'!$A$5:$A$204,0)),"")</f>
        <v/>
      </c>
      <c r="E155" s="7" t="str">
        <f t="array" ref="E155">IFERROR(INDEX('Order Planning'!$F$5:$F$204,MATCH(B155,'Order Planning'!$A$5:$A$204,0)),"")</f>
        <v/>
      </c>
      <c r="F155" s="7"/>
      <c r="G155" s="7"/>
      <c r="L155" s="7">
        <f t="shared" si="1"/>
        <v>0</v>
      </c>
      <c r="M155" s="14">
        <f t="shared" si="2"/>
        <v>0</v>
      </c>
      <c r="N155" s="7"/>
      <c r="O155" s="7">
        <f>IF(N155="Full Process",Settings!$B$6,IF(N155="Assembly Only",Settings!$B$7,0))</f>
        <v>0</v>
      </c>
      <c r="P155" s="14">
        <f t="shared" si="3"/>
        <v>0</v>
      </c>
      <c r="Q155" s="13">
        <f>IF(O155=0,0,MIN(1,L155/O155)*Settings!$B$5)</f>
        <v>0</v>
      </c>
      <c r="R155" s="16"/>
      <c r="S155" s="16"/>
      <c r="U155" s="7"/>
    </row>
    <row r="156" ht="15.75" customHeight="1">
      <c r="A156" s="15"/>
      <c r="B156" s="7"/>
      <c r="C156" s="7" t="str">
        <f t="array" ref="C156">IFERROR(INDEX('Order Planning'!$C$5:$C$204,MATCH(B156,'Order Planning'!$A$5:$A$204,0)),"")</f>
        <v/>
      </c>
      <c r="D156" s="7" t="str">
        <f t="array" ref="D156">IFERROR(INDEX('Order Planning'!$E$5:$E$204,MATCH(B156,'Order Planning'!$A$5:$A$204,0)),"")</f>
        <v/>
      </c>
      <c r="E156" s="7" t="str">
        <f t="array" ref="E156">IFERROR(INDEX('Order Planning'!$F$5:$F$204,MATCH(B156,'Order Planning'!$A$5:$A$204,0)),"")</f>
        <v/>
      </c>
      <c r="F156" s="7"/>
      <c r="G156" s="7"/>
      <c r="L156" s="7">
        <f t="shared" si="1"/>
        <v>0</v>
      </c>
      <c r="M156" s="14">
        <f t="shared" si="2"/>
        <v>0</v>
      </c>
      <c r="N156" s="7"/>
      <c r="O156" s="7">
        <f>IF(N156="Full Process",Settings!$B$6,IF(N156="Assembly Only",Settings!$B$7,0))</f>
        <v>0</v>
      </c>
      <c r="P156" s="14">
        <f t="shared" si="3"/>
        <v>0</v>
      </c>
      <c r="Q156" s="13">
        <f>IF(O156=0,0,MIN(1,L156/O156)*Settings!$B$5)</f>
        <v>0</v>
      </c>
      <c r="R156" s="16"/>
      <c r="S156" s="16"/>
      <c r="U156" s="7"/>
    </row>
    <row r="157" ht="15.75" customHeight="1">
      <c r="A157" s="15"/>
      <c r="B157" s="7"/>
      <c r="C157" s="7" t="str">
        <f t="array" ref="C157">IFERROR(INDEX('Order Planning'!$C$5:$C$204,MATCH(B157,'Order Planning'!$A$5:$A$204,0)),"")</f>
        <v/>
      </c>
      <c r="D157" s="7" t="str">
        <f t="array" ref="D157">IFERROR(INDEX('Order Planning'!$E$5:$E$204,MATCH(B157,'Order Planning'!$A$5:$A$204,0)),"")</f>
        <v/>
      </c>
      <c r="E157" s="7" t="str">
        <f t="array" ref="E157">IFERROR(INDEX('Order Planning'!$F$5:$F$204,MATCH(B157,'Order Planning'!$A$5:$A$204,0)),"")</f>
        <v/>
      </c>
      <c r="F157" s="7"/>
      <c r="G157" s="7"/>
      <c r="L157" s="7">
        <f t="shared" si="1"/>
        <v>0</v>
      </c>
      <c r="M157" s="14">
        <f t="shared" si="2"/>
        <v>0</v>
      </c>
      <c r="N157" s="7"/>
      <c r="O157" s="7">
        <f>IF(N157="Full Process",Settings!$B$6,IF(N157="Assembly Only",Settings!$B$7,0))</f>
        <v>0</v>
      </c>
      <c r="P157" s="14">
        <f t="shared" si="3"/>
        <v>0</v>
      </c>
      <c r="Q157" s="13">
        <f>IF(O157=0,0,MIN(1,L157/O157)*Settings!$B$5)</f>
        <v>0</v>
      </c>
      <c r="R157" s="16"/>
      <c r="S157" s="16"/>
      <c r="U157" s="7"/>
    </row>
    <row r="158" ht="15.75" customHeight="1">
      <c r="A158" s="15"/>
      <c r="B158" s="7"/>
      <c r="C158" s="7" t="str">
        <f t="array" ref="C158">IFERROR(INDEX('Order Planning'!$C$5:$C$204,MATCH(B158,'Order Planning'!$A$5:$A$204,0)),"")</f>
        <v/>
      </c>
      <c r="D158" s="7" t="str">
        <f t="array" ref="D158">IFERROR(INDEX('Order Planning'!$E$5:$E$204,MATCH(B158,'Order Planning'!$A$5:$A$204,0)),"")</f>
        <v/>
      </c>
      <c r="E158" s="7" t="str">
        <f t="array" ref="E158">IFERROR(INDEX('Order Planning'!$F$5:$F$204,MATCH(B158,'Order Planning'!$A$5:$A$204,0)),"")</f>
        <v/>
      </c>
      <c r="F158" s="7"/>
      <c r="G158" s="7"/>
      <c r="L158" s="7">
        <f t="shared" si="1"/>
        <v>0</v>
      </c>
      <c r="M158" s="14">
        <f t="shared" si="2"/>
        <v>0</v>
      </c>
      <c r="N158" s="7"/>
      <c r="O158" s="7">
        <f>IF(N158="Full Process",Settings!$B$6,IF(N158="Assembly Only",Settings!$B$7,0))</f>
        <v>0</v>
      </c>
      <c r="P158" s="14">
        <f t="shared" si="3"/>
        <v>0</v>
      </c>
      <c r="Q158" s="13">
        <f>IF(O158=0,0,MIN(1,L158/O158)*Settings!$B$5)</f>
        <v>0</v>
      </c>
      <c r="R158" s="16"/>
      <c r="S158" s="16"/>
      <c r="U158" s="7"/>
    </row>
    <row r="159" ht="15.75" customHeight="1">
      <c r="A159" s="15"/>
      <c r="B159" s="7"/>
      <c r="C159" s="7" t="str">
        <f t="array" ref="C159">IFERROR(INDEX('Order Planning'!$C$5:$C$204,MATCH(B159,'Order Planning'!$A$5:$A$204,0)),"")</f>
        <v/>
      </c>
      <c r="D159" s="7" t="str">
        <f t="array" ref="D159">IFERROR(INDEX('Order Planning'!$E$5:$E$204,MATCH(B159,'Order Planning'!$A$5:$A$204,0)),"")</f>
        <v/>
      </c>
      <c r="E159" s="7" t="str">
        <f t="array" ref="E159">IFERROR(INDEX('Order Planning'!$F$5:$F$204,MATCH(B159,'Order Planning'!$A$5:$A$204,0)),"")</f>
        <v/>
      </c>
      <c r="F159" s="7"/>
      <c r="G159" s="7"/>
      <c r="L159" s="7">
        <f t="shared" si="1"/>
        <v>0</v>
      </c>
      <c r="M159" s="14">
        <f t="shared" si="2"/>
        <v>0</v>
      </c>
      <c r="N159" s="7"/>
      <c r="O159" s="7">
        <f>IF(N159="Full Process",Settings!$B$6,IF(N159="Assembly Only",Settings!$B$7,0))</f>
        <v>0</v>
      </c>
      <c r="P159" s="14">
        <f t="shared" si="3"/>
        <v>0</v>
      </c>
      <c r="Q159" s="13">
        <f>IF(O159=0,0,MIN(1,L159/O159)*Settings!$B$5)</f>
        <v>0</v>
      </c>
      <c r="R159" s="16"/>
      <c r="S159" s="16"/>
      <c r="U159" s="7"/>
    </row>
    <row r="160" ht="15.75" customHeight="1">
      <c r="A160" s="15"/>
      <c r="B160" s="7"/>
      <c r="C160" s="7" t="str">
        <f t="array" ref="C160">IFERROR(INDEX('Order Planning'!$C$5:$C$204,MATCH(B160,'Order Planning'!$A$5:$A$204,0)),"")</f>
        <v/>
      </c>
      <c r="D160" s="7" t="str">
        <f t="array" ref="D160">IFERROR(INDEX('Order Planning'!$E$5:$E$204,MATCH(B160,'Order Planning'!$A$5:$A$204,0)),"")</f>
        <v/>
      </c>
      <c r="E160" s="7" t="str">
        <f t="array" ref="E160">IFERROR(INDEX('Order Planning'!$F$5:$F$204,MATCH(B160,'Order Planning'!$A$5:$A$204,0)),"")</f>
        <v/>
      </c>
      <c r="F160" s="7"/>
      <c r="G160" s="7"/>
      <c r="L160" s="7">
        <f t="shared" si="1"/>
        <v>0</v>
      </c>
      <c r="M160" s="14">
        <f t="shared" si="2"/>
        <v>0</v>
      </c>
      <c r="N160" s="7"/>
      <c r="O160" s="7">
        <f>IF(N160="Full Process",Settings!$B$6,IF(N160="Assembly Only",Settings!$B$7,0))</f>
        <v>0</v>
      </c>
      <c r="P160" s="14">
        <f t="shared" si="3"/>
        <v>0</v>
      </c>
      <c r="Q160" s="13">
        <f>IF(O160=0,0,MIN(1,L160/O160)*Settings!$B$5)</f>
        <v>0</v>
      </c>
      <c r="R160" s="16"/>
      <c r="S160" s="16"/>
      <c r="U160" s="7"/>
    </row>
    <row r="161" ht="15.75" customHeight="1">
      <c r="A161" s="15"/>
      <c r="B161" s="7"/>
      <c r="C161" s="7" t="str">
        <f t="array" ref="C161">IFERROR(INDEX('Order Planning'!$C$5:$C$204,MATCH(B161,'Order Planning'!$A$5:$A$204,0)),"")</f>
        <v/>
      </c>
      <c r="D161" s="7" t="str">
        <f t="array" ref="D161">IFERROR(INDEX('Order Planning'!$E$5:$E$204,MATCH(B161,'Order Planning'!$A$5:$A$204,0)),"")</f>
        <v/>
      </c>
      <c r="E161" s="7" t="str">
        <f t="array" ref="E161">IFERROR(INDEX('Order Planning'!$F$5:$F$204,MATCH(B161,'Order Planning'!$A$5:$A$204,0)),"")</f>
        <v/>
      </c>
      <c r="F161" s="7"/>
      <c r="G161" s="7"/>
      <c r="L161" s="7">
        <f t="shared" si="1"/>
        <v>0</v>
      </c>
      <c r="M161" s="14">
        <f t="shared" si="2"/>
        <v>0</v>
      </c>
      <c r="N161" s="7"/>
      <c r="O161" s="7">
        <f>IF(N161="Full Process",Settings!$B$6,IF(N161="Assembly Only",Settings!$B$7,0))</f>
        <v>0</v>
      </c>
      <c r="P161" s="14">
        <f t="shared" si="3"/>
        <v>0</v>
      </c>
      <c r="Q161" s="13">
        <f>IF(O161=0,0,MIN(1,L161/O161)*Settings!$B$5)</f>
        <v>0</v>
      </c>
      <c r="R161" s="16"/>
      <c r="S161" s="16"/>
      <c r="U161" s="7"/>
    </row>
    <row r="162" ht="15.75" customHeight="1">
      <c r="A162" s="15"/>
      <c r="B162" s="7"/>
      <c r="C162" s="7" t="str">
        <f t="array" ref="C162">IFERROR(INDEX('Order Planning'!$C$5:$C$204,MATCH(B162,'Order Planning'!$A$5:$A$204,0)),"")</f>
        <v/>
      </c>
      <c r="D162" s="7" t="str">
        <f t="array" ref="D162">IFERROR(INDEX('Order Planning'!$E$5:$E$204,MATCH(B162,'Order Planning'!$A$5:$A$204,0)),"")</f>
        <v/>
      </c>
      <c r="E162" s="7" t="str">
        <f t="array" ref="E162">IFERROR(INDEX('Order Planning'!$F$5:$F$204,MATCH(B162,'Order Planning'!$A$5:$A$204,0)),"")</f>
        <v/>
      </c>
      <c r="F162" s="7"/>
      <c r="G162" s="7"/>
      <c r="L162" s="7">
        <f t="shared" si="1"/>
        <v>0</v>
      </c>
      <c r="M162" s="14">
        <f t="shared" si="2"/>
        <v>0</v>
      </c>
      <c r="N162" s="7"/>
      <c r="O162" s="7">
        <f>IF(N162="Full Process",Settings!$B$6,IF(N162="Assembly Only",Settings!$B$7,0))</f>
        <v>0</v>
      </c>
      <c r="P162" s="14">
        <f t="shared" si="3"/>
        <v>0</v>
      </c>
      <c r="Q162" s="13">
        <f>IF(O162=0,0,MIN(1,L162/O162)*Settings!$B$5)</f>
        <v>0</v>
      </c>
      <c r="R162" s="16"/>
      <c r="S162" s="16"/>
      <c r="U162" s="7"/>
    </row>
    <row r="163" ht="15.75" customHeight="1">
      <c r="A163" s="15"/>
      <c r="B163" s="7"/>
      <c r="C163" s="7" t="str">
        <f t="array" ref="C163">IFERROR(INDEX('Order Planning'!$C$5:$C$204,MATCH(B163,'Order Planning'!$A$5:$A$204,0)),"")</f>
        <v/>
      </c>
      <c r="D163" s="7" t="str">
        <f t="array" ref="D163">IFERROR(INDEX('Order Planning'!$E$5:$E$204,MATCH(B163,'Order Planning'!$A$5:$A$204,0)),"")</f>
        <v/>
      </c>
      <c r="E163" s="7" t="str">
        <f t="array" ref="E163">IFERROR(INDEX('Order Planning'!$F$5:$F$204,MATCH(B163,'Order Planning'!$A$5:$A$204,0)),"")</f>
        <v/>
      </c>
      <c r="F163" s="7"/>
      <c r="G163" s="7"/>
      <c r="L163" s="7">
        <f t="shared" si="1"/>
        <v>0</v>
      </c>
      <c r="M163" s="14">
        <f t="shared" si="2"/>
        <v>0</v>
      </c>
      <c r="N163" s="7"/>
      <c r="O163" s="7">
        <f>IF(N163="Full Process",Settings!$B$6,IF(N163="Assembly Only",Settings!$B$7,0))</f>
        <v>0</v>
      </c>
      <c r="P163" s="14">
        <f t="shared" si="3"/>
        <v>0</v>
      </c>
      <c r="Q163" s="13">
        <f>IF(O163=0,0,MIN(1,L163/O163)*Settings!$B$5)</f>
        <v>0</v>
      </c>
      <c r="R163" s="16"/>
      <c r="S163" s="16"/>
      <c r="U163" s="7"/>
    </row>
    <row r="164" ht="15.75" customHeight="1">
      <c r="A164" s="15"/>
      <c r="B164" s="7"/>
      <c r="C164" s="7" t="str">
        <f t="array" ref="C164">IFERROR(INDEX('Order Planning'!$C$5:$C$204,MATCH(B164,'Order Planning'!$A$5:$A$204,0)),"")</f>
        <v/>
      </c>
      <c r="D164" s="7" t="str">
        <f t="array" ref="D164">IFERROR(INDEX('Order Planning'!$E$5:$E$204,MATCH(B164,'Order Planning'!$A$5:$A$204,0)),"")</f>
        <v/>
      </c>
      <c r="E164" s="7" t="str">
        <f t="array" ref="E164">IFERROR(INDEX('Order Planning'!$F$5:$F$204,MATCH(B164,'Order Planning'!$A$5:$A$204,0)),"")</f>
        <v/>
      </c>
      <c r="F164" s="7"/>
      <c r="G164" s="7"/>
      <c r="L164" s="7">
        <f t="shared" si="1"/>
        <v>0</v>
      </c>
      <c r="M164" s="14">
        <f t="shared" si="2"/>
        <v>0</v>
      </c>
      <c r="N164" s="7"/>
      <c r="O164" s="7">
        <f>IF(N164="Full Process",Settings!$B$6,IF(N164="Assembly Only",Settings!$B$7,0))</f>
        <v>0</v>
      </c>
      <c r="P164" s="14">
        <f t="shared" si="3"/>
        <v>0</v>
      </c>
      <c r="Q164" s="13">
        <f>IF(O164=0,0,MIN(1,L164/O164)*Settings!$B$5)</f>
        <v>0</v>
      </c>
      <c r="R164" s="16"/>
      <c r="S164" s="16"/>
      <c r="U164" s="7"/>
    </row>
    <row r="165" ht="15.75" customHeight="1">
      <c r="A165" s="15"/>
      <c r="B165" s="7"/>
      <c r="C165" s="7" t="str">
        <f t="array" ref="C165">IFERROR(INDEX('Order Planning'!$C$5:$C$204,MATCH(B165,'Order Planning'!$A$5:$A$204,0)),"")</f>
        <v/>
      </c>
      <c r="D165" s="7" t="str">
        <f t="array" ref="D165">IFERROR(INDEX('Order Planning'!$E$5:$E$204,MATCH(B165,'Order Planning'!$A$5:$A$204,0)),"")</f>
        <v/>
      </c>
      <c r="E165" s="7" t="str">
        <f t="array" ref="E165">IFERROR(INDEX('Order Planning'!$F$5:$F$204,MATCH(B165,'Order Planning'!$A$5:$A$204,0)),"")</f>
        <v/>
      </c>
      <c r="F165" s="7"/>
      <c r="G165" s="7"/>
      <c r="L165" s="7">
        <f t="shared" si="1"/>
        <v>0</v>
      </c>
      <c r="M165" s="14">
        <f t="shared" si="2"/>
        <v>0</v>
      </c>
      <c r="N165" s="7"/>
      <c r="O165" s="7">
        <f>IF(N165="Full Process",Settings!$B$6,IF(N165="Assembly Only",Settings!$B$7,0))</f>
        <v>0</v>
      </c>
      <c r="P165" s="14">
        <f t="shared" si="3"/>
        <v>0</v>
      </c>
      <c r="Q165" s="13">
        <f>IF(O165=0,0,MIN(1,L165/O165)*Settings!$B$5)</f>
        <v>0</v>
      </c>
      <c r="R165" s="16"/>
      <c r="S165" s="16"/>
      <c r="U165" s="7"/>
    </row>
    <row r="166" ht="15.75" customHeight="1">
      <c r="A166" s="15"/>
      <c r="B166" s="7"/>
      <c r="C166" s="7" t="str">
        <f t="array" ref="C166">IFERROR(INDEX('Order Planning'!$C$5:$C$204,MATCH(B166,'Order Planning'!$A$5:$A$204,0)),"")</f>
        <v/>
      </c>
      <c r="D166" s="7" t="str">
        <f t="array" ref="D166">IFERROR(INDEX('Order Planning'!$E$5:$E$204,MATCH(B166,'Order Planning'!$A$5:$A$204,0)),"")</f>
        <v/>
      </c>
      <c r="E166" s="7" t="str">
        <f t="array" ref="E166">IFERROR(INDEX('Order Planning'!$F$5:$F$204,MATCH(B166,'Order Planning'!$A$5:$A$204,0)),"")</f>
        <v/>
      </c>
      <c r="F166" s="7"/>
      <c r="G166" s="7"/>
      <c r="L166" s="7">
        <f t="shared" si="1"/>
        <v>0</v>
      </c>
      <c r="M166" s="14">
        <f t="shared" si="2"/>
        <v>0</v>
      </c>
      <c r="N166" s="7"/>
      <c r="O166" s="7">
        <f>IF(N166="Full Process",Settings!$B$6,IF(N166="Assembly Only",Settings!$B$7,0))</f>
        <v>0</v>
      </c>
      <c r="P166" s="14">
        <f t="shared" si="3"/>
        <v>0</v>
      </c>
      <c r="Q166" s="13">
        <f>IF(O166=0,0,MIN(1,L166/O166)*Settings!$B$5)</f>
        <v>0</v>
      </c>
      <c r="R166" s="16"/>
      <c r="S166" s="16"/>
      <c r="U166" s="7"/>
    </row>
    <row r="167" ht="15.75" customHeight="1">
      <c r="A167" s="15"/>
      <c r="B167" s="7"/>
      <c r="C167" s="7" t="str">
        <f t="array" ref="C167">IFERROR(INDEX('Order Planning'!$C$5:$C$204,MATCH(B167,'Order Planning'!$A$5:$A$204,0)),"")</f>
        <v/>
      </c>
      <c r="D167" s="7" t="str">
        <f t="array" ref="D167">IFERROR(INDEX('Order Planning'!$E$5:$E$204,MATCH(B167,'Order Planning'!$A$5:$A$204,0)),"")</f>
        <v/>
      </c>
      <c r="E167" s="7" t="str">
        <f t="array" ref="E167">IFERROR(INDEX('Order Planning'!$F$5:$F$204,MATCH(B167,'Order Planning'!$A$5:$A$204,0)),"")</f>
        <v/>
      </c>
      <c r="F167" s="7"/>
      <c r="G167" s="7"/>
      <c r="L167" s="7">
        <f t="shared" si="1"/>
        <v>0</v>
      </c>
      <c r="M167" s="14">
        <f t="shared" si="2"/>
        <v>0</v>
      </c>
      <c r="N167" s="7"/>
      <c r="O167" s="7">
        <f>IF(N167="Full Process",Settings!$B$6,IF(N167="Assembly Only",Settings!$B$7,0))</f>
        <v>0</v>
      </c>
      <c r="P167" s="14">
        <f t="shared" si="3"/>
        <v>0</v>
      </c>
      <c r="Q167" s="13">
        <f>IF(O167=0,0,MIN(1,L167/O167)*Settings!$B$5)</f>
        <v>0</v>
      </c>
      <c r="R167" s="16"/>
      <c r="S167" s="16"/>
      <c r="U167" s="7"/>
    </row>
    <row r="168" ht="15.75" customHeight="1">
      <c r="A168" s="15"/>
      <c r="B168" s="7"/>
      <c r="C168" s="7" t="str">
        <f t="array" ref="C168">IFERROR(INDEX('Order Planning'!$C$5:$C$204,MATCH(B168,'Order Planning'!$A$5:$A$204,0)),"")</f>
        <v/>
      </c>
      <c r="D168" s="7" t="str">
        <f t="array" ref="D168">IFERROR(INDEX('Order Planning'!$E$5:$E$204,MATCH(B168,'Order Planning'!$A$5:$A$204,0)),"")</f>
        <v/>
      </c>
      <c r="E168" s="7" t="str">
        <f t="array" ref="E168">IFERROR(INDEX('Order Planning'!$F$5:$F$204,MATCH(B168,'Order Planning'!$A$5:$A$204,0)),"")</f>
        <v/>
      </c>
      <c r="F168" s="7"/>
      <c r="G168" s="7"/>
      <c r="L168" s="7">
        <f t="shared" si="1"/>
        <v>0</v>
      </c>
      <c r="M168" s="14">
        <f t="shared" si="2"/>
        <v>0</v>
      </c>
      <c r="N168" s="7"/>
      <c r="O168" s="7">
        <f>IF(N168="Full Process",Settings!$B$6,IF(N168="Assembly Only",Settings!$B$7,0))</f>
        <v>0</v>
      </c>
      <c r="P168" s="14">
        <f t="shared" si="3"/>
        <v>0</v>
      </c>
      <c r="Q168" s="13">
        <f>IF(O168=0,0,MIN(1,L168/O168)*Settings!$B$5)</f>
        <v>0</v>
      </c>
      <c r="R168" s="16"/>
      <c r="S168" s="16"/>
      <c r="U168" s="7"/>
    </row>
    <row r="169" ht="15.75" customHeight="1">
      <c r="A169" s="15"/>
      <c r="B169" s="7"/>
      <c r="C169" s="7" t="str">
        <f t="array" ref="C169">IFERROR(INDEX('Order Planning'!$C$5:$C$204,MATCH(B169,'Order Planning'!$A$5:$A$204,0)),"")</f>
        <v/>
      </c>
      <c r="D169" s="7" t="str">
        <f t="array" ref="D169">IFERROR(INDEX('Order Planning'!$E$5:$E$204,MATCH(B169,'Order Planning'!$A$5:$A$204,0)),"")</f>
        <v/>
      </c>
      <c r="E169" s="7" t="str">
        <f t="array" ref="E169">IFERROR(INDEX('Order Planning'!$F$5:$F$204,MATCH(B169,'Order Planning'!$A$5:$A$204,0)),"")</f>
        <v/>
      </c>
      <c r="F169" s="7"/>
      <c r="G169" s="7"/>
      <c r="L169" s="7">
        <f t="shared" si="1"/>
        <v>0</v>
      </c>
      <c r="M169" s="14">
        <f t="shared" si="2"/>
        <v>0</v>
      </c>
      <c r="N169" s="7"/>
      <c r="O169" s="7">
        <f>IF(N169="Full Process",Settings!$B$6,IF(N169="Assembly Only",Settings!$B$7,0))</f>
        <v>0</v>
      </c>
      <c r="P169" s="14">
        <f t="shared" si="3"/>
        <v>0</v>
      </c>
      <c r="Q169" s="13">
        <f>IF(O169=0,0,MIN(1,L169/O169)*Settings!$B$5)</f>
        <v>0</v>
      </c>
      <c r="R169" s="16"/>
      <c r="S169" s="16"/>
      <c r="U169" s="7"/>
    </row>
    <row r="170" ht="15.75" customHeight="1">
      <c r="A170" s="15"/>
      <c r="B170" s="7"/>
      <c r="C170" s="7" t="str">
        <f t="array" ref="C170">IFERROR(INDEX('Order Planning'!$C$5:$C$204,MATCH(B170,'Order Planning'!$A$5:$A$204,0)),"")</f>
        <v/>
      </c>
      <c r="D170" s="7" t="str">
        <f t="array" ref="D170">IFERROR(INDEX('Order Planning'!$E$5:$E$204,MATCH(B170,'Order Planning'!$A$5:$A$204,0)),"")</f>
        <v/>
      </c>
      <c r="E170" s="7" t="str">
        <f t="array" ref="E170">IFERROR(INDEX('Order Planning'!$F$5:$F$204,MATCH(B170,'Order Planning'!$A$5:$A$204,0)),"")</f>
        <v/>
      </c>
      <c r="F170" s="7"/>
      <c r="G170" s="7"/>
      <c r="L170" s="7">
        <f t="shared" si="1"/>
        <v>0</v>
      </c>
      <c r="M170" s="14">
        <f t="shared" si="2"/>
        <v>0</v>
      </c>
      <c r="N170" s="7"/>
      <c r="O170" s="7">
        <f>IF(N170="Full Process",Settings!$B$6,IF(N170="Assembly Only",Settings!$B$7,0))</f>
        <v>0</v>
      </c>
      <c r="P170" s="14">
        <f t="shared" si="3"/>
        <v>0</v>
      </c>
      <c r="Q170" s="13">
        <f>IF(O170=0,0,MIN(1,L170/O170)*Settings!$B$5)</f>
        <v>0</v>
      </c>
      <c r="R170" s="16"/>
      <c r="S170" s="16"/>
      <c r="U170" s="7"/>
    </row>
    <row r="171" ht="15.75" customHeight="1">
      <c r="A171" s="15"/>
      <c r="B171" s="7"/>
      <c r="C171" s="7" t="str">
        <f t="array" ref="C171">IFERROR(INDEX('Order Planning'!$C$5:$C$204,MATCH(B171,'Order Planning'!$A$5:$A$204,0)),"")</f>
        <v/>
      </c>
      <c r="D171" s="7" t="str">
        <f t="array" ref="D171">IFERROR(INDEX('Order Planning'!$E$5:$E$204,MATCH(B171,'Order Planning'!$A$5:$A$204,0)),"")</f>
        <v/>
      </c>
      <c r="E171" s="7" t="str">
        <f t="array" ref="E171">IFERROR(INDEX('Order Planning'!$F$5:$F$204,MATCH(B171,'Order Planning'!$A$5:$A$204,0)),"")</f>
        <v/>
      </c>
      <c r="F171" s="7"/>
      <c r="G171" s="7"/>
      <c r="L171" s="7">
        <f t="shared" si="1"/>
        <v>0</v>
      </c>
      <c r="M171" s="14">
        <f t="shared" si="2"/>
        <v>0</v>
      </c>
      <c r="N171" s="7"/>
      <c r="O171" s="7">
        <f>IF(N171="Full Process",Settings!$B$6,IF(N171="Assembly Only",Settings!$B$7,0))</f>
        <v>0</v>
      </c>
      <c r="P171" s="14">
        <f t="shared" si="3"/>
        <v>0</v>
      </c>
      <c r="Q171" s="13">
        <f>IF(O171=0,0,MIN(1,L171/O171)*Settings!$B$5)</f>
        <v>0</v>
      </c>
      <c r="R171" s="16"/>
      <c r="S171" s="16"/>
      <c r="U171" s="7"/>
    </row>
    <row r="172" ht="15.75" customHeight="1">
      <c r="A172" s="15"/>
      <c r="B172" s="7"/>
      <c r="C172" s="7" t="str">
        <f t="array" ref="C172">IFERROR(INDEX('Order Planning'!$C$5:$C$204,MATCH(B172,'Order Planning'!$A$5:$A$204,0)),"")</f>
        <v/>
      </c>
      <c r="D172" s="7" t="str">
        <f t="array" ref="D172">IFERROR(INDEX('Order Planning'!$E$5:$E$204,MATCH(B172,'Order Planning'!$A$5:$A$204,0)),"")</f>
        <v/>
      </c>
      <c r="E172" s="7" t="str">
        <f t="array" ref="E172">IFERROR(INDEX('Order Planning'!$F$5:$F$204,MATCH(B172,'Order Planning'!$A$5:$A$204,0)),"")</f>
        <v/>
      </c>
      <c r="F172" s="7"/>
      <c r="G172" s="7"/>
      <c r="L172" s="7">
        <f t="shared" si="1"/>
        <v>0</v>
      </c>
      <c r="M172" s="14">
        <f t="shared" si="2"/>
        <v>0</v>
      </c>
      <c r="N172" s="7"/>
      <c r="O172" s="7">
        <f>IF(N172="Full Process",Settings!$B$6,IF(N172="Assembly Only",Settings!$B$7,0))</f>
        <v>0</v>
      </c>
      <c r="P172" s="14">
        <f t="shared" si="3"/>
        <v>0</v>
      </c>
      <c r="Q172" s="13">
        <f>IF(O172=0,0,MIN(1,L172/O172)*Settings!$B$5)</f>
        <v>0</v>
      </c>
      <c r="R172" s="16"/>
      <c r="S172" s="16"/>
      <c r="U172" s="7"/>
    </row>
    <row r="173" ht="15.75" customHeight="1">
      <c r="A173" s="15"/>
      <c r="B173" s="7"/>
      <c r="C173" s="7" t="str">
        <f t="array" ref="C173">IFERROR(INDEX('Order Planning'!$C$5:$C$204,MATCH(B173,'Order Planning'!$A$5:$A$204,0)),"")</f>
        <v/>
      </c>
      <c r="D173" s="7" t="str">
        <f t="array" ref="D173">IFERROR(INDEX('Order Planning'!$E$5:$E$204,MATCH(B173,'Order Planning'!$A$5:$A$204,0)),"")</f>
        <v/>
      </c>
      <c r="E173" s="7" t="str">
        <f t="array" ref="E173">IFERROR(INDEX('Order Planning'!$F$5:$F$204,MATCH(B173,'Order Planning'!$A$5:$A$204,0)),"")</f>
        <v/>
      </c>
      <c r="F173" s="7"/>
      <c r="G173" s="7"/>
      <c r="L173" s="7">
        <f t="shared" si="1"/>
        <v>0</v>
      </c>
      <c r="M173" s="14">
        <f t="shared" si="2"/>
        <v>0</v>
      </c>
      <c r="N173" s="7"/>
      <c r="O173" s="7">
        <f>IF(N173="Full Process",Settings!$B$6,IF(N173="Assembly Only",Settings!$B$7,0))</f>
        <v>0</v>
      </c>
      <c r="P173" s="14">
        <f t="shared" si="3"/>
        <v>0</v>
      </c>
      <c r="Q173" s="13">
        <f>IF(O173=0,0,MIN(1,L173/O173)*Settings!$B$5)</f>
        <v>0</v>
      </c>
      <c r="R173" s="16"/>
      <c r="S173" s="16"/>
      <c r="U173" s="7"/>
    </row>
    <row r="174" ht="15.75" customHeight="1">
      <c r="A174" s="15"/>
      <c r="B174" s="7"/>
      <c r="C174" s="7" t="str">
        <f t="array" ref="C174">IFERROR(INDEX('Order Planning'!$C$5:$C$204,MATCH(B174,'Order Planning'!$A$5:$A$204,0)),"")</f>
        <v/>
      </c>
      <c r="D174" s="7" t="str">
        <f t="array" ref="D174">IFERROR(INDEX('Order Planning'!$E$5:$E$204,MATCH(B174,'Order Planning'!$A$5:$A$204,0)),"")</f>
        <v/>
      </c>
      <c r="E174" s="7" t="str">
        <f t="array" ref="E174">IFERROR(INDEX('Order Planning'!$F$5:$F$204,MATCH(B174,'Order Planning'!$A$5:$A$204,0)),"")</f>
        <v/>
      </c>
      <c r="F174" s="7"/>
      <c r="G174" s="7"/>
      <c r="L174" s="7">
        <f t="shared" si="1"/>
        <v>0</v>
      </c>
      <c r="M174" s="14">
        <f t="shared" si="2"/>
        <v>0</v>
      </c>
      <c r="N174" s="7"/>
      <c r="O174" s="7">
        <f>IF(N174="Full Process",Settings!$B$6,IF(N174="Assembly Only",Settings!$B$7,0))</f>
        <v>0</v>
      </c>
      <c r="P174" s="14">
        <f t="shared" si="3"/>
        <v>0</v>
      </c>
      <c r="Q174" s="13">
        <f>IF(O174=0,0,MIN(1,L174/O174)*Settings!$B$5)</f>
        <v>0</v>
      </c>
      <c r="R174" s="16"/>
      <c r="S174" s="16"/>
      <c r="U174" s="7"/>
    </row>
    <row r="175" ht="15.75" customHeight="1">
      <c r="A175" s="15"/>
      <c r="B175" s="7"/>
      <c r="C175" s="7" t="str">
        <f t="array" ref="C175">IFERROR(INDEX('Order Planning'!$C$5:$C$204,MATCH(B175,'Order Planning'!$A$5:$A$204,0)),"")</f>
        <v/>
      </c>
      <c r="D175" s="7" t="str">
        <f t="array" ref="D175">IFERROR(INDEX('Order Planning'!$E$5:$E$204,MATCH(B175,'Order Planning'!$A$5:$A$204,0)),"")</f>
        <v/>
      </c>
      <c r="E175" s="7" t="str">
        <f t="array" ref="E175">IFERROR(INDEX('Order Planning'!$F$5:$F$204,MATCH(B175,'Order Planning'!$A$5:$A$204,0)),"")</f>
        <v/>
      </c>
      <c r="F175" s="7"/>
      <c r="G175" s="7"/>
      <c r="L175" s="7">
        <f t="shared" si="1"/>
        <v>0</v>
      </c>
      <c r="M175" s="14">
        <f t="shared" si="2"/>
        <v>0</v>
      </c>
      <c r="N175" s="7"/>
      <c r="O175" s="7">
        <f>IF(N175="Full Process",Settings!$B$6,IF(N175="Assembly Only",Settings!$B$7,0))</f>
        <v>0</v>
      </c>
      <c r="P175" s="14">
        <f t="shared" si="3"/>
        <v>0</v>
      </c>
      <c r="Q175" s="13">
        <f>IF(O175=0,0,MIN(1,L175/O175)*Settings!$B$5)</f>
        <v>0</v>
      </c>
      <c r="R175" s="16"/>
      <c r="S175" s="16"/>
      <c r="U175" s="7"/>
    </row>
    <row r="176" ht="15.75" customHeight="1">
      <c r="A176" s="15"/>
      <c r="B176" s="7"/>
      <c r="C176" s="7" t="str">
        <f t="array" ref="C176">IFERROR(INDEX('Order Planning'!$C$5:$C$204,MATCH(B176,'Order Planning'!$A$5:$A$204,0)),"")</f>
        <v/>
      </c>
      <c r="D176" s="7" t="str">
        <f t="array" ref="D176">IFERROR(INDEX('Order Planning'!$E$5:$E$204,MATCH(B176,'Order Planning'!$A$5:$A$204,0)),"")</f>
        <v/>
      </c>
      <c r="E176" s="7" t="str">
        <f t="array" ref="E176">IFERROR(INDEX('Order Planning'!$F$5:$F$204,MATCH(B176,'Order Planning'!$A$5:$A$204,0)),"")</f>
        <v/>
      </c>
      <c r="F176" s="7"/>
      <c r="G176" s="7"/>
      <c r="L176" s="7">
        <f t="shared" si="1"/>
        <v>0</v>
      </c>
      <c r="M176" s="14">
        <f t="shared" si="2"/>
        <v>0</v>
      </c>
      <c r="N176" s="7"/>
      <c r="O176" s="7">
        <f>IF(N176="Full Process",Settings!$B$6,IF(N176="Assembly Only",Settings!$B$7,0))</f>
        <v>0</v>
      </c>
      <c r="P176" s="14">
        <f t="shared" si="3"/>
        <v>0</v>
      </c>
      <c r="Q176" s="13">
        <f>IF(O176=0,0,MIN(1,L176/O176)*Settings!$B$5)</f>
        <v>0</v>
      </c>
      <c r="R176" s="16"/>
      <c r="S176" s="16"/>
      <c r="U176" s="7"/>
    </row>
    <row r="177" ht="15.75" customHeight="1">
      <c r="A177" s="15"/>
      <c r="B177" s="7"/>
      <c r="C177" s="7" t="str">
        <f t="array" ref="C177">IFERROR(INDEX('Order Planning'!$C$5:$C$204,MATCH(B177,'Order Planning'!$A$5:$A$204,0)),"")</f>
        <v/>
      </c>
      <c r="D177" s="7" t="str">
        <f t="array" ref="D177">IFERROR(INDEX('Order Planning'!$E$5:$E$204,MATCH(B177,'Order Planning'!$A$5:$A$204,0)),"")</f>
        <v/>
      </c>
      <c r="E177" s="7" t="str">
        <f t="array" ref="E177">IFERROR(INDEX('Order Planning'!$F$5:$F$204,MATCH(B177,'Order Planning'!$A$5:$A$204,0)),"")</f>
        <v/>
      </c>
      <c r="F177" s="7"/>
      <c r="G177" s="7"/>
      <c r="L177" s="7">
        <f t="shared" si="1"/>
        <v>0</v>
      </c>
      <c r="M177" s="14">
        <f t="shared" si="2"/>
        <v>0</v>
      </c>
      <c r="N177" s="7"/>
      <c r="O177" s="7">
        <f>IF(N177="Full Process",Settings!$B$6,IF(N177="Assembly Only",Settings!$B$7,0))</f>
        <v>0</v>
      </c>
      <c r="P177" s="14">
        <f t="shared" si="3"/>
        <v>0</v>
      </c>
      <c r="Q177" s="13">
        <f>IF(O177=0,0,MIN(1,L177/O177)*Settings!$B$5)</f>
        <v>0</v>
      </c>
      <c r="R177" s="16"/>
      <c r="S177" s="16"/>
      <c r="U177" s="7"/>
    </row>
    <row r="178" ht="15.75" customHeight="1">
      <c r="A178" s="15"/>
      <c r="B178" s="7"/>
      <c r="C178" s="7" t="str">
        <f t="array" ref="C178">IFERROR(INDEX('Order Planning'!$C$5:$C$204,MATCH(B178,'Order Planning'!$A$5:$A$204,0)),"")</f>
        <v/>
      </c>
      <c r="D178" s="7" t="str">
        <f t="array" ref="D178">IFERROR(INDEX('Order Planning'!$E$5:$E$204,MATCH(B178,'Order Planning'!$A$5:$A$204,0)),"")</f>
        <v/>
      </c>
      <c r="E178" s="7" t="str">
        <f t="array" ref="E178">IFERROR(INDEX('Order Planning'!$F$5:$F$204,MATCH(B178,'Order Planning'!$A$5:$A$204,0)),"")</f>
        <v/>
      </c>
      <c r="F178" s="7"/>
      <c r="G178" s="7"/>
      <c r="L178" s="7">
        <f t="shared" si="1"/>
        <v>0</v>
      </c>
      <c r="M178" s="14">
        <f t="shared" si="2"/>
        <v>0</v>
      </c>
      <c r="N178" s="7"/>
      <c r="O178" s="7">
        <f>IF(N178="Full Process",Settings!$B$6,IF(N178="Assembly Only",Settings!$B$7,0))</f>
        <v>0</v>
      </c>
      <c r="P178" s="14">
        <f t="shared" si="3"/>
        <v>0</v>
      </c>
      <c r="Q178" s="13">
        <f>IF(O178=0,0,MIN(1,L178/O178)*Settings!$B$5)</f>
        <v>0</v>
      </c>
      <c r="R178" s="16"/>
      <c r="S178" s="16"/>
      <c r="U178" s="7"/>
    </row>
    <row r="179" ht="15.75" customHeight="1">
      <c r="A179" s="15"/>
      <c r="B179" s="7"/>
      <c r="C179" s="7" t="str">
        <f t="array" ref="C179">IFERROR(INDEX('Order Planning'!$C$5:$C$204,MATCH(B179,'Order Planning'!$A$5:$A$204,0)),"")</f>
        <v/>
      </c>
      <c r="D179" s="7" t="str">
        <f t="array" ref="D179">IFERROR(INDEX('Order Planning'!$E$5:$E$204,MATCH(B179,'Order Planning'!$A$5:$A$204,0)),"")</f>
        <v/>
      </c>
      <c r="E179" s="7" t="str">
        <f t="array" ref="E179">IFERROR(INDEX('Order Planning'!$F$5:$F$204,MATCH(B179,'Order Planning'!$A$5:$A$204,0)),"")</f>
        <v/>
      </c>
      <c r="F179" s="7"/>
      <c r="G179" s="7"/>
      <c r="L179" s="7">
        <f t="shared" si="1"/>
        <v>0</v>
      </c>
      <c r="M179" s="14">
        <f t="shared" si="2"/>
        <v>0</v>
      </c>
      <c r="N179" s="7"/>
      <c r="O179" s="7">
        <f>IF(N179="Full Process",Settings!$B$6,IF(N179="Assembly Only",Settings!$B$7,0))</f>
        <v>0</v>
      </c>
      <c r="P179" s="14">
        <f t="shared" si="3"/>
        <v>0</v>
      </c>
      <c r="Q179" s="13">
        <f>IF(O179=0,0,MIN(1,L179/O179)*Settings!$B$5)</f>
        <v>0</v>
      </c>
      <c r="R179" s="16"/>
      <c r="S179" s="16"/>
      <c r="U179" s="7"/>
    </row>
    <row r="180" ht="15.75" customHeight="1">
      <c r="A180" s="15"/>
      <c r="B180" s="7"/>
      <c r="C180" s="7" t="str">
        <f t="array" ref="C180">IFERROR(INDEX('Order Planning'!$C$5:$C$204,MATCH(B180,'Order Planning'!$A$5:$A$204,0)),"")</f>
        <v/>
      </c>
      <c r="D180" s="7" t="str">
        <f t="array" ref="D180">IFERROR(INDEX('Order Planning'!$E$5:$E$204,MATCH(B180,'Order Planning'!$A$5:$A$204,0)),"")</f>
        <v/>
      </c>
      <c r="E180" s="7" t="str">
        <f t="array" ref="E180">IFERROR(INDEX('Order Planning'!$F$5:$F$204,MATCH(B180,'Order Planning'!$A$5:$A$204,0)),"")</f>
        <v/>
      </c>
      <c r="F180" s="7"/>
      <c r="G180" s="7"/>
      <c r="L180" s="7">
        <f t="shared" si="1"/>
        <v>0</v>
      </c>
      <c r="M180" s="14">
        <f t="shared" si="2"/>
        <v>0</v>
      </c>
      <c r="N180" s="7"/>
      <c r="O180" s="7">
        <f>IF(N180="Full Process",Settings!$B$6,IF(N180="Assembly Only",Settings!$B$7,0))</f>
        <v>0</v>
      </c>
      <c r="P180" s="14">
        <f t="shared" si="3"/>
        <v>0</v>
      </c>
      <c r="Q180" s="13">
        <f>IF(O180=0,0,MIN(1,L180/O180)*Settings!$B$5)</f>
        <v>0</v>
      </c>
      <c r="R180" s="16"/>
      <c r="S180" s="16"/>
      <c r="U180" s="7"/>
    </row>
    <row r="181" ht="15.75" customHeight="1">
      <c r="A181" s="15"/>
      <c r="B181" s="7"/>
      <c r="C181" s="7" t="str">
        <f t="array" ref="C181">IFERROR(INDEX('Order Planning'!$C$5:$C$204,MATCH(B181,'Order Planning'!$A$5:$A$204,0)),"")</f>
        <v/>
      </c>
      <c r="D181" s="7" t="str">
        <f t="array" ref="D181">IFERROR(INDEX('Order Planning'!$E$5:$E$204,MATCH(B181,'Order Planning'!$A$5:$A$204,0)),"")</f>
        <v/>
      </c>
      <c r="E181" s="7" t="str">
        <f t="array" ref="E181">IFERROR(INDEX('Order Planning'!$F$5:$F$204,MATCH(B181,'Order Planning'!$A$5:$A$204,0)),"")</f>
        <v/>
      </c>
      <c r="F181" s="7"/>
      <c r="G181" s="7"/>
      <c r="L181" s="7">
        <f t="shared" si="1"/>
        <v>0</v>
      </c>
      <c r="M181" s="14">
        <f t="shared" si="2"/>
        <v>0</v>
      </c>
      <c r="N181" s="7"/>
      <c r="O181" s="7">
        <f>IF(N181="Full Process",Settings!$B$6,IF(N181="Assembly Only",Settings!$B$7,0))</f>
        <v>0</v>
      </c>
      <c r="P181" s="14">
        <f t="shared" si="3"/>
        <v>0</v>
      </c>
      <c r="Q181" s="13">
        <f>IF(O181=0,0,MIN(1,L181/O181)*Settings!$B$5)</f>
        <v>0</v>
      </c>
      <c r="R181" s="16"/>
      <c r="S181" s="16"/>
      <c r="U181" s="7"/>
    </row>
    <row r="182" ht="15.75" customHeight="1">
      <c r="A182" s="15"/>
      <c r="B182" s="7"/>
      <c r="C182" s="7" t="str">
        <f t="array" ref="C182">IFERROR(INDEX('Order Planning'!$C$5:$C$204,MATCH(B182,'Order Planning'!$A$5:$A$204,0)),"")</f>
        <v/>
      </c>
      <c r="D182" s="7" t="str">
        <f t="array" ref="D182">IFERROR(INDEX('Order Planning'!$E$5:$E$204,MATCH(B182,'Order Planning'!$A$5:$A$204,0)),"")</f>
        <v/>
      </c>
      <c r="E182" s="7" t="str">
        <f t="array" ref="E182">IFERROR(INDEX('Order Planning'!$F$5:$F$204,MATCH(B182,'Order Planning'!$A$5:$A$204,0)),"")</f>
        <v/>
      </c>
      <c r="F182" s="7"/>
      <c r="G182" s="7"/>
      <c r="L182" s="7">
        <f t="shared" si="1"/>
        <v>0</v>
      </c>
      <c r="M182" s="14">
        <f t="shared" si="2"/>
        <v>0</v>
      </c>
      <c r="N182" s="7"/>
      <c r="O182" s="7">
        <f>IF(N182="Full Process",Settings!$B$6,IF(N182="Assembly Only",Settings!$B$7,0))</f>
        <v>0</v>
      </c>
      <c r="P182" s="14">
        <f t="shared" si="3"/>
        <v>0</v>
      </c>
      <c r="Q182" s="13">
        <f>IF(O182=0,0,MIN(1,L182/O182)*Settings!$B$5)</f>
        <v>0</v>
      </c>
      <c r="R182" s="16"/>
      <c r="S182" s="16"/>
      <c r="U182" s="7"/>
    </row>
    <row r="183" ht="15.75" customHeight="1">
      <c r="A183" s="15"/>
      <c r="B183" s="7"/>
      <c r="C183" s="7" t="str">
        <f t="array" ref="C183">IFERROR(INDEX('Order Planning'!$C$5:$C$204,MATCH(B183,'Order Planning'!$A$5:$A$204,0)),"")</f>
        <v/>
      </c>
      <c r="D183" s="7" t="str">
        <f t="array" ref="D183">IFERROR(INDEX('Order Planning'!$E$5:$E$204,MATCH(B183,'Order Planning'!$A$5:$A$204,0)),"")</f>
        <v/>
      </c>
      <c r="E183" s="7" t="str">
        <f t="array" ref="E183">IFERROR(INDEX('Order Planning'!$F$5:$F$204,MATCH(B183,'Order Planning'!$A$5:$A$204,0)),"")</f>
        <v/>
      </c>
      <c r="F183" s="7"/>
      <c r="G183" s="7"/>
      <c r="L183" s="7">
        <f t="shared" si="1"/>
        <v>0</v>
      </c>
      <c r="M183" s="14">
        <f t="shared" si="2"/>
        <v>0</v>
      </c>
      <c r="N183" s="7"/>
      <c r="O183" s="7">
        <f>IF(N183="Full Process",Settings!$B$6,IF(N183="Assembly Only",Settings!$B$7,0))</f>
        <v>0</v>
      </c>
      <c r="P183" s="14">
        <f t="shared" si="3"/>
        <v>0</v>
      </c>
      <c r="Q183" s="13">
        <f>IF(O183=0,0,MIN(1,L183/O183)*Settings!$B$5)</f>
        <v>0</v>
      </c>
      <c r="R183" s="16"/>
      <c r="S183" s="16"/>
      <c r="U183" s="7"/>
    </row>
    <row r="184" ht="15.75" customHeight="1">
      <c r="A184" s="15"/>
      <c r="B184" s="7"/>
      <c r="C184" s="7" t="str">
        <f t="array" ref="C184">IFERROR(INDEX('Order Planning'!$C$5:$C$204,MATCH(B184,'Order Planning'!$A$5:$A$204,0)),"")</f>
        <v/>
      </c>
      <c r="D184" s="7" t="str">
        <f t="array" ref="D184">IFERROR(INDEX('Order Planning'!$E$5:$E$204,MATCH(B184,'Order Planning'!$A$5:$A$204,0)),"")</f>
        <v/>
      </c>
      <c r="E184" s="7" t="str">
        <f t="array" ref="E184">IFERROR(INDEX('Order Planning'!$F$5:$F$204,MATCH(B184,'Order Planning'!$A$5:$A$204,0)),"")</f>
        <v/>
      </c>
      <c r="F184" s="7"/>
      <c r="G184" s="7"/>
      <c r="L184" s="7">
        <f t="shared" si="1"/>
        <v>0</v>
      </c>
      <c r="M184" s="14">
        <f t="shared" si="2"/>
        <v>0</v>
      </c>
      <c r="N184" s="7"/>
      <c r="O184" s="7">
        <f>IF(N184="Full Process",Settings!$B$6,IF(N184="Assembly Only",Settings!$B$7,0))</f>
        <v>0</v>
      </c>
      <c r="P184" s="14">
        <f t="shared" si="3"/>
        <v>0</v>
      </c>
      <c r="Q184" s="13">
        <f>IF(O184=0,0,MIN(1,L184/O184)*Settings!$B$5)</f>
        <v>0</v>
      </c>
      <c r="R184" s="16"/>
      <c r="S184" s="16"/>
      <c r="U184" s="7"/>
    </row>
    <row r="185" ht="15.75" customHeight="1">
      <c r="A185" s="15"/>
      <c r="B185" s="7"/>
      <c r="C185" s="7" t="str">
        <f t="array" ref="C185">IFERROR(INDEX('Order Planning'!$C$5:$C$204,MATCH(B185,'Order Planning'!$A$5:$A$204,0)),"")</f>
        <v/>
      </c>
      <c r="D185" s="7" t="str">
        <f t="array" ref="D185">IFERROR(INDEX('Order Planning'!$E$5:$E$204,MATCH(B185,'Order Planning'!$A$5:$A$204,0)),"")</f>
        <v/>
      </c>
      <c r="E185" s="7" t="str">
        <f t="array" ref="E185">IFERROR(INDEX('Order Planning'!$F$5:$F$204,MATCH(B185,'Order Planning'!$A$5:$A$204,0)),"")</f>
        <v/>
      </c>
      <c r="F185" s="7"/>
      <c r="G185" s="7"/>
      <c r="L185" s="7">
        <f t="shared" si="1"/>
        <v>0</v>
      </c>
      <c r="M185" s="14">
        <f t="shared" si="2"/>
        <v>0</v>
      </c>
      <c r="N185" s="7"/>
      <c r="O185" s="7">
        <f>IF(N185="Full Process",Settings!$B$6,IF(N185="Assembly Only",Settings!$B$7,0))</f>
        <v>0</v>
      </c>
      <c r="P185" s="14">
        <f t="shared" si="3"/>
        <v>0</v>
      </c>
      <c r="Q185" s="13">
        <f>IF(O185=0,0,MIN(1,L185/O185)*Settings!$B$5)</f>
        <v>0</v>
      </c>
      <c r="R185" s="16"/>
      <c r="S185" s="16"/>
      <c r="U185" s="7"/>
    </row>
    <row r="186" ht="15.75" customHeight="1">
      <c r="A186" s="15"/>
      <c r="B186" s="7"/>
      <c r="C186" s="7" t="str">
        <f t="array" ref="C186">IFERROR(INDEX('Order Planning'!$C$5:$C$204,MATCH(B186,'Order Planning'!$A$5:$A$204,0)),"")</f>
        <v/>
      </c>
      <c r="D186" s="7" t="str">
        <f t="array" ref="D186">IFERROR(INDEX('Order Planning'!$E$5:$E$204,MATCH(B186,'Order Planning'!$A$5:$A$204,0)),"")</f>
        <v/>
      </c>
      <c r="E186" s="7" t="str">
        <f t="array" ref="E186">IFERROR(INDEX('Order Planning'!$F$5:$F$204,MATCH(B186,'Order Planning'!$A$5:$A$204,0)),"")</f>
        <v/>
      </c>
      <c r="F186" s="7"/>
      <c r="G186" s="7"/>
      <c r="L186" s="7">
        <f t="shared" si="1"/>
        <v>0</v>
      </c>
      <c r="M186" s="14">
        <f t="shared" si="2"/>
        <v>0</v>
      </c>
      <c r="N186" s="7"/>
      <c r="O186" s="7">
        <f>IF(N186="Full Process",Settings!$B$6,IF(N186="Assembly Only",Settings!$B$7,0))</f>
        <v>0</v>
      </c>
      <c r="P186" s="14">
        <f t="shared" si="3"/>
        <v>0</v>
      </c>
      <c r="Q186" s="13">
        <f>IF(O186=0,0,MIN(1,L186/O186)*Settings!$B$5)</f>
        <v>0</v>
      </c>
      <c r="R186" s="16"/>
      <c r="S186" s="16"/>
      <c r="U186" s="7"/>
    </row>
    <row r="187" ht="15.75" customHeight="1">
      <c r="A187" s="15"/>
      <c r="B187" s="7"/>
      <c r="C187" s="7" t="str">
        <f t="array" ref="C187">IFERROR(INDEX('Order Planning'!$C$5:$C$204,MATCH(B187,'Order Planning'!$A$5:$A$204,0)),"")</f>
        <v/>
      </c>
      <c r="D187" s="7" t="str">
        <f t="array" ref="D187">IFERROR(INDEX('Order Planning'!$E$5:$E$204,MATCH(B187,'Order Planning'!$A$5:$A$204,0)),"")</f>
        <v/>
      </c>
      <c r="E187" s="7" t="str">
        <f t="array" ref="E187">IFERROR(INDEX('Order Planning'!$F$5:$F$204,MATCH(B187,'Order Planning'!$A$5:$A$204,0)),"")</f>
        <v/>
      </c>
      <c r="F187" s="7"/>
      <c r="G187" s="7"/>
      <c r="L187" s="7">
        <f t="shared" si="1"/>
        <v>0</v>
      </c>
      <c r="M187" s="14">
        <f t="shared" si="2"/>
        <v>0</v>
      </c>
      <c r="N187" s="7"/>
      <c r="O187" s="7">
        <f>IF(N187="Full Process",Settings!$B$6,IF(N187="Assembly Only",Settings!$B$7,0))</f>
        <v>0</v>
      </c>
      <c r="P187" s="14">
        <f t="shared" si="3"/>
        <v>0</v>
      </c>
      <c r="Q187" s="13">
        <f>IF(O187=0,0,MIN(1,L187/O187)*Settings!$B$5)</f>
        <v>0</v>
      </c>
      <c r="R187" s="16"/>
      <c r="S187" s="16"/>
      <c r="U187" s="7"/>
    </row>
    <row r="188" ht="15.75" customHeight="1">
      <c r="A188" s="15"/>
      <c r="B188" s="7"/>
      <c r="C188" s="7" t="str">
        <f t="array" ref="C188">IFERROR(INDEX('Order Planning'!$C$5:$C$204,MATCH(B188,'Order Planning'!$A$5:$A$204,0)),"")</f>
        <v/>
      </c>
      <c r="D188" s="7" t="str">
        <f t="array" ref="D188">IFERROR(INDEX('Order Planning'!$E$5:$E$204,MATCH(B188,'Order Planning'!$A$5:$A$204,0)),"")</f>
        <v/>
      </c>
      <c r="E188" s="7" t="str">
        <f t="array" ref="E188">IFERROR(INDEX('Order Planning'!$F$5:$F$204,MATCH(B188,'Order Planning'!$A$5:$A$204,0)),"")</f>
        <v/>
      </c>
      <c r="F188" s="7"/>
      <c r="G188" s="7"/>
      <c r="L188" s="7">
        <f t="shared" si="1"/>
        <v>0</v>
      </c>
      <c r="M188" s="14">
        <f t="shared" si="2"/>
        <v>0</v>
      </c>
      <c r="N188" s="7"/>
      <c r="O188" s="7">
        <f>IF(N188="Full Process",Settings!$B$6,IF(N188="Assembly Only",Settings!$B$7,0))</f>
        <v>0</v>
      </c>
      <c r="P188" s="14">
        <f t="shared" si="3"/>
        <v>0</v>
      </c>
      <c r="Q188" s="13">
        <f>IF(O188=0,0,MIN(1,L188/O188)*Settings!$B$5)</f>
        <v>0</v>
      </c>
      <c r="R188" s="16"/>
      <c r="S188" s="16"/>
      <c r="U188" s="7"/>
    </row>
    <row r="189" ht="15.75" customHeight="1">
      <c r="A189" s="15"/>
      <c r="B189" s="7"/>
      <c r="C189" s="7" t="str">
        <f t="array" ref="C189">IFERROR(INDEX('Order Planning'!$C$5:$C$204,MATCH(B189,'Order Planning'!$A$5:$A$204,0)),"")</f>
        <v/>
      </c>
      <c r="D189" s="7" t="str">
        <f t="array" ref="D189">IFERROR(INDEX('Order Planning'!$E$5:$E$204,MATCH(B189,'Order Planning'!$A$5:$A$204,0)),"")</f>
        <v/>
      </c>
      <c r="E189" s="7" t="str">
        <f t="array" ref="E189">IFERROR(INDEX('Order Planning'!$F$5:$F$204,MATCH(B189,'Order Planning'!$A$5:$A$204,0)),"")</f>
        <v/>
      </c>
      <c r="F189" s="7"/>
      <c r="G189" s="7"/>
      <c r="L189" s="7">
        <f t="shared" si="1"/>
        <v>0</v>
      </c>
      <c r="M189" s="14">
        <f t="shared" si="2"/>
        <v>0</v>
      </c>
      <c r="N189" s="7"/>
      <c r="O189" s="7">
        <f>IF(N189="Full Process",Settings!$B$6,IF(N189="Assembly Only",Settings!$B$7,0))</f>
        <v>0</v>
      </c>
      <c r="P189" s="14">
        <f t="shared" si="3"/>
        <v>0</v>
      </c>
      <c r="Q189" s="13">
        <f>IF(O189=0,0,MIN(1,L189/O189)*Settings!$B$5)</f>
        <v>0</v>
      </c>
      <c r="R189" s="16"/>
      <c r="S189" s="16"/>
      <c r="U189" s="7"/>
    </row>
    <row r="190" ht="15.75" customHeight="1">
      <c r="A190" s="15"/>
      <c r="B190" s="7"/>
      <c r="C190" s="7" t="str">
        <f t="array" ref="C190">IFERROR(INDEX('Order Planning'!$C$5:$C$204,MATCH(B190,'Order Planning'!$A$5:$A$204,0)),"")</f>
        <v/>
      </c>
      <c r="D190" s="7" t="str">
        <f t="array" ref="D190">IFERROR(INDEX('Order Planning'!$E$5:$E$204,MATCH(B190,'Order Planning'!$A$5:$A$204,0)),"")</f>
        <v/>
      </c>
      <c r="E190" s="7" t="str">
        <f t="array" ref="E190">IFERROR(INDEX('Order Planning'!$F$5:$F$204,MATCH(B190,'Order Planning'!$A$5:$A$204,0)),"")</f>
        <v/>
      </c>
      <c r="F190" s="7"/>
      <c r="G190" s="7"/>
      <c r="L190" s="7">
        <f t="shared" si="1"/>
        <v>0</v>
      </c>
      <c r="M190" s="14">
        <f t="shared" si="2"/>
        <v>0</v>
      </c>
      <c r="N190" s="7"/>
      <c r="O190" s="7">
        <f>IF(N190="Full Process",Settings!$B$6,IF(N190="Assembly Only",Settings!$B$7,0))</f>
        <v>0</v>
      </c>
      <c r="P190" s="14">
        <f t="shared" si="3"/>
        <v>0</v>
      </c>
      <c r="Q190" s="13">
        <f>IF(O190=0,0,MIN(1,L190/O190)*Settings!$B$5)</f>
        <v>0</v>
      </c>
      <c r="R190" s="16"/>
      <c r="S190" s="16"/>
      <c r="U190" s="7"/>
    </row>
    <row r="191" ht="15.75" customHeight="1">
      <c r="A191" s="15"/>
      <c r="B191" s="7"/>
      <c r="C191" s="7" t="str">
        <f t="array" ref="C191">IFERROR(INDEX('Order Planning'!$C$5:$C$204,MATCH(B191,'Order Planning'!$A$5:$A$204,0)),"")</f>
        <v/>
      </c>
      <c r="D191" s="7" t="str">
        <f t="array" ref="D191">IFERROR(INDEX('Order Planning'!$E$5:$E$204,MATCH(B191,'Order Planning'!$A$5:$A$204,0)),"")</f>
        <v/>
      </c>
      <c r="E191" s="7" t="str">
        <f t="array" ref="E191">IFERROR(INDEX('Order Planning'!$F$5:$F$204,MATCH(B191,'Order Planning'!$A$5:$A$204,0)),"")</f>
        <v/>
      </c>
      <c r="F191" s="7"/>
      <c r="G191" s="7"/>
      <c r="L191" s="7">
        <f t="shared" si="1"/>
        <v>0</v>
      </c>
      <c r="M191" s="14">
        <f t="shared" si="2"/>
        <v>0</v>
      </c>
      <c r="N191" s="7"/>
      <c r="O191" s="7">
        <f>IF(N191="Full Process",Settings!$B$6,IF(N191="Assembly Only",Settings!$B$7,0))</f>
        <v>0</v>
      </c>
      <c r="P191" s="14">
        <f t="shared" si="3"/>
        <v>0</v>
      </c>
      <c r="Q191" s="13">
        <f>IF(O191=0,0,MIN(1,L191/O191)*Settings!$B$5)</f>
        <v>0</v>
      </c>
      <c r="R191" s="16"/>
      <c r="S191" s="16"/>
      <c r="U191" s="7"/>
    </row>
    <row r="192" ht="15.75" customHeight="1">
      <c r="A192" s="15"/>
      <c r="B192" s="7"/>
      <c r="C192" s="7" t="str">
        <f t="array" ref="C192">IFERROR(INDEX('Order Planning'!$C$5:$C$204,MATCH(B192,'Order Planning'!$A$5:$A$204,0)),"")</f>
        <v/>
      </c>
      <c r="D192" s="7" t="str">
        <f t="array" ref="D192">IFERROR(INDEX('Order Planning'!$E$5:$E$204,MATCH(B192,'Order Planning'!$A$5:$A$204,0)),"")</f>
        <v/>
      </c>
      <c r="E192" s="7" t="str">
        <f t="array" ref="E192">IFERROR(INDEX('Order Planning'!$F$5:$F$204,MATCH(B192,'Order Planning'!$A$5:$A$204,0)),"")</f>
        <v/>
      </c>
      <c r="F192" s="7"/>
      <c r="G192" s="7"/>
      <c r="L192" s="7">
        <f t="shared" si="1"/>
        <v>0</v>
      </c>
      <c r="M192" s="14">
        <f t="shared" si="2"/>
        <v>0</v>
      </c>
      <c r="N192" s="7"/>
      <c r="O192" s="7">
        <f>IF(N192="Full Process",Settings!$B$6,IF(N192="Assembly Only",Settings!$B$7,0))</f>
        <v>0</v>
      </c>
      <c r="P192" s="14">
        <f t="shared" si="3"/>
        <v>0</v>
      </c>
      <c r="Q192" s="13">
        <f>IF(O192=0,0,MIN(1,L192/O192)*Settings!$B$5)</f>
        <v>0</v>
      </c>
      <c r="R192" s="16"/>
      <c r="S192" s="16"/>
      <c r="U192" s="7"/>
    </row>
    <row r="193" ht="15.75" customHeight="1">
      <c r="A193" s="15"/>
      <c r="B193" s="7"/>
      <c r="C193" s="7" t="str">
        <f t="array" ref="C193">IFERROR(INDEX('Order Planning'!$C$5:$C$204,MATCH(B193,'Order Planning'!$A$5:$A$204,0)),"")</f>
        <v/>
      </c>
      <c r="D193" s="7" t="str">
        <f t="array" ref="D193">IFERROR(INDEX('Order Planning'!$E$5:$E$204,MATCH(B193,'Order Planning'!$A$5:$A$204,0)),"")</f>
        <v/>
      </c>
      <c r="E193" s="7" t="str">
        <f t="array" ref="E193">IFERROR(INDEX('Order Planning'!$F$5:$F$204,MATCH(B193,'Order Planning'!$A$5:$A$204,0)),"")</f>
        <v/>
      </c>
      <c r="F193" s="7"/>
      <c r="G193" s="7"/>
      <c r="L193" s="7">
        <f t="shared" si="1"/>
        <v>0</v>
      </c>
      <c r="M193" s="14">
        <f t="shared" si="2"/>
        <v>0</v>
      </c>
      <c r="N193" s="7"/>
      <c r="O193" s="7">
        <f>IF(N193="Full Process",Settings!$B$6,IF(N193="Assembly Only",Settings!$B$7,0))</f>
        <v>0</v>
      </c>
      <c r="P193" s="14">
        <f t="shared" si="3"/>
        <v>0</v>
      </c>
      <c r="Q193" s="13">
        <f>IF(O193=0,0,MIN(1,L193/O193)*Settings!$B$5)</f>
        <v>0</v>
      </c>
      <c r="R193" s="16"/>
      <c r="S193" s="16"/>
      <c r="U193" s="7"/>
    </row>
    <row r="194" ht="15.75" customHeight="1">
      <c r="A194" s="15"/>
      <c r="B194" s="7"/>
      <c r="C194" s="7" t="str">
        <f t="array" ref="C194">IFERROR(INDEX('Order Planning'!$C$5:$C$204,MATCH(B194,'Order Planning'!$A$5:$A$204,0)),"")</f>
        <v/>
      </c>
      <c r="D194" s="7" t="str">
        <f t="array" ref="D194">IFERROR(INDEX('Order Planning'!$E$5:$E$204,MATCH(B194,'Order Planning'!$A$5:$A$204,0)),"")</f>
        <v/>
      </c>
      <c r="E194" s="7" t="str">
        <f t="array" ref="E194">IFERROR(INDEX('Order Planning'!$F$5:$F$204,MATCH(B194,'Order Planning'!$A$5:$A$204,0)),"")</f>
        <v/>
      </c>
      <c r="F194" s="7"/>
      <c r="G194" s="7"/>
      <c r="L194" s="7">
        <f t="shared" si="1"/>
        <v>0</v>
      </c>
      <c r="M194" s="14">
        <f t="shared" si="2"/>
        <v>0</v>
      </c>
      <c r="N194" s="7"/>
      <c r="O194" s="7">
        <f>IF(N194="Full Process",Settings!$B$6,IF(N194="Assembly Only",Settings!$B$7,0))</f>
        <v>0</v>
      </c>
      <c r="P194" s="14">
        <f t="shared" si="3"/>
        <v>0</v>
      </c>
      <c r="Q194" s="13">
        <f>IF(O194=0,0,MIN(1,L194/O194)*Settings!$B$5)</f>
        <v>0</v>
      </c>
      <c r="R194" s="16"/>
      <c r="S194" s="16"/>
      <c r="U194" s="7"/>
    </row>
    <row r="195" ht="15.75" customHeight="1">
      <c r="A195" s="15"/>
      <c r="B195" s="7"/>
      <c r="C195" s="7" t="str">
        <f t="array" ref="C195">IFERROR(INDEX('Order Planning'!$C$5:$C$204,MATCH(B195,'Order Planning'!$A$5:$A$204,0)),"")</f>
        <v/>
      </c>
      <c r="D195" s="7" t="str">
        <f t="array" ref="D195">IFERROR(INDEX('Order Planning'!$E$5:$E$204,MATCH(B195,'Order Planning'!$A$5:$A$204,0)),"")</f>
        <v/>
      </c>
      <c r="E195" s="7" t="str">
        <f t="array" ref="E195">IFERROR(INDEX('Order Planning'!$F$5:$F$204,MATCH(B195,'Order Planning'!$A$5:$A$204,0)),"")</f>
        <v/>
      </c>
      <c r="F195" s="7"/>
      <c r="G195" s="7"/>
      <c r="L195" s="7">
        <f t="shared" si="1"/>
        <v>0</v>
      </c>
      <c r="M195" s="14">
        <f t="shared" si="2"/>
        <v>0</v>
      </c>
      <c r="N195" s="7"/>
      <c r="O195" s="7">
        <f>IF(N195="Full Process",Settings!$B$6,IF(N195="Assembly Only",Settings!$B$7,0))</f>
        <v>0</v>
      </c>
      <c r="P195" s="14">
        <f t="shared" si="3"/>
        <v>0</v>
      </c>
      <c r="Q195" s="13">
        <f>IF(O195=0,0,MIN(1,L195/O195)*Settings!$B$5)</f>
        <v>0</v>
      </c>
      <c r="R195" s="16"/>
      <c r="S195" s="16"/>
      <c r="U195" s="7"/>
    </row>
    <row r="196" ht="15.75" customHeight="1">
      <c r="A196" s="15"/>
      <c r="B196" s="7"/>
      <c r="C196" s="7" t="str">
        <f t="array" ref="C196">IFERROR(INDEX('Order Planning'!$C$5:$C$204,MATCH(B196,'Order Planning'!$A$5:$A$204,0)),"")</f>
        <v/>
      </c>
      <c r="D196" s="7" t="str">
        <f t="array" ref="D196">IFERROR(INDEX('Order Planning'!$E$5:$E$204,MATCH(B196,'Order Planning'!$A$5:$A$204,0)),"")</f>
        <v/>
      </c>
      <c r="E196" s="7" t="str">
        <f t="array" ref="E196">IFERROR(INDEX('Order Planning'!$F$5:$F$204,MATCH(B196,'Order Planning'!$A$5:$A$204,0)),"")</f>
        <v/>
      </c>
      <c r="F196" s="7"/>
      <c r="G196" s="7"/>
      <c r="L196" s="7">
        <f t="shared" si="1"/>
        <v>0</v>
      </c>
      <c r="M196" s="14">
        <f t="shared" si="2"/>
        <v>0</v>
      </c>
      <c r="N196" s="7"/>
      <c r="O196" s="7">
        <f>IF(N196="Full Process",Settings!$B$6,IF(N196="Assembly Only",Settings!$B$7,0))</f>
        <v>0</v>
      </c>
      <c r="P196" s="14">
        <f t="shared" si="3"/>
        <v>0</v>
      </c>
      <c r="Q196" s="13">
        <f>IF(O196=0,0,MIN(1,L196/O196)*Settings!$B$5)</f>
        <v>0</v>
      </c>
      <c r="R196" s="16"/>
      <c r="S196" s="16"/>
      <c r="U196" s="7"/>
    </row>
    <row r="197" ht="15.75" customHeight="1">
      <c r="A197" s="15"/>
      <c r="B197" s="7"/>
      <c r="C197" s="7" t="str">
        <f t="array" ref="C197">IFERROR(INDEX('Order Planning'!$C$5:$C$204,MATCH(B197,'Order Planning'!$A$5:$A$204,0)),"")</f>
        <v/>
      </c>
      <c r="D197" s="7" t="str">
        <f t="array" ref="D197">IFERROR(INDEX('Order Planning'!$E$5:$E$204,MATCH(B197,'Order Planning'!$A$5:$A$204,0)),"")</f>
        <v/>
      </c>
      <c r="E197" s="7" t="str">
        <f t="array" ref="E197">IFERROR(INDEX('Order Planning'!$F$5:$F$204,MATCH(B197,'Order Planning'!$A$5:$A$204,0)),"")</f>
        <v/>
      </c>
      <c r="F197" s="7"/>
      <c r="G197" s="7"/>
      <c r="L197" s="7">
        <f t="shared" si="1"/>
        <v>0</v>
      </c>
      <c r="M197" s="14">
        <f t="shared" si="2"/>
        <v>0</v>
      </c>
      <c r="N197" s="7"/>
      <c r="O197" s="7">
        <f>IF(N197="Full Process",Settings!$B$6,IF(N197="Assembly Only",Settings!$B$7,0))</f>
        <v>0</v>
      </c>
      <c r="P197" s="14">
        <f t="shared" si="3"/>
        <v>0</v>
      </c>
      <c r="Q197" s="13">
        <f>IF(O197=0,0,MIN(1,L197/O197)*Settings!$B$5)</f>
        <v>0</v>
      </c>
      <c r="R197" s="16"/>
      <c r="S197" s="16"/>
      <c r="U197" s="7"/>
    </row>
    <row r="198" ht="15.75" customHeight="1">
      <c r="A198" s="15"/>
      <c r="B198" s="7"/>
      <c r="C198" s="7" t="str">
        <f t="array" ref="C198">IFERROR(INDEX('Order Planning'!$C$5:$C$204,MATCH(B198,'Order Planning'!$A$5:$A$204,0)),"")</f>
        <v/>
      </c>
      <c r="D198" s="7" t="str">
        <f t="array" ref="D198">IFERROR(INDEX('Order Planning'!$E$5:$E$204,MATCH(B198,'Order Planning'!$A$5:$A$204,0)),"")</f>
        <v/>
      </c>
      <c r="E198" s="7" t="str">
        <f t="array" ref="E198">IFERROR(INDEX('Order Planning'!$F$5:$F$204,MATCH(B198,'Order Planning'!$A$5:$A$204,0)),"")</f>
        <v/>
      </c>
      <c r="F198" s="7"/>
      <c r="G198" s="7"/>
      <c r="L198" s="7">
        <f t="shared" si="1"/>
        <v>0</v>
      </c>
      <c r="M198" s="14">
        <f t="shared" si="2"/>
        <v>0</v>
      </c>
      <c r="N198" s="7"/>
      <c r="O198" s="7">
        <f>IF(N198="Full Process",Settings!$B$6,IF(N198="Assembly Only",Settings!$B$7,0))</f>
        <v>0</v>
      </c>
      <c r="P198" s="14">
        <f t="shared" si="3"/>
        <v>0</v>
      </c>
      <c r="Q198" s="13">
        <f>IF(O198=0,0,MIN(1,L198/O198)*Settings!$B$5)</f>
        <v>0</v>
      </c>
      <c r="R198" s="16"/>
      <c r="S198" s="16"/>
      <c r="U198" s="7"/>
    </row>
    <row r="199" ht="15.75" customHeight="1">
      <c r="A199" s="15"/>
      <c r="B199" s="7"/>
      <c r="C199" s="7" t="str">
        <f t="array" ref="C199">IFERROR(INDEX('Order Planning'!$C$5:$C$204,MATCH(B199,'Order Planning'!$A$5:$A$204,0)),"")</f>
        <v/>
      </c>
      <c r="D199" s="7" t="str">
        <f t="array" ref="D199">IFERROR(INDEX('Order Planning'!$E$5:$E$204,MATCH(B199,'Order Planning'!$A$5:$A$204,0)),"")</f>
        <v/>
      </c>
      <c r="E199" s="7" t="str">
        <f t="array" ref="E199">IFERROR(INDEX('Order Planning'!$F$5:$F$204,MATCH(B199,'Order Planning'!$A$5:$A$204,0)),"")</f>
        <v/>
      </c>
      <c r="F199" s="7"/>
      <c r="G199" s="7"/>
      <c r="L199" s="7">
        <f t="shared" si="1"/>
        <v>0</v>
      </c>
      <c r="M199" s="14">
        <f t="shared" si="2"/>
        <v>0</v>
      </c>
      <c r="N199" s="7"/>
      <c r="O199" s="7">
        <f>IF(N199="Full Process",Settings!$B$6,IF(N199="Assembly Only",Settings!$B$7,0))</f>
        <v>0</v>
      </c>
      <c r="P199" s="14">
        <f t="shared" si="3"/>
        <v>0</v>
      </c>
      <c r="Q199" s="13">
        <f>IF(O199=0,0,MIN(1,L199/O199)*Settings!$B$5)</f>
        <v>0</v>
      </c>
      <c r="R199" s="16"/>
      <c r="S199" s="16"/>
      <c r="U199" s="7"/>
    </row>
    <row r="200" ht="15.75" customHeight="1">
      <c r="A200" s="15"/>
      <c r="B200" s="7"/>
      <c r="C200" s="7" t="str">
        <f t="array" ref="C200">IFERROR(INDEX('Order Planning'!$C$5:$C$204,MATCH(B200,'Order Planning'!$A$5:$A$204,0)),"")</f>
        <v/>
      </c>
      <c r="D200" s="7" t="str">
        <f t="array" ref="D200">IFERROR(INDEX('Order Planning'!$E$5:$E$204,MATCH(B200,'Order Planning'!$A$5:$A$204,0)),"")</f>
        <v/>
      </c>
      <c r="E200" s="7" t="str">
        <f t="array" ref="E200">IFERROR(INDEX('Order Planning'!$F$5:$F$204,MATCH(B200,'Order Planning'!$A$5:$A$204,0)),"")</f>
        <v/>
      </c>
      <c r="F200" s="7"/>
      <c r="G200" s="7"/>
      <c r="L200" s="7">
        <f t="shared" si="1"/>
        <v>0</v>
      </c>
      <c r="M200" s="14">
        <f t="shared" si="2"/>
        <v>0</v>
      </c>
      <c r="N200" s="7"/>
      <c r="O200" s="7">
        <f>IF(N200="Full Process",Settings!$B$6,IF(N200="Assembly Only",Settings!$B$7,0))</f>
        <v>0</v>
      </c>
      <c r="P200" s="14">
        <f t="shared" si="3"/>
        <v>0</v>
      </c>
      <c r="Q200" s="13">
        <f>IF(O200=0,0,MIN(1,L200/O200)*Settings!$B$5)</f>
        <v>0</v>
      </c>
      <c r="R200" s="16"/>
      <c r="S200" s="16"/>
      <c r="U200" s="7"/>
    </row>
    <row r="201" ht="15.75" customHeight="1">
      <c r="A201" s="15"/>
      <c r="B201" s="7"/>
      <c r="C201" s="7" t="str">
        <f t="array" ref="C201">IFERROR(INDEX('Order Planning'!$C$5:$C$204,MATCH(B201,'Order Planning'!$A$5:$A$204,0)),"")</f>
        <v/>
      </c>
      <c r="D201" s="7" t="str">
        <f t="array" ref="D201">IFERROR(INDEX('Order Planning'!$E$5:$E$204,MATCH(B201,'Order Planning'!$A$5:$A$204,0)),"")</f>
        <v/>
      </c>
      <c r="E201" s="7" t="str">
        <f t="array" ref="E201">IFERROR(INDEX('Order Planning'!$F$5:$F$204,MATCH(B201,'Order Planning'!$A$5:$A$204,0)),"")</f>
        <v/>
      </c>
      <c r="F201" s="7"/>
      <c r="G201" s="7"/>
      <c r="L201" s="7">
        <f t="shared" si="1"/>
        <v>0</v>
      </c>
      <c r="M201" s="14">
        <f t="shared" si="2"/>
        <v>0</v>
      </c>
      <c r="N201" s="7"/>
      <c r="O201" s="7">
        <f>IF(N201="Full Process",Settings!$B$6,IF(N201="Assembly Only",Settings!$B$7,0))</f>
        <v>0</v>
      </c>
      <c r="P201" s="14">
        <f t="shared" si="3"/>
        <v>0</v>
      </c>
      <c r="Q201" s="13">
        <f>IF(O201=0,0,MIN(1,L201/O201)*Settings!$B$5)</f>
        <v>0</v>
      </c>
      <c r="R201" s="16"/>
      <c r="S201" s="16"/>
      <c r="U201" s="7"/>
    </row>
    <row r="202" ht="15.75" customHeight="1">
      <c r="A202" s="15"/>
      <c r="B202" s="7"/>
      <c r="C202" s="7" t="str">
        <f t="array" ref="C202">IFERROR(INDEX('Order Planning'!$C$5:$C$204,MATCH(B202,'Order Planning'!$A$5:$A$204,0)),"")</f>
        <v/>
      </c>
      <c r="D202" s="7" t="str">
        <f t="array" ref="D202">IFERROR(INDEX('Order Planning'!$E$5:$E$204,MATCH(B202,'Order Planning'!$A$5:$A$204,0)),"")</f>
        <v/>
      </c>
      <c r="E202" s="7" t="str">
        <f t="array" ref="E202">IFERROR(INDEX('Order Planning'!$F$5:$F$204,MATCH(B202,'Order Planning'!$A$5:$A$204,0)),"")</f>
        <v/>
      </c>
      <c r="F202" s="7"/>
      <c r="G202" s="7"/>
      <c r="L202" s="7">
        <f t="shared" si="1"/>
        <v>0</v>
      </c>
      <c r="M202" s="14">
        <f t="shared" si="2"/>
        <v>0</v>
      </c>
      <c r="N202" s="7"/>
      <c r="O202" s="7">
        <f>IF(N202="Full Process",Settings!$B$6,IF(N202="Assembly Only",Settings!$B$7,0))</f>
        <v>0</v>
      </c>
      <c r="P202" s="14">
        <f t="shared" si="3"/>
        <v>0</v>
      </c>
      <c r="Q202" s="13">
        <f>IF(O202=0,0,MIN(1,L202/O202)*Settings!$B$5)</f>
        <v>0</v>
      </c>
      <c r="R202" s="16"/>
      <c r="S202" s="16"/>
      <c r="U202" s="7"/>
    </row>
    <row r="203" ht="15.75" customHeight="1">
      <c r="A203" s="15"/>
      <c r="B203" s="7"/>
      <c r="C203" s="7" t="str">
        <f t="array" ref="C203">IFERROR(INDEX('Order Planning'!$C$5:$C$204,MATCH(B203,'Order Planning'!$A$5:$A$204,0)),"")</f>
        <v/>
      </c>
      <c r="D203" s="7" t="str">
        <f t="array" ref="D203">IFERROR(INDEX('Order Planning'!$E$5:$E$204,MATCH(B203,'Order Planning'!$A$5:$A$204,0)),"")</f>
        <v/>
      </c>
      <c r="E203" s="7" t="str">
        <f t="array" ref="E203">IFERROR(INDEX('Order Planning'!$F$5:$F$204,MATCH(B203,'Order Planning'!$A$5:$A$204,0)),"")</f>
        <v/>
      </c>
      <c r="F203" s="7"/>
      <c r="G203" s="7"/>
      <c r="L203" s="7">
        <f t="shared" si="1"/>
        <v>0</v>
      </c>
      <c r="M203" s="14">
        <f t="shared" si="2"/>
        <v>0</v>
      </c>
      <c r="N203" s="7"/>
      <c r="O203" s="7">
        <f>IF(N203="Full Process",Settings!$B$6,IF(N203="Assembly Only",Settings!$B$7,0))</f>
        <v>0</v>
      </c>
      <c r="P203" s="14">
        <f t="shared" si="3"/>
        <v>0</v>
      </c>
      <c r="Q203" s="13">
        <f>IF(O203=0,0,MIN(1,L203/O203)*Settings!$B$5)</f>
        <v>0</v>
      </c>
      <c r="R203" s="16"/>
      <c r="S203" s="16"/>
      <c r="U203" s="7"/>
    </row>
    <row r="204" ht="15.75" customHeight="1">
      <c r="A204" s="15"/>
      <c r="B204" s="7"/>
      <c r="C204" s="7" t="str">
        <f t="array" ref="C204">IFERROR(INDEX('Order Planning'!$C$5:$C$204,MATCH(B204,'Order Planning'!$A$5:$A$204,0)),"")</f>
        <v/>
      </c>
      <c r="D204" s="7" t="str">
        <f t="array" ref="D204">IFERROR(INDEX('Order Planning'!$E$5:$E$204,MATCH(B204,'Order Planning'!$A$5:$A$204,0)),"")</f>
        <v/>
      </c>
      <c r="E204" s="7" t="str">
        <f t="array" ref="E204">IFERROR(INDEX('Order Planning'!$F$5:$F$204,MATCH(B204,'Order Planning'!$A$5:$A$204,0)),"")</f>
        <v/>
      </c>
      <c r="F204" s="7"/>
      <c r="G204" s="7"/>
      <c r="L204" s="7">
        <f t="shared" si="1"/>
        <v>0</v>
      </c>
      <c r="M204" s="14">
        <f t="shared" si="2"/>
        <v>0</v>
      </c>
      <c r="N204" s="7"/>
      <c r="O204" s="7">
        <f>IF(N204="Full Process",Settings!$B$6,IF(N204="Assembly Only",Settings!$B$7,0))</f>
        <v>0</v>
      </c>
      <c r="P204" s="14">
        <f t="shared" si="3"/>
        <v>0</v>
      </c>
      <c r="Q204" s="13">
        <f>IF(O204=0,0,MIN(1,L204/O204)*Settings!$B$5)</f>
        <v>0</v>
      </c>
      <c r="R204" s="16"/>
      <c r="S204" s="16"/>
      <c r="U204" s="7"/>
    </row>
    <row r="205" ht="15.75" customHeight="1">
      <c r="A205" s="15"/>
      <c r="B205" s="7"/>
      <c r="C205" s="7" t="str">
        <f t="array" ref="C205">IFERROR(INDEX('Order Planning'!$C$5:$C$204,MATCH(B205,'Order Planning'!$A$5:$A$204,0)),"")</f>
        <v/>
      </c>
      <c r="D205" s="7" t="str">
        <f t="array" ref="D205">IFERROR(INDEX('Order Planning'!$E$5:$E$204,MATCH(B205,'Order Planning'!$A$5:$A$204,0)),"")</f>
        <v/>
      </c>
      <c r="E205" s="7" t="str">
        <f t="array" ref="E205">IFERROR(INDEX('Order Planning'!$F$5:$F$204,MATCH(B205,'Order Planning'!$A$5:$A$204,0)),"")</f>
        <v/>
      </c>
      <c r="F205" s="7"/>
      <c r="G205" s="7"/>
      <c r="L205" s="7">
        <f t="shared" si="1"/>
        <v>0</v>
      </c>
      <c r="M205" s="14">
        <f t="shared" si="2"/>
        <v>0</v>
      </c>
      <c r="N205" s="7"/>
      <c r="O205" s="7">
        <f>IF(N205="Full Process",Settings!$B$6,IF(N205="Assembly Only",Settings!$B$7,0))</f>
        <v>0</v>
      </c>
      <c r="P205" s="14">
        <f t="shared" si="3"/>
        <v>0</v>
      </c>
      <c r="Q205" s="13">
        <f>IF(O205=0,0,MIN(1,L205/O205)*Settings!$B$5)</f>
        <v>0</v>
      </c>
      <c r="R205" s="16"/>
      <c r="S205" s="16"/>
      <c r="U205" s="7"/>
    </row>
    <row r="206" ht="15.75" customHeight="1">
      <c r="A206" s="15"/>
      <c r="B206" s="7"/>
      <c r="C206" s="7" t="str">
        <f t="array" ref="C206">IFERROR(INDEX('Order Planning'!$C$5:$C$204,MATCH(B206,'Order Planning'!$A$5:$A$204,0)),"")</f>
        <v/>
      </c>
      <c r="D206" s="7" t="str">
        <f t="array" ref="D206">IFERROR(INDEX('Order Planning'!$E$5:$E$204,MATCH(B206,'Order Planning'!$A$5:$A$204,0)),"")</f>
        <v/>
      </c>
      <c r="E206" s="7" t="str">
        <f t="array" ref="E206">IFERROR(INDEX('Order Planning'!$F$5:$F$204,MATCH(B206,'Order Planning'!$A$5:$A$204,0)),"")</f>
        <v/>
      </c>
      <c r="F206" s="7"/>
      <c r="G206" s="7"/>
      <c r="L206" s="7">
        <f t="shared" si="1"/>
        <v>0</v>
      </c>
      <c r="M206" s="14">
        <f t="shared" si="2"/>
        <v>0</v>
      </c>
      <c r="N206" s="7"/>
      <c r="O206" s="7">
        <f>IF(N206="Full Process",Settings!$B$6,IF(N206="Assembly Only",Settings!$B$7,0))</f>
        <v>0</v>
      </c>
      <c r="P206" s="14">
        <f t="shared" si="3"/>
        <v>0</v>
      </c>
      <c r="Q206" s="13">
        <f>IF(O206=0,0,MIN(1,L206/O206)*Settings!$B$5)</f>
        <v>0</v>
      </c>
      <c r="R206" s="16"/>
      <c r="S206" s="16"/>
      <c r="U206" s="7"/>
    </row>
    <row r="207" ht="15.75" customHeight="1">
      <c r="A207" s="15"/>
      <c r="B207" s="7"/>
      <c r="C207" s="7" t="str">
        <f t="array" ref="C207">IFERROR(INDEX('Order Planning'!$C$5:$C$204,MATCH(B207,'Order Planning'!$A$5:$A$204,0)),"")</f>
        <v/>
      </c>
      <c r="D207" s="7" t="str">
        <f t="array" ref="D207">IFERROR(INDEX('Order Planning'!$E$5:$E$204,MATCH(B207,'Order Planning'!$A$5:$A$204,0)),"")</f>
        <v/>
      </c>
      <c r="E207" s="7" t="str">
        <f t="array" ref="E207">IFERROR(INDEX('Order Planning'!$F$5:$F$204,MATCH(B207,'Order Planning'!$A$5:$A$204,0)),"")</f>
        <v/>
      </c>
      <c r="F207" s="7"/>
      <c r="G207" s="7"/>
      <c r="L207" s="7">
        <f t="shared" si="1"/>
        <v>0</v>
      </c>
      <c r="M207" s="14">
        <f t="shared" si="2"/>
        <v>0</v>
      </c>
      <c r="N207" s="7"/>
      <c r="O207" s="7">
        <f>IF(N207="Full Process",Settings!$B$6,IF(N207="Assembly Only",Settings!$B$7,0))</f>
        <v>0</v>
      </c>
      <c r="P207" s="14">
        <f t="shared" si="3"/>
        <v>0</v>
      </c>
      <c r="Q207" s="13">
        <f>IF(O207=0,0,MIN(1,L207/O207)*Settings!$B$5)</f>
        <v>0</v>
      </c>
      <c r="R207" s="16"/>
      <c r="S207" s="16"/>
      <c r="U207" s="7"/>
    </row>
    <row r="208" ht="15.75" customHeight="1">
      <c r="A208" s="15"/>
      <c r="B208" s="7"/>
      <c r="C208" s="7" t="str">
        <f t="array" ref="C208">IFERROR(INDEX('Order Planning'!$C$5:$C$204,MATCH(B208,'Order Planning'!$A$5:$A$204,0)),"")</f>
        <v/>
      </c>
      <c r="D208" s="7" t="str">
        <f t="array" ref="D208">IFERROR(INDEX('Order Planning'!$E$5:$E$204,MATCH(B208,'Order Planning'!$A$5:$A$204,0)),"")</f>
        <v/>
      </c>
      <c r="E208" s="7" t="str">
        <f t="array" ref="E208">IFERROR(INDEX('Order Planning'!$F$5:$F$204,MATCH(B208,'Order Planning'!$A$5:$A$204,0)),"")</f>
        <v/>
      </c>
      <c r="F208" s="7"/>
      <c r="G208" s="7"/>
      <c r="L208" s="7">
        <f t="shared" si="1"/>
        <v>0</v>
      </c>
      <c r="M208" s="14">
        <f t="shared" si="2"/>
        <v>0</v>
      </c>
      <c r="N208" s="7"/>
      <c r="O208" s="7">
        <f>IF(N208="Full Process",Settings!$B$6,IF(N208="Assembly Only",Settings!$B$7,0))</f>
        <v>0</v>
      </c>
      <c r="P208" s="14">
        <f t="shared" si="3"/>
        <v>0</v>
      </c>
      <c r="Q208" s="13">
        <f>IF(O208=0,0,MIN(1,L208/O208)*Settings!$B$5)</f>
        <v>0</v>
      </c>
      <c r="R208" s="16"/>
      <c r="S208" s="16"/>
      <c r="U208" s="7"/>
    </row>
    <row r="209" ht="15.75" customHeight="1">
      <c r="A209" s="15"/>
      <c r="B209" s="7"/>
      <c r="C209" s="7" t="str">
        <f t="array" ref="C209">IFERROR(INDEX('Order Planning'!$C$5:$C$204,MATCH(B209,'Order Planning'!$A$5:$A$204,0)),"")</f>
        <v/>
      </c>
      <c r="D209" s="7" t="str">
        <f t="array" ref="D209">IFERROR(INDEX('Order Planning'!$E$5:$E$204,MATCH(B209,'Order Planning'!$A$5:$A$204,0)),"")</f>
        <v/>
      </c>
      <c r="E209" s="7" t="str">
        <f t="array" ref="E209">IFERROR(INDEX('Order Planning'!$F$5:$F$204,MATCH(B209,'Order Planning'!$A$5:$A$204,0)),"")</f>
        <v/>
      </c>
      <c r="F209" s="7"/>
      <c r="G209" s="7"/>
      <c r="L209" s="7">
        <f t="shared" si="1"/>
        <v>0</v>
      </c>
      <c r="M209" s="14">
        <f t="shared" si="2"/>
        <v>0</v>
      </c>
      <c r="N209" s="7"/>
      <c r="O209" s="7">
        <f>IF(N209="Full Process",Settings!$B$6,IF(N209="Assembly Only",Settings!$B$7,0))</f>
        <v>0</v>
      </c>
      <c r="P209" s="14">
        <f t="shared" si="3"/>
        <v>0</v>
      </c>
      <c r="Q209" s="13">
        <f>IF(O209=0,0,MIN(1,L209/O209)*Settings!$B$5)</f>
        <v>0</v>
      </c>
      <c r="R209" s="16"/>
      <c r="S209" s="16"/>
      <c r="U209" s="7"/>
    </row>
    <row r="210" ht="15.75" customHeight="1">
      <c r="A210" s="15"/>
      <c r="B210" s="7"/>
      <c r="C210" s="7" t="str">
        <f t="array" ref="C210">IFERROR(INDEX('Order Planning'!$C$5:$C$204,MATCH(B210,'Order Planning'!$A$5:$A$204,0)),"")</f>
        <v/>
      </c>
      <c r="D210" s="7" t="str">
        <f t="array" ref="D210">IFERROR(INDEX('Order Planning'!$E$5:$E$204,MATCH(B210,'Order Planning'!$A$5:$A$204,0)),"")</f>
        <v/>
      </c>
      <c r="E210" s="7" t="str">
        <f t="array" ref="E210">IFERROR(INDEX('Order Planning'!$F$5:$F$204,MATCH(B210,'Order Planning'!$A$5:$A$204,0)),"")</f>
        <v/>
      </c>
      <c r="F210" s="7"/>
      <c r="G210" s="7"/>
      <c r="L210" s="7">
        <f t="shared" si="1"/>
        <v>0</v>
      </c>
      <c r="M210" s="14">
        <f t="shared" si="2"/>
        <v>0</v>
      </c>
      <c r="N210" s="7"/>
      <c r="O210" s="7">
        <f>IF(N210="Full Process",Settings!$B$6,IF(N210="Assembly Only",Settings!$B$7,0))</f>
        <v>0</v>
      </c>
      <c r="P210" s="14">
        <f t="shared" si="3"/>
        <v>0</v>
      </c>
      <c r="Q210" s="13">
        <f>IF(O210=0,0,MIN(1,L210/O210)*Settings!$B$5)</f>
        <v>0</v>
      </c>
      <c r="R210" s="16"/>
      <c r="S210" s="16"/>
      <c r="U210" s="7"/>
    </row>
    <row r="211" ht="15.75" customHeight="1">
      <c r="A211" s="15"/>
      <c r="B211" s="7"/>
      <c r="C211" s="7" t="str">
        <f t="array" ref="C211">IFERROR(INDEX('Order Planning'!$C$5:$C$204,MATCH(B211,'Order Planning'!$A$5:$A$204,0)),"")</f>
        <v/>
      </c>
      <c r="D211" s="7" t="str">
        <f t="array" ref="D211">IFERROR(INDEX('Order Planning'!$E$5:$E$204,MATCH(B211,'Order Planning'!$A$5:$A$204,0)),"")</f>
        <v/>
      </c>
      <c r="E211" s="7" t="str">
        <f t="array" ref="E211">IFERROR(INDEX('Order Planning'!$F$5:$F$204,MATCH(B211,'Order Planning'!$A$5:$A$204,0)),"")</f>
        <v/>
      </c>
      <c r="F211" s="7"/>
      <c r="G211" s="7"/>
      <c r="L211" s="7">
        <f t="shared" si="1"/>
        <v>0</v>
      </c>
      <c r="M211" s="14">
        <f t="shared" si="2"/>
        <v>0</v>
      </c>
      <c r="N211" s="7"/>
      <c r="O211" s="7">
        <f>IF(N211="Full Process",Settings!$B$6,IF(N211="Assembly Only",Settings!$B$7,0))</f>
        <v>0</v>
      </c>
      <c r="P211" s="14">
        <f t="shared" si="3"/>
        <v>0</v>
      </c>
      <c r="Q211" s="13">
        <f>IF(O211=0,0,MIN(1,L211/O211)*Settings!$B$5)</f>
        <v>0</v>
      </c>
      <c r="R211" s="16"/>
      <c r="S211" s="16"/>
      <c r="U211" s="7"/>
    </row>
    <row r="212" ht="15.75" customHeight="1">
      <c r="A212" s="15"/>
      <c r="B212" s="7"/>
      <c r="C212" s="7" t="str">
        <f t="array" ref="C212">IFERROR(INDEX('Order Planning'!$C$5:$C$204,MATCH(B212,'Order Planning'!$A$5:$A$204,0)),"")</f>
        <v/>
      </c>
      <c r="D212" s="7" t="str">
        <f t="array" ref="D212">IFERROR(INDEX('Order Planning'!$E$5:$E$204,MATCH(B212,'Order Planning'!$A$5:$A$204,0)),"")</f>
        <v/>
      </c>
      <c r="E212" s="7" t="str">
        <f t="array" ref="E212">IFERROR(INDEX('Order Planning'!$F$5:$F$204,MATCH(B212,'Order Planning'!$A$5:$A$204,0)),"")</f>
        <v/>
      </c>
      <c r="F212" s="7"/>
      <c r="G212" s="7"/>
      <c r="L212" s="7">
        <f t="shared" si="1"/>
        <v>0</v>
      </c>
      <c r="M212" s="14">
        <f t="shared" si="2"/>
        <v>0</v>
      </c>
      <c r="N212" s="7"/>
      <c r="O212" s="7">
        <f>IF(N212="Full Process",Settings!$B$6,IF(N212="Assembly Only",Settings!$B$7,0))</f>
        <v>0</v>
      </c>
      <c r="P212" s="14">
        <f t="shared" si="3"/>
        <v>0</v>
      </c>
      <c r="Q212" s="13">
        <f>IF(O212=0,0,MIN(1,L212/O212)*Settings!$B$5)</f>
        <v>0</v>
      </c>
      <c r="R212" s="16"/>
      <c r="S212" s="16"/>
      <c r="U212" s="7"/>
    </row>
    <row r="213" ht="15.75" customHeight="1">
      <c r="A213" s="15"/>
      <c r="B213" s="7"/>
      <c r="C213" s="7" t="str">
        <f t="array" ref="C213">IFERROR(INDEX('Order Planning'!$C$5:$C$204,MATCH(B213,'Order Planning'!$A$5:$A$204,0)),"")</f>
        <v/>
      </c>
      <c r="D213" s="7" t="str">
        <f t="array" ref="D213">IFERROR(INDEX('Order Planning'!$E$5:$E$204,MATCH(B213,'Order Planning'!$A$5:$A$204,0)),"")</f>
        <v/>
      </c>
      <c r="E213" s="7" t="str">
        <f t="array" ref="E213">IFERROR(INDEX('Order Planning'!$F$5:$F$204,MATCH(B213,'Order Planning'!$A$5:$A$204,0)),"")</f>
        <v/>
      </c>
      <c r="F213" s="7"/>
      <c r="G213" s="7"/>
      <c r="L213" s="7">
        <f t="shared" si="1"/>
        <v>0</v>
      </c>
      <c r="M213" s="14">
        <f t="shared" si="2"/>
        <v>0</v>
      </c>
      <c r="N213" s="7"/>
      <c r="O213" s="7">
        <f>IF(N213="Full Process",Settings!$B$6,IF(N213="Assembly Only",Settings!$B$7,0))</f>
        <v>0</v>
      </c>
      <c r="P213" s="14">
        <f t="shared" si="3"/>
        <v>0</v>
      </c>
      <c r="Q213" s="13">
        <f>IF(O213=0,0,MIN(1,L213/O213)*Settings!$B$5)</f>
        <v>0</v>
      </c>
      <c r="R213" s="16"/>
      <c r="S213" s="16"/>
      <c r="U213" s="7"/>
    </row>
    <row r="214" ht="15.75" customHeight="1">
      <c r="A214" s="15"/>
      <c r="B214" s="7"/>
      <c r="C214" s="7" t="str">
        <f t="array" ref="C214">IFERROR(INDEX('Order Planning'!$C$5:$C$204,MATCH(B214,'Order Planning'!$A$5:$A$204,0)),"")</f>
        <v/>
      </c>
      <c r="D214" s="7" t="str">
        <f t="array" ref="D214">IFERROR(INDEX('Order Planning'!$E$5:$E$204,MATCH(B214,'Order Planning'!$A$5:$A$204,0)),"")</f>
        <v/>
      </c>
      <c r="E214" s="7" t="str">
        <f t="array" ref="E214">IFERROR(INDEX('Order Planning'!$F$5:$F$204,MATCH(B214,'Order Planning'!$A$5:$A$204,0)),"")</f>
        <v/>
      </c>
      <c r="F214" s="7"/>
      <c r="G214" s="7"/>
      <c r="L214" s="7">
        <f t="shared" si="1"/>
        <v>0</v>
      </c>
      <c r="M214" s="14">
        <f t="shared" si="2"/>
        <v>0</v>
      </c>
      <c r="N214" s="7"/>
      <c r="O214" s="7">
        <f>IF(N214="Full Process",Settings!$B$6,IF(N214="Assembly Only",Settings!$B$7,0))</f>
        <v>0</v>
      </c>
      <c r="P214" s="14">
        <f t="shared" si="3"/>
        <v>0</v>
      </c>
      <c r="Q214" s="13">
        <f>IF(O214=0,0,MIN(1,L214/O214)*Settings!$B$5)</f>
        <v>0</v>
      </c>
      <c r="R214" s="16"/>
      <c r="S214" s="16"/>
      <c r="U214" s="7"/>
    </row>
    <row r="215" ht="15.75" customHeight="1">
      <c r="A215" s="15"/>
      <c r="B215" s="7"/>
      <c r="C215" s="7" t="str">
        <f t="array" ref="C215">IFERROR(INDEX('Order Planning'!$C$5:$C$204,MATCH(B215,'Order Planning'!$A$5:$A$204,0)),"")</f>
        <v/>
      </c>
      <c r="D215" s="7" t="str">
        <f t="array" ref="D215">IFERROR(INDEX('Order Planning'!$E$5:$E$204,MATCH(B215,'Order Planning'!$A$5:$A$204,0)),"")</f>
        <v/>
      </c>
      <c r="E215" s="7" t="str">
        <f t="array" ref="E215">IFERROR(INDEX('Order Planning'!$F$5:$F$204,MATCH(B215,'Order Planning'!$A$5:$A$204,0)),"")</f>
        <v/>
      </c>
      <c r="F215" s="7"/>
      <c r="G215" s="7"/>
      <c r="L215" s="7">
        <f t="shared" si="1"/>
        <v>0</v>
      </c>
      <c r="M215" s="14">
        <f t="shared" si="2"/>
        <v>0</v>
      </c>
      <c r="N215" s="7"/>
      <c r="O215" s="7">
        <f>IF(N215="Full Process",Settings!$B$6,IF(N215="Assembly Only",Settings!$B$7,0))</f>
        <v>0</v>
      </c>
      <c r="P215" s="14">
        <f t="shared" si="3"/>
        <v>0</v>
      </c>
      <c r="Q215" s="13">
        <f>IF(O215=0,0,MIN(1,L215/O215)*Settings!$B$5)</f>
        <v>0</v>
      </c>
      <c r="R215" s="16"/>
      <c r="S215" s="16"/>
      <c r="U215" s="7"/>
    </row>
    <row r="216" ht="15.75" customHeight="1">
      <c r="A216" s="15"/>
      <c r="B216" s="7"/>
      <c r="C216" s="7" t="str">
        <f t="array" ref="C216">IFERROR(INDEX('Order Planning'!$C$5:$C$204,MATCH(B216,'Order Planning'!$A$5:$A$204,0)),"")</f>
        <v/>
      </c>
      <c r="D216" s="7" t="str">
        <f t="array" ref="D216">IFERROR(INDEX('Order Planning'!$E$5:$E$204,MATCH(B216,'Order Planning'!$A$5:$A$204,0)),"")</f>
        <v/>
      </c>
      <c r="E216" s="7" t="str">
        <f t="array" ref="E216">IFERROR(INDEX('Order Planning'!$F$5:$F$204,MATCH(B216,'Order Planning'!$A$5:$A$204,0)),"")</f>
        <v/>
      </c>
      <c r="F216" s="7"/>
      <c r="G216" s="7"/>
      <c r="L216" s="7">
        <f t="shared" si="1"/>
        <v>0</v>
      </c>
      <c r="M216" s="14">
        <f t="shared" si="2"/>
        <v>0</v>
      </c>
      <c r="N216" s="7"/>
      <c r="O216" s="7">
        <f>IF(N216="Full Process",Settings!$B$6,IF(N216="Assembly Only",Settings!$B$7,0))</f>
        <v>0</v>
      </c>
      <c r="P216" s="14">
        <f t="shared" si="3"/>
        <v>0</v>
      </c>
      <c r="Q216" s="13">
        <f>IF(O216=0,0,MIN(1,L216/O216)*Settings!$B$5)</f>
        <v>0</v>
      </c>
      <c r="R216" s="16"/>
      <c r="S216" s="16"/>
      <c r="U216" s="7"/>
    </row>
    <row r="217" ht="15.75" customHeight="1">
      <c r="A217" s="15"/>
      <c r="B217" s="7"/>
      <c r="C217" s="7" t="str">
        <f t="array" ref="C217">IFERROR(INDEX('Order Planning'!$C$5:$C$204,MATCH(B217,'Order Planning'!$A$5:$A$204,0)),"")</f>
        <v/>
      </c>
      <c r="D217" s="7" t="str">
        <f t="array" ref="D217">IFERROR(INDEX('Order Planning'!$E$5:$E$204,MATCH(B217,'Order Planning'!$A$5:$A$204,0)),"")</f>
        <v/>
      </c>
      <c r="E217" s="7" t="str">
        <f t="array" ref="E217">IFERROR(INDEX('Order Planning'!$F$5:$F$204,MATCH(B217,'Order Planning'!$A$5:$A$204,0)),"")</f>
        <v/>
      </c>
      <c r="F217" s="7"/>
      <c r="G217" s="7"/>
      <c r="L217" s="7">
        <f t="shared" si="1"/>
        <v>0</v>
      </c>
      <c r="M217" s="14">
        <f t="shared" si="2"/>
        <v>0</v>
      </c>
      <c r="N217" s="7"/>
      <c r="O217" s="7">
        <f>IF(N217="Full Process",Settings!$B$6,IF(N217="Assembly Only",Settings!$B$7,0))</f>
        <v>0</v>
      </c>
      <c r="P217" s="14">
        <f t="shared" si="3"/>
        <v>0</v>
      </c>
      <c r="Q217" s="13">
        <f>IF(O217=0,0,MIN(1,L217/O217)*Settings!$B$5)</f>
        <v>0</v>
      </c>
      <c r="R217" s="16"/>
      <c r="S217" s="16"/>
      <c r="U217" s="7"/>
    </row>
    <row r="218" ht="15.75" customHeight="1">
      <c r="A218" s="15"/>
      <c r="B218" s="7"/>
      <c r="C218" s="7" t="str">
        <f t="array" ref="C218">IFERROR(INDEX('Order Planning'!$C$5:$C$204,MATCH(B218,'Order Planning'!$A$5:$A$204,0)),"")</f>
        <v/>
      </c>
      <c r="D218" s="7" t="str">
        <f t="array" ref="D218">IFERROR(INDEX('Order Planning'!$E$5:$E$204,MATCH(B218,'Order Planning'!$A$5:$A$204,0)),"")</f>
        <v/>
      </c>
      <c r="E218" s="7" t="str">
        <f t="array" ref="E218">IFERROR(INDEX('Order Planning'!$F$5:$F$204,MATCH(B218,'Order Planning'!$A$5:$A$204,0)),"")</f>
        <v/>
      </c>
      <c r="F218" s="7"/>
      <c r="G218" s="7"/>
      <c r="L218" s="7">
        <f t="shared" si="1"/>
        <v>0</v>
      </c>
      <c r="M218" s="14">
        <f t="shared" si="2"/>
        <v>0</v>
      </c>
      <c r="N218" s="7"/>
      <c r="O218" s="7">
        <f>IF(N218="Full Process",Settings!$B$6,IF(N218="Assembly Only",Settings!$B$7,0))</f>
        <v>0</v>
      </c>
      <c r="P218" s="14">
        <f t="shared" si="3"/>
        <v>0</v>
      </c>
      <c r="Q218" s="13">
        <f>IF(O218=0,0,MIN(1,L218/O218)*Settings!$B$5)</f>
        <v>0</v>
      </c>
      <c r="R218" s="16"/>
      <c r="S218" s="16"/>
      <c r="U218" s="7"/>
    </row>
    <row r="219" ht="15.75" customHeight="1">
      <c r="A219" s="15"/>
      <c r="B219" s="7"/>
      <c r="C219" s="7" t="str">
        <f t="array" ref="C219">IFERROR(INDEX('Order Planning'!$C$5:$C$204,MATCH(B219,'Order Planning'!$A$5:$A$204,0)),"")</f>
        <v/>
      </c>
      <c r="D219" s="7" t="str">
        <f t="array" ref="D219">IFERROR(INDEX('Order Planning'!$E$5:$E$204,MATCH(B219,'Order Planning'!$A$5:$A$204,0)),"")</f>
        <v/>
      </c>
      <c r="E219" s="7" t="str">
        <f t="array" ref="E219">IFERROR(INDEX('Order Planning'!$F$5:$F$204,MATCH(B219,'Order Planning'!$A$5:$A$204,0)),"")</f>
        <v/>
      </c>
      <c r="F219" s="7"/>
      <c r="G219" s="7"/>
      <c r="L219" s="7">
        <f t="shared" si="1"/>
        <v>0</v>
      </c>
      <c r="M219" s="14">
        <f t="shared" si="2"/>
        <v>0</v>
      </c>
      <c r="N219" s="7"/>
      <c r="O219" s="7">
        <f>IF(N219="Full Process",Settings!$B$6,IF(N219="Assembly Only",Settings!$B$7,0))</f>
        <v>0</v>
      </c>
      <c r="P219" s="14">
        <f t="shared" si="3"/>
        <v>0</v>
      </c>
      <c r="Q219" s="13">
        <f>IF(O219=0,0,MIN(1,L219/O219)*Settings!$B$5)</f>
        <v>0</v>
      </c>
      <c r="R219" s="16"/>
      <c r="S219" s="16"/>
      <c r="U219" s="7"/>
    </row>
    <row r="220" ht="15.75" customHeight="1">
      <c r="A220" s="15"/>
      <c r="B220" s="7"/>
      <c r="C220" s="7" t="str">
        <f t="array" ref="C220">IFERROR(INDEX('Order Planning'!$C$5:$C$204,MATCH(B220,'Order Planning'!$A$5:$A$204,0)),"")</f>
        <v/>
      </c>
      <c r="D220" s="7" t="str">
        <f t="array" ref="D220">IFERROR(INDEX('Order Planning'!$E$5:$E$204,MATCH(B220,'Order Planning'!$A$5:$A$204,0)),"")</f>
        <v/>
      </c>
      <c r="E220" s="7" t="str">
        <f t="array" ref="E220">IFERROR(INDEX('Order Planning'!$F$5:$F$204,MATCH(B220,'Order Planning'!$A$5:$A$204,0)),"")</f>
        <v/>
      </c>
      <c r="F220" s="7"/>
      <c r="G220" s="7"/>
      <c r="L220" s="7">
        <f t="shared" si="1"/>
        <v>0</v>
      </c>
      <c r="M220" s="14">
        <f t="shared" si="2"/>
        <v>0</v>
      </c>
      <c r="N220" s="7"/>
      <c r="O220" s="7">
        <f>IF(N220="Full Process",Settings!$B$6,IF(N220="Assembly Only",Settings!$B$7,0))</f>
        <v>0</v>
      </c>
      <c r="P220" s="14">
        <f t="shared" si="3"/>
        <v>0</v>
      </c>
      <c r="Q220" s="13">
        <f>IF(O220=0,0,MIN(1,L220/O220)*Settings!$B$5)</f>
        <v>0</v>
      </c>
      <c r="R220" s="16"/>
      <c r="S220" s="16"/>
      <c r="U220" s="7"/>
    </row>
    <row r="221" ht="15.75" customHeight="1">
      <c r="A221" s="15"/>
      <c r="B221" s="7"/>
      <c r="C221" s="7" t="str">
        <f t="array" ref="C221">IFERROR(INDEX('Order Planning'!$C$5:$C$204,MATCH(B221,'Order Planning'!$A$5:$A$204,0)),"")</f>
        <v/>
      </c>
      <c r="D221" s="7" t="str">
        <f t="array" ref="D221">IFERROR(INDEX('Order Planning'!$E$5:$E$204,MATCH(B221,'Order Planning'!$A$5:$A$204,0)),"")</f>
        <v/>
      </c>
      <c r="E221" s="7" t="str">
        <f t="array" ref="E221">IFERROR(INDEX('Order Planning'!$F$5:$F$204,MATCH(B221,'Order Planning'!$A$5:$A$204,0)),"")</f>
        <v/>
      </c>
      <c r="F221" s="7"/>
      <c r="G221" s="7"/>
      <c r="L221" s="7">
        <f t="shared" si="1"/>
        <v>0</v>
      </c>
      <c r="M221" s="14">
        <f t="shared" si="2"/>
        <v>0</v>
      </c>
      <c r="N221" s="7"/>
      <c r="O221" s="7">
        <f>IF(N221="Full Process",Settings!$B$6,IF(N221="Assembly Only",Settings!$B$7,0))</f>
        <v>0</v>
      </c>
      <c r="P221" s="14">
        <f t="shared" si="3"/>
        <v>0</v>
      </c>
      <c r="Q221" s="13">
        <f>IF(O221=0,0,MIN(1,L221/O221)*Settings!$B$5)</f>
        <v>0</v>
      </c>
      <c r="R221" s="16"/>
      <c r="S221" s="16"/>
      <c r="U221" s="7"/>
    </row>
    <row r="222" ht="15.75" customHeight="1">
      <c r="A222" s="15"/>
      <c r="B222" s="7"/>
      <c r="C222" s="7" t="str">
        <f t="array" ref="C222">IFERROR(INDEX('Order Planning'!$C$5:$C$204,MATCH(B222,'Order Planning'!$A$5:$A$204,0)),"")</f>
        <v/>
      </c>
      <c r="D222" s="7" t="str">
        <f t="array" ref="D222">IFERROR(INDEX('Order Planning'!$E$5:$E$204,MATCH(B222,'Order Planning'!$A$5:$A$204,0)),"")</f>
        <v/>
      </c>
      <c r="E222" s="7" t="str">
        <f t="array" ref="E222">IFERROR(INDEX('Order Planning'!$F$5:$F$204,MATCH(B222,'Order Planning'!$A$5:$A$204,0)),"")</f>
        <v/>
      </c>
      <c r="F222" s="7"/>
      <c r="G222" s="7"/>
      <c r="L222" s="7">
        <f t="shared" si="1"/>
        <v>0</v>
      </c>
      <c r="M222" s="14">
        <f t="shared" si="2"/>
        <v>0</v>
      </c>
      <c r="N222" s="7"/>
      <c r="O222" s="7">
        <f>IF(N222="Full Process",Settings!$B$6,IF(N222="Assembly Only",Settings!$B$7,0))</f>
        <v>0</v>
      </c>
      <c r="P222" s="14">
        <f t="shared" si="3"/>
        <v>0</v>
      </c>
      <c r="Q222" s="13">
        <f>IF(O222=0,0,MIN(1,L222/O222)*Settings!$B$5)</f>
        <v>0</v>
      </c>
      <c r="R222" s="16"/>
      <c r="S222" s="16"/>
      <c r="U222" s="7"/>
    </row>
    <row r="223" ht="15.75" customHeight="1">
      <c r="A223" s="15"/>
      <c r="B223" s="7"/>
      <c r="C223" s="7" t="str">
        <f t="array" ref="C223">IFERROR(INDEX('Order Planning'!$C$5:$C$204,MATCH(B223,'Order Planning'!$A$5:$A$204,0)),"")</f>
        <v/>
      </c>
      <c r="D223" s="7" t="str">
        <f t="array" ref="D223">IFERROR(INDEX('Order Planning'!$E$5:$E$204,MATCH(B223,'Order Planning'!$A$5:$A$204,0)),"")</f>
        <v/>
      </c>
      <c r="E223" s="7" t="str">
        <f t="array" ref="E223">IFERROR(INDEX('Order Planning'!$F$5:$F$204,MATCH(B223,'Order Planning'!$A$5:$A$204,0)),"")</f>
        <v/>
      </c>
      <c r="F223" s="7"/>
      <c r="G223" s="7"/>
      <c r="L223" s="7">
        <f t="shared" si="1"/>
        <v>0</v>
      </c>
      <c r="M223" s="14">
        <f t="shared" si="2"/>
        <v>0</v>
      </c>
      <c r="N223" s="7"/>
      <c r="O223" s="7">
        <f>IF(N223="Full Process",Settings!$B$6,IF(N223="Assembly Only",Settings!$B$7,0))</f>
        <v>0</v>
      </c>
      <c r="P223" s="14">
        <f t="shared" si="3"/>
        <v>0</v>
      </c>
      <c r="Q223" s="13">
        <f>IF(O223=0,0,MIN(1,L223/O223)*Settings!$B$5)</f>
        <v>0</v>
      </c>
      <c r="R223" s="16"/>
      <c r="S223" s="16"/>
      <c r="U223" s="7"/>
    </row>
    <row r="224" ht="15.75" customHeight="1">
      <c r="A224" s="15"/>
      <c r="B224" s="7"/>
      <c r="C224" s="7" t="str">
        <f t="array" ref="C224">IFERROR(INDEX('Order Planning'!$C$5:$C$204,MATCH(B224,'Order Planning'!$A$5:$A$204,0)),"")</f>
        <v/>
      </c>
      <c r="D224" s="7" t="str">
        <f t="array" ref="D224">IFERROR(INDEX('Order Planning'!$E$5:$E$204,MATCH(B224,'Order Planning'!$A$5:$A$204,0)),"")</f>
        <v/>
      </c>
      <c r="E224" s="7" t="str">
        <f t="array" ref="E224">IFERROR(INDEX('Order Planning'!$F$5:$F$204,MATCH(B224,'Order Planning'!$A$5:$A$204,0)),"")</f>
        <v/>
      </c>
      <c r="F224" s="7"/>
      <c r="G224" s="7"/>
      <c r="L224" s="7">
        <f t="shared" si="1"/>
        <v>0</v>
      </c>
      <c r="M224" s="14">
        <f t="shared" si="2"/>
        <v>0</v>
      </c>
      <c r="N224" s="7"/>
      <c r="O224" s="7">
        <f>IF(N224="Full Process",Settings!$B$6,IF(N224="Assembly Only",Settings!$B$7,0))</f>
        <v>0</v>
      </c>
      <c r="P224" s="14">
        <f t="shared" si="3"/>
        <v>0</v>
      </c>
      <c r="Q224" s="13">
        <f>IF(O224=0,0,MIN(1,L224/O224)*Settings!$B$5)</f>
        <v>0</v>
      </c>
      <c r="R224" s="16"/>
      <c r="S224" s="16"/>
      <c r="U224" s="7"/>
    </row>
    <row r="225" ht="15.75" customHeight="1">
      <c r="A225" s="15"/>
      <c r="B225" s="7"/>
      <c r="C225" s="7" t="str">
        <f t="array" ref="C225">IFERROR(INDEX('Order Planning'!$C$5:$C$204,MATCH(B225,'Order Planning'!$A$5:$A$204,0)),"")</f>
        <v/>
      </c>
      <c r="D225" s="7" t="str">
        <f t="array" ref="D225">IFERROR(INDEX('Order Planning'!$E$5:$E$204,MATCH(B225,'Order Planning'!$A$5:$A$204,0)),"")</f>
        <v/>
      </c>
      <c r="E225" s="7" t="str">
        <f t="array" ref="E225">IFERROR(INDEX('Order Planning'!$F$5:$F$204,MATCH(B225,'Order Planning'!$A$5:$A$204,0)),"")</f>
        <v/>
      </c>
      <c r="F225" s="7"/>
      <c r="G225" s="7"/>
      <c r="L225" s="7">
        <f t="shared" si="1"/>
        <v>0</v>
      </c>
      <c r="M225" s="14">
        <f t="shared" si="2"/>
        <v>0</v>
      </c>
      <c r="N225" s="7"/>
      <c r="O225" s="7">
        <f>IF(N225="Full Process",Settings!$B$6,IF(N225="Assembly Only",Settings!$B$7,0))</f>
        <v>0</v>
      </c>
      <c r="P225" s="14">
        <f t="shared" si="3"/>
        <v>0</v>
      </c>
      <c r="Q225" s="13">
        <f>IF(O225=0,0,MIN(1,L225/O225)*Settings!$B$5)</f>
        <v>0</v>
      </c>
      <c r="R225" s="16"/>
      <c r="S225" s="16"/>
      <c r="U225" s="7"/>
    </row>
    <row r="226" ht="15.75" customHeight="1">
      <c r="A226" s="15"/>
      <c r="B226" s="7"/>
      <c r="C226" s="7" t="str">
        <f t="array" ref="C226">IFERROR(INDEX('Order Planning'!$C$5:$C$204,MATCH(B226,'Order Planning'!$A$5:$A$204,0)),"")</f>
        <v/>
      </c>
      <c r="D226" s="7" t="str">
        <f t="array" ref="D226">IFERROR(INDEX('Order Planning'!$E$5:$E$204,MATCH(B226,'Order Planning'!$A$5:$A$204,0)),"")</f>
        <v/>
      </c>
      <c r="E226" s="7" t="str">
        <f t="array" ref="E226">IFERROR(INDEX('Order Planning'!$F$5:$F$204,MATCH(B226,'Order Planning'!$A$5:$A$204,0)),"")</f>
        <v/>
      </c>
      <c r="F226" s="7"/>
      <c r="G226" s="7"/>
      <c r="L226" s="7">
        <f t="shared" si="1"/>
        <v>0</v>
      </c>
      <c r="M226" s="14">
        <f t="shared" si="2"/>
        <v>0</v>
      </c>
      <c r="N226" s="7"/>
      <c r="O226" s="7">
        <f>IF(N226="Full Process",Settings!$B$6,IF(N226="Assembly Only",Settings!$B$7,0))</f>
        <v>0</v>
      </c>
      <c r="P226" s="14">
        <f t="shared" si="3"/>
        <v>0</v>
      </c>
      <c r="Q226" s="13">
        <f>IF(O226=0,0,MIN(1,L226/O226)*Settings!$B$5)</f>
        <v>0</v>
      </c>
      <c r="R226" s="16"/>
      <c r="S226" s="16"/>
      <c r="U226" s="7"/>
    </row>
    <row r="227" ht="15.75" customHeight="1">
      <c r="A227" s="15"/>
      <c r="B227" s="7"/>
      <c r="C227" s="7" t="str">
        <f t="array" ref="C227">IFERROR(INDEX('Order Planning'!$C$5:$C$204,MATCH(B227,'Order Planning'!$A$5:$A$204,0)),"")</f>
        <v/>
      </c>
      <c r="D227" s="7" t="str">
        <f t="array" ref="D227">IFERROR(INDEX('Order Planning'!$E$5:$E$204,MATCH(B227,'Order Planning'!$A$5:$A$204,0)),"")</f>
        <v/>
      </c>
      <c r="E227" s="7" t="str">
        <f t="array" ref="E227">IFERROR(INDEX('Order Planning'!$F$5:$F$204,MATCH(B227,'Order Planning'!$A$5:$A$204,0)),"")</f>
        <v/>
      </c>
      <c r="F227" s="7"/>
      <c r="G227" s="7"/>
      <c r="L227" s="7">
        <f t="shared" si="1"/>
        <v>0</v>
      </c>
      <c r="M227" s="14">
        <f t="shared" si="2"/>
        <v>0</v>
      </c>
      <c r="N227" s="7"/>
      <c r="O227" s="7">
        <f>IF(N227="Full Process",Settings!$B$6,IF(N227="Assembly Only",Settings!$B$7,0))</f>
        <v>0</v>
      </c>
      <c r="P227" s="14">
        <f t="shared" si="3"/>
        <v>0</v>
      </c>
      <c r="Q227" s="13">
        <f>IF(O227=0,0,MIN(1,L227/O227)*Settings!$B$5)</f>
        <v>0</v>
      </c>
      <c r="R227" s="16"/>
      <c r="S227" s="16"/>
      <c r="U227" s="7"/>
    </row>
    <row r="228" ht="15.75" customHeight="1">
      <c r="A228" s="15"/>
      <c r="B228" s="7"/>
      <c r="C228" s="7" t="str">
        <f t="array" ref="C228">IFERROR(INDEX('Order Planning'!$C$5:$C$204,MATCH(B228,'Order Planning'!$A$5:$A$204,0)),"")</f>
        <v/>
      </c>
      <c r="D228" s="7" t="str">
        <f t="array" ref="D228">IFERROR(INDEX('Order Planning'!$E$5:$E$204,MATCH(B228,'Order Planning'!$A$5:$A$204,0)),"")</f>
        <v/>
      </c>
      <c r="E228" s="7" t="str">
        <f t="array" ref="E228">IFERROR(INDEX('Order Planning'!$F$5:$F$204,MATCH(B228,'Order Planning'!$A$5:$A$204,0)),"")</f>
        <v/>
      </c>
      <c r="F228" s="7"/>
      <c r="G228" s="7"/>
      <c r="L228" s="7">
        <f t="shared" si="1"/>
        <v>0</v>
      </c>
      <c r="M228" s="14">
        <f t="shared" si="2"/>
        <v>0</v>
      </c>
      <c r="N228" s="7"/>
      <c r="O228" s="7">
        <f>IF(N228="Full Process",Settings!$B$6,IF(N228="Assembly Only",Settings!$B$7,0))</f>
        <v>0</v>
      </c>
      <c r="P228" s="14">
        <f t="shared" si="3"/>
        <v>0</v>
      </c>
      <c r="Q228" s="13">
        <f>IF(O228=0,0,MIN(1,L228/O228)*Settings!$B$5)</f>
        <v>0</v>
      </c>
      <c r="R228" s="16"/>
      <c r="S228" s="16"/>
      <c r="U228" s="7"/>
    </row>
    <row r="229" ht="15.75" customHeight="1">
      <c r="A229" s="15"/>
      <c r="B229" s="7"/>
      <c r="C229" s="7" t="str">
        <f t="array" ref="C229">IFERROR(INDEX('Order Planning'!$C$5:$C$204,MATCH(B229,'Order Planning'!$A$5:$A$204,0)),"")</f>
        <v/>
      </c>
      <c r="D229" s="7" t="str">
        <f t="array" ref="D229">IFERROR(INDEX('Order Planning'!$E$5:$E$204,MATCH(B229,'Order Planning'!$A$5:$A$204,0)),"")</f>
        <v/>
      </c>
      <c r="E229" s="7" t="str">
        <f t="array" ref="E229">IFERROR(INDEX('Order Planning'!$F$5:$F$204,MATCH(B229,'Order Planning'!$A$5:$A$204,0)),"")</f>
        <v/>
      </c>
      <c r="F229" s="7"/>
      <c r="G229" s="7"/>
      <c r="L229" s="7">
        <f t="shared" si="1"/>
        <v>0</v>
      </c>
      <c r="M229" s="14">
        <f t="shared" si="2"/>
        <v>0</v>
      </c>
      <c r="N229" s="7"/>
      <c r="O229" s="7">
        <f>IF(N229="Full Process",Settings!$B$6,IF(N229="Assembly Only",Settings!$B$7,0))</f>
        <v>0</v>
      </c>
      <c r="P229" s="14">
        <f t="shared" si="3"/>
        <v>0</v>
      </c>
      <c r="Q229" s="13">
        <f>IF(O229=0,0,MIN(1,L229/O229)*Settings!$B$5)</f>
        <v>0</v>
      </c>
      <c r="R229" s="16"/>
      <c r="S229" s="16"/>
      <c r="U229" s="7"/>
    </row>
    <row r="230" ht="15.75" customHeight="1">
      <c r="A230" s="15"/>
      <c r="B230" s="7"/>
      <c r="C230" s="7" t="str">
        <f t="array" ref="C230">IFERROR(INDEX('Order Planning'!$C$5:$C$204,MATCH(B230,'Order Planning'!$A$5:$A$204,0)),"")</f>
        <v/>
      </c>
      <c r="D230" s="7" t="str">
        <f t="array" ref="D230">IFERROR(INDEX('Order Planning'!$E$5:$E$204,MATCH(B230,'Order Planning'!$A$5:$A$204,0)),"")</f>
        <v/>
      </c>
      <c r="E230" s="7" t="str">
        <f t="array" ref="E230">IFERROR(INDEX('Order Planning'!$F$5:$F$204,MATCH(B230,'Order Planning'!$A$5:$A$204,0)),"")</f>
        <v/>
      </c>
      <c r="F230" s="7"/>
      <c r="G230" s="7"/>
      <c r="L230" s="7">
        <f t="shared" si="1"/>
        <v>0</v>
      </c>
      <c r="M230" s="14">
        <f t="shared" si="2"/>
        <v>0</v>
      </c>
      <c r="N230" s="7"/>
      <c r="O230" s="7">
        <f>IF(N230="Full Process",Settings!$B$6,IF(N230="Assembly Only",Settings!$B$7,0))</f>
        <v>0</v>
      </c>
      <c r="P230" s="14">
        <f t="shared" si="3"/>
        <v>0</v>
      </c>
      <c r="Q230" s="13">
        <f>IF(O230=0,0,MIN(1,L230/O230)*Settings!$B$5)</f>
        <v>0</v>
      </c>
      <c r="R230" s="16"/>
      <c r="S230" s="16"/>
      <c r="U230" s="7"/>
    </row>
    <row r="231" ht="15.75" customHeight="1">
      <c r="A231" s="15"/>
      <c r="B231" s="7"/>
      <c r="C231" s="7" t="str">
        <f t="array" ref="C231">IFERROR(INDEX('Order Planning'!$C$5:$C$204,MATCH(B231,'Order Planning'!$A$5:$A$204,0)),"")</f>
        <v/>
      </c>
      <c r="D231" s="7" t="str">
        <f t="array" ref="D231">IFERROR(INDEX('Order Planning'!$E$5:$E$204,MATCH(B231,'Order Planning'!$A$5:$A$204,0)),"")</f>
        <v/>
      </c>
      <c r="E231" s="7" t="str">
        <f t="array" ref="E231">IFERROR(INDEX('Order Planning'!$F$5:$F$204,MATCH(B231,'Order Planning'!$A$5:$A$204,0)),"")</f>
        <v/>
      </c>
      <c r="F231" s="7"/>
      <c r="G231" s="7"/>
      <c r="L231" s="7">
        <f t="shared" si="1"/>
        <v>0</v>
      </c>
      <c r="M231" s="14">
        <f t="shared" si="2"/>
        <v>0</v>
      </c>
      <c r="N231" s="7"/>
      <c r="O231" s="7">
        <f>IF(N231="Full Process",Settings!$B$6,IF(N231="Assembly Only",Settings!$B$7,0))</f>
        <v>0</v>
      </c>
      <c r="P231" s="14">
        <f t="shared" si="3"/>
        <v>0</v>
      </c>
      <c r="Q231" s="13">
        <f>IF(O231=0,0,MIN(1,L231/O231)*Settings!$B$5)</f>
        <v>0</v>
      </c>
      <c r="R231" s="16"/>
      <c r="S231" s="16"/>
      <c r="U231" s="7"/>
    </row>
    <row r="232" ht="15.75" customHeight="1">
      <c r="A232" s="15"/>
      <c r="B232" s="7"/>
      <c r="C232" s="7" t="str">
        <f t="array" ref="C232">IFERROR(INDEX('Order Planning'!$C$5:$C$204,MATCH(B232,'Order Planning'!$A$5:$A$204,0)),"")</f>
        <v/>
      </c>
      <c r="D232" s="7" t="str">
        <f t="array" ref="D232">IFERROR(INDEX('Order Planning'!$E$5:$E$204,MATCH(B232,'Order Planning'!$A$5:$A$204,0)),"")</f>
        <v/>
      </c>
      <c r="E232" s="7" t="str">
        <f t="array" ref="E232">IFERROR(INDEX('Order Planning'!$F$5:$F$204,MATCH(B232,'Order Planning'!$A$5:$A$204,0)),"")</f>
        <v/>
      </c>
      <c r="F232" s="7"/>
      <c r="G232" s="7"/>
      <c r="L232" s="7">
        <f t="shared" si="1"/>
        <v>0</v>
      </c>
      <c r="M232" s="14">
        <f t="shared" si="2"/>
        <v>0</v>
      </c>
      <c r="N232" s="7"/>
      <c r="O232" s="7">
        <f>IF(N232="Full Process",Settings!$B$6,IF(N232="Assembly Only",Settings!$B$7,0))</f>
        <v>0</v>
      </c>
      <c r="P232" s="14">
        <f t="shared" si="3"/>
        <v>0</v>
      </c>
      <c r="Q232" s="13">
        <f>IF(O232=0,0,MIN(1,L232/O232)*Settings!$B$5)</f>
        <v>0</v>
      </c>
      <c r="R232" s="16"/>
      <c r="S232" s="16"/>
      <c r="U232" s="7"/>
    </row>
    <row r="233" ht="15.75" customHeight="1">
      <c r="A233" s="15"/>
      <c r="B233" s="7"/>
      <c r="C233" s="7" t="str">
        <f t="array" ref="C233">IFERROR(INDEX('Order Planning'!$C$5:$C$204,MATCH(B233,'Order Planning'!$A$5:$A$204,0)),"")</f>
        <v/>
      </c>
      <c r="D233" s="7" t="str">
        <f t="array" ref="D233">IFERROR(INDEX('Order Planning'!$E$5:$E$204,MATCH(B233,'Order Planning'!$A$5:$A$204,0)),"")</f>
        <v/>
      </c>
      <c r="E233" s="7" t="str">
        <f t="array" ref="E233">IFERROR(INDEX('Order Planning'!$F$5:$F$204,MATCH(B233,'Order Planning'!$A$5:$A$204,0)),"")</f>
        <v/>
      </c>
      <c r="F233" s="7"/>
      <c r="G233" s="7"/>
      <c r="L233" s="7">
        <f t="shared" si="1"/>
        <v>0</v>
      </c>
      <c r="M233" s="14">
        <f t="shared" si="2"/>
        <v>0</v>
      </c>
      <c r="N233" s="7"/>
      <c r="O233" s="7">
        <f>IF(N233="Full Process",Settings!$B$6,IF(N233="Assembly Only",Settings!$B$7,0))</f>
        <v>0</v>
      </c>
      <c r="P233" s="14">
        <f t="shared" si="3"/>
        <v>0</v>
      </c>
      <c r="Q233" s="13">
        <f>IF(O233=0,0,MIN(1,L233/O233)*Settings!$B$5)</f>
        <v>0</v>
      </c>
      <c r="R233" s="16"/>
      <c r="S233" s="16"/>
      <c r="U233" s="7"/>
    </row>
    <row r="234" ht="15.75" customHeight="1">
      <c r="A234" s="15"/>
      <c r="B234" s="7"/>
      <c r="C234" s="7" t="str">
        <f t="array" ref="C234">IFERROR(INDEX('Order Planning'!$C$5:$C$204,MATCH(B234,'Order Planning'!$A$5:$A$204,0)),"")</f>
        <v/>
      </c>
      <c r="D234" s="7" t="str">
        <f t="array" ref="D234">IFERROR(INDEX('Order Planning'!$E$5:$E$204,MATCH(B234,'Order Planning'!$A$5:$A$204,0)),"")</f>
        <v/>
      </c>
      <c r="E234" s="7" t="str">
        <f t="array" ref="E234">IFERROR(INDEX('Order Planning'!$F$5:$F$204,MATCH(B234,'Order Planning'!$A$5:$A$204,0)),"")</f>
        <v/>
      </c>
      <c r="F234" s="7"/>
      <c r="G234" s="7"/>
      <c r="L234" s="7">
        <f t="shared" si="1"/>
        <v>0</v>
      </c>
      <c r="M234" s="14">
        <f t="shared" si="2"/>
        <v>0</v>
      </c>
      <c r="N234" s="7"/>
      <c r="O234" s="7">
        <f>IF(N234="Full Process",Settings!$B$6,IF(N234="Assembly Only",Settings!$B$7,0))</f>
        <v>0</v>
      </c>
      <c r="P234" s="14">
        <f t="shared" si="3"/>
        <v>0</v>
      </c>
      <c r="Q234" s="13">
        <f>IF(O234=0,0,MIN(1,L234/O234)*Settings!$B$5)</f>
        <v>0</v>
      </c>
      <c r="R234" s="16"/>
      <c r="S234" s="16"/>
      <c r="U234" s="7"/>
    </row>
    <row r="235" ht="15.75" customHeight="1">
      <c r="A235" s="15"/>
      <c r="B235" s="7"/>
      <c r="C235" s="7" t="str">
        <f t="array" ref="C235">IFERROR(INDEX('Order Planning'!$C$5:$C$204,MATCH(B235,'Order Planning'!$A$5:$A$204,0)),"")</f>
        <v/>
      </c>
      <c r="D235" s="7" t="str">
        <f t="array" ref="D235">IFERROR(INDEX('Order Planning'!$E$5:$E$204,MATCH(B235,'Order Planning'!$A$5:$A$204,0)),"")</f>
        <v/>
      </c>
      <c r="E235" s="7" t="str">
        <f t="array" ref="E235">IFERROR(INDEX('Order Planning'!$F$5:$F$204,MATCH(B235,'Order Planning'!$A$5:$A$204,0)),"")</f>
        <v/>
      </c>
      <c r="F235" s="7"/>
      <c r="G235" s="7"/>
      <c r="L235" s="7">
        <f t="shared" si="1"/>
        <v>0</v>
      </c>
      <c r="M235" s="14">
        <f t="shared" si="2"/>
        <v>0</v>
      </c>
      <c r="N235" s="7"/>
      <c r="O235" s="7">
        <f>IF(N235="Full Process",Settings!$B$6,IF(N235="Assembly Only",Settings!$B$7,0))</f>
        <v>0</v>
      </c>
      <c r="P235" s="14">
        <f t="shared" si="3"/>
        <v>0</v>
      </c>
      <c r="Q235" s="13">
        <f>IF(O235=0,0,MIN(1,L235/O235)*Settings!$B$5)</f>
        <v>0</v>
      </c>
      <c r="R235" s="16"/>
      <c r="S235" s="16"/>
      <c r="U235" s="7"/>
    </row>
    <row r="236" ht="15.75" customHeight="1">
      <c r="A236" s="15"/>
      <c r="B236" s="7"/>
      <c r="C236" s="7" t="str">
        <f t="array" ref="C236">IFERROR(INDEX('Order Planning'!$C$5:$C$204,MATCH(B236,'Order Planning'!$A$5:$A$204,0)),"")</f>
        <v/>
      </c>
      <c r="D236" s="7" t="str">
        <f t="array" ref="D236">IFERROR(INDEX('Order Planning'!$E$5:$E$204,MATCH(B236,'Order Planning'!$A$5:$A$204,0)),"")</f>
        <v/>
      </c>
      <c r="E236" s="7" t="str">
        <f t="array" ref="E236">IFERROR(INDEX('Order Planning'!$F$5:$F$204,MATCH(B236,'Order Planning'!$A$5:$A$204,0)),"")</f>
        <v/>
      </c>
      <c r="F236" s="7"/>
      <c r="G236" s="7"/>
      <c r="L236" s="7">
        <f t="shared" si="1"/>
        <v>0</v>
      </c>
      <c r="M236" s="14">
        <f t="shared" si="2"/>
        <v>0</v>
      </c>
      <c r="N236" s="7"/>
      <c r="O236" s="7">
        <f>IF(N236="Full Process",Settings!$B$6,IF(N236="Assembly Only",Settings!$B$7,0))</f>
        <v>0</v>
      </c>
      <c r="P236" s="14">
        <f t="shared" si="3"/>
        <v>0</v>
      </c>
      <c r="Q236" s="13">
        <f>IF(O236=0,0,MIN(1,L236/O236)*Settings!$B$5)</f>
        <v>0</v>
      </c>
      <c r="R236" s="16"/>
      <c r="S236" s="16"/>
      <c r="U236" s="7"/>
    </row>
    <row r="237" ht="15.75" customHeight="1">
      <c r="A237" s="15"/>
      <c r="B237" s="7"/>
      <c r="C237" s="7" t="str">
        <f t="array" ref="C237">IFERROR(INDEX('Order Planning'!$C$5:$C$204,MATCH(B237,'Order Planning'!$A$5:$A$204,0)),"")</f>
        <v/>
      </c>
      <c r="D237" s="7" t="str">
        <f t="array" ref="D237">IFERROR(INDEX('Order Planning'!$E$5:$E$204,MATCH(B237,'Order Planning'!$A$5:$A$204,0)),"")</f>
        <v/>
      </c>
      <c r="E237" s="7" t="str">
        <f t="array" ref="E237">IFERROR(INDEX('Order Planning'!$F$5:$F$204,MATCH(B237,'Order Planning'!$A$5:$A$204,0)),"")</f>
        <v/>
      </c>
      <c r="F237" s="7"/>
      <c r="G237" s="7"/>
      <c r="L237" s="7">
        <f t="shared" si="1"/>
        <v>0</v>
      </c>
      <c r="M237" s="14">
        <f t="shared" si="2"/>
        <v>0</v>
      </c>
      <c r="N237" s="7"/>
      <c r="O237" s="7">
        <f>IF(N237="Full Process",Settings!$B$6,IF(N237="Assembly Only",Settings!$B$7,0))</f>
        <v>0</v>
      </c>
      <c r="P237" s="14">
        <f t="shared" si="3"/>
        <v>0</v>
      </c>
      <c r="Q237" s="13">
        <f>IF(O237=0,0,MIN(1,L237/O237)*Settings!$B$5)</f>
        <v>0</v>
      </c>
      <c r="R237" s="16"/>
      <c r="S237" s="16"/>
      <c r="U237" s="7"/>
    </row>
    <row r="238" ht="15.75" customHeight="1">
      <c r="A238" s="15"/>
      <c r="B238" s="7"/>
      <c r="C238" s="7" t="str">
        <f t="array" ref="C238">IFERROR(INDEX('Order Planning'!$C$5:$C$204,MATCH(B238,'Order Planning'!$A$5:$A$204,0)),"")</f>
        <v/>
      </c>
      <c r="D238" s="7" t="str">
        <f t="array" ref="D238">IFERROR(INDEX('Order Planning'!$E$5:$E$204,MATCH(B238,'Order Planning'!$A$5:$A$204,0)),"")</f>
        <v/>
      </c>
      <c r="E238" s="7" t="str">
        <f t="array" ref="E238">IFERROR(INDEX('Order Planning'!$F$5:$F$204,MATCH(B238,'Order Planning'!$A$5:$A$204,0)),"")</f>
        <v/>
      </c>
      <c r="F238" s="7"/>
      <c r="G238" s="7"/>
      <c r="L238" s="7">
        <f t="shared" si="1"/>
        <v>0</v>
      </c>
      <c r="M238" s="14">
        <f t="shared" si="2"/>
        <v>0</v>
      </c>
      <c r="N238" s="7"/>
      <c r="O238" s="7">
        <f>IF(N238="Full Process",Settings!$B$6,IF(N238="Assembly Only",Settings!$B$7,0))</f>
        <v>0</v>
      </c>
      <c r="P238" s="14">
        <f t="shared" si="3"/>
        <v>0</v>
      </c>
      <c r="Q238" s="13">
        <f>IF(O238=0,0,MIN(1,L238/O238)*Settings!$B$5)</f>
        <v>0</v>
      </c>
      <c r="R238" s="16"/>
      <c r="S238" s="16"/>
      <c r="U238" s="7"/>
    </row>
    <row r="239" ht="15.75" customHeight="1">
      <c r="A239" s="15"/>
      <c r="B239" s="7"/>
      <c r="C239" s="7" t="str">
        <f t="array" ref="C239">IFERROR(INDEX('Order Planning'!$C$5:$C$204,MATCH(B239,'Order Planning'!$A$5:$A$204,0)),"")</f>
        <v/>
      </c>
      <c r="D239" s="7" t="str">
        <f t="array" ref="D239">IFERROR(INDEX('Order Planning'!$E$5:$E$204,MATCH(B239,'Order Planning'!$A$5:$A$204,0)),"")</f>
        <v/>
      </c>
      <c r="E239" s="7" t="str">
        <f t="array" ref="E239">IFERROR(INDEX('Order Planning'!$F$5:$F$204,MATCH(B239,'Order Planning'!$A$5:$A$204,0)),"")</f>
        <v/>
      </c>
      <c r="F239" s="7"/>
      <c r="G239" s="7"/>
      <c r="L239" s="7">
        <f t="shared" si="1"/>
        <v>0</v>
      </c>
      <c r="M239" s="14">
        <f t="shared" si="2"/>
        <v>0</v>
      </c>
      <c r="N239" s="7"/>
      <c r="O239" s="7">
        <f>IF(N239="Full Process",Settings!$B$6,IF(N239="Assembly Only",Settings!$B$7,0))</f>
        <v>0</v>
      </c>
      <c r="P239" s="14">
        <f t="shared" si="3"/>
        <v>0</v>
      </c>
      <c r="Q239" s="13">
        <f>IF(O239=0,0,MIN(1,L239/O239)*Settings!$B$5)</f>
        <v>0</v>
      </c>
      <c r="R239" s="16"/>
      <c r="S239" s="16"/>
      <c r="U239" s="7"/>
    </row>
    <row r="240" ht="15.75" customHeight="1">
      <c r="A240" s="15"/>
      <c r="B240" s="7"/>
      <c r="C240" s="7" t="str">
        <f t="array" ref="C240">IFERROR(INDEX('Order Planning'!$C$5:$C$204,MATCH(B240,'Order Planning'!$A$5:$A$204,0)),"")</f>
        <v/>
      </c>
      <c r="D240" s="7" t="str">
        <f t="array" ref="D240">IFERROR(INDEX('Order Planning'!$E$5:$E$204,MATCH(B240,'Order Planning'!$A$5:$A$204,0)),"")</f>
        <v/>
      </c>
      <c r="E240" s="7" t="str">
        <f t="array" ref="E240">IFERROR(INDEX('Order Planning'!$F$5:$F$204,MATCH(B240,'Order Planning'!$A$5:$A$204,0)),"")</f>
        <v/>
      </c>
      <c r="F240" s="7"/>
      <c r="G240" s="7"/>
      <c r="L240" s="7">
        <f t="shared" si="1"/>
        <v>0</v>
      </c>
      <c r="M240" s="14">
        <f t="shared" si="2"/>
        <v>0</v>
      </c>
      <c r="N240" s="7"/>
      <c r="O240" s="7">
        <f>IF(N240="Full Process",Settings!$B$6,IF(N240="Assembly Only",Settings!$B$7,0))</f>
        <v>0</v>
      </c>
      <c r="P240" s="14">
        <f t="shared" si="3"/>
        <v>0</v>
      </c>
      <c r="Q240" s="13">
        <f>IF(O240=0,0,MIN(1,L240/O240)*Settings!$B$5)</f>
        <v>0</v>
      </c>
      <c r="R240" s="16"/>
      <c r="S240" s="16"/>
      <c r="U240" s="7"/>
    </row>
    <row r="241" ht="15.75" customHeight="1">
      <c r="A241" s="15"/>
      <c r="B241" s="7"/>
      <c r="C241" s="7" t="str">
        <f t="array" ref="C241">IFERROR(INDEX('Order Planning'!$C$5:$C$204,MATCH(B241,'Order Planning'!$A$5:$A$204,0)),"")</f>
        <v/>
      </c>
      <c r="D241" s="7" t="str">
        <f t="array" ref="D241">IFERROR(INDEX('Order Planning'!$E$5:$E$204,MATCH(B241,'Order Planning'!$A$5:$A$204,0)),"")</f>
        <v/>
      </c>
      <c r="E241" s="7" t="str">
        <f t="array" ref="E241">IFERROR(INDEX('Order Planning'!$F$5:$F$204,MATCH(B241,'Order Planning'!$A$5:$A$204,0)),"")</f>
        <v/>
      </c>
      <c r="F241" s="7"/>
      <c r="G241" s="7"/>
      <c r="L241" s="7">
        <f t="shared" si="1"/>
        <v>0</v>
      </c>
      <c r="M241" s="14">
        <f t="shared" si="2"/>
        <v>0</v>
      </c>
      <c r="N241" s="7"/>
      <c r="O241" s="7">
        <f>IF(N241="Full Process",Settings!$B$6,IF(N241="Assembly Only",Settings!$B$7,0))</f>
        <v>0</v>
      </c>
      <c r="P241" s="14">
        <f t="shared" si="3"/>
        <v>0</v>
      </c>
      <c r="Q241" s="13">
        <f>IF(O241=0,0,MIN(1,L241/O241)*Settings!$B$5)</f>
        <v>0</v>
      </c>
      <c r="R241" s="16"/>
      <c r="S241" s="16"/>
      <c r="U241" s="7"/>
    </row>
    <row r="242" ht="15.75" customHeight="1">
      <c r="A242" s="15"/>
      <c r="B242" s="7"/>
      <c r="C242" s="7" t="str">
        <f t="array" ref="C242">IFERROR(INDEX('Order Planning'!$C$5:$C$204,MATCH(B242,'Order Planning'!$A$5:$A$204,0)),"")</f>
        <v/>
      </c>
      <c r="D242" s="7" t="str">
        <f t="array" ref="D242">IFERROR(INDEX('Order Planning'!$E$5:$E$204,MATCH(B242,'Order Planning'!$A$5:$A$204,0)),"")</f>
        <v/>
      </c>
      <c r="E242" s="7" t="str">
        <f t="array" ref="E242">IFERROR(INDEX('Order Planning'!$F$5:$F$204,MATCH(B242,'Order Planning'!$A$5:$A$204,0)),"")</f>
        <v/>
      </c>
      <c r="F242" s="7"/>
      <c r="G242" s="7"/>
      <c r="L242" s="7">
        <f t="shared" si="1"/>
        <v>0</v>
      </c>
      <c r="M242" s="14">
        <f t="shared" si="2"/>
        <v>0</v>
      </c>
      <c r="N242" s="7"/>
      <c r="O242" s="7">
        <f>IF(N242="Full Process",Settings!$B$6,IF(N242="Assembly Only",Settings!$B$7,0))</f>
        <v>0</v>
      </c>
      <c r="P242" s="14">
        <f t="shared" si="3"/>
        <v>0</v>
      </c>
      <c r="Q242" s="13">
        <f>IF(O242=0,0,MIN(1,L242/O242)*Settings!$B$5)</f>
        <v>0</v>
      </c>
      <c r="R242" s="16"/>
      <c r="S242" s="16"/>
      <c r="U242" s="7"/>
    </row>
    <row r="243" ht="15.75" customHeight="1">
      <c r="A243" s="15"/>
      <c r="B243" s="7"/>
      <c r="C243" s="7" t="str">
        <f t="array" ref="C243">IFERROR(INDEX('Order Planning'!$C$5:$C$204,MATCH(B243,'Order Planning'!$A$5:$A$204,0)),"")</f>
        <v/>
      </c>
      <c r="D243" s="7" t="str">
        <f t="array" ref="D243">IFERROR(INDEX('Order Planning'!$E$5:$E$204,MATCH(B243,'Order Planning'!$A$5:$A$204,0)),"")</f>
        <v/>
      </c>
      <c r="E243" s="7" t="str">
        <f t="array" ref="E243">IFERROR(INDEX('Order Planning'!$F$5:$F$204,MATCH(B243,'Order Planning'!$A$5:$A$204,0)),"")</f>
        <v/>
      </c>
      <c r="F243" s="7"/>
      <c r="G243" s="7"/>
      <c r="L243" s="7">
        <f t="shared" si="1"/>
        <v>0</v>
      </c>
      <c r="M243" s="14">
        <f t="shared" si="2"/>
        <v>0</v>
      </c>
      <c r="N243" s="7"/>
      <c r="O243" s="7">
        <f>IF(N243="Full Process",Settings!$B$6,IF(N243="Assembly Only",Settings!$B$7,0))</f>
        <v>0</v>
      </c>
      <c r="P243" s="14">
        <f t="shared" si="3"/>
        <v>0</v>
      </c>
      <c r="Q243" s="13">
        <f>IF(O243=0,0,MIN(1,L243/O243)*Settings!$B$5)</f>
        <v>0</v>
      </c>
      <c r="R243" s="16"/>
      <c r="S243" s="16"/>
      <c r="U243" s="7"/>
    </row>
    <row r="244" ht="15.75" customHeight="1">
      <c r="A244" s="15"/>
      <c r="B244" s="7"/>
      <c r="C244" s="7" t="str">
        <f t="array" ref="C244">IFERROR(INDEX('Order Planning'!$C$5:$C$204,MATCH(B244,'Order Planning'!$A$5:$A$204,0)),"")</f>
        <v/>
      </c>
      <c r="D244" s="7" t="str">
        <f t="array" ref="D244">IFERROR(INDEX('Order Planning'!$E$5:$E$204,MATCH(B244,'Order Planning'!$A$5:$A$204,0)),"")</f>
        <v/>
      </c>
      <c r="E244" s="7" t="str">
        <f t="array" ref="E244">IFERROR(INDEX('Order Planning'!$F$5:$F$204,MATCH(B244,'Order Planning'!$A$5:$A$204,0)),"")</f>
        <v/>
      </c>
      <c r="F244" s="7"/>
      <c r="G244" s="7"/>
      <c r="L244" s="7">
        <f t="shared" si="1"/>
        <v>0</v>
      </c>
      <c r="M244" s="14">
        <f t="shared" si="2"/>
        <v>0</v>
      </c>
      <c r="N244" s="7"/>
      <c r="O244" s="7">
        <f>IF(N244="Full Process",Settings!$B$6,IF(N244="Assembly Only",Settings!$B$7,0))</f>
        <v>0</v>
      </c>
      <c r="P244" s="14">
        <f t="shared" si="3"/>
        <v>0</v>
      </c>
      <c r="Q244" s="13">
        <f>IF(O244=0,0,MIN(1,L244/O244)*Settings!$B$5)</f>
        <v>0</v>
      </c>
      <c r="R244" s="16"/>
      <c r="S244" s="16"/>
      <c r="U244" s="7"/>
    </row>
    <row r="245" ht="15.75" customHeight="1">
      <c r="A245" s="15"/>
      <c r="B245" s="7"/>
      <c r="C245" s="7" t="str">
        <f t="array" ref="C245">IFERROR(INDEX('Order Planning'!$C$5:$C$204,MATCH(B245,'Order Planning'!$A$5:$A$204,0)),"")</f>
        <v/>
      </c>
      <c r="D245" s="7" t="str">
        <f t="array" ref="D245">IFERROR(INDEX('Order Planning'!$E$5:$E$204,MATCH(B245,'Order Planning'!$A$5:$A$204,0)),"")</f>
        <v/>
      </c>
      <c r="E245" s="7" t="str">
        <f t="array" ref="E245">IFERROR(INDEX('Order Planning'!$F$5:$F$204,MATCH(B245,'Order Planning'!$A$5:$A$204,0)),"")</f>
        <v/>
      </c>
      <c r="F245" s="7"/>
      <c r="G245" s="7"/>
      <c r="L245" s="7">
        <f t="shared" si="1"/>
        <v>0</v>
      </c>
      <c r="M245" s="14">
        <f t="shared" si="2"/>
        <v>0</v>
      </c>
      <c r="N245" s="7"/>
      <c r="O245" s="7">
        <f>IF(N245="Full Process",Settings!$B$6,IF(N245="Assembly Only",Settings!$B$7,0))</f>
        <v>0</v>
      </c>
      <c r="P245" s="14">
        <f t="shared" si="3"/>
        <v>0</v>
      </c>
      <c r="Q245" s="13">
        <f>IF(O245=0,0,MIN(1,L245/O245)*Settings!$B$5)</f>
        <v>0</v>
      </c>
      <c r="R245" s="16"/>
      <c r="S245" s="16"/>
      <c r="U245" s="7"/>
    </row>
    <row r="246" ht="15.75" customHeight="1">
      <c r="A246" s="15"/>
      <c r="B246" s="7"/>
      <c r="C246" s="7" t="str">
        <f t="array" ref="C246">IFERROR(INDEX('Order Planning'!$C$5:$C$204,MATCH(B246,'Order Planning'!$A$5:$A$204,0)),"")</f>
        <v/>
      </c>
      <c r="D246" s="7" t="str">
        <f t="array" ref="D246">IFERROR(INDEX('Order Planning'!$E$5:$E$204,MATCH(B246,'Order Planning'!$A$5:$A$204,0)),"")</f>
        <v/>
      </c>
      <c r="E246" s="7" t="str">
        <f t="array" ref="E246">IFERROR(INDEX('Order Planning'!$F$5:$F$204,MATCH(B246,'Order Planning'!$A$5:$A$204,0)),"")</f>
        <v/>
      </c>
      <c r="F246" s="7"/>
      <c r="G246" s="7"/>
      <c r="L246" s="7">
        <f t="shared" si="1"/>
        <v>0</v>
      </c>
      <c r="M246" s="14">
        <f t="shared" si="2"/>
        <v>0</v>
      </c>
      <c r="N246" s="7"/>
      <c r="O246" s="7">
        <f>IF(N246="Full Process",Settings!$B$6,IF(N246="Assembly Only",Settings!$B$7,0))</f>
        <v>0</v>
      </c>
      <c r="P246" s="14">
        <f t="shared" si="3"/>
        <v>0</v>
      </c>
      <c r="Q246" s="13">
        <f>IF(O246=0,0,MIN(1,L246/O246)*Settings!$B$5)</f>
        <v>0</v>
      </c>
      <c r="R246" s="16"/>
      <c r="S246" s="16"/>
      <c r="U246" s="7"/>
    </row>
    <row r="247" ht="15.75" customHeight="1">
      <c r="A247" s="15"/>
      <c r="B247" s="7"/>
      <c r="C247" s="7" t="str">
        <f t="array" ref="C247">IFERROR(INDEX('Order Planning'!$C$5:$C$204,MATCH(B247,'Order Planning'!$A$5:$A$204,0)),"")</f>
        <v/>
      </c>
      <c r="D247" s="7" t="str">
        <f t="array" ref="D247">IFERROR(INDEX('Order Planning'!$E$5:$E$204,MATCH(B247,'Order Planning'!$A$5:$A$204,0)),"")</f>
        <v/>
      </c>
      <c r="E247" s="7" t="str">
        <f t="array" ref="E247">IFERROR(INDEX('Order Planning'!$F$5:$F$204,MATCH(B247,'Order Planning'!$A$5:$A$204,0)),"")</f>
        <v/>
      </c>
      <c r="F247" s="7"/>
      <c r="G247" s="7"/>
      <c r="L247" s="7">
        <f t="shared" si="1"/>
        <v>0</v>
      </c>
      <c r="M247" s="14">
        <f t="shared" si="2"/>
        <v>0</v>
      </c>
      <c r="N247" s="7"/>
      <c r="O247" s="7">
        <f>IF(N247="Full Process",Settings!$B$6,IF(N247="Assembly Only",Settings!$B$7,0))</f>
        <v>0</v>
      </c>
      <c r="P247" s="14">
        <f t="shared" si="3"/>
        <v>0</v>
      </c>
      <c r="Q247" s="13">
        <f>IF(O247=0,0,MIN(1,L247/O247)*Settings!$B$5)</f>
        <v>0</v>
      </c>
      <c r="R247" s="16"/>
      <c r="S247" s="16"/>
      <c r="U247" s="7"/>
    </row>
    <row r="248" ht="15.75" customHeight="1">
      <c r="A248" s="15"/>
      <c r="B248" s="7"/>
      <c r="C248" s="7" t="str">
        <f t="array" ref="C248">IFERROR(INDEX('Order Planning'!$C$5:$C$204,MATCH(B248,'Order Planning'!$A$5:$A$204,0)),"")</f>
        <v/>
      </c>
      <c r="D248" s="7" t="str">
        <f t="array" ref="D248">IFERROR(INDEX('Order Planning'!$E$5:$E$204,MATCH(B248,'Order Planning'!$A$5:$A$204,0)),"")</f>
        <v/>
      </c>
      <c r="E248" s="7" t="str">
        <f t="array" ref="E248">IFERROR(INDEX('Order Planning'!$F$5:$F$204,MATCH(B248,'Order Planning'!$A$5:$A$204,0)),"")</f>
        <v/>
      </c>
      <c r="F248" s="7"/>
      <c r="G248" s="7"/>
      <c r="L248" s="7">
        <f t="shared" si="1"/>
        <v>0</v>
      </c>
      <c r="M248" s="14">
        <f t="shared" si="2"/>
        <v>0</v>
      </c>
      <c r="N248" s="7"/>
      <c r="O248" s="7">
        <f>IF(N248="Full Process",Settings!$B$6,IF(N248="Assembly Only",Settings!$B$7,0))</f>
        <v>0</v>
      </c>
      <c r="P248" s="14">
        <f t="shared" si="3"/>
        <v>0</v>
      </c>
      <c r="Q248" s="13">
        <f>IF(O248=0,0,MIN(1,L248/O248)*Settings!$B$5)</f>
        <v>0</v>
      </c>
      <c r="R248" s="16"/>
      <c r="S248" s="16"/>
      <c r="U248" s="7"/>
    </row>
    <row r="249" ht="15.75" customHeight="1">
      <c r="A249" s="15"/>
      <c r="B249" s="7"/>
      <c r="C249" s="7" t="str">
        <f t="array" ref="C249">IFERROR(INDEX('Order Planning'!$C$5:$C$204,MATCH(B249,'Order Planning'!$A$5:$A$204,0)),"")</f>
        <v/>
      </c>
      <c r="D249" s="7" t="str">
        <f t="array" ref="D249">IFERROR(INDEX('Order Planning'!$E$5:$E$204,MATCH(B249,'Order Planning'!$A$5:$A$204,0)),"")</f>
        <v/>
      </c>
      <c r="E249" s="7" t="str">
        <f t="array" ref="E249">IFERROR(INDEX('Order Planning'!$F$5:$F$204,MATCH(B249,'Order Planning'!$A$5:$A$204,0)),"")</f>
        <v/>
      </c>
      <c r="F249" s="7"/>
      <c r="G249" s="7"/>
      <c r="L249" s="7">
        <f t="shared" si="1"/>
        <v>0</v>
      </c>
      <c r="M249" s="14">
        <f t="shared" si="2"/>
        <v>0</v>
      </c>
      <c r="N249" s="7"/>
      <c r="O249" s="7">
        <f>IF(N249="Full Process",Settings!$B$6,IF(N249="Assembly Only",Settings!$B$7,0))</f>
        <v>0</v>
      </c>
      <c r="P249" s="14">
        <f t="shared" si="3"/>
        <v>0</v>
      </c>
      <c r="Q249" s="13">
        <f>IF(O249=0,0,MIN(1,L249/O249)*Settings!$B$5)</f>
        <v>0</v>
      </c>
      <c r="R249" s="16"/>
      <c r="S249" s="16"/>
      <c r="U249" s="7"/>
    </row>
    <row r="250" ht="15.75" customHeight="1">
      <c r="A250" s="15"/>
      <c r="B250" s="7"/>
      <c r="C250" s="7" t="str">
        <f t="array" ref="C250">IFERROR(INDEX('Order Planning'!$C$5:$C$204,MATCH(B250,'Order Planning'!$A$5:$A$204,0)),"")</f>
        <v/>
      </c>
      <c r="D250" s="7" t="str">
        <f t="array" ref="D250">IFERROR(INDEX('Order Planning'!$E$5:$E$204,MATCH(B250,'Order Planning'!$A$5:$A$204,0)),"")</f>
        <v/>
      </c>
      <c r="E250" s="7" t="str">
        <f t="array" ref="E250">IFERROR(INDEX('Order Planning'!$F$5:$F$204,MATCH(B250,'Order Planning'!$A$5:$A$204,0)),"")</f>
        <v/>
      </c>
      <c r="F250" s="7"/>
      <c r="G250" s="7"/>
      <c r="L250" s="7">
        <f t="shared" si="1"/>
        <v>0</v>
      </c>
      <c r="M250" s="14">
        <f t="shared" si="2"/>
        <v>0</v>
      </c>
      <c r="N250" s="7"/>
      <c r="O250" s="7">
        <f>IF(N250="Full Process",Settings!$B$6,IF(N250="Assembly Only",Settings!$B$7,0))</f>
        <v>0</v>
      </c>
      <c r="P250" s="14">
        <f t="shared" si="3"/>
        <v>0</v>
      </c>
      <c r="Q250" s="13">
        <f>IF(O250=0,0,MIN(1,L250/O250)*Settings!$B$5)</f>
        <v>0</v>
      </c>
      <c r="R250" s="16"/>
      <c r="S250" s="16"/>
      <c r="U250" s="7"/>
    </row>
    <row r="251" ht="15.75" customHeight="1">
      <c r="A251" s="15"/>
      <c r="B251" s="7"/>
      <c r="C251" s="7" t="str">
        <f t="array" ref="C251">IFERROR(INDEX('Order Planning'!$C$5:$C$204,MATCH(B251,'Order Planning'!$A$5:$A$204,0)),"")</f>
        <v/>
      </c>
      <c r="D251" s="7" t="str">
        <f t="array" ref="D251">IFERROR(INDEX('Order Planning'!$E$5:$E$204,MATCH(B251,'Order Planning'!$A$5:$A$204,0)),"")</f>
        <v/>
      </c>
      <c r="E251" s="7" t="str">
        <f t="array" ref="E251">IFERROR(INDEX('Order Planning'!$F$5:$F$204,MATCH(B251,'Order Planning'!$A$5:$A$204,0)),"")</f>
        <v/>
      </c>
      <c r="F251" s="7"/>
      <c r="G251" s="7"/>
      <c r="L251" s="7">
        <f t="shared" si="1"/>
        <v>0</v>
      </c>
      <c r="M251" s="14">
        <f t="shared" si="2"/>
        <v>0</v>
      </c>
      <c r="N251" s="7"/>
      <c r="O251" s="7">
        <f>IF(N251="Full Process",Settings!$B$6,IF(N251="Assembly Only",Settings!$B$7,0))</f>
        <v>0</v>
      </c>
      <c r="P251" s="14">
        <f t="shared" si="3"/>
        <v>0</v>
      </c>
      <c r="Q251" s="13">
        <f>IF(O251=0,0,MIN(1,L251/O251)*Settings!$B$5)</f>
        <v>0</v>
      </c>
      <c r="R251" s="16"/>
      <c r="S251" s="16"/>
      <c r="U251" s="7"/>
    </row>
    <row r="252" ht="15.75" customHeight="1">
      <c r="A252" s="15"/>
      <c r="B252" s="7"/>
      <c r="C252" s="7" t="str">
        <f t="array" ref="C252">IFERROR(INDEX('Order Planning'!$C$5:$C$204,MATCH(B252,'Order Planning'!$A$5:$A$204,0)),"")</f>
        <v/>
      </c>
      <c r="D252" s="7" t="str">
        <f t="array" ref="D252">IFERROR(INDEX('Order Planning'!$E$5:$E$204,MATCH(B252,'Order Planning'!$A$5:$A$204,0)),"")</f>
        <v/>
      </c>
      <c r="E252" s="7" t="str">
        <f t="array" ref="E252">IFERROR(INDEX('Order Planning'!$F$5:$F$204,MATCH(B252,'Order Planning'!$A$5:$A$204,0)),"")</f>
        <v/>
      </c>
      <c r="F252" s="7"/>
      <c r="G252" s="7"/>
      <c r="L252" s="7">
        <f t="shared" si="1"/>
        <v>0</v>
      </c>
      <c r="M252" s="14">
        <f t="shared" si="2"/>
        <v>0</v>
      </c>
      <c r="N252" s="7"/>
      <c r="O252" s="7">
        <f>IF(N252="Full Process",Settings!$B$6,IF(N252="Assembly Only",Settings!$B$7,0))</f>
        <v>0</v>
      </c>
      <c r="P252" s="14">
        <f t="shared" si="3"/>
        <v>0</v>
      </c>
      <c r="Q252" s="13">
        <f>IF(O252=0,0,MIN(1,L252/O252)*Settings!$B$5)</f>
        <v>0</v>
      </c>
      <c r="R252" s="16"/>
      <c r="S252" s="16"/>
      <c r="U252" s="7"/>
    </row>
    <row r="253" ht="15.75" customHeight="1">
      <c r="A253" s="15"/>
      <c r="B253" s="7"/>
      <c r="C253" s="7" t="str">
        <f t="array" ref="C253">IFERROR(INDEX('Order Planning'!$C$5:$C$204,MATCH(B253,'Order Planning'!$A$5:$A$204,0)),"")</f>
        <v/>
      </c>
      <c r="D253" s="7" t="str">
        <f t="array" ref="D253">IFERROR(INDEX('Order Planning'!$E$5:$E$204,MATCH(B253,'Order Planning'!$A$5:$A$204,0)),"")</f>
        <v/>
      </c>
      <c r="E253" s="7" t="str">
        <f t="array" ref="E253">IFERROR(INDEX('Order Planning'!$F$5:$F$204,MATCH(B253,'Order Planning'!$A$5:$A$204,0)),"")</f>
        <v/>
      </c>
      <c r="F253" s="7"/>
      <c r="G253" s="7"/>
      <c r="L253" s="7">
        <f t="shared" si="1"/>
        <v>0</v>
      </c>
      <c r="M253" s="14">
        <f t="shared" si="2"/>
        <v>0</v>
      </c>
      <c r="N253" s="7"/>
      <c r="O253" s="7">
        <f>IF(N253="Full Process",Settings!$B$6,IF(N253="Assembly Only",Settings!$B$7,0))</f>
        <v>0</v>
      </c>
      <c r="P253" s="14">
        <f t="shared" si="3"/>
        <v>0</v>
      </c>
      <c r="Q253" s="13">
        <f>IF(O253=0,0,MIN(1,L253/O253)*Settings!$B$5)</f>
        <v>0</v>
      </c>
      <c r="R253" s="16"/>
      <c r="S253" s="16"/>
      <c r="U253" s="7"/>
    </row>
    <row r="254" ht="15.75" customHeight="1">
      <c r="A254" s="15"/>
      <c r="B254" s="7"/>
      <c r="C254" s="7" t="str">
        <f t="array" ref="C254">IFERROR(INDEX('Order Planning'!$C$5:$C$204,MATCH(B254,'Order Planning'!$A$5:$A$204,0)),"")</f>
        <v/>
      </c>
      <c r="D254" s="7" t="str">
        <f t="array" ref="D254">IFERROR(INDEX('Order Planning'!$E$5:$E$204,MATCH(B254,'Order Planning'!$A$5:$A$204,0)),"")</f>
        <v/>
      </c>
      <c r="E254" s="7" t="str">
        <f t="array" ref="E254">IFERROR(INDEX('Order Planning'!$F$5:$F$204,MATCH(B254,'Order Planning'!$A$5:$A$204,0)),"")</f>
        <v/>
      </c>
      <c r="F254" s="7"/>
      <c r="G254" s="7"/>
      <c r="L254" s="7">
        <f t="shared" si="1"/>
        <v>0</v>
      </c>
      <c r="M254" s="14">
        <f t="shared" si="2"/>
        <v>0</v>
      </c>
      <c r="N254" s="7"/>
      <c r="O254" s="7">
        <f>IF(N254="Full Process",Settings!$B$6,IF(N254="Assembly Only",Settings!$B$7,0))</f>
        <v>0</v>
      </c>
      <c r="P254" s="14">
        <f t="shared" si="3"/>
        <v>0</v>
      </c>
      <c r="Q254" s="13">
        <f>IF(O254=0,0,MIN(1,L254/O254)*Settings!$B$5)</f>
        <v>0</v>
      </c>
      <c r="R254" s="16"/>
      <c r="S254" s="16"/>
      <c r="U254" s="7"/>
    </row>
    <row r="255" ht="15.75" customHeight="1">
      <c r="A255" s="15"/>
      <c r="B255" s="7"/>
      <c r="C255" s="7" t="str">
        <f t="array" ref="C255">IFERROR(INDEX('Order Planning'!$C$5:$C$204,MATCH(B255,'Order Planning'!$A$5:$A$204,0)),"")</f>
        <v/>
      </c>
      <c r="D255" s="7" t="str">
        <f t="array" ref="D255">IFERROR(INDEX('Order Planning'!$E$5:$E$204,MATCH(B255,'Order Planning'!$A$5:$A$204,0)),"")</f>
        <v/>
      </c>
      <c r="E255" s="7" t="str">
        <f t="array" ref="E255">IFERROR(INDEX('Order Planning'!$F$5:$F$204,MATCH(B255,'Order Planning'!$A$5:$A$204,0)),"")</f>
        <v/>
      </c>
      <c r="F255" s="7"/>
      <c r="G255" s="7"/>
      <c r="L255" s="7">
        <f t="shared" si="1"/>
        <v>0</v>
      </c>
      <c r="M255" s="14">
        <f t="shared" si="2"/>
        <v>0</v>
      </c>
      <c r="N255" s="7"/>
      <c r="O255" s="7">
        <f>IF(N255="Full Process",Settings!$B$6,IF(N255="Assembly Only",Settings!$B$7,0))</f>
        <v>0</v>
      </c>
      <c r="P255" s="14">
        <f t="shared" si="3"/>
        <v>0</v>
      </c>
      <c r="Q255" s="13">
        <f>IF(O255=0,0,MIN(1,L255/O255)*Settings!$B$5)</f>
        <v>0</v>
      </c>
      <c r="R255" s="16"/>
      <c r="S255" s="16"/>
      <c r="U255" s="7"/>
    </row>
    <row r="256" ht="15.75" customHeight="1">
      <c r="A256" s="15"/>
      <c r="B256" s="7"/>
      <c r="C256" s="7" t="str">
        <f t="array" ref="C256">IFERROR(INDEX('Order Planning'!$C$5:$C$204,MATCH(B256,'Order Planning'!$A$5:$A$204,0)),"")</f>
        <v/>
      </c>
      <c r="D256" s="7" t="str">
        <f t="array" ref="D256">IFERROR(INDEX('Order Planning'!$E$5:$E$204,MATCH(B256,'Order Planning'!$A$5:$A$204,0)),"")</f>
        <v/>
      </c>
      <c r="E256" s="7" t="str">
        <f t="array" ref="E256">IFERROR(INDEX('Order Planning'!$F$5:$F$204,MATCH(B256,'Order Planning'!$A$5:$A$204,0)),"")</f>
        <v/>
      </c>
      <c r="F256" s="7"/>
      <c r="G256" s="7"/>
      <c r="L256" s="7">
        <f t="shared" si="1"/>
        <v>0</v>
      </c>
      <c r="M256" s="14">
        <f t="shared" si="2"/>
        <v>0</v>
      </c>
      <c r="N256" s="7"/>
      <c r="O256" s="7">
        <f>IF(N256="Full Process",Settings!$B$6,IF(N256="Assembly Only",Settings!$B$7,0))</f>
        <v>0</v>
      </c>
      <c r="P256" s="14">
        <f t="shared" si="3"/>
        <v>0</v>
      </c>
      <c r="Q256" s="13">
        <f>IF(O256=0,0,MIN(1,L256/O256)*Settings!$B$5)</f>
        <v>0</v>
      </c>
      <c r="R256" s="16"/>
      <c r="S256" s="16"/>
      <c r="U256" s="7"/>
    </row>
    <row r="257" ht="15.75" customHeight="1">
      <c r="A257" s="15"/>
      <c r="B257" s="7"/>
      <c r="C257" s="7" t="str">
        <f t="array" ref="C257">IFERROR(INDEX('Order Planning'!$C$5:$C$204,MATCH(B257,'Order Planning'!$A$5:$A$204,0)),"")</f>
        <v/>
      </c>
      <c r="D257" s="7" t="str">
        <f t="array" ref="D257">IFERROR(INDEX('Order Planning'!$E$5:$E$204,MATCH(B257,'Order Planning'!$A$5:$A$204,0)),"")</f>
        <v/>
      </c>
      <c r="E257" s="7" t="str">
        <f t="array" ref="E257">IFERROR(INDEX('Order Planning'!$F$5:$F$204,MATCH(B257,'Order Planning'!$A$5:$A$204,0)),"")</f>
        <v/>
      </c>
      <c r="F257" s="7"/>
      <c r="G257" s="7"/>
      <c r="L257" s="7">
        <f t="shared" si="1"/>
        <v>0</v>
      </c>
      <c r="M257" s="14">
        <f t="shared" si="2"/>
        <v>0</v>
      </c>
      <c r="N257" s="7"/>
      <c r="O257" s="7">
        <f>IF(N257="Full Process",Settings!$B$6,IF(N257="Assembly Only",Settings!$B$7,0))</f>
        <v>0</v>
      </c>
      <c r="P257" s="14">
        <f t="shared" si="3"/>
        <v>0</v>
      </c>
      <c r="Q257" s="13">
        <f>IF(O257=0,0,MIN(1,L257/O257)*Settings!$B$5)</f>
        <v>0</v>
      </c>
      <c r="R257" s="16"/>
      <c r="S257" s="16"/>
      <c r="U257" s="7"/>
    </row>
    <row r="258" ht="15.75" customHeight="1">
      <c r="A258" s="15"/>
      <c r="B258" s="7"/>
      <c r="C258" s="7" t="str">
        <f t="array" ref="C258">IFERROR(INDEX('Order Planning'!$C$5:$C$204,MATCH(B258,'Order Planning'!$A$5:$A$204,0)),"")</f>
        <v/>
      </c>
      <c r="D258" s="7" t="str">
        <f t="array" ref="D258">IFERROR(INDEX('Order Planning'!$E$5:$E$204,MATCH(B258,'Order Planning'!$A$5:$A$204,0)),"")</f>
        <v/>
      </c>
      <c r="E258" s="7" t="str">
        <f t="array" ref="E258">IFERROR(INDEX('Order Planning'!$F$5:$F$204,MATCH(B258,'Order Planning'!$A$5:$A$204,0)),"")</f>
        <v/>
      </c>
      <c r="F258" s="7"/>
      <c r="G258" s="7"/>
      <c r="L258" s="7">
        <f t="shared" si="1"/>
        <v>0</v>
      </c>
      <c r="M258" s="14">
        <f t="shared" si="2"/>
        <v>0</v>
      </c>
      <c r="N258" s="7"/>
      <c r="O258" s="7">
        <f>IF(N258="Full Process",Settings!$B$6,IF(N258="Assembly Only",Settings!$B$7,0))</f>
        <v>0</v>
      </c>
      <c r="P258" s="14">
        <f t="shared" si="3"/>
        <v>0</v>
      </c>
      <c r="Q258" s="13">
        <f>IF(O258=0,0,MIN(1,L258/O258)*Settings!$B$5)</f>
        <v>0</v>
      </c>
      <c r="R258" s="16"/>
      <c r="S258" s="16"/>
      <c r="U258" s="7"/>
    </row>
    <row r="259" ht="15.75" customHeight="1">
      <c r="A259" s="15"/>
      <c r="B259" s="7"/>
      <c r="C259" s="7" t="str">
        <f t="array" ref="C259">IFERROR(INDEX('Order Planning'!$C$5:$C$204,MATCH(B259,'Order Planning'!$A$5:$A$204,0)),"")</f>
        <v/>
      </c>
      <c r="D259" s="7" t="str">
        <f t="array" ref="D259">IFERROR(INDEX('Order Planning'!$E$5:$E$204,MATCH(B259,'Order Planning'!$A$5:$A$204,0)),"")</f>
        <v/>
      </c>
      <c r="E259" s="7" t="str">
        <f t="array" ref="E259">IFERROR(INDEX('Order Planning'!$F$5:$F$204,MATCH(B259,'Order Planning'!$A$5:$A$204,0)),"")</f>
        <v/>
      </c>
      <c r="F259" s="7"/>
      <c r="G259" s="7"/>
      <c r="L259" s="7">
        <f t="shared" si="1"/>
        <v>0</v>
      </c>
      <c r="M259" s="14">
        <f t="shared" si="2"/>
        <v>0</v>
      </c>
      <c r="N259" s="7"/>
      <c r="O259" s="7">
        <f>IF(N259="Full Process",Settings!$B$6,IF(N259="Assembly Only",Settings!$B$7,0))</f>
        <v>0</v>
      </c>
      <c r="P259" s="14">
        <f t="shared" si="3"/>
        <v>0</v>
      </c>
      <c r="Q259" s="13">
        <f>IF(O259=0,0,MIN(1,L259/O259)*Settings!$B$5)</f>
        <v>0</v>
      </c>
      <c r="R259" s="16"/>
      <c r="S259" s="16"/>
      <c r="U259" s="7"/>
    </row>
    <row r="260" ht="15.75" customHeight="1">
      <c r="A260" s="15"/>
      <c r="B260" s="7"/>
      <c r="C260" s="7" t="str">
        <f t="array" ref="C260">IFERROR(INDEX('Order Planning'!$C$5:$C$204,MATCH(B260,'Order Planning'!$A$5:$A$204,0)),"")</f>
        <v/>
      </c>
      <c r="D260" s="7" t="str">
        <f t="array" ref="D260">IFERROR(INDEX('Order Planning'!$E$5:$E$204,MATCH(B260,'Order Planning'!$A$5:$A$204,0)),"")</f>
        <v/>
      </c>
      <c r="E260" s="7" t="str">
        <f t="array" ref="E260">IFERROR(INDEX('Order Planning'!$F$5:$F$204,MATCH(B260,'Order Planning'!$A$5:$A$204,0)),"")</f>
        <v/>
      </c>
      <c r="F260" s="7"/>
      <c r="G260" s="7"/>
      <c r="L260" s="7">
        <f t="shared" si="1"/>
        <v>0</v>
      </c>
      <c r="M260" s="14">
        <f t="shared" si="2"/>
        <v>0</v>
      </c>
      <c r="N260" s="7"/>
      <c r="O260" s="7">
        <f>IF(N260="Full Process",Settings!$B$6,IF(N260="Assembly Only",Settings!$B$7,0))</f>
        <v>0</v>
      </c>
      <c r="P260" s="14">
        <f t="shared" si="3"/>
        <v>0</v>
      </c>
      <c r="Q260" s="13">
        <f>IF(O260=0,0,MIN(1,L260/O260)*Settings!$B$5)</f>
        <v>0</v>
      </c>
      <c r="R260" s="16"/>
      <c r="S260" s="16"/>
      <c r="U260" s="7"/>
    </row>
    <row r="261" ht="15.75" customHeight="1">
      <c r="A261" s="15"/>
      <c r="B261" s="7"/>
      <c r="C261" s="7" t="str">
        <f t="array" ref="C261">IFERROR(INDEX('Order Planning'!$C$5:$C$204,MATCH(B261,'Order Planning'!$A$5:$A$204,0)),"")</f>
        <v/>
      </c>
      <c r="D261" s="7" t="str">
        <f t="array" ref="D261">IFERROR(INDEX('Order Planning'!$E$5:$E$204,MATCH(B261,'Order Planning'!$A$5:$A$204,0)),"")</f>
        <v/>
      </c>
      <c r="E261" s="7" t="str">
        <f t="array" ref="E261">IFERROR(INDEX('Order Planning'!$F$5:$F$204,MATCH(B261,'Order Planning'!$A$5:$A$204,0)),"")</f>
        <v/>
      </c>
      <c r="F261" s="7"/>
      <c r="G261" s="7"/>
      <c r="L261" s="7">
        <f t="shared" si="1"/>
        <v>0</v>
      </c>
      <c r="M261" s="14">
        <f t="shared" si="2"/>
        <v>0</v>
      </c>
      <c r="N261" s="7"/>
      <c r="O261" s="7">
        <f>IF(N261="Full Process",Settings!$B$6,IF(N261="Assembly Only",Settings!$B$7,0))</f>
        <v>0</v>
      </c>
      <c r="P261" s="14">
        <f t="shared" si="3"/>
        <v>0</v>
      </c>
      <c r="Q261" s="13">
        <f>IF(O261=0,0,MIN(1,L261/O261)*Settings!$B$5)</f>
        <v>0</v>
      </c>
      <c r="R261" s="16"/>
      <c r="S261" s="16"/>
      <c r="U261" s="7"/>
    </row>
    <row r="262" ht="15.75" customHeight="1">
      <c r="A262" s="15"/>
      <c r="B262" s="7"/>
      <c r="C262" s="7" t="str">
        <f t="array" ref="C262">IFERROR(INDEX('Order Planning'!$C$5:$C$204,MATCH(B262,'Order Planning'!$A$5:$A$204,0)),"")</f>
        <v/>
      </c>
      <c r="D262" s="7" t="str">
        <f t="array" ref="D262">IFERROR(INDEX('Order Planning'!$E$5:$E$204,MATCH(B262,'Order Planning'!$A$5:$A$204,0)),"")</f>
        <v/>
      </c>
      <c r="E262" s="7" t="str">
        <f t="array" ref="E262">IFERROR(INDEX('Order Planning'!$F$5:$F$204,MATCH(B262,'Order Planning'!$A$5:$A$204,0)),"")</f>
        <v/>
      </c>
      <c r="F262" s="7"/>
      <c r="G262" s="7"/>
      <c r="L262" s="7">
        <f t="shared" si="1"/>
        <v>0</v>
      </c>
      <c r="M262" s="14">
        <f t="shared" si="2"/>
        <v>0</v>
      </c>
      <c r="N262" s="7"/>
      <c r="O262" s="7">
        <f>IF(N262="Full Process",Settings!$B$6,IF(N262="Assembly Only",Settings!$B$7,0))</f>
        <v>0</v>
      </c>
      <c r="P262" s="14">
        <f t="shared" si="3"/>
        <v>0</v>
      </c>
      <c r="Q262" s="13">
        <f>IF(O262=0,0,MIN(1,L262/O262)*Settings!$B$5)</f>
        <v>0</v>
      </c>
      <c r="R262" s="16"/>
      <c r="S262" s="16"/>
      <c r="U262" s="7"/>
    </row>
    <row r="263" ht="15.75" customHeight="1">
      <c r="A263" s="15"/>
      <c r="B263" s="7"/>
      <c r="C263" s="7" t="str">
        <f t="array" ref="C263">IFERROR(INDEX('Order Planning'!$C$5:$C$204,MATCH(B263,'Order Planning'!$A$5:$A$204,0)),"")</f>
        <v/>
      </c>
      <c r="D263" s="7" t="str">
        <f t="array" ref="D263">IFERROR(INDEX('Order Planning'!$E$5:$E$204,MATCH(B263,'Order Planning'!$A$5:$A$204,0)),"")</f>
        <v/>
      </c>
      <c r="E263" s="7" t="str">
        <f t="array" ref="E263">IFERROR(INDEX('Order Planning'!$F$5:$F$204,MATCH(B263,'Order Planning'!$A$5:$A$204,0)),"")</f>
        <v/>
      </c>
      <c r="F263" s="7"/>
      <c r="G263" s="7"/>
      <c r="L263" s="7">
        <f t="shared" si="1"/>
        <v>0</v>
      </c>
      <c r="M263" s="14">
        <f t="shared" si="2"/>
        <v>0</v>
      </c>
      <c r="N263" s="7"/>
      <c r="O263" s="7">
        <f>IF(N263="Full Process",Settings!$B$6,IF(N263="Assembly Only",Settings!$B$7,0))</f>
        <v>0</v>
      </c>
      <c r="P263" s="14">
        <f t="shared" si="3"/>
        <v>0</v>
      </c>
      <c r="Q263" s="13">
        <f>IF(O263=0,0,MIN(1,L263/O263)*Settings!$B$5)</f>
        <v>0</v>
      </c>
      <c r="R263" s="16"/>
      <c r="S263" s="16"/>
      <c r="U263" s="7"/>
    </row>
    <row r="264" ht="15.75" customHeight="1">
      <c r="A264" s="15"/>
      <c r="B264" s="7"/>
      <c r="C264" s="7" t="str">
        <f t="array" ref="C264">IFERROR(INDEX('Order Planning'!$C$5:$C$204,MATCH(B264,'Order Planning'!$A$5:$A$204,0)),"")</f>
        <v/>
      </c>
      <c r="D264" s="7" t="str">
        <f t="array" ref="D264">IFERROR(INDEX('Order Planning'!$E$5:$E$204,MATCH(B264,'Order Planning'!$A$5:$A$204,0)),"")</f>
        <v/>
      </c>
      <c r="E264" s="7" t="str">
        <f t="array" ref="E264">IFERROR(INDEX('Order Planning'!$F$5:$F$204,MATCH(B264,'Order Planning'!$A$5:$A$204,0)),"")</f>
        <v/>
      </c>
      <c r="F264" s="7"/>
      <c r="G264" s="7"/>
      <c r="L264" s="7">
        <f t="shared" si="1"/>
        <v>0</v>
      </c>
      <c r="M264" s="14">
        <f t="shared" si="2"/>
        <v>0</v>
      </c>
      <c r="N264" s="7"/>
      <c r="O264" s="7">
        <f>IF(N264="Full Process",Settings!$B$6,IF(N264="Assembly Only",Settings!$B$7,0))</f>
        <v>0</v>
      </c>
      <c r="P264" s="14">
        <f t="shared" si="3"/>
        <v>0</v>
      </c>
      <c r="Q264" s="13">
        <f>IF(O264=0,0,MIN(1,L264/O264)*Settings!$B$5)</f>
        <v>0</v>
      </c>
      <c r="R264" s="16"/>
      <c r="S264" s="16"/>
      <c r="U264" s="7"/>
    </row>
    <row r="265" ht="15.75" customHeight="1">
      <c r="A265" s="15"/>
      <c r="B265" s="7"/>
      <c r="C265" s="7" t="str">
        <f t="array" ref="C265">IFERROR(INDEX('Order Planning'!$C$5:$C$204,MATCH(B265,'Order Planning'!$A$5:$A$204,0)),"")</f>
        <v/>
      </c>
      <c r="D265" s="7" t="str">
        <f t="array" ref="D265">IFERROR(INDEX('Order Planning'!$E$5:$E$204,MATCH(B265,'Order Planning'!$A$5:$A$204,0)),"")</f>
        <v/>
      </c>
      <c r="E265" s="7" t="str">
        <f t="array" ref="E265">IFERROR(INDEX('Order Planning'!$F$5:$F$204,MATCH(B265,'Order Planning'!$A$5:$A$204,0)),"")</f>
        <v/>
      </c>
      <c r="F265" s="7"/>
      <c r="G265" s="7"/>
      <c r="L265" s="7">
        <f t="shared" si="1"/>
        <v>0</v>
      </c>
      <c r="M265" s="14">
        <f t="shared" si="2"/>
        <v>0</v>
      </c>
      <c r="N265" s="7"/>
      <c r="O265" s="7">
        <f>IF(N265="Full Process",Settings!$B$6,IF(N265="Assembly Only",Settings!$B$7,0))</f>
        <v>0</v>
      </c>
      <c r="P265" s="14">
        <f t="shared" si="3"/>
        <v>0</v>
      </c>
      <c r="Q265" s="13">
        <f>IF(O265=0,0,MIN(1,L265/O265)*Settings!$B$5)</f>
        <v>0</v>
      </c>
      <c r="R265" s="16"/>
      <c r="S265" s="16"/>
      <c r="U265" s="7"/>
    </row>
    <row r="266" ht="15.75" customHeight="1">
      <c r="A266" s="15"/>
      <c r="B266" s="7"/>
      <c r="C266" s="7" t="str">
        <f t="array" ref="C266">IFERROR(INDEX('Order Planning'!$C$5:$C$204,MATCH(B266,'Order Planning'!$A$5:$A$204,0)),"")</f>
        <v/>
      </c>
      <c r="D266" s="7" t="str">
        <f t="array" ref="D266">IFERROR(INDEX('Order Planning'!$E$5:$E$204,MATCH(B266,'Order Planning'!$A$5:$A$204,0)),"")</f>
        <v/>
      </c>
      <c r="E266" s="7" t="str">
        <f t="array" ref="E266">IFERROR(INDEX('Order Planning'!$F$5:$F$204,MATCH(B266,'Order Planning'!$A$5:$A$204,0)),"")</f>
        <v/>
      </c>
      <c r="F266" s="7"/>
      <c r="G266" s="7"/>
      <c r="L266" s="7">
        <f t="shared" si="1"/>
        <v>0</v>
      </c>
      <c r="M266" s="14">
        <f t="shared" si="2"/>
        <v>0</v>
      </c>
      <c r="N266" s="7"/>
      <c r="O266" s="7">
        <f>IF(N266="Full Process",Settings!$B$6,IF(N266="Assembly Only",Settings!$B$7,0))</f>
        <v>0</v>
      </c>
      <c r="P266" s="14">
        <f t="shared" si="3"/>
        <v>0</v>
      </c>
      <c r="Q266" s="13">
        <f>IF(O266=0,0,MIN(1,L266/O266)*Settings!$B$5)</f>
        <v>0</v>
      </c>
      <c r="R266" s="16"/>
      <c r="S266" s="16"/>
      <c r="U266" s="7"/>
    </row>
    <row r="267" ht="15.75" customHeight="1">
      <c r="A267" s="15"/>
      <c r="B267" s="7"/>
      <c r="C267" s="7" t="str">
        <f t="array" ref="C267">IFERROR(INDEX('Order Planning'!$C$5:$C$204,MATCH(B267,'Order Planning'!$A$5:$A$204,0)),"")</f>
        <v/>
      </c>
      <c r="D267" s="7" t="str">
        <f t="array" ref="D267">IFERROR(INDEX('Order Planning'!$E$5:$E$204,MATCH(B267,'Order Planning'!$A$5:$A$204,0)),"")</f>
        <v/>
      </c>
      <c r="E267" s="7" t="str">
        <f t="array" ref="E267">IFERROR(INDEX('Order Planning'!$F$5:$F$204,MATCH(B267,'Order Planning'!$A$5:$A$204,0)),"")</f>
        <v/>
      </c>
      <c r="F267" s="7"/>
      <c r="G267" s="7"/>
      <c r="L267" s="7">
        <f t="shared" si="1"/>
        <v>0</v>
      </c>
      <c r="M267" s="14">
        <f t="shared" si="2"/>
        <v>0</v>
      </c>
      <c r="N267" s="7"/>
      <c r="O267" s="7">
        <f>IF(N267="Full Process",Settings!$B$6,IF(N267="Assembly Only",Settings!$B$7,0))</f>
        <v>0</v>
      </c>
      <c r="P267" s="14">
        <f t="shared" si="3"/>
        <v>0</v>
      </c>
      <c r="Q267" s="13">
        <f>IF(O267=0,0,MIN(1,L267/O267)*Settings!$B$5)</f>
        <v>0</v>
      </c>
      <c r="R267" s="16"/>
      <c r="S267" s="16"/>
      <c r="U267" s="7"/>
    </row>
    <row r="268" ht="15.75" customHeight="1">
      <c r="A268" s="15"/>
      <c r="B268" s="7"/>
      <c r="C268" s="7" t="str">
        <f t="array" ref="C268">IFERROR(INDEX('Order Planning'!$C$5:$C$204,MATCH(B268,'Order Planning'!$A$5:$A$204,0)),"")</f>
        <v/>
      </c>
      <c r="D268" s="7" t="str">
        <f t="array" ref="D268">IFERROR(INDEX('Order Planning'!$E$5:$E$204,MATCH(B268,'Order Planning'!$A$5:$A$204,0)),"")</f>
        <v/>
      </c>
      <c r="E268" s="7" t="str">
        <f t="array" ref="E268">IFERROR(INDEX('Order Planning'!$F$5:$F$204,MATCH(B268,'Order Planning'!$A$5:$A$204,0)),"")</f>
        <v/>
      </c>
      <c r="F268" s="7"/>
      <c r="G268" s="7"/>
      <c r="L268" s="7">
        <f t="shared" si="1"/>
        <v>0</v>
      </c>
      <c r="M268" s="14">
        <f t="shared" si="2"/>
        <v>0</v>
      </c>
      <c r="N268" s="7"/>
      <c r="O268" s="7">
        <f>IF(N268="Full Process",Settings!$B$6,IF(N268="Assembly Only",Settings!$B$7,0))</f>
        <v>0</v>
      </c>
      <c r="P268" s="14">
        <f t="shared" si="3"/>
        <v>0</v>
      </c>
      <c r="Q268" s="13">
        <f>IF(O268=0,0,MIN(1,L268/O268)*Settings!$B$5)</f>
        <v>0</v>
      </c>
      <c r="R268" s="16"/>
      <c r="S268" s="16"/>
      <c r="U268" s="7"/>
    </row>
    <row r="269" ht="15.75" customHeight="1">
      <c r="A269" s="15"/>
      <c r="B269" s="7"/>
      <c r="C269" s="7" t="str">
        <f t="array" ref="C269">IFERROR(INDEX('Order Planning'!$C$5:$C$204,MATCH(B269,'Order Planning'!$A$5:$A$204,0)),"")</f>
        <v/>
      </c>
      <c r="D269" s="7" t="str">
        <f t="array" ref="D269">IFERROR(INDEX('Order Planning'!$E$5:$E$204,MATCH(B269,'Order Planning'!$A$5:$A$204,0)),"")</f>
        <v/>
      </c>
      <c r="E269" s="7" t="str">
        <f t="array" ref="E269">IFERROR(INDEX('Order Planning'!$F$5:$F$204,MATCH(B269,'Order Planning'!$A$5:$A$204,0)),"")</f>
        <v/>
      </c>
      <c r="F269" s="7"/>
      <c r="G269" s="7"/>
      <c r="L269" s="7">
        <f t="shared" si="1"/>
        <v>0</v>
      </c>
      <c r="M269" s="14">
        <f t="shared" si="2"/>
        <v>0</v>
      </c>
      <c r="N269" s="7"/>
      <c r="O269" s="7">
        <f>IF(N269="Full Process",Settings!$B$6,IF(N269="Assembly Only",Settings!$B$7,0))</f>
        <v>0</v>
      </c>
      <c r="P269" s="14">
        <f t="shared" si="3"/>
        <v>0</v>
      </c>
      <c r="Q269" s="13">
        <f>IF(O269=0,0,MIN(1,L269/O269)*Settings!$B$5)</f>
        <v>0</v>
      </c>
      <c r="R269" s="16"/>
      <c r="S269" s="16"/>
      <c r="U269" s="7"/>
    </row>
    <row r="270" ht="15.75" customHeight="1">
      <c r="A270" s="15"/>
      <c r="B270" s="7"/>
      <c r="C270" s="7" t="str">
        <f t="array" ref="C270">IFERROR(INDEX('Order Planning'!$C$5:$C$204,MATCH(B270,'Order Planning'!$A$5:$A$204,0)),"")</f>
        <v/>
      </c>
      <c r="D270" s="7" t="str">
        <f t="array" ref="D270">IFERROR(INDEX('Order Planning'!$E$5:$E$204,MATCH(B270,'Order Planning'!$A$5:$A$204,0)),"")</f>
        <v/>
      </c>
      <c r="E270" s="7" t="str">
        <f t="array" ref="E270">IFERROR(INDEX('Order Planning'!$F$5:$F$204,MATCH(B270,'Order Planning'!$A$5:$A$204,0)),"")</f>
        <v/>
      </c>
      <c r="F270" s="7"/>
      <c r="G270" s="7"/>
      <c r="L270" s="7">
        <f t="shared" si="1"/>
        <v>0</v>
      </c>
      <c r="M270" s="14">
        <f t="shared" si="2"/>
        <v>0</v>
      </c>
      <c r="N270" s="7"/>
      <c r="O270" s="7">
        <f>IF(N270="Full Process",Settings!$B$6,IF(N270="Assembly Only",Settings!$B$7,0))</f>
        <v>0</v>
      </c>
      <c r="P270" s="14">
        <f t="shared" si="3"/>
        <v>0</v>
      </c>
      <c r="Q270" s="13">
        <f>IF(O270=0,0,MIN(1,L270/O270)*Settings!$B$5)</f>
        <v>0</v>
      </c>
      <c r="R270" s="16"/>
      <c r="S270" s="16"/>
      <c r="U270" s="7"/>
    </row>
    <row r="271" ht="15.75" customHeight="1">
      <c r="A271" s="15"/>
      <c r="B271" s="7"/>
      <c r="C271" s="7" t="str">
        <f t="array" ref="C271">IFERROR(INDEX('Order Planning'!$C$5:$C$204,MATCH(B271,'Order Planning'!$A$5:$A$204,0)),"")</f>
        <v/>
      </c>
      <c r="D271" s="7" t="str">
        <f t="array" ref="D271">IFERROR(INDEX('Order Planning'!$E$5:$E$204,MATCH(B271,'Order Planning'!$A$5:$A$204,0)),"")</f>
        <v/>
      </c>
      <c r="E271" s="7" t="str">
        <f t="array" ref="E271">IFERROR(INDEX('Order Planning'!$F$5:$F$204,MATCH(B271,'Order Planning'!$A$5:$A$204,0)),"")</f>
        <v/>
      </c>
      <c r="F271" s="7"/>
      <c r="G271" s="7"/>
      <c r="L271" s="7">
        <f t="shared" si="1"/>
        <v>0</v>
      </c>
      <c r="M271" s="14">
        <f t="shared" si="2"/>
        <v>0</v>
      </c>
      <c r="N271" s="7"/>
      <c r="O271" s="7">
        <f>IF(N271="Full Process",Settings!$B$6,IF(N271="Assembly Only",Settings!$B$7,0))</f>
        <v>0</v>
      </c>
      <c r="P271" s="14">
        <f t="shared" si="3"/>
        <v>0</v>
      </c>
      <c r="Q271" s="13">
        <f>IF(O271=0,0,MIN(1,L271/O271)*Settings!$B$5)</f>
        <v>0</v>
      </c>
      <c r="R271" s="16"/>
      <c r="S271" s="16"/>
      <c r="U271" s="7"/>
    </row>
    <row r="272" ht="15.75" customHeight="1">
      <c r="A272" s="15"/>
      <c r="B272" s="7"/>
      <c r="C272" s="7" t="str">
        <f t="array" ref="C272">IFERROR(INDEX('Order Planning'!$C$5:$C$204,MATCH(B272,'Order Planning'!$A$5:$A$204,0)),"")</f>
        <v/>
      </c>
      <c r="D272" s="7" t="str">
        <f t="array" ref="D272">IFERROR(INDEX('Order Planning'!$E$5:$E$204,MATCH(B272,'Order Planning'!$A$5:$A$204,0)),"")</f>
        <v/>
      </c>
      <c r="E272" s="7" t="str">
        <f t="array" ref="E272">IFERROR(INDEX('Order Planning'!$F$5:$F$204,MATCH(B272,'Order Planning'!$A$5:$A$204,0)),"")</f>
        <v/>
      </c>
      <c r="F272" s="7"/>
      <c r="G272" s="7"/>
      <c r="L272" s="7">
        <f t="shared" si="1"/>
        <v>0</v>
      </c>
      <c r="M272" s="14">
        <f t="shared" si="2"/>
        <v>0</v>
      </c>
      <c r="N272" s="7"/>
      <c r="O272" s="7">
        <f>IF(N272="Full Process",Settings!$B$6,IF(N272="Assembly Only",Settings!$B$7,0))</f>
        <v>0</v>
      </c>
      <c r="P272" s="14">
        <f t="shared" si="3"/>
        <v>0</v>
      </c>
      <c r="Q272" s="13">
        <f>IF(O272=0,0,MIN(1,L272/O272)*Settings!$B$5)</f>
        <v>0</v>
      </c>
      <c r="R272" s="16"/>
      <c r="S272" s="16"/>
      <c r="U272" s="7"/>
    </row>
    <row r="273" ht="15.75" customHeight="1">
      <c r="A273" s="15"/>
      <c r="B273" s="7"/>
      <c r="C273" s="7" t="str">
        <f t="array" ref="C273">IFERROR(INDEX('Order Planning'!$C$5:$C$204,MATCH(B273,'Order Planning'!$A$5:$A$204,0)),"")</f>
        <v/>
      </c>
      <c r="D273" s="7" t="str">
        <f t="array" ref="D273">IFERROR(INDEX('Order Planning'!$E$5:$E$204,MATCH(B273,'Order Planning'!$A$5:$A$204,0)),"")</f>
        <v/>
      </c>
      <c r="E273" s="7" t="str">
        <f t="array" ref="E273">IFERROR(INDEX('Order Planning'!$F$5:$F$204,MATCH(B273,'Order Planning'!$A$5:$A$204,0)),"")</f>
        <v/>
      </c>
      <c r="F273" s="7"/>
      <c r="G273" s="7"/>
      <c r="L273" s="7">
        <f t="shared" si="1"/>
        <v>0</v>
      </c>
      <c r="M273" s="14">
        <f t="shared" si="2"/>
        <v>0</v>
      </c>
      <c r="N273" s="7"/>
      <c r="O273" s="7">
        <f>IF(N273="Full Process",Settings!$B$6,IF(N273="Assembly Only",Settings!$B$7,0))</f>
        <v>0</v>
      </c>
      <c r="P273" s="14">
        <f t="shared" si="3"/>
        <v>0</v>
      </c>
      <c r="Q273" s="13">
        <f>IF(O273=0,0,MIN(1,L273/O273)*Settings!$B$5)</f>
        <v>0</v>
      </c>
      <c r="R273" s="16"/>
      <c r="S273" s="16"/>
      <c r="U273" s="7"/>
    </row>
    <row r="274" ht="15.75" customHeight="1">
      <c r="A274" s="15"/>
      <c r="B274" s="7"/>
      <c r="C274" s="7" t="str">
        <f t="array" ref="C274">IFERROR(INDEX('Order Planning'!$C$5:$C$204,MATCH(B274,'Order Planning'!$A$5:$A$204,0)),"")</f>
        <v/>
      </c>
      <c r="D274" s="7" t="str">
        <f t="array" ref="D274">IFERROR(INDEX('Order Planning'!$E$5:$E$204,MATCH(B274,'Order Planning'!$A$5:$A$204,0)),"")</f>
        <v/>
      </c>
      <c r="E274" s="7" t="str">
        <f t="array" ref="E274">IFERROR(INDEX('Order Planning'!$F$5:$F$204,MATCH(B274,'Order Planning'!$A$5:$A$204,0)),"")</f>
        <v/>
      </c>
      <c r="F274" s="7"/>
      <c r="G274" s="7"/>
      <c r="L274" s="7">
        <f t="shared" si="1"/>
        <v>0</v>
      </c>
      <c r="M274" s="14">
        <f t="shared" si="2"/>
        <v>0</v>
      </c>
      <c r="N274" s="7"/>
      <c r="O274" s="7">
        <f>IF(N274="Full Process",Settings!$B$6,IF(N274="Assembly Only",Settings!$B$7,0))</f>
        <v>0</v>
      </c>
      <c r="P274" s="14">
        <f t="shared" si="3"/>
        <v>0</v>
      </c>
      <c r="Q274" s="13">
        <f>IF(O274=0,0,MIN(1,L274/O274)*Settings!$B$5)</f>
        <v>0</v>
      </c>
      <c r="R274" s="16"/>
      <c r="S274" s="16"/>
      <c r="U274" s="7"/>
    </row>
    <row r="275" ht="15.75" customHeight="1">
      <c r="A275" s="15"/>
      <c r="B275" s="7"/>
      <c r="C275" s="7" t="str">
        <f t="array" ref="C275">IFERROR(INDEX('Order Planning'!$C$5:$C$204,MATCH(B275,'Order Planning'!$A$5:$A$204,0)),"")</f>
        <v/>
      </c>
      <c r="D275" s="7" t="str">
        <f t="array" ref="D275">IFERROR(INDEX('Order Planning'!$E$5:$E$204,MATCH(B275,'Order Planning'!$A$5:$A$204,0)),"")</f>
        <v/>
      </c>
      <c r="E275" s="7" t="str">
        <f t="array" ref="E275">IFERROR(INDEX('Order Planning'!$F$5:$F$204,MATCH(B275,'Order Planning'!$A$5:$A$204,0)),"")</f>
        <v/>
      </c>
      <c r="F275" s="7"/>
      <c r="G275" s="7"/>
      <c r="L275" s="7">
        <f t="shared" si="1"/>
        <v>0</v>
      </c>
      <c r="M275" s="14">
        <f t="shared" si="2"/>
        <v>0</v>
      </c>
      <c r="N275" s="7"/>
      <c r="O275" s="7">
        <f>IF(N275="Full Process",Settings!$B$6,IF(N275="Assembly Only",Settings!$B$7,0))</f>
        <v>0</v>
      </c>
      <c r="P275" s="14">
        <f t="shared" si="3"/>
        <v>0</v>
      </c>
      <c r="Q275" s="13">
        <f>IF(O275=0,0,MIN(1,L275/O275)*Settings!$B$5)</f>
        <v>0</v>
      </c>
      <c r="R275" s="16"/>
      <c r="S275" s="16"/>
      <c r="U275" s="7"/>
    </row>
    <row r="276" ht="15.75" customHeight="1">
      <c r="A276" s="15"/>
      <c r="B276" s="7"/>
      <c r="C276" s="7" t="str">
        <f t="array" ref="C276">IFERROR(INDEX('Order Planning'!$C$5:$C$204,MATCH(B276,'Order Planning'!$A$5:$A$204,0)),"")</f>
        <v/>
      </c>
      <c r="D276" s="7" t="str">
        <f t="array" ref="D276">IFERROR(INDEX('Order Planning'!$E$5:$E$204,MATCH(B276,'Order Planning'!$A$5:$A$204,0)),"")</f>
        <v/>
      </c>
      <c r="E276" s="7" t="str">
        <f t="array" ref="E276">IFERROR(INDEX('Order Planning'!$F$5:$F$204,MATCH(B276,'Order Planning'!$A$5:$A$204,0)),"")</f>
        <v/>
      </c>
      <c r="F276" s="7"/>
      <c r="G276" s="7"/>
      <c r="L276" s="7">
        <f t="shared" si="1"/>
        <v>0</v>
      </c>
      <c r="M276" s="14">
        <f t="shared" si="2"/>
        <v>0</v>
      </c>
      <c r="N276" s="7"/>
      <c r="O276" s="7">
        <f>IF(N276="Full Process",Settings!$B$6,IF(N276="Assembly Only",Settings!$B$7,0))</f>
        <v>0</v>
      </c>
      <c r="P276" s="14">
        <f t="shared" si="3"/>
        <v>0</v>
      </c>
      <c r="Q276" s="13">
        <f>IF(O276=0,0,MIN(1,L276/O276)*Settings!$B$5)</f>
        <v>0</v>
      </c>
      <c r="R276" s="16"/>
      <c r="S276" s="16"/>
      <c r="U276" s="7"/>
    </row>
    <row r="277" ht="15.75" customHeight="1">
      <c r="A277" s="15"/>
      <c r="B277" s="7"/>
      <c r="C277" s="7" t="str">
        <f t="array" ref="C277">IFERROR(INDEX('Order Planning'!$C$5:$C$204,MATCH(B277,'Order Planning'!$A$5:$A$204,0)),"")</f>
        <v/>
      </c>
      <c r="D277" s="7" t="str">
        <f t="array" ref="D277">IFERROR(INDEX('Order Planning'!$E$5:$E$204,MATCH(B277,'Order Planning'!$A$5:$A$204,0)),"")</f>
        <v/>
      </c>
      <c r="E277" s="7" t="str">
        <f t="array" ref="E277">IFERROR(INDEX('Order Planning'!$F$5:$F$204,MATCH(B277,'Order Planning'!$A$5:$A$204,0)),"")</f>
        <v/>
      </c>
      <c r="F277" s="7"/>
      <c r="G277" s="7"/>
      <c r="L277" s="7">
        <f t="shared" si="1"/>
        <v>0</v>
      </c>
      <c r="M277" s="14">
        <f t="shared" si="2"/>
        <v>0</v>
      </c>
      <c r="N277" s="7"/>
      <c r="O277" s="7">
        <f>IF(N277="Full Process",Settings!$B$6,IF(N277="Assembly Only",Settings!$B$7,0))</f>
        <v>0</v>
      </c>
      <c r="P277" s="14">
        <f t="shared" si="3"/>
        <v>0</v>
      </c>
      <c r="Q277" s="13">
        <f>IF(O277=0,0,MIN(1,L277/O277)*Settings!$B$5)</f>
        <v>0</v>
      </c>
      <c r="R277" s="16"/>
      <c r="S277" s="16"/>
      <c r="U277" s="7"/>
    </row>
    <row r="278" ht="15.75" customHeight="1">
      <c r="A278" s="15"/>
      <c r="B278" s="7"/>
      <c r="C278" s="7" t="str">
        <f t="array" ref="C278">IFERROR(INDEX('Order Planning'!$C$5:$C$204,MATCH(B278,'Order Planning'!$A$5:$A$204,0)),"")</f>
        <v/>
      </c>
      <c r="D278" s="7" t="str">
        <f t="array" ref="D278">IFERROR(INDEX('Order Planning'!$E$5:$E$204,MATCH(B278,'Order Planning'!$A$5:$A$204,0)),"")</f>
        <v/>
      </c>
      <c r="E278" s="7" t="str">
        <f t="array" ref="E278">IFERROR(INDEX('Order Planning'!$F$5:$F$204,MATCH(B278,'Order Planning'!$A$5:$A$204,0)),"")</f>
        <v/>
      </c>
      <c r="F278" s="7"/>
      <c r="G278" s="7"/>
      <c r="L278" s="7">
        <f t="shared" si="1"/>
        <v>0</v>
      </c>
      <c r="M278" s="14">
        <f t="shared" si="2"/>
        <v>0</v>
      </c>
      <c r="N278" s="7"/>
      <c r="O278" s="7">
        <f>IF(N278="Full Process",Settings!$B$6,IF(N278="Assembly Only",Settings!$B$7,0))</f>
        <v>0</v>
      </c>
      <c r="P278" s="14">
        <f t="shared" si="3"/>
        <v>0</v>
      </c>
      <c r="Q278" s="13">
        <f>IF(O278=0,0,MIN(1,L278/O278)*Settings!$B$5)</f>
        <v>0</v>
      </c>
      <c r="R278" s="16"/>
      <c r="S278" s="16"/>
      <c r="U278" s="7"/>
    </row>
    <row r="279" ht="15.75" customHeight="1">
      <c r="A279" s="15"/>
      <c r="B279" s="7"/>
      <c r="C279" s="7" t="str">
        <f t="array" ref="C279">IFERROR(INDEX('Order Planning'!$C$5:$C$204,MATCH(B279,'Order Planning'!$A$5:$A$204,0)),"")</f>
        <v/>
      </c>
      <c r="D279" s="7" t="str">
        <f t="array" ref="D279">IFERROR(INDEX('Order Planning'!$E$5:$E$204,MATCH(B279,'Order Planning'!$A$5:$A$204,0)),"")</f>
        <v/>
      </c>
      <c r="E279" s="7" t="str">
        <f t="array" ref="E279">IFERROR(INDEX('Order Planning'!$F$5:$F$204,MATCH(B279,'Order Planning'!$A$5:$A$204,0)),"")</f>
        <v/>
      </c>
      <c r="F279" s="7"/>
      <c r="G279" s="7"/>
      <c r="L279" s="7">
        <f t="shared" si="1"/>
        <v>0</v>
      </c>
      <c r="M279" s="14">
        <f t="shared" si="2"/>
        <v>0</v>
      </c>
      <c r="N279" s="7"/>
      <c r="O279" s="7">
        <f>IF(N279="Full Process",Settings!$B$6,IF(N279="Assembly Only",Settings!$B$7,0))</f>
        <v>0</v>
      </c>
      <c r="P279" s="14">
        <f t="shared" si="3"/>
        <v>0</v>
      </c>
      <c r="Q279" s="13">
        <f>IF(O279=0,0,MIN(1,L279/O279)*Settings!$B$5)</f>
        <v>0</v>
      </c>
      <c r="R279" s="16"/>
      <c r="S279" s="16"/>
      <c r="U279" s="7"/>
    </row>
    <row r="280" ht="15.75" customHeight="1">
      <c r="A280" s="15"/>
      <c r="B280" s="7"/>
      <c r="C280" s="7" t="str">
        <f t="array" ref="C280">IFERROR(INDEX('Order Planning'!$C$5:$C$204,MATCH(B280,'Order Planning'!$A$5:$A$204,0)),"")</f>
        <v/>
      </c>
      <c r="D280" s="7" t="str">
        <f t="array" ref="D280">IFERROR(INDEX('Order Planning'!$E$5:$E$204,MATCH(B280,'Order Planning'!$A$5:$A$204,0)),"")</f>
        <v/>
      </c>
      <c r="E280" s="7" t="str">
        <f t="array" ref="E280">IFERROR(INDEX('Order Planning'!$F$5:$F$204,MATCH(B280,'Order Planning'!$A$5:$A$204,0)),"")</f>
        <v/>
      </c>
      <c r="F280" s="7"/>
      <c r="G280" s="7"/>
      <c r="L280" s="7">
        <f t="shared" si="1"/>
        <v>0</v>
      </c>
      <c r="M280" s="14">
        <f t="shared" si="2"/>
        <v>0</v>
      </c>
      <c r="N280" s="7"/>
      <c r="O280" s="7">
        <f>IF(N280="Full Process",Settings!$B$6,IF(N280="Assembly Only",Settings!$B$7,0))</f>
        <v>0</v>
      </c>
      <c r="P280" s="14">
        <f t="shared" si="3"/>
        <v>0</v>
      </c>
      <c r="Q280" s="13">
        <f>IF(O280=0,0,MIN(1,L280/O280)*Settings!$B$5)</f>
        <v>0</v>
      </c>
      <c r="R280" s="16"/>
      <c r="S280" s="16"/>
      <c r="U280" s="7"/>
    </row>
    <row r="281" ht="15.75" customHeight="1">
      <c r="A281" s="15"/>
      <c r="B281" s="7"/>
      <c r="C281" s="7" t="str">
        <f t="array" ref="C281">IFERROR(INDEX('Order Planning'!$C$5:$C$204,MATCH(B281,'Order Planning'!$A$5:$A$204,0)),"")</f>
        <v/>
      </c>
      <c r="D281" s="7" t="str">
        <f t="array" ref="D281">IFERROR(INDEX('Order Planning'!$E$5:$E$204,MATCH(B281,'Order Planning'!$A$5:$A$204,0)),"")</f>
        <v/>
      </c>
      <c r="E281" s="7" t="str">
        <f t="array" ref="E281">IFERROR(INDEX('Order Planning'!$F$5:$F$204,MATCH(B281,'Order Planning'!$A$5:$A$204,0)),"")</f>
        <v/>
      </c>
      <c r="F281" s="7"/>
      <c r="G281" s="7"/>
      <c r="L281" s="7">
        <f t="shared" si="1"/>
        <v>0</v>
      </c>
      <c r="M281" s="14">
        <f t="shared" si="2"/>
        <v>0</v>
      </c>
      <c r="N281" s="7"/>
      <c r="O281" s="7">
        <f>IF(N281="Full Process",Settings!$B$6,IF(N281="Assembly Only",Settings!$B$7,0))</f>
        <v>0</v>
      </c>
      <c r="P281" s="14">
        <f t="shared" si="3"/>
        <v>0</v>
      </c>
      <c r="Q281" s="13">
        <f>IF(O281=0,0,MIN(1,L281/O281)*Settings!$B$5)</f>
        <v>0</v>
      </c>
      <c r="R281" s="16"/>
      <c r="S281" s="16"/>
      <c r="U281" s="7"/>
    </row>
    <row r="282" ht="15.75" customHeight="1">
      <c r="A282" s="15"/>
      <c r="B282" s="7"/>
      <c r="C282" s="7" t="str">
        <f t="array" ref="C282">IFERROR(INDEX('Order Planning'!$C$5:$C$204,MATCH(B282,'Order Planning'!$A$5:$A$204,0)),"")</f>
        <v/>
      </c>
      <c r="D282" s="7" t="str">
        <f t="array" ref="D282">IFERROR(INDEX('Order Planning'!$E$5:$E$204,MATCH(B282,'Order Planning'!$A$5:$A$204,0)),"")</f>
        <v/>
      </c>
      <c r="E282" s="7" t="str">
        <f t="array" ref="E282">IFERROR(INDEX('Order Planning'!$F$5:$F$204,MATCH(B282,'Order Planning'!$A$5:$A$204,0)),"")</f>
        <v/>
      </c>
      <c r="F282" s="7"/>
      <c r="G282" s="7"/>
      <c r="L282" s="7">
        <f t="shared" si="1"/>
        <v>0</v>
      </c>
      <c r="M282" s="14">
        <f t="shared" si="2"/>
        <v>0</v>
      </c>
      <c r="N282" s="7"/>
      <c r="O282" s="7">
        <f>IF(N282="Full Process",Settings!$B$6,IF(N282="Assembly Only",Settings!$B$7,0))</f>
        <v>0</v>
      </c>
      <c r="P282" s="14">
        <f t="shared" si="3"/>
        <v>0</v>
      </c>
      <c r="Q282" s="13">
        <f>IF(O282=0,0,MIN(1,L282/O282)*Settings!$B$5)</f>
        <v>0</v>
      </c>
      <c r="R282" s="16"/>
      <c r="S282" s="16"/>
      <c r="U282" s="7"/>
    </row>
    <row r="283" ht="15.75" customHeight="1">
      <c r="A283" s="15"/>
      <c r="B283" s="7"/>
      <c r="C283" s="7" t="str">
        <f t="array" ref="C283">IFERROR(INDEX('Order Planning'!$C$5:$C$204,MATCH(B283,'Order Planning'!$A$5:$A$204,0)),"")</f>
        <v/>
      </c>
      <c r="D283" s="7" t="str">
        <f t="array" ref="D283">IFERROR(INDEX('Order Planning'!$E$5:$E$204,MATCH(B283,'Order Planning'!$A$5:$A$204,0)),"")</f>
        <v/>
      </c>
      <c r="E283" s="7" t="str">
        <f t="array" ref="E283">IFERROR(INDEX('Order Planning'!$F$5:$F$204,MATCH(B283,'Order Planning'!$A$5:$A$204,0)),"")</f>
        <v/>
      </c>
      <c r="F283" s="7"/>
      <c r="G283" s="7"/>
      <c r="L283" s="7">
        <f t="shared" si="1"/>
        <v>0</v>
      </c>
      <c r="M283" s="14">
        <f t="shared" si="2"/>
        <v>0</v>
      </c>
      <c r="N283" s="7"/>
      <c r="O283" s="7">
        <f>IF(N283="Full Process",Settings!$B$6,IF(N283="Assembly Only",Settings!$B$7,0))</f>
        <v>0</v>
      </c>
      <c r="P283" s="14">
        <f t="shared" si="3"/>
        <v>0</v>
      </c>
      <c r="Q283" s="13">
        <f>IF(O283=0,0,MIN(1,L283/O283)*Settings!$B$5)</f>
        <v>0</v>
      </c>
      <c r="R283" s="16"/>
      <c r="S283" s="16"/>
      <c r="U283" s="7"/>
    </row>
    <row r="284" ht="15.75" customHeight="1">
      <c r="A284" s="15"/>
      <c r="B284" s="7"/>
      <c r="C284" s="7" t="str">
        <f t="array" ref="C284">IFERROR(INDEX('Order Planning'!$C$5:$C$204,MATCH(B284,'Order Planning'!$A$5:$A$204,0)),"")</f>
        <v/>
      </c>
      <c r="D284" s="7" t="str">
        <f t="array" ref="D284">IFERROR(INDEX('Order Planning'!$E$5:$E$204,MATCH(B284,'Order Planning'!$A$5:$A$204,0)),"")</f>
        <v/>
      </c>
      <c r="E284" s="7" t="str">
        <f t="array" ref="E284">IFERROR(INDEX('Order Planning'!$F$5:$F$204,MATCH(B284,'Order Planning'!$A$5:$A$204,0)),"")</f>
        <v/>
      </c>
      <c r="F284" s="7"/>
      <c r="G284" s="7"/>
      <c r="L284" s="7">
        <f t="shared" si="1"/>
        <v>0</v>
      </c>
      <c r="M284" s="14">
        <f t="shared" si="2"/>
        <v>0</v>
      </c>
      <c r="N284" s="7"/>
      <c r="O284" s="7">
        <f>IF(N284="Full Process",Settings!$B$6,IF(N284="Assembly Only",Settings!$B$7,0))</f>
        <v>0</v>
      </c>
      <c r="P284" s="14">
        <f t="shared" si="3"/>
        <v>0</v>
      </c>
      <c r="Q284" s="13">
        <f>IF(O284=0,0,MIN(1,L284/O284)*Settings!$B$5)</f>
        <v>0</v>
      </c>
      <c r="R284" s="16"/>
      <c r="S284" s="16"/>
      <c r="U284" s="7"/>
    </row>
    <row r="285" ht="15.75" customHeight="1">
      <c r="A285" s="15"/>
      <c r="B285" s="7"/>
      <c r="C285" s="7" t="str">
        <f t="array" ref="C285">IFERROR(INDEX('Order Planning'!$C$5:$C$204,MATCH(B285,'Order Planning'!$A$5:$A$204,0)),"")</f>
        <v/>
      </c>
      <c r="D285" s="7" t="str">
        <f t="array" ref="D285">IFERROR(INDEX('Order Planning'!$E$5:$E$204,MATCH(B285,'Order Planning'!$A$5:$A$204,0)),"")</f>
        <v/>
      </c>
      <c r="E285" s="7" t="str">
        <f t="array" ref="E285">IFERROR(INDEX('Order Planning'!$F$5:$F$204,MATCH(B285,'Order Planning'!$A$5:$A$204,0)),"")</f>
        <v/>
      </c>
      <c r="F285" s="7"/>
      <c r="G285" s="7"/>
      <c r="L285" s="7">
        <f t="shared" si="1"/>
        <v>0</v>
      </c>
      <c r="M285" s="14">
        <f t="shared" si="2"/>
        <v>0</v>
      </c>
      <c r="N285" s="7"/>
      <c r="O285" s="7">
        <f>IF(N285="Full Process",Settings!$B$6,IF(N285="Assembly Only",Settings!$B$7,0))</f>
        <v>0</v>
      </c>
      <c r="P285" s="14">
        <f t="shared" si="3"/>
        <v>0</v>
      </c>
      <c r="Q285" s="13">
        <f>IF(O285=0,0,MIN(1,L285/O285)*Settings!$B$5)</f>
        <v>0</v>
      </c>
      <c r="R285" s="16"/>
      <c r="S285" s="16"/>
      <c r="U285" s="7"/>
    </row>
    <row r="286" ht="15.75" customHeight="1">
      <c r="A286" s="15"/>
      <c r="B286" s="7"/>
      <c r="C286" s="7" t="str">
        <f t="array" ref="C286">IFERROR(INDEX('Order Planning'!$C$5:$C$204,MATCH(B286,'Order Planning'!$A$5:$A$204,0)),"")</f>
        <v/>
      </c>
      <c r="D286" s="7" t="str">
        <f t="array" ref="D286">IFERROR(INDEX('Order Planning'!$E$5:$E$204,MATCH(B286,'Order Planning'!$A$5:$A$204,0)),"")</f>
        <v/>
      </c>
      <c r="E286" s="7" t="str">
        <f t="array" ref="E286">IFERROR(INDEX('Order Planning'!$F$5:$F$204,MATCH(B286,'Order Planning'!$A$5:$A$204,0)),"")</f>
        <v/>
      </c>
      <c r="F286" s="7"/>
      <c r="G286" s="7"/>
      <c r="L286" s="7">
        <f t="shared" si="1"/>
        <v>0</v>
      </c>
      <c r="M286" s="14">
        <f t="shared" si="2"/>
        <v>0</v>
      </c>
      <c r="N286" s="7"/>
      <c r="O286" s="7">
        <f>IF(N286="Full Process",Settings!$B$6,IF(N286="Assembly Only",Settings!$B$7,0))</f>
        <v>0</v>
      </c>
      <c r="P286" s="14">
        <f t="shared" si="3"/>
        <v>0</v>
      </c>
      <c r="Q286" s="13">
        <f>IF(O286=0,0,MIN(1,L286/O286)*Settings!$B$5)</f>
        <v>0</v>
      </c>
      <c r="R286" s="16"/>
      <c r="S286" s="16"/>
      <c r="U286" s="7"/>
    </row>
    <row r="287" ht="15.75" customHeight="1">
      <c r="A287" s="15"/>
      <c r="B287" s="7"/>
      <c r="C287" s="7" t="str">
        <f t="array" ref="C287">IFERROR(INDEX('Order Planning'!$C$5:$C$204,MATCH(B287,'Order Planning'!$A$5:$A$204,0)),"")</f>
        <v/>
      </c>
      <c r="D287" s="7" t="str">
        <f t="array" ref="D287">IFERROR(INDEX('Order Planning'!$E$5:$E$204,MATCH(B287,'Order Planning'!$A$5:$A$204,0)),"")</f>
        <v/>
      </c>
      <c r="E287" s="7" t="str">
        <f t="array" ref="E287">IFERROR(INDEX('Order Planning'!$F$5:$F$204,MATCH(B287,'Order Planning'!$A$5:$A$204,0)),"")</f>
        <v/>
      </c>
      <c r="F287" s="7"/>
      <c r="G287" s="7"/>
      <c r="L287" s="7">
        <f t="shared" si="1"/>
        <v>0</v>
      </c>
      <c r="M287" s="14">
        <f t="shared" si="2"/>
        <v>0</v>
      </c>
      <c r="N287" s="7"/>
      <c r="O287" s="7">
        <f>IF(N287="Full Process",Settings!$B$6,IF(N287="Assembly Only",Settings!$B$7,0))</f>
        <v>0</v>
      </c>
      <c r="P287" s="14">
        <f t="shared" si="3"/>
        <v>0</v>
      </c>
      <c r="Q287" s="13">
        <f>IF(O287=0,0,MIN(1,L287/O287)*Settings!$B$5)</f>
        <v>0</v>
      </c>
      <c r="R287" s="16"/>
      <c r="S287" s="16"/>
      <c r="U287" s="7"/>
    </row>
    <row r="288" ht="15.75" customHeight="1">
      <c r="A288" s="15"/>
      <c r="B288" s="7"/>
      <c r="C288" s="7" t="str">
        <f t="array" ref="C288">IFERROR(INDEX('Order Planning'!$C$5:$C$204,MATCH(B288,'Order Planning'!$A$5:$A$204,0)),"")</f>
        <v/>
      </c>
      <c r="D288" s="7" t="str">
        <f t="array" ref="D288">IFERROR(INDEX('Order Planning'!$E$5:$E$204,MATCH(B288,'Order Planning'!$A$5:$A$204,0)),"")</f>
        <v/>
      </c>
      <c r="E288" s="7" t="str">
        <f t="array" ref="E288">IFERROR(INDEX('Order Planning'!$F$5:$F$204,MATCH(B288,'Order Planning'!$A$5:$A$204,0)),"")</f>
        <v/>
      </c>
      <c r="F288" s="7"/>
      <c r="G288" s="7"/>
      <c r="L288" s="7">
        <f t="shared" si="1"/>
        <v>0</v>
      </c>
      <c r="M288" s="14">
        <f t="shared" si="2"/>
        <v>0</v>
      </c>
      <c r="N288" s="7"/>
      <c r="O288" s="7">
        <f>IF(N288="Full Process",Settings!$B$6,IF(N288="Assembly Only",Settings!$B$7,0))</f>
        <v>0</v>
      </c>
      <c r="P288" s="14">
        <f t="shared" si="3"/>
        <v>0</v>
      </c>
      <c r="Q288" s="13">
        <f>IF(O288=0,0,MIN(1,L288/O288)*Settings!$B$5)</f>
        <v>0</v>
      </c>
      <c r="R288" s="16"/>
      <c r="S288" s="16"/>
      <c r="U288" s="7"/>
    </row>
    <row r="289" ht="15.75" customHeight="1">
      <c r="A289" s="15"/>
      <c r="B289" s="7"/>
      <c r="C289" s="7" t="str">
        <f t="array" ref="C289">IFERROR(INDEX('Order Planning'!$C$5:$C$204,MATCH(B289,'Order Planning'!$A$5:$A$204,0)),"")</f>
        <v/>
      </c>
      <c r="D289" s="7" t="str">
        <f t="array" ref="D289">IFERROR(INDEX('Order Planning'!$E$5:$E$204,MATCH(B289,'Order Planning'!$A$5:$A$204,0)),"")</f>
        <v/>
      </c>
      <c r="E289" s="7" t="str">
        <f t="array" ref="E289">IFERROR(INDEX('Order Planning'!$F$5:$F$204,MATCH(B289,'Order Planning'!$A$5:$A$204,0)),"")</f>
        <v/>
      </c>
      <c r="F289" s="7"/>
      <c r="G289" s="7"/>
      <c r="L289" s="7">
        <f t="shared" si="1"/>
        <v>0</v>
      </c>
      <c r="M289" s="14">
        <f t="shared" si="2"/>
        <v>0</v>
      </c>
      <c r="N289" s="7"/>
      <c r="O289" s="7">
        <f>IF(N289="Full Process",Settings!$B$6,IF(N289="Assembly Only",Settings!$B$7,0))</f>
        <v>0</v>
      </c>
      <c r="P289" s="14">
        <f t="shared" si="3"/>
        <v>0</v>
      </c>
      <c r="Q289" s="13">
        <f>IF(O289=0,0,MIN(1,L289/O289)*Settings!$B$5)</f>
        <v>0</v>
      </c>
      <c r="R289" s="16"/>
      <c r="S289" s="16"/>
      <c r="U289" s="7"/>
    </row>
    <row r="290" ht="15.75" customHeight="1">
      <c r="A290" s="15"/>
      <c r="B290" s="7"/>
      <c r="C290" s="7" t="str">
        <f t="array" ref="C290">IFERROR(INDEX('Order Planning'!$C$5:$C$204,MATCH(B290,'Order Planning'!$A$5:$A$204,0)),"")</f>
        <v/>
      </c>
      <c r="D290" s="7" t="str">
        <f t="array" ref="D290">IFERROR(INDEX('Order Planning'!$E$5:$E$204,MATCH(B290,'Order Planning'!$A$5:$A$204,0)),"")</f>
        <v/>
      </c>
      <c r="E290" s="7" t="str">
        <f t="array" ref="E290">IFERROR(INDEX('Order Planning'!$F$5:$F$204,MATCH(B290,'Order Planning'!$A$5:$A$204,0)),"")</f>
        <v/>
      </c>
      <c r="F290" s="7"/>
      <c r="G290" s="7"/>
      <c r="L290" s="7">
        <f t="shared" si="1"/>
        <v>0</v>
      </c>
      <c r="M290" s="14">
        <f t="shared" si="2"/>
        <v>0</v>
      </c>
      <c r="N290" s="7"/>
      <c r="O290" s="7">
        <f>IF(N290="Full Process",Settings!$B$6,IF(N290="Assembly Only",Settings!$B$7,0))</f>
        <v>0</v>
      </c>
      <c r="P290" s="14">
        <f t="shared" si="3"/>
        <v>0</v>
      </c>
      <c r="Q290" s="13">
        <f>IF(O290=0,0,MIN(1,L290/O290)*Settings!$B$5)</f>
        <v>0</v>
      </c>
      <c r="R290" s="16"/>
      <c r="S290" s="16"/>
      <c r="U290" s="7"/>
    </row>
    <row r="291" ht="15.75" customHeight="1">
      <c r="A291" s="15"/>
      <c r="B291" s="7"/>
      <c r="C291" s="7" t="str">
        <f t="array" ref="C291">IFERROR(INDEX('Order Planning'!$C$5:$C$204,MATCH(B291,'Order Planning'!$A$5:$A$204,0)),"")</f>
        <v/>
      </c>
      <c r="D291" s="7" t="str">
        <f t="array" ref="D291">IFERROR(INDEX('Order Planning'!$E$5:$E$204,MATCH(B291,'Order Planning'!$A$5:$A$204,0)),"")</f>
        <v/>
      </c>
      <c r="E291" s="7" t="str">
        <f t="array" ref="E291">IFERROR(INDEX('Order Planning'!$F$5:$F$204,MATCH(B291,'Order Planning'!$A$5:$A$204,0)),"")</f>
        <v/>
      </c>
      <c r="F291" s="7"/>
      <c r="G291" s="7"/>
      <c r="L291" s="7">
        <f t="shared" si="1"/>
        <v>0</v>
      </c>
      <c r="M291" s="14">
        <f t="shared" si="2"/>
        <v>0</v>
      </c>
      <c r="N291" s="7"/>
      <c r="O291" s="7">
        <f>IF(N291="Full Process",Settings!$B$6,IF(N291="Assembly Only",Settings!$B$7,0))</f>
        <v>0</v>
      </c>
      <c r="P291" s="14">
        <f t="shared" si="3"/>
        <v>0</v>
      </c>
      <c r="Q291" s="13">
        <f>IF(O291=0,0,MIN(1,L291/O291)*Settings!$B$5)</f>
        <v>0</v>
      </c>
      <c r="R291" s="16"/>
      <c r="S291" s="16"/>
      <c r="U291" s="7"/>
    </row>
    <row r="292" ht="15.75" customHeight="1">
      <c r="A292" s="15"/>
      <c r="B292" s="7"/>
      <c r="C292" s="7" t="str">
        <f t="array" ref="C292">IFERROR(INDEX('Order Planning'!$C$5:$C$204,MATCH(B292,'Order Planning'!$A$5:$A$204,0)),"")</f>
        <v/>
      </c>
      <c r="D292" s="7" t="str">
        <f t="array" ref="D292">IFERROR(INDEX('Order Planning'!$E$5:$E$204,MATCH(B292,'Order Planning'!$A$5:$A$204,0)),"")</f>
        <v/>
      </c>
      <c r="E292" s="7" t="str">
        <f t="array" ref="E292">IFERROR(INDEX('Order Planning'!$F$5:$F$204,MATCH(B292,'Order Planning'!$A$5:$A$204,0)),"")</f>
        <v/>
      </c>
      <c r="F292" s="7"/>
      <c r="G292" s="7"/>
      <c r="L292" s="7">
        <f t="shared" si="1"/>
        <v>0</v>
      </c>
      <c r="M292" s="14">
        <f t="shared" si="2"/>
        <v>0</v>
      </c>
      <c r="N292" s="7"/>
      <c r="O292" s="7">
        <f>IF(N292="Full Process",Settings!$B$6,IF(N292="Assembly Only",Settings!$B$7,0))</f>
        <v>0</v>
      </c>
      <c r="P292" s="14">
        <f t="shared" si="3"/>
        <v>0</v>
      </c>
      <c r="Q292" s="13">
        <f>IF(O292=0,0,MIN(1,L292/O292)*Settings!$B$5)</f>
        <v>0</v>
      </c>
      <c r="R292" s="16"/>
      <c r="S292" s="16"/>
      <c r="U292" s="7"/>
    </row>
    <row r="293" ht="15.75" customHeight="1">
      <c r="A293" s="15"/>
      <c r="B293" s="7"/>
      <c r="C293" s="7" t="str">
        <f t="array" ref="C293">IFERROR(INDEX('Order Planning'!$C$5:$C$204,MATCH(B293,'Order Planning'!$A$5:$A$204,0)),"")</f>
        <v/>
      </c>
      <c r="D293" s="7" t="str">
        <f t="array" ref="D293">IFERROR(INDEX('Order Planning'!$E$5:$E$204,MATCH(B293,'Order Planning'!$A$5:$A$204,0)),"")</f>
        <v/>
      </c>
      <c r="E293" s="7" t="str">
        <f t="array" ref="E293">IFERROR(INDEX('Order Planning'!$F$5:$F$204,MATCH(B293,'Order Planning'!$A$5:$A$204,0)),"")</f>
        <v/>
      </c>
      <c r="F293" s="7"/>
      <c r="G293" s="7"/>
      <c r="L293" s="7">
        <f t="shared" si="1"/>
        <v>0</v>
      </c>
      <c r="M293" s="14">
        <f t="shared" si="2"/>
        <v>0</v>
      </c>
      <c r="N293" s="7"/>
      <c r="O293" s="7">
        <f>IF(N293="Full Process",Settings!$B$6,IF(N293="Assembly Only",Settings!$B$7,0))</f>
        <v>0</v>
      </c>
      <c r="P293" s="14">
        <f t="shared" si="3"/>
        <v>0</v>
      </c>
      <c r="Q293" s="13">
        <f>IF(O293=0,0,MIN(1,L293/O293)*Settings!$B$5)</f>
        <v>0</v>
      </c>
      <c r="R293" s="16"/>
      <c r="S293" s="16"/>
      <c r="U293" s="7"/>
    </row>
    <row r="294" ht="15.75" customHeight="1">
      <c r="A294" s="15"/>
      <c r="B294" s="7"/>
      <c r="C294" s="7" t="str">
        <f t="array" ref="C294">IFERROR(INDEX('Order Planning'!$C$5:$C$204,MATCH(B294,'Order Planning'!$A$5:$A$204,0)),"")</f>
        <v/>
      </c>
      <c r="D294" s="7" t="str">
        <f t="array" ref="D294">IFERROR(INDEX('Order Planning'!$E$5:$E$204,MATCH(B294,'Order Planning'!$A$5:$A$204,0)),"")</f>
        <v/>
      </c>
      <c r="E294" s="7" t="str">
        <f t="array" ref="E294">IFERROR(INDEX('Order Planning'!$F$5:$F$204,MATCH(B294,'Order Planning'!$A$5:$A$204,0)),"")</f>
        <v/>
      </c>
      <c r="F294" s="7"/>
      <c r="G294" s="7"/>
      <c r="L294" s="7">
        <f t="shared" si="1"/>
        <v>0</v>
      </c>
      <c r="M294" s="14">
        <f t="shared" si="2"/>
        <v>0</v>
      </c>
      <c r="N294" s="7"/>
      <c r="O294" s="7">
        <f>IF(N294="Full Process",Settings!$B$6,IF(N294="Assembly Only",Settings!$B$7,0))</f>
        <v>0</v>
      </c>
      <c r="P294" s="14">
        <f t="shared" si="3"/>
        <v>0</v>
      </c>
      <c r="Q294" s="13">
        <f>IF(O294=0,0,MIN(1,L294/O294)*Settings!$B$5)</f>
        <v>0</v>
      </c>
      <c r="R294" s="16"/>
      <c r="S294" s="16"/>
      <c r="U294" s="7"/>
    </row>
    <row r="295" ht="15.75" customHeight="1">
      <c r="A295" s="15"/>
      <c r="B295" s="7"/>
      <c r="C295" s="7" t="str">
        <f t="array" ref="C295">IFERROR(INDEX('Order Planning'!$C$5:$C$204,MATCH(B295,'Order Planning'!$A$5:$A$204,0)),"")</f>
        <v/>
      </c>
      <c r="D295" s="7" t="str">
        <f t="array" ref="D295">IFERROR(INDEX('Order Planning'!$E$5:$E$204,MATCH(B295,'Order Planning'!$A$5:$A$204,0)),"")</f>
        <v/>
      </c>
      <c r="E295" s="7" t="str">
        <f t="array" ref="E295">IFERROR(INDEX('Order Planning'!$F$5:$F$204,MATCH(B295,'Order Planning'!$A$5:$A$204,0)),"")</f>
        <v/>
      </c>
      <c r="F295" s="7"/>
      <c r="G295" s="7"/>
      <c r="L295" s="7">
        <f t="shared" si="1"/>
        <v>0</v>
      </c>
      <c r="M295" s="14">
        <f t="shared" si="2"/>
        <v>0</v>
      </c>
      <c r="N295" s="7"/>
      <c r="O295" s="7">
        <f>IF(N295="Full Process",Settings!$B$6,IF(N295="Assembly Only",Settings!$B$7,0))</f>
        <v>0</v>
      </c>
      <c r="P295" s="14">
        <f t="shared" si="3"/>
        <v>0</v>
      </c>
      <c r="Q295" s="13">
        <f>IF(O295=0,0,MIN(1,L295/O295)*Settings!$B$5)</f>
        <v>0</v>
      </c>
      <c r="R295" s="16"/>
      <c r="S295" s="16"/>
      <c r="U295" s="7"/>
    </row>
    <row r="296" ht="15.75" customHeight="1">
      <c r="A296" s="15"/>
      <c r="B296" s="7"/>
      <c r="C296" s="7" t="str">
        <f t="array" ref="C296">IFERROR(INDEX('Order Planning'!$C$5:$C$204,MATCH(B296,'Order Planning'!$A$5:$A$204,0)),"")</f>
        <v/>
      </c>
      <c r="D296" s="7" t="str">
        <f t="array" ref="D296">IFERROR(INDEX('Order Planning'!$E$5:$E$204,MATCH(B296,'Order Planning'!$A$5:$A$204,0)),"")</f>
        <v/>
      </c>
      <c r="E296" s="7" t="str">
        <f t="array" ref="E296">IFERROR(INDEX('Order Planning'!$F$5:$F$204,MATCH(B296,'Order Planning'!$A$5:$A$204,0)),"")</f>
        <v/>
      </c>
      <c r="F296" s="7"/>
      <c r="G296" s="7"/>
      <c r="L296" s="7">
        <f t="shared" si="1"/>
        <v>0</v>
      </c>
      <c r="M296" s="14">
        <f t="shared" si="2"/>
        <v>0</v>
      </c>
      <c r="N296" s="7"/>
      <c r="O296" s="7">
        <f>IF(N296="Full Process",Settings!$B$6,IF(N296="Assembly Only",Settings!$B$7,0))</f>
        <v>0</v>
      </c>
      <c r="P296" s="14">
        <f t="shared" si="3"/>
        <v>0</v>
      </c>
      <c r="Q296" s="13">
        <f>IF(O296=0,0,MIN(1,L296/O296)*Settings!$B$5)</f>
        <v>0</v>
      </c>
      <c r="R296" s="16"/>
      <c r="S296" s="16"/>
      <c r="U296" s="7"/>
    </row>
    <row r="297" ht="15.75" customHeight="1">
      <c r="A297" s="15"/>
      <c r="B297" s="7"/>
      <c r="C297" s="7" t="str">
        <f t="array" ref="C297">IFERROR(INDEX('Order Planning'!$C$5:$C$204,MATCH(B297,'Order Planning'!$A$5:$A$204,0)),"")</f>
        <v/>
      </c>
      <c r="D297" s="7" t="str">
        <f t="array" ref="D297">IFERROR(INDEX('Order Planning'!$E$5:$E$204,MATCH(B297,'Order Planning'!$A$5:$A$204,0)),"")</f>
        <v/>
      </c>
      <c r="E297" s="7" t="str">
        <f t="array" ref="E297">IFERROR(INDEX('Order Planning'!$F$5:$F$204,MATCH(B297,'Order Planning'!$A$5:$A$204,0)),"")</f>
        <v/>
      </c>
      <c r="F297" s="7"/>
      <c r="G297" s="7"/>
      <c r="L297" s="7">
        <f t="shared" si="1"/>
        <v>0</v>
      </c>
      <c r="M297" s="14">
        <f t="shared" si="2"/>
        <v>0</v>
      </c>
      <c r="N297" s="7"/>
      <c r="O297" s="7">
        <f>IF(N297="Full Process",Settings!$B$6,IF(N297="Assembly Only",Settings!$B$7,0))</f>
        <v>0</v>
      </c>
      <c r="P297" s="14">
        <f t="shared" si="3"/>
        <v>0</v>
      </c>
      <c r="Q297" s="13">
        <f>IF(O297=0,0,MIN(1,L297/O297)*Settings!$B$5)</f>
        <v>0</v>
      </c>
      <c r="R297" s="16"/>
      <c r="S297" s="16"/>
      <c r="U297" s="7"/>
    </row>
    <row r="298" ht="15.75" customHeight="1">
      <c r="A298" s="15"/>
      <c r="B298" s="7"/>
      <c r="C298" s="7" t="str">
        <f t="array" ref="C298">IFERROR(INDEX('Order Planning'!$C$5:$C$204,MATCH(B298,'Order Planning'!$A$5:$A$204,0)),"")</f>
        <v/>
      </c>
      <c r="D298" s="7" t="str">
        <f t="array" ref="D298">IFERROR(INDEX('Order Planning'!$E$5:$E$204,MATCH(B298,'Order Planning'!$A$5:$A$204,0)),"")</f>
        <v/>
      </c>
      <c r="E298" s="7" t="str">
        <f t="array" ref="E298">IFERROR(INDEX('Order Planning'!$F$5:$F$204,MATCH(B298,'Order Planning'!$A$5:$A$204,0)),"")</f>
        <v/>
      </c>
      <c r="F298" s="7"/>
      <c r="G298" s="7"/>
      <c r="L298" s="7">
        <f t="shared" si="1"/>
        <v>0</v>
      </c>
      <c r="M298" s="14">
        <f t="shared" si="2"/>
        <v>0</v>
      </c>
      <c r="N298" s="7"/>
      <c r="O298" s="7">
        <f>IF(N298="Full Process",Settings!$B$6,IF(N298="Assembly Only",Settings!$B$7,0))</f>
        <v>0</v>
      </c>
      <c r="P298" s="14">
        <f t="shared" si="3"/>
        <v>0</v>
      </c>
      <c r="Q298" s="13">
        <f>IF(O298=0,0,MIN(1,L298/O298)*Settings!$B$5)</f>
        <v>0</v>
      </c>
      <c r="R298" s="16"/>
      <c r="S298" s="16"/>
      <c r="U298" s="7"/>
    </row>
    <row r="299" ht="15.75" customHeight="1">
      <c r="A299" s="15"/>
      <c r="B299" s="7"/>
      <c r="C299" s="7" t="str">
        <f t="array" ref="C299">IFERROR(INDEX('Order Planning'!$C$5:$C$204,MATCH(B299,'Order Planning'!$A$5:$A$204,0)),"")</f>
        <v/>
      </c>
      <c r="D299" s="7" t="str">
        <f t="array" ref="D299">IFERROR(INDEX('Order Planning'!$E$5:$E$204,MATCH(B299,'Order Planning'!$A$5:$A$204,0)),"")</f>
        <v/>
      </c>
      <c r="E299" s="7" t="str">
        <f t="array" ref="E299">IFERROR(INDEX('Order Planning'!$F$5:$F$204,MATCH(B299,'Order Planning'!$A$5:$A$204,0)),"")</f>
        <v/>
      </c>
      <c r="F299" s="7"/>
      <c r="G299" s="7"/>
      <c r="L299" s="7">
        <f t="shared" si="1"/>
        <v>0</v>
      </c>
      <c r="M299" s="14">
        <f t="shared" si="2"/>
        <v>0</v>
      </c>
      <c r="N299" s="7"/>
      <c r="O299" s="7">
        <f>IF(N299="Full Process",Settings!$B$6,IF(N299="Assembly Only",Settings!$B$7,0))</f>
        <v>0</v>
      </c>
      <c r="P299" s="14">
        <f t="shared" si="3"/>
        <v>0</v>
      </c>
      <c r="Q299" s="13">
        <f>IF(O299=0,0,MIN(1,L299/O299)*Settings!$B$5)</f>
        <v>0</v>
      </c>
      <c r="R299" s="16"/>
      <c r="S299" s="16"/>
      <c r="U299" s="7"/>
    </row>
    <row r="300" ht="15.75" customHeight="1">
      <c r="A300" s="15"/>
      <c r="B300" s="7"/>
      <c r="C300" s="7" t="str">
        <f t="array" ref="C300">IFERROR(INDEX('Order Planning'!$C$5:$C$204,MATCH(B300,'Order Planning'!$A$5:$A$204,0)),"")</f>
        <v/>
      </c>
      <c r="D300" s="7" t="str">
        <f t="array" ref="D300">IFERROR(INDEX('Order Planning'!$E$5:$E$204,MATCH(B300,'Order Planning'!$A$5:$A$204,0)),"")</f>
        <v/>
      </c>
      <c r="E300" s="7" t="str">
        <f t="array" ref="E300">IFERROR(INDEX('Order Planning'!$F$5:$F$204,MATCH(B300,'Order Planning'!$A$5:$A$204,0)),"")</f>
        <v/>
      </c>
      <c r="F300" s="7"/>
      <c r="G300" s="7"/>
      <c r="L300" s="7">
        <f t="shared" si="1"/>
        <v>0</v>
      </c>
      <c r="M300" s="14">
        <f t="shared" si="2"/>
        <v>0</v>
      </c>
      <c r="N300" s="7"/>
      <c r="O300" s="7">
        <f>IF(N300="Full Process",Settings!$B$6,IF(N300="Assembly Only",Settings!$B$7,0))</f>
        <v>0</v>
      </c>
      <c r="P300" s="14">
        <f t="shared" si="3"/>
        <v>0</v>
      </c>
      <c r="Q300" s="13">
        <f>IF(O300=0,0,MIN(1,L300/O300)*Settings!$B$5)</f>
        <v>0</v>
      </c>
      <c r="R300" s="16"/>
      <c r="S300" s="16"/>
      <c r="U300" s="7"/>
    </row>
    <row r="301" ht="15.75" customHeight="1">
      <c r="A301" s="15"/>
      <c r="B301" s="7"/>
      <c r="C301" s="7" t="str">
        <f t="array" ref="C301">IFERROR(INDEX('Order Planning'!$C$5:$C$204,MATCH(B301,'Order Planning'!$A$5:$A$204,0)),"")</f>
        <v/>
      </c>
      <c r="D301" s="7" t="str">
        <f t="array" ref="D301">IFERROR(INDEX('Order Planning'!$E$5:$E$204,MATCH(B301,'Order Planning'!$A$5:$A$204,0)),"")</f>
        <v/>
      </c>
      <c r="E301" s="7" t="str">
        <f t="array" ref="E301">IFERROR(INDEX('Order Planning'!$F$5:$F$204,MATCH(B301,'Order Planning'!$A$5:$A$204,0)),"")</f>
        <v/>
      </c>
      <c r="F301" s="7"/>
      <c r="G301" s="7"/>
      <c r="L301" s="7">
        <f t="shared" si="1"/>
        <v>0</v>
      </c>
      <c r="M301" s="14">
        <f t="shared" si="2"/>
        <v>0</v>
      </c>
      <c r="N301" s="7"/>
      <c r="O301" s="7">
        <f>IF(N301="Full Process",Settings!$B$6,IF(N301="Assembly Only",Settings!$B$7,0))</f>
        <v>0</v>
      </c>
      <c r="P301" s="14">
        <f t="shared" si="3"/>
        <v>0</v>
      </c>
      <c r="Q301" s="13">
        <f>IF(O301=0,0,MIN(1,L301/O301)*Settings!$B$5)</f>
        <v>0</v>
      </c>
      <c r="R301" s="16"/>
      <c r="S301" s="16"/>
      <c r="U301" s="7"/>
    </row>
    <row r="302" ht="15.75" customHeight="1">
      <c r="A302" s="15"/>
      <c r="B302" s="7"/>
      <c r="C302" s="7" t="str">
        <f t="array" ref="C302">IFERROR(INDEX('Order Planning'!$C$5:$C$204,MATCH(B302,'Order Planning'!$A$5:$A$204,0)),"")</f>
        <v/>
      </c>
      <c r="D302" s="7" t="str">
        <f t="array" ref="D302">IFERROR(INDEX('Order Planning'!$E$5:$E$204,MATCH(B302,'Order Planning'!$A$5:$A$204,0)),"")</f>
        <v/>
      </c>
      <c r="E302" s="7" t="str">
        <f t="array" ref="E302">IFERROR(INDEX('Order Planning'!$F$5:$F$204,MATCH(B302,'Order Planning'!$A$5:$A$204,0)),"")</f>
        <v/>
      </c>
      <c r="F302" s="7"/>
      <c r="G302" s="7"/>
      <c r="L302" s="7">
        <f t="shared" si="1"/>
        <v>0</v>
      </c>
      <c r="M302" s="14">
        <f t="shared" si="2"/>
        <v>0</v>
      </c>
      <c r="N302" s="7"/>
      <c r="O302" s="7">
        <f>IF(N302="Full Process",Settings!$B$6,IF(N302="Assembly Only",Settings!$B$7,0))</f>
        <v>0</v>
      </c>
      <c r="P302" s="14">
        <f t="shared" si="3"/>
        <v>0</v>
      </c>
      <c r="Q302" s="13">
        <f>IF(O302=0,0,MIN(1,L302/O302)*Settings!$B$5)</f>
        <v>0</v>
      </c>
      <c r="R302" s="16"/>
      <c r="S302" s="16"/>
      <c r="U302" s="7"/>
    </row>
    <row r="303" ht="15.75" customHeight="1">
      <c r="A303" s="15"/>
      <c r="B303" s="7"/>
      <c r="C303" s="7" t="str">
        <f t="array" ref="C303">IFERROR(INDEX('Order Planning'!$C$5:$C$204,MATCH(B303,'Order Planning'!$A$5:$A$204,0)),"")</f>
        <v/>
      </c>
      <c r="D303" s="7" t="str">
        <f t="array" ref="D303">IFERROR(INDEX('Order Planning'!$E$5:$E$204,MATCH(B303,'Order Planning'!$A$5:$A$204,0)),"")</f>
        <v/>
      </c>
      <c r="E303" s="7" t="str">
        <f t="array" ref="E303">IFERROR(INDEX('Order Planning'!$F$5:$F$204,MATCH(B303,'Order Planning'!$A$5:$A$204,0)),"")</f>
        <v/>
      </c>
      <c r="F303" s="7"/>
      <c r="G303" s="7"/>
      <c r="L303" s="7">
        <f t="shared" si="1"/>
        <v>0</v>
      </c>
      <c r="M303" s="14">
        <f t="shared" si="2"/>
        <v>0</v>
      </c>
      <c r="N303" s="7"/>
      <c r="O303" s="7">
        <f>IF(N303="Full Process",Settings!$B$6,IF(N303="Assembly Only",Settings!$B$7,0))</f>
        <v>0</v>
      </c>
      <c r="P303" s="14">
        <f t="shared" si="3"/>
        <v>0</v>
      </c>
      <c r="Q303" s="13">
        <f>IF(O303=0,0,MIN(1,L303/O303)*Settings!$B$5)</f>
        <v>0</v>
      </c>
      <c r="R303" s="16"/>
      <c r="S303" s="16"/>
      <c r="U303" s="7"/>
    </row>
    <row r="304" ht="15.75" customHeight="1">
      <c r="A304" s="15"/>
      <c r="B304" s="7"/>
      <c r="C304" s="7" t="str">
        <f t="array" ref="C304">IFERROR(INDEX('Order Planning'!$C$5:$C$204,MATCH(B304,'Order Planning'!$A$5:$A$204,0)),"")</f>
        <v/>
      </c>
      <c r="D304" s="7" t="str">
        <f t="array" ref="D304">IFERROR(INDEX('Order Planning'!$E$5:$E$204,MATCH(B304,'Order Planning'!$A$5:$A$204,0)),"")</f>
        <v/>
      </c>
      <c r="E304" s="7" t="str">
        <f t="array" ref="E304">IFERROR(INDEX('Order Planning'!$F$5:$F$204,MATCH(B304,'Order Planning'!$A$5:$A$204,0)),"")</f>
        <v/>
      </c>
      <c r="F304" s="7"/>
      <c r="G304" s="7"/>
      <c r="L304" s="7">
        <f t="shared" si="1"/>
        <v>0</v>
      </c>
      <c r="M304" s="14">
        <f t="shared" si="2"/>
        <v>0</v>
      </c>
      <c r="N304" s="7"/>
      <c r="O304" s="7">
        <f>IF(N304="Full Process",Settings!$B$6,IF(N304="Assembly Only",Settings!$B$7,0))</f>
        <v>0</v>
      </c>
      <c r="P304" s="14">
        <f t="shared" si="3"/>
        <v>0</v>
      </c>
      <c r="Q304" s="13">
        <f>IF(O304=0,0,MIN(1,L304/O304)*Settings!$B$5)</f>
        <v>0</v>
      </c>
      <c r="R304" s="16"/>
      <c r="S304" s="16"/>
      <c r="U304" s="7"/>
    </row>
    <row r="305" ht="15.75" customHeight="1">
      <c r="A305" s="15"/>
      <c r="B305" s="7"/>
      <c r="C305" s="7" t="str">
        <f t="array" ref="C305">IFERROR(INDEX('Order Planning'!$C$5:$C$204,MATCH(B305,'Order Planning'!$A$5:$A$204,0)),"")</f>
        <v/>
      </c>
      <c r="D305" s="7" t="str">
        <f t="array" ref="D305">IFERROR(INDEX('Order Planning'!$E$5:$E$204,MATCH(B305,'Order Planning'!$A$5:$A$204,0)),"")</f>
        <v/>
      </c>
      <c r="E305" s="7" t="str">
        <f t="array" ref="E305">IFERROR(INDEX('Order Planning'!$F$5:$F$204,MATCH(B305,'Order Planning'!$A$5:$A$204,0)),"")</f>
        <v/>
      </c>
      <c r="F305" s="7"/>
      <c r="G305" s="7"/>
      <c r="L305" s="7">
        <f t="shared" si="1"/>
        <v>0</v>
      </c>
      <c r="M305" s="14">
        <f t="shared" si="2"/>
        <v>0</v>
      </c>
      <c r="N305" s="7"/>
      <c r="O305" s="7">
        <f>IF(N305="Full Process",Settings!$B$6,IF(N305="Assembly Only",Settings!$B$7,0))</f>
        <v>0</v>
      </c>
      <c r="P305" s="14">
        <f t="shared" si="3"/>
        <v>0</v>
      </c>
      <c r="Q305" s="13">
        <f>IF(O305=0,0,MIN(1,L305/O305)*Settings!$B$5)</f>
        <v>0</v>
      </c>
      <c r="R305" s="16"/>
      <c r="S305" s="16"/>
      <c r="U305" s="7"/>
    </row>
    <row r="306" ht="15.75" customHeight="1">
      <c r="A306" s="15"/>
      <c r="B306" s="7"/>
      <c r="C306" s="7" t="str">
        <f t="array" ref="C306">IFERROR(INDEX('Order Planning'!$C$5:$C$204,MATCH(B306,'Order Planning'!$A$5:$A$204,0)),"")</f>
        <v/>
      </c>
      <c r="D306" s="7" t="str">
        <f t="array" ref="D306">IFERROR(INDEX('Order Planning'!$E$5:$E$204,MATCH(B306,'Order Planning'!$A$5:$A$204,0)),"")</f>
        <v/>
      </c>
      <c r="E306" s="7" t="str">
        <f t="array" ref="E306">IFERROR(INDEX('Order Planning'!$F$5:$F$204,MATCH(B306,'Order Planning'!$A$5:$A$204,0)),"")</f>
        <v/>
      </c>
      <c r="F306" s="7"/>
      <c r="G306" s="7"/>
      <c r="L306" s="7">
        <f t="shared" si="1"/>
        <v>0</v>
      </c>
      <c r="M306" s="14">
        <f t="shared" si="2"/>
        <v>0</v>
      </c>
      <c r="N306" s="7"/>
      <c r="O306" s="7">
        <f>IF(N306="Full Process",Settings!$B$6,IF(N306="Assembly Only",Settings!$B$7,0))</f>
        <v>0</v>
      </c>
      <c r="P306" s="14">
        <f t="shared" si="3"/>
        <v>0</v>
      </c>
      <c r="Q306" s="13">
        <f>IF(O306=0,0,MIN(1,L306/O306)*Settings!$B$5)</f>
        <v>0</v>
      </c>
      <c r="R306" s="16"/>
      <c r="S306" s="16"/>
      <c r="U306" s="7"/>
    </row>
    <row r="307" ht="15.75" customHeight="1">
      <c r="A307" s="15"/>
      <c r="B307" s="7"/>
      <c r="C307" s="7" t="str">
        <f t="array" ref="C307">IFERROR(INDEX('Order Planning'!$C$5:$C$204,MATCH(B307,'Order Planning'!$A$5:$A$204,0)),"")</f>
        <v/>
      </c>
      <c r="D307" s="7" t="str">
        <f t="array" ref="D307">IFERROR(INDEX('Order Planning'!$E$5:$E$204,MATCH(B307,'Order Planning'!$A$5:$A$204,0)),"")</f>
        <v/>
      </c>
      <c r="E307" s="7" t="str">
        <f t="array" ref="E307">IFERROR(INDEX('Order Planning'!$F$5:$F$204,MATCH(B307,'Order Planning'!$A$5:$A$204,0)),"")</f>
        <v/>
      </c>
      <c r="F307" s="7"/>
      <c r="G307" s="7"/>
      <c r="L307" s="7">
        <f t="shared" si="1"/>
        <v>0</v>
      </c>
      <c r="M307" s="14">
        <f t="shared" si="2"/>
        <v>0</v>
      </c>
      <c r="N307" s="7"/>
      <c r="O307" s="7">
        <f>IF(N307="Full Process",Settings!$B$6,IF(N307="Assembly Only",Settings!$B$7,0))</f>
        <v>0</v>
      </c>
      <c r="P307" s="14">
        <f t="shared" si="3"/>
        <v>0</v>
      </c>
      <c r="Q307" s="13">
        <f>IF(O307=0,0,MIN(1,L307/O307)*Settings!$B$5)</f>
        <v>0</v>
      </c>
      <c r="R307" s="16"/>
      <c r="S307" s="16"/>
      <c r="U307" s="7"/>
    </row>
    <row r="308" ht="15.75" customHeight="1">
      <c r="A308" s="15"/>
      <c r="B308" s="7"/>
      <c r="C308" s="7" t="str">
        <f t="array" ref="C308">IFERROR(INDEX('Order Planning'!$C$5:$C$204,MATCH(B308,'Order Planning'!$A$5:$A$204,0)),"")</f>
        <v/>
      </c>
      <c r="D308" s="7" t="str">
        <f t="array" ref="D308">IFERROR(INDEX('Order Planning'!$E$5:$E$204,MATCH(B308,'Order Planning'!$A$5:$A$204,0)),"")</f>
        <v/>
      </c>
      <c r="E308" s="7" t="str">
        <f t="array" ref="E308">IFERROR(INDEX('Order Planning'!$F$5:$F$204,MATCH(B308,'Order Planning'!$A$5:$A$204,0)),"")</f>
        <v/>
      </c>
      <c r="F308" s="7"/>
      <c r="G308" s="7"/>
      <c r="L308" s="7">
        <f t="shared" si="1"/>
        <v>0</v>
      </c>
      <c r="M308" s="14">
        <f t="shared" si="2"/>
        <v>0</v>
      </c>
      <c r="N308" s="7"/>
      <c r="O308" s="7">
        <f>IF(N308="Full Process",Settings!$B$6,IF(N308="Assembly Only",Settings!$B$7,0))</f>
        <v>0</v>
      </c>
      <c r="P308" s="14">
        <f t="shared" si="3"/>
        <v>0</v>
      </c>
      <c r="Q308" s="13">
        <f>IF(O308=0,0,MIN(1,L308/O308)*Settings!$B$5)</f>
        <v>0</v>
      </c>
      <c r="R308" s="16"/>
      <c r="S308" s="16"/>
      <c r="U308" s="7"/>
    </row>
    <row r="309" ht="15.75" customHeight="1">
      <c r="A309" s="15"/>
      <c r="B309" s="7"/>
      <c r="C309" s="7" t="str">
        <f t="array" ref="C309">IFERROR(INDEX('Order Planning'!$C$5:$C$204,MATCH(B309,'Order Planning'!$A$5:$A$204,0)),"")</f>
        <v/>
      </c>
      <c r="D309" s="7" t="str">
        <f t="array" ref="D309">IFERROR(INDEX('Order Planning'!$E$5:$E$204,MATCH(B309,'Order Planning'!$A$5:$A$204,0)),"")</f>
        <v/>
      </c>
      <c r="E309" s="7" t="str">
        <f t="array" ref="E309">IFERROR(INDEX('Order Planning'!$F$5:$F$204,MATCH(B309,'Order Planning'!$A$5:$A$204,0)),"")</f>
        <v/>
      </c>
      <c r="F309" s="7"/>
      <c r="G309" s="7"/>
      <c r="L309" s="7">
        <f t="shared" si="1"/>
        <v>0</v>
      </c>
      <c r="M309" s="14">
        <f t="shared" si="2"/>
        <v>0</v>
      </c>
      <c r="N309" s="7"/>
      <c r="O309" s="7">
        <f>IF(N309="Full Process",Settings!$B$6,IF(N309="Assembly Only",Settings!$B$7,0))</f>
        <v>0</v>
      </c>
      <c r="P309" s="14">
        <f t="shared" si="3"/>
        <v>0</v>
      </c>
      <c r="Q309" s="13">
        <f>IF(O309=0,0,MIN(1,L309/O309)*Settings!$B$5)</f>
        <v>0</v>
      </c>
      <c r="R309" s="16"/>
      <c r="S309" s="16"/>
      <c r="U309" s="7"/>
    </row>
    <row r="310" ht="15.75" customHeight="1">
      <c r="A310" s="15"/>
      <c r="B310" s="7"/>
      <c r="C310" s="7" t="str">
        <f t="array" ref="C310">IFERROR(INDEX('Order Planning'!$C$5:$C$204,MATCH(B310,'Order Planning'!$A$5:$A$204,0)),"")</f>
        <v/>
      </c>
      <c r="D310" s="7" t="str">
        <f t="array" ref="D310">IFERROR(INDEX('Order Planning'!$E$5:$E$204,MATCH(B310,'Order Planning'!$A$5:$A$204,0)),"")</f>
        <v/>
      </c>
      <c r="E310" s="7" t="str">
        <f t="array" ref="E310">IFERROR(INDEX('Order Planning'!$F$5:$F$204,MATCH(B310,'Order Planning'!$A$5:$A$204,0)),"")</f>
        <v/>
      </c>
      <c r="F310" s="7"/>
      <c r="G310" s="7"/>
      <c r="L310" s="7">
        <f t="shared" si="1"/>
        <v>0</v>
      </c>
      <c r="M310" s="14">
        <f t="shared" si="2"/>
        <v>0</v>
      </c>
      <c r="N310" s="7"/>
      <c r="O310" s="7">
        <f>IF(N310="Full Process",Settings!$B$6,IF(N310="Assembly Only",Settings!$B$7,0))</f>
        <v>0</v>
      </c>
      <c r="P310" s="14">
        <f t="shared" si="3"/>
        <v>0</v>
      </c>
      <c r="Q310" s="13">
        <f>IF(O310=0,0,MIN(1,L310/O310)*Settings!$B$5)</f>
        <v>0</v>
      </c>
      <c r="R310" s="16"/>
      <c r="S310" s="16"/>
      <c r="U310" s="7"/>
    </row>
    <row r="311" ht="15.75" customHeight="1">
      <c r="A311" s="15"/>
      <c r="B311" s="7"/>
      <c r="C311" s="7" t="str">
        <f t="array" ref="C311">IFERROR(INDEX('Order Planning'!$C$5:$C$204,MATCH(B311,'Order Planning'!$A$5:$A$204,0)),"")</f>
        <v/>
      </c>
      <c r="D311" s="7" t="str">
        <f t="array" ref="D311">IFERROR(INDEX('Order Planning'!$E$5:$E$204,MATCH(B311,'Order Planning'!$A$5:$A$204,0)),"")</f>
        <v/>
      </c>
      <c r="E311" s="7" t="str">
        <f t="array" ref="E311">IFERROR(INDEX('Order Planning'!$F$5:$F$204,MATCH(B311,'Order Planning'!$A$5:$A$204,0)),"")</f>
        <v/>
      </c>
      <c r="F311" s="7"/>
      <c r="G311" s="7"/>
      <c r="L311" s="7">
        <f t="shared" si="1"/>
        <v>0</v>
      </c>
      <c r="M311" s="14">
        <f t="shared" si="2"/>
        <v>0</v>
      </c>
      <c r="N311" s="7"/>
      <c r="O311" s="7">
        <f>IF(N311="Full Process",Settings!$B$6,IF(N311="Assembly Only",Settings!$B$7,0))</f>
        <v>0</v>
      </c>
      <c r="P311" s="14">
        <f t="shared" si="3"/>
        <v>0</v>
      </c>
      <c r="Q311" s="13">
        <f>IF(O311=0,0,MIN(1,L311/O311)*Settings!$B$5)</f>
        <v>0</v>
      </c>
      <c r="R311" s="16"/>
      <c r="S311" s="16"/>
      <c r="U311" s="7"/>
    </row>
    <row r="312" ht="15.75" customHeight="1">
      <c r="A312" s="15"/>
      <c r="B312" s="7"/>
      <c r="C312" s="7" t="str">
        <f t="array" ref="C312">IFERROR(INDEX('Order Planning'!$C$5:$C$204,MATCH(B312,'Order Planning'!$A$5:$A$204,0)),"")</f>
        <v/>
      </c>
      <c r="D312" s="7" t="str">
        <f t="array" ref="D312">IFERROR(INDEX('Order Planning'!$E$5:$E$204,MATCH(B312,'Order Planning'!$A$5:$A$204,0)),"")</f>
        <v/>
      </c>
      <c r="E312" s="7" t="str">
        <f t="array" ref="E312">IFERROR(INDEX('Order Planning'!$F$5:$F$204,MATCH(B312,'Order Planning'!$A$5:$A$204,0)),"")</f>
        <v/>
      </c>
      <c r="F312" s="7"/>
      <c r="G312" s="7"/>
      <c r="L312" s="7">
        <f t="shared" si="1"/>
        <v>0</v>
      </c>
      <c r="M312" s="14">
        <f t="shared" si="2"/>
        <v>0</v>
      </c>
      <c r="N312" s="7"/>
      <c r="O312" s="7">
        <f>IF(N312="Full Process",Settings!$B$6,IF(N312="Assembly Only",Settings!$B$7,0))</f>
        <v>0</v>
      </c>
      <c r="P312" s="14">
        <f t="shared" si="3"/>
        <v>0</v>
      </c>
      <c r="Q312" s="13">
        <f>IF(O312=0,0,MIN(1,L312/O312)*Settings!$B$5)</f>
        <v>0</v>
      </c>
      <c r="R312" s="16"/>
      <c r="S312" s="16"/>
      <c r="U312" s="7"/>
    </row>
    <row r="313" ht="15.75" customHeight="1">
      <c r="A313" s="15"/>
      <c r="B313" s="7"/>
      <c r="C313" s="7" t="str">
        <f t="array" ref="C313">IFERROR(INDEX('Order Planning'!$C$5:$C$204,MATCH(B313,'Order Planning'!$A$5:$A$204,0)),"")</f>
        <v/>
      </c>
      <c r="D313" s="7" t="str">
        <f t="array" ref="D313">IFERROR(INDEX('Order Planning'!$E$5:$E$204,MATCH(B313,'Order Planning'!$A$5:$A$204,0)),"")</f>
        <v/>
      </c>
      <c r="E313" s="7" t="str">
        <f t="array" ref="E313">IFERROR(INDEX('Order Planning'!$F$5:$F$204,MATCH(B313,'Order Planning'!$A$5:$A$204,0)),"")</f>
        <v/>
      </c>
      <c r="F313" s="7"/>
      <c r="G313" s="7"/>
      <c r="L313" s="7">
        <f t="shared" si="1"/>
        <v>0</v>
      </c>
      <c r="M313" s="14">
        <f t="shared" si="2"/>
        <v>0</v>
      </c>
      <c r="N313" s="7"/>
      <c r="O313" s="7">
        <f>IF(N313="Full Process",Settings!$B$6,IF(N313="Assembly Only",Settings!$B$7,0))</f>
        <v>0</v>
      </c>
      <c r="P313" s="14">
        <f t="shared" si="3"/>
        <v>0</v>
      </c>
      <c r="Q313" s="13">
        <f>IF(O313=0,0,MIN(1,L313/O313)*Settings!$B$5)</f>
        <v>0</v>
      </c>
      <c r="R313" s="16"/>
      <c r="S313" s="16"/>
      <c r="U313" s="7"/>
    </row>
    <row r="314" ht="15.75" customHeight="1">
      <c r="A314" s="15"/>
      <c r="B314" s="7"/>
      <c r="C314" s="7" t="str">
        <f t="array" ref="C314">IFERROR(INDEX('Order Planning'!$C$5:$C$204,MATCH(B314,'Order Planning'!$A$5:$A$204,0)),"")</f>
        <v/>
      </c>
      <c r="D314" s="7" t="str">
        <f t="array" ref="D314">IFERROR(INDEX('Order Planning'!$E$5:$E$204,MATCH(B314,'Order Planning'!$A$5:$A$204,0)),"")</f>
        <v/>
      </c>
      <c r="E314" s="7" t="str">
        <f t="array" ref="E314">IFERROR(INDEX('Order Planning'!$F$5:$F$204,MATCH(B314,'Order Planning'!$A$5:$A$204,0)),"")</f>
        <v/>
      </c>
      <c r="F314" s="7"/>
      <c r="G314" s="7"/>
      <c r="L314" s="7">
        <f t="shared" si="1"/>
        <v>0</v>
      </c>
      <c r="M314" s="14">
        <f t="shared" si="2"/>
        <v>0</v>
      </c>
      <c r="N314" s="7"/>
      <c r="O314" s="7">
        <f>IF(N314="Full Process",Settings!$B$6,IF(N314="Assembly Only",Settings!$B$7,0))</f>
        <v>0</v>
      </c>
      <c r="P314" s="14">
        <f t="shared" si="3"/>
        <v>0</v>
      </c>
      <c r="Q314" s="13">
        <f>IF(O314=0,0,MIN(1,L314/O314)*Settings!$B$5)</f>
        <v>0</v>
      </c>
      <c r="R314" s="16"/>
      <c r="S314" s="16"/>
      <c r="U314" s="7"/>
    </row>
    <row r="315" ht="15.75" customHeight="1">
      <c r="A315" s="15"/>
      <c r="B315" s="7"/>
      <c r="C315" s="7" t="str">
        <f t="array" ref="C315">IFERROR(INDEX('Order Planning'!$C$5:$C$204,MATCH(B315,'Order Planning'!$A$5:$A$204,0)),"")</f>
        <v/>
      </c>
      <c r="D315" s="7" t="str">
        <f t="array" ref="D315">IFERROR(INDEX('Order Planning'!$E$5:$E$204,MATCH(B315,'Order Planning'!$A$5:$A$204,0)),"")</f>
        <v/>
      </c>
      <c r="E315" s="7" t="str">
        <f t="array" ref="E315">IFERROR(INDEX('Order Planning'!$F$5:$F$204,MATCH(B315,'Order Planning'!$A$5:$A$204,0)),"")</f>
        <v/>
      </c>
      <c r="F315" s="7"/>
      <c r="G315" s="7"/>
      <c r="L315" s="7">
        <f t="shared" si="1"/>
        <v>0</v>
      </c>
      <c r="M315" s="14">
        <f t="shared" si="2"/>
        <v>0</v>
      </c>
      <c r="N315" s="7"/>
      <c r="O315" s="7">
        <f>IF(N315="Full Process",Settings!$B$6,IF(N315="Assembly Only",Settings!$B$7,0))</f>
        <v>0</v>
      </c>
      <c r="P315" s="14">
        <f t="shared" si="3"/>
        <v>0</v>
      </c>
      <c r="Q315" s="13">
        <f>IF(O315=0,0,MIN(1,L315/O315)*Settings!$B$5)</f>
        <v>0</v>
      </c>
      <c r="R315" s="16"/>
      <c r="S315" s="16"/>
      <c r="U315" s="7"/>
    </row>
    <row r="316" ht="15.75" customHeight="1">
      <c r="A316" s="15"/>
      <c r="B316" s="7"/>
      <c r="C316" s="7" t="str">
        <f t="array" ref="C316">IFERROR(INDEX('Order Planning'!$C$5:$C$204,MATCH(B316,'Order Planning'!$A$5:$A$204,0)),"")</f>
        <v/>
      </c>
      <c r="D316" s="7" t="str">
        <f t="array" ref="D316">IFERROR(INDEX('Order Planning'!$E$5:$E$204,MATCH(B316,'Order Planning'!$A$5:$A$204,0)),"")</f>
        <v/>
      </c>
      <c r="E316" s="7" t="str">
        <f t="array" ref="E316">IFERROR(INDEX('Order Planning'!$F$5:$F$204,MATCH(B316,'Order Planning'!$A$5:$A$204,0)),"")</f>
        <v/>
      </c>
      <c r="F316" s="7"/>
      <c r="G316" s="7"/>
      <c r="L316" s="7">
        <f t="shared" si="1"/>
        <v>0</v>
      </c>
      <c r="M316" s="14">
        <f t="shared" si="2"/>
        <v>0</v>
      </c>
      <c r="N316" s="7"/>
      <c r="O316" s="7">
        <f>IF(N316="Full Process",Settings!$B$6,IF(N316="Assembly Only",Settings!$B$7,0))</f>
        <v>0</v>
      </c>
      <c r="P316" s="14">
        <f t="shared" si="3"/>
        <v>0</v>
      </c>
      <c r="Q316" s="13">
        <f>IF(O316=0,0,MIN(1,L316/O316)*Settings!$B$5)</f>
        <v>0</v>
      </c>
      <c r="R316" s="16"/>
      <c r="S316" s="16"/>
      <c r="U316" s="7"/>
    </row>
    <row r="317" ht="15.75" customHeight="1">
      <c r="A317" s="15"/>
      <c r="B317" s="7"/>
      <c r="C317" s="7" t="str">
        <f t="array" ref="C317">IFERROR(INDEX('Order Planning'!$C$5:$C$204,MATCH(B317,'Order Planning'!$A$5:$A$204,0)),"")</f>
        <v/>
      </c>
      <c r="D317" s="7" t="str">
        <f t="array" ref="D317">IFERROR(INDEX('Order Planning'!$E$5:$E$204,MATCH(B317,'Order Planning'!$A$5:$A$204,0)),"")</f>
        <v/>
      </c>
      <c r="E317" s="7" t="str">
        <f t="array" ref="E317">IFERROR(INDEX('Order Planning'!$F$5:$F$204,MATCH(B317,'Order Planning'!$A$5:$A$204,0)),"")</f>
        <v/>
      </c>
      <c r="F317" s="7"/>
      <c r="G317" s="7"/>
      <c r="L317" s="7">
        <f t="shared" si="1"/>
        <v>0</v>
      </c>
      <c r="M317" s="14">
        <f t="shared" si="2"/>
        <v>0</v>
      </c>
      <c r="N317" s="7"/>
      <c r="O317" s="7">
        <f>IF(N317="Full Process",Settings!$B$6,IF(N317="Assembly Only",Settings!$B$7,0))</f>
        <v>0</v>
      </c>
      <c r="P317" s="14">
        <f t="shared" si="3"/>
        <v>0</v>
      </c>
      <c r="Q317" s="13">
        <f>IF(O317=0,0,MIN(1,L317/O317)*Settings!$B$5)</f>
        <v>0</v>
      </c>
      <c r="R317" s="16"/>
      <c r="S317" s="16"/>
      <c r="U317" s="7"/>
    </row>
    <row r="318" ht="15.75" customHeight="1">
      <c r="A318" s="15"/>
      <c r="B318" s="7"/>
      <c r="C318" s="7" t="str">
        <f t="array" ref="C318">IFERROR(INDEX('Order Planning'!$C$5:$C$204,MATCH(B318,'Order Planning'!$A$5:$A$204,0)),"")</f>
        <v/>
      </c>
      <c r="D318" s="7" t="str">
        <f t="array" ref="D318">IFERROR(INDEX('Order Planning'!$E$5:$E$204,MATCH(B318,'Order Planning'!$A$5:$A$204,0)),"")</f>
        <v/>
      </c>
      <c r="E318" s="7" t="str">
        <f t="array" ref="E318">IFERROR(INDEX('Order Planning'!$F$5:$F$204,MATCH(B318,'Order Planning'!$A$5:$A$204,0)),"")</f>
        <v/>
      </c>
      <c r="F318" s="7"/>
      <c r="G318" s="7"/>
      <c r="L318" s="7">
        <f t="shared" si="1"/>
        <v>0</v>
      </c>
      <c r="M318" s="14">
        <f t="shared" si="2"/>
        <v>0</v>
      </c>
      <c r="N318" s="7"/>
      <c r="O318" s="7">
        <f>IF(N318="Full Process",Settings!$B$6,IF(N318="Assembly Only",Settings!$B$7,0))</f>
        <v>0</v>
      </c>
      <c r="P318" s="14">
        <f t="shared" si="3"/>
        <v>0</v>
      </c>
      <c r="Q318" s="13">
        <f>IF(O318=0,0,MIN(1,L318/O318)*Settings!$B$5)</f>
        <v>0</v>
      </c>
      <c r="R318" s="16"/>
      <c r="S318" s="16"/>
      <c r="U318" s="7"/>
    </row>
    <row r="319" ht="15.75" customHeight="1">
      <c r="A319" s="15"/>
      <c r="B319" s="7"/>
      <c r="C319" s="7" t="str">
        <f t="array" ref="C319">IFERROR(INDEX('Order Planning'!$C$5:$C$204,MATCH(B319,'Order Planning'!$A$5:$A$204,0)),"")</f>
        <v/>
      </c>
      <c r="D319" s="7" t="str">
        <f t="array" ref="D319">IFERROR(INDEX('Order Planning'!$E$5:$E$204,MATCH(B319,'Order Planning'!$A$5:$A$204,0)),"")</f>
        <v/>
      </c>
      <c r="E319" s="7" t="str">
        <f t="array" ref="E319">IFERROR(INDEX('Order Planning'!$F$5:$F$204,MATCH(B319,'Order Planning'!$A$5:$A$204,0)),"")</f>
        <v/>
      </c>
      <c r="F319" s="7"/>
      <c r="G319" s="7"/>
      <c r="L319" s="7">
        <f t="shared" si="1"/>
        <v>0</v>
      </c>
      <c r="M319" s="14">
        <f t="shared" si="2"/>
        <v>0</v>
      </c>
      <c r="N319" s="7"/>
      <c r="O319" s="7">
        <f>IF(N319="Full Process",Settings!$B$6,IF(N319="Assembly Only",Settings!$B$7,0))</f>
        <v>0</v>
      </c>
      <c r="P319" s="14">
        <f t="shared" si="3"/>
        <v>0</v>
      </c>
      <c r="Q319" s="13">
        <f>IF(O319=0,0,MIN(1,L319/O319)*Settings!$B$5)</f>
        <v>0</v>
      </c>
      <c r="R319" s="16"/>
      <c r="S319" s="16"/>
      <c r="U319" s="7"/>
    </row>
    <row r="320" ht="15.75" customHeight="1">
      <c r="A320" s="15"/>
      <c r="B320" s="7"/>
      <c r="C320" s="7" t="str">
        <f t="array" ref="C320">IFERROR(INDEX('Order Planning'!$C$5:$C$204,MATCH(B320,'Order Planning'!$A$5:$A$204,0)),"")</f>
        <v/>
      </c>
      <c r="D320" s="7" t="str">
        <f t="array" ref="D320">IFERROR(INDEX('Order Planning'!$E$5:$E$204,MATCH(B320,'Order Planning'!$A$5:$A$204,0)),"")</f>
        <v/>
      </c>
      <c r="E320" s="7" t="str">
        <f t="array" ref="E320">IFERROR(INDEX('Order Planning'!$F$5:$F$204,MATCH(B320,'Order Planning'!$A$5:$A$204,0)),"")</f>
        <v/>
      </c>
      <c r="F320" s="7"/>
      <c r="G320" s="7"/>
      <c r="L320" s="7">
        <f t="shared" si="1"/>
        <v>0</v>
      </c>
      <c r="M320" s="14">
        <f t="shared" si="2"/>
        <v>0</v>
      </c>
      <c r="N320" s="7"/>
      <c r="O320" s="7">
        <f>IF(N320="Full Process",Settings!$B$6,IF(N320="Assembly Only",Settings!$B$7,0))</f>
        <v>0</v>
      </c>
      <c r="P320" s="14">
        <f t="shared" si="3"/>
        <v>0</v>
      </c>
      <c r="Q320" s="13">
        <f>IF(O320=0,0,MIN(1,L320/O320)*Settings!$B$5)</f>
        <v>0</v>
      </c>
      <c r="R320" s="16"/>
      <c r="S320" s="16"/>
      <c r="U320" s="7"/>
    </row>
    <row r="321" ht="15.75" customHeight="1">
      <c r="A321" s="15"/>
      <c r="B321" s="7"/>
      <c r="C321" s="7" t="str">
        <f t="array" ref="C321">IFERROR(INDEX('Order Planning'!$C$5:$C$204,MATCH(B321,'Order Planning'!$A$5:$A$204,0)),"")</f>
        <v/>
      </c>
      <c r="D321" s="7" t="str">
        <f t="array" ref="D321">IFERROR(INDEX('Order Planning'!$E$5:$E$204,MATCH(B321,'Order Planning'!$A$5:$A$204,0)),"")</f>
        <v/>
      </c>
      <c r="E321" s="7" t="str">
        <f t="array" ref="E321">IFERROR(INDEX('Order Planning'!$F$5:$F$204,MATCH(B321,'Order Planning'!$A$5:$A$204,0)),"")</f>
        <v/>
      </c>
      <c r="F321" s="7"/>
      <c r="G321" s="7"/>
      <c r="L321" s="7">
        <f t="shared" si="1"/>
        <v>0</v>
      </c>
      <c r="M321" s="14">
        <f t="shared" si="2"/>
        <v>0</v>
      </c>
      <c r="N321" s="7"/>
      <c r="O321" s="7">
        <f>IF(N321="Full Process",Settings!$B$6,IF(N321="Assembly Only",Settings!$B$7,0))</f>
        <v>0</v>
      </c>
      <c r="P321" s="14">
        <f t="shared" si="3"/>
        <v>0</v>
      </c>
      <c r="Q321" s="13">
        <f>IF(O321=0,0,MIN(1,L321/O321)*Settings!$B$5)</f>
        <v>0</v>
      </c>
      <c r="R321" s="16"/>
      <c r="S321" s="16"/>
      <c r="U321" s="7"/>
    </row>
    <row r="322" ht="15.75" customHeight="1">
      <c r="A322" s="15"/>
      <c r="B322" s="7"/>
      <c r="C322" s="7" t="str">
        <f t="array" ref="C322">IFERROR(INDEX('Order Planning'!$C$5:$C$204,MATCH(B322,'Order Planning'!$A$5:$A$204,0)),"")</f>
        <v/>
      </c>
      <c r="D322" s="7" t="str">
        <f t="array" ref="D322">IFERROR(INDEX('Order Planning'!$E$5:$E$204,MATCH(B322,'Order Planning'!$A$5:$A$204,0)),"")</f>
        <v/>
      </c>
      <c r="E322" s="7" t="str">
        <f t="array" ref="E322">IFERROR(INDEX('Order Planning'!$F$5:$F$204,MATCH(B322,'Order Planning'!$A$5:$A$204,0)),"")</f>
        <v/>
      </c>
      <c r="F322" s="7"/>
      <c r="G322" s="7"/>
      <c r="L322" s="7">
        <f t="shared" si="1"/>
        <v>0</v>
      </c>
      <c r="M322" s="14">
        <f t="shared" si="2"/>
        <v>0</v>
      </c>
      <c r="N322" s="7"/>
      <c r="O322" s="7">
        <f>IF(N322="Full Process",Settings!$B$6,IF(N322="Assembly Only",Settings!$B$7,0))</f>
        <v>0</v>
      </c>
      <c r="P322" s="14">
        <f t="shared" si="3"/>
        <v>0</v>
      </c>
      <c r="Q322" s="13">
        <f>IF(O322=0,0,MIN(1,L322/O322)*Settings!$B$5)</f>
        <v>0</v>
      </c>
      <c r="R322" s="16"/>
      <c r="S322" s="16"/>
      <c r="U322" s="7"/>
    </row>
    <row r="323" ht="15.75" customHeight="1">
      <c r="A323" s="15"/>
      <c r="B323" s="7"/>
      <c r="C323" s="7" t="str">
        <f t="array" ref="C323">IFERROR(INDEX('Order Planning'!$C$5:$C$204,MATCH(B323,'Order Planning'!$A$5:$A$204,0)),"")</f>
        <v/>
      </c>
      <c r="D323" s="7" t="str">
        <f t="array" ref="D323">IFERROR(INDEX('Order Planning'!$E$5:$E$204,MATCH(B323,'Order Planning'!$A$5:$A$204,0)),"")</f>
        <v/>
      </c>
      <c r="E323" s="7" t="str">
        <f t="array" ref="E323">IFERROR(INDEX('Order Planning'!$F$5:$F$204,MATCH(B323,'Order Planning'!$A$5:$A$204,0)),"")</f>
        <v/>
      </c>
      <c r="F323" s="7"/>
      <c r="G323" s="7"/>
      <c r="L323" s="7">
        <f t="shared" si="1"/>
        <v>0</v>
      </c>
      <c r="M323" s="14">
        <f t="shared" si="2"/>
        <v>0</v>
      </c>
      <c r="N323" s="7"/>
      <c r="O323" s="7">
        <f>IF(N323="Full Process",Settings!$B$6,IF(N323="Assembly Only",Settings!$B$7,0))</f>
        <v>0</v>
      </c>
      <c r="P323" s="14">
        <f t="shared" si="3"/>
        <v>0</v>
      </c>
      <c r="Q323" s="13">
        <f>IF(O323=0,0,MIN(1,L323/O323)*Settings!$B$5)</f>
        <v>0</v>
      </c>
      <c r="R323" s="16"/>
      <c r="S323" s="16"/>
      <c r="U323" s="7"/>
    </row>
    <row r="324" ht="15.75" customHeight="1">
      <c r="A324" s="15"/>
      <c r="B324" s="7"/>
      <c r="C324" s="7" t="str">
        <f t="array" ref="C324">IFERROR(INDEX('Order Planning'!$C$5:$C$204,MATCH(B324,'Order Planning'!$A$5:$A$204,0)),"")</f>
        <v/>
      </c>
      <c r="D324" s="7" t="str">
        <f t="array" ref="D324">IFERROR(INDEX('Order Planning'!$E$5:$E$204,MATCH(B324,'Order Planning'!$A$5:$A$204,0)),"")</f>
        <v/>
      </c>
      <c r="E324" s="7" t="str">
        <f t="array" ref="E324">IFERROR(INDEX('Order Planning'!$F$5:$F$204,MATCH(B324,'Order Planning'!$A$5:$A$204,0)),"")</f>
        <v/>
      </c>
      <c r="F324" s="7"/>
      <c r="G324" s="7"/>
      <c r="L324" s="7">
        <f t="shared" si="1"/>
        <v>0</v>
      </c>
      <c r="M324" s="14">
        <f t="shared" si="2"/>
        <v>0</v>
      </c>
      <c r="N324" s="7"/>
      <c r="O324" s="7">
        <f>IF(N324="Full Process",Settings!$B$6,IF(N324="Assembly Only",Settings!$B$7,0))</f>
        <v>0</v>
      </c>
      <c r="P324" s="14">
        <f t="shared" si="3"/>
        <v>0</v>
      </c>
      <c r="Q324" s="13">
        <f>IF(O324=0,0,MIN(1,L324/O324)*Settings!$B$5)</f>
        <v>0</v>
      </c>
      <c r="R324" s="16"/>
      <c r="S324" s="16"/>
      <c r="U324" s="7"/>
    </row>
    <row r="325" ht="15.75" customHeight="1">
      <c r="A325" s="15"/>
      <c r="B325" s="7"/>
      <c r="C325" s="7" t="str">
        <f t="array" ref="C325">IFERROR(INDEX('Order Planning'!$C$5:$C$204,MATCH(B325,'Order Planning'!$A$5:$A$204,0)),"")</f>
        <v/>
      </c>
      <c r="D325" s="7" t="str">
        <f t="array" ref="D325">IFERROR(INDEX('Order Planning'!$E$5:$E$204,MATCH(B325,'Order Planning'!$A$5:$A$204,0)),"")</f>
        <v/>
      </c>
      <c r="E325" s="7" t="str">
        <f t="array" ref="E325">IFERROR(INDEX('Order Planning'!$F$5:$F$204,MATCH(B325,'Order Planning'!$A$5:$A$204,0)),"")</f>
        <v/>
      </c>
      <c r="F325" s="7"/>
      <c r="G325" s="7"/>
      <c r="L325" s="7">
        <f t="shared" si="1"/>
        <v>0</v>
      </c>
      <c r="M325" s="14">
        <f t="shared" si="2"/>
        <v>0</v>
      </c>
      <c r="N325" s="7"/>
      <c r="O325" s="7">
        <f>IF(N325="Full Process",Settings!$B$6,IF(N325="Assembly Only",Settings!$B$7,0))</f>
        <v>0</v>
      </c>
      <c r="P325" s="14">
        <f t="shared" si="3"/>
        <v>0</v>
      </c>
      <c r="Q325" s="13">
        <f>IF(O325=0,0,MIN(1,L325/O325)*Settings!$B$5)</f>
        <v>0</v>
      </c>
      <c r="R325" s="16"/>
      <c r="S325" s="16"/>
      <c r="U325" s="7"/>
    </row>
    <row r="326" ht="15.75" customHeight="1">
      <c r="A326" s="15"/>
      <c r="B326" s="7"/>
      <c r="C326" s="7" t="str">
        <f t="array" ref="C326">IFERROR(INDEX('Order Planning'!$C$5:$C$204,MATCH(B326,'Order Planning'!$A$5:$A$204,0)),"")</f>
        <v/>
      </c>
      <c r="D326" s="7" t="str">
        <f t="array" ref="D326">IFERROR(INDEX('Order Planning'!$E$5:$E$204,MATCH(B326,'Order Planning'!$A$5:$A$204,0)),"")</f>
        <v/>
      </c>
      <c r="E326" s="7" t="str">
        <f t="array" ref="E326">IFERROR(INDEX('Order Planning'!$F$5:$F$204,MATCH(B326,'Order Planning'!$A$5:$A$204,0)),"")</f>
        <v/>
      </c>
      <c r="F326" s="7"/>
      <c r="G326" s="7"/>
      <c r="L326" s="7">
        <f t="shared" si="1"/>
        <v>0</v>
      </c>
      <c r="M326" s="14">
        <f t="shared" si="2"/>
        <v>0</v>
      </c>
      <c r="N326" s="7"/>
      <c r="O326" s="7">
        <f>IF(N326="Full Process",Settings!$B$6,IF(N326="Assembly Only",Settings!$B$7,0))</f>
        <v>0</v>
      </c>
      <c r="P326" s="14">
        <f t="shared" si="3"/>
        <v>0</v>
      </c>
      <c r="Q326" s="13">
        <f>IF(O326=0,0,MIN(1,L326/O326)*Settings!$B$5)</f>
        <v>0</v>
      </c>
      <c r="R326" s="16"/>
      <c r="S326" s="16"/>
      <c r="U326" s="7"/>
    </row>
    <row r="327" ht="15.75" customHeight="1">
      <c r="A327" s="15"/>
      <c r="B327" s="7"/>
      <c r="C327" s="7" t="str">
        <f t="array" ref="C327">IFERROR(INDEX('Order Planning'!$C$5:$C$204,MATCH(B327,'Order Planning'!$A$5:$A$204,0)),"")</f>
        <v/>
      </c>
      <c r="D327" s="7" t="str">
        <f t="array" ref="D327">IFERROR(INDEX('Order Planning'!$E$5:$E$204,MATCH(B327,'Order Planning'!$A$5:$A$204,0)),"")</f>
        <v/>
      </c>
      <c r="E327" s="7" t="str">
        <f t="array" ref="E327">IFERROR(INDEX('Order Planning'!$F$5:$F$204,MATCH(B327,'Order Planning'!$A$5:$A$204,0)),"")</f>
        <v/>
      </c>
      <c r="F327" s="7"/>
      <c r="G327" s="7"/>
      <c r="L327" s="7">
        <f t="shared" si="1"/>
        <v>0</v>
      </c>
      <c r="M327" s="14">
        <f t="shared" si="2"/>
        <v>0</v>
      </c>
      <c r="N327" s="7"/>
      <c r="O327" s="7">
        <f>IF(N327="Full Process",Settings!$B$6,IF(N327="Assembly Only",Settings!$B$7,0))</f>
        <v>0</v>
      </c>
      <c r="P327" s="14">
        <f t="shared" si="3"/>
        <v>0</v>
      </c>
      <c r="Q327" s="13">
        <f>IF(O327=0,0,MIN(1,L327/O327)*Settings!$B$5)</f>
        <v>0</v>
      </c>
      <c r="R327" s="16"/>
      <c r="S327" s="16"/>
      <c r="U327" s="7"/>
    </row>
    <row r="328" ht="15.75" customHeight="1">
      <c r="A328" s="15"/>
      <c r="B328" s="7"/>
      <c r="C328" s="7" t="str">
        <f t="array" ref="C328">IFERROR(INDEX('Order Planning'!$C$5:$C$204,MATCH(B328,'Order Planning'!$A$5:$A$204,0)),"")</f>
        <v/>
      </c>
      <c r="D328" s="7" t="str">
        <f t="array" ref="D328">IFERROR(INDEX('Order Planning'!$E$5:$E$204,MATCH(B328,'Order Planning'!$A$5:$A$204,0)),"")</f>
        <v/>
      </c>
      <c r="E328" s="7" t="str">
        <f t="array" ref="E328">IFERROR(INDEX('Order Planning'!$F$5:$F$204,MATCH(B328,'Order Planning'!$A$5:$A$204,0)),"")</f>
        <v/>
      </c>
      <c r="F328" s="7"/>
      <c r="G328" s="7"/>
      <c r="L328" s="7">
        <f t="shared" si="1"/>
        <v>0</v>
      </c>
      <c r="M328" s="14">
        <f t="shared" si="2"/>
        <v>0</v>
      </c>
      <c r="N328" s="7"/>
      <c r="O328" s="7">
        <f>IF(N328="Full Process",Settings!$B$6,IF(N328="Assembly Only",Settings!$B$7,0))</f>
        <v>0</v>
      </c>
      <c r="P328" s="14">
        <f t="shared" si="3"/>
        <v>0</v>
      </c>
      <c r="Q328" s="13">
        <f>IF(O328=0,0,MIN(1,L328/O328)*Settings!$B$5)</f>
        <v>0</v>
      </c>
      <c r="R328" s="16"/>
      <c r="S328" s="16"/>
      <c r="U328" s="7"/>
    </row>
    <row r="329" ht="15.75" customHeight="1">
      <c r="A329" s="15"/>
      <c r="B329" s="7"/>
      <c r="C329" s="7" t="str">
        <f t="array" ref="C329">IFERROR(INDEX('Order Planning'!$C$5:$C$204,MATCH(B329,'Order Planning'!$A$5:$A$204,0)),"")</f>
        <v/>
      </c>
      <c r="D329" s="7" t="str">
        <f t="array" ref="D329">IFERROR(INDEX('Order Planning'!$E$5:$E$204,MATCH(B329,'Order Planning'!$A$5:$A$204,0)),"")</f>
        <v/>
      </c>
      <c r="E329" s="7" t="str">
        <f t="array" ref="E329">IFERROR(INDEX('Order Planning'!$F$5:$F$204,MATCH(B329,'Order Planning'!$A$5:$A$204,0)),"")</f>
        <v/>
      </c>
      <c r="F329" s="7"/>
      <c r="G329" s="7"/>
      <c r="L329" s="7">
        <f t="shared" si="1"/>
        <v>0</v>
      </c>
      <c r="M329" s="14">
        <f t="shared" si="2"/>
        <v>0</v>
      </c>
      <c r="N329" s="7"/>
      <c r="O329" s="7">
        <f>IF(N329="Full Process",Settings!$B$6,IF(N329="Assembly Only",Settings!$B$7,0))</f>
        <v>0</v>
      </c>
      <c r="P329" s="14">
        <f t="shared" si="3"/>
        <v>0</v>
      </c>
      <c r="Q329" s="13">
        <f>IF(O329=0,0,MIN(1,L329/O329)*Settings!$B$5)</f>
        <v>0</v>
      </c>
      <c r="R329" s="16"/>
      <c r="S329" s="16"/>
      <c r="U329" s="7"/>
    </row>
    <row r="330" ht="15.75" customHeight="1">
      <c r="A330" s="15"/>
      <c r="B330" s="7"/>
      <c r="C330" s="7" t="str">
        <f t="array" ref="C330">IFERROR(INDEX('Order Planning'!$C$5:$C$204,MATCH(B330,'Order Planning'!$A$5:$A$204,0)),"")</f>
        <v/>
      </c>
      <c r="D330" s="7" t="str">
        <f t="array" ref="D330">IFERROR(INDEX('Order Planning'!$E$5:$E$204,MATCH(B330,'Order Planning'!$A$5:$A$204,0)),"")</f>
        <v/>
      </c>
      <c r="E330" s="7" t="str">
        <f t="array" ref="E330">IFERROR(INDEX('Order Planning'!$F$5:$F$204,MATCH(B330,'Order Planning'!$A$5:$A$204,0)),"")</f>
        <v/>
      </c>
      <c r="F330" s="7"/>
      <c r="G330" s="7"/>
      <c r="L330" s="7">
        <f t="shared" si="1"/>
        <v>0</v>
      </c>
      <c r="M330" s="14">
        <f t="shared" si="2"/>
        <v>0</v>
      </c>
      <c r="N330" s="7"/>
      <c r="O330" s="7">
        <f>IF(N330="Full Process",Settings!$B$6,IF(N330="Assembly Only",Settings!$B$7,0))</f>
        <v>0</v>
      </c>
      <c r="P330" s="14">
        <f t="shared" si="3"/>
        <v>0</v>
      </c>
      <c r="Q330" s="13">
        <f>IF(O330=0,0,MIN(1,L330/O330)*Settings!$B$5)</f>
        <v>0</v>
      </c>
      <c r="R330" s="16"/>
      <c r="S330" s="16"/>
      <c r="U330" s="7"/>
    </row>
    <row r="331" ht="15.75" customHeight="1">
      <c r="A331" s="15"/>
      <c r="B331" s="7"/>
      <c r="C331" s="7" t="str">
        <f t="array" ref="C331">IFERROR(INDEX('Order Planning'!$C$5:$C$204,MATCH(B331,'Order Planning'!$A$5:$A$204,0)),"")</f>
        <v/>
      </c>
      <c r="D331" s="7" t="str">
        <f t="array" ref="D331">IFERROR(INDEX('Order Planning'!$E$5:$E$204,MATCH(B331,'Order Planning'!$A$5:$A$204,0)),"")</f>
        <v/>
      </c>
      <c r="E331" s="7" t="str">
        <f t="array" ref="E331">IFERROR(INDEX('Order Planning'!$F$5:$F$204,MATCH(B331,'Order Planning'!$A$5:$A$204,0)),"")</f>
        <v/>
      </c>
      <c r="F331" s="7"/>
      <c r="G331" s="7"/>
      <c r="L331" s="7">
        <f t="shared" si="1"/>
        <v>0</v>
      </c>
      <c r="M331" s="14">
        <f t="shared" si="2"/>
        <v>0</v>
      </c>
      <c r="N331" s="7"/>
      <c r="O331" s="7">
        <f>IF(N331="Full Process",Settings!$B$6,IF(N331="Assembly Only",Settings!$B$7,0))</f>
        <v>0</v>
      </c>
      <c r="P331" s="14">
        <f t="shared" si="3"/>
        <v>0</v>
      </c>
      <c r="Q331" s="13">
        <f>IF(O331=0,0,MIN(1,L331/O331)*Settings!$B$5)</f>
        <v>0</v>
      </c>
      <c r="R331" s="16"/>
      <c r="S331" s="16"/>
      <c r="U331" s="7"/>
    </row>
    <row r="332" ht="15.75" customHeight="1">
      <c r="A332" s="15"/>
      <c r="B332" s="7"/>
      <c r="C332" s="7" t="str">
        <f t="array" ref="C332">IFERROR(INDEX('Order Planning'!$C$5:$C$204,MATCH(B332,'Order Planning'!$A$5:$A$204,0)),"")</f>
        <v/>
      </c>
      <c r="D332" s="7" t="str">
        <f t="array" ref="D332">IFERROR(INDEX('Order Planning'!$E$5:$E$204,MATCH(B332,'Order Planning'!$A$5:$A$204,0)),"")</f>
        <v/>
      </c>
      <c r="E332" s="7" t="str">
        <f t="array" ref="E332">IFERROR(INDEX('Order Planning'!$F$5:$F$204,MATCH(B332,'Order Planning'!$A$5:$A$204,0)),"")</f>
        <v/>
      </c>
      <c r="F332" s="7"/>
      <c r="G332" s="7"/>
      <c r="L332" s="7">
        <f t="shared" si="1"/>
        <v>0</v>
      </c>
      <c r="M332" s="14">
        <f t="shared" si="2"/>
        <v>0</v>
      </c>
      <c r="N332" s="7"/>
      <c r="O332" s="7">
        <f>IF(N332="Full Process",Settings!$B$6,IF(N332="Assembly Only",Settings!$B$7,0))</f>
        <v>0</v>
      </c>
      <c r="P332" s="14">
        <f t="shared" si="3"/>
        <v>0</v>
      </c>
      <c r="Q332" s="13">
        <f>IF(O332=0,0,MIN(1,L332/O332)*Settings!$B$5)</f>
        <v>0</v>
      </c>
      <c r="R332" s="16"/>
      <c r="S332" s="16"/>
      <c r="U332" s="7"/>
    </row>
    <row r="333" ht="15.75" customHeight="1">
      <c r="A333" s="15"/>
      <c r="B333" s="7"/>
      <c r="C333" s="7" t="str">
        <f t="array" ref="C333">IFERROR(INDEX('Order Planning'!$C$5:$C$204,MATCH(B333,'Order Planning'!$A$5:$A$204,0)),"")</f>
        <v/>
      </c>
      <c r="D333" s="7" t="str">
        <f t="array" ref="D333">IFERROR(INDEX('Order Planning'!$E$5:$E$204,MATCH(B333,'Order Planning'!$A$5:$A$204,0)),"")</f>
        <v/>
      </c>
      <c r="E333" s="7" t="str">
        <f t="array" ref="E333">IFERROR(INDEX('Order Planning'!$F$5:$F$204,MATCH(B333,'Order Planning'!$A$5:$A$204,0)),"")</f>
        <v/>
      </c>
      <c r="F333" s="7"/>
      <c r="G333" s="7"/>
      <c r="L333" s="7">
        <f t="shared" si="1"/>
        <v>0</v>
      </c>
      <c r="M333" s="14">
        <f t="shared" si="2"/>
        <v>0</v>
      </c>
      <c r="N333" s="7"/>
      <c r="O333" s="7">
        <f>IF(N333="Full Process",Settings!$B$6,IF(N333="Assembly Only",Settings!$B$7,0))</f>
        <v>0</v>
      </c>
      <c r="P333" s="14">
        <f t="shared" si="3"/>
        <v>0</v>
      </c>
      <c r="Q333" s="13">
        <f>IF(O333=0,0,MIN(1,L333/O333)*Settings!$B$5)</f>
        <v>0</v>
      </c>
      <c r="R333" s="16"/>
      <c r="S333" s="16"/>
      <c r="U333" s="7"/>
    </row>
    <row r="334" ht="15.75" customHeight="1">
      <c r="A334" s="15"/>
      <c r="B334" s="7"/>
      <c r="C334" s="7" t="str">
        <f t="array" ref="C334">IFERROR(INDEX('Order Planning'!$C$5:$C$204,MATCH(B334,'Order Planning'!$A$5:$A$204,0)),"")</f>
        <v/>
      </c>
      <c r="D334" s="7" t="str">
        <f t="array" ref="D334">IFERROR(INDEX('Order Planning'!$E$5:$E$204,MATCH(B334,'Order Planning'!$A$5:$A$204,0)),"")</f>
        <v/>
      </c>
      <c r="E334" s="7" t="str">
        <f t="array" ref="E334">IFERROR(INDEX('Order Planning'!$F$5:$F$204,MATCH(B334,'Order Planning'!$A$5:$A$204,0)),"")</f>
        <v/>
      </c>
      <c r="F334" s="7"/>
      <c r="G334" s="7"/>
      <c r="L334" s="7">
        <f t="shared" si="1"/>
        <v>0</v>
      </c>
      <c r="M334" s="14">
        <f t="shared" si="2"/>
        <v>0</v>
      </c>
      <c r="N334" s="7"/>
      <c r="O334" s="7">
        <f>IF(N334="Full Process",Settings!$B$6,IF(N334="Assembly Only",Settings!$B$7,0))</f>
        <v>0</v>
      </c>
      <c r="P334" s="14">
        <f t="shared" si="3"/>
        <v>0</v>
      </c>
      <c r="Q334" s="13">
        <f>IF(O334=0,0,MIN(1,L334/O334)*Settings!$B$5)</f>
        <v>0</v>
      </c>
      <c r="R334" s="16"/>
      <c r="S334" s="16"/>
      <c r="U334" s="7"/>
    </row>
    <row r="335" ht="15.75" customHeight="1">
      <c r="A335" s="15"/>
      <c r="B335" s="7"/>
      <c r="C335" s="7" t="str">
        <f t="array" ref="C335">IFERROR(INDEX('Order Planning'!$C$5:$C$204,MATCH(B335,'Order Planning'!$A$5:$A$204,0)),"")</f>
        <v/>
      </c>
      <c r="D335" s="7" t="str">
        <f t="array" ref="D335">IFERROR(INDEX('Order Planning'!$E$5:$E$204,MATCH(B335,'Order Planning'!$A$5:$A$204,0)),"")</f>
        <v/>
      </c>
      <c r="E335" s="7" t="str">
        <f t="array" ref="E335">IFERROR(INDEX('Order Planning'!$F$5:$F$204,MATCH(B335,'Order Planning'!$A$5:$A$204,0)),"")</f>
        <v/>
      </c>
      <c r="F335" s="7"/>
      <c r="G335" s="7"/>
      <c r="L335" s="7">
        <f t="shared" si="1"/>
        <v>0</v>
      </c>
      <c r="M335" s="14">
        <f t="shared" si="2"/>
        <v>0</v>
      </c>
      <c r="N335" s="7"/>
      <c r="O335" s="7">
        <f>IF(N335="Full Process",Settings!$B$6,IF(N335="Assembly Only",Settings!$B$7,0))</f>
        <v>0</v>
      </c>
      <c r="P335" s="14">
        <f t="shared" si="3"/>
        <v>0</v>
      </c>
      <c r="Q335" s="13">
        <f>IF(O335=0,0,MIN(1,L335/O335)*Settings!$B$5)</f>
        <v>0</v>
      </c>
      <c r="R335" s="16"/>
      <c r="S335" s="16"/>
      <c r="U335" s="7"/>
    </row>
    <row r="336" ht="15.75" customHeight="1">
      <c r="A336" s="15"/>
      <c r="B336" s="7"/>
      <c r="C336" s="7" t="str">
        <f t="array" ref="C336">IFERROR(INDEX('Order Planning'!$C$5:$C$204,MATCH(B336,'Order Planning'!$A$5:$A$204,0)),"")</f>
        <v/>
      </c>
      <c r="D336" s="7" t="str">
        <f t="array" ref="D336">IFERROR(INDEX('Order Planning'!$E$5:$E$204,MATCH(B336,'Order Planning'!$A$5:$A$204,0)),"")</f>
        <v/>
      </c>
      <c r="E336" s="7" t="str">
        <f t="array" ref="E336">IFERROR(INDEX('Order Planning'!$F$5:$F$204,MATCH(B336,'Order Planning'!$A$5:$A$204,0)),"")</f>
        <v/>
      </c>
      <c r="F336" s="7"/>
      <c r="G336" s="7"/>
      <c r="L336" s="7">
        <f t="shared" si="1"/>
        <v>0</v>
      </c>
      <c r="M336" s="14">
        <f t="shared" si="2"/>
        <v>0</v>
      </c>
      <c r="N336" s="7"/>
      <c r="O336" s="7">
        <f>IF(N336="Full Process",Settings!$B$6,IF(N336="Assembly Only",Settings!$B$7,0))</f>
        <v>0</v>
      </c>
      <c r="P336" s="14">
        <f t="shared" si="3"/>
        <v>0</v>
      </c>
      <c r="Q336" s="13">
        <f>IF(O336=0,0,MIN(1,L336/O336)*Settings!$B$5)</f>
        <v>0</v>
      </c>
      <c r="R336" s="16"/>
      <c r="S336" s="16"/>
      <c r="U336" s="7"/>
    </row>
    <row r="337" ht="15.75" customHeight="1">
      <c r="A337" s="15"/>
      <c r="B337" s="7"/>
      <c r="C337" s="7" t="str">
        <f t="array" ref="C337">IFERROR(INDEX('Order Planning'!$C$5:$C$204,MATCH(B337,'Order Planning'!$A$5:$A$204,0)),"")</f>
        <v/>
      </c>
      <c r="D337" s="7" t="str">
        <f t="array" ref="D337">IFERROR(INDEX('Order Planning'!$E$5:$E$204,MATCH(B337,'Order Planning'!$A$5:$A$204,0)),"")</f>
        <v/>
      </c>
      <c r="E337" s="7" t="str">
        <f t="array" ref="E337">IFERROR(INDEX('Order Planning'!$F$5:$F$204,MATCH(B337,'Order Planning'!$A$5:$A$204,0)),"")</f>
        <v/>
      </c>
      <c r="F337" s="7"/>
      <c r="G337" s="7"/>
      <c r="L337" s="7">
        <f t="shared" si="1"/>
        <v>0</v>
      </c>
      <c r="M337" s="14">
        <f t="shared" si="2"/>
        <v>0</v>
      </c>
      <c r="N337" s="7"/>
      <c r="O337" s="7">
        <f>IF(N337="Full Process",Settings!$B$6,IF(N337="Assembly Only",Settings!$B$7,0))</f>
        <v>0</v>
      </c>
      <c r="P337" s="14">
        <f t="shared" si="3"/>
        <v>0</v>
      </c>
      <c r="Q337" s="13">
        <f>IF(O337=0,0,MIN(1,L337/O337)*Settings!$B$5)</f>
        <v>0</v>
      </c>
      <c r="R337" s="16"/>
      <c r="S337" s="16"/>
      <c r="U337" s="7"/>
    </row>
    <row r="338" ht="15.75" customHeight="1">
      <c r="A338" s="15"/>
      <c r="B338" s="7"/>
      <c r="C338" s="7" t="str">
        <f t="array" ref="C338">IFERROR(INDEX('Order Planning'!$C$5:$C$204,MATCH(B338,'Order Planning'!$A$5:$A$204,0)),"")</f>
        <v/>
      </c>
      <c r="D338" s="7" t="str">
        <f t="array" ref="D338">IFERROR(INDEX('Order Planning'!$E$5:$E$204,MATCH(B338,'Order Planning'!$A$5:$A$204,0)),"")</f>
        <v/>
      </c>
      <c r="E338" s="7" t="str">
        <f t="array" ref="E338">IFERROR(INDEX('Order Planning'!$F$5:$F$204,MATCH(B338,'Order Planning'!$A$5:$A$204,0)),"")</f>
        <v/>
      </c>
      <c r="F338" s="7"/>
      <c r="G338" s="7"/>
      <c r="L338" s="7">
        <f t="shared" si="1"/>
        <v>0</v>
      </c>
      <c r="M338" s="14">
        <f t="shared" si="2"/>
        <v>0</v>
      </c>
      <c r="N338" s="7"/>
      <c r="O338" s="7">
        <f>IF(N338="Full Process",Settings!$B$6,IF(N338="Assembly Only",Settings!$B$7,0))</f>
        <v>0</v>
      </c>
      <c r="P338" s="14">
        <f t="shared" si="3"/>
        <v>0</v>
      </c>
      <c r="Q338" s="13">
        <f>IF(O338=0,0,MIN(1,L338/O338)*Settings!$B$5)</f>
        <v>0</v>
      </c>
      <c r="R338" s="16"/>
      <c r="S338" s="16"/>
      <c r="U338" s="7"/>
    </row>
    <row r="339" ht="15.75" customHeight="1">
      <c r="A339" s="15"/>
      <c r="B339" s="7"/>
      <c r="C339" s="7" t="str">
        <f t="array" ref="C339">IFERROR(INDEX('Order Planning'!$C$5:$C$204,MATCH(B339,'Order Planning'!$A$5:$A$204,0)),"")</f>
        <v/>
      </c>
      <c r="D339" s="7" t="str">
        <f t="array" ref="D339">IFERROR(INDEX('Order Planning'!$E$5:$E$204,MATCH(B339,'Order Planning'!$A$5:$A$204,0)),"")</f>
        <v/>
      </c>
      <c r="E339" s="7" t="str">
        <f t="array" ref="E339">IFERROR(INDEX('Order Planning'!$F$5:$F$204,MATCH(B339,'Order Planning'!$A$5:$A$204,0)),"")</f>
        <v/>
      </c>
      <c r="F339" s="7"/>
      <c r="G339" s="7"/>
      <c r="L339" s="7">
        <f t="shared" si="1"/>
        <v>0</v>
      </c>
      <c r="M339" s="14">
        <f t="shared" si="2"/>
        <v>0</v>
      </c>
      <c r="N339" s="7"/>
      <c r="O339" s="7">
        <f>IF(N339="Full Process",Settings!$B$6,IF(N339="Assembly Only",Settings!$B$7,0))</f>
        <v>0</v>
      </c>
      <c r="P339" s="14">
        <f t="shared" si="3"/>
        <v>0</v>
      </c>
      <c r="Q339" s="13">
        <f>IF(O339=0,0,MIN(1,L339/O339)*Settings!$B$5)</f>
        <v>0</v>
      </c>
      <c r="R339" s="16"/>
      <c r="S339" s="16"/>
      <c r="U339" s="7"/>
    </row>
    <row r="340" ht="15.75" customHeight="1">
      <c r="A340" s="15"/>
      <c r="B340" s="7"/>
      <c r="C340" s="7" t="str">
        <f t="array" ref="C340">IFERROR(INDEX('Order Planning'!$C$5:$C$204,MATCH(B340,'Order Planning'!$A$5:$A$204,0)),"")</f>
        <v/>
      </c>
      <c r="D340" s="7" t="str">
        <f t="array" ref="D340">IFERROR(INDEX('Order Planning'!$E$5:$E$204,MATCH(B340,'Order Planning'!$A$5:$A$204,0)),"")</f>
        <v/>
      </c>
      <c r="E340" s="7" t="str">
        <f t="array" ref="E340">IFERROR(INDEX('Order Planning'!$F$5:$F$204,MATCH(B340,'Order Planning'!$A$5:$A$204,0)),"")</f>
        <v/>
      </c>
      <c r="F340" s="7"/>
      <c r="G340" s="7"/>
      <c r="L340" s="7">
        <f t="shared" si="1"/>
        <v>0</v>
      </c>
      <c r="M340" s="14">
        <f t="shared" si="2"/>
        <v>0</v>
      </c>
      <c r="N340" s="7"/>
      <c r="O340" s="7">
        <f>IF(N340="Full Process",Settings!$B$6,IF(N340="Assembly Only",Settings!$B$7,0))</f>
        <v>0</v>
      </c>
      <c r="P340" s="14">
        <f t="shared" si="3"/>
        <v>0</v>
      </c>
      <c r="Q340" s="13">
        <f>IF(O340=0,0,MIN(1,L340/O340)*Settings!$B$5)</f>
        <v>0</v>
      </c>
      <c r="R340" s="16"/>
      <c r="S340" s="16"/>
      <c r="U340" s="7"/>
    </row>
    <row r="341" ht="15.75" customHeight="1">
      <c r="A341" s="15"/>
      <c r="B341" s="7"/>
      <c r="C341" s="7" t="str">
        <f t="array" ref="C341">IFERROR(INDEX('Order Planning'!$C$5:$C$204,MATCH(B341,'Order Planning'!$A$5:$A$204,0)),"")</f>
        <v/>
      </c>
      <c r="D341" s="7" t="str">
        <f t="array" ref="D341">IFERROR(INDEX('Order Planning'!$E$5:$E$204,MATCH(B341,'Order Planning'!$A$5:$A$204,0)),"")</f>
        <v/>
      </c>
      <c r="E341" s="7" t="str">
        <f t="array" ref="E341">IFERROR(INDEX('Order Planning'!$F$5:$F$204,MATCH(B341,'Order Planning'!$A$5:$A$204,0)),"")</f>
        <v/>
      </c>
      <c r="F341" s="7"/>
      <c r="G341" s="7"/>
      <c r="L341" s="7">
        <f t="shared" si="1"/>
        <v>0</v>
      </c>
      <c r="M341" s="14">
        <f t="shared" si="2"/>
        <v>0</v>
      </c>
      <c r="N341" s="7"/>
      <c r="O341" s="7">
        <f>IF(N341="Full Process",Settings!$B$6,IF(N341="Assembly Only",Settings!$B$7,0))</f>
        <v>0</v>
      </c>
      <c r="P341" s="14">
        <f t="shared" si="3"/>
        <v>0</v>
      </c>
      <c r="Q341" s="13">
        <f>IF(O341=0,0,MIN(1,L341/O341)*Settings!$B$5)</f>
        <v>0</v>
      </c>
      <c r="R341" s="16"/>
      <c r="S341" s="16"/>
      <c r="U341" s="7"/>
    </row>
    <row r="342" ht="15.75" customHeight="1">
      <c r="A342" s="15"/>
      <c r="B342" s="7"/>
      <c r="C342" s="7" t="str">
        <f t="array" ref="C342">IFERROR(INDEX('Order Planning'!$C$5:$C$204,MATCH(B342,'Order Planning'!$A$5:$A$204,0)),"")</f>
        <v/>
      </c>
      <c r="D342" s="7" t="str">
        <f t="array" ref="D342">IFERROR(INDEX('Order Planning'!$E$5:$E$204,MATCH(B342,'Order Planning'!$A$5:$A$204,0)),"")</f>
        <v/>
      </c>
      <c r="E342" s="7" t="str">
        <f t="array" ref="E342">IFERROR(INDEX('Order Planning'!$F$5:$F$204,MATCH(B342,'Order Planning'!$A$5:$A$204,0)),"")</f>
        <v/>
      </c>
      <c r="F342" s="7"/>
      <c r="G342" s="7"/>
      <c r="L342" s="7">
        <f t="shared" si="1"/>
        <v>0</v>
      </c>
      <c r="M342" s="14">
        <f t="shared" si="2"/>
        <v>0</v>
      </c>
      <c r="N342" s="7"/>
      <c r="O342" s="7">
        <f>IF(N342="Full Process",Settings!$B$6,IF(N342="Assembly Only",Settings!$B$7,0))</f>
        <v>0</v>
      </c>
      <c r="P342" s="14">
        <f t="shared" si="3"/>
        <v>0</v>
      </c>
      <c r="Q342" s="13">
        <f>IF(O342=0,0,MIN(1,L342/O342)*Settings!$B$5)</f>
        <v>0</v>
      </c>
      <c r="R342" s="16"/>
      <c r="S342" s="16"/>
      <c r="U342" s="7"/>
    </row>
    <row r="343" ht="15.75" customHeight="1">
      <c r="A343" s="15"/>
      <c r="B343" s="7"/>
      <c r="C343" s="7" t="str">
        <f t="array" ref="C343">IFERROR(INDEX('Order Planning'!$C$5:$C$204,MATCH(B343,'Order Planning'!$A$5:$A$204,0)),"")</f>
        <v/>
      </c>
      <c r="D343" s="7" t="str">
        <f t="array" ref="D343">IFERROR(INDEX('Order Planning'!$E$5:$E$204,MATCH(B343,'Order Planning'!$A$5:$A$204,0)),"")</f>
        <v/>
      </c>
      <c r="E343" s="7" t="str">
        <f t="array" ref="E343">IFERROR(INDEX('Order Planning'!$F$5:$F$204,MATCH(B343,'Order Planning'!$A$5:$A$204,0)),"")</f>
        <v/>
      </c>
      <c r="F343" s="7"/>
      <c r="G343" s="7"/>
      <c r="L343" s="7">
        <f t="shared" si="1"/>
        <v>0</v>
      </c>
      <c r="M343" s="14">
        <f t="shared" si="2"/>
        <v>0</v>
      </c>
      <c r="N343" s="7"/>
      <c r="O343" s="7">
        <f>IF(N343="Full Process",Settings!$B$6,IF(N343="Assembly Only",Settings!$B$7,0))</f>
        <v>0</v>
      </c>
      <c r="P343" s="14">
        <f t="shared" si="3"/>
        <v>0</v>
      </c>
      <c r="Q343" s="13">
        <f>IF(O343=0,0,MIN(1,L343/O343)*Settings!$B$5)</f>
        <v>0</v>
      </c>
      <c r="R343" s="16"/>
      <c r="S343" s="16"/>
      <c r="U343" s="7"/>
    </row>
    <row r="344" ht="15.75" customHeight="1">
      <c r="A344" s="15"/>
      <c r="B344" s="7"/>
      <c r="C344" s="7" t="str">
        <f t="array" ref="C344">IFERROR(INDEX('Order Planning'!$C$5:$C$204,MATCH(B344,'Order Planning'!$A$5:$A$204,0)),"")</f>
        <v/>
      </c>
      <c r="D344" s="7" t="str">
        <f t="array" ref="D344">IFERROR(INDEX('Order Planning'!$E$5:$E$204,MATCH(B344,'Order Planning'!$A$5:$A$204,0)),"")</f>
        <v/>
      </c>
      <c r="E344" s="7" t="str">
        <f t="array" ref="E344">IFERROR(INDEX('Order Planning'!$F$5:$F$204,MATCH(B344,'Order Planning'!$A$5:$A$204,0)),"")</f>
        <v/>
      </c>
      <c r="F344" s="7"/>
      <c r="G344" s="7"/>
      <c r="L344" s="7">
        <f t="shared" si="1"/>
        <v>0</v>
      </c>
      <c r="M344" s="14">
        <f t="shared" si="2"/>
        <v>0</v>
      </c>
      <c r="N344" s="7"/>
      <c r="O344" s="7">
        <f>IF(N344="Full Process",Settings!$B$6,IF(N344="Assembly Only",Settings!$B$7,0))</f>
        <v>0</v>
      </c>
      <c r="P344" s="14">
        <f t="shared" si="3"/>
        <v>0</v>
      </c>
      <c r="Q344" s="13">
        <f>IF(O344=0,0,MIN(1,L344/O344)*Settings!$B$5)</f>
        <v>0</v>
      </c>
      <c r="R344" s="16"/>
      <c r="S344" s="16"/>
      <c r="U344" s="7"/>
    </row>
    <row r="345" ht="15.75" customHeight="1">
      <c r="A345" s="15"/>
      <c r="B345" s="7"/>
      <c r="C345" s="7" t="str">
        <f t="array" ref="C345">IFERROR(INDEX('Order Planning'!$C$5:$C$204,MATCH(B345,'Order Planning'!$A$5:$A$204,0)),"")</f>
        <v/>
      </c>
      <c r="D345" s="7" t="str">
        <f t="array" ref="D345">IFERROR(INDEX('Order Planning'!$E$5:$E$204,MATCH(B345,'Order Planning'!$A$5:$A$204,0)),"")</f>
        <v/>
      </c>
      <c r="E345" s="7" t="str">
        <f t="array" ref="E345">IFERROR(INDEX('Order Planning'!$F$5:$F$204,MATCH(B345,'Order Planning'!$A$5:$A$204,0)),"")</f>
        <v/>
      </c>
      <c r="F345" s="7"/>
      <c r="G345" s="7"/>
      <c r="L345" s="7">
        <f t="shared" si="1"/>
        <v>0</v>
      </c>
      <c r="M345" s="14">
        <f t="shared" si="2"/>
        <v>0</v>
      </c>
      <c r="N345" s="7"/>
      <c r="O345" s="7">
        <f>IF(N345="Full Process",Settings!$B$6,IF(N345="Assembly Only",Settings!$B$7,0))</f>
        <v>0</v>
      </c>
      <c r="P345" s="14">
        <f t="shared" si="3"/>
        <v>0</v>
      </c>
      <c r="Q345" s="13">
        <f>IF(O345=0,0,MIN(1,L345/O345)*Settings!$B$5)</f>
        <v>0</v>
      </c>
      <c r="R345" s="16"/>
      <c r="S345" s="16"/>
      <c r="U345" s="7"/>
    </row>
    <row r="346" ht="15.75" customHeight="1">
      <c r="A346" s="15"/>
      <c r="B346" s="7"/>
      <c r="C346" s="7" t="str">
        <f t="array" ref="C346">IFERROR(INDEX('Order Planning'!$C$5:$C$204,MATCH(B346,'Order Planning'!$A$5:$A$204,0)),"")</f>
        <v/>
      </c>
      <c r="D346" s="7" t="str">
        <f t="array" ref="D346">IFERROR(INDEX('Order Planning'!$E$5:$E$204,MATCH(B346,'Order Planning'!$A$5:$A$204,0)),"")</f>
        <v/>
      </c>
      <c r="E346" s="7" t="str">
        <f t="array" ref="E346">IFERROR(INDEX('Order Planning'!$F$5:$F$204,MATCH(B346,'Order Planning'!$A$5:$A$204,0)),"")</f>
        <v/>
      </c>
      <c r="F346" s="7"/>
      <c r="G346" s="7"/>
      <c r="L346" s="7">
        <f t="shared" si="1"/>
        <v>0</v>
      </c>
      <c r="M346" s="14">
        <f t="shared" si="2"/>
        <v>0</v>
      </c>
      <c r="N346" s="7"/>
      <c r="O346" s="7">
        <f>IF(N346="Full Process",Settings!$B$6,IF(N346="Assembly Only",Settings!$B$7,0))</f>
        <v>0</v>
      </c>
      <c r="P346" s="14">
        <f t="shared" si="3"/>
        <v>0</v>
      </c>
      <c r="Q346" s="13">
        <f>IF(O346=0,0,MIN(1,L346/O346)*Settings!$B$5)</f>
        <v>0</v>
      </c>
      <c r="R346" s="16"/>
      <c r="S346" s="16"/>
      <c r="U346" s="7"/>
    </row>
    <row r="347" ht="15.75" customHeight="1">
      <c r="A347" s="15"/>
      <c r="B347" s="7"/>
      <c r="C347" s="7" t="str">
        <f t="array" ref="C347">IFERROR(INDEX('Order Planning'!$C$5:$C$204,MATCH(B347,'Order Planning'!$A$5:$A$204,0)),"")</f>
        <v/>
      </c>
      <c r="D347" s="7" t="str">
        <f t="array" ref="D347">IFERROR(INDEX('Order Planning'!$E$5:$E$204,MATCH(B347,'Order Planning'!$A$5:$A$204,0)),"")</f>
        <v/>
      </c>
      <c r="E347" s="7" t="str">
        <f t="array" ref="E347">IFERROR(INDEX('Order Planning'!$F$5:$F$204,MATCH(B347,'Order Planning'!$A$5:$A$204,0)),"")</f>
        <v/>
      </c>
      <c r="F347" s="7"/>
      <c r="G347" s="7"/>
      <c r="L347" s="7">
        <f t="shared" si="1"/>
        <v>0</v>
      </c>
      <c r="M347" s="14">
        <f t="shared" si="2"/>
        <v>0</v>
      </c>
      <c r="N347" s="7"/>
      <c r="O347" s="7">
        <f>IF(N347="Full Process",Settings!$B$6,IF(N347="Assembly Only",Settings!$B$7,0))</f>
        <v>0</v>
      </c>
      <c r="P347" s="14">
        <f t="shared" si="3"/>
        <v>0</v>
      </c>
      <c r="Q347" s="13">
        <f>IF(O347=0,0,MIN(1,L347/O347)*Settings!$B$5)</f>
        <v>0</v>
      </c>
      <c r="R347" s="16"/>
      <c r="S347" s="16"/>
      <c r="U347" s="7"/>
    </row>
    <row r="348" ht="15.75" customHeight="1">
      <c r="A348" s="15"/>
      <c r="B348" s="7"/>
      <c r="C348" s="7" t="str">
        <f t="array" ref="C348">IFERROR(INDEX('Order Planning'!$C$5:$C$204,MATCH(B348,'Order Planning'!$A$5:$A$204,0)),"")</f>
        <v/>
      </c>
      <c r="D348" s="7" t="str">
        <f t="array" ref="D348">IFERROR(INDEX('Order Planning'!$E$5:$E$204,MATCH(B348,'Order Planning'!$A$5:$A$204,0)),"")</f>
        <v/>
      </c>
      <c r="E348" s="7" t="str">
        <f t="array" ref="E348">IFERROR(INDEX('Order Planning'!$F$5:$F$204,MATCH(B348,'Order Planning'!$A$5:$A$204,0)),"")</f>
        <v/>
      </c>
      <c r="F348" s="7"/>
      <c r="G348" s="7"/>
      <c r="L348" s="7">
        <f t="shared" si="1"/>
        <v>0</v>
      </c>
      <c r="M348" s="14">
        <f t="shared" si="2"/>
        <v>0</v>
      </c>
      <c r="N348" s="7"/>
      <c r="O348" s="7">
        <f>IF(N348="Full Process",Settings!$B$6,IF(N348="Assembly Only",Settings!$B$7,0))</f>
        <v>0</v>
      </c>
      <c r="P348" s="14">
        <f t="shared" si="3"/>
        <v>0</v>
      </c>
      <c r="Q348" s="13">
        <f>IF(O348=0,0,MIN(1,L348/O348)*Settings!$B$5)</f>
        <v>0</v>
      </c>
      <c r="R348" s="16"/>
      <c r="S348" s="16"/>
      <c r="U348" s="7"/>
    </row>
    <row r="349" ht="15.75" customHeight="1">
      <c r="A349" s="15"/>
      <c r="B349" s="7"/>
      <c r="C349" s="7" t="str">
        <f t="array" ref="C349">IFERROR(INDEX('Order Planning'!$C$5:$C$204,MATCH(B349,'Order Planning'!$A$5:$A$204,0)),"")</f>
        <v/>
      </c>
      <c r="D349" s="7" t="str">
        <f t="array" ref="D349">IFERROR(INDEX('Order Planning'!$E$5:$E$204,MATCH(B349,'Order Planning'!$A$5:$A$204,0)),"")</f>
        <v/>
      </c>
      <c r="E349" s="7" t="str">
        <f t="array" ref="E349">IFERROR(INDEX('Order Planning'!$F$5:$F$204,MATCH(B349,'Order Planning'!$A$5:$A$204,0)),"")</f>
        <v/>
      </c>
      <c r="F349" s="7"/>
      <c r="G349" s="7"/>
      <c r="L349" s="7">
        <f t="shared" si="1"/>
        <v>0</v>
      </c>
      <c r="M349" s="14">
        <f t="shared" si="2"/>
        <v>0</v>
      </c>
      <c r="N349" s="7"/>
      <c r="O349" s="7">
        <f>IF(N349="Full Process",Settings!$B$6,IF(N349="Assembly Only",Settings!$B$7,0))</f>
        <v>0</v>
      </c>
      <c r="P349" s="14">
        <f t="shared" si="3"/>
        <v>0</v>
      </c>
      <c r="Q349" s="13">
        <f>IF(O349=0,0,MIN(1,L349/O349)*Settings!$B$5)</f>
        <v>0</v>
      </c>
      <c r="R349" s="16"/>
      <c r="S349" s="16"/>
      <c r="U349" s="7"/>
    </row>
    <row r="350" ht="15.75" customHeight="1">
      <c r="A350" s="15"/>
      <c r="B350" s="7"/>
      <c r="C350" s="7" t="str">
        <f t="array" ref="C350">IFERROR(INDEX('Order Planning'!$C$5:$C$204,MATCH(B350,'Order Planning'!$A$5:$A$204,0)),"")</f>
        <v/>
      </c>
      <c r="D350" s="7" t="str">
        <f t="array" ref="D350">IFERROR(INDEX('Order Planning'!$E$5:$E$204,MATCH(B350,'Order Planning'!$A$5:$A$204,0)),"")</f>
        <v/>
      </c>
      <c r="E350" s="7" t="str">
        <f t="array" ref="E350">IFERROR(INDEX('Order Planning'!$F$5:$F$204,MATCH(B350,'Order Planning'!$A$5:$A$204,0)),"")</f>
        <v/>
      </c>
      <c r="F350" s="7"/>
      <c r="G350" s="7"/>
      <c r="L350" s="7">
        <f t="shared" si="1"/>
        <v>0</v>
      </c>
      <c r="M350" s="14">
        <f t="shared" si="2"/>
        <v>0</v>
      </c>
      <c r="N350" s="7"/>
      <c r="O350" s="7">
        <f>IF(N350="Full Process",Settings!$B$6,IF(N350="Assembly Only",Settings!$B$7,0))</f>
        <v>0</v>
      </c>
      <c r="P350" s="14">
        <f t="shared" si="3"/>
        <v>0</v>
      </c>
      <c r="Q350" s="13">
        <f>IF(O350=0,0,MIN(1,L350/O350)*Settings!$B$5)</f>
        <v>0</v>
      </c>
      <c r="R350" s="16"/>
      <c r="S350" s="16"/>
      <c r="U350" s="7"/>
    </row>
    <row r="351" ht="15.75" customHeight="1">
      <c r="A351" s="15"/>
      <c r="B351" s="7"/>
      <c r="C351" s="7" t="str">
        <f t="array" ref="C351">IFERROR(INDEX('Order Planning'!$C$5:$C$204,MATCH(B351,'Order Planning'!$A$5:$A$204,0)),"")</f>
        <v/>
      </c>
      <c r="D351" s="7" t="str">
        <f t="array" ref="D351">IFERROR(INDEX('Order Planning'!$E$5:$E$204,MATCH(B351,'Order Planning'!$A$5:$A$204,0)),"")</f>
        <v/>
      </c>
      <c r="E351" s="7" t="str">
        <f t="array" ref="E351">IFERROR(INDEX('Order Planning'!$F$5:$F$204,MATCH(B351,'Order Planning'!$A$5:$A$204,0)),"")</f>
        <v/>
      </c>
      <c r="F351" s="7"/>
      <c r="G351" s="7"/>
      <c r="L351" s="7">
        <f t="shared" si="1"/>
        <v>0</v>
      </c>
      <c r="M351" s="14">
        <f t="shared" si="2"/>
        <v>0</v>
      </c>
      <c r="N351" s="7"/>
      <c r="O351" s="7">
        <f>IF(N351="Full Process",Settings!$B$6,IF(N351="Assembly Only",Settings!$B$7,0))</f>
        <v>0</v>
      </c>
      <c r="P351" s="14">
        <f t="shared" si="3"/>
        <v>0</v>
      </c>
      <c r="Q351" s="13">
        <f>IF(O351=0,0,MIN(1,L351/O351)*Settings!$B$5)</f>
        <v>0</v>
      </c>
      <c r="R351" s="16"/>
      <c r="S351" s="16"/>
      <c r="U351" s="7"/>
    </row>
    <row r="352" ht="15.75" customHeight="1">
      <c r="A352" s="15"/>
      <c r="B352" s="7"/>
      <c r="C352" s="7" t="str">
        <f t="array" ref="C352">IFERROR(INDEX('Order Planning'!$C$5:$C$204,MATCH(B352,'Order Planning'!$A$5:$A$204,0)),"")</f>
        <v/>
      </c>
      <c r="D352" s="7" t="str">
        <f t="array" ref="D352">IFERROR(INDEX('Order Planning'!$E$5:$E$204,MATCH(B352,'Order Planning'!$A$5:$A$204,0)),"")</f>
        <v/>
      </c>
      <c r="E352" s="7" t="str">
        <f t="array" ref="E352">IFERROR(INDEX('Order Planning'!$F$5:$F$204,MATCH(B352,'Order Planning'!$A$5:$A$204,0)),"")</f>
        <v/>
      </c>
      <c r="F352" s="7"/>
      <c r="G352" s="7"/>
      <c r="L352" s="7">
        <f t="shared" si="1"/>
        <v>0</v>
      </c>
      <c r="M352" s="14">
        <f t="shared" si="2"/>
        <v>0</v>
      </c>
      <c r="N352" s="7"/>
      <c r="O352" s="7">
        <f>IF(N352="Full Process",Settings!$B$6,IF(N352="Assembly Only",Settings!$B$7,0))</f>
        <v>0</v>
      </c>
      <c r="P352" s="14">
        <f t="shared" si="3"/>
        <v>0</v>
      </c>
      <c r="Q352" s="13">
        <f>IF(O352=0,0,MIN(1,L352/O352)*Settings!$B$5)</f>
        <v>0</v>
      </c>
      <c r="R352" s="16"/>
      <c r="S352" s="16"/>
      <c r="U352" s="7"/>
    </row>
    <row r="353" ht="15.75" customHeight="1">
      <c r="A353" s="15"/>
      <c r="B353" s="7"/>
      <c r="C353" s="7" t="str">
        <f t="array" ref="C353">IFERROR(INDEX('Order Planning'!$C$5:$C$204,MATCH(B353,'Order Planning'!$A$5:$A$204,0)),"")</f>
        <v/>
      </c>
      <c r="D353" s="7" t="str">
        <f t="array" ref="D353">IFERROR(INDEX('Order Planning'!$E$5:$E$204,MATCH(B353,'Order Planning'!$A$5:$A$204,0)),"")</f>
        <v/>
      </c>
      <c r="E353" s="7" t="str">
        <f t="array" ref="E353">IFERROR(INDEX('Order Planning'!$F$5:$F$204,MATCH(B353,'Order Planning'!$A$5:$A$204,0)),"")</f>
        <v/>
      </c>
      <c r="F353" s="7"/>
      <c r="G353" s="7"/>
      <c r="L353" s="7">
        <f t="shared" si="1"/>
        <v>0</v>
      </c>
      <c r="M353" s="14">
        <f t="shared" si="2"/>
        <v>0</v>
      </c>
      <c r="N353" s="7"/>
      <c r="O353" s="7">
        <f>IF(N353="Full Process",Settings!$B$6,IF(N353="Assembly Only",Settings!$B$7,0))</f>
        <v>0</v>
      </c>
      <c r="P353" s="14">
        <f t="shared" si="3"/>
        <v>0</v>
      </c>
      <c r="Q353" s="13">
        <f>IF(O353=0,0,MIN(1,L353/O353)*Settings!$B$5)</f>
        <v>0</v>
      </c>
      <c r="R353" s="16"/>
      <c r="S353" s="16"/>
      <c r="U353" s="7"/>
    </row>
    <row r="354" ht="15.75" customHeight="1">
      <c r="A354" s="15"/>
      <c r="B354" s="7"/>
      <c r="C354" s="7" t="str">
        <f t="array" ref="C354">IFERROR(INDEX('Order Planning'!$C$5:$C$204,MATCH(B354,'Order Planning'!$A$5:$A$204,0)),"")</f>
        <v/>
      </c>
      <c r="D354" s="7" t="str">
        <f t="array" ref="D354">IFERROR(INDEX('Order Planning'!$E$5:$E$204,MATCH(B354,'Order Planning'!$A$5:$A$204,0)),"")</f>
        <v/>
      </c>
      <c r="E354" s="7" t="str">
        <f t="array" ref="E354">IFERROR(INDEX('Order Planning'!$F$5:$F$204,MATCH(B354,'Order Planning'!$A$5:$A$204,0)),"")</f>
        <v/>
      </c>
      <c r="F354" s="7"/>
      <c r="G354" s="7"/>
      <c r="L354" s="7">
        <f t="shared" si="1"/>
        <v>0</v>
      </c>
      <c r="M354" s="14">
        <f t="shared" si="2"/>
        <v>0</v>
      </c>
      <c r="N354" s="7"/>
      <c r="O354" s="7">
        <f>IF(N354="Full Process",Settings!$B$6,IF(N354="Assembly Only",Settings!$B$7,0))</f>
        <v>0</v>
      </c>
      <c r="P354" s="14">
        <f t="shared" si="3"/>
        <v>0</v>
      </c>
      <c r="Q354" s="13">
        <f>IF(O354=0,0,MIN(1,L354/O354)*Settings!$B$5)</f>
        <v>0</v>
      </c>
      <c r="R354" s="16"/>
      <c r="S354" s="16"/>
      <c r="U354" s="7"/>
    </row>
    <row r="355" ht="15.75" customHeight="1">
      <c r="A355" s="15"/>
      <c r="B355" s="7"/>
      <c r="C355" s="7" t="str">
        <f t="array" ref="C355">IFERROR(INDEX('Order Planning'!$C$5:$C$204,MATCH(B355,'Order Planning'!$A$5:$A$204,0)),"")</f>
        <v/>
      </c>
      <c r="D355" s="7" t="str">
        <f t="array" ref="D355">IFERROR(INDEX('Order Planning'!$E$5:$E$204,MATCH(B355,'Order Planning'!$A$5:$A$204,0)),"")</f>
        <v/>
      </c>
      <c r="E355" s="7" t="str">
        <f t="array" ref="E355">IFERROR(INDEX('Order Planning'!$F$5:$F$204,MATCH(B355,'Order Planning'!$A$5:$A$204,0)),"")</f>
        <v/>
      </c>
      <c r="F355" s="7"/>
      <c r="G355" s="7"/>
      <c r="L355" s="7">
        <f t="shared" si="1"/>
        <v>0</v>
      </c>
      <c r="M355" s="14">
        <f t="shared" si="2"/>
        <v>0</v>
      </c>
      <c r="N355" s="7"/>
      <c r="O355" s="7">
        <f>IF(N355="Full Process",Settings!$B$6,IF(N355="Assembly Only",Settings!$B$7,0))</f>
        <v>0</v>
      </c>
      <c r="P355" s="14">
        <f t="shared" si="3"/>
        <v>0</v>
      </c>
      <c r="Q355" s="13">
        <f>IF(O355=0,0,MIN(1,L355/O355)*Settings!$B$5)</f>
        <v>0</v>
      </c>
      <c r="R355" s="16"/>
      <c r="S355" s="16"/>
      <c r="U355" s="7"/>
    </row>
    <row r="356" ht="15.75" customHeight="1">
      <c r="A356" s="15"/>
      <c r="B356" s="7"/>
      <c r="C356" s="7" t="str">
        <f t="array" ref="C356">IFERROR(INDEX('Order Planning'!$C$5:$C$204,MATCH(B356,'Order Planning'!$A$5:$A$204,0)),"")</f>
        <v/>
      </c>
      <c r="D356" s="7" t="str">
        <f t="array" ref="D356">IFERROR(INDEX('Order Planning'!$E$5:$E$204,MATCH(B356,'Order Planning'!$A$5:$A$204,0)),"")</f>
        <v/>
      </c>
      <c r="E356" s="7" t="str">
        <f t="array" ref="E356">IFERROR(INDEX('Order Planning'!$F$5:$F$204,MATCH(B356,'Order Planning'!$A$5:$A$204,0)),"")</f>
        <v/>
      </c>
      <c r="F356" s="7"/>
      <c r="G356" s="7"/>
      <c r="L356" s="7">
        <f t="shared" si="1"/>
        <v>0</v>
      </c>
      <c r="M356" s="14">
        <f t="shared" si="2"/>
        <v>0</v>
      </c>
      <c r="N356" s="7"/>
      <c r="O356" s="7">
        <f>IF(N356="Full Process",Settings!$B$6,IF(N356="Assembly Only",Settings!$B$7,0))</f>
        <v>0</v>
      </c>
      <c r="P356" s="14">
        <f t="shared" si="3"/>
        <v>0</v>
      </c>
      <c r="Q356" s="13">
        <f>IF(O356=0,0,MIN(1,L356/O356)*Settings!$B$5)</f>
        <v>0</v>
      </c>
      <c r="R356" s="16"/>
      <c r="S356" s="16"/>
      <c r="U356" s="7"/>
    </row>
    <row r="357" ht="15.75" customHeight="1">
      <c r="A357" s="15"/>
      <c r="B357" s="7"/>
      <c r="C357" s="7" t="str">
        <f t="array" ref="C357">IFERROR(INDEX('Order Planning'!$C$5:$C$204,MATCH(B357,'Order Planning'!$A$5:$A$204,0)),"")</f>
        <v/>
      </c>
      <c r="D357" s="7" t="str">
        <f t="array" ref="D357">IFERROR(INDEX('Order Planning'!$E$5:$E$204,MATCH(B357,'Order Planning'!$A$5:$A$204,0)),"")</f>
        <v/>
      </c>
      <c r="E357" s="7" t="str">
        <f t="array" ref="E357">IFERROR(INDEX('Order Planning'!$F$5:$F$204,MATCH(B357,'Order Planning'!$A$5:$A$204,0)),"")</f>
        <v/>
      </c>
      <c r="F357" s="7"/>
      <c r="G357" s="7"/>
      <c r="L357" s="7">
        <f t="shared" si="1"/>
        <v>0</v>
      </c>
      <c r="M357" s="14">
        <f t="shared" si="2"/>
        <v>0</v>
      </c>
      <c r="N357" s="7"/>
      <c r="O357" s="7">
        <f>IF(N357="Full Process",Settings!$B$6,IF(N357="Assembly Only",Settings!$B$7,0))</f>
        <v>0</v>
      </c>
      <c r="P357" s="14">
        <f t="shared" si="3"/>
        <v>0</v>
      </c>
      <c r="Q357" s="13">
        <f>IF(O357=0,0,MIN(1,L357/O357)*Settings!$B$5)</f>
        <v>0</v>
      </c>
      <c r="R357" s="16"/>
      <c r="S357" s="16"/>
      <c r="U357" s="7"/>
    </row>
    <row r="358" ht="15.75" customHeight="1">
      <c r="A358" s="15"/>
      <c r="B358" s="7"/>
      <c r="C358" s="7" t="str">
        <f t="array" ref="C358">IFERROR(INDEX('Order Planning'!$C$5:$C$204,MATCH(B358,'Order Planning'!$A$5:$A$204,0)),"")</f>
        <v/>
      </c>
      <c r="D358" s="7" t="str">
        <f t="array" ref="D358">IFERROR(INDEX('Order Planning'!$E$5:$E$204,MATCH(B358,'Order Planning'!$A$5:$A$204,0)),"")</f>
        <v/>
      </c>
      <c r="E358" s="7" t="str">
        <f t="array" ref="E358">IFERROR(INDEX('Order Planning'!$F$5:$F$204,MATCH(B358,'Order Planning'!$A$5:$A$204,0)),"")</f>
        <v/>
      </c>
      <c r="F358" s="7"/>
      <c r="G358" s="7"/>
      <c r="L358" s="7">
        <f t="shared" si="1"/>
        <v>0</v>
      </c>
      <c r="M358" s="14">
        <f t="shared" si="2"/>
        <v>0</v>
      </c>
      <c r="N358" s="7"/>
      <c r="O358" s="7">
        <f>IF(N358="Full Process",Settings!$B$6,IF(N358="Assembly Only",Settings!$B$7,0))</f>
        <v>0</v>
      </c>
      <c r="P358" s="14">
        <f t="shared" si="3"/>
        <v>0</v>
      </c>
      <c r="Q358" s="13">
        <f>IF(O358=0,0,MIN(1,L358/O358)*Settings!$B$5)</f>
        <v>0</v>
      </c>
      <c r="R358" s="16"/>
      <c r="S358" s="16"/>
      <c r="U358" s="7"/>
    </row>
    <row r="359" ht="15.75" customHeight="1">
      <c r="A359" s="15"/>
      <c r="B359" s="7"/>
      <c r="C359" s="7" t="str">
        <f t="array" ref="C359">IFERROR(INDEX('Order Planning'!$C$5:$C$204,MATCH(B359,'Order Planning'!$A$5:$A$204,0)),"")</f>
        <v/>
      </c>
      <c r="D359" s="7" t="str">
        <f t="array" ref="D359">IFERROR(INDEX('Order Planning'!$E$5:$E$204,MATCH(B359,'Order Planning'!$A$5:$A$204,0)),"")</f>
        <v/>
      </c>
      <c r="E359" s="7" t="str">
        <f t="array" ref="E359">IFERROR(INDEX('Order Planning'!$F$5:$F$204,MATCH(B359,'Order Planning'!$A$5:$A$204,0)),"")</f>
        <v/>
      </c>
      <c r="F359" s="7"/>
      <c r="G359" s="7"/>
      <c r="L359" s="7">
        <f t="shared" si="1"/>
        <v>0</v>
      </c>
      <c r="M359" s="14">
        <f t="shared" si="2"/>
        <v>0</v>
      </c>
      <c r="N359" s="7"/>
      <c r="O359" s="7">
        <f>IF(N359="Full Process",Settings!$B$6,IF(N359="Assembly Only",Settings!$B$7,0))</f>
        <v>0</v>
      </c>
      <c r="P359" s="14">
        <f t="shared" si="3"/>
        <v>0</v>
      </c>
      <c r="Q359" s="13">
        <f>IF(O359=0,0,MIN(1,L359/O359)*Settings!$B$5)</f>
        <v>0</v>
      </c>
      <c r="R359" s="16"/>
      <c r="S359" s="16"/>
      <c r="U359" s="7"/>
    </row>
    <row r="360" ht="15.75" customHeight="1">
      <c r="A360" s="15"/>
      <c r="B360" s="7"/>
      <c r="C360" s="7" t="str">
        <f t="array" ref="C360">IFERROR(INDEX('Order Planning'!$C$5:$C$204,MATCH(B360,'Order Planning'!$A$5:$A$204,0)),"")</f>
        <v/>
      </c>
      <c r="D360" s="7" t="str">
        <f t="array" ref="D360">IFERROR(INDEX('Order Planning'!$E$5:$E$204,MATCH(B360,'Order Planning'!$A$5:$A$204,0)),"")</f>
        <v/>
      </c>
      <c r="E360" s="7" t="str">
        <f t="array" ref="E360">IFERROR(INDEX('Order Planning'!$F$5:$F$204,MATCH(B360,'Order Planning'!$A$5:$A$204,0)),"")</f>
        <v/>
      </c>
      <c r="F360" s="7"/>
      <c r="G360" s="7"/>
      <c r="L360" s="7">
        <f t="shared" si="1"/>
        <v>0</v>
      </c>
      <c r="M360" s="14">
        <f t="shared" si="2"/>
        <v>0</v>
      </c>
      <c r="N360" s="7"/>
      <c r="O360" s="7">
        <f>IF(N360="Full Process",Settings!$B$6,IF(N360="Assembly Only",Settings!$B$7,0))</f>
        <v>0</v>
      </c>
      <c r="P360" s="14">
        <f t="shared" si="3"/>
        <v>0</v>
      </c>
      <c r="Q360" s="13">
        <f>IF(O360=0,0,MIN(1,L360/O360)*Settings!$B$5)</f>
        <v>0</v>
      </c>
      <c r="R360" s="16"/>
      <c r="S360" s="16"/>
      <c r="U360" s="7"/>
    </row>
    <row r="361" ht="15.75" customHeight="1">
      <c r="A361" s="15"/>
      <c r="B361" s="7"/>
      <c r="C361" s="7" t="str">
        <f t="array" ref="C361">IFERROR(INDEX('Order Planning'!$C$5:$C$204,MATCH(B361,'Order Planning'!$A$5:$A$204,0)),"")</f>
        <v/>
      </c>
      <c r="D361" s="7" t="str">
        <f t="array" ref="D361">IFERROR(INDEX('Order Planning'!$E$5:$E$204,MATCH(B361,'Order Planning'!$A$5:$A$204,0)),"")</f>
        <v/>
      </c>
      <c r="E361" s="7" t="str">
        <f t="array" ref="E361">IFERROR(INDEX('Order Planning'!$F$5:$F$204,MATCH(B361,'Order Planning'!$A$5:$A$204,0)),"")</f>
        <v/>
      </c>
      <c r="F361" s="7"/>
      <c r="G361" s="7"/>
      <c r="L361" s="7">
        <f t="shared" si="1"/>
        <v>0</v>
      </c>
      <c r="M361" s="14">
        <f t="shared" si="2"/>
        <v>0</v>
      </c>
      <c r="N361" s="7"/>
      <c r="O361" s="7">
        <f>IF(N361="Full Process",Settings!$B$6,IF(N361="Assembly Only",Settings!$B$7,0))</f>
        <v>0</v>
      </c>
      <c r="P361" s="14">
        <f t="shared" si="3"/>
        <v>0</v>
      </c>
      <c r="Q361" s="13">
        <f>IF(O361=0,0,MIN(1,L361/O361)*Settings!$B$5)</f>
        <v>0</v>
      </c>
      <c r="R361" s="16"/>
      <c r="S361" s="16"/>
      <c r="U361" s="7"/>
    </row>
    <row r="362" ht="15.75" customHeight="1">
      <c r="A362" s="15"/>
      <c r="B362" s="7"/>
      <c r="C362" s="7" t="str">
        <f t="array" ref="C362">IFERROR(INDEX('Order Planning'!$C$5:$C$204,MATCH(B362,'Order Planning'!$A$5:$A$204,0)),"")</f>
        <v/>
      </c>
      <c r="D362" s="7" t="str">
        <f t="array" ref="D362">IFERROR(INDEX('Order Planning'!$E$5:$E$204,MATCH(B362,'Order Planning'!$A$5:$A$204,0)),"")</f>
        <v/>
      </c>
      <c r="E362" s="7" t="str">
        <f t="array" ref="E362">IFERROR(INDEX('Order Planning'!$F$5:$F$204,MATCH(B362,'Order Planning'!$A$5:$A$204,0)),"")</f>
        <v/>
      </c>
      <c r="F362" s="7"/>
      <c r="G362" s="7"/>
      <c r="L362" s="7">
        <f t="shared" si="1"/>
        <v>0</v>
      </c>
      <c r="M362" s="14">
        <f t="shared" si="2"/>
        <v>0</v>
      </c>
      <c r="N362" s="7"/>
      <c r="O362" s="7">
        <f>IF(N362="Full Process",Settings!$B$6,IF(N362="Assembly Only",Settings!$B$7,0))</f>
        <v>0</v>
      </c>
      <c r="P362" s="14">
        <f t="shared" si="3"/>
        <v>0</v>
      </c>
      <c r="Q362" s="13">
        <f>IF(O362=0,0,MIN(1,L362/O362)*Settings!$B$5)</f>
        <v>0</v>
      </c>
      <c r="R362" s="16"/>
      <c r="S362" s="16"/>
      <c r="U362" s="7"/>
    </row>
    <row r="363" ht="15.75" customHeight="1">
      <c r="A363" s="15"/>
      <c r="B363" s="7"/>
      <c r="C363" s="7" t="str">
        <f t="array" ref="C363">IFERROR(INDEX('Order Planning'!$C$5:$C$204,MATCH(B363,'Order Planning'!$A$5:$A$204,0)),"")</f>
        <v/>
      </c>
      <c r="D363" s="7" t="str">
        <f t="array" ref="D363">IFERROR(INDEX('Order Planning'!$E$5:$E$204,MATCH(B363,'Order Planning'!$A$5:$A$204,0)),"")</f>
        <v/>
      </c>
      <c r="E363" s="7" t="str">
        <f t="array" ref="E363">IFERROR(INDEX('Order Planning'!$F$5:$F$204,MATCH(B363,'Order Planning'!$A$5:$A$204,0)),"")</f>
        <v/>
      </c>
      <c r="F363" s="7"/>
      <c r="G363" s="7"/>
      <c r="L363" s="7">
        <f t="shared" si="1"/>
        <v>0</v>
      </c>
      <c r="M363" s="14">
        <f t="shared" si="2"/>
        <v>0</v>
      </c>
      <c r="N363" s="7"/>
      <c r="O363" s="7">
        <f>IF(N363="Full Process",Settings!$B$6,IF(N363="Assembly Only",Settings!$B$7,0))</f>
        <v>0</v>
      </c>
      <c r="P363" s="14">
        <f t="shared" si="3"/>
        <v>0</v>
      </c>
      <c r="Q363" s="13">
        <f>IF(O363=0,0,MIN(1,L363/O363)*Settings!$B$5)</f>
        <v>0</v>
      </c>
      <c r="R363" s="16"/>
      <c r="S363" s="16"/>
      <c r="U363" s="7"/>
    </row>
    <row r="364" ht="15.75" customHeight="1">
      <c r="A364" s="15"/>
      <c r="B364" s="7"/>
      <c r="C364" s="7" t="str">
        <f t="array" ref="C364">IFERROR(INDEX('Order Planning'!$C$5:$C$204,MATCH(B364,'Order Planning'!$A$5:$A$204,0)),"")</f>
        <v/>
      </c>
      <c r="D364" s="7" t="str">
        <f t="array" ref="D364">IFERROR(INDEX('Order Planning'!$E$5:$E$204,MATCH(B364,'Order Planning'!$A$5:$A$204,0)),"")</f>
        <v/>
      </c>
      <c r="E364" s="7" t="str">
        <f t="array" ref="E364">IFERROR(INDEX('Order Planning'!$F$5:$F$204,MATCH(B364,'Order Planning'!$A$5:$A$204,0)),"")</f>
        <v/>
      </c>
      <c r="F364" s="7"/>
      <c r="G364" s="7"/>
      <c r="L364" s="7">
        <f t="shared" si="1"/>
        <v>0</v>
      </c>
      <c r="M364" s="14">
        <f t="shared" si="2"/>
        <v>0</v>
      </c>
      <c r="N364" s="7"/>
      <c r="O364" s="7">
        <f>IF(N364="Full Process",Settings!$B$6,IF(N364="Assembly Only",Settings!$B$7,0))</f>
        <v>0</v>
      </c>
      <c r="P364" s="14">
        <f t="shared" si="3"/>
        <v>0</v>
      </c>
      <c r="Q364" s="13">
        <f>IF(O364=0,0,MIN(1,L364/O364)*Settings!$B$5)</f>
        <v>0</v>
      </c>
      <c r="R364" s="16"/>
      <c r="S364" s="16"/>
      <c r="U364" s="7"/>
    </row>
    <row r="365" ht="15.75" customHeight="1">
      <c r="A365" s="15"/>
      <c r="B365" s="7"/>
      <c r="C365" s="7" t="str">
        <f t="array" ref="C365">IFERROR(INDEX('Order Planning'!$C$5:$C$204,MATCH(B365,'Order Planning'!$A$5:$A$204,0)),"")</f>
        <v/>
      </c>
      <c r="D365" s="7" t="str">
        <f t="array" ref="D365">IFERROR(INDEX('Order Planning'!$E$5:$E$204,MATCH(B365,'Order Planning'!$A$5:$A$204,0)),"")</f>
        <v/>
      </c>
      <c r="E365" s="7" t="str">
        <f t="array" ref="E365">IFERROR(INDEX('Order Planning'!$F$5:$F$204,MATCH(B365,'Order Planning'!$A$5:$A$204,0)),"")</f>
        <v/>
      </c>
      <c r="F365" s="7"/>
      <c r="G365" s="7"/>
      <c r="L365" s="7">
        <f t="shared" si="1"/>
        <v>0</v>
      </c>
      <c r="M365" s="14">
        <f t="shared" si="2"/>
        <v>0</v>
      </c>
      <c r="N365" s="7"/>
      <c r="O365" s="7">
        <f>IF(N365="Full Process",Settings!$B$6,IF(N365="Assembly Only",Settings!$B$7,0))</f>
        <v>0</v>
      </c>
      <c r="P365" s="14">
        <f t="shared" si="3"/>
        <v>0</v>
      </c>
      <c r="Q365" s="13">
        <f>IF(O365=0,0,MIN(1,L365/O365)*Settings!$B$5)</f>
        <v>0</v>
      </c>
      <c r="R365" s="16"/>
      <c r="S365" s="16"/>
      <c r="U365" s="7"/>
    </row>
    <row r="366" ht="15.75" customHeight="1">
      <c r="A366" s="15"/>
      <c r="B366" s="7"/>
      <c r="C366" s="7" t="str">
        <f t="array" ref="C366">IFERROR(INDEX('Order Planning'!$C$5:$C$204,MATCH(B366,'Order Planning'!$A$5:$A$204,0)),"")</f>
        <v/>
      </c>
      <c r="D366" s="7" t="str">
        <f t="array" ref="D366">IFERROR(INDEX('Order Planning'!$E$5:$E$204,MATCH(B366,'Order Planning'!$A$5:$A$204,0)),"")</f>
        <v/>
      </c>
      <c r="E366" s="7" t="str">
        <f t="array" ref="E366">IFERROR(INDEX('Order Planning'!$F$5:$F$204,MATCH(B366,'Order Planning'!$A$5:$A$204,0)),"")</f>
        <v/>
      </c>
      <c r="F366" s="7"/>
      <c r="G366" s="7"/>
      <c r="L366" s="7">
        <f t="shared" si="1"/>
        <v>0</v>
      </c>
      <c r="M366" s="14">
        <f t="shared" si="2"/>
        <v>0</v>
      </c>
      <c r="N366" s="7"/>
      <c r="O366" s="7">
        <f>IF(N366="Full Process",Settings!$B$6,IF(N366="Assembly Only",Settings!$B$7,0))</f>
        <v>0</v>
      </c>
      <c r="P366" s="14">
        <f t="shared" si="3"/>
        <v>0</v>
      </c>
      <c r="Q366" s="13">
        <f>IF(O366=0,0,MIN(1,L366/O366)*Settings!$B$5)</f>
        <v>0</v>
      </c>
      <c r="R366" s="16"/>
      <c r="S366" s="16"/>
      <c r="U366" s="7"/>
    </row>
    <row r="367" ht="15.75" customHeight="1">
      <c r="A367" s="15"/>
      <c r="B367" s="7"/>
      <c r="C367" s="7" t="str">
        <f t="array" ref="C367">IFERROR(INDEX('Order Planning'!$C$5:$C$204,MATCH(B367,'Order Planning'!$A$5:$A$204,0)),"")</f>
        <v/>
      </c>
      <c r="D367" s="7" t="str">
        <f t="array" ref="D367">IFERROR(INDEX('Order Planning'!$E$5:$E$204,MATCH(B367,'Order Planning'!$A$5:$A$204,0)),"")</f>
        <v/>
      </c>
      <c r="E367" s="7" t="str">
        <f t="array" ref="E367">IFERROR(INDEX('Order Planning'!$F$5:$F$204,MATCH(B367,'Order Planning'!$A$5:$A$204,0)),"")</f>
        <v/>
      </c>
      <c r="F367" s="7"/>
      <c r="G367" s="7"/>
      <c r="L367" s="7">
        <f t="shared" si="1"/>
        <v>0</v>
      </c>
      <c r="M367" s="14">
        <f t="shared" si="2"/>
        <v>0</v>
      </c>
      <c r="N367" s="7"/>
      <c r="O367" s="7">
        <f>IF(N367="Full Process",Settings!$B$6,IF(N367="Assembly Only",Settings!$B$7,0))</f>
        <v>0</v>
      </c>
      <c r="P367" s="14">
        <f t="shared" si="3"/>
        <v>0</v>
      </c>
      <c r="Q367" s="13">
        <f>IF(O367=0,0,MIN(1,L367/O367)*Settings!$B$5)</f>
        <v>0</v>
      </c>
      <c r="R367" s="16"/>
      <c r="S367" s="16"/>
      <c r="U367" s="7"/>
    </row>
    <row r="368" ht="15.75" customHeight="1">
      <c r="A368" s="15"/>
      <c r="B368" s="7"/>
      <c r="C368" s="7" t="str">
        <f t="array" ref="C368">IFERROR(INDEX('Order Planning'!$C$5:$C$204,MATCH(B368,'Order Planning'!$A$5:$A$204,0)),"")</f>
        <v/>
      </c>
      <c r="D368" s="7" t="str">
        <f t="array" ref="D368">IFERROR(INDEX('Order Planning'!$E$5:$E$204,MATCH(B368,'Order Planning'!$A$5:$A$204,0)),"")</f>
        <v/>
      </c>
      <c r="E368" s="7" t="str">
        <f t="array" ref="E368">IFERROR(INDEX('Order Planning'!$F$5:$F$204,MATCH(B368,'Order Planning'!$A$5:$A$204,0)),"")</f>
        <v/>
      </c>
      <c r="F368" s="7"/>
      <c r="G368" s="7"/>
      <c r="L368" s="7">
        <f t="shared" si="1"/>
        <v>0</v>
      </c>
      <c r="M368" s="14">
        <f t="shared" si="2"/>
        <v>0</v>
      </c>
      <c r="N368" s="7"/>
      <c r="O368" s="7">
        <f>IF(N368="Full Process",Settings!$B$6,IF(N368="Assembly Only",Settings!$B$7,0))</f>
        <v>0</v>
      </c>
      <c r="P368" s="14">
        <f t="shared" si="3"/>
        <v>0</v>
      </c>
      <c r="Q368" s="13">
        <f>IF(O368=0,0,MIN(1,L368/O368)*Settings!$B$5)</f>
        <v>0</v>
      </c>
      <c r="R368" s="16"/>
      <c r="S368" s="16"/>
      <c r="U368" s="7"/>
    </row>
    <row r="369" ht="15.75" customHeight="1">
      <c r="A369" s="15"/>
      <c r="B369" s="7"/>
      <c r="C369" s="7" t="str">
        <f t="array" ref="C369">IFERROR(INDEX('Order Planning'!$C$5:$C$204,MATCH(B369,'Order Planning'!$A$5:$A$204,0)),"")</f>
        <v/>
      </c>
      <c r="D369" s="7" t="str">
        <f t="array" ref="D369">IFERROR(INDEX('Order Planning'!$E$5:$E$204,MATCH(B369,'Order Planning'!$A$5:$A$204,0)),"")</f>
        <v/>
      </c>
      <c r="E369" s="7" t="str">
        <f t="array" ref="E369">IFERROR(INDEX('Order Planning'!$F$5:$F$204,MATCH(B369,'Order Planning'!$A$5:$A$204,0)),"")</f>
        <v/>
      </c>
      <c r="F369" s="7"/>
      <c r="G369" s="7"/>
      <c r="L369" s="7">
        <f t="shared" si="1"/>
        <v>0</v>
      </c>
      <c r="M369" s="14">
        <f t="shared" si="2"/>
        <v>0</v>
      </c>
      <c r="N369" s="7"/>
      <c r="O369" s="7">
        <f>IF(N369="Full Process",Settings!$B$6,IF(N369="Assembly Only",Settings!$B$7,0))</f>
        <v>0</v>
      </c>
      <c r="P369" s="14">
        <f t="shared" si="3"/>
        <v>0</v>
      </c>
      <c r="Q369" s="13">
        <f>IF(O369=0,0,MIN(1,L369/O369)*Settings!$B$5)</f>
        <v>0</v>
      </c>
      <c r="R369" s="16"/>
      <c r="S369" s="16"/>
      <c r="U369" s="7"/>
    </row>
    <row r="370" ht="15.75" customHeight="1">
      <c r="A370" s="15"/>
      <c r="B370" s="7"/>
      <c r="C370" s="7" t="str">
        <f t="array" ref="C370">IFERROR(INDEX('Order Planning'!$C$5:$C$204,MATCH(B370,'Order Planning'!$A$5:$A$204,0)),"")</f>
        <v/>
      </c>
      <c r="D370" s="7" t="str">
        <f t="array" ref="D370">IFERROR(INDEX('Order Planning'!$E$5:$E$204,MATCH(B370,'Order Planning'!$A$5:$A$204,0)),"")</f>
        <v/>
      </c>
      <c r="E370" s="7" t="str">
        <f t="array" ref="E370">IFERROR(INDEX('Order Planning'!$F$5:$F$204,MATCH(B370,'Order Planning'!$A$5:$A$204,0)),"")</f>
        <v/>
      </c>
      <c r="F370" s="7"/>
      <c r="G370" s="7"/>
      <c r="L370" s="7">
        <f t="shared" si="1"/>
        <v>0</v>
      </c>
      <c r="M370" s="14">
        <f t="shared" si="2"/>
        <v>0</v>
      </c>
      <c r="N370" s="7"/>
      <c r="O370" s="7">
        <f>IF(N370="Full Process",Settings!$B$6,IF(N370="Assembly Only",Settings!$B$7,0))</f>
        <v>0</v>
      </c>
      <c r="P370" s="14">
        <f t="shared" si="3"/>
        <v>0</v>
      </c>
      <c r="Q370" s="13">
        <f>IF(O370=0,0,MIN(1,L370/O370)*Settings!$B$5)</f>
        <v>0</v>
      </c>
      <c r="R370" s="16"/>
      <c r="S370" s="16"/>
      <c r="U370" s="7"/>
    </row>
    <row r="371" ht="15.75" customHeight="1">
      <c r="A371" s="15"/>
      <c r="B371" s="7"/>
      <c r="C371" s="7" t="str">
        <f t="array" ref="C371">IFERROR(INDEX('Order Planning'!$C$5:$C$204,MATCH(B371,'Order Planning'!$A$5:$A$204,0)),"")</f>
        <v/>
      </c>
      <c r="D371" s="7" t="str">
        <f t="array" ref="D371">IFERROR(INDEX('Order Planning'!$E$5:$E$204,MATCH(B371,'Order Planning'!$A$5:$A$204,0)),"")</f>
        <v/>
      </c>
      <c r="E371" s="7" t="str">
        <f t="array" ref="E371">IFERROR(INDEX('Order Planning'!$F$5:$F$204,MATCH(B371,'Order Planning'!$A$5:$A$204,0)),"")</f>
        <v/>
      </c>
      <c r="F371" s="7"/>
      <c r="G371" s="7"/>
      <c r="L371" s="7">
        <f t="shared" si="1"/>
        <v>0</v>
      </c>
      <c r="M371" s="14">
        <f t="shared" si="2"/>
        <v>0</v>
      </c>
      <c r="N371" s="7"/>
      <c r="O371" s="7">
        <f>IF(N371="Full Process",Settings!$B$6,IF(N371="Assembly Only",Settings!$B$7,0))</f>
        <v>0</v>
      </c>
      <c r="P371" s="14">
        <f t="shared" si="3"/>
        <v>0</v>
      </c>
      <c r="Q371" s="13">
        <f>IF(O371=0,0,MIN(1,L371/O371)*Settings!$B$5)</f>
        <v>0</v>
      </c>
      <c r="R371" s="16"/>
      <c r="S371" s="16"/>
      <c r="U371" s="7"/>
    </row>
    <row r="372" ht="15.75" customHeight="1">
      <c r="A372" s="15"/>
      <c r="B372" s="7"/>
      <c r="C372" s="7" t="str">
        <f t="array" ref="C372">IFERROR(INDEX('Order Planning'!$C$5:$C$204,MATCH(B372,'Order Planning'!$A$5:$A$204,0)),"")</f>
        <v/>
      </c>
      <c r="D372" s="7" t="str">
        <f t="array" ref="D372">IFERROR(INDEX('Order Planning'!$E$5:$E$204,MATCH(B372,'Order Planning'!$A$5:$A$204,0)),"")</f>
        <v/>
      </c>
      <c r="E372" s="7" t="str">
        <f t="array" ref="E372">IFERROR(INDEX('Order Planning'!$F$5:$F$204,MATCH(B372,'Order Planning'!$A$5:$A$204,0)),"")</f>
        <v/>
      </c>
      <c r="F372" s="7"/>
      <c r="G372" s="7"/>
      <c r="L372" s="7">
        <f t="shared" si="1"/>
        <v>0</v>
      </c>
      <c r="M372" s="14">
        <f t="shared" si="2"/>
        <v>0</v>
      </c>
      <c r="N372" s="7"/>
      <c r="O372" s="7">
        <f>IF(N372="Full Process",Settings!$B$6,IF(N372="Assembly Only",Settings!$B$7,0))</f>
        <v>0</v>
      </c>
      <c r="P372" s="14">
        <f t="shared" si="3"/>
        <v>0</v>
      </c>
      <c r="Q372" s="13">
        <f>IF(O372=0,0,MIN(1,L372/O372)*Settings!$B$5)</f>
        <v>0</v>
      </c>
      <c r="R372" s="16"/>
      <c r="S372" s="16"/>
      <c r="U372" s="7"/>
    </row>
    <row r="373" ht="15.75" customHeight="1">
      <c r="A373" s="15"/>
      <c r="B373" s="7"/>
      <c r="C373" s="7" t="str">
        <f t="array" ref="C373">IFERROR(INDEX('Order Planning'!$C$5:$C$204,MATCH(B373,'Order Planning'!$A$5:$A$204,0)),"")</f>
        <v/>
      </c>
      <c r="D373" s="7" t="str">
        <f t="array" ref="D373">IFERROR(INDEX('Order Planning'!$E$5:$E$204,MATCH(B373,'Order Planning'!$A$5:$A$204,0)),"")</f>
        <v/>
      </c>
      <c r="E373" s="7" t="str">
        <f t="array" ref="E373">IFERROR(INDEX('Order Planning'!$F$5:$F$204,MATCH(B373,'Order Planning'!$A$5:$A$204,0)),"")</f>
        <v/>
      </c>
      <c r="F373" s="7"/>
      <c r="G373" s="7"/>
      <c r="L373" s="7">
        <f t="shared" si="1"/>
        <v>0</v>
      </c>
      <c r="M373" s="14">
        <f t="shared" si="2"/>
        <v>0</v>
      </c>
      <c r="N373" s="7"/>
      <c r="O373" s="7">
        <f>IF(N373="Full Process",Settings!$B$6,IF(N373="Assembly Only",Settings!$B$7,0))</f>
        <v>0</v>
      </c>
      <c r="P373" s="14">
        <f t="shared" si="3"/>
        <v>0</v>
      </c>
      <c r="Q373" s="13">
        <f>IF(O373=0,0,MIN(1,L373/O373)*Settings!$B$5)</f>
        <v>0</v>
      </c>
      <c r="R373" s="16"/>
      <c r="S373" s="16"/>
      <c r="U373" s="7"/>
    </row>
    <row r="374" ht="15.75" customHeight="1">
      <c r="A374" s="15"/>
      <c r="B374" s="7"/>
      <c r="C374" s="7" t="str">
        <f t="array" ref="C374">IFERROR(INDEX('Order Planning'!$C$5:$C$204,MATCH(B374,'Order Planning'!$A$5:$A$204,0)),"")</f>
        <v/>
      </c>
      <c r="D374" s="7" t="str">
        <f t="array" ref="D374">IFERROR(INDEX('Order Planning'!$E$5:$E$204,MATCH(B374,'Order Planning'!$A$5:$A$204,0)),"")</f>
        <v/>
      </c>
      <c r="E374" s="7" t="str">
        <f t="array" ref="E374">IFERROR(INDEX('Order Planning'!$F$5:$F$204,MATCH(B374,'Order Planning'!$A$5:$A$204,0)),"")</f>
        <v/>
      </c>
      <c r="F374" s="7"/>
      <c r="G374" s="7"/>
      <c r="L374" s="7">
        <f t="shared" si="1"/>
        <v>0</v>
      </c>
      <c r="M374" s="14">
        <f t="shared" si="2"/>
        <v>0</v>
      </c>
      <c r="N374" s="7"/>
      <c r="O374" s="7">
        <f>IF(N374="Full Process",Settings!$B$6,IF(N374="Assembly Only",Settings!$B$7,0))</f>
        <v>0</v>
      </c>
      <c r="P374" s="14">
        <f t="shared" si="3"/>
        <v>0</v>
      </c>
      <c r="Q374" s="13">
        <f>IF(O374=0,0,MIN(1,L374/O374)*Settings!$B$5)</f>
        <v>0</v>
      </c>
      <c r="R374" s="16"/>
      <c r="S374" s="16"/>
      <c r="U374" s="7"/>
    </row>
    <row r="375" ht="15.75" customHeight="1">
      <c r="A375" s="15"/>
      <c r="B375" s="7"/>
      <c r="C375" s="7" t="str">
        <f t="array" ref="C375">IFERROR(INDEX('Order Planning'!$C$5:$C$204,MATCH(B375,'Order Planning'!$A$5:$A$204,0)),"")</f>
        <v/>
      </c>
      <c r="D375" s="7" t="str">
        <f t="array" ref="D375">IFERROR(INDEX('Order Planning'!$E$5:$E$204,MATCH(B375,'Order Planning'!$A$5:$A$204,0)),"")</f>
        <v/>
      </c>
      <c r="E375" s="7" t="str">
        <f t="array" ref="E375">IFERROR(INDEX('Order Planning'!$F$5:$F$204,MATCH(B375,'Order Planning'!$A$5:$A$204,0)),"")</f>
        <v/>
      </c>
      <c r="F375" s="7"/>
      <c r="G375" s="7"/>
      <c r="L375" s="7">
        <f t="shared" si="1"/>
        <v>0</v>
      </c>
      <c r="M375" s="14">
        <f t="shared" si="2"/>
        <v>0</v>
      </c>
      <c r="N375" s="7"/>
      <c r="O375" s="7">
        <f>IF(N375="Full Process",Settings!$B$6,IF(N375="Assembly Only",Settings!$B$7,0))</f>
        <v>0</v>
      </c>
      <c r="P375" s="14">
        <f t="shared" si="3"/>
        <v>0</v>
      </c>
      <c r="Q375" s="13">
        <f>IF(O375=0,0,MIN(1,L375/O375)*Settings!$B$5)</f>
        <v>0</v>
      </c>
      <c r="R375" s="16"/>
      <c r="S375" s="16"/>
      <c r="U375" s="7"/>
    </row>
    <row r="376" ht="15.75" customHeight="1">
      <c r="A376" s="15"/>
      <c r="B376" s="7"/>
      <c r="C376" s="7" t="str">
        <f t="array" ref="C376">IFERROR(INDEX('Order Planning'!$C$5:$C$204,MATCH(B376,'Order Planning'!$A$5:$A$204,0)),"")</f>
        <v/>
      </c>
      <c r="D376" s="7" t="str">
        <f t="array" ref="D376">IFERROR(INDEX('Order Planning'!$E$5:$E$204,MATCH(B376,'Order Planning'!$A$5:$A$204,0)),"")</f>
        <v/>
      </c>
      <c r="E376" s="7" t="str">
        <f t="array" ref="E376">IFERROR(INDEX('Order Planning'!$F$5:$F$204,MATCH(B376,'Order Planning'!$A$5:$A$204,0)),"")</f>
        <v/>
      </c>
      <c r="F376" s="7"/>
      <c r="G376" s="7"/>
      <c r="L376" s="7">
        <f t="shared" si="1"/>
        <v>0</v>
      </c>
      <c r="M376" s="14">
        <f t="shared" si="2"/>
        <v>0</v>
      </c>
      <c r="N376" s="7"/>
      <c r="O376" s="7">
        <f>IF(N376="Full Process",Settings!$B$6,IF(N376="Assembly Only",Settings!$B$7,0))</f>
        <v>0</v>
      </c>
      <c r="P376" s="14">
        <f t="shared" si="3"/>
        <v>0</v>
      </c>
      <c r="Q376" s="13">
        <f>IF(O376=0,0,MIN(1,L376/O376)*Settings!$B$5)</f>
        <v>0</v>
      </c>
      <c r="R376" s="16"/>
      <c r="S376" s="16"/>
      <c r="U376" s="7"/>
    </row>
    <row r="377" ht="15.75" customHeight="1">
      <c r="A377" s="15"/>
      <c r="B377" s="7"/>
      <c r="C377" s="7" t="str">
        <f t="array" ref="C377">IFERROR(INDEX('Order Planning'!$C$5:$C$204,MATCH(B377,'Order Planning'!$A$5:$A$204,0)),"")</f>
        <v/>
      </c>
      <c r="D377" s="7" t="str">
        <f t="array" ref="D377">IFERROR(INDEX('Order Planning'!$E$5:$E$204,MATCH(B377,'Order Planning'!$A$5:$A$204,0)),"")</f>
        <v/>
      </c>
      <c r="E377" s="7" t="str">
        <f t="array" ref="E377">IFERROR(INDEX('Order Planning'!$F$5:$F$204,MATCH(B377,'Order Planning'!$A$5:$A$204,0)),"")</f>
        <v/>
      </c>
      <c r="F377" s="7"/>
      <c r="G377" s="7"/>
      <c r="L377" s="7">
        <f t="shared" si="1"/>
        <v>0</v>
      </c>
      <c r="M377" s="14">
        <f t="shared" si="2"/>
        <v>0</v>
      </c>
      <c r="N377" s="7"/>
      <c r="O377" s="7">
        <f>IF(N377="Full Process",Settings!$B$6,IF(N377="Assembly Only",Settings!$B$7,0))</f>
        <v>0</v>
      </c>
      <c r="P377" s="14">
        <f t="shared" si="3"/>
        <v>0</v>
      </c>
      <c r="Q377" s="13">
        <f>IF(O377=0,0,MIN(1,L377/O377)*Settings!$B$5)</f>
        <v>0</v>
      </c>
      <c r="R377" s="16"/>
      <c r="S377" s="16"/>
      <c r="U377" s="7"/>
    </row>
    <row r="378" ht="15.75" customHeight="1">
      <c r="A378" s="15"/>
      <c r="B378" s="7"/>
      <c r="C378" s="7" t="str">
        <f t="array" ref="C378">IFERROR(INDEX('Order Planning'!$C$5:$C$204,MATCH(B378,'Order Planning'!$A$5:$A$204,0)),"")</f>
        <v/>
      </c>
      <c r="D378" s="7" t="str">
        <f t="array" ref="D378">IFERROR(INDEX('Order Planning'!$E$5:$E$204,MATCH(B378,'Order Planning'!$A$5:$A$204,0)),"")</f>
        <v/>
      </c>
      <c r="E378" s="7" t="str">
        <f t="array" ref="E378">IFERROR(INDEX('Order Planning'!$F$5:$F$204,MATCH(B378,'Order Planning'!$A$5:$A$204,0)),"")</f>
        <v/>
      </c>
      <c r="F378" s="7"/>
      <c r="G378" s="7"/>
      <c r="L378" s="7">
        <f t="shared" si="1"/>
        <v>0</v>
      </c>
      <c r="M378" s="14">
        <f t="shared" si="2"/>
        <v>0</v>
      </c>
      <c r="N378" s="7"/>
      <c r="O378" s="7">
        <f>IF(N378="Full Process",Settings!$B$6,IF(N378="Assembly Only",Settings!$B$7,0))</f>
        <v>0</v>
      </c>
      <c r="P378" s="14">
        <f t="shared" si="3"/>
        <v>0</v>
      </c>
      <c r="Q378" s="13">
        <f>IF(O378=0,0,MIN(1,L378/O378)*Settings!$B$5)</f>
        <v>0</v>
      </c>
      <c r="R378" s="16"/>
      <c r="S378" s="16"/>
      <c r="U378" s="7"/>
    </row>
    <row r="379" ht="15.75" customHeight="1">
      <c r="A379" s="15"/>
      <c r="B379" s="7"/>
      <c r="C379" s="7" t="str">
        <f t="array" ref="C379">IFERROR(INDEX('Order Planning'!$C$5:$C$204,MATCH(B379,'Order Planning'!$A$5:$A$204,0)),"")</f>
        <v/>
      </c>
      <c r="D379" s="7" t="str">
        <f t="array" ref="D379">IFERROR(INDEX('Order Planning'!$E$5:$E$204,MATCH(B379,'Order Planning'!$A$5:$A$204,0)),"")</f>
        <v/>
      </c>
      <c r="E379" s="7" t="str">
        <f t="array" ref="E379">IFERROR(INDEX('Order Planning'!$F$5:$F$204,MATCH(B379,'Order Planning'!$A$5:$A$204,0)),"")</f>
        <v/>
      </c>
      <c r="F379" s="7"/>
      <c r="G379" s="7"/>
      <c r="L379" s="7">
        <f t="shared" si="1"/>
        <v>0</v>
      </c>
      <c r="M379" s="14">
        <f t="shared" si="2"/>
        <v>0</v>
      </c>
      <c r="N379" s="7"/>
      <c r="O379" s="7">
        <f>IF(N379="Full Process",Settings!$B$6,IF(N379="Assembly Only",Settings!$B$7,0))</f>
        <v>0</v>
      </c>
      <c r="P379" s="14">
        <f t="shared" si="3"/>
        <v>0</v>
      </c>
      <c r="Q379" s="13">
        <f>IF(O379=0,0,MIN(1,L379/O379)*Settings!$B$5)</f>
        <v>0</v>
      </c>
      <c r="R379" s="16"/>
      <c r="S379" s="16"/>
      <c r="U379" s="7"/>
    </row>
    <row r="380" ht="15.75" customHeight="1">
      <c r="A380" s="15"/>
      <c r="B380" s="7"/>
      <c r="C380" s="7" t="str">
        <f t="array" ref="C380">IFERROR(INDEX('Order Planning'!$C$5:$C$204,MATCH(B380,'Order Planning'!$A$5:$A$204,0)),"")</f>
        <v/>
      </c>
      <c r="D380" s="7" t="str">
        <f t="array" ref="D380">IFERROR(INDEX('Order Planning'!$E$5:$E$204,MATCH(B380,'Order Planning'!$A$5:$A$204,0)),"")</f>
        <v/>
      </c>
      <c r="E380" s="7" t="str">
        <f t="array" ref="E380">IFERROR(INDEX('Order Planning'!$F$5:$F$204,MATCH(B380,'Order Planning'!$A$5:$A$204,0)),"")</f>
        <v/>
      </c>
      <c r="F380" s="7"/>
      <c r="G380" s="7"/>
      <c r="L380" s="7">
        <f t="shared" si="1"/>
        <v>0</v>
      </c>
      <c r="M380" s="14">
        <f t="shared" si="2"/>
        <v>0</v>
      </c>
      <c r="N380" s="7"/>
      <c r="O380" s="7">
        <f>IF(N380="Full Process",Settings!$B$6,IF(N380="Assembly Only",Settings!$B$7,0))</f>
        <v>0</v>
      </c>
      <c r="P380" s="14">
        <f t="shared" si="3"/>
        <v>0</v>
      </c>
      <c r="Q380" s="13">
        <f>IF(O380=0,0,MIN(1,L380/O380)*Settings!$B$5)</f>
        <v>0</v>
      </c>
      <c r="R380" s="16"/>
      <c r="S380" s="16"/>
      <c r="U380" s="7"/>
    </row>
    <row r="381" ht="15.75" customHeight="1">
      <c r="A381" s="15"/>
      <c r="B381" s="7"/>
      <c r="C381" s="7" t="str">
        <f t="array" ref="C381">IFERROR(INDEX('Order Planning'!$C$5:$C$204,MATCH(B381,'Order Planning'!$A$5:$A$204,0)),"")</f>
        <v/>
      </c>
      <c r="D381" s="7" t="str">
        <f t="array" ref="D381">IFERROR(INDEX('Order Planning'!$E$5:$E$204,MATCH(B381,'Order Planning'!$A$5:$A$204,0)),"")</f>
        <v/>
      </c>
      <c r="E381" s="7" t="str">
        <f t="array" ref="E381">IFERROR(INDEX('Order Planning'!$F$5:$F$204,MATCH(B381,'Order Planning'!$A$5:$A$204,0)),"")</f>
        <v/>
      </c>
      <c r="F381" s="7"/>
      <c r="G381" s="7"/>
      <c r="L381" s="7">
        <f t="shared" si="1"/>
        <v>0</v>
      </c>
      <c r="M381" s="14">
        <f t="shared" si="2"/>
        <v>0</v>
      </c>
      <c r="N381" s="7"/>
      <c r="O381" s="7">
        <f>IF(N381="Full Process",Settings!$B$6,IF(N381="Assembly Only",Settings!$B$7,0))</f>
        <v>0</v>
      </c>
      <c r="P381" s="14">
        <f t="shared" si="3"/>
        <v>0</v>
      </c>
      <c r="Q381" s="13">
        <f>IF(O381=0,0,MIN(1,L381/O381)*Settings!$B$5)</f>
        <v>0</v>
      </c>
      <c r="R381" s="16"/>
      <c r="S381" s="16"/>
      <c r="U381" s="7"/>
    </row>
    <row r="382" ht="15.75" customHeight="1">
      <c r="A382" s="15"/>
      <c r="B382" s="7"/>
      <c r="C382" s="7" t="str">
        <f t="array" ref="C382">IFERROR(INDEX('Order Planning'!$C$5:$C$204,MATCH(B382,'Order Planning'!$A$5:$A$204,0)),"")</f>
        <v/>
      </c>
      <c r="D382" s="7" t="str">
        <f t="array" ref="D382">IFERROR(INDEX('Order Planning'!$E$5:$E$204,MATCH(B382,'Order Planning'!$A$5:$A$204,0)),"")</f>
        <v/>
      </c>
      <c r="E382" s="7" t="str">
        <f t="array" ref="E382">IFERROR(INDEX('Order Planning'!$F$5:$F$204,MATCH(B382,'Order Planning'!$A$5:$A$204,0)),"")</f>
        <v/>
      </c>
      <c r="F382" s="7"/>
      <c r="G382" s="7"/>
      <c r="L382" s="7">
        <f t="shared" si="1"/>
        <v>0</v>
      </c>
      <c r="M382" s="14">
        <f t="shared" si="2"/>
        <v>0</v>
      </c>
      <c r="N382" s="7"/>
      <c r="O382" s="7">
        <f>IF(N382="Full Process",Settings!$B$6,IF(N382="Assembly Only",Settings!$B$7,0))</f>
        <v>0</v>
      </c>
      <c r="P382" s="14">
        <f t="shared" si="3"/>
        <v>0</v>
      </c>
      <c r="Q382" s="13">
        <f>IF(O382=0,0,MIN(1,L382/O382)*Settings!$B$5)</f>
        <v>0</v>
      </c>
      <c r="R382" s="16"/>
      <c r="S382" s="16"/>
      <c r="U382" s="7"/>
    </row>
    <row r="383" ht="15.75" customHeight="1">
      <c r="A383" s="15"/>
      <c r="B383" s="7"/>
      <c r="C383" s="7" t="str">
        <f t="array" ref="C383">IFERROR(INDEX('Order Planning'!$C$5:$C$204,MATCH(B383,'Order Planning'!$A$5:$A$204,0)),"")</f>
        <v/>
      </c>
      <c r="D383" s="7" t="str">
        <f t="array" ref="D383">IFERROR(INDEX('Order Planning'!$E$5:$E$204,MATCH(B383,'Order Planning'!$A$5:$A$204,0)),"")</f>
        <v/>
      </c>
      <c r="E383" s="7" t="str">
        <f t="array" ref="E383">IFERROR(INDEX('Order Planning'!$F$5:$F$204,MATCH(B383,'Order Planning'!$A$5:$A$204,0)),"")</f>
        <v/>
      </c>
      <c r="F383" s="7"/>
      <c r="G383" s="7"/>
      <c r="L383" s="7">
        <f t="shared" si="1"/>
        <v>0</v>
      </c>
      <c r="M383" s="14">
        <f t="shared" si="2"/>
        <v>0</v>
      </c>
      <c r="N383" s="7"/>
      <c r="O383" s="7">
        <f>IF(N383="Full Process",Settings!$B$6,IF(N383="Assembly Only",Settings!$B$7,0))</f>
        <v>0</v>
      </c>
      <c r="P383" s="14">
        <f t="shared" si="3"/>
        <v>0</v>
      </c>
      <c r="Q383" s="13">
        <f>IF(O383=0,0,MIN(1,L383/O383)*Settings!$B$5)</f>
        <v>0</v>
      </c>
      <c r="R383" s="16"/>
      <c r="S383" s="16"/>
      <c r="U383" s="7"/>
    </row>
    <row r="384" ht="15.75" customHeight="1">
      <c r="A384" s="15"/>
      <c r="B384" s="7"/>
      <c r="C384" s="7" t="str">
        <f t="array" ref="C384">IFERROR(INDEX('Order Planning'!$C$5:$C$204,MATCH(B384,'Order Planning'!$A$5:$A$204,0)),"")</f>
        <v/>
      </c>
      <c r="D384" s="7" t="str">
        <f t="array" ref="D384">IFERROR(INDEX('Order Planning'!$E$5:$E$204,MATCH(B384,'Order Planning'!$A$5:$A$204,0)),"")</f>
        <v/>
      </c>
      <c r="E384" s="7" t="str">
        <f t="array" ref="E384">IFERROR(INDEX('Order Planning'!$F$5:$F$204,MATCH(B384,'Order Planning'!$A$5:$A$204,0)),"")</f>
        <v/>
      </c>
      <c r="F384" s="7"/>
      <c r="G384" s="7"/>
      <c r="L384" s="7">
        <f t="shared" si="1"/>
        <v>0</v>
      </c>
      <c r="M384" s="14">
        <f t="shared" si="2"/>
        <v>0</v>
      </c>
      <c r="N384" s="7"/>
      <c r="O384" s="7">
        <f>IF(N384="Full Process",Settings!$B$6,IF(N384="Assembly Only",Settings!$B$7,0))</f>
        <v>0</v>
      </c>
      <c r="P384" s="14">
        <f t="shared" si="3"/>
        <v>0</v>
      </c>
      <c r="Q384" s="13">
        <f>IF(O384=0,0,MIN(1,L384/O384)*Settings!$B$5)</f>
        <v>0</v>
      </c>
      <c r="R384" s="16"/>
      <c r="S384" s="16"/>
      <c r="U384" s="7"/>
    </row>
    <row r="385" ht="15.75" customHeight="1">
      <c r="A385" s="15"/>
      <c r="B385" s="7"/>
      <c r="C385" s="7" t="str">
        <f t="array" ref="C385">IFERROR(INDEX('Order Planning'!$C$5:$C$204,MATCH(B385,'Order Planning'!$A$5:$A$204,0)),"")</f>
        <v/>
      </c>
      <c r="D385" s="7" t="str">
        <f t="array" ref="D385">IFERROR(INDEX('Order Planning'!$E$5:$E$204,MATCH(B385,'Order Planning'!$A$5:$A$204,0)),"")</f>
        <v/>
      </c>
      <c r="E385" s="7" t="str">
        <f t="array" ref="E385">IFERROR(INDEX('Order Planning'!$F$5:$F$204,MATCH(B385,'Order Planning'!$A$5:$A$204,0)),"")</f>
        <v/>
      </c>
      <c r="F385" s="7"/>
      <c r="G385" s="7"/>
      <c r="L385" s="7">
        <f t="shared" si="1"/>
        <v>0</v>
      </c>
      <c r="M385" s="14">
        <f t="shared" si="2"/>
        <v>0</v>
      </c>
      <c r="N385" s="7"/>
      <c r="O385" s="7">
        <f>IF(N385="Full Process",Settings!$B$6,IF(N385="Assembly Only",Settings!$B$7,0))</f>
        <v>0</v>
      </c>
      <c r="P385" s="14">
        <f t="shared" si="3"/>
        <v>0</v>
      </c>
      <c r="Q385" s="13">
        <f>IF(O385=0,0,MIN(1,L385/O385)*Settings!$B$5)</f>
        <v>0</v>
      </c>
      <c r="R385" s="16"/>
      <c r="S385" s="16"/>
      <c r="U385" s="7"/>
    </row>
    <row r="386" ht="15.75" customHeight="1">
      <c r="A386" s="15"/>
      <c r="B386" s="7"/>
      <c r="C386" s="7" t="str">
        <f t="array" ref="C386">IFERROR(INDEX('Order Planning'!$C$5:$C$204,MATCH(B386,'Order Planning'!$A$5:$A$204,0)),"")</f>
        <v/>
      </c>
      <c r="D386" s="7" t="str">
        <f t="array" ref="D386">IFERROR(INDEX('Order Planning'!$E$5:$E$204,MATCH(B386,'Order Planning'!$A$5:$A$204,0)),"")</f>
        <v/>
      </c>
      <c r="E386" s="7" t="str">
        <f t="array" ref="E386">IFERROR(INDEX('Order Planning'!$F$5:$F$204,MATCH(B386,'Order Planning'!$A$5:$A$204,0)),"")</f>
        <v/>
      </c>
      <c r="F386" s="7"/>
      <c r="G386" s="7"/>
      <c r="L386" s="7">
        <f t="shared" si="1"/>
        <v>0</v>
      </c>
      <c r="M386" s="14">
        <f t="shared" si="2"/>
        <v>0</v>
      </c>
      <c r="N386" s="7"/>
      <c r="O386" s="7">
        <f>IF(N386="Full Process",Settings!$B$6,IF(N386="Assembly Only",Settings!$B$7,0))</f>
        <v>0</v>
      </c>
      <c r="P386" s="14">
        <f t="shared" si="3"/>
        <v>0</v>
      </c>
      <c r="Q386" s="13">
        <f>IF(O386=0,0,MIN(1,L386/O386)*Settings!$B$5)</f>
        <v>0</v>
      </c>
      <c r="R386" s="16"/>
      <c r="S386" s="16"/>
      <c r="U386" s="7"/>
    </row>
    <row r="387" ht="15.75" customHeight="1">
      <c r="A387" s="15"/>
      <c r="B387" s="7"/>
      <c r="C387" s="7" t="str">
        <f t="array" ref="C387">IFERROR(INDEX('Order Planning'!$C$5:$C$204,MATCH(B387,'Order Planning'!$A$5:$A$204,0)),"")</f>
        <v/>
      </c>
      <c r="D387" s="7" t="str">
        <f t="array" ref="D387">IFERROR(INDEX('Order Planning'!$E$5:$E$204,MATCH(B387,'Order Planning'!$A$5:$A$204,0)),"")</f>
        <v/>
      </c>
      <c r="E387" s="7" t="str">
        <f t="array" ref="E387">IFERROR(INDEX('Order Planning'!$F$5:$F$204,MATCH(B387,'Order Planning'!$A$5:$A$204,0)),"")</f>
        <v/>
      </c>
      <c r="F387" s="7"/>
      <c r="G387" s="7"/>
      <c r="L387" s="7">
        <f t="shared" si="1"/>
        <v>0</v>
      </c>
      <c r="M387" s="14">
        <f t="shared" si="2"/>
        <v>0</v>
      </c>
      <c r="N387" s="7"/>
      <c r="O387" s="7">
        <f>IF(N387="Full Process",Settings!$B$6,IF(N387="Assembly Only",Settings!$B$7,0))</f>
        <v>0</v>
      </c>
      <c r="P387" s="14">
        <f t="shared" si="3"/>
        <v>0</v>
      </c>
      <c r="Q387" s="13">
        <f>IF(O387=0,0,MIN(1,L387/O387)*Settings!$B$5)</f>
        <v>0</v>
      </c>
      <c r="R387" s="16"/>
      <c r="S387" s="16"/>
      <c r="U387" s="7"/>
    </row>
    <row r="388" ht="15.75" customHeight="1">
      <c r="A388" s="15"/>
      <c r="B388" s="7"/>
      <c r="C388" s="7" t="str">
        <f t="array" ref="C388">IFERROR(INDEX('Order Planning'!$C$5:$C$204,MATCH(B388,'Order Planning'!$A$5:$A$204,0)),"")</f>
        <v/>
      </c>
      <c r="D388" s="7" t="str">
        <f t="array" ref="D388">IFERROR(INDEX('Order Planning'!$E$5:$E$204,MATCH(B388,'Order Planning'!$A$5:$A$204,0)),"")</f>
        <v/>
      </c>
      <c r="E388" s="7" t="str">
        <f t="array" ref="E388">IFERROR(INDEX('Order Planning'!$F$5:$F$204,MATCH(B388,'Order Planning'!$A$5:$A$204,0)),"")</f>
        <v/>
      </c>
      <c r="F388" s="7"/>
      <c r="G388" s="7"/>
      <c r="L388" s="7">
        <f t="shared" si="1"/>
        <v>0</v>
      </c>
      <c r="M388" s="14">
        <f t="shared" si="2"/>
        <v>0</v>
      </c>
      <c r="N388" s="7"/>
      <c r="O388" s="7">
        <f>IF(N388="Full Process",Settings!$B$6,IF(N388="Assembly Only",Settings!$B$7,0))</f>
        <v>0</v>
      </c>
      <c r="P388" s="14">
        <f t="shared" si="3"/>
        <v>0</v>
      </c>
      <c r="Q388" s="13">
        <f>IF(O388=0,0,MIN(1,L388/O388)*Settings!$B$5)</f>
        <v>0</v>
      </c>
      <c r="R388" s="16"/>
      <c r="S388" s="16"/>
      <c r="U388" s="7"/>
    </row>
    <row r="389" ht="15.75" customHeight="1">
      <c r="A389" s="15"/>
      <c r="B389" s="7"/>
      <c r="C389" s="7" t="str">
        <f t="array" ref="C389">IFERROR(INDEX('Order Planning'!$C$5:$C$204,MATCH(B389,'Order Planning'!$A$5:$A$204,0)),"")</f>
        <v/>
      </c>
      <c r="D389" s="7" t="str">
        <f t="array" ref="D389">IFERROR(INDEX('Order Planning'!$E$5:$E$204,MATCH(B389,'Order Planning'!$A$5:$A$204,0)),"")</f>
        <v/>
      </c>
      <c r="E389" s="7" t="str">
        <f t="array" ref="E389">IFERROR(INDEX('Order Planning'!$F$5:$F$204,MATCH(B389,'Order Planning'!$A$5:$A$204,0)),"")</f>
        <v/>
      </c>
      <c r="F389" s="7"/>
      <c r="G389" s="7"/>
      <c r="L389" s="7">
        <f t="shared" si="1"/>
        <v>0</v>
      </c>
      <c r="M389" s="14">
        <f t="shared" si="2"/>
        <v>0</v>
      </c>
      <c r="N389" s="7"/>
      <c r="O389" s="7">
        <f>IF(N389="Full Process",Settings!$B$6,IF(N389="Assembly Only",Settings!$B$7,0))</f>
        <v>0</v>
      </c>
      <c r="P389" s="14">
        <f t="shared" si="3"/>
        <v>0</v>
      </c>
      <c r="Q389" s="13">
        <f>IF(O389=0,0,MIN(1,L389/O389)*Settings!$B$5)</f>
        <v>0</v>
      </c>
      <c r="R389" s="16"/>
      <c r="S389" s="16"/>
      <c r="U389" s="7"/>
    </row>
    <row r="390" ht="15.75" customHeight="1">
      <c r="A390" s="15"/>
      <c r="B390" s="7"/>
      <c r="C390" s="7" t="str">
        <f t="array" ref="C390">IFERROR(INDEX('Order Planning'!$C$5:$C$204,MATCH(B390,'Order Planning'!$A$5:$A$204,0)),"")</f>
        <v/>
      </c>
      <c r="D390" s="7" t="str">
        <f t="array" ref="D390">IFERROR(INDEX('Order Planning'!$E$5:$E$204,MATCH(B390,'Order Planning'!$A$5:$A$204,0)),"")</f>
        <v/>
      </c>
      <c r="E390" s="7" t="str">
        <f t="array" ref="E390">IFERROR(INDEX('Order Planning'!$F$5:$F$204,MATCH(B390,'Order Planning'!$A$5:$A$204,0)),"")</f>
        <v/>
      </c>
      <c r="F390" s="7"/>
      <c r="G390" s="7"/>
      <c r="L390" s="7">
        <f t="shared" si="1"/>
        <v>0</v>
      </c>
      <c r="M390" s="14">
        <f t="shared" si="2"/>
        <v>0</v>
      </c>
      <c r="N390" s="7"/>
      <c r="O390" s="7">
        <f>IF(N390="Full Process",Settings!$B$6,IF(N390="Assembly Only",Settings!$B$7,0))</f>
        <v>0</v>
      </c>
      <c r="P390" s="14">
        <f t="shared" si="3"/>
        <v>0</v>
      </c>
      <c r="Q390" s="13">
        <f>IF(O390=0,0,MIN(1,L390/O390)*Settings!$B$5)</f>
        <v>0</v>
      </c>
      <c r="R390" s="16"/>
      <c r="S390" s="16"/>
      <c r="U390" s="7"/>
    </row>
    <row r="391" ht="15.75" customHeight="1">
      <c r="A391" s="15"/>
      <c r="B391" s="7"/>
      <c r="C391" s="7" t="str">
        <f t="array" ref="C391">IFERROR(INDEX('Order Planning'!$C$5:$C$204,MATCH(B391,'Order Planning'!$A$5:$A$204,0)),"")</f>
        <v/>
      </c>
      <c r="D391" s="7" t="str">
        <f t="array" ref="D391">IFERROR(INDEX('Order Planning'!$E$5:$E$204,MATCH(B391,'Order Planning'!$A$5:$A$204,0)),"")</f>
        <v/>
      </c>
      <c r="E391" s="7" t="str">
        <f t="array" ref="E391">IFERROR(INDEX('Order Planning'!$F$5:$F$204,MATCH(B391,'Order Planning'!$A$5:$A$204,0)),"")</f>
        <v/>
      </c>
      <c r="F391" s="7"/>
      <c r="G391" s="7"/>
      <c r="L391" s="7">
        <f t="shared" si="1"/>
        <v>0</v>
      </c>
      <c r="M391" s="14">
        <f t="shared" si="2"/>
        <v>0</v>
      </c>
      <c r="N391" s="7"/>
      <c r="O391" s="7">
        <f>IF(N391="Full Process",Settings!$B$6,IF(N391="Assembly Only",Settings!$B$7,0))</f>
        <v>0</v>
      </c>
      <c r="P391" s="14">
        <f t="shared" si="3"/>
        <v>0</v>
      </c>
      <c r="Q391" s="13">
        <f>IF(O391=0,0,MIN(1,L391/O391)*Settings!$B$5)</f>
        <v>0</v>
      </c>
      <c r="R391" s="16"/>
      <c r="S391" s="16"/>
      <c r="U391" s="7"/>
    </row>
    <row r="392" ht="15.75" customHeight="1">
      <c r="A392" s="15"/>
      <c r="B392" s="7"/>
      <c r="C392" s="7" t="str">
        <f t="array" ref="C392">IFERROR(INDEX('Order Planning'!$C$5:$C$204,MATCH(B392,'Order Planning'!$A$5:$A$204,0)),"")</f>
        <v/>
      </c>
      <c r="D392" s="7" t="str">
        <f t="array" ref="D392">IFERROR(INDEX('Order Planning'!$E$5:$E$204,MATCH(B392,'Order Planning'!$A$5:$A$204,0)),"")</f>
        <v/>
      </c>
      <c r="E392" s="7" t="str">
        <f t="array" ref="E392">IFERROR(INDEX('Order Planning'!$F$5:$F$204,MATCH(B392,'Order Planning'!$A$5:$A$204,0)),"")</f>
        <v/>
      </c>
      <c r="F392" s="7"/>
      <c r="G392" s="7"/>
      <c r="L392" s="7">
        <f t="shared" si="1"/>
        <v>0</v>
      </c>
      <c r="M392" s="14">
        <f t="shared" si="2"/>
        <v>0</v>
      </c>
      <c r="N392" s="7"/>
      <c r="O392" s="7">
        <f>IF(N392="Full Process",Settings!$B$6,IF(N392="Assembly Only",Settings!$B$7,0))</f>
        <v>0</v>
      </c>
      <c r="P392" s="14">
        <f t="shared" si="3"/>
        <v>0</v>
      </c>
      <c r="Q392" s="13">
        <f>IF(O392=0,0,MIN(1,L392/O392)*Settings!$B$5)</f>
        <v>0</v>
      </c>
      <c r="R392" s="16"/>
      <c r="S392" s="16"/>
      <c r="U392" s="7"/>
    </row>
    <row r="393" ht="15.75" customHeight="1">
      <c r="A393" s="15"/>
      <c r="B393" s="7"/>
      <c r="C393" s="7" t="str">
        <f t="array" ref="C393">IFERROR(INDEX('Order Planning'!$C$5:$C$204,MATCH(B393,'Order Planning'!$A$5:$A$204,0)),"")</f>
        <v/>
      </c>
      <c r="D393" s="7" t="str">
        <f t="array" ref="D393">IFERROR(INDEX('Order Planning'!$E$5:$E$204,MATCH(B393,'Order Planning'!$A$5:$A$204,0)),"")</f>
        <v/>
      </c>
      <c r="E393" s="7" t="str">
        <f t="array" ref="E393">IFERROR(INDEX('Order Planning'!$F$5:$F$204,MATCH(B393,'Order Planning'!$A$5:$A$204,0)),"")</f>
        <v/>
      </c>
      <c r="F393" s="7"/>
      <c r="G393" s="7"/>
      <c r="L393" s="7">
        <f t="shared" si="1"/>
        <v>0</v>
      </c>
      <c r="M393" s="14">
        <f t="shared" si="2"/>
        <v>0</v>
      </c>
      <c r="N393" s="7"/>
      <c r="O393" s="7">
        <f>IF(N393="Full Process",Settings!$B$6,IF(N393="Assembly Only",Settings!$B$7,0))</f>
        <v>0</v>
      </c>
      <c r="P393" s="14">
        <f t="shared" si="3"/>
        <v>0</v>
      </c>
      <c r="Q393" s="13">
        <f>IF(O393=0,0,MIN(1,L393/O393)*Settings!$B$5)</f>
        <v>0</v>
      </c>
      <c r="R393" s="16"/>
      <c r="S393" s="16"/>
      <c r="U393" s="7"/>
    </row>
    <row r="394" ht="15.75" customHeight="1">
      <c r="A394" s="15"/>
      <c r="B394" s="7"/>
      <c r="C394" s="7" t="str">
        <f t="array" ref="C394">IFERROR(INDEX('Order Planning'!$C$5:$C$204,MATCH(B394,'Order Planning'!$A$5:$A$204,0)),"")</f>
        <v/>
      </c>
      <c r="D394" s="7" t="str">
        <f t="array" ref="D394">IFERROR(INDEX('Order Planning'!$E$5:$E$204,MATCH(B394,'Order Planning'!$A$5:$A$204,0)),"")</f>
        <v/>
      </c>
      <c r="E394" s="7" t="str">
        <f t="array" ref="E394">IFERROR(INDEX('Order Planning'!$F$5:$F$204,MATCH(B394,'Order Planning'!$A$5:$A$204,0)),"")</f>
        <v/>
      </c>
      <c r="F394" s="7"/>
      <c r="G394" s="7"/>
      <c r="L394" s="7">
        <f t="shared" si="1"/>
        <v>0</v>
      </c>
      <c r="M394" s="14">
        <f t="shared" si="2"/>
        <v>0</v>
      </c>
      <c r="N394" s="7"/>
      <c r="O394" s="7">
        <f>IF(N394="Full Process",Settings!$B$6,IF(N394="Assembly Only",Settings!$B$7,0))</f>
        <v>0</v>
      </c>
      <c r="P394" s="14">
        <f t="shared" si="3"/>
        <v>0</v>
      </c>
      <c r="Q394" s="13">
        <f>IF(O394=0,0,MIN(1,L394/O394)*Settings!$B$5)</f>
        <v>0</v>
      </c>
      <c r="R394" s="16"/>
      <c r="S394" s="16"/>
      <c r="U394" s="7"/>
    </row>
    <row r="395" ht="15.75" customHeight="1">
      <c r="A395" s="15"/>
      <c r="B395" s="7"/>
      <c r="C395" s="7" t="str">
        <f t="array" ref="C395">IFERROR(INDEX('Order Planning'!$C$5:$C$204,MATCH(B395,'Order Planning'!$A$5:$A$204,0)),"")</f>
        <v/>
      </c>
      <c r="D395" s="7" t="str">
        <f t="array" ref="D395">IFERROR(INDEX('Order Planning'!$E$5:$E$204,MATCH(B395,'Order Planning'!$A$5:$A$204,0)),"")</f>
        <v/>
      </c>
      <c r="E395" s="7" t="str">
        <f t="array" ref="E395">IFERROR(INDEX('Order Planning'!$F$5:$F$204,MATCH(B395,'Order Planning'!$A$5:$A$204,0)),"")</f>
        <v/>
      </c>
      <c r="F395" s="7"/>
      <c r="G395" s="7"/>
      <c r="L395" s="7">
        <f t="shared" si="1"/>
        <v>0</v>
      </c>
      <c r="M395" s="14">
        <f t="shared" si="2"/>
        <v>0</v>
      </c>
      <c r="N395" s="7"/>
      <c r="O395" s="7">
        <f>IF(N395="Full Process",Settings!$B$6,IF(N395="Assembly Only",Settings!$B$7,0))</f>
        <v>0</v>
      </c>
      <c r="P395" s="14">
        <f t="shared" si="3"/>
        <v>0</v>
      </c>
      <c r="Q395" s="13">
        <f>IF(O395=0,0,MIN(1,L395/O395)*Settings!$B$5)</f>
        <v>0</v>
      </c>
      <c r="R395" s="16"/>
      <c r="S395" s="16"/>
      <c r="U395" s="7"/>
    </row>
    <row r="396" ht="15.75" customHeight="1">
      <c r="A396" s="15"/>
      <c r="B396" s="7"/>
      <c r="C396" s="7" t="str">
        <f t="array" ref="C396">IFERROR(INDEX('Order Planning'!$C$5:$C$204,MATCH(B396,'Order Planning'!$A$5:$A$204,0)),"")</f>
        <v/>
      </c>
      <c r="D396" s="7" t="str">
        <f t="array" ref="D396">IFERROR(INDEX('Order Planning'!$E$5:$E$204,MATCH(B396,'Order Planning'!$A$5:$A$204,0)),"")</f>
        <v/>
      </c>
      <c r="E396" s="7" t="str">
        <f t="array" ref="E396">IFERROR(INDEX('Order Planning'!$F$5:$F$204,MATCH(B396,'Order Planning'!$A$5:$A$204,0)),"")</f>
        <v/>
      </c>
      <c r="F396" s="7"/>
      <c r="G396" s="7"/>
      <c r="L396" s="7">
        <f t="shared" si="1"/>
        <v>0</v>
      </c>
      <c r="M396" s="14">
        <f t="shared" si="2"/>
        <v>0</v>
      </c>
      <c r="N396" s="7"/>
      <c r="O396" s="7">
        <f>IF(N396="Full Process",Settings!$B$6,IF(N396="Assembly Only",Settings!$B$7,0))</f>
        <v>0</v>
      </c>
      <c r="P396" s="14">
        <f t="shared" si="3"/>
        <v>0</v>
      </c>
      <c r="Q396" s="13">
        <f>IF(O396=0,0,MIN(1,L396/O396)*Settings!$B$5)</f>
        <v>0</v>
      </c>
      <c r="R396" s="16"/>
      <c r="S396" s="16"/>
      <c r="U396" s="7"/>
    </row>
    <row r="397" ht="15.75" customHeight="1">
      <c r="A397" s="15"/>
      <c r="B397" s="7"/>
      <c r="C397" s="7" t="str">
        <f t="array" ref="C397">IFERROR(INDEX('Order Planning'!$C$5:$C$204,MATCH(B397,'Order Planning'!$A$5:$A$204,0)),"")</f>
        <v/>
      </c>
      <c r="D397" s="7" t="str">
        <f t="array" ref="D397">IFERROR(INDEX('Order Planning'!$E$5:$E$204,MATCH(B397,'Order Planning'!$A$5:$A$204,0)),"")</f>
        <v/>
      </c>
      <c r="E397" s="7" t="str">
        <f t="array" ref="E397">IFERROR(INDEX('Order Planning'!$F$5:$F$204,MATCH(B397,'Order Planning'!$A$5:$A$204,0)),"")</f>
        <v/>
      </c>
      <c r="F397" s="7"/>
      <c r="G397" s="7"/>
      <c r="L397" s="7">
        <f t="shared" si="1"/>
        <v>0</v>
      </c>
      <c r="M397" s="14">
        <f t="shared" si="2"/>
        <v>0</v>
      </c>
      <c r="N397" s="7"/>
      <c r="O397" s="7">
        <f>IF(N397="Full Process",Settings!$B$6,IF(N397="Assembly Only",Settings!$B$7,0))</f>
        <v>0</v>
      </c>
      <c r="P397" s="14">
        <f t="shared" si="3"/>
        <v>0</v>
      </c>
      <c r="Q397" s="13">
        <f>IF(O397=0,0,MIN(1,L397/O397)*Settings!$B$5)</f>
        <v>0</v>
      </c>
      <c r="R397" s="16"/>
      <c r="S397" s="16"/>
      <c r="U397" s="7"/>
    </row>
    <row r="398" ht="15.75" customHeight="1">
      <c r="A398" s="15"/>
      <c r="B398" s="7"/>
      <c r="C398" s="7" t="str">
        <f t="array" ref="C398">IFERROR(INDEX('Order Planning'!$C$5:$C$204,MATCH(B398,'Order Planning'!$A$5:$A$204,0)),"")</f>
        <v/>
      </c>
      <c r="D398" s="7" t="str">
        <f t="array" ref="D398">IFERROR(INDEX('Order Planning'!$E$5:$E$204,MATCH(B398,'Order Planning'!$A$5:$A$204,0)),"")</f>
        <v/>
      </c>
      <c r="E398" s="7" t="str">
        <f t="array" ref="E398">IFERROR(INDEX('Order Planning'!$F$5:$F$204,MATCH(B398,'Order Planning'!$A$5:$A$204,0)),"")</f>
        <v/>
      </c>
      <c r="F398" s="7"/>
      <c r="G398" s="7"/>
      <c r="L398" s="7">
        <f t="shared" si="1"/>
        <v>0</v>
      </c>
      <c r="M398" s="14">
        <f t="shared" si="2"/>
        <v>0</v>
      </c>
      <c r="N398" s="7"/>
      <c r="O398" s="7">
        <f>IF(N398="Full Process",Settings!$B$6,IF(N398="Assembly Only",Settings!$B$7,0))</f>
        <v>0</v>
      </c>
      <c r="P398" s="14">
        <f t="shared" si="3"/>
        <v>0</v>
      </c>
      <c r="Q398" s="13">
        <f>IF(O398=0,0,MIN(1,L398/O398)*Settings!$B$5)</f>
        <v>0</v>
      </c>
      <c r="R398" s="16"/>
      <c r="S398" s="16"/>
      <c r="U398" s="7"/>
    </row>
    <row r="399" ht="15.75" customHeight="1">
      <c r="A399" s="15"/>
      <c r="B399" s="7"/>
      <c r="C399" s="7" t="str">
        <f t="array" ref="C399">IFERROR(INDEX('Order Planning'!$C$5:$C$204,MATCH(B399,'Order Planning'!$A$5:$A$204,0)),"")</f>
        <v/>
      </c>
      <c r="D399" s="7" t="str">
        <f t="array" ref="D399">IFERROR(INDEX('Order Planning'!$E$5:$E$204,MATCH(B399,'Order Planning'!$A$5:$A$204,0)),"")</f>
        <v/>
      </c>
      <c r="E399" s="7" t="str">
        <f t="array" ref="E399">IFERROR(INDEX('Order Planning'!$F$5:$F$204,MATCH(B399,'Order Planning'!$A$5:$A$204,0)),"")</f>
        <v/>
      </c>
      <c r="F399" s="7"/>
      <c r="G399" s="7"/>
      <c r="L399" s="7">
        <f t="shared" si="1"/>
        <v>0</v>
      </c>
      <c r="M399" s="14">
        <f t="shared" si="2"/>
        <v>0</v>
      </c>
      <c r="N399" s="7"/>
      <c r="O399" s="7">
        <f>IF(N399="Full Process",Settings!$B$6,IF(N399="Assembly Only",Settings!$B$7,0))</f>
        <v>0</v>
      </c>
      <c r="P399" s="14">
        <f t="shared" si="3"/>
        <v>0</v>
      </c>
      <c r="Q399" s="13">
        <f>IF(O399=0,0,MIN(1,L399/O399)*Settings!$B$5)</f>
        <v>0</v>
      </c>
      <c r="R399" s="16"/>
      <c r="S399" s="16"/>
      <c r="U399" s="7"/>
    </row>
    <row r="400" ht="15.75" customHeight="1">
      <c r="A400" s="15"/>
      <c r="B400" s="7"/>
      <c r="C400" s="7" t="str">
        <f t="array" ref="C400">IFERROR(INDEX('Order Planning'!$C$5:$C$204,MATCH(B400,'Order Planning'!$A$5:$A$204,0)),"")</f>
        <v/>
      </c>
      <c r="D400" s="7" t="str">
        <f t="array" ref="D400">IFERROR(INDEX('Order Planning'!$E$5:$E$204,MATCH(B400,'Order Planning'!$A$5:$A$204,0)),"")</f>
        <v/>
      </c>
      <c r="E400" s="7" t="str">
        <f t="array" ref="E400">IFERROR(INDEX('Order Planning'!$F$5:$F$204,MATCH(B400,'Order Planning'!$A$5:$A$204,0)),"")</f>
        <v/>
      </c>
      <c r="F400" s="7"/>
      <c r="G400" s="7"/>
      <c r="L400" s="7">
        <f t="shared" si="1"/>
        <v>0</v>
      </c>
      <c r="M400" s="14">
        <f t="shared" si="2"/>
        <v>0</v>
      </c>
      <c r="N400" s="7"/>
      <c r="O400" s="7">
        <f>IF(N400="Full Process",Settings!$B$6,IF(N400="Assembly Only",Settings!$B$7,0))</f>
        <v>0</v>
      </c>
      <c r="P400" s="14">
        <f t="shared" si="3"/>
        <v>0</v>
      </c>
      <c r="Q400" s="13">
        <f>IF(O400=0,0,MIN(1,L400/O400)*Settings!$B$5)</f>
        <v>0</v>
      </c>
      <c r="R400" s="16"/>
      <c r="S400" s="16"/>
      <c r="U400" s="7"/>
    </row>
    <row r="401" ht="15.75" customHeight="1">
      <c r="A401" s="15"/>
      <c r="B401" s="7"/>
      <c r="C401" s="7" t="str">
        <f t="array" ref="C401">IFERROR(INDEX('Order Planning'!$C$5:$C$204,MATCH(B401,'Order Planning'!$A$5:$A$204,0)),"")</f>
        <v/>
      </c>
      <c r="D401" s="7" t="str">
        <f t="array" ref="D401">IFERROR(INDEX('Order Planning'!$E$5:$E$204,MATCH(B401,'Order Planning'!$A$5:$A$204,0)),"")</f>
        <v/>
      </c>
      <c r="E401" s="7" t="str">
        <f t="array" ref="E401">IFERROR(INDEX('Order Planning'!$F$5:$F$204,MATCH(B401,'Order Planning'!$A$5:$A$204,0)),"")</f>
        <v/>
      </c>
      <c r="F401" s="7"/>
      <c r="G401" s="7"/>
      <c r="L401" s="7">
        <f t="shared" si="1"/>
        <v>0</v>
      </c>
      <c r="M401" s="14">
        <f t="shared" si="2"/>
        <v>0</v>
      </c>
      <c r="N401" s="7"/>
      <c r="O401" s="7">
        <f>IF(N401="Full Process",Settings!$B$6,IF(N401="Assembly Only",Settings!$B$7,0))</f>
        <v>0</v>
      </c>
      <c r="P401" s="14">
        <f t="shared" si="3"/>
        <v>0</v>
      </c>
      <c r="Q401" s="13">
        <f>IF(O401=0,0,MIN(1,L401/O401)*Settings!$B$5)</f>
        <v>0</v>
      </c>
      <c r="R401" s="16"/>
      <c r="S401" s="16"/>
      <c r="U401" s="7"/>
    </row>
    <row r="402" ht="15.75" customHeight="1">
      <c r="A402" s="15"/>
      <c r="B402" s="7"/>
      <c r="C402" s="7" t="str">
        <f t="array" ref="C402">IFERROR(INDEX('Order Planning'!$C$5:$C$204,MATCH(B402,'Order Planning'!$A$5:$A$204,0)),"")</f>
        <v/>
      </c>
      <c r="D402" s="7" t="str">
        <f t="array" ref="D402">IFERROR(INDEX('Order Planning'!$E$5:$E$204,MATCH(B402,'Order Planning'!$A$5:$A$204,0)),"")</f>
        <v/>
      </c>
      <c r="E402" s="7" t="str">
        <f t="array" ref="E402">IFERROR(INDEX('Order Planning'!$F$5:$F$204,MATCH(B402,'Order Planning'!$A$5:$A$204,0)),"")</f>
        <v/>
      </c>
      <c r="F402" s="7"/>
      <c r="G402" s="7"/>
      <c r="L402" s="7">
        <f t="shared" si="1"/>
        <v>0</v>
      </c>
      <c r="M402" s="14">
        <f t="shared" si="2"/>
        <v>0</v>
      </c>
      <c r="N402" s="7"/>
      <c r="O402" s="7">
        <f>IF(N402="Full Process",Settings!$B$6,IF(N402="Assembly Only",Settings!$B$7,0))</f>
        <v>0</v>
      </c>
      <c r="P402" s="14">
        <f t="shared" si="3"/>
        <v>0</v>
      </c>
      <c r="Q402" s="13">
        <f>IF(O402=0,0,MIN(1,L402/O402)*Settings!$B$5)</f>
        <v>0</v>
      </c>
      <c r="R402" s="16"/>
      <c r="S402" s="16"/>
      <c r="U402" s="7"/>
    </row>
    <row r="403" ht="15.75" customHeight="1">
      <c r="A403" s="15"/>
      <c r="B403" s="7"/>
      <c r="C403" s="7" t="str">
        <f t="array" ref="C403">IFERROR(INDEX('Order Planning'!$C$5:$C$204,MATCH(B403,'Order Planning'!$A$5:$A$204,0)),"")</f>
        <v/>
      </c>
      <c r="D403" s="7" t="str">
        <f t="array" ref="D403">IFERROR(INDEX('Order Planning'!$E$5:$E$204,MATCH(B403,'Order Planning'!$A$5:$A$204,0)),"")</f>
        <v/>
      </c>
      <c r="E403" s="7" t="str">
        <f t="array" ref="E403">IFERROR(INDEX('Order Planning'!$F$5:$F$204,MATCH(B403,'Order Planning'!$A$5:$A$204,0)),"")</f>
        <v/>
      </c>
      <c r="F403" s="7"/>
      <c r="G403" s="7"/>
      <c r="L403" s="7">
        <f t="shared" si="1"/>
        <v>0</v>
      </c>
      <c r="M403" s="14">
        <f t="shared" si="2"/>
        <v>0</v>
      </c>
      <c r="N403" s="7"/>
      <c r="O403" s="7">
        <f>IF(N403="Full Process",Settings!$B$6,IF(N403="Assembly Only",Settings!$B$7,0))</f>
        <v>0</v>
      </c>
      <c r="P403" s="14">
        <f t="shared" si="3"/>
        <v>0</v>
      </c>
      <c r="Q403" s="13">
        <f>IF(O403=0,0,MIN(1,L403/O403)*Settings!$B$5)</f>
        <v>0</v>
      </c>
      <c r="R403" s="16"/>
      <c r="S403" s="16"/>
      <c r="U403" s="7"/>
    </row>
    <row r="404" ht="15.75" customHeight="1">
      <c r="A404" s="15"/>
      <c r="B404" s="7"/>
      <c r="C404" s="7" t="str">
        <f t="array" ref="C404">IFERROR(INDEX('Order Planning'!$C$5:$C$204,MATCH(B404,'Order Planning'!$A$5:$A$204,0)),"")</f>
        <v/>
      </c>
      <c r="D404" s="7" t="str">
        <f t="array" ref="D404">IFERROR(INDEX('Order Planning'!$E$5:$E$204,MATCH(B404,'Order Planning'!$A$5:$A$204,0)),"")</f>
        <v/>
      </c>
      <c r="E404" s="7" t="str">
        <f t="array" ref="E404">IFERROR(INDEX('Order Planning'!$F$5:$F$204,MATCH(B404,'Order Planning'!$A$5:$A$204,0)),"")</f>
        <v/>
      </c>
      <c r="F404" s="7"/>
      <c r="G404" s="7"/>
      <c r="L404" s="7">
        <f t="shared" si="1"/>
        <v>0</v>
      </c>
      <c r="M404" s="14">
        <f t="shared" si="2"/>
        <v>0</v>
      </c>
      <c r="N404" s="7"/>
      <c r="O404" s="7">
        <f>IF(N404="Full Process",Settings!$B$6,IF(N404="Assembly Only",Settings!$B$7,0))</f>
        <v>0</v>
      </c>
      <c r="P404" s="14">
        <f t="shared" si="3"/>
        <v>0</v>
      </c>
      <c r="Q404" s="13">
        <f>IF(O404=0,0,MIN(1,L404/O404)*Settings!$B$5)</f>
        <v>0</v>
      </c>
      <c r="R404" s="16"/>
      <c r="S404" s="16"/>
      <c r="U404" s="7"/>
    </row>
    <row r="405" ht="15.75" customHeight="1">
      <c r="A405" s="15"/>
      <c r="B405" s="7"/>
      <c r="C405" s="7" t="str">
        <f t="array" ref="C405">IFERROR(INDEX('Order Planning'!$C$5:$C$204,MATCH(B405,'Order Planning'!$A$5:$A$204,0)),"")</f>
        <v/>
      </c>
      <c r="D405" s="7" t="str">
        <f t="array" ref="D405">IFERROR(INDEX('Order Planning'!$E$5:$E$204,MATCH(B405,'Order Planning'!$A$5:$A$204,0)),"")</f>
        <v/>
      </c>
      <c r="E405" s="7" t="str">
        <f t="array" ref="E405">IFERROR(INDEX('Order Planning'!$F$5:$F$204,MATCH(B405,'Order Planning'!$A$5:$A$204,0)),"")</f>
        <v/>
      </c>
      <c r="F405" s="7"/>
      <c r="G405" s="7"/>
      <c r="L405" s="7">
        <f t="shared" si="1"/>
        <v>0</v>
      </c>
      <c r="M405" s="14">
        <f t="shared" si="2"/>
        <v>0</v>
      </c>
      <c r="N405" s="7"/>
      <c r="O405" s="7">
        <f>IF(N405="Full Process",Settings!$B$6,IF(N405="Assembly Only",Settings!$B$7,0))</f>
        <v>0</v>
      </c>
      <c r="P405" s="14">
        <f t="shared" si="3"/>
        <v>0</v>
      </c>
      <c r="Q405" s="13">
        <f>IF(O405=0,0,MIN(1,L405/O405)*Settings!$B$5)</f>
        <v>0</v>
      </c>
      <c r="R405" s="16"/>
      <c r="S405" s="16"/>
      <c r="U405" s="7"/>
    </row>
    <row r="406" ht="15.75" customHeight="1">
      <c r="A406" s="15"/>
      <c r="B406" s="7"/>
      <c r="C406" s="7" t="str">
        <f t="array" ref="C406">IFERROR(INDEX('Order Planning'!$C$5:$C$204,MATCH(B406,'Order Planning'!$A$5:$A$204,0)),"")</f>
        <v/>
      </c>
      <c r="D406" s="7" t="str">
        <f t="array" ref="D406">IFERROR(INDEX('Order Planning'!$E$5:$E$204,MATCH(B406,'Order Planning'!$A$5:$A$204,0)),"")</f>
        <v/>
      </c>
      <c r="E406" s="7" t="str">
        <f t="array" ref="E406">IFERROR(INDEX('Order Planning'!$F$5:$F$204,MATCH(B406,'Order Planning'!$A$5:$A$204,0)),"")</f>
        <v/>
      </c>
      <c r="F406" s="7"/>
      <c r="G406" s="7"/>
      <c r="L406" s="7">
        <f t="shared" si="1"/>
        <v>0</v>
      </c>
      <c r="M406" s="14">
        <f t="shared" si="2"/>
        <v>0</v>
      </c>
      <c r="N406" s="7"/>
      <c r="O406" s="7">
        <f>IF(N406="Full Process",Settings!$B$6,IF(N406="Assembly Only",Settings!$B$7,0))</f>
        <v>0</v>
      </c>
      <c r="P406" s="14">
        <f t="shared" si="3"/>
        <v>0</v>
      </c>
      <c r="Q406" s="13">
        <f>IF(O406=0,0,MIN(1,L406/O406)*Settings!$B$5)</f>
        <v>0</v>
      </c>
      <c r="R406" s="16"/>
      <c r="S406" s="16"/>
      <c r="U406" s="7"/>
    </row>
    <row r="407" ht="15.75" customHeight="1">
      <c r="A407" s="15"/>
      <c r="B407" s="7"/>
      <c r="C407" s="7" t="str">
        <f t="array" ref="C407">IFERROR(INDEX('Order Planning'!$C$5:$C$204,MATCH(B407,'Order Planning'!$A$5:$A$204,0)),"")</f>
        <v/>
      </c>
      <c r="D407" s="7" t="str">
        <f t="array" ref="D407">IFERROR(INDEX('Order Planning'!$E$5:$E$204,MATCH(B407,'Order Planning'!$A$5:$A$204,0)),"")</f>
        <v/>
      </c>
      <c r="E407" s="7" t="str">
        <f t="array" ref="E407">IFERROR(INDEX('Order Planning'!$F$5:$F$204,MATCH(B407,'Order Planning'!$A$5:$A$204,0)),"")</f>
        <v/>
      </c>
      <c r="F407" s="7"/>
      <c r="G407" s="7"/>
      <c r="L407" s="7">
        <f t="shared" si="1"/>
        <v>0</v>
      </c>
      <c r="M407" s="14">
        <f t="shared" si="2"/>
        <v>0</v>
      </c>
      <c r="N407" s="7"/>
      <c r="O407" s="7">
        <f>IF(N407="Full Process",Settings!$B$6,IF(N407="Assembly Only",Settings!$B$7,0))</f>
        <v>0</v>
      </c>
      <c r="P407" s="14">
        <f t="shared" si="3"/>
        <v>0</v>
      </c>
      <c r="Q407" s="13">
        <f>IF(O407=0,0,MIN(1,L407/O407)*Settings!$B$5)</f>
        <v>0</v>
      </c>
      <c r="R407" s="16"/>
      <c r="S407" s="16"/>
      <c r="U407" s="7"/>
    </row>
    <row r="408" ht="15.75" customHeight="1">
      <c r="A408" s="15"/>
      <c r="B408" s="7"/>
      <c r="C408" s="7" t="str">
        <f t="array" ref="C408">IFERROR(INDEX('Order Planning'!$C$5:$C$204,MATCH(B408,'Order Planning'!$A$5:$A$204,0)),"")</f>
        <v/>
      </c>
      <c r="D408" s="7" t="str">
        <f t="array" ref="D408">IFERROR(INDEX('Order Planning'!$E$5:$E$204,MATCH(B408,'Order Planning'!$A$5:$A$204,0)),"")</f>
        <v/>
      </c>
      <c r="E408" s="7" t="str">
        <f t="array" ref="E408">IFERROR(INDEX('Order Planning'!$F$5:$F$204,MATCH(B408,'Order Planning'!$A$5:$A$204,0)),"")</f>
        <v/>
      </c>
      <c r="F408" s="7"/>
      <c r="G408" s="7"/>
      <c r="L408" s="7">
        <f t="shared" si="1"/>
        <v>0</v>
      </c>
      <c r="M408" s="14">
        <f t="shared" si="2"/>
        <v>0</v>
      </c>
      <c r="N408" s="7"/>
      <c r="O408" s="7">
        <f>IF(N408="Full Process",Settings!$B$6,IF(N408="Assembly Only",Settings!$B$7,0))</f>
        <v>0</v>
      </c>
      <c r="P408" s="14">
        <f t="shared" si="3"/>
        <v>0</v>
      </c>
      <c r="Q408" s="13">
        <f>IF(O408=0,0,MIN(1,L408/O408)*Settings!$B$5)</f>
        <v>0</v>
      </c>
      <c r="R408" s="16"/>
      <c r="S408" s="16"/>
      <c r="U408" s="7"/>
    </row>
    <row r="409" ht="15.75" customHeight="1">
      <c r="A409" s="15"/>
      <c r="B409" s="7"/>
      <c r="C409" s="7" t="str">
        <f t="array" ref="C409">IFERROR(INDEX('Order Planning'!$C$5:$C$204,MATCH(B409,'Order Planning'!$A$5:$A$204,0)),"")</f>
        <v/>
      </c>
      <c r="D409" s="7" t="str">
        <f t="array" ref="D409">IFERROR(INDEX('Order Planning'!$E$5:$E$204,MATCH(B409,'Order Planning'!$A$5:$A$204,0)),"")</f>
        <v/>
      </c>
      <c r="E409" s="7" t="str">
        <f t="array" ref="E409">IFERROR(INDEX('Order Planning'!$F$5:$F$204,MATCH(B409,'Order Planning'!$A$5:$A$204,0)),"")</f>
        <v/>
      </c>
      <c r="F409" s="7"/>
      <c r="G409" s="7"/>
      <c r="L409" s="7">
        <f t="shared" si="1"/>
        <v>0</v>
      </c>
      <c r="M409" s="14">
        <f t="shared" si="2"/>
        <v>0</v>
      </c>
      <c r="N409" s="7"/>
      <c r="O409" s="7">
        <f>IF(N409="Full Process",Settings!$B$6,IF(N409="Assembly Only",Settings!$B$7,0))</f>
        <v>0</v>
      </c>
      <c r="P409" s="14">
        <f t="shared" si="3"/>
        <v>0</v>
      </c>
      <c r="Q409" s="13">
        <f>IF(O409=0,0,MIN(1,L409/O409)*Settings!$B$5)</f>
        <v>0</v>
      </c>
      <c r="R409" s="16"/>
      <c r="S409" s="16"/>
      <c r="U409" s="7"/>
    </row>
    <row r="410" ht="15.75" customHeight="1">
      <c r="A410" s="15"/>
      <c r="B410" s="7"/>
      <c r="C410" s="7" t="str">
        <f t="array" ref="C410">IFERROR(INDEX('Order Planning'!$C$5:$C$204,MATCH(B410,'Order Planning'!$A$5:$A$204,0)),"")</f>
        <v/>
      </c>
      <c r="D410" s="7" t="str">
        <f t="array" ref="D410">IFERROR(INDEX('Order Planning'!$E$5:$E$204,MATCH(B410,'Order Planning'!$A$5:$A$204,0)),"")</f>
        <v/>
      </c>
      <c r="E410" s="7" t="str">
        <f t="array" ref="E410">IFERROR(INDEX('Order Planning'!$F$5:$F$204,MATCH(B410,'Order Planning'!$A$5:$A$204,0)),"")</f>
        <v/>
      </c>
      <c r="F410" s="7"/>
      <c r="G410" s="7"/>
      <c r="L410" s="7">
        <f t="shared" si="1"/>
        <v>0</v>
      </c>
      <c r="M410" s="14">
        <f t="shared" si="2"/>
        <v>0</v>
      </c>
      <c r="N410" s="7"/>
      <c r="O410" s="7">
        <f>IF(N410="Full Process",Settings!$B$6,IF(N410="Assembly Only",Settings!$B$7,0))</f>
        <v>0</v>
      </c>
      <c r="P410" s="14">
        <f t="shared" si="3"/>
        <v>0</v>
      </c>
      <c r="Q410" s="13">
        <f>IF(O410=0,0,MIN(1,L410/O410)*Settings!$B$5)</f>
        <v>0</v>
      </c>
      <c r="R410" s="16"/>
      <c r="S410" s="16"/>
      <c r="U410" s="7"/>
    </row>
    <row r="411" ht="15.75" customHeight="1">
      <c r="A411" s="15"/>
      <c r="B411" s="7"/>
      <c r="C411" s="7" t="str">
        <f t="array" ref="C411">IFERROR(INDEX('Order Planning'!$C$5:$C$204,MATCH(B411,'Order Planning'!$A$5:$A$204,0)),"")</f>
        <v/>
      </c>
      <c r="D411" s="7" t="str">
        <f t="array" ref="D411">IFERROR(INDEX('Order Planning'!$E$5:$E$204,MATCH(B411,'Order Planning'!$A$5:$A$204,0)),"")</f>
        <v/>
      </c>
      <c r="E411" s="7" t="str">
        <f t="array" ref="E411">IFERROR(INDEX('Order Planning'!$F$5:$F$204,MATCH(B411,'Order Planning'!$A$5:$A$204,0)),"")</f>
        <v/>
      </c>
      <c r="F411" s="7"/>
      <c r="G411" s="7"/>
      <c r="L411" s="7">
        <f t="shared" si="1"/>
        <v>0</v>
      </c>
      <c r="M411" s="14">
        <f t="shared" si="2"/>
        <v>0</v>
      </c>
      <c r="N411" s="7"/>
      <c r="O411" s="7">
        <f>IF(N411="Full Process",Settings!$B$6,IF(N411="Assembly Only",Settings!$B$7,0))</f>
        <v>0</v>
      </c>
      <c r="P411" s="14">
        <f t="shared" si="3"/>
        <v>0</v>
      </c>
      <c r="Q411" s="13">
        <f>IF(O411=0,0,MIN(1,L411/O411)*Settings!$B$5)</f>
        <v>0</v>
      </c>
      <c r="R411" s="16"/>
      <c r="S411" s="16"/>
      <c r="U411" s="7"/>
    </row>
    <row r="412" ht="15.75" customHeight="1">
      <c r="A412" s="15"/>
      <c r="B412" s="7"/>
      <c r="C412" s="7" t="str">
        <f t="array" ref="C412">IFERROR(INDEX('Order Planning'!$C$5:$C$204,MATCH(B412,'Order Planning'!$A$5:$A$204,0)),"")</f>
        <v/>
      </c>
      <c r="D412" s="7" t="str">
        <f t="array" ref="D412">IFERROR(INDEX('Order Planning'!$E$5:$E$204,MATCH(B412,'Order Planning'!$A$5:$A$204,0)),"")</f>
        <v/>
      </c>
      <c r="E412" s="7" t="str">
        <f t="array" ref="E412">IFERROR(INDEX('Order Planning'!$F$5:$F$204,MATCH(B412,'Order Planning'!$A$5:$A$204,0)),"")</f>
        <v/>
      </c>
      <c r="F412" s="7"/>
      <c r="G412" s="7"/>
      <c r="L412" s="7">
        <f t="shared" si="1"/>
        <v>0</v>
      </c>
      <c r="M412" s="14">
        <f t="shared" si="2"/>
        <v>0</v>
      </c>
      <c r="N412" s="7"/>
      <c r="O412" s="7">
        <f>IF(N412="Full Process",Settings!$B$6,IF(N412="Assembly Only",Settings!$B$7,0))</f>
        <v>0</v>
      </c>
      <c r="P412" s="14">
        <f t="shared" si="3"/>
        <v>0</v>
      </c>
      <c r="Q412" s="13">
        <f>IF(O412=0,0,MIN(1,L412/O412)*Settings!$B$5)</f>
        <v>0</v>
      </c>
      <c r="R412" s="16"/>
      <c r="S412" s="16"/>
      <c r="U412" s="7"/>
    </row>
    <row r="413" ht="15.75" customHeight="1">
      <c r="A413" s="15"/>
      <c r="B413" s="7"/>
      <c r="C413" s="7" t="str">
        <f t="array" ref="C413">IFERROR(INDEX('Order Planning'!$C$5:$C$204,MATCH(B413,'Order Planning'!$A$5:$A$204,0)),"")</f>
        <v/>
      </c>
      <c r="D413" s="7" t="str">
        <f t="array" ref="D413">IFERROR(INDEX('Order Planning'!$E$5:$E$204,MATCH(B413,'Order Planning'!$A$5:$A$204,0)),"")</f>
        <v/>
      </c>
      <c r="E413" s="7" t="str">
        <f t="array" ref="E413">IFERROR(INDEX('Order Planning'!$F$5:$F$204,MATCH(B413,'Order Planning'!$A$5:$A$204,0)),"")</f>
        <v/>
      </c>
      <c r="F413" s="7"/>
      <c r="G413" s="7"/>
      <c r="L413" s="7">
        <f t="shared" si="1"/>
        <v>0</v>
      </c>
      <c r="M413" s="14">
        <f t="shared" si="2"/>
        <v>0</v>
      </c>
      <c r="N413" s="7"/>
      <c r="O413" s="7">
        <f>IF(N413="Full Process",Settings!$B$6,IF(N413="Assembly Only",Settings!$B$7,0))</f>
        <v>0</v>
      </c>
      <c r="P413" s="14">
        <f t="shared" si="3"/>
        <v>0</v>
      </c>
      <c r="Q413" s="13">
        <f>IF(O413=0,0,MIN(1,L413/O413)*Settings!$B$5)</f>
        <v>0</v>
      </c>
      <c r="R413" s="16"/>
      <c r="S413" s="16"/>
      <c r="U413" s="7"/>
    </row>
    <row r="414" ht="15.75" customHeight="1">
      <c r="A414" s="15"/>
      <c r="B414" s="7"/>
      <c r="C414" s="7" t="str">
        <f t="array" ref="C414">IFERROR(INDEX('Order Planning'!$C$5:$C$204,MATCH(B414,'Order Planning'!$A$5:$A$204,0)),"")</f>
        <v/>
      </c>
      <c r="D414" s="7" t="str">
        <f t="array" ref="D414">IFERROR(INDEX('Order Planning'!$E$5:$E$204,MATCH(B414,'Order Planning'!$A$5:$A$204,0)),"")</f>
        <v/>
      </c>
      <c r="E414" s="7" t="str">
        <f t="array" ref="E414">IFERROR(INDEX('Order Planning'!$F$5:$F$204,MATCH(B414,'Order Planning'!$A$5:$A$204,0)),"")</f>
        <v/>
      </c>
      <c r="F414" s="7"/>
      <c r="G414" s="7"/>
      <c r="L414" s="7">
        <f t="shared" si="1"/>
        <v>0</v>
      </c>
      <c r="M414" s="14">
        <f t="shared" si="2"/>
        <v>0</v>
      </c>
      <c r="N414" s="7"/>
      <c r="O414" s="7">
        <f>IF(N414="Full Process",Settings!$B$6,IF(N414="Assembly Only",Settings!$B$7,0))</f>
        <v>0</v>
      </c>
      <c r="P414" s="14">
        <f t="shared" si="3"/>
        <v>0</v>
      </c>
      <c r="Q414" s="13">
        <f>IF(O414=0,0,MIN(1,L414/O414)*Settings!$B$5)</f>
        <v>0</v>
      </c>
      <c r="R414" s="16"/>
      <c r="S414" s="16"/>
      <c r="U414" s="7"/>
    </row>
    <row r="415" ht="15.75" customHeight="1">
      <c r="A415" s="15"/>
      <c r="B415" s="7"/>
      <c r="C415" s="7" t="str">
        <f t="array" ref="C415">IFERROR(INDEX('Order Planning'!$C$5:$C$204,MATCH(B415,'Order Planning'!$A$5:$A$204,0)),"")</f>
        <v/>
      </c>
      <c r="D415" s="7" t="str">
        <f t="array" ref="D415">IFERROR(INDEX('Order Planning'!$E$5:$E$204,MATCH(B415,'Order Planning'!$A$5:$A$204,0)),"")</f>
        <v/>
      </c>
      <c r="E415" s="7" t="str">
        <f t="array" ref="E415">IFERROR(INDEX('Order Planning'!$F$5:$F$204,MATCH(B415,'Order Planning'!$A$5:$A$204,0)),"")</f>
        <v/>
      </c>
      <c r="F415" s="7"/>
      <c r="G415" s="7"/>
      <c r="L415" s="7">
        <f t="shared" si="1"/>
        <v>0</v>
      </c>
      <c r="M415" s="14">
        <f t="shared" si="2"/>
        <v>0</v>
      </c>
      <c r="N415" s="7"/>
      <c r="O415" s="7">
        <f>IF(N415="Full Process",Settings!$B$6,IF(N415="Assembly Only",Settings!$B$7,0))</f>
        <v>0</v>
      </c>
      <c r="P415" s="14">
        <f t="shared" si="3"/>
        <v>0</v>
      </c>
      <c r="Q415" s="13">
        <f>IF(O415=0,0,MIN(1,L415/O415)*Settings!$B$5)</f>
        <v>0</v>
      </c>
      <c r="R415" s="16"/>
      <c r="S415" s="16"/>
      <c r="U415" s="7"/>
    </row>
    <row r="416" ht="15.75" customHeight="1">
      <c r="A416" s="15"/>
      <c r="B416" s="7"/>
      <c r="C416" s="7" t="str">
        <f t="array" ref="C416">IFERROR(INDEX('Order Planning'!$C$5:$C$204,MATCH(B416,'Order Planning'!$A$5:$A$204,0)),"")</f>
        <v/>
      </c>
      <c r="D416" s="7" t="str">
        <f t="array" ref="D416">IFERROR(INDEX('Order Planning'!$E$5:$E$204,MATCH(B416,'Order Planning'!$A$5:$A$204,0)),"")</f>
        <v/>
      </c>
      <c r="E416" s="7" t="str">
        <f t="array" ref="E416">IFERROR(INDEX('Order Planning'!$F$5:$F$204,MATCH(B416,'Order Planning'!$A$5:$A$204,0)),"")</f>
        <v/>
      </c>
      <c r="F416" s="7"/>
      <c r="G416" s="7"/>
      <c r="L416" s="7">
        <f t="shared" si="1"/>
        <v>0</v>
      </c>
      <c r="M416" s="14">
        <f t="shared" si="2"/>
        <v>0</v>
      </c>
      <c r="N416" s="7"/>
      <c r="O416" s="7">
        <f>IF(N416="Full Process",Settings!$B$6,IF(N416="Assembly Only",Settings!$B$7,0))</f>
        <v>0</v>
      </c>
      <c r="P416" s="14">
        <f t="shared" si="3"/>
        <v>0</v>
      </c>
      <c r="Q416" s="13">
        <f>IF(O416=0,0,MIN(1,L416/O416)*Settings!$B$5)</f>
        <v>0</v>
      </c>
      <c r="R416" s="16"/>
      <c r="S416" s="16"/>
      <c r="U416" s="7"/>
    </row>
    <row r="417" ht="15.75" customHeight="1">
      <c r="A417" s="15"/>
      <c r="B417" s="7"/>
      <c r="C417" s="7" t="str">
        <f t="array" ref="C417">IFERROR(INDEX('Order Planning'!$C$5:$C$204,MATCH(B417,'Order Planning'!$A$5:$A$204,0)),"")</f>
        <v/>
      </c>
      <c r="D417" s="7" t="str">
        <f t="array" ref="D417">IFERROR(INDEX('Order Planning'!$E$5:$E$204,MATCH(B417,'Order Planning'!$A$5:$A$204,0)),"")</f>
        <v/>
      </c>
      <c r="E417" s="7" t="str">
        <f t="array" ref="E417">IFERROR(INDEX('Order Planning'!$F$5:$F$204,MATCH(B417,'Order Planning'!$A$5:$A$204,0)),"")</f>
        <v/>
      </c>
      <c r="F417" s="7"/>
      <c r="G417" s="7"/>
      <c r="L417" s="7">
        <f t="shared" si="1"/>
        <v>0</v>
      </c>
      <c r="M417" s="14">
        <f t="shared" si="2"/>
        <v>0</v>
      </c>
      <c r="N417" s="7"/>
      <c r="O417" s="7">
        <f>IF(N417="Full Process",Settings!$B$6,IF(N417="Assembly Only",Settings!$B$7,0))</f>
        <v>0</v>
      </c>
      <c r="P417" s="14">
        <f t="shared" si="3"/>
        <v>0</v>
      </c>
      <c r="Q417" s="13">
        <f>IF(O417=0,0,MIN(1,L417/O417)*Settings!$B$5)</f>
        <v>0</v>
      </c>
      <c r="R417" s="16"/>
      <c r="S417" s="16"/>
      <c r="U417" s="7"/>
    </row>
    <row r="418" ht="15.75" customHeight="1">
      <c r="A418" s="15"/>
      <c r="B418" s="7"/>
      <c r="C418" s="7" t="str">
        <f t="array" ref="C418">IFERROR(INDEX('Order Planning'!$C$5:$C$204,MATCH(B418,'Order Planning'!$A$5:$A$204,0)),"")</f>
        <v/>
      </c>
      <c r="D418" s="7" t="str">
        <f t="array" ref="D418">IFERROR(INDEX('Order Planning'!$E$5:$E$204,MATCH(B418,'Order Planning'!$A$5:$A$204,0)),"")</f>
        <v/>
      </c>
      <c r="E418" s="7" t="str">
        <f t="array" ref="E418">IFERROR(INDEX('Order Planning'!$F$5:$F$204,MATCH(B418,'Order Planning'!$A$5:$A$204,0)),"")</f>
        <v/>
      </c>
      <c r="F418" s="7"/>
      <c r="G418" s="7"/>
      <c r="L418" s="7">
        <f t="shared" si="1"/>
        <v>0</v>
      </c>
      <c r="M418" s="14">
        <f t="shared" si="2"/>
        <v>0</v>
      </c>
      <c r="N418" s="7"/>
      <c r="O418" s="7">
        <f>IF(N418="Full Process",Settings!$B$6,IF(N418="Assembly Only",Settings!$B$7,0))</f>
        <v>0</v>
      </c>
      <c r="P418" s="14">
        <f t="shared" si="3"/>
        <v>0</v>
      </c>
      <c r="Q418" s="13">
        <f>IF(O418=0,0,MIN(1,L418/O418)*Settings!$B$5)</f>
        <v>0</v>
      </c>
      <c r="R418" s="16"/>
      <c r="S418" s="16"/>
      <c r="U418" s="7"/>
    </row>
    <row r="419" ht="15.75" customHeight="1">
      <c r="A419" s="15"/>
      <c r="B419" s="7"/>
      <c r="C419" s="7" t="str">
        <f t="array" ref="C419">IFERROR(INDEX('Order Planning'!$C$5:$C$204,MATCH(B419,'Order Planning'!$A$5:$A$204,0)),"")</f>
        <v/>
      </c>
      <c r="D419" s="7" t="str">
        <f t="array" ref="D419">IFERROR(INDEX('Order Planning'!$E$5:$E$204,MATCH(B419,'Order Planning'!$A$5:$A$204,0)),"")</f>
        <v/>
      </c>
      <c r="E419" s="7" t="str">
        <f t="array" ref="E419">IFERROR(INDEX('Order Planning'!$F$5:$F$204,MATCH(B419,'Order Planning'!$A$5:$A$204,0)),"")</f>
        <v/>
      </c>
      <c r="F419" s="7"/>
      <c r="G419" s="7"/>
      <c r="L419" s="7">
        <f t="shared" si="1"/>
        <v>0</v>
      </c>
      <c r="M419" s="14">
        <f t="shared" si="2"/>
        <v>0</v>
      </c>
      <c r="N419" s="7"/>
      <c r="O419" s="7">
        <f>IF(N419="Full Process",Settings!$B$6,IF(N419="Assembly Only",Settings!$B$7,0))</f>
        <v>0</v>
      </c>
      <c r="P419" s="14">
        <f t="shared" si="3"/>
        <v>0</v>
      </c>
      <c r="Q419" s="13">
        <f>IF(O419=0,0,MIN(1,L419/O419)*Settings!$B$5)</f>
        <v>0</v>
      </c>
      <c r="R419" s="16"/>
      <c r="S419" s="16"/>
      <c r="U419" s="7"/>
    </row>
    <row r="420" ht="15.75" customHeight="1">
      <c r="A420" s="15"/>
      <c r="B420" s="7"/>
      <c r="C420" s="7" t="str">
        <f t="array" ref="C420">IFERROR(INDEX('Order Planning'!$C$5:$C$204,MATCH(B420,'Order Planning'!$A$5:$A$204,0)),"")</f>
        <v/>
      </c>
      <c r="D420" s="7" t="str">
        <f t="array" ref="D420">IFERROR(INDEX('Order Planning'!$E$5:$E$204,MATCH(B420,'Order Planning'!$A$5:$A$204,0)),"")</f>
        <v/>
      </c>
      <c r="E420" s="7" t="str">
        <f t="array" ref="E420">IFERROR(INDEX('Order Planning'!$F$5:$F$204,MATCH(B420,'Order Planning'!$A$5:$A$204,0)),"")</f>
        <v/>
      </c>
      <c r="F420" s="7"/>
      <c r="G420" s="7"/>
      <c r="L420" s="7">
        <f t="shared" si="1"/>
        <v>0</v>
      </c>
      <c r="M420" s="14">
        <f t="shared" si="2"/>
        <v>0</v>
      </c>
      <c r="N420" s="7"/>
      <c r="O420" s="7">
        <f>IF(N420="Full Process",Settings!$B$6,IF(N420="Assembly Only",Settings!$B$7,0))</f>
        <v>0</v>
      </c>
      <c r="P420" s="14">
        <f t="shared" si="3"/>
        <v>0</v>
      </c>
      <c r="Q420" s="13">
        <f>IF(O420=0,0,MIN(1,L420/O420)*Settings!$B$5)</f>
        <v>0</v>
      </c>
      <c r="R420" s="16"/>
      <c r="S420" s="16"/>
      <c r="U420" s="7"/>
    </row>
    <row r="421" ht="15.75" customHeight="1">
      <c r="A421" s="15"/>
      <c r="B421" s="7"/>
      <c r="C421" s="7" t="str">
        <f t="array" ref="C421">IFERROR(INDEX('Order Planning'!$C$5:$C$204,MATCH(B421,'Order Planning'!$A$5:$A$204,0)),"")</f>
        <v/>
      </c>
      <c r="D421" s="7" t="str">
        <f t="array" ref="D421">IFERROR(INDEX('Order Planning'!$E$5:$E$204,MATCH(B421,'Order Planning'!$A$5:$A$204,0)),"")</f>
        <v/>
      </c>
      <c r="E421" s="7" t="str">
        <f t="array" ref="E421">IFERROR(INDEX('Order Planning'!$F$5:$F$204,MATCH(B421,'Order Planning'!$A$5:$A$204,0)),"")</f>
        <v/>
      </c>
      <c r="F421" s="7"/>
      <c r="G421" s="7"/>
      <c r="L421" s="7">
        <f t="shared" si="1"/>
        <v>0</v>
      </c>
      <c r="M421" s="14">
        <f t="shared" si="2"/>
        <v>0</v>
      </c>
      <c r="N421" s="7"/>
      <c r="O421" s="7">
        <f>IF(N421="Full Process",Settings!$B$6,IF(N421="Assembly Only",Settings!$B$7,0))</f>
        <v>0</v>
      </c>
      <c r="P421" s="14">
        <f t="shared" si="3"/>
        <v>0</v>
      </c>
      <c r="Q421" s="13">
        <f>IF(O421=0,0,MIN(1,L421/O421)*Settings!$B$5)</f>
        <v>0</v>
      </c>
      <c r="R421" s="16"/>
      <c r="S421" s="16"/>
      <c r="U421" s="7"/>
    </row>
    <row r="422" ht="15.75" customHeight="1">
      <c r="A422" s="15"/>
      <c r="B422" s="7"/>
      <c r="C422" s="7" t="str">
        <f t="array" ref="C422">IFERROR(INDEX('Order Planning'!$C$5:$C$204,MATCH(B422,'Order Planning'!$A$5:$A$204,0)),"")</f>
        <v/>
      </c>
      <c r="D422" s="7" t="str">
        <f t="array" ref="D422">IFERROR(INDEX('Order Planning'!$E$5:$E$204,MATCH(B422,'Order Planning'!$A$5:$A$204,0)),"")</f>
        <v/>
      </c>
      <c r="E422" s="7" t="str">
        <f t="array" ref="E422">IFERROR(INDEX('Order Planning'!$F$5:$F$204,MATCH(B422,'Order Planning'!$A$5:$A$204,0)),"")</f>
        <v/>
      </c>
      <c r="F422" s="7"/>
      <c r="G422" s="7"/>
      <c r="L422" s="7">
        <f t="shared" si="1"/>
        <v>0</v>
      </c>
      <c r="M422" s="14">
        <f t="shared" si="2"/>
        <v>0</v>
      </c>
      <c r="N422" s="7"/>
      <c r="O422" s="7">
        <f>IF(N422="Full Process",Settings!$B$6,IF(N422="Assembly Only",Settings!$B$7,0))</f>
        <v>0</v>
      </c>
      <c r="P422" s="14">
        <f t="shared" si="3"/>
        <v>0</v>
      </c>
      <c r="Q422" s="13">
        <f>IF(O422=0,0,MIN(1,L422/O422)*Settings!$B$5)</f>
        <v>0</v>
      </c>
      <c r="R422" s="16"/>
      <c r="S422" s="16"/>
      <c r="U422" s="7"/>
    </row>
    <row r="423" ht="15.75" customHeight="1">
      <c r="A423" s="15"/>
      <c r="B423" s="7"/>
      <c r="C423" s="7" t="str">
        <f t="array" ref="C423">IFERROR(INDEX('Order Planning'!$C$5:$C$204,MATCH(B423,'Order Planning'!$A$5:$A$204,0)),"")</f>
        <v/>
      </c>
      <c r="D423" s="7" t="str">
        <f t="array" ref="D423">IFERROR(INDEX('Order Planning'!$E$5:$E$204,MATCH(B423,'Order Planning'!$A$5:$A$204,0)),"")</f>
        <v/>
      </c>
      <c r="E423" s="7" t="str">
        <f t="array" ref="E423">IFERROR(INDEX('Order Planning'!$F$5:$F$204,MATCH(B423,'Order Planning'!$A$5:$A$204,0)),"")</f>
        <v/>
      </c>
      <c r="F423" s="7"/>
      <c r="G423" s="7"/>
      <c r="L423" s="7">
        <f t="shared" si="1"/>
        <v>0</v>
      </c>
      <c r="M423" s="14">
        <f t="shared" si="2"/>
        <v>0</v>
      </c>
      <c r="N423" s="7"/>
      <c r="O423" s="7">
        <f>IF(N423="Full Process",Settings!$B$6,IF(N423="Assembly Only",Settings!$B$7,0))</f>
        <v>0</v>
      </c>
      <c r="P423" s="14">
        <f t="shared" si="3"/>
        <v>0</v>
      </c>
      <c r="Q423" s="13">
        <f>IF(O423=0,0,MIN(1,L423/O423)*Settings!$B$5)</f>
        <v>0</v>
      </c>
      <c r="R423" s="16"/>
      <c r="S423" s="16"/>
      <c r="U423" s="7"/>
    </row>
    <row r="424" ht="15.75" customHeight="1">
      <c r="A424" s="15"/>
      <c r="B424" s="7"/>
      <c r="C424" s="7" t="str">
        <f t="array" ref="C424">IFERROR(INDEX('Order Planning'!$C$5:$C$204,MATCH(B424,'Order Planning'!$A$5:$A$204,0)),"")</f>
        <v/>
      </c>
      <c r="D424" s="7" t="str">
        <f t="array" ref="D424">IFERROR(INDEX('Order Planning'!$E$5:$E$204,MATCH(B424,'Order Planning'!$A$5:$A$204,0)),"")</f>
        <v/>
      </c>
      <c r="E424" s="7" t="str">
        <f t="array" ref="E424">IFERROR(INDEX('Order Planning'!$F$5:$F$204,MATCH(B424,'Order Planning'!$A$5:$A$204,0)),"")</f>
        <v/>
      </c>
      <c r="F424" s="7"/>
      <c r="G424" s="7"/>
      <c r="L424" s="7">
        <f t="shared" si="1"/>
        <v>0</v>
      </c>
      <c r="M424" s="14">
        <f t="shared" si="2"/>
        <v>0</v>
      </c>
      <c r="N424" s="7"/>
      <c r="O424" s="7">
        <f>IF(N424="Full Process",Settings!$B$6,IF(N424="Assembly Only",Settings!$B$7,0))</f>
        <v>0</v>
      </c>
      <c r="P424" s="14">
        <f t="shared" si="3"/>
        <v>0</v>
      </c>
      <c r="Q424" s="13">
        <f>IF(O424=0,0,MIN(1,L424/O424)*Settings!$B$5)</f>
        <v>0</v>
      </c>
      <c r="R424" s="16"/>
      <c r="S424" s="16"/>
      <c r="U424" s="7"/>
    </row>
    <row r="425" ht="15.75" customHeight="1">
      <c r="A425" s="15"/>
      <c r="B425" s="7"/>
      <c r="C425" s="7" t="str">
        <f t="array" ref="C425">IFERROR(INDEX('Order Planning'!$C$5:$C$204,MATCH(B425,'Order Planning'!$A$5:$A$204,0)),"")</f>
        <v/>
      </c>
      <c r="D425" s="7" t="str">
        <f t="array" ref="D425">IFERROR(INDEX('Order Planning'!$E$5:$E$204,MATCH(B425,'Order Planning'!$A$5:$A$204,0)),"")</f>
        <v/>
      </c>
      <c r="E425" s="7" t="str">
        <f t="array" ref="E425">IFERROR(INDEX('Order Planning'!$F$5:$F$204,MATCH(B425,'Order Planning'!$A$5:$A$204,0)),"")</f>
        <v/>
      </c>
      <c r="F425" s="7"/>
      <c r="G425" s="7"/>
      <c r="L425" s="7">
        <f t="shared" si="1"/>
        <v>0</v>
      </c>
      <c r="M425" s="14">
        <f t="shared" si="2"/>
        <v>0</v>
      </c>
      <c r="N425" s="7"/>
      <c r="O425" s="7">
        <f>IF(N425="Full Process",Settings!$B$6,IF(N425="Assembly Only",Settings!$B$7,0))</f>
        <v>0</v>
      </c>
      <c r="P425" s="14">
        <f t="shared" si="3"/>
        <v>0</v>
      </c>
      <c r="Q425" s="13">
        <f>IF(O425=0,0,MIN(1,L425/O425)*Settings!$B$5)</f>
        <v>0</v>
      </c>
      <c r="R425" s="16"/>
      <c r="S425" s="16"/>
      <c r="U425" s="7"/>
    </row>
    <row r="426" ht="15.75" customHeight="1">
      <c r="A426" s="15"/>
      <c r="B426" s="7"/>
      <c r="C426" s="7" t="str">
        <f t="array" ref="C426">IFERROR(INDEX('Order Planning'!$C$5:$C$204,MATCH(B426,'Order Planning'!$A$5:$A$204,0)),"")</f>
        <v/>
      </c>
      <c r="D426" s="7" t="str">
        <f t="array" ref="D426">IFERROR(INDEX('Order Planning'!$E$5:$E$204,MATCH(B426,'Order Planning'!$A$5:$A$204,0)),"")</f>
        <v/>
      </c>
      <c r="E426" s="7" t="str">
        <f t="array" ref="E426">IFERROR(INDEX('Order Planning'!$F$5:$F$204,MATCH(B426,'Order Planning'!$A$5:$A$204,0)),"")</f>
        <v/>
      </c>
      <c r="F426" s="7"/>
      <c r="G426" s="7"/>
      <c r="L426" s="7">
        <f t="shared" si="1"/>
        <v>0</v>
      </c>
      <c r="M426" s="14">
        <f t="shared" si="2"/>
        <v>0</v>
      </c>
      <c r="N426" s="7"/>
      <c r="O426" s="7">
        <f>IF(N426="Full Process",Settings!$B$6,IF(N426="Assembly Only",Settings!$B$7,0))</f>
        <v>0</v>
      </c>
      <c r="P426" s="14">
        <f t="shared" si="3"/>
        <v>0</v>
      </c>
      <c r="Q426" s="13">
        <f>IF(O426=0,0,MIN(1,L426/O426)*Settings!$B$5)</f>
        <v>0</v>
      </c>
      <c r="R426" s="16"/>
      <c r="S426" s="16"/>
      <c r="U426" s="7"/>
    </row>
    <row r="427" ht="15.75" customHeight="1">
      <c r="A427" s="15"/>
      <c r="B427" s="7"/>
      <c r="C427" s="7" t="str">
        <f t="array" ref="C427">IFERROR(INDEX('Order Planning'!$C$5:$C$204,MATCH(B427,'Order Planning'!$A$5:$A$204,0)),"")</f>
        <v/>
      </c>
      <c r="D427" s="7" t="str">
        <f t="array" ref="D427">IFERROR(INDEX('Order Planning'!$E$5:$E$204,MATCH(B427,'Order Planning'!$A$5:$A$204,0)),"")</f>
        <v/>
      </c>
      <c r="E427" s="7" t="str">
        <f t="array" ref="E427">IFERROR(INDEX('Order Planning'!$F$5:$F$204,MATCH(B427,'Order Planning'!$A$5:$A$204,0)),"")</f>
        <v/>
      </c>
      <c r="F427" s="7"/>
      <c r="G427" s="7"/>
      <c r="L427" s="7">
        <f t="shared" si="1"/>
        <v>0</v>
      </c>
      <c r="M427" s="14">
        <f t="shared" si="2"/>
        <v>0</v>
      </c>
      <c r="N427" s="7"/>
      <c r="O427" s="7">
        <f>IF(N427="Full Process",Settings!$B$6,IF(N427="Assembly Only",Settings!$B$7,0))</f>
        <v>0</v>
      </c>
      <c r="P427" s="14">
        <f t="shared" si="3"/>
        <v>0</v>
      </c>
      <c r="Q427" s="13">
        <f>IF(O427=0,0,MIN(1,L427/O427)*Settings!$B$5)</f>
        <v>0</v>
      </c>
      <c r="R427" s="16"/>
      <c r="S427" s="16"/>
      <c r="U427" s="7"/>
    </row>
    <row r="428" ht="15.75" customHeight="1">
      <c r="A428" s="15"/>
      <c r="B428" s="7"/>
      <c r="C428" s="7" t="str">
        <f t="array" ref="C428">IFERROR(INDEX('Order Planning'!$C$5:$C$204,MATCH(B428,'Order Planning'!$A$5:$A$204,0)),"")</f>
        <v/>
      </c>
      <c r="D428" s="7" t="str">
        <f t="array" ref="D428">IFERROR(INDEX('Order Planning'!$E$5:$E$204,MATCH(B428,'Order Planning'!$A$5:$A$204,0)),"")</f>
        <v/>
      </c>
      <c r="E428" s="7" t="str">
        <f t="array" ref="E428">IFERROR(INDEX('Order Planning'!$F$5:$F$204,MATCH(B428,'Order Planning'!$A$5:$A$204,0)),"")</f>
        <v/>
      </c>
      <c r="F428" s="7"/>
      <c r="G428" s="7"/>
      <c r="L428" s="7">
        <f t="shared" si="1"/>
        <v>0</v>
      </c>
      <c r="M428" s="14">
        <f t="shared" si="2"/>
        <v>0</v>
      </c>
      <c r="N428" s="7"/>
      <c r="O428" s="7">
        <f>IF(N428="Full Process",Settings!$B$6,IF(N428="Assembly Only",Settings!$B$7,0))</f>
        <v>0</v>
      </c>
      <c r="P428" s="14">
        <f t="shared" si="3"/>
        <v>0</v>
      </c>
      <c r="Q428" s="13">
        <f>IF(O428=0,0,MIN(1,L428/O428)*Settings!$B$5)</f>
        <v>0</v>
      </c>
      <c r="R428" s="16"/>
      <c r="S428" s="16"/>
      <c r="U428" s="7"/>
    </row>
    <row r="429" ht="15.75" customHeight="1">
      <c r="A429" s="15"/>
      <c r="B429" s="7"/>
      <c r="C429" s="7" t="str">
        <f t="array" ref="C429">IFERROR(INDEX('Order Planning'!$C$5:$C$204,MATCH(B429,'Order Planning'!$A$5:$A$204,0)),"")</f>
        <v/>
      </c>
      <c r="D429" s="7" t="str">
        <f t="array" ref="D429">IFERROR(INDEX('Order Planning'!$E$5:$E$204,MATCH(B429,'Order Planning'!$A$5:$A$204,0)),"")</f>
        <v/>
      </c>
      <c r="E429" s="7" t="str">
        <f t="array" ref="E429">IFERROR(INDEX('Order Planning'!$F$5:$F$204,MATCH(B429,'Order Planning'!$A$5:$A$204,0)),"")</f>
        <v/>
      </c>
      <c r="F429" s="7"/>
      <c r="G429" s="7"/>
      <c r="L429" s="7">
        <f t="shared" si="1"/>
        <v>0</v>
      </c>
      <c r="M429" s="14">
        <f t="shared" si="2"/>
        <v>0</v>
      </c>
      <c r="N429" s="7"/>
      <c r="O429" s="7">
        <f>IF(N429="Full Process",Settings!$B$6,IF(N429="Assembly Only",Settings!$B$7,0))</f>
        <v>0</v>
      </c>
      <c r="P429" s="14">
        <f t="shared" si="3"/>
        <v>0</v>
      </c>
      <c r="Q429" s="13">
        <f>IF(O429=0,0,MIN(1,L429/O429)*Settings!$B$5)</f>
        <v>0</v>
      </c>
      <c r="R429" s="16"/>
      <c r="S429" s="16"/>
      <c r="U429" s="7"/>
    </row>
    <row r="430" ht="15.75" customHeight="1">
      <c r="A430" s="15"/>
      <c r="B430" s="7"/>
      <c r="C430" s="7" t="str">
        <f t="array" ref="C430">IFERROR(INDEX('Order Planning'!$C$5:$C$204,MATCH(B430,'Order Planning'!$A$5:$A$204,0)),"")</f>
        <v/>
      </c>
      <c r="D430" s="7" t="str">
        <f t="array" ref="D430">IFERROR(INDEX('Order Planning'!$E$5:$E$204,MATCH(B430,'Order Planning'!$A$5:$A$204,0)),"")</f>
        <v/>
      </c>
      <c r="E430" s="7" t="str">
        <f t="array" ref="E430">IFERROR(INDEX('Order Planning'!$F$5:$F$204,MATCH(B430,'Order Planning'!$A$5:$A$204,0)),"")</f>
        <v/>
      </c>
      <c r="F430" s="7"/>
      <c r="G430" s="7"/>
      <c r="L430" s="7">
        <f t="shared" si="1"/>
        <v>0</v>
      </c>
      <c r="M430" s="14">
        <f t="shared" si="2"/>
        <v>0</v>
      </c>
      <c r="N430" s="7"/>
      <c r="O430" s="7">
        <f>IF(N430="Full Process",Settings!$B$6,IF(N430="Assembly Only",Settings!$B$7,0))</f>
        <v>0</v>
      </c>
      <c r="P430" s="14">
        <f t="shared" si="3"/>
        <v>0</v>
      </c>
      <c r="Q430" s="13">
        <f>IF(O430=0,0,MIN(1,L430/O430)*Settings!$B$5)</f>
        <v>0</v>
      </c>
      <c r="R430" s="16"/>
      <c r="S430" s="16"/>
      <c r="U430" s="7"/>
    </row>
    <row r="431" ht="15.75" customHeight="1">
      <c r="A431" s="15"/>
      <c r="B431" s="7"/>
      <c r="C431" s="7" t="str">
        <f t="array" ref="C431">IFERROR(INDEX('Order Planning'!$C$5:$C$204,MATCH(B431,'Order Planning'!$A$5:$A$204,0)),"")</f>
        <v/>
      </c>
      <c r="D431" s="7" t="str">
        <f t="array" ref="D431">IFERROR(INDEX('Order Planning'!$E$5:$E$204,MATCH(B431,'Order Planning'!$A$5:$A$204,0)),"")</f>
        <v/>
      </c>
      <c r="E431" s="7" t="str">
        <f t="array" ref="E431">IFERROR(INDEX('Order Planning'!$F$5:$F$204,MATCH(B431,'Order Planning'!$A$5:$A$204,0)),"")</f>
        <v/>
      </c>
      <c r="F431" s="7"/>
      <c r="G431" s="7"/>
      <c r="L431" s="7">
        <f t="shared" si="1"/>
        <v>0</v>
      </c>
      <c r="M431" s="14">
        <f t="shared" si="2"/>
        <v>0</v>
      </c>
      <c r="N431" s="7"/>
      <c r="O431" s="7">
        <f>IF(N431="Full Process",Settings!$B$6,IF(N431="Assembly Only",Settings!$B$7,0))</f>
        <v>0</v>
      </c>
      <c r="P431" s="14">
        <f t="shared" si="3"/>
        <v>0</v>
      </c>
      <c r="Q431" s="13">
        <f>IF(O431=0,0,MIN(1,L431/O431)*Settings!$B$5)</f>
        <v>0</v>
      </c>
      <c r="R431" s="16"/>
      <c r="S431" s="16"/>
      <c r="U431" s="7"/>
    </row>
    <row r="432" ht="15.75" customHeight="1">
      <c r="A432" s="15"/>
      <c r="B432" s="7"/>
      <c r="C432" s="7" t="str">
        <f t="array" ref="C432">IFERROR(INDEX('Order Planning'!$C$5:$C$204,MATCH(B432,'Order Planning'!$A$5:$A$204,0)),"")</f>
        <v/>
      </c>
      <c r="D432" s="7" t="str">
        <f t="array" ref="D432">IFERROR(INDEX('Order Planning'!$E$5:$E$204,MATCH(B432,'Order Planning'!$A$5:$A$204,0)),"")</f>
        <v/>
      </c>
      <c r="E432" s="7" t="str">
        <f t="array" ref="E432">IFERROR(INDEX('Order Planning'!$F$5:$F$204,MATCH(B432,'Order Planning'!$A$5:$A$204,0)),"")</f>
        <v/>
      </c>
      <c r="F432" s="7"/>
      <c r="G432" s="7"/>
      <c r="L432" s="7">
        <f t="shared" si="1"/>
        <v>0</v>
      </c>
      <c r="M432" s="14">
        <f t="shared" si="2"/>
        <v>0</v>
      </c>
      <c r="N432" s="7"/>
      <c r="O432" s="7">
        <f>IF(N432="Full Process",Settings!$B$6,IF(N432="Assembly Only",Settings!$B$7,0))</f>
        <v>0</v>
      </c>
      <c r="P432" s="14">
        <f t="shared" si="3"/>
        <v>0</v>
      </c>
      <c r="Q432" s="13">
        <f>IF(O432=0,0,MIN(1,L432/O432)*Settings!$B$5)</f>
        <v>0</v>
      </c>
      <c r="R432" s="16"/>
      <c r="S432" s="16"/>
      <c r="U432" s="7"/>
    </row>
    <row r="433" ht="15.75" customHeight="1">
      <c r="A433" s="15"/>
      <c r="B433" s="7"/>
      <c r="C433" s="7" t="str">
        <f t="array" ref="C433">IFERROR(INDEX('Order Planning'!$C$5:$C$204,MATCH(B433,'Order Planning'!$A$5:$A$204,0)),"")</f>
        <v/>
      </c>
      <c r="D433" s="7" t="str">
        <f t="array" ref="D433">IFERROR(INDEX('Order Planning'!$E$5:$E$204,MATCH(B433,'Order Planning'!$A$5:$A$204,0)),"")</f>
        <v/>
      </c>
      <c r="E433" s="7" t="str">
        <f t="array" ref="E433">IFERROR(INDEX('Order Planning'!$F$5:$F$204,MATCH(B433,'Order Planning'!$A$5:$A$204,0)),"")</f>
        <v/>
      </c>
      <c r="F433" s="7"/>
      <c r="G433" s="7"/>
      <c r="L433" s="7">
        <f t="shared" si="1"/>
        <v>0</v>
      </c>
      <c r="M433" s="14">
        <f t="shared" si="2"/>
        <v>0</v>
      </c>
      <c r="N433" s="7"/>
      <c r="O433" s="7">
        <f>IF(N433="Full Process",Settings!$B$6,IF(N433="Assembly Only",Settings!$B$7,0))</f>
        <v>0</v>
      </c>
      <c r="P433" s="14">
        <f t="shared" si="3"/>
        <v>0</v>
      </c>
      <c r="Q433" s="13">
        <f>IF(O433=0,0,MIN(1,L433/O433)*Settings!$B$5)</f>
        <v>0</v>
      </c>
      <c r="R433" s="16"/>
      <c r="S433" s="16"/>
      <c r="U433" s="7"/>
    </row>
    <row r="434" ht="15.75" customHeight="1">
      <c r="A434" s="15"/>
      <c r="B434" s="7"/>
      <c r="C434" s="7" t="str">
        <f t="array" ref="C434">IFERROR(INDEX('Order Planning'!$C$5:$C$204,MATCH(B434,'Order Planning'!$A$5:$A$204,0)),"")</f>
        <v/>
      </c>
      <c r="D434" s="7" t="str">
        <f t="array" ref="D434">IFERROR(INDEX('Order Planning'!$E$5:$E$204,MATCH(B434,'Order Planning'!$A$5:$A$204,0)),"")</f>
        <v/>
      </c>
      <c r="E434" s="7" t="str">
        <f t="array" ref="E434">IFERROR(INDEX('Order Planning'!$F$5:$F$204,MATCH(B434,'Order Planning'!$A$5:$A$204,0)),"")</f>
        <v/>
      </c>
      <c r="F434" s="7"/>
      <c r="G434" s="7"/>
      <c r="L434" s="7">
        <f t="shared" si="1"/>
        <v>0</v>
      </c>
      <c r="M434" s="14">
        <f t="shared" si="2"/>
        <v>0</v>
      </c>
      <c r="N434" s="7"/>
      <c r="O434" s="7">
        <f>IF(N434="Full Process",Settings!$B$6,IF(N434="Assembly Only",Settings!$B$7,0))</f>
        <v>0</v>
      </c>
      <c r="P434" s="14">
        <f t="shared" si="3"/>
        <v>0</v>
      </c>
      <c r="Q434" s="13">
        <f>IF(O434=0,0,MIN(1,L434/O434)*Settings!$B$5)</f>
        <v>0</v>
      </c>
      <c r="R434" s="16"/>
      <c r="S434" s="16"/>
      <c r="U434" s="7"/>
    </row>
    <row r="435" ht="15.75" customHeight="1">
      <c r="A435" s="15"/>
      <c r="B435" s="7"/>
      <c r="C435" s="7" t="str">
        <f t="array" ref="C435">IFERROR(INDEX('Order Planning'!$C$5:$C$204,MATCH(B435,'Order Planning'!$A$5:$A$204,0)),"")</f>
        <v/>
      </c>
      <c r="D435" s="7" t="str">
        <f t="array" ref="D435">IFERROR(INDEX('Order Planning'!$E$5:$E$204,MATCH(B435,'Order Planning'!$A$5:$A$204,0)),"")</f>
        <v/>
      </c>
      <c r="E435" s="7" t="str">
        <f t="array" ref="E435">IFERROR(INDEX('Order Planning'!$F$5:$F$204,MATCH(B435,'Order Planning'!$A$5:$A$204,0)),"")</f>
        <v/>
      </c>
      <c r="F435" s="7"/>
      <c r="G435" s="7"/>
      <c r="L435" s="7">
        <f t="shared" si="1"/>
        <v>0</v>
      </c>
      <c r="M435" s="14">
        <f t="shared" si="2"/>
        <v>0</v>
      </c>
      <c r="N435" s="7"/>
      <c r="O435" s="7">
        <f>IF(N435="Full Process",Settings!$B$6,IF(N435="Assembly Only",Settings!$B$7,0))</f>
        <v>0</v>
      </c>
      <c r="P435" s="14">
        <f t="shared" si="3"/>
        <v>0</v>
      </c>
      <c r="Q435" s="13">
        <f>IF(O435=0,0,MIN(1,L435/O435)*Settings!$B$5)</f>
        <v>0</v>
      </c>
      <c r="R435" s="16"/>
      <c r="S435" s="16"/>
      <c r="U435" s="7"/>
    </row>
    <row r="436" ht="15.75" customHeight="1">
      <c r="A436" s="15"/>
      <c r="B436" s="7"/>
      <c r="C436" s="7" t="str">
        <f t="array" ref="C436">IFERROR(INDEX('Order Planning'!$C$5:$C$204,MATCH(B436,'Order Planning'!$A$5:$A$204,0)),"")</f>
        <v/>
      </c>
      <c r="D436" s="7" t="str">
        <f t="array" ref="D436">IFERROR(INDEX('Order Planning'!$E$5:$E$204,MATCH(B436,'Order Planning'!$A$5:$A$204,0)),"")</f>
        <v/>
      </c>
      <c r="E436" s="7" t="str">
        <f t="array" ref="E436">IFERROR(INDEX('Order Planning'!$F$5:$F$204,MATCH(B436,'Order Planning'!$A$5:$A$204,0)),"")</f>
        <v/>
      </c>
      <c r="F436" s="7"/>
      <c r="G436" s="7"/>
      <c r="L436" s="7">
        <f t="shared" si="1"/>
        <v>0</v>
      </c>
      <c r="M436" s="14">
        <f t="shared" si="2"/>
        <v>0</v>
      </c>
      <c r="N436" s="7"/>
      <c r="O436" s="7">
        <f>IF(N436="Full Process",Settings!$B$6,IF(N436="Assembly Only",Settings!$B$7,0))</f>
        <v>0</v>
      </c>
      <c r="P436" s="14">
        <f t="shared" si="3"/>
        <v>0</v>
      </c>
      <c r="Q436" s="13">
        <f>IF(O436=0,0,MIN(1,L436/O436)*Settings!$B$5)</f>
        <v>0</v>
      </c>
      <c r="R436" s="16"/>
      <c r="S436" s="16"/>
      <c r="U436" s="7"/>
    </row>
    <row r="437" ht="15.75" customHeight="1">
      <c r="A437" s="15"/>
      <c r="B437" s="7"/>
      <c r="C437" s="7" t="str">
        <f t="array" ref="C437">IFERROR(INDEX('Order Planning'!$C$5:$C$204,MATCH(B437,'Order Planning'!$A$5:$A$204,0)),"")</f>
        <v/>
      </c>
      <c r="D437" s="7" t="str">
        <f t="array" ref="D437">IFERROR(INDEX('Order Planning'!$E$5:$E$204,MATCH(B437,'Order Planning'!$A$5:$A$204,0)),"")</f>
        <v/>
      </c>
      <c r="E437" s="7" t="str">
        <f t="array" ref="E437">IFERROR(INDEX('Order Planning'!$F$5:$F$204,MATCH(B437,'Order Planning'!$A$5:$A$204,0)),"")</f>
        <v/>
      </c>
      <c r="F437" s="7"/>
      <c r="G437" s="7"/>
      <c r="L437" s="7">
        <f t="shared" si="1"/>
        <v>0</v>
      </c>
      <c r="M437" s="14">
        <f t="shared" si="2"/>
        <v>0</v>
      </c>
      <c r="N437" s="7"/>
      <c r="O437" s="7">
        <f>IF(N437="Full Process",Settings!$B$6,IF(N437="Assembly Only",Settings!$B$7,0))</f>
        <v>0</v>
      </c>
      <c r="P437" s="14">
        <f t="shared" si="3"/>
        <v>0</v>
      </c>
      <c r="Q437" s="13">
        <f>IF(O437=0,0,MIN(1,L437/O437)*Settings!$B$5)</f>
        <v>0</v>
      </c>
      <c r="R437" s="16"/>
      <c r="S437" s="16"/>
      <c r="U437" s="7"/>
    </row>
    <row r="438" ht="15.75" customHeight="1">
      <c r="A438" s="15"/>
      <c r="B438" s="7"/>
      <c r="C438" s="7" t="str">
        <f t="array" ref="C438">IFERROR(INDEX('Order Planning'!$C$5:$C$204,MATCH(B438,'Order Planning'!$A$5:$A$204,0)),"")</f>
        <v/>
      </c>
      <c r="D438" s="7" t="str">
        <f t="array" ref="D438">IFERROR(INDEX('Order Planning'!$E$5:$E$204,MATCH(B438,'Order Planning'!$A$5:$A$204,0)),"")</f>
        <v/>
      </c>
      <c r="E438" s="7" t="str">
        <f t="array" ref="E438">IFERROR(INDEX('Order Planning'!$F$5:$F$204,MATCH(B438,'Order Planning'!$A$5:$A$204,0)),"")</f>
        <v/>
      </c>
      <c r="F438" s="7"/>
      <c r="G438" s="7"/>
      <c r="L438" s="7">
        <f t="shared" si="1"/>
        <v>0</v>
      </c>
      <c r="M438" s="14">
        <f t="shared" si="2"/>
        <v>0</v>
      </c>
      <c r="N438" s="7"/>
      <c r="O438" s="7">
        <f>IF(N438="Full Process",Settings!$B$6,IF(N438="Assembly Only",Settings!$B$7,0))</f>
        <v>0</v>
      </c>
      <c r="P438" s="14">
        <f t="shared" si="3"/>
        <v>0</v>
      </c>
      <c r="Q438" s="13">
        <f>IF(O438=0,0,MIN(1,L438/O438)*Settings!$B$5)</f>
        <v>0</v>
      </c>
      <c r="R438" s="16"/>
      <c r="S438" s="16"/>
      <c r="U438" s="7"/>
    </row>
    <row r="439" ht="15.75" customHeight="1">
      <c r="A439" s="15"/>
      <c r="B439" s="7"/>
      <c r="C439" s="7" t="str">
        <f t="array" ref="C439">IFERROR(INDEX('Order Planning'!$C$5:$C$204,MATCH(B439,'Order Planning'!$A$5:$A$204,0)),"")</f>
        <v/>
      </c>
      <c r="D439" s="7" t="str">
        <f t="array" ref="D439">IFERROR(INDEX('Order Planning'!$E$5:$E$204,MATCH(B439,'Order Planning'!$A$5:$A$204,0)),"")</f>
        <v/>
      </c>
      <c r="E439" s="7" t="str">
        <f t="array" ref="E439">IFERROR(INDEX('Order Planning'!$F$5:$F$204,MATCH(B439,'Order Planning'!$A$5:$A$204,0)),"")</f>
        <v/>
      </c>
      <c r="F439" s="7"/>
      <c r="G439" s="7"/>
      <c r="L439" s="7">
        <f t="shared" si="1"/>
        <v>0</v>
      </c>
      <c r="M439" s="14">
        <f t="shared" si="2"/>
        <v>0</v>
      </c>
      <c r="N439" s="7"/>
      <c r="O439" s="7">
        <f>IF(N439="Full Process",Settings!$B$6,IF(N439="Assembly Only",Settings!$B$7,0))</f>
        <v>0</v>
      </c>
      <c r="P439" s="14">
        <f t="shared" si="3"/>
        <v>0</v>
      </c>
      <c r="Q439" s="13">
        <f>IF(O439=0,0,MIN(1,L439/O439)*Settings!$B$5)</f>
        <v>0</v>
      </c>
      <c r="R439" s="16"/>
      <c r="S439" s="16"/>
      <c r="U439" s="7"/>
    </row>
    <row r="440" ht="15.75" customHeight="1">
      <c r="A440" s="15"/>
      <c r="B440" s="7"/>
      <c r="C440" s="7" t="str">
        <f t="array" ref="C440">IFERROR(INDEX('Order Planning'!$C$5:$C$204,MATCH(B440,'Order Planning'!$A$5:$A$204,0)),"")</f>
        <v/>
      </c>
      <c r="D440" s="7" t="str">
        <f t="array" ref="D440">IFERROR(INDEX('Order Planning'!$E$5:$E$204,MATCH(B440,'Order Planning'!$A$5:$A$204,0)),"")</f>
        <v/>
      </c>
      <c r="E440" s="7" t="str">
        <f t="array" ref="E440">IFERROR(INDEX('Order Planning'!$F$5:$F$204,MATCH(B440,'Order Planning'!$A$5:$A$204,0)),"")</f>
        <v/>
      </c>
      <c r="F440" s="7"/>
      <c r="G440" s="7"/>
      <c r="L440" s="7">
        <f t="shared" si="1"/>
        <v>0</v>
      </c>
      <c r="M440" s="14">
        <f t="shared" si="2"/>
        <v>0</v>
      </c>
      <c r="N440" s="7"/>
      <c r="O440" s="7">
        <f>IF(N440="Full Process",Settings!$B$6,IF(N440="Assembly Only",Settings!$B$7,0))</f>
        <v>0</v>
      </c>
      <c r="P440" s="14">
        <f t="shared" si="3"/>
        <v>0</v>
      </c>
      <c r="Q440" s="13">
        <f>IF(O440=0,0,MIN(1,L440/O440)*Settings!$B$5)</f>
        <v>0</v>
      </c>
      <c r="R440" s="16"/>
      <c r="S440" s="16"/>
      <c r="U440" s="7"/>
    </row>
    <row r="441" ht="15.75" customHeight="1">
      <c r="A441" s="15"/>
      <c r="B441" s="7"/>
      <c r="C441" s="7" t="str">
        <f t="array" ref="C441">IFERROR(INDEX('Order Planning'!$C$5:$C$204,MATCH(B441,'Order Planning'!$A$5:$A$204,0)),"")</f>
        <v/>
      </c>
      <c r="D441" s="7" t="str">
        <f t="array" ref="D441">IFERROR(INDEX('Order Planning'!$E$5:$E$204,MATCH(B441,'Order Planning'!$A$5:$A$204,0)),"")</f>
        <v/>
      </c>
      <c r="E441" s="7" t="str">
        <f t="array" ref="E441">IFERROR(INDEX('Order Planning'!$F$5:$F$204,MATCH(B441,'Order Planning'!$A$5:$A$204,0)),"")</f>
        <v/>
      </c>
      <c r="F441" s="7"/>
      <c r="G441" s="7"/>
      <c r="L441" s="7">
        <f t="shared" si="1"/>
        <v>0</v>
      </c>
      <c r="M441" s="14">
        <f t="shared" si="2"/>
        <v>0</v>
      </c>
      <c r="N441" s="7"/>
      <c r="O441" s="7">
        <f>IF(N441="Full Process",Settings!$B$6,IF(N441="Assembly Only",Settings!$B$7,0))</f>
        <v>0</v>
      </c>
      <c r="P441" s="14">
        <f t="shared" si="3"/>
        <v>0</v>
      </c>
      <c r="Q441" s="13">
        <f>IF(O441=0,0,MIN(1,L441/O441)*Settings!$B$5)</f>
        <v>0</v>
      </c>
      <c r="R441" s="16"/>
      <c r="S441" s="16"/>
      <c r="U441" s="7"/>
    </row>
    <row r="442" ht="15.75" customHeight="1">
      <c r="A442" s="15"/>
      <c r="B442" s="7"/>
      <c r="C442" s="7" t="str">
        <f t="array" ref="C442">IFERROR(INDEX('Order Planning'!$C$5:$C$204,MATCH(B442,'Order Planning'!$A$5:$A$204,0)),"")</f>
        <v/>
      </c>
      <c r="D442" s="7" t="str">
        <f t="array" ref="D442">IFERROR(INDEX('Order Planning'!$E$5:$E$204,MATCH(B442,'Order Planning'!$A$5:$A$204,0)),"")</f>
        <v/>
      </c>
      <c r="E442" s="7" t="str">
        <f t="array" ref="E442">IFERROR(INDEX('Order Planning'!$F$5:$F$204,MATCH(B442,'Order Planning'!$A$5:$A$204,0)),"")</f>
        <v/>
      </c>
      <c r="F442" s="7"/>
      <c r="G442" s="7"/>
      <c r="L442" s="7">
        <f t="shared" si="1"/>
        <v>0</v>
      </c>
      <c r="M442" s="14">
        <f t="shared" si="2"/>
        <v>0</v>
      </c>
      <c r="N442" s="7"/>
      <c r="O442" s="7">
        <f>IF(N442="Full Process",Settings!$B$6,IF(N442="Assembly Only",Settings!$B$7,0))</f>
        <v>0</v>
      </c>
      <c r="P442" s="14">
        <f t="shared" si="3"/>
        <v>0</v>
      </c>
      <c r="Q442" s="13">
        <f>IF(O442=0,0,MIN(1,L442/O442)*Settings!$B$5)</f>
        <v>0</v>
      </c>
      <c r="R442" s="16"/>
      <c r="S442" s="16"/>
      <c r="U442" s="7"/>
    </row>
    <row r="443" ht="15.75" customHeight="1">
      <c r="A443" s="15"/>
      <c r="B443" s="7"/>
      <c r="C443" s="7" t="str">
        <f t="array" ref="C443">IFERROR(INDEX('Order Planning'!$C$5:$C$204,MATCH(B443,'Order Planning'!$A$5:$A$204,0)),"")</f>
        <v/>
      </c>
      <c r="D443" s="7" t="str">
        <f t="array" ref="D443">IFERROR(INDEX('Order Planning'!$E$5:$E$204,MATCH(B443,'Order Planning'!$A$5:$A$204,0)),"")</f>
        <v/>
      </c>
      <c r="E443" s="7" t="str">
        <f t="array" ref="E443">IFERROR(INDEX('Order Planning'!$F$5:$F$204,MATCH(B443,'Order Planning'!$A$5:$A$204,0)),"")</f>
        <v/>
      </c>
      <c r="F443" s="7"/>
      <c r="G443" s="7"/>
      <c r="L443" s="7">
        <f t="shared" si="1"/>
        <v>0</v>
      </c>
      <c r="M443" s="14">
        <f t="shared" si="2"/>
        <v>0</v>
      </c>
      <c r="N443" s="7"/>
      <c r="O443" s="7">
        <f>IF(N443="Full Process",Settings!$B$6,IF(N443="Assembly Only",Settings!$B$7,0))</f>
        <v>0</v>
      </c>
      <c r="P443" s="14">
        <f t="shared" si="3"/>
        <v>0</v>
      </c>
      <c r="Q443" s="13">
        <f>IF(O443=0,0,MIN(1,L443/O443)*Settings!$B$5)</f>
        <v>0</v>
      </c>
      <c r="R443" s="16"/>
      <c r="S443" s="16"/>
      <c r="U443" s="7"/>
    </row>
    <row r="444" ht="15.75" customHeight="1">
      <c r="A444" s="15"/>
      <c r="B444" s="7"/>
      <c r="C444" s="7" t="str">
        <f t="array" ref="C444">IFERROR(INDEX('Order Planning'!$C$5:$C$204,MATCH(B444,'Order Planning'!$A$5:$A$204,0)),"")</f>
        <v/>
      </c>
      <c r="D444" s="7" t="str">
        <f t="array" ref="D444">IFERROR(INDEX('Order Planning'!$E$5:$E$204,MATCH(B444,'Order Planning'!$A$5:$A$204,0)),"")</f>
        <v/>
      </c>
      <c r="E444" s="7" t="str">
        <f t="array" ref="E444">IFERROR(INDEX('Order Planning'!$F$5:$F$204,MATCH(B444,'Order Planning'!$A$5:$A$204,0)),"")</f>
        <v/>
      </c>
      <c r="F444" s="7"/>
      <c r="G444" s="7"/>
      <c r="L444" s="7">
        <f t="shared" si="1"/>
        <v>0</v>
      </c>
      <c r="M444" s="14">
        <f t="shared" si="2"/>
        <v>0</v>
      </c>
      <c r="N444" s="7"/>
      <c r="O444" s="7">
        <f>IF(N444="Full Process",Settings!$B$6,IF(N444="Assembly Only",Settings!$B$7,0))</f>
        <v>0</v>
      </c>
      <c r="P444" s="14">
        <f t="shared" si="3"/>
        <v>0</v>
      </c>
      <c r="Q444" s="13">
        <f>IF(O444=0,0,MIN(1,L444/O444)*Settings!$B$5)</f>
        <v>0</v>
      </c>
      <c r="R444" s="16"/>
      <c r="S444" s="16"/>
      <c r="U444" s="7"/>
    </row>
    <row r="445" ht="15.75" customHeight="1">
      <c r="A445" s="15"/>
      <c r="B445" s="7"/>
      <c r="C445" s="7" t="str">
        <f t="array" ref="C445">IFERROR(INDEX('Order Planning'!$C$5:$C$204,MATCH(B445,'Order Planning'!$A$5:$A$204,0)),"")</f>
        <v/>
      </c>
      <c r="D445" s="7" t="str">
        <f t="array" ref="D445">IFERROR(INDEX('Order Planning'!$E$5:$E$204,MATCH(B445,'Order Planning'!$A$5:$A$204,0)),"")</f>
        <v/>
      </c>
      <c r="E445" s="7" t="str">
        <f t="array" ref="E445">IFERROR(INDEX('Order Planning'!$F$5:$F$204,MATCH(B445,'Order Planning'!$A$5:$A$204,0)),"")</f>
        <v/>
      </c>
      <c r="F445" s="7"/>
      <c r="G445" s="7"/>
      <c r="L445" s="7">
        <f t="shared" si="1"/>
        <v>0</v>
      </c>
      <c r="M445" s="14">
        <f t="shared" si="2"/>
        <v>0</v>
      </c>
      <c r="N445" s="7"/>
      <c r="O445" s="7">
        <f>IF(N445="Full Process",Settings!$B$6,IF(N445="Assembly Only",Settings!$B$7,0))</f>
        <v>0</v>
      </c>
      <c r="P445" s="14">
        <f t="shared" si="3"/>
        <v>0</v>
      </c>
      <c r="Q445" s="13">
        <f>IF(O445=0,0,MIN(1,L445/O445)*Settings!$B$5)</f>
        <v>0</v>
      </c>
      <c r="R445" s="16"/>
      <c r="S445" s="16"/>
      <c r="U445" s="7"/>
    </row>
    <row r="446" ht="15.75" customHeight="1">
      <c r="A446" s="15"/>
      <c r="B446" s="7"/>
      <c r="C446" s="7" t="str">
        <f t="array" ref="C446">IFERROR(INDEX('Order Planning'!$C$5:$C$204,MATCH(B446,'Order Planning'!$A$5:$A$204,0)),"")</f>
        <v/>
      </c>
      <c r="D446" s="7" t="str">
        <f t="array" ref="D446">IFERROR(INDEX('Order Planning'!$E$5:$E$204,MATCH(B446,'Order Planning'!$A$5:$A$204,0)),"")</f>
        <v/>
      </c>
      <c r="E446" s="7" t="str">
        <f t="array" ref="E446">IFERROR(INDEX('Order Planning'!$F$5:$F$204,MATCH(B446,'Order Planning'!$A$5:$A$204,0)),"")</f>
        <v/>
      </c>
      <c r="F446" s="7"/>
      <c r="G446" s="7"/>
      <c r="L446" s="7">
        <f t="shared" si="1"/>
        <v>0</v>
      </c>
      <c r="M446" s="14">
        <f t="shared" si="2"/>
        <v>0</v>
      </c>
      <c r="N446" s="7"/>
      <c r="O446" s="7">
        <f>IF(N446="Full Process",Settings!$B$6,IF(N446="Assembly Only",Settings!$B$7,0))</f>
        <v>0</v>
      </c>
      <c r="P446" s="14">
        <f t="shared" si="3"/>
        <v>0</v>
      </c>
      <c r="Q446" s="13">
        <f>IF(O446=0,0,MIN(1,L446/O446)*Settings!$B$5)</f>
        <v>0</v>
      </c>
      <c r="R446" s="16"/>
      <c r="S446" s="16"/>
      <c r="U446" s="7"/>
    </row>
    <row r="447" ht="15.75" customHeight="1">
      <c r="A447" s="15"/>
      <c r="B447" s="7"/>
      <c r="C447" s="7" t="str">
        <f t="array" ref="C447">IFERROR(INDEX('Order Planning'!$C$5:$C$204,MATCH(B447,'Order Planning'!$A$5:$A$204,0)),"")</f>
        <v/>
      </c>
      <c r="D447" s="7" t="str">
        <f t="array" ref="D447">IFERROR(INDEX('Order Planning'!$E$5:$E$204,MATCH(B447,'Order Planning'!$A$5:$A$204,0)),"")</f>
        <v/>
      </c>
      <c r="E447" s="7" t="str">
        <f t="array" ref="E447">IFERROR(INDEX('Order Planning'!$F$5:$F$204,MATCH(B447,'Order Planning'!$A$5:$A$204,0)),"")</f>
        <v/>
      </c>
      <c r="F447" s="7"/>
      <c r="G447" s="7"/>
      <c r="L447" s="7">
        <f t="shared" si="1"/>
        <v>0</v>
      </c>
      <c r="M447" s="14">
        <f t="shared" si="2"/>
        <v>0</v>
      </c>
      <c r="N447" s="7"/>
      <c r="O447" s="7">
        <f>IF(N447="Full Process",Settings!$B$6,IF(N447="Assembly Only",Settings!$B$7,0))</f>
        <v>0</v>
      </c>
      <c r="P447" s="14">
        <f t="shared" si="3"/>
        <v>0</v>
      </c>
      <c r="Q447" s="13">
        <f>IF(O447=0,0,MIN(1,L447/O447)*Settings!$B$5)</f>
        <v>0</v>
      </c>
      <c r="R447" s="16"/>
      <c r="S447" s="16"/>
      <c r="U447" s="7"/>
    </row>
    <row r="448" ht="15.75" customHeight="1">
      <c r="A448" s="15"/>
      <c r="B448" s="7"/>
      <c r="C448" s="7" t="str">
        <f t="array" ref="C448">IFERROR(INDEX('Order Planning'!$C$5:$C$204,MATCH(B448,'Order Planning'!$A$5:$A$204,0)),"")</f>
        <v/>
      </c>
      <c r="D448" s="7" t="str">
        <f t="array" ref="D448">IFERROR(INDEX('Order Planning'!$E$5:$E$204,MATCH(B448,'Order Planning'!$A$5:$A$204,0)),"")</f>
        <v/>
      </c>
      <c r="E448" s="7" t="str">
        <f t="array" ref="E448">IFERROR(INDEX('Order Planning'!$F$5:$F$204,MATCH(B448,'Order Planning'!$A$5:$A$204,0)),"")</f>
        <v/>
      </c>
      <c r="F448" s="7"/>
      <c r="G448" s="7"/>
      <c r="L448" s="7">
        <f t="shared" si="1"/>
        <v>0</v>
      </c>
      <c r="M448" s="14">
        <f t="shared" si="2"/>
        <v>0</v>
      </c>
      <c r="N448" s="7"/>
      <c r="O448" s="7">
        <f>IF(N448="Full Process",Settings!$B$6,IF(N448="Assembly Only",Settings!$B$7,0))</f>
        <v>0</v>
      </c>
      <c r="P448" s="14">
        <f t="shared" si="3"/>
        <v>0</v>
      </c>
      <c r="Q448" s="13">
        <f>IF(O448=0,0,MIN(1,L448/O448)*Settings!$B$5)</f>
        <v>0</v>
      </c>
      <c r="R448" s="16"/>
      <c r="S448" s="16"/>
      <c r="U448" s="7"/>
    </row>
    <row r="449" ht="15.75" customHeight="1">
      <c r="A449" s="15"/>
      <c r="B449" s="7"/>
      <c r="C449" s="7" t="str">
        <f t="array" ref="C449">IFERROR(INDEX('Order Planning'!$C$5:$C$204,MATCH(B449,'Order Planning'!$A$5:$A$204,0)),"")</f>
        <v/>
      </c>
      <c r="D449" s="7" t="str">
        <f t="array" ref="D449">IFERROR(INDEX('Order Planning'!$E$5:$E$204,MATCH(B449,'Order Planning'!$A$5:$A$204,0)),"")</f>
        <v/>
      </c>
      <c r="E449" s="7" t="str">
        <f t="array" ref="E449">IFERROR(INDEX('Order Planning'!$F$5:$F$204,MATCH(B449,'Order Planning'!$A$5:$A$204,0)),"")</f>
        <v/>
      </c>
      <c r="F449" s="7"/>
      <c r="G449" s="7"/>
      <c r="L449" s="7">
        <f t="shared" si="1"/>
        <v>0</v>
      </c>
      <c r="M449" s="14">
        <f t="shared" si="2"/>
        <v>0</v>
      </c>
      <c r="N449" s="7"/>
      <c r="O449" s="7">
        <f>IF(N449="Full Process",Settings!$B$6,IF(N449="Assembly Only",Settings!$B$7,0))</f>
        <v>0</v>
      </c>
      <c r="P449" s="14">
        <f t="shared" si="3"/>
        <v>0</v>
      </c>
      <c r="Q449" s="13">
        <f>IF(O449=0,0,MIN(1,L449/O449)*Settings!$B$5)</f>
        <v>0</v>
      </c>
      <c r="R449" s="16"/>
      <c r="S449" s="16"/>
      <c r="U449" s="7"/>
    </row>
    <row r="450" ht="15.75" customHeight="1">
      <c r="A450" s="15"/>
      <c r="B450" s="7"/>
      <c r="C450" s="7" t="str">
        <f t="array" ref="C450">IFERROR(INDEX('Order Planning'!$C$5:$C$204,MATCH(B450,'Order Planning'!$A$5:$A$204,0)),"")</f>
        <v/>
      </c>
      <c r="D450" s="7" t="str">
        <f t="array" ref="D450">IFERROR(INDEX('Order Planning'!$E$5:$E$204,MATCH(B450,'Order Planning'!$A$5:$A$204,0)),"")</f>
        <v/>
      </c>
      <c r="E450" s="7" t="str">
        <f t="array" ref="E450">IFERROR(INDEX('Order Planning'!$F$5:$F$204,MATCH(B450,'Order Planning'!$A$5:$A$204,0)),"")</f>
        <v/>
      </c>
      <c r="F450" s="7"/>
      <c r="G450" s="7"/>
      <c r="L450" s="7">
        <f t="shared" si="1"/>
        <v>0</v>
      </c>
      <c r="M450" s="14">
        <f t="shared" si="2"/>
        <v>0</v>
      </c>
      <c r="N450" s="7"/>
      <c r="O450" s="7">
        <f>IF(N450="Full Process",Settings!$B$6,IF(N450="Assembly Only",Settings!$B$7,0))</f>
        <v>0</v>
      </c>
      <c r="P450" s="14">
        <f t="shared" si="3"/>
        <v>0</v>
      </c>
      <c r="Q450" s="13">
        <f>IF(O450=0,0,MIN(1,L450/O450)*Settings!$B$5)</f>
        <v>0</v>
      </c>
      <c r="R450" s="16"/>
      <c r="S450" s="16"/>
      <c r="U450" s="7"/>
    </row>
    <row r="451" ht="15.75" customHeight="1">
      <c r="A451" s="15"/>
      <c r="B451" s="7"/>
      <c r="C451" s="7" t="str">
        <f t="array" ref="C451">IFERROR(INDEX('Order Planning'!$C$5:$C$204,MATCH(B451,'Order Planning'!$A$5:$A$204,0)),"")</f>
        <v/>
      </c>
      <c r="D451" s="7" t="str">
        <f t="array" ref="D451">IFERROR(INDEX('Order Planning'!$E$5:$E$204,MATCH(B451,'Order Planning'!$A$5:$A$204,0)),"")</f>
        <v/>
      </c>
      <c r="E451" s="7" t="str">
        <f t="array" ref="E451">IFERROR(INDEX('Order Planning'!$F$5:$F$204,MATCH(B451,'Order Planning'!$A$5:$A$204,0)),"")</f>
        <v/>
      </c>
      <c r="F451" s="7"/>
      <c r="G451" s="7"/>
      <c r="L451" s="7">
        <f t="shared" si="1"/>
        <v>0</v>
      </c>
      <c r="M451" s="14">
        <f t="shared" si="2"/>
        <v>0</v>
      </c>
      <c r="N451" s="7"/>
      <c r="O451" s="7">
        <f>IF(N451="Full Process",Settings!$B$6,IF(N451="Assembly Only",Settings!$B$7,0))</f>
        <v>0</v>
      </c>
      <c r="P451" s="14">
        <f t="shared" si="3"/>
        <v>0</v>
      </c>
      <c r="Q451" s="13">
        <f>IF(O451=0,0,MIN(1,L451/O451)*Settings!$B$5)</f>
        <v>0</v>
      </c>
      <c r="R451" s="16"/>
      <c r="S451" s="16"/>
      <c r="U451" s="7"/>
    </row>
    <row r="452" ht="15.75" customHeight="1">
      <c r="A452" s="15"/>
      <c r="B452" s="7"/>
      <c r="C452" s="7" t="str">
        <f t="array" ref="C452">IFERROR(INDEX('Order Planning'!$C$5:$C$204,MATCH(B452,'Order Planning'!$A$5:$A$204,0)),"")</f>
        <v/>
      </c>
      <c r="D452" s="7" t="str">
        <f t="array" ref="D452">IFERROR(INDEX('Order Planning'!$E$5:$E$204,MATCH(B452,'Order Planning'!$A$5:$A$204,0)),"")</f>
        <v/>
      </c>
      <c r="E452" s="7" t="str">
        <f t="array" ref="E452">IFERROR(INDEX('Order Planning'!$F$5:$F$204,MATCH(B452,'Order Planning'!$A$5:$A$204,0)),"")</f>
        <v/>
      </c>
      <c r="F452" s="7"/>
      <c r="G452" s="7"/>
      <c r="L452" s="7">
        <f t="shared" si="1"/>
        <v>0</v>
      </c>
      <c r="M452" s="14">
        <f t="shared" si="2"/>
        <v>0</v>
      </c>
      <c r="N452" s="7"/>
      <c r="O452" s="7">
        <f>IF(N452="Full Process",Settings!$B$6,IF(N452="Assembly Only",Settings!$B$7,0))</f>
        <v>0</v>
      </c>
      <c r="P452" s="14">
        <f t="shared" si="3"/>
        <v>0</v>
      </c>
      <c r="Q452" s="13">
        <f>IF(O452=0,0,MIN(1,L452/O452)*Settings!$B$5)</f>
        <v>0</v>
      </c>
      <c r="R452" s="16"/>
      <c r="S452" s="16"/>
      <c r="U452" s="7"/>
    </row>
    <row r="453" ht="15.75" customHeight="1">
      <c r="A453" s="15"/>
      <c r="B453" s="7"/>
      <c r="C453" s="7" t="str">
        <f t="array" ref="C453">IFERROR(INDEX('Order Planning'!$C$5:$C$204,MATCH(B453,'Order Planning'!$A$5:$A$204,0)),"")</f>
        <v/>
      </c>
      <c r="D453" s="7" t="str">
        <f t="array" ref="D453">IFERROR(INDEX('Order Planning'!$E$5:$E$204,MATCH(B453,'Order Planning'!$A$5:$A$204,0)),"")</f>
        <v/>
      </c>
      <c r="E453" s="7" t="str">
        <f t="array" ref="E453">IFERROR(INDEX('Order Planning'!$F$5:$F$204,MATCH(B453,'Order Planning'!$A$5:$A$204,0)),"")</f>
        <v/>
      </c>
      <c r="F453" s="7"/>
      <c r="G453" s="7"/>
      <c r="L453" s="7">
        <f t="shared" si="1"/>
        <v>0</v>
      </c>
      <c r="M453" s="14">
        <f t="shared" si="2"/>
        <v>0</v>
      </c>
      <c r="N453" s="7"/>
      <c r="O453" s="7">
        <f>IF(N453="Full Process",Settings!$B$6,IF(N453="Assembly Only",Settings!$B$7,0))</f>
        <v>0</v>
      </c>
      <c r="P453" s="14">
        <f t="shared" si="3"/>
        <v>0</v>
      </c>
      <c r="Q453" s="13">
        <f>IF(O453=0,0,MIN(1,L453/O453)*Settings!$B$5)</f>
        <v>0</v>
      </c>
      <c r="R453" s="16"/>
      <c r="S453" s="16"/>
      <c r="U453" s="7"/>
    </row>
    <row r="454" ht="15.75" customHeight="1">
      <c r="A454" s="15"/>
      <c r="B454" s="7"/>
      <c r="C454" s="7" t="str">
        <f t="array" ref="C454">IFERROR(INDEX('Order Planning'!$C$5:$C$204,MATCH(B454,'Order Planning'!$A$5:$A$204,0)),"")</f>
        <v/>
      </c>
      <c r="D454" s="7" t="str">
        <f t="array" ref="D454">IFERROR(INDEX('Order Planning'!$E$5:$E$204,MATCH(B454,'Order Planning'!$A$5:$A$204,0)),"")</f>
        <v/>
      </c>
      <c r="E454" s="7" t="str">
        <f t="array" ref="E454">IFERROR(INDEX('Order Planning'!$F$5:$F$204,MATCH(B454,'Order Planning'!$A$5:$A$204,0)),"")</f>
        <v/>
      </c>
      <c r="F454" s="7"/>
      <c r="G454" s="7"/>
      <c r="L454" s="7">
        <f t="shared" si="1"/>
        <v>0</v>
      </c>
      <c r="M454" s="14">
        <f t="shared" si="2"/>
        <v>0</v>
      </c>
      <c r="N454" s="7"/>
      <c r="O454" s="7">
        <f>IF(N454="Full Process",Settings!$B$6,IF(N454="Assembly Only",Settings!$B$7,0))</f>
        <v>0</v>
      </c>
      <c r="P454" s="14">
        <f t="shared" si="3"/>
        <v>0</v>
      </c>
      <c r="Q454" s="13">
        <f>IF(O454=0,0,MIN(1,L454/O454)*Settings!$B$5)</f>
        <v>0</v>
      </c>
      <c r="R454" s="16"/>
      <c r="S454" s="16"/>
      <c r="U454" s="7"/>
    </row>
    <row r="455" ht="15.75" customHeight="1">
      <c r="A455" s="15"/>
      <c r="B455" s="7"/>
      <c r="C455" s="7" t="str">
        <f t="array" ref="C455">IFERROR(INDEX('Order Planning'!$C$5:$C$204,MATCH(B455,'Order Planning'!$A$5:$A$204,0)),"")</f>
        <v/>
      </c>
      <c r="D455" s="7" t="str">
        <f t="array" ref="D455">IFERROR(INDEX('Order Planning'!$E$5:$E$204,MATCH(B455,'Order Planning'!$A$5:$A$204,0)),"")</f>
        <v/>
      </c>
      <c r="E455" s="7" t="str">
        <f t="array" ref="E455">IFERROR(INDEX('Order Planning'!$F$5:$F$204,MATCH(B455,'Order Planning'!$A$5:$A$204,0)),"")</f>
        <v/>
      </c>
      <c r="F455" s="7"/>
      <c r="G455" s="7"/>
      <c r="L455" s="7">
        <f t="shared" si="1"/>
        <v>0</v>
      </c>
      <c r="M455" s="14">
        <f t="shared" si="2"/>
        <v>0</v>
      </c>
      <c r="N455" s="7"/>
      <c r="O455" s="7">
        <f>IF(N455="Full Process",Settings!$B$6,IF(N455="Assembly Only",Settings!$B$7,0))</f>
        <v>0</v>
      </c>
      <c r="P455" s="14">
        <f t="shared" si="3"/>
        <v>0</v>
      </c>
      <c r="Q455" s="13">
        <f>IF(O455=0,0,MIN(1,L455/O455)*Settings!$B$5)</f>
        <v>0</v>
      </c>
      <c r="R455" s="16"/>
      <c r="S455" s="16"/>
      <c r="U455" s="7"/>
    </row>
    <row r="456" ht="15.75" customHeight="1">
      <c r="A456" s="15"/>
      <c r="B456" s="7"/>
      <c r="C456" s="7" t="str">
        <f t="array" ref="C456">IFERROR(INDEX('Order Planning'!$C$5:$C$204,MATCH(B456,'Order Planning'!$A$5:$A$204,0)),"")</f>
        <v/>
      </c>
      <c r="D456" s="7" t="str">
        <f t="array" ref="D456">IFERROR(INDEX('Order Planning'!$E$5:$E$204,MATCH(B456,'Order Planning'!$A$5:$A$204,0)),"")</f>
        <v/>
      </c>
      <c r="E456" s="7" t="str">
        <f t="array" ref="E456">IFERROR(INDEX('Order Planning'!$F$5:$F$204,MATCH(B456,'Order Planning'!$A$5:$A$204,0)),"")</f>
        <v/>
      </c>
      <c r="F456" s="7"/>
      <c r="G456" s="7"/>
      <c r="L456" s="7">
        <f t="shared" si="1"/>
        <v>0</v>
      </c>
      <c r="M456" s="14">
        <f t="shared" si="2"/>
        <v>0</v>
      </c>
      <c r="N456" s="7"/>
      <c r="O456" s="7">
        <f>IF(N456="Full Process",Settings!$B$6,IF(N456="Assembly Only",Settings!$B$7,0))</f>
        <v>0</v>
      </c>
      <c r="P456" s="14">
        <f t="shared" si="3"/>
        <v>0</v>
      </c>
      <c r="Q456" s="13">
        <f>IF(O456=0,0,MIN(1,L456/O456)*Settings!$B$5)</f>
        <v>0</v>
      </c>
      <c r="R456" s="16"/>
      <c r="S456" s="16"/>
      <c r="U456" s="7"/>
    </row>
    <row r="457" ht="15.75" customHeight="1">
      <c r="A457" s="15"/>
      <c r="B457" s="7"/>
      <c r="C457" s="7" t="str">
        <f t="array" ref="C457">IFERROR(INDEX('Order Planning'!$C$5:$C$204,MATCH(B457,'Order Planning'!$A$5:$A$204,0)),"")</f>
        <v/>
      </c>
      <c r="D457" s="7" t="str">
        <f t="array" ref="D457">IFERROR(INDEX('Order Planning'!$E$5:$E$204,MATCH(B457,'Order Planning'!$A$5:$A$204,0)),"")</f>
        <v/>
      </c>
      <c r="E457" s="7" t="str">
        <f t="array" ref="E457">IFERROR(INDEX('Order Planning'!$F$5:$F$204,MATCH(B457,'Order Planning'!$A$5:$A$204,0)),"")</f>
        <v/>
      </c>
      <c r="F457" s="7"/>
      <c r="G457" s="7"/>
      <c r="L457" s="7">
        <f t="shared" si="1"/>
        <v>0</v>
      </c>
      <c r="M457" s="14">
        <f t="shared" si="2"/>
        <v>0</v>
      </c>
      <c r="N457" s="7"/>
      <c r="O457" s="7">
        <f>IF(N457="Full Process",Settings!$B$6,IF(N457="Assembly Only",Settings!$B$7,0))</f>
        <v>0</v>
      </c>
      <c r="P457" s="14">
        <f t="shared" si="3"/>
        <v>0</v>
      </c>
      <c r="Q457" s="13">
        <f>IF(O457=0,0,MIN(1,L457/O457)*Settings!$B$5)</f>
        <v>0</v>
      </c>
      <c r="R457" s="16"/>
      <c r="S457" s="16"/>
      <c r="U457" s="7"/>
    </row>
    <row r="458" ht="15.75" customHeight="1">
      <c r="A458" s="15"/>
      <c r="B458" s="7"/>
      <c r="C458" s="7" t="str">
        <f t="array" ref="C458">IFERROR(INDEX('Order Planning'!$C$5:$C$204,MATCH(B458,'Order Planning'!$A$5:$A$204,0)),"")</f>
        <v/>
      </c>
      <c r="D458" s="7" t="str">
        <f t="array" ref="D458">IFERROR(INDEX('Order Planning'!$E$5:$E$204,MATCH(B458,'Order Planning'!$A$5:$A$204,0)),"")</f>
        <v/>
      </c>
      <c r="E458" s="7" t="str">
        <f t="array" ref="E458">IFERROR(INDEX('Order Planning'!$F$5:$F$204,MATCH(B458,'Order Planning'!$A$5:$A$204,0)),"")</f>
        <v/>
      </c>
      <c r="F458" s="7"/>
      <c r="G458" s="7"/>
      <c r="L458" s="7">
        <f t="shared" si="1"/>
        <v>0</v>
      </c>
      <c r="M458" s="14">
        <f t="shared" si="2"/>
        <v>0</v>
      </c>
      <c r="N458" s="7"/>
      <c r="O458" s="7">
        <f>IF(N458="Full Process",Settings!$B$6,IF(N458="Assembly Only",Settings!$B$7,0))</f>
        <v>0</v>
      </c>
      <c r="P458" s="14">
        <f t="shared" si="3"/>
        <v>0</v>
      </c>
      <c r="Q458" s="13">
        <f>IF(O458=0,0,MIN(1,L458/O458)*Settings!$B$5)</f>
        <v>0</v>
      </c>
      <c r="R458" s="16"/>
      <c r="S458" s="16"/>
      <c r="U458" s="7"/>
    </row>
    <row r="459" ht="15.75" customHeight="1">
      <c r="A459" s="15"/>
      <c r="B459" s="7"/>
      <c r="C459" s="7" t="str">
        <f t="array" ref="C459">IFERROR(INDEX('Order Planning'!$C$5:$C$204,MATCH(B459,'Order Planning'!$A$5:$A$204,0)),"")</f>
        <v/>
      </c>
      <c r="D459" s="7" t="str">
        <f t="array" ref="D459">IFERROR(INDEX('Order Planning'!$E$5:$E$204,MATCH(B459,'Order Planning'!$A$5:$A$204,0)),"")</f>
        <v/>
      </c>
      <c r="E459" s="7" t="str">
        <f t="array" ref="E459">IFERROR(INDEX('Order Planning'!$F$5:$F$204,MATCH(B459,'Order Planning'!$A$5:$A$204,0)),"")</f>
        <v/>
      </c>
      <c r="F459" s="7"/>
      <c r="G459" s="7"/>
      <c r="L459" s="7">
        <f t="shared" si="1"/>
        <v>0</v>
      </c>
      <c r="M459" s="14">
        <f t="shared" si="2"/>
        <v>0</v>
      </c>
      <c r="N459" s="7"/>
      <c r="O459" s="7">
        <f>IF(N459="Full Process",Settings!$B$6,IF(N459="Assembly Only",Settings!$B$7,0))</f>
        <v>0</v>
      </c>
      <c r="P459" s="14">
        <f t="shared" si="3"/>
        <v>0</v>
      </c>
      <c r="Q459" s="13">
        <f>IF(O459=0,0,MIN(1,L459/O459)*Settings!$B$5)</f>
        <v>0</v>
      </c>
      <c r="R459" s="16"/>
      <c r="S459" s="16"/>
      <c r="U459" s="7"/>
    </row>
    <row r="460" ht="15.75" customHeight="1">
      <c r="A460" s="15"/>
      <c r="B460" s="7"/>
      <c r="C460" s="7" t="str">
        <f t="array" ref="C460">IFERROR(INDEX('Order Planning'!$C$5:$C$204,MATCH(B460,'Order Planning'!$A$5:$A$204,0)),"")</f>
        <v/>
      </c>
      <c r="D460" s="7" t="str">
        <f t="array" ref="D460">IFERROR(INDEX('Order Planning'!$E$5:$E$204,MATCH(B460,'Order Planning'!$A$5:$A$204,0)),"")</f>
        <v/>
      </c>
      <c r="E460" s="7" t="str">
        <f t="array" ref="E460">IFERROR(INDEX('Order Planning'!$F$5:$F$204,MATCH(B460,'Order Planning'!$A$5:$A$204,0)),"")</f>
        <v/>
      </c>
      <c r="F460" s="7"/>
      <c r="G460" s="7"/>
      <c r="L460" s="7">
        <f t="shared" si="1"/>
        <v>0</v>
      </c>
      <c r="M460" s="14">
        <f t="shared" si="2"/>
        <v>0</v>
      </c>
      <c r="N460" s="7"/>
      <c r="O460" s="7">
        <f>IF(N460="Full Process",Settings!$B$6,IF(N460="Assembly Only",Settings!$B$7,0))</f>
        <v>0</v>
      </c>
      <c r="P460" s="14">
        <f t="shared" si="3"/>
        <v>0</v>
      </c>
      <c r="Q460" s="13">
        <f>IF(O460=0,0,MIN(1,L460/O460)*Settings!$B$5)</f>
        <v>0</v>
      </c>
      <c r="R460" s="16"/>
      <c r="S460" s="16"/>
      <c r="U460" s="7"/>
    </row>
    <row r="461" ht="15.75" customHeight="1">
      <c r="A461" s="15"/>
      <c r="B461" s="7"/>
      <c r="C461" s="7" t="str">
        <f t="array" ref="C461">IFERROR(INDEX('Order Planning'!$C$5:$C$204,MATCH(B461,'Order Planning'!$A$5:$A$204,0)),"")</f>
        <v/>
      </c>
      <c r="D461" s="7" t="str">
        <f t="array" ref="D461">IFERROR(INDEX('Order Planning'!$E$5:$E$204,MATCH(B461,'Order Planning'!$A$5:$A$204,0)),"")</f>
        <v/>
      </c>
      <c r="E461" s="7" t="str">
        <f t="array" ref="E461">IFERROR(INDEX('Order Planning'!$F$5:$F$204,MATCH(B461,'Order Planning'!$A$5:$A$204,0)),"")</f>
        <v/>
      </c>
      <c r="F461" s="7"/>
      <c r="G461" s="7"/>
      <c r="L461" s="7">
        <f t="shared" si="1"/>
        <v>0</v>
      </c>
      <c r="M461" s="14">
        <f t="shared" si="2"/>
        <v>0</v>
      </c>
      <c r="N461" s="7"/>
      <c r="O461" s="7">
        <f>IF(N461="Full Process",Settings!$B$6,IF(N461="Assembly Only",Settings!$B$7,0))</f>
        <v>0</v>
      </c>
      <c r="P461" s="14">
        <f t="shared" si="3"/>
        <v>0</v>
      </c>
      <c r="Q461" s="13">
        <f>IF(O461=0,0,MIN(1,L461/O461)*Settings!$B$5)</f>
        <v>0</v>
      </c>
      <c r="R461" s="16"/>
      <c r="S461" s="16"/>
      <c r="U461" s="7"/>
    </row>
    <row r="462" ht="15.75" customHeight="1">
      <c r="A462" s="15"/>
      <c r="B462" s="7"/>
      <c r="C462" s="7" t="str">
        <f t="array" ref="C462">IFERROR(INDEX('Order Planning'!$C$5:$C$204,MATCH(B462,'Order Planning'!$A$5:$A$204,0)),"")</f>
        <v/>
      </c>
      <c r="D462" s="7" t="str">
        <f t="array" ref="D462">IFERROR(INDEX('Order Planning'!$E$5:$E$204,MATCH(B462,'Order Planning'!$A$5:$A$204,0)),"")</f>
        <v/>
      </c>
      <c r="E462" s="7" t="str">
        <f t="array" ref="E462">IFERROR(INDEX('Order Planning'!$F$5:$F$204,MATCH(B462,'Order Planning'!$A$5:$A$204,0)),"")</f>
        <v/>
      </c>
      <c r="F462" s="7"/>
      <c r="G462" s="7"/>
      <c r="L462" s="7">
        <f t="shared" si="1"/>
        <v>0</v>
      </c>
      <c r="M462" s="14">
        <f t="shared" si="2"/>
        <v>0</v>
      </c>
      <c r="N462" s="7"/>
      <c r="O462" s="7">
        <f>IF(N462="Full Process",Settings!$B$6,IF(N462="Assembly Only",Settings!$B$7,0))</f>
        <v>0</v>
      </c>
      <c r="P462" s="14">
        <f t="shared" si="3"/>
        <v>0</v>
      </c>
      <c r="Q462" s="13">
        <f>IF(O462=0,0,MIN(1,L462/O462)*Settings!$B$5)</f>
        <v>0</v>
      </c>
      <c r="R462" s="16"/>
      <c r="S462" s="16"/>
      <c r="U462" s="7"/>
    </row>
    <row r="463" ht="15.75" customHeight="1">
      <c r="A463" s="15"/>
      <c r="B463" s="7"/>
      <c r="C463" s="7" t="str">
        <f t="array" ref="C463">IFERROR(INDEX('Order Planning'!$C$5:$C$204,MATCH(B463,'Order Planning'!$A$5:$A$204,0)),"")</f>
        <v/>
      </c>
      <c r="D463" s="7" t="str">
        <f t="array" ref="D463">IFERROR(INDEX('Order Planning'!$E$5:$E$204,MATCH(B463,'Order Planning'!$A$5:$A$204,0)),"")</f>
        <v/>
      </c>
      <c r="E463" s="7" t="str">
        <f t="array" ref="E463">IFERROR(INDEX('Order Planning'!$F$5:$F$204,MATCH(B463,'Order Planning'!$A$5:$A$204,0)),"")</f>
        <v/>
      </c>
      <c r="F463" s="7"/>
      <c r="G463" s="7"/>
      <c r="L463" s="7">
        <f t="shared" si="1"/>
        <v>0</v>
      </c>
      <c r="M463" s="14">
        <f t="shared" si="2"/>
        <v>0</v>
      </c>
      <c r="N463" s="7"/>
      <c r="O463" s="7">
        <f>IF(N463="Full Process",Settings!$B$6,IF(N463="Assembly Only",Settings!$B$7,0))</f>
        <v>0</v>
      </c>
      <c r="P463" s="14">
        <f t="shared" si="3"/>
        <v>0</v>
      </c>
      <c r="Q463" s="13">
        <f>IF(O463=0,0,MIN(1,L463/O463)*Settings!$B$5)</f>
        <v>0</v>
      </c>
      <c r="R463" s="16"/>
      <c r="S463" s="16"/>
      <c r="U463" s="7"/>
    </row>
    <row r="464" ht="15.75" customHeight="1">
      <c r="A464" s="15"/>
      <c r="B464" s="7"/>
      <c r="C464" s="7" t="str">
        <f t="array" ref="C464">IFERROR(INDEX('Order Planning'!$C$5:$C$204,MATCH(B464,'Order Planning'!$A$5:$A$204,0)),"")</f>
        <v/>
      </c>
      <c r="D464" s="7" t="str">
        <f t="array" ref="D464">IFERROR(INDEX('Order Planning'!$E$5:$E$204,MATCH(B464,'Order Planning'!$A$5:$A$204,0)),"")</f>
        <v/>
      </c>
      <c r="E464" s="7" t="str">
        <f t="array" ref="E464">IFERROR(INDEX('Order Planning'!$F$5:$F$204,MATCH(B464,'Order Planning'!$A$5:$A$204,0)),"")</f>
        <v/>
      </c>
      <c r="F464" s="7"/>
      <c r="G464" s="7"/>
      <c r="L464" s="7">
        <f t="shared" si="1"/>
        <v>0</v>
      </c>
      <c r="M464" s="14">
        <f t="shared" si="2"/>
        <v>0</v>
      </c>
      <c r="N464" s="7"/>
      <c r="O464" s="7">
        <f>IF(N464="Full Process",Settings!$B$6,IF(N464="Assembly Only",Settings!$B$7,0))</f>
        <v>0</v>
      </c>
      <c r="P464" s="14">
        <f t="shared" si="3"/>
        <v>0</v>
      </c>
      <c r="Q464" s="13">
        <f>IF(O464=0,0,MIN(1,L464/O464)*Settings!$B$5)</f>
        <v>0</v>
      </c>
      <c r="R464" s="16"/>
      <c r="S464" s="16"/>
      <c r="U464" s="7"/>
    </row>
    <row r="465" ht="15.75" customHeight="1">
      <c r="A465" s="15"/>
      <c r="B465" s="7"/>
      <c r="C465" s="7" t="str">
        <f t="array" ref="C465">IFERROR(INDEX('Order Planning'!$C$5:$C$204,MATCH(B465,'Order Planning'!$A$5:$A$204,0)),"")</f>
        <v/>
      </c>
      <c r="D465" s="7" t="str">
        <f t="array" ref="D465">IFERROR(INDEX('Order Planning'!$E$5:$E$204,MATCH(B465,'Order Planning'!$A$5:$A$204,0)),"")</f>
        <v/>
      </c>
      <c r="E465" s="7" t="str">
        <f t="array" ref="E465">IFERROR(INDEX('Order Planning'!$F$5:$F$204,MATCH(B465,'Order Planning'!$A$5:$A$204,0)),"")</f>
        <v/>
      </c>
      <c r="F465" s="7"/>
      <c r="G465" s="7"/>
      <c r="L465" s="7">
        <f t="shared" si="1"/>
        <v>0</v>
      </c>
      <c r="M465" s="14">
        <f t="shared" si="2"/>
        <v>0</v>
      </c>
      <c r="N465" s="7"/>
      <c r="O465" s="7">
        <f>IF(N465="Full Process",Settings!$B$6,IF(N465="Assembly Only",Settings!$B$7,0))</f>
        <v>0</v>
      </c>
      <c r="P465" s="14">
        <f t="shared" si="3"/>
        <v>0</v>
      </c>
      <c r="Q465" s="13">
        <f>IF(O465=0,0,MIN(1,L465/O465)*Settings!$B$5)</f>
        <v>0</v>
      </c>
      <c r="R465" s="16"/>
      <c r="S465" s="16"/>
      <c r="U465" s="7"/>
    </row>
    <row r="466" ht="15.75" customHeight="1">
      <c r="A466" s="15"/>
      <c r="B466" s="7"/>
      <c r="C466" s="7" t="str">
        <f t="array" ref="C466">IFERROR(INDEX('Order Planning'!$C$5:$C$204,MATCH(B466,'Order Planning'!$A$5:$A$204,0)),"")</f>
        <v/>
      </c>
      <c r="D466" s="7" t="str">
        <f t="array" ref="D466">IFERROR(INDEX('Order Planning'!$E$5:$E$204,MATCH(B466,'Order Planning'!$A$5:$A$204,0)),"")</f>
        <v/>
      </c>
      <c r="E466" s="7" t="str">
        <f t="array" ref="E466">IFERROR(INDEX('Order Planning'!$F$5:$F$204,MATCH(B466,'Order Planning'!$A$5:$A$204,0)),"")</f>
        <v/>
      </c>
      <c r="F466" s="7"/>
      <c r="G466" s="7"/>
      <c r="L466" s="7">
        <f t="shared" si="1"/>
        <v>0</v>
      </c>
      <c r="M466" s="14">
        <f t="shared" si="2"/>
        <v>0</v>
      </c>
      <c r="N466" s="7"/>
      <c r="O466" s="7">
        <f>IF(N466="Full Process",Settings!$B$6,IF(N466="Assembly Only",Settings!$B$7,0))</f>
        <v>0</v>
      </c>
      <c r="P466" s="14">
        <f t="shared" si="3"/>
        <v>0</v>
      </c>
      <c r="Q466" s="13">
        <f>IF(O466=0,0,MIN(1,L466/O466)*Settings!$B$5)</f>
        <v>0</v>
      </c>
      <c r="R466" s="16"/>
      <c r="S466" s="16"/>
      <c r="U466" s="7"/>
    </row>
    <row r="467" ht="15.75" customHeight="1">
      <c r="A467" s="15"/>
      <c r="B467" s="7"/>
      <c r="C467" s="7" t="str">
        <f t="array" ref="C467">IFERROR(INDEX('Order Planning'!$C$5:$C$204,MATCH(B467,'Order Planning'!$A$5:$A$204,0)),"")</f>
        <v/>
      </c>
      <c r="D467" s="7" t="str">
        <f t="array" ref="D467">IFERROR(INDEX('Order Planning'!$E$5:$E$204,MATCH(B467,'Order Planning'!$A$5:$A$204,0)),"")</f>
        <v/>
      </c>
      <c r="E467" s="7" t="str">
        <f t="array" ref="E467">IFERROR(INDEX('Order Planning'!$F$5:$F$204,MATCH(B467,'Order Planning'!$A$5:$A$204,0)),"")</f>
        <v/>
      </c>
      <c r="F467" s="7"/>
      <c r="G467" s="7"/>
      <c r="L467" s="7">
        <f t="shared" si="1"/>
        <v>0</v>
      </c>
      <c r="M467" s="14">
        <f t="shared" si="2"/>
        <v>0</v>
      </c>
      <c r="N467" s="7"/>
      <c r="O467" s="7">
        <f>IF(N467="Full Process",Settings!$B$6,IF(N467="Assembly Only",Settings!$B$7,0))</f>
        <v>0</v>
      </c>
      <c r="P467" s="14">
        <f t="shared" si="3"/>
        <v>0</v>
      </c>
      <c r="Q467" s="13">
        <f>IF(O467=0,0,MIN(1,L467/O467)*Settings!$B$5)</f>
        <v>0</v>
      </c>
      <c r="R467" s="16"/>
      <c r="S467" s="16"/>
      <c r="U467" s="7"/>
    </row>
    <row r="468" ht="15.75" customHeight="1">
      <c r="A468" s="15"/>
      <c r="B468" s="7"/>
      <c r="C468" s="7" t="str">
        <f t="array" ref="C468">IFERROR(INDEX('Order Planning'!$C$5:$C$204,MATCH(B468,'Order Planning'!$A$5:$A$204,0)),"")</f>
        <v/>
      </c>
      <c r="D468" s="7" t="str">
        <f t="array" ref="D468">IFERROR(INDEX('Order Planning'!$E$5:$E$204,MATCH(B468,'Order Planning'!$A$5:$A$204,0)),"")</f>
        <v/>
      </c>
      <c r="E468" s="7" t="str">
        <f t="array" ref="E468">IFERROR(INDEX('Order Planning'!$F$5:$F$204,MATCH(B468,'Order Planning'!$A$5:$A$204,0)),"")</f>
        <v/>
      </c>
      <c r="F468" s="7"/>
      <c r="G468" s="7"/>
      <c r="L468" s="7">
        <f t="shared" si="1"/>
        <v>0</v>
      </c>
      <c r="M468" s="14">
        <f t="shared" si="2"/>
        <v>0</v>
      </c>
      <c r="N468" s="7"/>
      <c r="O468" s="7">
        <f>IF(N468="Full Process",Settings!$B$6,IF(N468="Assembly Only",Settings!$B$7,0))</f>
        <v>0</v>
      </c>
      <c r="P468" s="14">
        <f t="shared" si="3"/>
        <v>0</v>
      </c>
      <c r="Q468" s="13">
        <f>IF(O468=0,0,MIN(1,L468/O468)*Settings!$B$5)</f>
        <v>0</v>
      </c>
      <c r="R468" s="16"/>
      <c r="S468" s="16"/>
      <c r="U468" s="7"/>
    </row>
    <row r="469" ht="15.75" customHeight="1">
      <c r="A469" s="15"/>
      <c r="B469" s="7"/>
      <c r="C469" s="7" t="str">
        <f t="array" ref="C469">IFERROR(INDEX('Order Planning'!$C$5:$C$204,MATCH(B469,'Order Planning'!$A$5:$A$204,0)),"")</f>
        <v/>
      </c>
      <c r="D469" s="7" t="str">
        <f t="array" ref="D469">IFERROR(INDEX('Order Planning'!$E$5:$E$204,MATCH(B469,'Order Planning'!$A$5:$A$204,0)),"")</f>
        <v/>
      </c>
      <c r="E469" s="7" t="str">
        <f t="array" ref="E469">IFERROR(INDEX('Order Planning'!$F$5:$F$204,MATCH(B469,'Order Planning'!$A$5:$A$204,0)),"")</f>
        <v/>
      </c>
      <c r="F469" s="7"/>
      <c r="G469" s="7"/>
      <c r="L469" s="7">
        <f t="shared" si="1"/>
        <v>0</v>
      </c>
      <c r="M469" s="14">
        <f t="shared" si="2"/>
        <v>0</v>
      </c>
      <c r="N469" s="7"/>
      <c r="O469" s="7">
        <f>IF(N469="Full Process",Settings!$B$6,IF(N469="Assembly Only",Settings!$B$7,0))</f>
        <v>0</v>
      </c>
      <c r="P469" s="14">
        <f t="shared" si="3"/>
        <v>0</v>
      </c>
      <c r="Q469" s="13">
        <f>IF(O469=0,0,MIN(1,L469/O469)*Settings!$B$5)</f>
        <v>0</v>
      </c>
      <c r="R469" s="16"/>
      <c r="S469" s="16"/>
      <c r="U469" s="7"/>
    </row>
    <row r="470" ht="15.75" customHeight="1">
      <c r="A470" s="15"/>
      <c r="B470" s="7"/>
      <c r="C470" s="7" t="str">
        <f t="array" ref="C470">IFERROR(INDEX('Order Planning'!$C$5:$C$204,MATCH(B470,'Order Planning'!$A$5:$A$204,0)),"")</f>
        <v/>
      </c>
      <c r="D470" s="7" t="str">
        <f t="array" ref="D470">IFERROR(INDEX('Order Planning'!$E$5:$E$204,MATCH(B470,'Order Planning'!$A$5:$A$204,0)),"")</f>
        <v/>
      </c>
      <c r="E470" s="7" t="str">
        <f t="array" ref="E470">IFERROR(INDEX('Order Planning'!$F$5:$F$204,MATCH(B470,'Order Planning'!$A$5:$A$204,0)),"")</f>
        <v/>
      </c>
      <c r="F470" s="7"/>
      <c r="G470" s="7"/>
      <c r="L470" s="7">
        <f t="shared" si="1"/>
        <v>0</v>
      </c>
      <c r="M470" s="14">
        <f t="shared" si="2"/>
        <v>0</v>
      </c>
      <c r="N470" s="7"/>
      <c r="O470" s="7">
        <f>IF(N470="Full Process",Settings!$B$6,IF(N470="Assembly Only",Settings!$B$7,0))</f>
        <v>0</v>
      </c>
      <c r="P470" s="14">
        <f t="shared" si="3"/>
        <v>0</v>
      </c>
      <c r="Q470" s="13">
        <f>IF(O470=0,0,MIN(1,L470/O470)*Settings!$B$5)</f>
        <v>0</v>
      </c>
      <c r="R470" s="16"/>
      <c r="S470" s="16"/>
      <c r="U470" s="7"/>
    </row>
    <row r="471" ht="15.75" customHeight="1">
      <c r="A471" s="15"/>
      <c r="B471" s="7"/>
      <c r="C471" s="7" t="str">
        <f t="array" ref="C471">IFERROR(INDEX('Order Planning'!$C$5:$C$204,MATCH(B471,'Order Planning'!$A$5:$A$204,0)),"")</f>
        <v/>
      </c>
      <c r="D471" s="7" t="str">
        <f t="array" ref="D471">IFERROR(INDEX('Order Planning'!$E$5:$E$204,MATCH(B471,'Order Planning'!$A$5:$A$204,0)),"")</f>
        <v/>
      </c>
      <c r="E471" s="7" t="str">
        <f t="array" ref="E471">IFERROR(INDEX('Order Planning'!$F$5:$F$204,MATCH(B471,'Order Planning'!$A$5:$A$204,0)),"")</f>
        <v/>
      </c>
      <c r="F471" s="7"/>
      <c r="G471" s="7"/>
      <c r="L471" s="7">
        <f t="shared" si="1"/>
        <v>0</v>
      </c>
      <c r="M471" s="14">
        <f t="shared" si="2"/>
        <v>0</v>
      </c>
      <c r="N471" s="7"/>
      <c r="O471" s="7">
        <f>IF(N471="Full Process",Settings!$B$6,IF(N471="Assembly Only",Settings!$B$7,0))</f>
        <v>0</v>
      </c>
      <c r="P471" s="14">
        <f t="shared" si="3"/>
        <v>0</v>
      </c>
      <c r="Q471" s="13">
        <f>IF(O471=0,0,MIN(1,L471/O471)*Settings!$B$5)</f>
        <v>0</v>
      </c>
      <c r="R471" s="16"/>
      <c r="S471" s="16"/>
      <c r="U471" s="7"/>
    </row>
    <row r="472" ht="15.75" customHeight="1">
      <c r="A472" s="15"/>
      <c r="B472" s="7"/>
      <c r="C472" s="7" t="str">
        <f t="array" ref="C472">IFERROR(INDEX('Order Planning'!$C$5:$C$204,MATCH(B472,'Order Planning'!$A$5:$A$204,0)),"")</f>
        <v/>
      </c>
      <c r="D472" s="7" t="str">
        <f t="array" ref="D472">IFERROR(INDEX('Order Planning'!$E$5:$E$204,MATCH(B472,'Order Planning'!$A$5:$A$204,0)),"")</f>
        <v/>
      </c>
      <c r="E472" s="7" t="str">
        <f t="array" ref="E472">IFERROR(INDEX('Order Planning'!$F$5:$F$204,MATCH(B472,'Order Planning'!$A$5:$A$204,0)),"")</f>
        <v/>
      </c>
      <c r="F472" s="7"/>
      <c r="G472" s="7"/>
      <c r="L472" s="7">
        <f t="shared" si="1"/>
        <v>0</v>
      </c>
      <c r="M472" s="14">
        <f t="shared" si="2"/>
        <v>0</v>
      </c>
      <c r="N472" s="7"/>
      <c r="O472" s="7">
        <f>IF(N472="Full Process",Settings!$B$6,IF(N472="Assembly Only",Settings!$B$7,0))</f>
        <v>0</v>
      </c>
      <c r="P472" s="14">
        <f t="shared" si="3"/>
        <v>0</v>
      </c>
      <c r="Q472" s="13">
        <f>IF(O472=0,0,MIN(1,L472/O472)*Settings!$B$5)</f>
        <v>0</v>
      </c>
      <c r="R472" s="16"/>
      <c r="S472" s="16"/>
      <c r="U472" s="7"/>
    </row>
    <row r="473" ht="15.75" customHeight="1">
      <c r="A473" s="15"/>
      <c r="B473" s="7"/>
      <c r="C473" s="7" t="str">
        <f t="array" ref="C473">IFERROR(INDEX('Order Planning'!$C$5:$C$204,MATCH(B473,'Order Planning'!$A$5:$A$204,0)),"")</f>
        <v/>
      </c>
      <c r="D473" s="7" t="str">
        <f t="array" ref="D473">IFERROR(INDEX('Order Planning'!$E$5:$E$204,MATCH(B473,'Order Planning'!$A$5:$A$204,0)),"")</f>
        <v/>
      </c>
      <c r="E473" s="7" t="str">
        <f t="array" ref="E473">IFERROR(INDEX('Order Planning'!$F$5:$F$204,MATCH(B473,'Order Planning'!$A$5:$A$204,0)),"")</f>
        <v/>
      </c>
      <c r="F473" s="7"/>
      <c r="G473" s="7"/>
      <c r="L473" s="7">
        <f t="shared" si="1"/>
        <v>0</v>
      </c>
      <c r="M473" s="14">
        <f t="shared" si="2"/>
        <v>0</v>
      </c>
      <c r="N473" s="7"/>
      <c r="O473" s="7">
        <f>IF(N473="Full Process",Settings!$B$6,IF(N473="Assembly Only",Settings!$B$7,0))</f>
        <v>0</v>
      </c>
      <c r="P473" s="14">
        <f t="shared" si="3"/>
        <v>0</v>
      </c>
      <c r="Q473" s="13">
        <f>IF(O473=0,0,MIN(1,L473/O473)*Settings!$B$5)</f>
        <v>0</v>
      </c>
      <c r="R473" s="16"/>
      <c r="S473" s="16"/>
      <c r="U473" s="7"/>
    </row>
    <row r="474" ht="15.75" customHeight="1">
      <c r="A474" s="15"/>
      <c r="B474" s="7"/>
      <c r="C474" s="7" t="str">
        <f t="array" ref="C474">IFERROR(INDEX('Order Planning'!$C$5:$C$204,MATCH(B474,'Order Planning'!$A$5:$A$204,0)),"")</f>
        <v/>
      </c>
      <c r="D474" s="7" t="str">
        <f t="array" ref="D474">IFERROR(INDEX('Order Planning'!$E$5:$E$204,MATCH(B474,'Order Planning'!$A$5:$A$204,0)),"")</f>
        <v/>
      </c>
      <c r="E474" s="7" t="str">
        <f t="array" ref="E474">IFERROR(INDEX('Order Planning'!$F$5:$F$204,MATCH(B474,'Order Planning'!$A$5:$A$204,0)),"")</f>
        <v/>
      </c>
      <c r="F474" s="7"/>
      <c r="G474" s="7"/>
      <c r="L474" s="7">
        <f t="shared" si="1"/>
        <v>0</v>
      </c>
      <c r="M474" s="14">
        <f t="shared" si="2"/>
        <v>0</v>
      </c>
      <c r="N474" s="7"/>
      <c r="O474" s="7">
        <f>IF(N474="Full Process",Settings!$B$6,IF(N474="Assembly Only",Settings!$B$7,0))</f>
        <v>0</v>
      </c>
      <c r="P474" s="14">
        <f t="shared" si="3"/>
        <v>0</v>
      </c>
      <c r="Q474" s="13">
        <f>IF(O474=0,0,MIN(1,L474/O474)*Settings!$B$5)</f>
        <v>0</v>
      </c>
      <c r="R474" s="16"/>
      <c r="S474" s="16"/>
      <c r="U474" s="7"/>
    </row>
    <row r="475" ht="15.75" customHeight="1">
      <c r="A475" s="15"/>
      <c r="B475" s="7"/>
      <c r="C475" s="7" t="str">
        <f t="array" ref="C475">IFERROR(INDEX('Order Planning'!$C$5:$C$204,MATCH(B475,'Order Planning'!$A$5:$A$204,0)),"")</f>
        <v/>
      </c>
      <c r="D475" s="7" t="str">
        <f t="array" ref="D475">IFERROR(INDEX('Order Planning'!$E$5:$E$204,MATCH(B475,'Order Planning'!$A$5:$A$204,0)),"")</f>
        <v/>
      </c>
      <c r="E475" s="7" t="str">
        <f t="array" ref="E475">IFERROR(INDEX('Order Planning'!$F$5:$F$204,MATCH(B475,'Order Planning'!$A$5:$A$204,0)),"")</f>
        <v/>
      </c>
      <c r="F475" s="7"/>
      <c r="G475" s="7"/>
      <c r="L475" s="7">
        <f t="shared" si="1"/>
        <v>0</v>
      </c>
      <c r="M475" s="14">
        <f t="shared" si="2"/>
        <v>0</v>
      </c>
      <c r="N475" s="7"/>
      <c r="O475" s="7">
        <f>IF(N475="Full Process",Settings!$B$6,IF(N475="Assembly Only",Settings!$B$7,0))</f>
        <v>0</v>
      </c>
      <c r="P475" s="14">
        <f t="shared" si="3"/>
        <v>0</v>
      </c>
      <c r="Q475" s="13">
        <f>IF(O475=0,0,MIN(1,L475/O475)*Settings!$B$5)</f>
        <v>0</v>
      </c>
      <c r="R475" s="16"/>
      <c r="S475" s="16"/>
      <c r="U475" s="7"/>
    </row>
    <row r="476" ht="15.75" customHeight="1">
      <c r="A476" s="15"/>
      <c r="B476" s="7"/>
      <c r="C476" s="7" t="str">
        <f t="array" ref="C476">IFERROR(INDEX('Order Planning'!$C$5:$C$204,MATCH(B476,'Order Planning'!$A$5:$A$204,0)),"")</f>
        <v/>
      </c>
      <c r="D476" s="7" t="str">
        <f t="array" ref="D476">IFERROR(INDEX('Order Planning'!$E$5:$E$204,MATCH(B476,'Order Planning'!$A$5:$A$204,0)),"")</f>
        <v/>
      </c>
      <c r="E476" s="7" t="str">
        <f t="array" ref="E476">IFERROR(INDEX('Order Planning'!$F$5:$F$204,MATCH(B476,'Order Planning'!$A$5:$A$204,0)),"")</f>
        <v/>
      </c>
      <c r="F476" s="7"/>
      <c r="G476" s="7"/>
      <c r="L476" s="7">
        <f t="shared" si="1"/>
        <v>0</v>
      </c>
      <c r="M476" s="14">
        <f t="shared" si="2"/>
        <v>0</v>
      </c>
      <c r="N476" s="7"/>
      <c r="O476" s="7">
        <f>IF(N476="Full Process",Settings!$B$6,IF(N476="Assembly Only",Settings!$B$7,0))</f>
        <v>0</v>
      </c>
      <c r="P476" s="14">
        <f t="shared" si="3"/>
        <v>0</v>
      </c>
      <c r="Q476" s="13">
        <f>IF(O476=0,0,MIN(1,L476/O476)*Settings!$B$5)</f>
        <v>0</v>
      </c>
      <c r="R476" s="16"/>
      <c r="S476" s="16"/>
      <c r="U476" s="7"/>
    </row>
    <row r="477" ht="15.75" customHeight="1">
      <c r="A477" s="15"/>
      <c r="B477" s="7"/>
      <c r="C477" s="7" t="str">
        <f t="array" ref="C477">IFERROR(INDEX('Order Planning'!$C$5:$C$204,MATCH(B477,'Order Planning'!$A$5:$A$204,0)),"")</f>
        <v/>
      </c>
      <c r="D477" s="7" t="str">
        <f t="array" ref="D477">IFERROR(INDEX('Order Planning'!$E$5:$E$204,MATCH(B477,'Order Planning'!$A$5:$A$204,0)),"")</f>
        <v/>
      </c>
      <c r="E477" s="7" t="str">
        <f t="array" ref="E477">IFERROR(INDEX('Order Planning'!$F$5:$F$204,MATCH(B477,'Order Planning'!$A$5:$A$204,0)),"")</f>
        <v/>
      </c>
      <c r="F477" s="7"/>
      <c r="G477" s="7"/>
      <c r="L477" s="7">
        <f t="shared" si="1"/>
        <v>0</v>
      </c>
      <c r="M477" s="14">
        <f t="shared" si="2"/>
        <v>0</v>
      </c>
      <c r="N477" s="7"/>
      <c r="O477" s="7">
        <f>IF(N477="Full Process",Settings!$B$6,IF(N477="Assembly Only",Settings!$B$7,0))</f>
        <v>0</v>
      </c>
      <c r="P477" s="14">
        <f t="shared" si="3"/>
        <v>0</v>
      </c>
      <c r="Q477" s="13">
        <f>IF(O477=0,0,MIN(1,L477/O477)*Settings!$B$5)</f>
        <v>0</v>
      </c>
      <c r="R477" s="16"/>
      <c r="S477" s="16"/>
      <c r="U477" s="7"/>
    </row>
    <row r="478" ht="15.75" customHeight="1">
      <c r="A478" s="15"/>
      <c r="B478" s="7"/>
      <c r="C478" s="7" t="str">
        <f t="array" ref="C478">IFERROR(INDEX('Order Planning'!$C$5:$C$204,MATCH(B478,'Order Planning'!$A$5:$A$204,0)),"")</f>
        <v/>
      </c>
      <c r="D478" s="7" t="str">
        <f t="array" ref="D478">IFERROR(INDEX('Order Planning'!$E$5:$E$204,MATCH(B478,'Order Planning'!$A$5:$A$204,0)),"")</f>
        <v/>
      </c>
      <c r="E478" s="7" t="str">
        <f t="array" ref="E478">IFERROR(INDEX('Order Planning'!$F$5:$F$204,MATCH(B478,'Order Planning'!$A$5:$A$204,0)),"")</f>
        <v/>
      </c>
      <c r="F478" s="7"/>
      <c r="G478" s="7"/>
      <c r="L478" s="7">
        <f t="shared" si="1"/>
        <v>0</v>
      </c>
      <c r="M478" s="14">
        <f t="shared" si="2"/>
        <v>0</v>
      </c>
      <c r="N478" s="7"/>
      <c r="O478" s="7">
        <f>IF(N478="Full Process",Settings!$B$6,IF(N478="Assembly Only",Settings!$B$7,0))</f>
        <v>0</v>
      </c>
      <c r="P478" s="14">
        <f t="shared" si="3"/>
        <v>0</v>
      </c>
      <c r="Q478" s="13">
        <f>IF(O478=0,0,MIN(1,L478/O478)*Settings!$B$5)</f>
        <v>0</v>
      </c>
      <c r="R478" s="16"/>
      <c r="S478" s="16"/>
      <c r="U478" s="7"/>
    </row>
    <row r="479" ht="15.75" customHeight="1">
      <c r="A479" s="15"/>
      <c r="B479" s="7"/>
      <c r="C479" s="7" t="str">
        <f t="array" ref="C479">IFERROR(INDEX('Order Planning'!$C$5:$C$204,MATCH(B479,'Order Planning'!$A$5:$A$204,0)),"")</f>
        <v/>
      </c>
      <c r="D479" s="7" t="str">
        <f t="array" ref="D479">IFERROR(INDEX('Order Planning'!$E$5:$E$204,MATCH(B479,'Order Planning'!$A$5:$A$204,0)),"")</f>
        <v/>
      </c>
      <c r="E479" s="7" t="str">
        <f t="array" ref="E479">IFERROR(INDEX('Order Planning'!$F$5:$F$204,MATCH(B479,'Order Planning'!$A$5:$A$204,0)),"")</f>
        <v/>
      </c>
      <c r="F479" s="7"/>
      <c r="G479" s="7"/>
      <c r="L479" s="7">
        <f t="shared" si="1"/>
        <v>0</v>
      </c>
      <c r="M479" s="14">
        <f t="shared" si="2"/>
        <v>0</v>
      </c>
      <c r="N479" s="7"/>
      <c r="O479" s="7">
        <f>IF(N479="Full Process",Settings!$B$6,IF(N479="Assembly Only",Settings!$B$7,0))</f>
        <v>0</v>
      </c>
      <c r="P479" s="14">
        <f t="shared" si="3"/>
        <v>0</v>
      </c>
      <c r="Q479" s="13">
        <f>IF(O479=0,0,MIN(1,L479/O479)*Settings!$B$5)</f>
        <v>0</v>
      </c>
      <c r="R479" s="16"/>
      <c r="S479" s="16"/>
      <c r="U479" s="7"/>
    </row>
    <row r="480" ht="15.75" customHeight="1">
      <c r="A480" s="15"/>
      <c r="B480" s="7"/>
      <c r="C480" s="7" t="str">
        <f t="array" ref="C480">IFERROR(INDEX('Order Planning'!$C$5:$C$204,MATCH(B480,'Order Planning'!$A$5:$A$204,0)),"")</f>
        <v/>
      </c>
      <c r="D480" s="7" t="str">
        <f t="array" ref="D480">IFERROR(INDEX('Order Planning'!$E$5:$E$204,MATCH(B480,'Order Planning'!$A$5:$A$204,0)),"")</f>
        <v/>
      </c>
      <c r="E480" s="7" t="str">
        <f t="array" ref="E480">IFERROR(INDEX('Order Planning'!$F$5:$F$204,MATCH(B480,'Order Planning'!$A$5:$A$204,0)),"")</f>
        <v/>
      </c>
      <c r="F480" s="7"/>
      <c r="G480" s="7"/>
      <c r="L480" s="7">
        <f t="shared" si="1"/>
        <v>0</v>
      </c>
      <c r="M480" s="14">
        <f t="shared" si="2"/>
        <v>0</v>
      </c>
      <c r="N480" s="7"/>
      <c r="O480" s="7">
        <f>IF(N480="Full Process",Settings!$B$6,IF(N480="Assembly Only",Settings!$B$7,0))</f>
        <v>0</v>
      </c>
      <c r="P480" s="14">
        <f t="shared" si="3"/>
        <v>0</v>
      </c>
      <c r="Q480" s="13">
        <f>IF(O480=0,0,MIN(1,L480/O480)*Settings!$B$5)</f>
        <v>0</v>
      </c>
      <c r="R480" s="16"/>
      <c r="S480" s="16"/>
      <c r="U480" s="7"/>
    </row>
    <row r="481" ht="15.75" customHeight="1">
      <c r="A481" s="15"/>
      <c r="B481" s="7"/>
      <c r="C481" s="7" t="str">
        <f t="array" ref="C481">IFERROR(INDEX('Order Planning'!$C$5:$C$204,MATCH(B481,'Order Planning'!$A$5:$A$204,0)),"")</f>
        <v/>
      </c>
      <c r="D481" s="7" t="str">
        <f t="array" ref="D481">IFERROR(INDEX('Order Planning'!$E$5:$E$204,MATCH(B481,'Order Planning'!$A$5:$A$204,0)),"")</f>
        <v/>
      </c>
      <c r="E481" s="7" t="str">
        <f t="array" ref="E481">IFERROR(INDEX('Order Planning'!$F$5:$F$204,MATCH(B481,'Order Planning'!$A$5:$A$204,0)),"")</f>
        <v/>
      </c>
      <c r="F481" s="7"/>
      <c r="G481" s="7"/>
      <c r="L481" s="7">
        <f t="shared" si="1"/>
        <v>0</v>
      </c>
      <c r="M481" s="14">
        <f t="shared" si="2"/>
        <v>0</v>
      </c>
      <c r="N481" s="7"/>
      <c r="O481" s="7">
        <f>IF(N481="Full Process",Settings!$B$6,IF(N481="Assembly Only",Settings!$B$7,0))</f>
        <v>0</v>
      </c>
      <c r="P481" s="14">
        <f t="shared" si="3"/>
        <v>0</v>
      </c>
      <c r="Q481" s="13">
        <f>IF(O481=0,0,MIN(1,L481/O481)*Settings!$B$5)</f>
        <v>0</v>
      </c>
      <c r="R481" s="16"/>
      <c r="S481" s="16"/>
      <c r="U481" s="7"/>
    </row>
    <row r="482" ht="15.75" customHeight="1">
      <c r="A482" s="15"/>
      <c r="B482" s="7"/>
      <c r="C482" s="7" t="str">
        <f t="array" ref="C482">IFERROR(INDEX('Order Planning'!$C$5:$C$204,MATCH(B482,'Order Planning'!$A$5:$A$204,0)),"")</f>
        <v/>
      </c>
      <c r="D482" s="7" t="str">
        <f t="array" ref="D482">IFERROR(INDEX('Order Planning'!$E$5:$E$204,MATCH(B482,'Order Planning'!$A$5:$A$204,0)),"")</f>
        <v/>
      </c>
      <c r="E482" s="7" t="str">
        <f t="array" ref="E482">IFERROR(INDEX('Order Planning'!$F$5:$F$204,MATCH(B482,'Order Planning'!$A$5:$A$204,0)),"")</f>
        <v/>
      </c>
      <c r="F482" s="7"/>
      <c r="G482" s="7"/>
      <c r="L482" s="7">
        <f t="shared" si="1"/>
        <v>0</v>
      </c>
      <c r="M482" s="14">
        <f t="shared" si="2"/>
        <v>0</v>
      </c>
      <c r="N482" s="7"/>
      <c r="O482" s="7">
        <f>IF(N482="Full Process",Settings!$B$6,IF(N482="Assembly Only",Settings!$B$7,0))</f>
        <v>0</v>
      </c>
      <c r="P482" s="14">
        <f t="shared" si="3"/>
        <v>0</v>
      </c>
      <c r="Q482" s="13">
        <f>IF(O482=0,0,MIN(1,L482/O482)*Settings!$B$5)</f>
        <v>0</v>
      </c>
      <c r="R482" s="16"/>
      <c r="S482" s="16"/>
      <c r="U482" s="7"/>
    </row>
    <row r="483" ht="15.75" customHeight="1">
      <c r="A483" s="15"/>
      <c r="B483" s="7"/>
      <c r="C483" s="7" t="str">
        <f t="array" ref="C483">IFERROR(INDEX('Order Planning'!$C$5:$C$204,MATCH(B483,'Order Planning'!$A$5:$A$204,0)),"")</f>
        <v/>
      </c>
      <c r="D483" s="7" t="str">
        <f t="array" ref="D483">IFERROR(INDEX('Order Planning'!$E$5:$E$204,MATCH(B483,'Order Planning'!$A$5:$A$204,0)),"")</f>
        <v/>
      </c>
      <c r="E483" s="7" t="str">
        <f t="array" ref="E483">IFERROR(INDEX('Order Planning'!$F$5:$F$204,MATCH(B483,'Order Planning'!$A$5:$A$204,0)),"")</f>
        <v/>
      </c>
      <c r="F483" s="7"/>
      <c r="G483" s="7"/>
      <c r="L483" s="7">
        <f t="shared" si="1"/>
        <v>0</v>
      </c>
      <c r="M483" s="14">
        <f t="shared" si="2"/>
        <v>0</v>
      </c>
      <c r="N483" s="7"/>
      <c r="O483" s="7">
        <f>IF(N483="Full Process",Settings!$B$6,IF(N483="Assembly Only",Settings!$B$7,0))</f>
        <v>0</v>
      </c>
      <c r="P483" s="14">
        <f t="shared" si="3"/>
        <v>0</v>
      </c>
      <c r="Q483" s="13">
        <f>IF(O483=0,0,MIN(1,L483/O483)*Settings!$B$5)</f>
        <v>0</v>
      </c>
      <c r="R483" s="16"/>
      <c r="S483" s="16"/>
      <c r="U483" s="7"/>
    </row>
    <row r="484" ht="15.75" customHeight="1">
      <c r="A484" s="15"/>
      <c r="B484" s="7"/>
      <c r="C484" s="7" t="str">
        <f t="array" ref="C484">IFERROR(INDEX('Order Planning'!$C$5:$C$204,MATCH(B484,'Order Planning'!$A$5:$A$204,0)),"")</f>
        <v/>
      </c>
      <c r="D484" s="7" t="str">
        <f t="array" ref="D484">IFERROR(INDEX('Order Planning'!$E$5:$E$204,MATCH(B484,'Order Planning'!$A$5:$A$204,0)),"")</f>
        <v/>
      </c>
      <c r="E484" s="7" t="str">
        <f t="array" ref="E484">IFERROR(INDEX('Order Planning'!$F$5:$F$204,MATCH(B484,'Order Planning'!$A$5:$A$204,0)),"")</f>
        <v/>
      </c>
      <c r="F484" s="7"/>
      <c r="G484" s="7"/>
      <c r="L484" s="7">
        <f t="shared" si="1"/>
        <v>0</v>
      </c>
      <c r="M484" s="14">
        <f t="shared" si="2"/>
        <v>0</v>
      </c>
      <c r="N484" s="7"/>
      <c r="O484" s="7">
        <f>IF(N484="Full Process",Settings!$B$6,IF(N484="Assembly Only",Settings!$B$7,0))</f>
        <v>0</v>
      </c>
      <c r="P484" s="14">
        <f t="shared" si="3"/>
        <v>0</v>
      </c>
      <c r="Q484" s="13">
        <f>IF(O484=0,0,MIN(1,L484/O484)*Settings!$B$5)</f>
        <v>0</v>
      </c>
      <c r="R484" s="16"/>
      <c r="S484" s="16"/>
      <c r="U484" s="7"/>
    </row>
    <row r="485" ht="15.75" customHeight="1">
      <c r="A485" s="15"/>
      <c r="B485" s="7"/>
      <c r="C485" s="7" t="str">
        <f t="array" ref="C485">IFERROR(INDEX('Order Planning'!$C$5:$C$204,MATCH(B485,'Order Planning'!$A$5:$A$204,0)),"")</f>
        <v/>
      </c>
      <c r="D485" s="7" t="str">
        <f t="array" ref="D485">IFERROR(INDEX('Order Planning'!$E$5:$E$204,MATCH(B485,'Order Planning'!$A$5:$A$204,0)),"")</f>
        <v/>
      </c>
      <c r="E485" s="7" t="str">
        <f t="array" ref="E485">IFERROR(INDEX('Order Planning'!$F$5:$F$204,MATCH(B485,'Order Planning'!$A$5:$A$204,0)),"")</f>
        <v/>
      </c>
      <c r="F485" s="7"/>
      <c r="G485" s="7"/>
      <c r="L485" s="7">
        <f t="shared" si="1"/>
        <v>0</v>
      </c>
      <c r="M485" s="14">
        <f t="shared" si="2"/>
        <v>0</v>
      </c>
      <c r="N485" s="7"/>
      <c r="O485" s="7">
        <f>IF(N485="Full Process",Settings!$B$6,IF(N485="Assembly Only",Settings!$B$7,0))</f>
        <v>0</v>
      </c>
      <c r="P485" s="14">
        <f t="shared" si="3"/>
        <v>0</v>
      </c>
      <c r="Q485" s="13">
        <f>IF(O485=0,0,MIN(1,L485/O485)*Settings!$B$5)</f>
        <v>0</v>
      </c>
      <c r="R485" s="16"/>
      <c r="S485" s="16"/>
      <c r="U485" s="7"/>
    </row>
    <row r="486" ht="15.75" customHeight="1">
      <c r="A486" s="15"/>
      <c r="B486" s="7"/>
      <c r="C486" s="7" t="str">
        <f t="array" ref="C486">IFERROR(INDEX('Order Planning'!$C$5:$C$204,MATCH(B486,'Order Planning'!$A$5:$A$204,0)),"")</f>
        <v/>
      </c>
      <c r="D486" s="7" t="str">
        <f t="array" ref="D486">IFERROR(INDEX('Order Planning'!$E$5:$E$204,MATCH(B486,'Order Planning'!$A$5:$A$204,0)),"")</f>
        <v/>
      </c>
      <c r="E486" s="7" t="str">
        <f t="array" ref="E486">IFERROR(INDEX('Order Planning'!$F$5:$F$204,MATCH(B486,'Order Planning'!$A$5:$A$204,0)),"")</f>
        <v/>
      </c>
      <c r="F486" s="7"/>
      <c r="G486" s="7"/>
      <c r="L486" s="7">
        <f t="shared" si="1"/>
        <v>0</v>
      </c>
      <c r="M486" s="14">
        <f t="shared" si="2"/>
        <v>0</v>
      </c>
      <c r="N486" s="7"/>
      <c r="O486" s="7">
        <f>IF(N486="Full Process",Settings!$B$6,IF(N486="Assembly Only",Settings!$B$7,0))</f>
        <v>0</v>
      </c>
      <c r="P486" s="14">
        <f t="shared" si="3"/>
        <v>0</v>
      </c>
      <c r="Q486" s="13">
        <f>IF(O486=0,0,MIN(1,L486/O486)*Settings!$B$5)</f>
        <v>0</v>
      </c>
      <c r="R486" s="16"/>
      <c r="S486" s="16"/>
      <c r="U486" s="7"/>
    </row>
    <row r="487" ht="15.75" customHeight="1">
      <c r="A487" s="15"/>
      <c r="B487" s="7"/>
      <c r="C487" s="7" t="str">
        <f t="array" ref="C487">IFERROR(INDEX('Order Planning'!$C$5:$C$204,MATCH(B487,'Order Planning'!$A$5:$A$204,0)),"")</f>
        <v/>
      </c>
      <c r="D487" s="7" t="str">
        <f t="array" ref="D487">IFERROR(INDEX('Order Planning'!$E$5:$E$204,MATCH(B487,'Order Planning'!$A$5:$A$204,0)),"")</f>
        <v/>
      </c>
      <c r="E487" s="7" t="str">
        <f t="array" ref="E487">IFERROR(INDEX('Order Planning'!$F$5:$F$204,MATCH(B487,'Order Planning'!$A$5:$A$204,0)),"")</f>
        <v/>
      </c>
      <c r="F487" s="7"/>
      <c r="G487" s="7"/>
      <c r="L487" s="7">
        <f t="shared" si="1"/>
        <v>0</v>
      </c>
      <c r="M487" s="14">
        <f t="shared" si="2"/>
        <v>0</v>
      </c>
      <c r="N487" s="7"/>
      <c r="O487" s="7">
        <f>IF(N487="Full Process",Settings!$B$6,IF(N487="Assembly Only",Settings!$B$7,0))</f>
        <v>0</v>
      </c>
      <c r="P487" s="14">
        <f t="shared" si="3"/>
        <v>0</v>
      </c>
      <c r="Q487" s="13">
        <f>IF(O487=0,0,MIN(1,L487/O487)*Settings!$B$5)</f>
        <v>0</v>
      </c>
      <c r="R487" s="16"/>
      <c r="S487" s="16"/>
      <c r="U487" s="7"/>
    </row>
    <row r="488" ht="15.75" customHeight="1">
      <c r="A488" s="15"/>
      <c r="B488" s="7"/>
      <c r="C488" s="7" t="str">
        <f t="array" ref="C488">IFERROR(INDEX('Order Planning'!$C$5:$C$204,MATCH(B488,'Order Planning'!$A$5:$A$204,0)),"")</f>
        <v/>
      </c>
      <c r="D488" s="7" t="str">
        <f t="array" ref="D488">IFERROR(INDEX('Order Planning'!$E$5:$E$204,MATCH(B488,'Order Planning'!$A$5:$A$204,0)),"")</f>
        <v/>
      </c>
      <c r="E488" s="7" t="str">
        <f t="array" ref="E488">IFERROR(INDEX('Order Planning'!$F$5:$F$204,MATCH(B488,'Order Planning'!$A$5:$A$204,0)),"")</f>
        <v/>
      </c>
      <c r="F488" s="7"/>
      <c r="G488" s="7"/>
      <c r="L488" s="7">
        <f t="shared" si="1"/>
        <v>0</v>
      </c>
      <c r="M488" s="14">
        <f t="shared" si="2"/>
        <v>0</v>
      </c>
      <c r="N488" s="7"/>
      <c r="O488" s="7">
        <f>IF(N488="Full Process",Settings!$B$6,IF(N488="Assembly Only",Settings!$B$7,0))</f>
        <v>0</v>
      </c>
      <c r="P488" s="14">
        <f t="shared" si="3"/>
        <v>0</v>
      </c>
      <c r="Q488" s="13">
        <f>IF(O488=0,0,MIN(1,L488/O488)*Settings!$B$5)</f>
        <v>0</v>
      </c>
      <c r="R488" s="16"/>
      <c r="S488" s="16"/>
      <c r="U488" s="7"/>
    </row>
    <row r="489" ht="15.75" customHeight="1">
      <c r="A489" s="15"/>
      <c r="B489" s="7"/>
      <c r="C489" s="7" t="str">
        <f t="array" ref="C489">IFERROR(INDEX('Order Planning'!$C$5:$C$204,MATCH(B489,'Order Planning'!$A$5:$A$204,0)),"")</f>
        <v/>
      </c>
      <c r="D489" s="7" t="str">
        <f t="array" ref="D489">IFERROR(INDEX('Order Planning'!$E$5:$E$204,MATCH(B489,'Order Planning'!$A$5:$A$204,0)),"")</f>
        <v/>
      </c>
      <c r="E489" s="7" t="str">
        <f t="array" ref="E489">IFERROR(INDEX('Order Planning'!$F$5:$F$204,MATCH(B489,'Order Planning'!$A$5:$A$204,0)),"")</f>
        <v/>
      </c>
      <c r="F489" s="7"/>
      <c r="G489" s="7"/>
      <c r="L489" s="7">
        <f t="shared" si="1"/>
        <v>0</v>
      </c>
      <c r="M489" s="14">
        <f t="shared" si="2"/>
        <v>0</v>
      </c>
      <c r="N489" s="7"/>
      <c r="O489" s="7">
        <f>IF(N489="Full Process",Settings!$B$6,IF(N489="Assembly Only",Settings!$B$7,0))</f>
        <v>0</v>
      </c>
      <c r="P489" s="14">
        <f t="shared" si="3"/>
        <v>0</v>
      </c>
      <c r="Q489" s="13">
        <f>IF(O489=0,0,MIN(1,L489/O489)*Settings!$B$5)</f>
        <v>0</v>
      </c>
      <c r="R489" s="16"/>
      <c r="S489" s="16"/>
      <c r="U489" s="7"/>
    </row>
    <row r="490" ht="15.75" customHeight="1">
      <c r="A490" s="15"/>
      <c r="B490" s="7"/>
      <c r="C490" s="7" t="str">
        <f t="array" ref="C490">IFERROR(INDEX('Order Planning'!$C$5:$C$204,MATCH(B490,'Order Planning'!$A$5:$A$204,0)),"")</f>
        <v/>
      </c>
      <c r="D490" s="7" t="str">
        <f t="array" ref="D490">IFERROR(INDEX('Order Planning'!$E$5:$E$204,MATCH(B490,'Order Planning'!$A$5:$A$204,0)),"")</f>
        <v/>
      </c>
      <c r="E490" s="7" t="str">
        <f t="array" ref="E490">IFERROR(INDEX('Order Planning'!$F$5:$F$204,MATCH(B490,'Order Planning'!$A$5:$A$204,0)),"")</f>
        <v/>
      </c>
      <c r="F490" s="7"/>
      <c r="G490" s="7"/>
      <c r="L490" s="7">
        <f t="shared" si="1"/>
        <v>0</v>
      </c>
      <c r="M490" s="14">
        <f t="shared" si="2"/>
        <v>0</v>
      </c>
      <c r="N490" s="7"/>
      <c r="O490" s="7">
        <f>IF(N490="Full Process",Settings!$B$6,IF(N490="Assembly Only",Settings!$B$7,0))</f>
        <v>0</v>
      </c>
      <c r="P490" s="14">
        <f t="shared" si="3"/>
        <v>0</v>
      </c>
      <c r="Q490" s="13">
        <f>IF(O490=0,0,MIN(1,L490/O490)*Settings!$B$5)</f>
        <v>0</v>
      </c>
      <c r="R490" s="16"/>
      <c r="S490" s="16"/>
      <c r="U490" s="7"/>
    </row>
    <row r="491" ht="15.75" customHeight="1">
      <c r="A491" s="15"/>
      <c r="B491" s="7"/>
      <c r="C491" s="7" t="str">
        <f t="array" ref="C491">IFERROR(INDEX('Order Planning'!$C$5:$C$204,MATCH(B491,'Order Planning'!$A$5:$A$204,0)),"")</f>
        <v/>
      </c>
      <c r="D491" s="7" t="str">
        <f t="array" ref="D491">IFERROR(INDEX('Order Planning'!$E$5:$E$204,MATCH(B491,'Order Planning'!$A$5:$A$204,0)),"")</f>
        <v/>
      </c>
      <c r="E491" s="7" t="str">
        <f t="array" ref="E491">IFERROR(INDEX('Order Planning'!$F$5:$F$204,MATCH(B491,'Order Planning'!$A$5:$A$204,0)),"")</f>
        <v/>
      </c>
      <c r="F491" s="7"/>
      <c r="G491" s="7"/>
      <c r="L491" s="7">
        <f t="shared" si="1"/>
        <v>0</v>
      </c>
      <c r="M491" s="14">
        <f t="shared" si="2"/>
        <v>0</v>
      </c>
      <c r="N491" s="7"/>
      <c r="O491" s="7">
        <f>IF(N491="Full Process",Settings!$B$6,IF(N491="Assembly Only",Settings!$B$7,0))</f>
        <v>0</v>
      </c>
      <c r="P491" s="14">
        <f t="shared" si="3"/>
        <v>0</v>
      </c>
      <c r="Q491" s="13">
        <f>IF(O491=0,0,MIN(1,L491/O491)*Settings!$B$5)</f>
        <v>0</v>
      </c>
      <c r="R491" s="16"/>
      <c r="S491" s="16"/>
      <c r="U491" s="7"/>
    </row>
    <row r="492" ht="15.75" customHeight="1">
      <c r="A492" s="15"/>
      <c r="B492" s="7"/>
      <c r="C492" s="7" t="str">
        <f t="array" ref="C492">IFERROR(INDEX('Order Planning'!$C$5:$C$204,MATCH(B492,'Order Planning'!$A$5:$A$204,0)),"")</f>
        <v/>
      </c>
      <c r="D492" s="7" t="str">
        <f t="array" ref="D492">IFERROR(INDEX('Order Planning'!$E$5:$E$204,MATCH(B492,'Order Planning'!$A$5:$A$204,0)),"")</f>
        <v/>
      </c>
      <c r="E492" s="7" t="str">
        <f t="array" ref="E492">IFERROR(INDEX('Order Planning'!$F$5:$F$204,MATCH(B492,'Order Planning'!$A$5:$A$204,0)),"")</f>
        <v/>
      </c>
      <c r="F492" s="7"/>
      <c r="G492" s="7"/>
      <c r="L492" s="7">
        <f t="shared" si="1"/>
        <v>0</v>
      </c>
      <c r="M492" s="14">
        <f t="shared" si="2"/>
        <v>0</v>
      </c>
      <c r="N492" s="7"/>
      <c r="O492" s="7">
        <f>IF(N492="Full Process",Settings!$B$6,IF(N492="Assembly Only",Settings!$B$7,0))</f>
        <v>0</v>
      </c>
      <c r="P492" s="14">
        <f t="shared" si="3"/>
        <v>0</v>
      </c>
      <c r="Q492" s="13">
        <f>IF(O492=0,0,MIN(1,L492/O492)*Settings!$B$5)</f>
        <v>0</v>
      </c>
      <c r="R492" s="16"/>
      <c r="S492" s="16"/>
      <c r="U492" s="7"/>
    </row>
    <row r="493" ht="15.75" customHeight="1">
      <c r="A493" s="15"/>
      <c r="B493" s="7"/>
      <c r="C493" s="7" t="str">
        <f t="array" ref="C493">IFERROR(INDEX('Order Planning'!$C$5:$C$204,MATCH(B493,'Order Planning'!$A$5:$A$204,0)),"")</f>
        <v/>
      </c>
      <c r="D493" s="7" t="str">
        <f t="array" ref="D493">IFERROR(INDEX('Order Planning'!$E$5:$E$204,MATCH(B493,'Order Planning'!$A$5:$A$204,0)),"")</f>
        <v/>
      </c>
      <c r="E493" s="7" t="str">
        <f t="array" ref="E493">IFERROR(INDEX('Order Planning'!$F$5:$F$204,MATCH(B493,'Order Planning'!$A$5:$A$204,0)),"")</f>
        <v/>
      </c>
      <c r="F493" s="7"/>
      <c r="G493" s="7"/>
      <c r="L493" s="7">
        <f t="shared" si="1"/>
        <v>0</v>
      </c>
      <c r="M493" s="14">
        <f t="shared" si="2"/>
        <v>0</v>
      </c>
      <c r="N493" s="7"/>
      <c r="O493" s="7">
        <f>IF(N493="Full Process",Settings!$B$6,IF(N493="Assembly Only",Settings!$B$7,0))</f>
        <v>0</v>
      </c>
      <c r="P493" s="14">
        <f t="shared" si="3"/>
        <v>0</v>
      </c>
      <c r="Q493" s="13">
        <f>IF(O493=0,0,MIN(1,L493/O493)*Settings!$B$5)</f>
        <v>0</v>
      </c>
      <c r="R493" s="16"/>
      <c r="S493" s="16"/>
      <c r="U493" s="7"/>
    </row>
    <row r="494" ht="15.75" customHeight="1">
      <c r="A494" s="15"/>
      <c r="B494" s="7"/>
      <c r="C494" s="7" t="str">
        <f t="array" ref="C494">IFERROR(INDEX('Order Planning'!$C$5:$C$204,MATCH(B494,'Order Planning'!$A$5:$A$204,0)),"")</f>
        <v/>
      </c>
      <c r="D494" s="7" t="str">
        <f t="array" ref="D494">IFERROR(INDEX('Order Planning'!$E$5:$E$204,MATCH(B494,'Order Planning'!$A$5:$A$204,0)),"")</f>
        <v/>
      </c>
      <c r="E494" s="7" t="str">
        <f t="array" ref="E494">IFERROR(INDEX('Order Planning'!$F$5:$F$204,MATCH(B494,'Order Planning'!$A$5:$A$204,0)),"")</f>
        <v/>
      </c>
      <c r="F494" s="7"/>
      <c r="G494" s="7"/>
      <c r="L494" s="7">
        <f t="shared" si="1"/>
        <v>0</v>
      </c>
      <c r="M494" s="14">
        <f t="shared" si="2"/>
        <v>0</v>
      </c>
      <c r="N494" s="7"/>
      <c r="O494" s="7">
        <f>IF(N494="Full Process",Settings!$B$6,IF(N494="Assembly Only",Settings!$B$7,0))</f>
        <v>0</v>
      </c>
      <c r="P494" s="14">
        <f t="shared" si="3"/>
        <v>0</v>
      </c>
      <c r="Q494" s="13">
        <f>IF(O494=0,0,MIN(1,L494/O494)*Settings!$B$5)</f>
        <v>0</v>
      </c>
      <c r="R494" s="16"/>
      <c r="S494" s="16"/>
      <c r="U494" s="7"/>
    </row>
    <row r="495" ht="15.75" customHeight="1">
      <c r="A495" s="15"/>
      <c r="B495" s="7"/>
      <c r="C495" s="7" t="str">
        <f t="array" ref="C495">IFERROR(INDEX('Order Planning'!$C$5:$C$204,MATCH(B495,'Order Planning'!$A$5:$A$204,0)),"")</f>
        <v/>
      </c>
      <c r="D495" s="7" t="str">
        <f t="array" ref="D495">IFERROR(INDEX('Order Planning'!$E$5:$E$204,MATCH(B495,'Order Planning'!$A$5:$A$204,0)),"")</f>
        <v/>
      </c>
      <c r="E495" s="7" t="str">
        <f t="array" ref="E495">IFERROR(INDEX('Order Planning'!$F$5:$F$204,MATCH(B495,'Order Planning'!$A$5:$A$204,0)),"")</f>
        <v/>
      </c>
      <c r="F495" s="7"/>
      <c r="G495" s="7"/>
      <c r="L495" s="7">
        <f t="shared" si="1"/>
        <v>0</v>
      </c>
      <c r="M495" s="14">
        <f t="shared" si="2"/>
        <v>0</v>
      </c>
      <c r="N495" s="7"/>
      <c r="O495" s="7">
        <f>IF(N495="Full Process",Settings!$B$6,IF(N495="Assembly Only",Settings!$B$7,0))</f>
        <v>0</v>
      </c>
      <c r="P495" s="14">
        <f t="shared" si="3"/>
        <v>0</v>
      </c>
      <c r="Q495" s="13">
        <f>IF(O495=0,0,MIN(1,L495/O495)*Settings!$B$5)</f>
        <v>0</v>
      </c>
      <c r="R495" s="16"/>
      <c r="S495" s="16"/>
      <c r="U495" s="7"/>
    </row>
    <row r="496" ht="15.75" customHeight="1">
      <c r="A496" s="15"/>
      <c r="B496" s="7"/>
      <c r="C496" s="7" t="str">
        <f t="array" ref="C496">IFERROR(INDEX('Order Planning'!$C$5:$C$204,MATCH(B496,'Order Planning'!$A$5:$A$204,0)),"")</f>
        <v/>
      </c>
      <c r="D496" s="7" t="str">
        <f t="array" ref="D496">IFERROR(INDEX('Order Planning'!$E$5:$E$204,MATCH(B496,'Order Planning'!$A$5:$A$204,0)),"")</f>
        <v/>
      </c>
      <c r="E496" s="7" t="str">
        <f t="array" ref="E496">IFERROR(INDEX('Order Planning'!$F$5:$F$204,MATCH(B496,'Order Planning'!$A$5:$A$204,0)),"")</f>
        <v/>
      </c>
      <c r="F496" s="7"/>
      <c r="G496" s="7"/>
      <c r="L496" s="7">
        <f t="shared" si="1"/>
        <v>0</v>
      </c>
      <c r="M496" s="14">
        <f t="shared" si="2"/>
        <v>0</v>
      </c>
      <c r="N496" s="7"/>
      <c r="O496" s="7">
        <f>IF(N496="Full Process",Settings!$B$6,IF(N496="Assembly Only",Settings!$B$7,0))</f>
        <v>0</v>
      </c>
      <c r="P496" s="14">
        <f t="shared" si="3"/>
        <v>0</v>
      </c>
      <c r="Q496" s="13">
        <f>IF(O496=0,0,MIN(1,L496/O496)*Settings!$B$5)</f>
        <v>0</v>
      </c>
      <c r="R496" s="16"/>
      <c r="S496" s="16"/>
      <c r="U496" s="7"/>
    </row>
    <row r="497" ht="15.75" customHeight="1">
      <c r="A497" s="15"/>
      <c r="B497" s="7"/>
      <c r="C497" s="7" t="str">
        <f t="array" ref="C497">IFERROR(INDEX('Order Planning'!$C$5:$C$204,MATCH(B497,'Order Planning'!$A$5:$A$204,0)),"")</f>
        <v/>
      </c>
      <c r="D497" s="7" t="str">
        <f t="array" ref="D497">IFERROR(INDEX('Order Planning'!$E$5:$E$204,MATCH(B497,'Order Planning'!$A$5:$A$204,0)),"")</f>
        <v/>
      </c>
      <c r="E497" s="7" t="str">
        <f t="array" ref="E497">IFERROR(INDEX('Order Planning'!$F$5:$F$204,MATCH(B497,'Order Planning'!$A$5:$A$204,0)),"")</f>
        <v/>
      </c>
      <c r="F497" s="7"/>
      <c r="G497" s="7"/>
      <c r="L497" s="7">
        <f t="shared" si="1"/>
        <v>0</v>
      </c>
      <c r="M497" s="14">
        <f t="shared" si="2"/>
        <v>0</v>
      </c>
      <c r="N497" s="7"/>
      <c r="O497" s="7">
        <f>IF(N497="Full Process",Settings!$B$6,IF(N497="Assembly Only",Settings!$B$7,0))</f>
        <v>0</v>
      </c>
      <c r="P497" s="14">
        <f t="shared" si="3"/>
        <v>0</v>
      </c>
      <c r="Q497" s="13">
        <f>IF(O497=0,0,MIN(1,L497/O497)*Settings!$B$5)</f>
        <v>0</v>
      </c>
      <c r="R497" s="16"/>
      <c r="S497" s="16"/>
      <c r="U497" s="7"/>
    </row>
    <row r="498" ht="15.75" customHeight="1">
      <c r="A498" s="15"/>
      <c r="B498" s="7"/>
      <c r="C498" s="7" t="str">
        <f t="array" ref="C498">IFERROR(INDEX('Order Planning'!$C$5:$C$204,MATCH(B498,'Order Planning'!$A$5:$A$204,0)),"")</f>
        <v/>
      </c>
      <c r="D498" s="7" t="str">
        <f t="array" ref="D498">IFERROR(INDEX('Order Planning'!$E$5:$E$204,MATCH(B498,'Order Planning'!$A$5:$A$204,0)),"")</f>
        <v/>
      </c>
      <c r="E498" s="7" t="str">
        <f t="array" ref="E498">IFERROR(INDEX('Order Planning'!$F$5:$F$204,MATCH(B498,'Order Planning'!$A$5:$A$204,0)),"")</f>
        <v/>
      </c>
      <c r="F498" s="7"/>
      <c r="G498" s="7"/>
      <c r="L498" s="7">
        <f t="shared" si="1"/>
        <v>0</v>
      </c>
      <c r="M498" s="14">
        <f t="shared" si="2"/>
        <v>0</v>
      </c>
      <c r="N498" s="7"/>
      <c r="O498" s="7">
        <f>IF(N498="Full Process",Settings!$B$6,IF(N498="Assembly Only",Settings!$B$7,0))</f>
        <v>0</v>
      </c>
      <c r="P498" s="14">
        <f t="shared" si="3"/>
        <v>0</v>
      </c>
      <c r="Q498" s="13">
        <f>IF(O498=0,0,MIN(1,L498/O498)*Settings!$B$5)</f>
        <v>0</v>
      </c>
      <c r="R498" s="16"/>
      <c r="S498" s="16"/>
      <c r="U498" s="7"/>
    </row>
    <row r="499" ht="15.75" customHeight="1">
      <c r="A499" s="15"/>
      <c r="B499" s="7"/>
      <c r="C499" s="7" t="str">
        <f t="array" ref="C499">IFERROR(INDEX('Order Planning'!$C$5:$C$204,MATCH(B499,'Order Planning'!$A$5:$A$204,0)),"")</f>
        <v/>
      </c>
      <c r="D499" s="7" t="str">
        <f t="array" ref="D499">IFERROR(INDEX('Order Planning'!$E$5:$E$204,MATCH(B499,'Order Planning'!$A$5:$A$204,0)),"")</f>
        <v/>
      </c>
      <c r="E499" s="7" t="str">
        <f t="array" ref="E499">IFERROR(INDEX('Order Planning'!$F$5:$F$204,MATCH(B499,'Order Planning'!$A$5:$A$204,0)),"")</f>
        <v/>
      </c>
      <c r="F499" s="7"/>
      <c r="G499" s="7"/>
      <c r="L499" s="7">
        <f t="shared" si="1"/>
        <v>0</v>
      </c>
      <c r="M499" s="14">
        <f t="shared" si="2"/>
        <v>0</v>
      </c>
      <c r="N499" s="7"/>
      <c r="O499" s="7">
        <f>IF(N499="Full Process",Settings!$B$6,IF(N499="Assembly Only",Settings!$B$7,0))</f>
        <v>0</v>
      </c>
      <c r="P499" s="14">
        <f t="shared" si="3"/>
        <v>0</v>
      </c>
      <c r="Q499" s="13">
        <f>IF(O499=0,0,MIN(1,L499/O499)*Settings!$B$5)</f>
        <v>0</v>
      </c>
      <c r="R499" s="16"/>
      <c r="S499" s="16"/>
      <c r="U499" s="7"/>
    </row>
    <row r="500" ht="15.75" customHeight="1">
      <c r="A500" s="15"/>
      <c r="B500" s="7"/>
      <c r="C500" s="7" t="str">
        <f t="array" ref="C500">IFERROR(INDEX('Order Planning'!$C$5:$C$204,MATCH(B500,'Order Planning'!$A$5:$A$204,0)),"")</f>
        <v/>
      </c>
      <c r="D500" s="7" t="str">
        <f t="array" ref="D500">IFERROR(INDEX('Order Planning'!$E$5:$E$204,MATCH(B500,'Order Planning'!$A$5:$A$204,0)),"")</f>
        <v/>
      </c>
      <c r="E500" s="7" t="str">
        <f t="array" ref="E500">IFERROR(INDEX('Order Planning'!$F$5:$F$204,MATCH(B500,'Order Planning'!$A$5:$A$204,0)),"")</f>
        <v/>
      </c>
      <c r="F500" s="7"/>
      <c r="G500" s="7"/>
      <c r="L500" s="7">
        <f t="shared" si="1"/>
        <v>0</v>
      </c>
      <c r="M500" s="14">
        <f t="shared" si="2"/>
        <v>0</v>
      </c>
      <c r="N500" s="7"/>
      <c r="O500" s="7">
        <f>IF(N500="Full Process",Settings!$B$6,IF(N500="Assembly Only",Settings!$B$7,0))</f>
        <v>0</v>
      </c>
      <c r="P500" s="14">
        <f t="shared" si="3"/>
        <v>0</v>
      </c>
      <c r="Q500" s="13">
        <f>IF(O500=0,0,MIN(1,L500/O500)*Settings!$B$5)</f>
        <v>0</v>
      </c>
      <c r="R500" s="16"/>
      <c r="S500" s="16"/>
      <c r="U500" s="7"/>
    </row>
    <row r="501" ht="15.75" customHeight="1">
      <c r="A501" s="15"/>
      <c r="B501" s="7"/>
      <c r="C501" s="7" t="str">
        <f t="array" ref="C501">IFERROR(INDEX('Order Planning'!$C$5:$C$204,MATCH(B501,'Order Planning'!$A$5:$A$204,0)),"")</f>
        <v/>
      </c>
      <c r="D501" s="7" t="str">
        <f t="array" ref="D501">IFERROR(INDEX('Order Planning'!$E$5:$E$204,MATCH(B501,'Order Planning'!$A$5:$A$204,0)),"")</f>
        <v/>
      </c>
      <c r="E501" s="7" t="str">
        <f t="array" ref="E501">IFERROR(INDEX('Order Planning'!$F$5:$F$204,MATCH(B501,'Order Planning'!$A$5:$A$204,0)),"")</f>
        <v/>
      </c>
      <c r="F501" s="7"/>
      <c r="G501" s="7"/>
      <c r="L501" s="7">
        <f t="shared" si="1"/>
        <v>0</v>
      </c>
      <c r="M501" s="14">
        <f t="shared" si="2"/>
        <v>0</v>
      </c>
      <c r="N501" s="7"/>
      <c r="O501" s="7">
        <f>IF(N501="Full Process",Settings!$B$6,IF(N501="Assembly Only",Settings!$B$7,0))</f>
        <v>0</v>
      </c>
      <c r="P501" s="14">
        <f t="shared" si="3"/>
        <v>0</v>
      </c>
      <c r="Q501" s="13">
        <f>IF(O501=0,0,MIN(1,L501/O501)*Settings!$B$5)</f>
        <v>0</v>
      </c>
      <c r="R501" s="16"/>
      <c r="S501" s="16"/>
      <c r="U501" s="7"/>
    </row>
    <row r="502" ht="15.75" customHeight="1">
      <c r="A502" s="15"/>
      <c r="B502" s="7"/>
      <c r="C502" s="7" t="str">
        <f t="array" ref="C502">IFERROR(INDEX('Order Planning'!$C$5:$C$204,MATCH(B502,'Order Planning'!$A$5:$A$204,0)),"")</f>
        <v/>
      </c>
      <c r="D502" s="7" t="str">
        <f t="array" ref="D502">IFERROR(INDEX('Order Planning'!$E$5:$E$204,MATCH(B502,'Order Planning'!$A$5:$A$204,0)),"")</f>
        <v/>
      </c>
      <c r="E502" s="7" t="str">
        <f t="array" ref="E502">IFERROR(INDEX('Order Planning'!$F$5:$F$204,MATCH(B502,'Order Planning'!$A$5:$A$204,0)),"")</f>
        <v/>
      </c>
      <c r="F502" s="7"/>
      <c r="G502" s="7"/>
      <c r="L502" s="7">
        <f t="shared" si="1"/>
        <v>0</v>
      </c>
      <c r="M502" s="14">
        <f t="shared" si="2"/>
        <v>0</v>
      </c>
      <c r="N502" s="7"/>
      <c r="O502" s="7">
        <f>IF(N502="Full Process",Settings!$B$6,IF(N502="Assembly Only",Settings!$B$7,0))</f>
        <v>0</v>
      </c>
      <c r="P502" s="14">
        <f t="shared" si="3"/>
        <v>0</v>
      </c>
      <c r="Q502" s="13">
        <f>IF(O502=0,0,MIN(1,L502/O502)*Settings!$B$5)</f>
        <v>0</v>
      </c>
      <c r="R502" s="16"/>
      <c r="S502" s="16"/>
      <c r="U502" s="7"/>
    </row>
    <row r="503" ht="15.75" customHeight="1">
      <c r="A503" s="15"/>
      <c r="B503" s="7"/>
      <c r="C503" s="7" t="str">
        <f t="array" ref="C503">IFERROR(INDEX('Order Planning'!$C$5:$C$204,MATCH(B503,'Order Planning'!$A$5:$A$204,0)),"")</f>
        <v/>
      </c>
      <c r="D503" s="7" t="str">
        <f t="array" ref="D503">IFERROR(INDEX('Order Planning'!$E$5:$E$204,MATCH(B503,'Order Planning'!$A$5:$A$204,0)),"")</f>
        <v/>
      </c>
      <c r="E503" s="7" t="str">
        <f t="array" ref="E503">IFERROR(INDEX('Order Planning'!$F$5:$F$204,MATCH(B503,'Order Planning'!$A$5:$A$204,0)),"")</f>
        <v/>
      </c>
      <c r="F503" s="7"/>
      <c r="G503" s="7"/>
      <c r="L503" s="7">
        <f t="shared" si="1"/>
        <v>0</v>
      </c>
      <c r="M503" s="14">
        <f t="shared" si="2"/>
        <v>0</v>
      </c>
      <c r="N503" s="7"/>
      <c r="O503" s="7">
        <f>IF(N503="Full Process",Settings!$B$6,IF(N503="Assembly Only",Settings!$B$7,0))</f>
        <v>0</v>
      </c>
      <c r="P503" s="14">
        <f t="shared" si="3"/>
        <v>0</v>
      </c>
      <c r="Q503" s="13">
        <f>IF(O503=0,0,MIN(1,L503/O503)*Settings!$B$5)</f>
        <v>0</v>
      </c>
      <c r="R503" s="16"/>
      <c r="S503" s="16"/>
      <c r="U503" s="7"/>
    </row>
    <row r="504" ht="15.75" customHeight="1">
      <c r="A504" s="15"/>
      <c r="B504" s="7"/>
      <c r="C504" s="7" t="str">
        <f t="array" ref="C504">IFERROR(INDEX('Order Planning'!$C$5:$C$204,MATCH(B504,'Order Planning'!$A$5:$A$204,0)),"")</f>
        <v/>
      </c>
      <c r="D504" s="7" t="str">
        <f t="array" ref="D504">IFERROR(INDEX('Order Planning'!$E$5:$E$204,MATCH(B504,'Order Planning'!$A$5:$A$204,0)),"")</f>
        <v/>
      </c>
      <c r="E504" s="7" t="str">
        <f t="array" ref="E504">IFERROR(INDEX('Order Planning'!$F$5:$F$204,MATCH(B504,'Order Planning'!$A$5:$A$204,0)),"")</f>
        <v/>
      </c>
      <c r="F504" s="7"/>
      <c r="G504" s="7"/>
      <c r="L504" s="7">
        <f t="shared" si="1"/>
        <v>0</v>
      </c>
      <c r="M504" s="14">
        <f t="shared" si="2"/>
        <v>0</v>
      </c>
      <c r="N504" s="7"/>
      <c r="O504" s="7">
        <f>IF(N504="Full Process",Settings!$B$6,IF(N504="Assembly Only",Settings!$B$7,0))</f>
        <v>0</v>
      </c>
      <c r="P504" s="14">
        <f t="shared" si="3"/>
        <v>0</v>
      </c>
      <c r="Q504" s="13">
        <f>IF(O504=0,0,MIN(1,L504/O504)*Settings!$B$5)</f>
        <v>0</v>
      </c>
      <c r="R504" s="16"/>
      <c r="S504" s="16"/>
      <c r="U504" s="7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1"/>
    <mergeCell ref="A2:U2"/>
  </mergeCells>
  <dataValidations>
    <dataValidation type="list" allowBlank="1" sqref="N5:N504">
      <formula1>"Full Process,Assembly Only"</formula1>
    </dataValidation>
    <dataValidation type="list" allowBlank="1" sqref="F5:F504">
      <formula1>'Master Data'!$E$5:$E$13</formula1>
    </dataValidation>
    <dataValidation type="list" allowBlank="1" sqref="U5:U504">
      <formula1>"No Change,Urgent,High,Normal,Low"</formula1>
    </dataValidation>
    <dataValidation type="list" allowBlank="1" sqref="G5:G504">
      <formula1>'Master Data'!$G$5:$G$13</formula1>
    </dataValidation>
    <dataValidation type="list" allowBlank="1" sqref="B5:B504">
      <formula1>'Order Planning'!$A$5:$A$204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0"/>
    <col customWidth="1" min="3" max="3" width="12.0"/>
    <col customWidth="1" min="4" max="5" width="10.0"/>
    <col customWidth="1" min="6" max="6" width="9.0"/>
    <col customWidth="1" min="7" max="7" width="12.0"/>
    <col customWidth="1" min="8" max="9" width="11.0"/>
    <col customWidth="1" min="10" max="10" width="10.0"/>
    <col customWidth="1" min="11" max="11" width="13.0"/>
    <col customWidth="1" min="12" max="12" width="14.0"/>
    <col customWidth="1" min="13" max="13" width="28.0"/>
    <col customWidth="1" min="14" max="26" width="8.63"/>
  </cols>
  <sheetData>
    <row r="1" ht="27.75" customHeight="1">
      <c r="A1" s="2" t="s">
        <v>203</v>
      </c>
    </row>
    <row r="2">
      <c r="A2" s="4" t="s">
        <v>204</v>
      </c>
    </row>
    <row r="4" ht="31.5" customHeight="1">
      <c r="A4" s="5" t="s">
        <v>186</v>
      </c>
      <c r="B4" s="5" t="s">
        <v>165</v>
      </c>
      <c r="C4" s="5" t="s">
        <v>46</v>
      </c>
      <c r="D4" s="5" t="s">
        <v>205</v>
      </c>
      <c r="E4" s="5" t="s">
        <v>206</v>
      </c>
      <c r="F4" s="5" t="s">
        <v>207</v>
      </c>
      <c r="G4" s="5" t="s">
        <v>208</v>
      </c>
      <c r="H4" s="5" t="s">
        <v>194</v>
      </c>
      <c r="I4" s="5" t="s">
        <v>192</v>
      </c>
      <c r="J4" s="5" t="s">
        <v>193</v>
      </c>
      <c r="K4" s="5" t="s">
        <v>198</v>
      </c>
      <c r="L4" s="5" t="s">
        <v>209</v>
      </c>
      <c r="M4" s="5" t="s">
        <v>189</v>
      </c>
    </row>
    <row r="5">
      <c r="A5" s="17">
        <v>46230.0</v>
      </c>
      <c r="B5" s="18" t="s">
        <v>128</v>
      </c>
      <c r="C5" s="18" t="s">
        <v>64</v>
      </c>
      <c r="D5" s="19">
        <v>0.3958333333333333</v>
      </c>
      <c r="E5" s="20">
        <v>0.6666666666666666</v>
      </c>
      <c r="F5" s="21">
        <f t="shared" ref="F5:F304" si="1">IF(OR(D5="",E5=""),0,(E5-D5)*24)</f>
        <v>6.5</v>
      </c>
      <c r="G5" s="7">
        <f>COUNTIFS('Daily Production'!$A$5:$A$504,A5,'Daily Production'!$F$5:$F$504,B5)</f>
        <v>0</v>
      </c>
      <c r="H5" s="7">
        <f>SUMIFS('Daily Production'!$L$5:$L$504,'Daily Production'!$A$5:$A$504,A5,'Daily Production'!$F$5:$F$504,B5)</f>
        <v>0</v>
      </c>
      <c r="I5" s="7">
        <f>SUMIFS('Daily Production'!$J$5:$J$504,'Daily Production'!$A$5:$A$504,A5,'Daily Production'!$F$5:$F$504,B5)</f>
        <v>0</v>
      </c>
      <c r="J5" s="7">
        <f>SUMIFS('Daily Production'!$K$5:$K$504,'Daily Production'!$A$5:$A$504,A5,'Daily Production'!$F$5:$F$504,B5)</f>
        <v>0</v>
      </c>
      <c r="K5" s="13">
        <f>SUMIFS('Daily Production'!$Q$5:$Q$504,'Daily Production'!$A$5:$A$504,A5,'Daily Production'!$F$5:$F$504,B5)</f>
        <v>0</v>
      </c>
      <c r="L5" s="13">
        <f>IF(C5="Present",Settings!$B$5,IF(C5="Half Day",Settings!$B$5/2,0))</f>
        <v>350</v>
      </c>
    </row>
    <row r="6">
      <c r="A6" s="15"/>
      <c r="B6" s="7"/>
      <c r="C6" s="7"/>
      <c r="D6" s="19"/>
      <c r="E6" s="20"/>
      <c r="F6" s="7">
        <f t="shared" si="1"/>
        <v>0</v>
      </c>
      <c r="G6" s="7">
        <f>COUNTIFS('Daily Production'!$A$5:$A$504,A6,'Daily Production'!$F$5:$F$504,B6)</f>
        <v>0</v>
      </c>
      <c r="H6" s="7">
        <f>SUMIFS('Daily Production'!$L$5:$L$504,'Daily Production'!$A$5:$A$504,A6,'Daily Production'!$F$5:$F$504,B6)</f>
        <v>0</v>
      </c>
      <c r="I6" s="7">
        <f>SUMIFS('Daily Production'!$J$5:$J$504,'Daily Production'!$A$5:$A$504,A6,'Daily Production'!$F$5:$F$504,B6)</f>
        <v>0</v>
      </c>
      <c r="J6" s="7">
        <f>SUMIFS('Daily Production'!$K$5:$K$504,'Daily Production'!$A$5:$A$504,A6,'Daily Production'!$F$5:$F$504,B6)</f>
        <v>0</v>
      </c>
      <c r="K6" s="13">
        <f>SUMIFS('Daily Production'!$Q$5:$Q$504,'Daily Production'!$A$5:$A$504,A6,'Daily Production'!$F$5:$F$504,B6)</f>
        <v>0</v>
      </c>
      <c r="L6" s="13">
        <f>IF(C6="Present",Settings!$B$5,IF(C6="Half Day",Settings!$B$5/2,0))</f>
        <v>0</v>
      </c>
    </row>
    <row r="7">
      <c r="A7" s="15"/>
      <c r="B7" s="7"/>
      <c r="C7" s="7"/>
      <c r="D7" s="19"/>
      <c r="E7" s="20"/>
      <c r="F7" s="7">
        <f t="shared" si="1"/>
        <v>0</v>
      </c>
      <c r="G7" s="7">
        <f>COUNTIFS('Daily Production'!$A$5:$A$504,A7,'Daily Production'!$F$5:$F$504,B7)</f>
        <v>0</v>
      </c>
      <c r="H7" s="7">
        <f>SUMIFS('Daily Production'!$L$5:$L$504,'Daily Production'!$A$5:$A$504,A7,'Daily Production'!$F$5:$F$504,B7)</f>
        <v>0</v>
      </c>
      <c r="I7" s="7">
        <f>SUMIFS('Daily Production'!$J$5:$J$504,'Daily Production'!$A$5:$A$504,A7,'Daily Production'!$F$5:$F$504,B7)</f>
        <v>0</v>
      </c>
      <c r="J7" s="7">
        <f>SUMIFS('Daily Production'!$K$5:$K$504,'Daily Production'!$A$5:$A$504,A7,'Daily Production'!$F$5:$F$504,B7)</f>
        <v>0</v>
      </c>
      <c r="K7" s="13">
        <f>SUMIFS('Daily Production'!$Q$5:$Q$504,'Daily Production'!$A$5:$A$504,A7,'Daily Production'!$F$5:$F$504,B7)</f>
        <v>0</v>
      </c>
      <c r="L7" s="13">
        <f>IF(C7="Present",Settings!$B$5,IF(C7="Half Day",Settings!$B$5/2,0))</f>
        <v>0</v>
      </c>
    </row>
    <row r="8">
      <c r="A8" s="15"/>
      <c r="B8" s="7"/>
      <c r="C8" s="7"/>
      <c r="D8" s="16"/>
      <c r="E8" s="16"/>
      <c r="F8" s="7">
        <f t="shared" si="1"/>
        <v>0</v>
      </c>
      <c r="G8" s="7">
        <f>COUNTIFS('Daily Production'!$A$5:$A$504,A8,'Daily Production'!$F$5:$F$504,B8)</f>
        <v>0</v>
      </c>
      <c r="H8" s="7">
        <f>SUMIFS('Daily Production'!$L$5:$L$504,'Daily Production'!$A$5:$A$504,A8,'Daily Production'!$F$5:$F$504,B8)</f>
        <v>0</v>
      </c>
      <c r="I8" s="7">
        <f>SUMIFS('Daily Production'!$J$5:$J$504,'Daily Production'!$A$5:$A$504,A8,'Daily Production'!$F$5:$F$504,B8)</f>
        <v>0</v>
      </c>
      <c r="J8" s="7">
        <f>SUMIFS('Daily Production'!$K$5:$K$504,'Daily Production'!$A$5:$A$504,A8,'Daily Production'!$F$5:$F$504,B8)</f>
        <v>0</v>
      </c>
      <c r="K8" s="13">
        <f>SUMIFS('Daily Production'!$Q$5:$Q$504,'Daily Production'!$A$5:$A$504,A8,'Daily Production'!$F$5:$F$504,B8)</f>
        <v>0</v>
      </c>
      <c r="L8" s="13">
        <f>IF(C8="Present",Settings!$B$5,IF(C8="Half Day",Settings!$B$5/2,0))</f>
        <v>0</v>
      </c>
    </row>
    <row r="9">
      <c r="A9" s="15"/>
      <c r="B9" s="7"/>
      <c r="C9" s="7"/>
      <c r="D9" s="16"/>
      <c r="E9" s="16"/>
      <c r="F9" s="7">
        <f t="shared" si="1"/>
        <v>0</v>
      </c>
      <c r="G9" s="7">
        <f>COUNTIFS('Daily Production'!$A$5:$A$504,A9,'Daily Production'!$F$5:$F$504,B9)</f>
        <v>0</v>
      </c>
      <c r="H9" s="7">
        <f>SUMIFS('Daily Production'!$L$5:$L$504,'Daily Production'!$A$5:$A$504,A9,'Daily Production'!$F$5:$F$504,B9)</f>
        <v>0</v>
      </c>
      <c r="I9" s="7">
        <f>SUMIFS('Daily Production'!$J$5:$J$504,'Daily Production'!$A$5:$A$504,A9,'Daily Production'!$F$5:$F$504,B9)</f>
        <v>0</v>
      </c>
      <c r="J9" s="7">
        <f>SUMIFS('Daily Production'!$K$5:$K$504,'Daily Production'!$A$5:$A$504,A9,'Daily Production'!$F$5:$F$504,B9)</f>
        <v>0</v>
      </c>
      <c r="K9" s="13">
        <f>SUMIFS('Daily Production'!$Q$5:$Q$504,'Daily Production'!$A$5:$A$504,A9,'Daily Production'!$F$5:$F$504,B9)</f>
        <v>0</v>
      </c>
      <c r="L9" s="13">
        <f>IF(C9="Present",Settings!$B$5,IF(C9="Half Day",Settings!$B$5/2,0))</f>
        <v>0</v>
      </c>
    </row>
    <row r="10">
      <c r="A10" s="15"/>
      <c r="B10" s="7"/>
      <c r="C10" s="7"/>
      <c r="D10" s="16"/>
      <c r="E10" s="16"/>
      <c r="F10" s="7">
        <f t="shared" si="1"/>
        <v>0</v>
      </c>
      <c r="G10" s="7">
        <f>COUNTIFS('Daily Production'!$A$5:$A$504,A10,'Daily Production'!$F$5:$F$504,B10)</f>
        <v>0</v>
      </c>
      <c r="H10" s="7">
        <f>SUMIFS('Daily Production'!$L$5:$L$504,'Daily Production'!$A$5:$A$504,A10,'Daily Production'!$F$5:$F$504,B10)</f>
        <v>0</v>
      </c>
      <c r="I10" s="7">
        <f>SUMIFS('Daily Production'!$J$5:$J$504,'Daily Production'!$A$5:$A$504,A10,'Daily Production'!$F$5:$F$504,B10)</f>
        <v>0</v>
      </c>
      <c r="J10" s="7">
        <f>SUMIFS('Daily Production'!$K$5:$K$504,'Daily Production'!$A$5:$A$504,A10,'Daily Production'!$F$5:$F$504,B10)</f>
        <v>0</v>
      </c>
      <c r="K10" s="13">
        <f>SUMIFS('Daily Production'!$Q$5:$Q$504,'Daily Production'!$A$5:$A$504,A10,'Daily Production'!$F$5:$F$504,B10)</f>
        <v>0</v>
      </c>
      <c r="L10" s="13">
        <f>IF(C10="Present",Settings!$B$5,IF(C10="Half Day",Settings!$B$5/2,0))</f>
        <v>0</v>
      </c>
    </row>
    <row r="11">
      <c r="A11" s="15"/>
      <c r="B11" s="7"/>
      <c r="C11" s="7"/>
      <c r="D11" s="16"/>
      <c r="E11" s="16"/>
      <c r="F11" s="7">
        <f t="shared" si="1"/>
        <v>0</v>
      </c>
      <c r="G11" s="7">
        <f>COUNTIFS('Daily Production'!$A$5:$A$504,A11,'Daily Production'!$F$5:$F$504,B11)</f>
        <v>0</v>
      </c>
      <c r="H11" s="7">
        <f>SUMIFS('Daily Production'!$L$5:$L$504,'Daily Production'!$A$5:$A$504,A11,'Daily Production'!$F$5:$F$504,B11)</f>
        <v>0</v>
      </c>
      <c r="I11" s="7">
        <f>SUMIFS('Daily Production'!$J$5:$J$504,'Daily Production'!$A$5:$A$504,A11,'Daily Production'!$F$5:$F$504,B11)</f>
        <v>0</v>
      </c>
      <c r="J11" s="7">
        <f>SUMIFS('Daily Production'!$K$5:$K$504,'Daily Production'!$A$5:$A$504,A11,'Daily Production'!$F$5:$F$504,B11)</f>
        <v>0</v>
      </c>
      <c r="K11" s="13">
        <f>SUMIFS('Daily Production'!$Q$5:$Q$504,'Daily Production'!$A$5:$A$504,A11,'Daily Production'!$F$5:$F$504,B11)</f>
        <v>0</v>
      </c>
      <c r="L11" s="13">
        <f>IF(C11="Present",Settings!$B$5,IF(C11="Half Day",Settings!$B$5/2,0))</f>
        <v>0</v>
      </c>
    </row>
    <row r="12">
      <c r="A12" s="15"/>
      <c r="B12" s="7"/>
      <c r="C12" s="7"/>
      <c r="D12" s="16"/>
      <c r="E12" s="16"/>
      <c r="F12" s="7">
        <f t="shared" si="1"/>
        <v>0</v>
      </c>
      <c r="G12" s="7">
        <f>COUNTIFS('Daily Production'!$A$5:$A$504,A12,'Daily Production'!$F$5:$F$504,B12)</f>
        <v>0</v>
      </c>
      <c r="H12" s="7">
        <f>SUMIFS('Daily Production'!$L$5:$L$504,'Daily Production'!$A$5:$A$504,A12,'Daily Production'!$F$5:$F$504,B12)</f>
        <v>0</v>
      </c>
      <c r="I12" s="7">
        <f>SUMIFS('Daily Production'!$J$5:$J$504,'Daily Production'!$A$5:$A$504,A12,'Daily Production'!$F$5:$F$504,B12)</f>
        <v>0</v>
      </c>
      <c r="J12" s="7">
        <f>SUMIFS('Daily Production'!$K$5:$K$504,'Daily Production'!$A$5:$A$504,A12,'Daily Production'!$F$5:$F$504,B12)</f>
        <v>0</v>
      </c>
      <c r="K12" s="13">
        <f>SUMIFS('Daily Production'!$Q$5:$Q$504,'Daily Production'!$A$5:$A$504,A12,'Daily Production'!$F$5:$F$504,B12)</f>
        <v>0</v>
      </c>
      <c r="L12" s="13">
        <f>IF(C12="Present",Settings!$B$5,IF(C12="Half Day",Settings!$B$5/2,0))</f>
        <v>0</v>
      </c>
    </row>
    <row r="13">
      <c r="A13" s="15"/>
      <c r="B13" s="7"/>
      <c r="C13" s="7"/>
      <c r="D13" s="16"/>
      <c r="E13" s="16"/>
      <c r="F13" s="7">
        <f t="shared" si="1"/>
        <v>0</v>
      </c>
      <c r="G13" s="7">
        <f>COUNTIFS('Daily Production'!$A$5:$A$504,A13,'Daily Production'!$F$5:$F$504,B13)</f>
        <v>0</v>
      </c>
      <c r="H13" s="7">
        <f>SUMIFS('Daily Production'!$L$5:$L$504,'Daily Production'!$A$5:$A$504,A13,'Daily Production'!$F$5:$F$504,B13)</f>
        <v>0</v>
      </c>
      <c r="I13" s="7">
        <f>SUMIFS('Daily Production'!$J$5:$J$504,'Daily Production'!$A$5:$A$504,A13,'Daily Production'!$F$5:$F$504,B13)</f>
        <v>0</v>
      </c>
      <c r="J13" s="7">
        <f>SUMIFS('Daily Production'!$K$5:$K$504,'Daily Production'!$A$5:$A$504,A13,'Daily Production'!$F$5:$F$504,B13)</f>
        <v>0</v>
      </c>
      <c r="K13" s="13">
        <f>SUMIFS('Daily Production'!$Q$5:$Q$504,'Daily Production'!$A$5:$A$504,A13,'Daily Production'!$F$5:$F$504,B13)</f>
        <v>0</v>
      </c>
      <c r="L13" s="13">
        <f>IF(C13="Present",Settings!$B$5,IF(C13="Half Day",Settings!$B$5/2,0))</f>
        <v>0</v>
      </c>
    </row>
    <row r="14">
      <c r="A14" s="15"/>
      <c r="B14" s="7"/>
      <c r="C14" s="7"/>
      <c r="D14" s="16"/>
      <c r="E14" s="16"/>
      <c r="F14" s="7">
        <f t="shared" si="1"/>
        <v>0</v>
      </c>
      <c r="G14" s="7">
        <f>COUNTIFS('Daily Production'!$A$5:$A$504,A14,'Daily Production'!$F$5:$F$504,B14)</f>
        <v>0</v>
      </c>
      <c r="H14" s="7">
        <f>SUMIFS('Daily Production'!$L$5:$L$504,'Daily Production'!$A$5:$A$504,A14,'Daily Production'!$F$5:$F$504,B14)</f>
        <v>0</v>
      </c>
      <c r="I14" s="7">
        <f>SUMIFS('Daily Production'!$J$5:$J$504,'Daily Production'!$A$5:$A$504,A14,'Daily Production'!$F$5:$F$504,B14)</f>
        <v>0</v>
      </c>
      <c r="J14" s="7">
        <f>SUMIFS('Daily Production'!$K$5:$K$504,'Daily Production'!$A$5:$A$504,A14,'Daily Production'!$F$5:$F$504,B14)</f>
        <v>0</v>
      </c>
      <c r="K14" s="13">
        <f>SUMIFS('Daily Production'!$Q$5:$Q$504,'Daily Production'!$A$5:$A$504,A14,'Daily Production'!$F$5:$F$504,B14)</f>
        <v>0</v>
      </c>
      <c r="L14" s="13">
        <f>IF(C14="Present",Settings!$B$5,IF(C14="Half Day",Settings!$B$5/2,0))</f>
        <v>0</v>
      </c>
    </row>
    <row r="15">
      <c r="A15" s="15"/>
      <c r="B15" s="7"/>
      <c r="C15" s="7"/>
      <c r="D15" s="16"/>
      <c r="E15" s="16"/>
      <c r="F15" s="7">
        <f t="shared" si="1"/>
        <v>0</v>
      </c>
      <c r="G15" s="7">
        <f>COUNTIFS('Daily Production'!$A$5:$A$504,A15,'Daily Production'!$F$5:$F$504,B15)</f>
        <v>0</v>
      </c>
      <c r="H15" s="7">
        <f>SUMIFS('Daily Production'!$L$5:$L$504,'Daily Production'!$A$5:$A$504,A15,'Daily Production'!$F$5:$F$504,B15)</f>
        <v>0</v>
      </c>
      <c r="I15" s="7">
        <f>SUMIFS('Daily Production'!$J$5:$J$504,'Daily Production'!$A$5:$A$504,A15,'Daily Production'!$F$5:$F$504,B15)</f>
        <v>0</v>
      </c>
      <c r="J15" s="7">
        <f>SUMIFS('Daily Production'!$K$5:$K$504,'Daily Production'!$A$5:$A$504,A15,'Daily Production'!$F$5:$F$504,B15)</f>
        <v>0</v>
      </c>
      <c r="K15" s="13">
        <f>SUMIFS('Daily Production'!$Q$5:$Q$504,'Daily Production'!$A$5:$A$504,A15,'Daily Production'!$F$5:$F$504,B15)</f>
        <v>0</v>
      </c>
      <c r="L15" s="13">
        <f>IF(C15="Present",Settings!$B$5,IF(C15="Half Day",Settings!$B$5/2,0))</f>
        <v>0</v>
      </c>
    </row>
    <row r="16">
      <c r="A16" s="15"/>
      <c r="B16" s="7"/>
      <c r="C16" s="7"/>
      <c r="D16" s="16"/>
      <c r="E16" s="16"/>
      <c r="F16" s="7">
        <f t="shared" si="1"/>
        <v>0</v>
      </c>
      <c r="G16" s="7">
        <f>COUNTIFS('Daily Production'!$A$5:$A$504,A16,'Daily Production'!$F$5:$F$504,B16)</f>
        <v>0</v>
      </c>
      <c r="H16" s="7">
        <f>SUMIFS('Daily Production'!$L$5:$L$504,'Daily Production'!$A$5:$A$504,A16,'Daily Production'!$F$5:$F$504,B16)</f>
        <v>0</v>
      </c>
      <c r="I16" s="7">
        <f>SUMIFS('Daily Production'!$J$5:$J$504,'Daily Production'!$A$5:$A$504,A16,'Daily Production'!$F$5:$F$504,B16)</f>
        <v>0</v>
      </c>
      <c r="J16" s="7">
        <f>SUMIFS('Daily Production'!$K$5:$K$504,'Daily Production'!$A$5:$A$504,A16,'Daily Production'!$F$5:$F$504,B16)</f>
        <v>0</v>
      </c>
      <c r="K16" s="13">
        <f>SUMIFS('Daily Production'!$Q$5:$Q$504,'Daily Production'!$A$5:$A$504,A16,'Daily Production'!$F$5:$F$504,B16)</f>
        <v>0</v>
      </c>
      <c r="L16" s="13">
        <f>IF(C16="Present",Settings!$B$5,IF(C16="Half Day",Settings!$B$5/2,0))</f>
        <v>0</v>
      </c>
    </row>
    <row r="17">
      <c r="A17" s="15"/>
      <c r="B17" s="7"/>
      <c r="C17" s="7"/>
      <c r="D17" s="16"/>
      <c r="E17" s="16"/>
      <c r="F17" s="7">
        <f t="shared" si="1"/>
        <v>0</v>
      </c>
      <c r="G17" s="7">
        <f>COUNTIFS('Daily Production'!$A$5:$A$504,A17,'Daily Production'!$F$5:$F$504,B17)</f>
        <v>0</v>
      </c>
      <c r="H17" s="7">
        <f>SUMIFS('Daily Production'!$L$5:$L$504,'Daily Production'!$A$5:$A$504,A17,'Daily Production'!$F$5:$F$504,B17)</f>
        <v>0</v>
      </c>
      <c r="I17" s="7">
        <f>SUMIFS('Daily Production'!$J$5:$J$504,'Daily Production'!$A$5:$A$504,A17,'Daily Production'!$F$5:$F$504,B17)</f>
        <v>0</v>
      </c>
      <c r="J17" s="7">
        <f>SUMIFS('Daily Production'!$K$5:$K$504,'Daily Production'!$A$5:$A$504,A17,'Daily Production'!$F$5:$F$504,B17)</f>
        <v>0</v>
      </c>
      <c r="K17" s="13">
        <f>SUMIFS('Daily Production'!$Q$5:$Q$504,'Daily Production'!$A$5:$A$504,A17,'Daily Production'!$F$5:$F$504,B17)</f>
        <v>0</v>
      </c>
      <c r="L17" s="13">
        <f>IF(C17="Present",Settings!$B$5,IF(C17="Half Day",Settings!$B$5/2,0))</f>
        <v>0</v>
      </c>
    </row>
    <row r="18">
      <c r="A18" s="15"/>
      <c r="B18" s="7"/>
      <c r="C18" s="7"/>
      <c r="D18" s="16"/>
      <c r="E18" s="16"/>
      <c r="F18" s="7">
        <f t="shared" si="1"/>
        <v>0</v>
      </c>
      <c r="G18" s="7">
        <f>COUNTIFS('Daily Production'!$A$5:$A$504,A18,'Daily Production'!$F$5:$F$504,B18)</f>
        <v>0</v>
      </c>
      <c r="H18" s="7">
        <f>SUMIFS('Daily Production'!$L$5:$L$504,'Daily Production'!$A$5:$A$504,A18,'Daily Production'!$F$5:$F$504,B18)</f>
        <v>0</v>
      </c>
      <c r="I18" s="7">
        <f>SUMIFS('Daily Production'!$J$5:$J$504,'Daily Production'!$A$5:$A$504,A18,'Daily Production'!$F$5:$F$504,B18)</f>
        <v>0</v>
      </c>
      <c r="J18" s="7">
        <f>SUMIFS('Daily Production'!$K$5:$K$504,'Daily Production'!$A$5:$A$504,A18,'Daily Production'!$F$5:$F$504,B18)</f>
        <v>0</v>
      </c>
      <c r="K18" s="13">
        <f>SUMIFS('Daily Production'!$Q$5:$Q$504,'Daily Production'!$A$5:$A$504,A18,'Daily Production'!$F$5:$F$504,B18)</f>
        <v>0</v>
      </c>
      <c r="L18" s="13">
        <f>IF(C18="Present",Settings!$B$5,IF(C18="Half Day",Settings!$B$5/2,0))</f>
        <v>0</v>
      </c>
    </row>
    <row r="19">
      <c r="A19" s="15"/>
      <c r="B19" s="7"/>
      <c r="C19" s="7"/>
      <c r="D19" s="16"/>
      <c r="E19" s="16"/>
      <c r="F19" s="7">
        <f t="shared" si="1"/>
        <v>0</v>
      </c>
      <c r="G19" s="7">
        <f>COUNTIFS('Daily Production'!$A$5:$A$504,A19,'Daily Production'!$F$5:$F$504,B19)</f>
        <v>0</v>
      </c>
      <c r="H19" s="7">
        <f>SUMIFS('Daily Production'!$L$5:$L$504,'Daily Production'!$A$5:$A$504,A19,'Daily Production'!$F$5:$F$504,B19)</f>
        <v>0</v>
      </c>
      <c r="I19" s="7">
        <f>SUMIFS('Daily Production'!$J$5:$J$504,'Daily Production'!$A$5:$A$504,A19,'Daily Production'!$F$5:$F$504,B19)</f>
        <v>0</v>
      </c>
      <c r="J19" s="7">
        <f>SUMIFS('Daily Production'!$K$5:$K$504,'Daily Production'!$A$5:$A$504,A19,'Daily Production'!$F$5:$F$504,B19)</f>
        <v>0</v>
      </c>
      <c r="K19" s="13">
        <f>SUMIFS('Daily Production'!$Q$5:$Q$504,'Daily Production'!$A$5:$A$504,A19,'Daily Production'!$F$5:$F$504,B19)</f>
        <v>0</v>
      </c>
      <c r="L19" s="13">
        <f>IF(C19="Present",Settings!$B$5,IF(C19="Half Day",Settings!$B$5/2,0))</f>
        <v>0</v>
      </c>
    </row>
    <row r="20">
      <c r="A20" s="15"/>
      <c r="B20" s="7"/>
      <c r="C20" s="7"/>
      <c r="D20" s="16"/>
      <c r="E20" s="16"/>
      <c r="F20" s="7">
        <f t="shared" si="1"/>
        <v>0</v>
      </c>
      <c r="G20" s="7">
        <f>COUNTIFS('Daily Production'!$A$5:$A$504,A20,'Daily Production'!$F$5:$F$504,B20)</f>
        <v>0</v>
      </c>
      <c r="H20" s="7">
        <f>SUMIFS('Daily Production'!$L$5:$L$504,'Daily Production'!$A$5:$A$504,A20,'Daily Production'!$F$5:$F$504,B20)</f>
        <v>0</v>
      </c>
      <c r="I20" s="7">
        <f>SUMIFS('Daily Production'!$J$5:$J$504,'Daily Production'!$A$5:$A$504,A20,'Daily Production'!$F$5:$F$504,B20)</f>
        <v>0</v>
      </c>
      <c r="J20" s="7">
        <f>SUMIFS('Daily Production'!$K$5:$K$504,'Daily Production'!$A$5:$A$504,A20,'Daily Production'!$F$5:$F$504,B20)</f>
        <v>0</v>
      </c>
      <c r="K20" s="13">
        <f>SUMIFS('Daily Production'!$Q$5:$Q$504,'Daily Production'!$A$5:$A$504,A20,'Daily Production'!$F$5:$F$504,B20)</f>
        <v>0</v>
      </c>
      <c r="L20" s="13">
        <f>IF(C20="Present",Settings!$B$5,IF(C20="Half Day",Settings!$B$5/2,0))</f>
        <v>0</v>
      </c>
      <c r="P20" s="19"/>
    </row>
    <row r="21" ht="15.75" customHeight="1">
      <c r="A21" s="15"/>
      <c r="B21" s="7"/>
      <c r="C21" s="7"/>
      <c r="D21" s="16"/>
      <c r="E21" s="16"/>
      <c r="F21" s="7">
        <f t="shared" si="1"/>
        <v>0</v>
      </c>
      <c r="G21" s="7">
        <f>COUNTIFS('Daily Production'!$A$5:$A$504,A21,'Daily Production'!$F$5:$F$504,B21)</f>
        <v>0</v>
      </c>
      <c r="H21" s="7">
        <f>SUMIFS('Daily Production'!$L$5:$L$504,'Daily Production'!$A$5:$A$504,A21,'Daily Production'!$F$5:$F$504,B21)</f>
        <v>0</v>
      </c>
      <c r="I21" s="7">
        <f>SUMIFS('Daily Production'!$J$5:$J$504,'Daily Production'!$A$5:$A$504,A21,'Daily Production'!$F$5:$F$504,B21)</f>
        <v>0</v>
      </c>
      <c r="J21" s="7">
        <f>SUMIFS('Daily Production'!$K$5:$K$504,'Daily Production'!$A$5:$A$504,A21,'Daily Production'!$F$5:$F$504,B21)</f>
        <v>0</v>
      </c>
      <c r="K21" s="13">
        <f>SUMIFS('Daily Production'!$Q$5:$Q$504,'Daily Production'!$A$5:$A$504,A21,'Daily Production'!$F$5:$F$504,B21)</f>
        <v>0</v>
      </c>
      <c r="L21" s="13">
        <f>IF(C21="Present",Settings!$B$5,IF(C21="Half Day",Settings!$B$5/2,0))</f>
        <v>0</v>
      </c>
    </row>
    <row r="22" ht="15.75" customHeight="1">
      <c r="A22" s="15"/>
      <c r="B22" s="7"/>
      <c r="C22" s="7"/>
      <c r="D22" s="16"/>
      <c r="E22" s="16"/>
      <c r="F22" s="7">
        <f t="shared" si="1"/>
        <v>0</v>
      </c>
      <c r="G22" s="7">
        <f>COUNTIFS('Daily Production'!$A$5:$A$504,A22,'Daily Production'!$F$5:$F$504,B22)</f>
        <v>0</v>
      </c>
      <c r="H22" s="7">
        <f>SUMIFS('Daily Production'!$L$5:$L$504,'Daily Production'!$A$5:$A$504,A22,'Daily Production'!$F$5:$F$504,B22)</f>
        <v>0</v>
      </c>
      <c r="I22" s="7">
        <f>SUMIFS('Daily Production'!$J$5:$J$504,'Daily Production'!$A$5:$A$504,A22,'Daily Production'!$F$5:$F$504,B22)</f>
        <v>0</v>
      </c>
      <c r="J22" s="7">
        <f>SUMIFS('Daily Production'!$K$5:$K$504,'Daily Production'!$A$5:$A$504,A22,'Daily Production'!$F$5:$F$504,B22)</f>
        <v>0</v>
      </c>
      <c r="K22" s="13">
        <f>SUMIFS('Daily Production'!$Q$5:$Q$504,'Daily Production'!$A$5:$A$504,A22,'Daily Production'!$F$5:$F$504,B22)</f>
        <v>0</v>
      </c>
      <c r="L22" s="13">
        <f>IF(C22="Present",Settings!$B$5,IF(C22="Half Day",Settings!$B$5/2,0))</f>
        <v>0</v>
      </c>
    </row>
    <row r="23" ht="15.75" customHeight="1">
      <c r="A23" s="15"/>
      <c r="B23" s="7"/>
      <c r="C23" s="7"/>
      <c r="D23" s="16"/>
      <c r="E23" s="16"/>
      <c r="F23" s="7">
        <f t="shared" si="1"/>
        <v>0</v>
      </c>
      <c r="G23" s="7">
        <f>COUNTIFS('Daily Production'!$A$5:$A$504,A23,'Daily Production'!$F$5:$F$504,B23)</f>
        <v>0</v>
      </c>
      <c r="H23" s="7">
        <f>SUMIFS('Daily Production'!$L$5:$L$504,'Daily Production'!$A$5:$A$504,A23,'Daily Production'!$F$5:$F$504,B23)</f>
        <v>0</v>
      </c>
      <c r="I23" s="7">
        <f>SUMIFS('Daily Production'!$J$5:$J$504,'Daily Production'!$A$5:$A$504,A23,'Daily Production'!$F$5:$F$504,B23)</f>
        <v>0</v>
      </c>
      <c r="J23" s="7">
        <f>SUMIFS('Daily Production'!$K$5:$K$504,'Daily Production'!$A$5:$A$504,A23,'Daily Production'!$F$5:$F$504,B23)</f>
        <v>0</v>
      </c>
      <c r="K23" s="13">
        <f>SUMIFS('Daily Production'!$Q$5:$Q$504,'Daily Production'!$A$5:$A$504,A23,'Daily Production'!$F$5:$F$504,B23)</f>
        <v>0</v>
      </c>
      <c r="L23" s="13">
        <f>IF(C23="Present",Settings!$B$5,IF(C23="Half Day",Settings!$B$5/2,0))</f>
        <v>0</v>
      </c>
      <c r="P23" s="20"/>
    </row>
    <row r="24" ht="15.75" customHeight="1">
      <c r="A24" s="15"/>
      <c r="B24" s="7"/>
      <c r="C24" s="7"/>
      <c r="D24" s="16"/>
      <c r="E24" s="16"/>
      <c r="F24" s="7">
        <f t="shared" si="1"/>
        <v>0</v>
      </c>
      <c r="G24" s="7">
        <f>COUNTIFS('Daily Production'!$A$5:$A$504,A24,'Daily Production'!$F$5:$F$504,B24)</f>
        <v>0</v>
      </c>
      <c r="H24" s="7">
        <f>SUMIFS('Daily Production'!$L$5:$L$504,'Daily Production'!$A$5:$A$504,A24,'Daily Production'!$F$5:$F$504,B24)</f>
        <v>0</v>
      </c>
      <c r="I24" s="7">
        <f>SUMIFS('Daily Production'!$J$5:$J$504,'Daily Production'!$A$5:$A$504,A24,'Daily Production'!$F$5:$F$504,B24)</f>
        <v>0</v>
      </c>
      <c r="J24" s="7">
        <f>SUMIFS('Daily Production'!$K$5:$K$504,'Daily Production'!$A$5:$A$504,A24,'Daily Production'!$F$5:$F$504,B24)</f>
        <v>0</v>
      </c>
      <c r="K24" s="13">
        <f>SUMIFS('Daily Production'!$Q$5:$Q$504,'Daily Production'!$A$5:$A$504,A24,'Daily Production'!$F$5:$F$504,B24)</f>
        <v>0</v>
      </c>
      <c r="L24" s="13">
        <f>IF(C24="Present",Settings!$B$5,IF(C24="Half Day",Settings!$B$5/2,0))</f>
        <v>0</v>
      </c>
    </row>
    <row r="25" ht="15.75" customHeight="1">
      <c r="A25" s="15"/>
      <c r="B25" s="7"/>
      <c r="C25" s="7"/>
      <c r="D25" s="16"/>
      <c r="E25" s="16"/>
      <c r="F25" s="7">
        <f t="shared" si="1"/>
        <v>0</v>
      </c>
      <c r="G25" s="7">
        <f>COUNTIFS('Daily Production'!$A$5:$A$504,A25,'Daily Production'!$F$5:$F$504,B25)</f>
        <v>0</v>
      </c>
      <c r="H25" s="7">
        <f>SUMIFS('Daily Production'!$L$5:$L$504,'Daily Production'!$A$5:$A$504,A25,'Daily Production'!$F$5:$F$504,B25)</f>
        <v>0</v>
      </c>
      <c r="I25" s="7">
        <f>SUMIFS('Daily Production'!$J$5:$J$504,'Daily Production'!$A$5:$A$504,A25,'Daily Production'!$F$5:$F$504,B25)</f>
        <v>0</v>
      </c>
      <c r="J25" s="7">
        <f>SUMIFS('Daily Production'!$K$5:$K$504,'Daily Production'!$A$5:$A$504,A25,'Daily Production'!$F$5:$F$504,B25)</f>
        <v>0</v>
      </c>
      <c r="K25" s="13">
        <f>SUMIFS('Daily Production'!$Q$5:$Q$504,'Daily Production'!$A$5:$A$504,A25,'Daily Production'!$F$5:$F$504,B25)</f>
        <v>0</v>
      </c>
      <c r="L25" s="13">
        <f>IF(C25="Present",Settings!$B$5,IF(C25="Half Day",Settings!$B$5/2,0))</f>
        <v>0</v>
      </c>
    </row>
    <row r="26" ht="15.75" customHeight="1">
      <c r="A26" s="15"/>
      <c r="B26" s="7"/>
      <c r="C26" s="7"/>
      <c r="D26" s="16"/>
      <c r="E26" s="16"/>
      <c r="F26" s="7">
        <f t="shared" si="1"/>
        <v>0</v>
      </c>
      <c r="G26" s="7">
        <f>COUNTIFS('Daily Production'!$A$5:$A$504,A26,'Daily Production'!$F$5:$F$504,B26)</f>
        <v>0</v>
      </c>
      <c r="H26" s="7">
        <f>SUMIFS('Daily Production'!$L$5:$L$504,'Daily Production'!$A$5:$A$504,A26,'Daily Production'!$F$5:$F$504,B26)</f>
        <v>0</v>
      </c>
      <c r="I26" s="7">
        <f>SUMIFS('Daily Production'!$J$5:$J$504,'Daily Production'!$A$5:$A$504,A26,'Daily Production'!$F$5:$F$504,B26)</f>
        <v>0</v>
      </c>
      <c r="J26" s="7">
        <f>SUMIFS('Daily Production'!$K$5:$K$504,'Daily Production'!$A$5:$A$504,A26,'Daily Production'!$F$5:$F$504,B26)</f>
        <v>0</v>
      </c>
      <c r="K26" s="13">
        <f>SUMIFS('Daily Production'!$Q$5:$Q$504,'Daily Production'!$A$5:$A$504,A26,'Daily Production'!$F$5:$F$504,B26)</f>
        <v>0</v>
      </c>
      <c r="L26" s="13">
        <f>IF(C26="Present",Settings!$B$5,IF(C26="Half Day",Settings!$B$5/2,0))</f>
        <v>0</v>
      </c>
    </row>
    <row r="27" ht="15.75" customHeight="1">
      <c r="A27" s="15"/>
      <c r="B27" s="7"/>
      <c r="C27" s="7"/>
      <c r="D27" s="16"/>
      <c r="E27" s="16"/>
      <c r="F27" s="7">
        <f t="shared" si="1"/>
        <v>0</v>
      </c>
      <c r="G27" s="7">
        <f>COUNTIFS('Daily Production'!$A$5:$A$504,A27,'Daily Production'!$F$5:$F$504,B27)</f>
        <v>0</v>
      </c>
      <c r="H27" s="7">
        <f>SUMIFS('Daily Production'!$L$5:$L$504,'Daily Production'!$A$5:$A$504,A27,'Daily Production'!$F$5:$F$504,B27)</f>
        <v>0</v>
      </c>
      <c r="I27" s="7">
        <f>SUMIFS('Daily Production'!$J$5:$J$504,'Daily Production'!$A$5:$A$504,A27,'Daily Production'!$F$5:$F$504,B27)</f>
        <v>0</v>
      </c>
      <c r="J27" s="7">
        <f>SUMIFS('Daily Production'!$K$5:$K$504,'Daily Production'!$A$5:$A$504,A27,'Daily Production'!$F$5:$F$504,B27)</f>
        <v>0</v>
      </c>
      <c r="K27" s="13">
        <f>SUMIFS('Daily Production'!$Q$5:$Q$504,'Daily Production'!$A$5:$A$504,A27,'Daily Production'!$F$5:$F$504,B27)</f>
        <v>0</v>
      </c>
      <c r="L27" s="13">
        <f>IF(C27="Present",Settings!$B$5,IF(C27="Half Day",Settings!$B$5/2,0))</f>
        <v>0</v>
      </c>
    </row>
    <row r="28" ht="15.75" customHeight="1">
      <c r="A28" s="15"/>
      <c r="B28" s="7"/>
      <c r="C28" s="7"/>
      <c r="D28" s="16"/>
      <c r="E28" s="16"/>
      <c r="F28" s="7">
        <f t="shared" si="1"/>
        <v>0</v>
      </c>
      <c r="G28" s="7">
        <f>COUNTIFS('Daily Production'!$A$5:$A$504,A28,'Daily Production'!$F$5:$F$504,B28)</f>
        <v>0</v>
      </c>
      <c r="H28" s="7">
        <f>SUMIFS('Daily Production'!$L$5:$L$504,'Daily Production'!$A$5:$A$504,A28,'Daily Production'!$F$5:$F$504,B28)</f>
        <v>0</v>
      </c>
      <c r="I28" s="7">
        <f>SUMIFS('Daily Production'!$J$5:$J$504,'Daily Production'!$A$5:$A$504,A28,'Daily Production'!$F$5:$F$504,B28)</f>
        <v>0</v>
      </c>
      <c r="J28" s="7">
        <f>SUMIFS('Daily Production'!$K$5:$K$504,'Daily Production'!$A$5:$A$504,A28,'Daily Production'!$F$5:$F$504,B28)</f>
        <v>0</v>
      </c>
      <c r="K28" s="13">
        <f>SUMIFS('Daily Production'!$Q$5:$Q$504,'Daily Production'!$A$5:$A$504,A28,'Daily Production'!$F$5:$F$504,B28)</f>
        <v>0</v>
      </c>
      <c r="L28" s="13">
        <f>IF(C28="Present",Settings!$B$5,IF(C28="Half Day",Settings!$B$5/2,0))</f>
        <v>0</v>
      </c>
    </row>
    <row r="29" ht="15.75" customHeight="1">
      <c r="A29" s="15"/>
      <c r="B29" s="7"/>
      <c r="C29" s="7"/>
      <c r="D29" s="16"/>
      <c r="E29" s="16"/>
      <c r="F29" s="7">
        <f t="shared" si="1"/>
        <v>0</v>
      </c>
      <c r="G29" s="7">
        <f>COUNTIFS('Daily Production'!$A$5:$A$504,A29,'Daily Production'!$F$5:$F$504,B29)</f>
        <v>0</v>
      </c>
      <c r="H29" s="7">
        <f>SUMIFS('Daily Production'!$L$5:$L$504,'Daily Production'!$A$5:$A$504,A29,'Daily Production'!$F$5:$F$504,B29)</f>
        <v>0</v>
      </c>
      <c r="I29" s="7">
        <f>SUMIFS('Daily Production'!$J$5:$J$504,'Daily Production'!$A$5:$A$504,A29,'Daily Production'!$F$5:$F$504,B29)</f>
        <v>0</v>
      </c>
      <c r="J29" s="7">
        <f>SUMIFS('Daily Production'!$K$5:$K$504,'Daily Production'!$A$5:$A$504,A29,'Daily Production'!$F$5:$F$504,B29)</f>
        <v>0</v>
      </c>
      <c r="K29" s="13">
        <f>SUMIFS('Daily Production'!$Q$5:$Q$504,'Daily Production'!$A$5:$A$504,A29,'Daily Production'!$F$5:$F$504,B29)</f>
        <v>0</v>
      </c>
      <c r="L29" s="13">
        <f>IF(C29="Present",Settings!$B$5,IF(C29="Half Day",Settings!$B$5/2,0))</f>
        <v>0</v>
      </c>
    </row>
    <row r="30" ht="15.75" customHeight="1">
      <c r="A30" s="15"/>
      <c r="B30" s="7"/>
      <c r="C30" s="7"/>
      <c r="D30" s="16"/>
      <c r="E30" s="16"/>
      <c r="F30" s="7">
        <f t="shared" si="1"/>
        <v>0</v>
      </c>
      <c r="G30" s="7">
        <f>COUNTIFS('Daily Production'!$A$5:$A$504,A30,'Daily Production'!$F$5:$F$504,B30)</f>
        <v>0</v>
      </c>
      <c r="H30" s="7">
        <f>SUMIFS('Daily Production'!$L$5:$L$504,'Daily Production'!$A$5:$A$504,A30,'Daily Production'!$F$5:$F$504,B30)</f>
        <v>0</v>
      </c>
      <c r="I30" s="7">
        <f>SUMIFS('Daily Production'!$J$5:$J$504,'Daily Production'!$A$5:$A$504,A30,'Daily Production'!$F$5:$F$504,B30)</f>
        <v>0</v>
      </c>
      <c r="J30" s="7">
        <f>SUMIFS('Daily Production'!$K$5:$K$504,'Daily Production'!$A$5:$A$504,A30,'Daily Production'!$F$5:$F$504,B30)</f>
        <v>0</v>
      </c>
      <c r="K30" s="13">
        <f>SUMIFS('Daily Production'!$Q$5:$Q$504,'Daily Production'!$A$5:$A$504,A30,'Daily Production'!$F$5:$F$504,B30)</f>
        <v>0</v>
      </c>
      <c r="L30" s="13">
        <f>IF(C30="Present",Settings!$B$5,IF(C30="Half Day",Settings!$B$5/2,0))</f>
        <v>0</v>
      </c>
    </row>
    <row r="31" ht="15.75" customHeight="1">
      <c r="A31" s="15"/>
      <c r="B31" s="7"/>
      <c r="C31" s="7"/>
      <c r="D31" s="16"/>
      <c r="E31" s="16"/>
      <c r="F31" s="7">
        <f t="shared" si="1"/>
        <v>0</v>
      </c>
      <c r="G31" s="7">
        <f>COUNTIFS('Daily Production'!$A$5:$A$504,A31,'Daily Production'!$F$5:$F$504,B31)</f>
        <v>0</v>
      </c>
      <c r="H31" s="7">
        <f>SUMIFS('Daily Production'!$L$5:$L$504,'Daily Production'!$A$5:$A$504,A31,'Daily Production'!$F$5:$F$504,B31)</f>
        <v>0</v>
      </c>
      <c r="I31" s="7">
        <f>SUMIFS('Daily Production'!$J$5:$J$504,'Daily Production'!$A$5:$A$504,A31,'Daily Production'!$F$5:$F$504,B31)</f>
        <v>0</v>
      </c>
      <c r="J31" s="7">
        <f>SUMIFS('Daily Production'!$K$5:$K$504,'Daily Production'!$A$5:$A$504,A31,'Daily Production'!$F$5:$F$504,B31)</f>
        <v>0</v>
      </c>
      <c r="K31" s="13">
        <f>SUMIFS('Daily Production'!$Q$5:$Q$504,'Daily Production'!$A$5:$A$504,A31,'Daily Production'!$F$5:$F$504,B31)</f>
        <v>0</v>
      </c>
      <c r="L31" s="13">
        <f>IF(C31="Present",Settings!$B$5,IF(C31="Half Day",Settings!$B$5/2,0))</f>
        <v>0</v>
      </c>
    </row>
    <row r="32" ht="15.75" customHeight="1">
      <c r="A32" s="15"/>
      <c r="B32" s="7"/>
      <c r="C32" s="7"/>
      <c r="D32" s="16"/>
      <c r="E32" s="16"/>
      <c r="F32" s="7">
        <f t="shared" si="1"/>
        <v>0</v>
      </c>
      <c r="G32" s="7">
        <f>COUNTIFS('Daily Production'!$A$5:$A$504,A32,'Daily Production'!$F$5:$F$504,B32)</f>
        <v>0</v>
      </c>
      <c r="H32" s="7">
        <f>SUMIFS('Daily Production'!$L$5:$L$504,'Daily Production'!$A$5:$A$504,A32,'Daily Production'!$F$5:$F$504,B32)</f>
        <v>0</v>
      </c>
      <c r="I32" s="7">
        <f>SUMIFS('Daily Production'!$J$5:$J$504,'Daily Production'!$A$5:$A$504,A32,'Daily Production'!$F$5:$F$504,B32)</f>
        <v>0</v>
      </c>
      <c r="J32" s="7">
        <f>SUMIFS('Daily Production'!$K$5:$K$504,'Daily Production'!$A$5:$A$504,A32,'Daily Production'!$F$5:$F$504,B32)</f>
        <v>0</v>
      </c>
      <c r="K32" s="13">
        <f>SUMIFS('Daily Production'!$Q$5:$Q$504,'Daily Production'!$A$5:$A$504,A32,'Daily Production'!$F$5:$F$504,B32)</f>
        <v>0</v>
      </c>
      <c r="L32" s="13">
        <f>IF(C32="Present",Settings!$B$5,IF(C32="Half Day",Settings!$B$5/2,0))</f>
        <v>0</v>
      </c>
    </row>
    <row r="33" ht="15.75" customHeight="1">
      <c r="A33" s="15"/>
      <c r="B33" s="7"/>
      <c r="C33" s="7"/>
      <c r="D33" s="16"/>
      <c r="E33" s="16"/>
      <c r="F33" s="7">
        <f t="shared" si="1"/>
        <v>0</v>
      </c>
      <c r="G33" s="7">
        <f>COUNTIFS('Daily Production'!$A$5:$A$504,A33,'Daily Production'!$F$5:$F$504,B33)</f>
        <v>0</v>
      </c>
      <c r="H33" s="7">
        <f>SUMIFS('Daily Production'!$L$5:$L$504,'Daily Production'!$A$5:$A$504,A33,'Daily Production'!$F$5:$F$504,B33)</f>
        <v>0</v>
      </c>
      <c r="I33" s="7">
        <f>SUMIFS('Daily Production'!$J$5:$J$504,'Daily Production'!$A$5:$A$504,A33,'Daily Production'!$F$5:$F$504,B33)</f>
        <v>0</v>
      </c>
      <c r="J33" s="7">
        <f>SUMIFS('Daily Production'!$K$5:$K$504,'Daily Production'!$A$5:$A$504,A33,'Daily Production'!$F$5:$F$504,B33)</f>
        <v>0</v>
      </c>
      <c r="K33" s="13">
        <f>SUMIFS('Daily Production'!$Q$5:$Q$504,'Daily Production'!$A$5:$A$504,A33,'Daily Production'!$F$5:$F$504,B33)</f>
        <v>0</v>
      </c>
      <c r="L33" s="13">
        <f>IF(C33="Present",Settings!$B$5,IF(C33="Half Day",Settings!$B$5/2,0))</f>
        <v>0</v>
      </c>
    </row>
    <row r="34" ht="15.75" customHeight="1">
      <c r="A34" s="15"/>
      <c r="B34" s="7"/>
      <c r="C34" s="7"/>
      <c r="D34" s="16"/>
      <c r="E34" s="16"/>
      <c r="F34" s="7">
        <f t="shared" si="1"/>
        <v>0</v>
      </c>
      <c r="G34" s="7">
        <f>COUNTIFS('Daily Production'!$A$5:$A$504,A34,'Daily Production'!$F$5:$F$504,B34)</f>
        <v>0</v>
      </c>
      <c r="H34" s="7">
        <f>SUMIFS('Daily Production'!$L$5:$L$504,'Daily Production'!$A$5:$A$504,A34,'Daily Production'!$F$5:$F$504,B34)</f>
        <v>0</v>
      </c>
      <c r="I34" s="7">
        <f>SUMIFS('Daily Production'!$J$5:$J$504,'Daily Production'!$A$5:$A$504,A34,'Daily Production'!$F$5:$F$504,B34)</f>
        <v>0</v>
      </c>
      <c r="J34" s="7">
        <f>SUMIFS('Daily Production'!$K$5:$K$504,'Daily Production'!$A$5:$A$504,A34,'Daily Production'!$F$5:$F$504,B34)</f>
        <v>0</v>
      </c>
      <c r="K34" s="13">
        <f>SUMIFS('Daily Production'!$Q$5:$Q$504,'Daily Production'!$A$5:$A$504,A34,'Daily Production'!$F$5:$F$504,B34)</f>
        <v>0</v>
      </c>
      <c r="L34" s="13">
        <f>IF(C34="Present",Settings!$B$5,IF(C34="Half Day",Settings!$B$5/2,0))</f>
        <v>0</v>
      </c>
    </row>
    <row r="35" ht="15.75" customHeight="1">
      <c r="A35" s="15"/>
      <c r="B35" s="7"/>
      <c r="C35" s="7"/>
      <c r="D35" s="16"/>
      <c r="E35" s="16"/>
      <c r="F35" s="7">
        <f t="shared" si="1"/>
        <v>0</v>
      </c>
      <c r="G35" s="7">
        <f>COUNTIFS('Daily Production'!$A$5:$A$504,A35,'Daily Production'!$F$5:$F$504,B35)</f>
        <v>0</v>
      </c>
      <c r="H35" s="7">
        <f>SUMIFS('Daily Production'!$L$5:$L$504,'Daily Production'!$A$5:$A$504,A35,'Daily Production'!$F$5:$F$504,B35)</f>
        <v>0</v>
      </c>
      <c r="I35" s="7">
        <f>SUMIFS('Daily Production'!$J$5:$J$504,'Daily Production'!$A$5:$A$504,A35,'Daily Production'!$F$5:$F$504,B35)</f>
        <v>0</v>
      </c>
      <c r="J35" s="7">
        <f>SUMIFS('Daily Production'!$K$5:$K$504,'Daily Production'!$A$5:$A$504,A35,'Daily Production'!$F$5:$F$504,B35)</f>
        <v>0</v>
      </c>
      <c r="K35" s="13">
        <f>SUMIFS('Daily Production'!$Q$5:$Q$504,'Daily Production'!$A$5:$A$504,A35,'Daily Production'!$F$5:$F$504,B35)</f>
        <v>0</v>
      </c>
      <c r="L35" s="13">
        <f>IF(C35="Present",Settings!$B$5,IF(C35="Half Day",Settings!$B$5/2,0))</f>
        <v>0</v>
      </c>
    </row>
    <row r="36" ht="15.75" customHeight="1">
      <c r="A36" s="15"/>
      <c r="B36" s="7"/>
      <c r="C36" s="7"/>
      <c r="D36" s="16"/>
      <c r="E36" s="16"/>
      <c r="F36" s="7">
        <f t="shared" si="1"/>
        <v>0</v>
      </c>
      <c r="G36" s="7">
        <f>COUNTIFS('Daily Production'!$A$5:$A$504,A36,'Daily Production'!$F$5:$F$504,B36)</f>
        <v>0</v>
      </c>
      <c r="H36" s="7">
        <f>SUMIFS('Daily Production'!$L$5:$L$504,'Daily Production'!$A$5:$A$504,A36,'Daily Production'!$F$5:$F$504,B36)</f>
        <v>0</v>
      </c>
      <c r="I36" s="7">
        <f>SUMIFS('Daily Production'!$J$5:$J$504,'Daily Production'!$A$5:$A$504,A36,'Daily Production'!$F$5:$F$504,B36)</f>
        <v>0</v>
      </c>
      <c r="J36" s="7">
        <f>SUMIFS('Daily Production'!$K$5:$K$504,'Daily Production'!$A$5:$A$504,A36,'Daily Production'!$F$5:$F$504,B36)</f>
        <v>0</v>
      </c>
      <c r="K36" s="13">
        <f>SUMIFS('Daily Production'!$Q$5:$Q$504,'Daily Production'!$A$5:$A$504,A36,'Daily Production'!$F$5:$F$504,B36)</f>
        <v>0</v>
      </c>
      <c r="L36" s="13">
        <f>IF(C36="Present",Settings!$B$5,IF(C36="Half Day",Settings!$B$5/2,0))</f>
        <v>0</v>
      </c>
    </row>
    <row r="37" ht="15.75" customHeight="1">
      <c r="A37" s="15"/>
      <c r="B37" s="7"/>
      <c r="C37" s="7"/>
      <c r="D37" s="16"/>
      <c r="E37" s="16"/>
      <c r="F37" s="7">
        <f t="shared" si="1"/>
        <v>0</v>
      </c>
      <c r="G37" s="7">
        <f>COUNTIFS('Daily Production'!$A$5:$A$504,A37,'Daily Production'!$F$5:$F$504,B37)</f>
        <v>0</v>
      </c>
      <c r="H37" s="7">
        <f>SUMIFS('Daily Production'!$L$5:$L$504,'Daily Production'!$A$5:$A$504,A37,'Daily Production'!$F$5:$F$504,B37)</f>
        <v>0</v>
      </c>
      <c r="I37" s="7">
        <f>SUMIFS('Daily Production'!$J$5:$J$504,'Daily Production'!$A$5:$A$504,A37,'Daily Production'!$F$5:$F$504,B37)</f>
        <v>0</v>
      </c>
      <c r="J37" s="7">
        <f>SUMIFS('Daily Production'!$K$5:$K$504,'Daily Production'!$A$5:$A$504,A37,'Daily Production'!$F$5:$F$504,B37)</f>
        <v>0</v>
      </c>
      <c r="K37" s="13">
        <f>SUMIFS('Daily Production'!$Q$5:$Q$504,'Daily Production'!$A$5:$A$504,A37,'Daily Production'!$F$5:$F$504,B37)</f>
        <v>0</v>
      </c>
      <c r="L37" s="13">
        <f>IF(C37="Present",Settings!$B$5,IF(C37="Half Day",Settings!$B$5/2,0))</f>
        <v>0</v>
      </c>
    </row>
    <row r="38" ht="15.75" customHeight="1">
      <c r="A38" s="15"/>
      <c r="B38" s="7"/>
      <c r="C38" s="7"/>
      <c r="D38" s="16"/>
      <c r="E38" s="16"/>
      <c r="F38" s="7">
        <f t="shared" si="1"/>
        <v>0</v>
      </c>
      <c r="G38" s="7">
        <f>COUNTIFS('Daily Production'!$A$5:$A$504,A38,'Daily Production'!$F$5:$F$504,B38)</f>
        <v>0</v>
      </c>
      <c r="H38" s="7">
        <f>SUMIFS('Daily Production'!$L$5:$L$504,'Daily Production'!$A$5:$A$504,A38,'Daily Production'!$F$5:$F$504,B38)</f>
        <v>0</v>
      </c>
      <c r="I38" s="7">
        <f>SUMIFS('Daily Production'!$J$5:$J$504,'Daily Production'!$A$5:$A$504,A38,'Daily Production'!$F$5:$F$504,B38)</f>
        <v>0</v>
      </c>
      <c r="J38" s="7">
        <f>SUMIFS('Daily Production'!$K$5:$K$504,'Daily Production'!$A$5:$A$504,A38,'Daily Production'!$F$5:$F$504,B38)</f>
        <v>0</v>
      </c>
      <c r="K38" s="13">
        <f>SUMIFS('Daily Production'!$Q$5:$Q$504,'Daily Production'!$A$5:$A$504,A38,'Daily Production'!$F$5:$F$504,B38)</f>
        <v>0</v>
      </c>
      <c r="L38" s="13">
        <f>IF(C38="Present",Settings!$B$5,IF(C38="Half Day",Settings!$B$5/2,0))</f>
        <v>0</v>
      </c>
    </row>
    <row r="39" ht="15.75" customHeight="1">
      <c r="A39" s="15"/>
      <c r="B39" s="7"/>
      <c r="C39" s="7"/>
      <c r="D39" s="16"/>
      <c r="E39" s="16"/>
      <c r="F39" s="7">
        <f t="shared" si="1"/>
        <v>0</v>
      </c>
      <c r="G39" s="7">
        <f>COUNTIFS('Daily Production'!$A$5:$A$504,A39,'Daily Production'!$F$5:$F$504,B39)</f>
        <v>0</v>
      </c>
      <c r="H39" s="7">
        <f>SUMIFS('Daily Production'!$L$5:$L$504,'Daily Production'!$A$5:$A$504,A39,'Daily Production'!$F$5:$F$504,B39)</f>
        <v>0</v>
      </c>
      <c r="I39" s="7">
        <f>SUMIFS('Daily Production'!$J$5:$J$504,'Daily Production'!$A$5:$A$504,A39,'Daily Production'!$F$5:$F$504,B39)</f>
        <v>0</v>
      </c>
      <c r="J39" s="7">
        <f>SUMIFS('Daily Production'!$K$5:$K$504,'Daily Production'!$A$5:$A$504,A39,'Daily Production'!$F$5:$F$504,B39)</f>
        <v>0</v>
      </c>
      <c r="K39" s="13">
        <f>SUMIFS('Daily Production'!$Q$5:$Q$504,'Daily Production'!$A$5:$A$504,A39,'Daily Production'!$F$5:$F$504,B39)</f>
        <v>0</v>
      </c>
      <c r="L39" s="13">
        <f>IF(C39="Present",Settings!$B$5,IF(C39="Half Day",Settings!$B$5/2,0))</f>
        <v>0</v>
      </c>
    </row>
    <row r="40" ht="15.75" customHeight="1">
      <c r="A40" s="15"/>
      <c r="B40" s="7"/>
      <c r="C40" s="7"/>
      <c r="D40" s="16"/>
      <c r="E40" s="16"/>
      <c r="F40" s="7">
        <f t="shared" si="1"/>
        <v>0</v>
      </c>
      <c r="G40" s="7">
        <f>COUNTIFS('Daily Production'!$A$5:$A$504,A40,'Daily Production'!$F$5:$F$504,B40)</f>
        <v>0</v>
      </c>
      <c r="H40" s="7">
        <f>SUMIFS('Daily Production'!$L$5:$L$504,'Daily Production'!$A$5:$A$504,A40,'Daily Production'!$F$5:$F$504,B40)</f>
        <v>0</v>
      </c>
      <c r="I40" s="7">
        <f>SUMIFS('Daily Production'!$J$5:$J$504,'Daily Production'!$A$5:$A$504,A40,'Daily Production'!$F$5:$F$504,B40)</f>
        <v>0</v>
      </c>
      <c r="J40" s="7">
        <f>SUMIFS('Daily Production'!$K$5:$K$504,'Daily Production'!$A$5:$A$504,A40,'Daily Production'!$F$5:$F$504,B40)</f>
        <v>0</v>
      </c>
      <c r="K40" s="13">
        <f>SUMIFS('Daily Production'!$Q$5:$Q$504,'Daily Production'!$A$5:$A$504,A40,'Daily Production'!$F$5:$F$504,B40)</f>
        <v>0</v>
      </c>
      <c r="L40" s="13">
        <f>IF(C40="Present",Settings!$B$5,IF(C40="Half Day",Settings!$B$5/2,0))</f>
        <v>0</v>
      </c>
    </row>
    <row r="41" ht="15.75" customHeight="1">
      <c r="A41" s="15"/>
      <c r="B41" s="7"/>
      <c r="C41" s="7"/>
      <c r="D41" s="16"/>
      <c r="E41" s="16"/>
      <c r="F41" s="7">
        <f t="shared" si="1"/>
        <v>0</v>
      </c>
      <c r="G41" s="7">
        <f>COUNTIFS('Daily Production'!$A$5:$A$504,A41,'Daily Production'!$F$5:$F$504,B41)</f>
        <v>0</v>
      </c>
      <c r="H41" s="7">
        <f>SUMIFS('Daily Production'!$L$5:$L$504,'Daily Production'!$A$5:$A$504,A41,'Daily Production'!$F$5:$F$504,B41)</f>
        <v>0</v>
      </c>
      <c r="I41" s="7">
        <f>SUMIFS('Daily Production'!$J$5:$J$504,'Daily Production'!$A$5:$A$504,A41,'Daily Production'!$F$5:$F$504,B41)</f>
        <v>0</v>
      </c>
      <c r="J41" s="7">
        <f>SUMIFS('Daily Production'!$K$5:$K$504,'Daily Production'!$A$5:$A$504,A41,'Daily Production'!$F$5:$F$504,B41)</f>
        <v>0</v>
      </c>
      <c r="K41" s="13">
        <f>SUMIFS('Daily Production'!$Q$5:$Q$504,'Daily Production'!$A$5:$A$504,A41,'Daily Production'!$F$5:$F$504,B41)</f>
        <v>0</v>
      </c>
      <c r="L41" s="13">
        <f>IF(C41="Present",Settings!$B$5,IF(C41="Half Day",Settings!$B$5/2,0))</f>
        <v>0</v>
      </c>
    </row>
    <row r="42" ht="15.75" customHeight="1">
      <c r="A42" s="15"/>
      <c r="B42" s="7"/>
      <c r="C42" s="7"/>
      <c r="D42" s="16"/>
      <c r="E42" s="16"/>
      <c r="F42" s="7">
        <f t="shared" si="1"/>
        <v>0</v>
      </c>
      <c r="G42" s="7">
        <f>COUNTIFS('Daily Production'!$A$5:$A$504,A42,'Daily Production'!$F$5:$F$504,B42)</f>
        <v>0</v>
      </c>
      <c r="H42" s="7">
        <f>SUMIFS('Daily Production'!$L$5:$L$504,'Daily Production'!$A$5:$A$504,A42,'Daily Production'!$F$5:$F$504,B42)</f>
        <v>0</v>
      </c>
      <c r="I42" s="7">
        <f>SUMIFS('Daily Production'!$J$5:$J$504,'Daily Production'!$A$5:$A$504,A42,'Daily Production'!$F$5:$F$504,B42)</f>
        <v>0</v>
      </c>
      <c r="J42" s="7">
        <f>SUMIFS('Daily Production'!$K$5:$K$504,'Daily Production'!$A$5:$A$504,A42,'Daily Production'!$F$5:$F$504,B42)</f>
        <v>0</v>
      </c>
      <c r="K42" s="13">
        <f>SUMIFS('Daily Production'!$Q$5:$Q$504,'Daily Production'!$A$5:$A$504,A42,'Daily Production'!$F$5:$F$504,B42)</f>
        <v>0</v>
      </c>
      <c r="L42" s="13">
        <f>IF(C42="Present",Settings!$B$5,IF(C42="Half Day",Settings!$B$5/2,0))</f>
        <v>0</v>
      </c>
    </row>
    <row r="43" ht="15.75" customHeight="1">
      <c r="A43" s="15"/>
      <c r="B43" s="7"/>
      <c r="C43" s="7"/>
      <c r="D43" s="16"/>
      <c r="E43" s="16"/>
      <c r="F43" s="7">
        <f t="shared" si="1"/>
        <v>0</v>
      </c>
      <c r="G43" s="7">
        <f>COUNTIFS('Daily Production'!$A$5:$A$504,A43,'Daily Production'!$F$5:$F$504,B43)</f>
        <v>0</v>
      </c>
      <c r="H43" s="7">
        <f>SUMIFS('Daily Production'!$L$5:$L$504,'Daily Production'!$A$5:$A$504,A43,'Daily Production'!$F$5:$F$504,B43)</f>
        <v>0</v>
      </c>
      <c r="I43" s="7">
        <f>SUMIFS('Daily Production'!$J$5:$J$504,'Daily Production'!$A$5:$A$504,A43,'Daily Production'!$F$5:$F$504,B43)</f>
        <v>0</v>
      </c>
      <c r="J43" s="7">
        <f>SUMIFS('Daily Production'!$K$5:$K$504,'Daily Production'!$A$5:$A$504,A43,'Daily Production'!$F$5:$F$504,B43)</f>
        <v>0</v>
      </c>
      <c r="K43" s="13">
        <f>SUMIFS('Daily Production'!$Q$5:$Q$504,'Daily Production'!$A$5:$A$504,A43,'Daily Production'!$F$5:$F$504,B43)</f>
        <v>0</v>
      </c>
      <c r="L43" s="13">
        <f>IF(C43="Present",Settings!$B$5,IF(C43="Half Day",Settings!$B$5/2,0))</f>
        <v>0</v>
      </c>
    </row>
    <row r="44" ht="15.75" customHeight="1">
      <c r="A44" s="15"/>
      <c r="B44" s="7"/>
      <c r="C44" s="7"/>
      <c r="D44" s="16"/>
      <c r="E44" s="16"/>
      <c r="F44" s="7">
        <f t="shared" si="1"/>
        <v>0</v>
      </c>
      <c r="G44" s="7">
        <f>COUNTIFS('Daily Production'!$A$5:$A$504,A44,'Daily Production'!$F$5:$F$504,B44)</f>
        <v>0</v>
      </c>
      <c r="H44" s="7">
        <f>SUMIFS('Daily Production'!$L$5:$L$504,'Daily Production'!$A$5:$A$504,A44,'Daily Production'!$F$5:$F$504,B44)</f>
        <v>0</v>
      </c>
      <c r="I44" s="7">
        <f>SUMIFS('Daily Production'!$J$5:$J$504,'Daily Production'!$A$5:$A$504,A44,'Daily Production'!$F$5:$F$504,B44)</f>
        <v>0</v>
      </c>
      <c r="J44" s="7">
        <f>SUMIFS('Daily Production'!$K$5:$K$504,'Daily Production'!$A$5:$A$504,A44,'Daily Production'!$F$5:$F$504,B44)</f>
        <v>0</v>
      </c>
      <c r="K44" s="13">
        <f>SUMIFS('Daily Production'!$Q$5:$Q$504,'Daily Production'!$A$5:$A$504,A44,'Daily Production'!$F$5:$F$504,B44)</f>
        <v>0</v>
      </c>
      <c r="L44" s="13">
        <f>IF(C44="Present",Settings!$B$5,IF(C44="Half Day",Settings!$B$5/2,0))</f>
        <v>0</v>
      </c>
    </row>
    <row r="45" ht="15.75" customHeight="1">
      <c r="A45" s="15"/>
      <c r="B45" s="7"/>
      <c r="C45" s="7"/>
      <c r="D45" s="16"/>
      <c r="E45" s="16"/>
      <c r="F45" s="7">
        <f t="shared" si="1"/>
        <v>0</v>
      </c>
      <c r="G45" s="7">
        <f>COUNTIFS('Daily Production'!$A$5:$A$504,A45,'Daily Production'!$F$5:$F$504,B45)</f>
        <v>0</v>
      </c>
      <c r="H45" s="7">
        <f>SUMIFS('Daily Production'!$L$5:$L$504,'Daily Production'!$A$5:$A$504,A45,'Daily Production'!$F$5:$F$504,B45)</f>
        <v>0</v>
      </c>
      <c r="I45" s="7">
        <f>SUMIFS('Daily Production'!$J$5:$J$504,'Daily Production'!$A$5:$A$504,A45,'Daily Production'!$F$5:$F$504,B45)</f>
        <v>0</v>
      </c>
      <c r="J45" s="7">
        <f>SUMIFS('Daily Production'!$K$5:$K$504,'Daily Production'!$A$5:$A$504,A45,'Daily Production'!$F$5:$F$504,B45)</f>
        <v>0</v>
      </c>
      <c r="K45" s="13">
        <f>SUMIFS('Daily Production'!$Q$5:$Q$504,'Daily Production'!$A$5:$A$504,A45,'Daily Production'!$F$5:$F$504,B45)</f>
        <v>0</v>
      </c>
      <c r="L45" s="13">
        <f>IF(C45="Present",Settings!$B$5,IF(C45="Half Day",Settings!$B$5/2,0))</f>
        <v>0</v>
      </c>
    </row>
    <row r="46" ht="15.75" customHeight="1">
      <c r="A46" s="15"/>
      <c r="B46" s="7"/>
      <c r="C46" s="7"/>
      <c r="D46" s="16"/>
      <c r="E46" s="16"/>
      <c r="F46" s="7">
        <f t="shared" si="1"/>
        <v>0</v>
      </c>
      <c r="G46" s="7">
        <f>COUNTIFS('Daily Production'!$A$5:$A$504,A46,'Daily Production'!$F$5:$F$504,B46)</f>
        <v>0</v>
      </c>
      <c r="H46" s="7">
        <f>SUMIFS('Daily Production'!$L$5:$L$504,'Daily Production'!$A$5:$A$504,A46,'Daily Production'!$F$5:$F$504,B46)</f>
        <v>0</v>
      </c>
      <c r="I46" s="7">
        <f>SUMIFS('Daily Production'!$J$5:$J$504,'Daily Production'!$A$5:$A$504,A46,'Daily Production'!$F$5:$F$504,B46)</f>
        <v>0</v>
      </c>
      <c r="J46" s="7">
        <f>SUMIFS('Daily Production'!$K$5:$K$504,'Daily Production'!$A$5:$A$504,A46,'Daily Production'!$F$5:$F$504,B46)</f>
        <v>0</v>
      </c>
      <c r="K46" s="13">
        <f>SUMIFS('Daily Production'!$Q$5:$Q$504,'Daily Production'!$A$5:$A$504,A46,'Daily Production'!$F$5:$F$504,B46)</f>
        <v>0</v>
      </c>
      <c r="L46" s="13">
        <f>IF(C46="Present",Settings!$B$5,IF(C46="Half Day",Settings!$B$5/2,0))</f>
        <v>0</v>
      </c>
    </row>
    <row r="47" ht="15.75" customHeight="1">
      <c r="A47" s="15"/>
      <c r="B47" s="7"/>
      <c r="C47" s="7"/>
      <c r="D47" s="16"/>
      <c r="E47" s="16"/>
      <c r="F47" s="7">
        <f t="shared" si="1"/>
        <v>0</v>
      </c>
      <c r="G47" s="7">
        <f>COUNTIFS('Daily Production'!$A$5:$A$504,A47,'Daily Production'!$F$5:$F$504,B47)</f>
        <v>0</v>
      </c>
      <c r="H47" s="7">
        <f>SUMIFS('Daily Production'!$L$5:$L$504,'Daily Production'!$A$5:$A$504,A47,'Daily Production'!$F$5:$F$504,B47)</f>
        <v>0</v>
      </c>
      <c r="I47" s="7">
        <f>SUMIFS('Daily Production'!$J$5:$J$504,'Daily Production'!$A$5:$A$504,A47,'Daily Production'!$F$5:$F$504,B47)</f>
        <v>0</v>
      </c>
      <c r="J47" s="7">
        <f>SUMIFS('Daily Production'!$K$5:$K$504,'Daily Production'!$A$5:$A$504,A47,'Daily Production'!$F$5:$F$504,B47)</f>
        <v>0</v>
      </c>
      <c r="K47" s="13">
        <f>SUMIFS('Daily Production'!$Q$5:$Q$504,'Daily Production'!$A$5:$A$504,A47,'Daily Production'!$F$5:$F$504,B47)</f>
        <v>0</v>
      </c>
      <c r="L47" s="13">
        <f>IF(C47="Present",Settings!$B$5,IF(C47="Half Day",Settings!$B$5/2,0))</f>
        <v>0</v>
      </c>
    </row>
    <row r="48" ht="15.75" customHeight="1">
      <c r="A48" s="15"/>
      <c r="B48" s="7"/>
      <c r="C48" s="7"/>
      <c r="D48" s="16"/>
      <c r="E48" s="16"/>
      <c r="F48" s="7">
        <f t="shared" si="1"/>
        <v>0</v>
      </c>
      <c r="G48" s="7">
        <f>COUNTIFS('Daily Production'!$A$5:$A$504,A48,'Daily Production'!$F$5:$F$504,B48)</f>
        <v>0</v>
      </c>
      <c r="H48" s="7">
        <f>SUMIFS('Daily Production'!$L$5:$L$504,'Daily Production'!$A$5:$A$504,A48,'Daily Production'!$F$5:$F$504,B48)</f>
        <v>0</v>
      </c>
      <c r="I48" s="7">
        <f>SUMIFS('Daily Production'!$J$5:$J$504,'Daily Production'!$A$5:$A$504,A48,'Daily Production'!$F$5:$F$504,B48)</f>
        <v>0</v>
      </c>
      <c r="J48" s="7">
        <f>SUMIFS('Daily Production'!$K$5:$K$504,'Daily Production'!$A$5:$A$504,A48,'Daily Production'!$F$5:$F$504,B48)</f>
        <v>0</v>
      </c>
      <c r="K48" s="13">
        <f>SUMIFS('Daily Production'!$Q$5:$Q$504,'Daily Production'!$A$5:$A$504,A48,'Daily Production'!$F$5:$F$504,B48)</f>
        <v>0</v>
      </c>
      <c r="L48" s="13">
        <f>IF(C48="Present",Settings!$B$5,IF(C48="Half Day",Settings!$B$5/2,0))</f>
        <v>0</v>
      </c>
    </row>
    <row r="49" ht="15.75" customHeight="1">
      <c r="A49" s="15"/>
      <c r="B49" s="7"/>
      <c r="C49" s="7"/>
      <c r="D49" s="16"/>
      <c r="E49" s="16"/>
      <c r="F49" s="7">
        <f t="shared" si="1"/>
        <v>0</v>
      </c>
      <c r="G49" s="7">
        <f>COUNTIFS('Daily Production'!$A$5:$A$504,A49,'Daily Production'!$F$5:$F$504,B49)</f>
        <v>0</v>
      </c>
      <c r="H49" s="7">
        <f>SUMIFS('Daily Production'!$L$5:$L$504,'Daily Production'!$A$5:$A$504,A49,'Daily Production'!$F$5:$F$504,B49)</f>
        <v>0</v>
      </c>
      <c r="I49" s="7">
        <f>SUMIFS('Daily Production'!$J$5:$J$504,'Daily Production'!$A$5:$A$504,A49,'Daily Production'!$F$5:$F$504,B49)</f>
        <v>0</v>
      </c>
      <c r="J49" s="7">
        <f>SUMIFS('Daily Production'!$K$5:$K$504,'Daily Production'!$A$5:$A$504,A49,'Daily Production'!$F$5:$F$504,B49)</f>
        <v>0</v>
      </c>
      <c r="K49" s="13">
        <f>SUMIFS('Daily Production'!$Q$5:$Q$504,'Daily Production'!$A$5:$A$504,A49,'Daily Production'!$F$5:$F$504,B49)</f>
        <v>0</v>
      </c>
      <c r="L49" s="13">
        <f>IF(C49="Present",Settings!$B$5,IF(C49="Half Day",Settings!$B$5/2,0))</f>
        <v>0</v>
      </c>
    </row>
    <row r="50" ht="15.75" customHeight="1">
      <c r="A50" s="15"/>
      <c r="B50" s="7"/>
      <c r="C50" s="7"/>
      <c r="D50" s="16"/>
      <c r="E50" s="16"/>
      <c r="F50" s="7">
        <f t="shared" si="1"/>
        <v>0</v>
      </c>
      <c r="G50" s="7">
        <f>COUNTIFS('Daily Production'!$A$5:$A$504,A50,'Daily Production'!$F$5:$F$504,B50)</f>
        <v>0</v>
      </c>
      <c r="H50" s="7">
        <f>SUMIFS('Daily Production'!$L$5:$L$504,'Daily Production'!$A$5:$A$504,A50,'Daily Production'!$F$5:$F$504,B50)</f>
        <v>0</v>
      </c>
      <c r="I50" s="7">
        <f>SUMIFS('Daily Production'!$J$5:$J$504,'Daily Production'!$A$5:$A$504,A50,'Daily Production'!$F$5:$F$504,B50)</f>
        <v>0</v>
      </c>
      <c r="J50" s="7">
        <f>SUMIFS('Daily Production'!$K$5:$K$504,'Daily Production'!$A$5:$A$504,A50,'Daily Production'!$F$5:$F$504,B50)</f>
        <v>0</v>
      </c>
      <c r="K50" s="13">
        <f>SUMIFS('Daily Production'!$Q$5:$Q$504,'Daily Production'!$A$5:$A$504,A50,'Daily Production'!$F$5:$F$504,B50)</f>
        <v>0</v>
      </c>
      <c r="L50" s="13">
        <f>IF(C50="Present",Settings!$B$5,IF(C50="Half Day",Settings!$B$5/2,0))</f>
        <v>0</v>
      </c>
    </row>
    <row r="51" ht="15.75" customHeight="1">
      <c r="A51" s="15"/>
      <c r="B51" s="7"/>
      <c r="C51" s="7"/>
      <c r="D51" s="16"/>
      <c r="E51" s="16"/>
      <c r="F51" s="7">
        <f t="shared" si="1"/>
        <v>0</v>
      </c>
      <c r="G51" s="7">
        <f>COUNTIFS('Daily Production'!$A$5:$A$504,A51,'Daily Production'!$F$5:$F$504,B51)</f>
        <v>0</v>
      </c>
      <c r="H51" s="7">
        <f>SUMIFS('Daily Production'!$L$5:$L$504,'Daily Production'!$A$5:$A$504,A51,'Daily Production'!$F$5:$F$504,B51)</f>
        <v>0</v>
      </c>
      <c r="I51" s="7">
        <f>SUMIFS('Daily Production'!$J$5:$J$504,'Daily Production'!$A$5:$A$504,A51,'Daily Production'!$F$5:$F$504,B51)</f>
        <v>0</v>
      </c>
      <c r="J51" s="7">
        <f>SUMIFS('Daily Production'!$K$5:$K$504,'Daily Production'!$A$5:$A$504,A51,'Daily Production'!$F$5:$F$504,B51)</f>
        <v>0</v>
      </c>
      <c r="K51" s="13">
        <f>SUMIFS('Daily Production'!$Q$5:$Q$504,'Daily Production'!$A$5:$A$504,A51,'Daily Production'!$F$5:$F$504,B51)</f>
        <v>0</v>
      </c>
      <c r="L51" s="13">
        <f>IF(C51="Present",Settings!$B$5,IF(C51="Half Day",Settings!$B$5/2,0))</f>
        <v>0</v>
      </c>
    </row>
    <row r="52" ht="15.75" customHeight="1">
      <c r="A52" s="15"/>
      <c r="B52" s="7"/>
      <c r="C52" s="7"/>
      <c r="D52" s="16"/>
      <c r="E52" s="16"/>
      <c r="F52" s="7">
        <f t="shared" si="1"/>
        <v>0</v>
      </c>
      <c r="G52" s="7">
        <f>COUNTIFS('Daily Production'!$A$5:$A$504,A52,'Daily Production'!$F$5:$F$504,B52)</f>
        <v>0</v>
      </c>
      <c r="H52" s="7">
        <f>SUMIFS('Daily Production'!$L$5:$L$504,'Daily Production'!$A$5:$A$504,A52,'Daily Production'!$F$5:$F$504,B52)</f>
        <v>0</v>
      </c>
      <c r="I52" s="7">
        <f>SUMIFS('Daily Production'!$J$5:$J$504,'Daily Production'!$A$5:$A$504,A52,'Daily Production'!$F$5:$F$504,B52)</f>
        <v>0</v>
      </c>
      <c r="J52" s="7">
        <f>SUMIFS('Daily Production'!$K$5:$K$504,'Daily Production'!$A$5:$A$504,A52,'Daily Production'!$F$5:$F$504,B52)</f>
        <v>0</v>
      </c>
      <c r="K52" s="13">
        <f>SUMIFS('Daily Production'!$Q$5:$Q$504,'Daily Production'!$A$5:$A$504,A52,'Daily Production'!$F$5:$F$504,B52)</f>
        <v>0</v>
      </c>
      <c r="L52" s="13">
        <f>IF(C52="Present",Settings!$B$5,IF(C52="Half Day",Settings!$B$5/2,0))</f>
        <v>0</v>
      </c>
    </row>
    <row r="53" ht="15.75" customHeight="1">
      <c r="A53" s="15"/>
      <c r="B53" s="7"/>
      <c r="C53" s="7"/>
      <c r="D53" s="16"/>
      <c r="E53" s="16"/>
      <c r="F53" s="7">
        <f t="shared" si="1"/>
        <v>0</v>
      </c>
      <c r="G53" s="7">
        <f>COUNTIFS('Daily Production'!$A$5:$A$504,A53,'Daily Production'!$F$5:$F$504,B53)</f>
        <v>0</v>
      </c>
      <c r="H53" s="7">
        <f>SUMIFS('Daily Production'!$L$5:$L$504,'Daily Production'!$A$5:$A$504,A53,'Daily Production'!$F$5:$F$504,B53)</f>
        <v>0</v>
      </c>
      <c r="I53" s="7">
        <f>SUMIFS('Daily Production'!$J$5:$J$504,'Daily Production'!$A$5:$A$504,A53,'Daily Production'!$F$5:$F$504,B53)</f>
        <v>0</v>
      </c>
      <c r="J53" s="7">
        <f>SUMIFS('Daily Production'!$K$5:$K$504,'Daily Production'!$A$5:$A$504,A53,'Daily Production'!$F$5:$F$504,B53)</f>
        <v>0</v>
      </c>
      <c r="K53" s="13">
        <f>SUMIFS('Daily Production'!$Q$5:$Q$504,'Daily Production'!$A$5:$A$504,A53,'Daily Production'!$F$5:$F$504,B53)</f>
        <v>0</v>
      </c>
      <c r="L53" s="13">
        <f>IF(C53="Present",Settings!$B$5,IF(C53="Half Day",Settings!$B$5/2,0))</f>
        <v>0</v>
      </c>
    </row>
    <row r="54" ht="15.75" customHeight="1">
      <c r="A54" s="15"/>
      <c r="B54" s="7"/>
      <c r="C54" s="7"/>
      <c r="D54" s="16"/>
      <c r="E54" s="16"/>
      <c r="F54" s="7">
        <f t="shared" si="1"/>
        <v>0</v>
      </c>
      <c r="G54" s="7">
        <f>COUNTIFS('Daily Production'!$A$5:$A$504,A54,'Daily Production'!$F$5:$F$504,B54)</f>
        <v>0</v>
      </c>
      <c r="H54" s="7">
        <f>SUMIFS('Daily Production'!$L$5:$L$504,'Daily Production'!$A$5:$A$504,A54,'Daily Production'!$F$5:$F$504,B54)</f>
        <v>0</v>
      </c>
      <c r="I54" s="7">
        <f>SUMIFS('Daily Production'!$J$5:$J$504,'Daily Production'!$A$5:$A$504,A54,'Daily Production'!$F$5:$F$504,B54)</f>
        <v>0</v>
      </c>
      <c r="J54" s="7">
        <f>SUMIFS('Daily Production'!$K$5:$K$504,'Daily Production'!$A$5:$A$504,A54,'Daily Production'!$F$5:$F$504,B54)</f>
        <v>0</v>
      </c>
      <c r="K54" s="13">
        <f>SUMIFS('Daily Production'!$Q$5:$Q$504,'Daily Production'!$A$5:$A$504,A54,'Daily Production'!$F$5:$F$504,B54)</f>
        <v>0</v>
      </c>
      <c r="L54" s="13">
        <f>IF(C54="Present",Settings!$B$5,IF(C54="Half Day",Settings!$B$5/2,0))</f>
        <v>0</v>
      </c>
    </row>
    <row r="55" ht="15.75" customHeight="1">
      <c r="A55" s="15"/>
      <c r="B55" s="7"/>
      <c r="C55" s="7"/>
      <c r="D55" s="16"/>
      <c r="E55" s="16"/>
      <c r="F55" s="7">
        <f t="shared" si="1"/>
        <v>0</v>
      </c>
      <c r="G55" s="7">
        <f>COUNTIFS('Daily Production'!$A$5:$A$504,A55,'Daily Production'!$F$5:$F$504,B55)</f>
        <v>0</v>
      </c>
      <c r="H55" s="7">
        <f>SUMIFS('Daily Production'!$L$5:$L$504,'Daily Production'!$A$5:$A$504,A55,'Daily Production'!$F$5:$F$504,B55)</f>
        <v>0</v>
      </c>
      <c r="I55" s="7">
        <f>SUMIFS('Daily Production'!$J$5:$J$504,'Daily Production'!$A$5:$A$504,A55,'Daily Production'!$F$5:$F$504,B55)</f>
        <v>0</v>
      </c>
      <c r="J55" s="7">
        <f>SUMIFS('Daily Production'!$K$5:$K$504,'Daily Production'!$A$5:$A$504,A55,'Daily Production'!$F$5:$F$504,B55)</f>
        <v>0</v>
      </c>
      <c r="K55" s="13">
        <f>SUMIFS('Daily Production'!$Q$5:$Q$504,'Daily Production'!$A$5:$A$504,A55,'Daily Production'!$F$5:$F$504,B55)</f>
        <v>0</v>
      </c>
      <c r="L55" s="13">
        <f>IF(C55="Present",Settings!$B$5,IF(C55="Half Day",Settings!$B$5/2,0))</f>
        <v>0</v>
      </c>
    </row>
    <row r="56" ht="15.75" customHeight="1">
      <c r="A56" s="15"/>
      <c r="B56" s="7"/>
      <c r="C56" s="7"/>
      <c r="D56" s="16"/>
      <c r="E56" s="16"/>
      <c r="F56" s="7">
        <f t="shared" si="1"/>
        <v>0</v>
      </c>
      <c r="G56" s="7">
        <f>COUNTIFS('Daily Production'!$A$5:$A$504,A56,'Daily Production'!$F$5:$F$504,B56)</f>
        <v>0</v>
      </c>
      <c r="H56" s="7">
        <f>SUMIFS('Daily Production'!$L$5:$L$504,'Daily Production'!$A$5:$A$504,A56,'Daily Production'!$F$5:$F$504,B56)</f>
        <v>0</v>
      </c>
      <c r="I56" s="7">
        <f>SUMIFS('Daily Production'!$J$5:$J$504,'Daily Production'!$A$5:$A$504,A56,'Daily Production'!$F$5:$F$504,B56)</f>
        <v>0</v>
      </c>
      <c r="J56" s="7">
        <f>SUMIFS('Daily Production'!$K$5:$K$504,'Daily Production'!$A$5:$A$504,A56,'Daily Production'!$F$5:$F$504,B56)</f>
        <v>0</v>
      </c>
      <c r="K56" s="13">
        <f>SUMIFS('Daily Production'!$Q$5:$Q$504,'Daily Production'!$A$5:$A$504,A56,'Daily Production'!$F$5:$F$504,B56)</f>
        <v>0</v>
      </c>
      <c r="L56" s="13">
        <f>IF(C56="Present",Settings!$B$5,IF(C56="Half Day",Settings!$B$5/2,0))</f>
        <v>0</v>
      </c>
    </row>
    <row r="57" ht="15.75" customHeight="1">
      <c r="A57" s="15"/>
      <c r="B57" s="7"/>
      <c r="C57" s="7"/>
      <c r="D57" s="16"/>
      <c r="E57" s="16"/>
      <c r="F57" s="7">
        <f t="shared" si="1"/>
        <v>0</v>
      </c>
      <c r="G57" s="7">
        <f>COUNTIFS('Daily Production'!$A$5:$A$504,A57,'Daily Production'!$F$5:$F$504,B57)</f>
        <v>0</v>
      </c>
      <c r="H57" s="7">
        <f>SUMIFS('Daily Production'!$L$5:$L$504,'Daily Production'!$A$5:$A$504,A57,'Daily Production'!$F$5:$F$504,B57)</f>
        <v>0</v>
      </c>
      <c r="I57" s="7">
        <f>SUMIFS('Daily Production'!$J$5:$J$504,'Daily Production'!$A$5:$A$504,A57,'Daily Production'!$F$5:$F$504,B57)</f>
        <v>0</v>
      </c>
      <c r="J57" s="7">
        <f>SUMIFS('Daily Production'!$K$5:$K$504,'Daily Production'!$A$5:$A$504,A57,'Daily Production'!$F$5:$F$504,B57)</f>
        <v>0</v>
      </c>
      <c r="K57" s="13">
        <f>SUMIFS('Daily Production'!$Q$5:$Q$504,'Daily Production'!$A$5:$A$504,A57,'Daily Production'!$F$5:$F$504,B57)</f>
        <v>0</v>
      </c>
      <c r="L57" s="13">
        <f>IF(C57="Present",Settings!$B$5,IF(C57="Half Day",Settings!$B$5/2,0))</f>
        <v>0</v>
      </c>
    </row>
    <row r="58" ht="15.75" customHeight="1">
      <c r="A58" s="15"/>
      <c r="B58" s="7"/>
      <c r="C58" s="7"/>
      <c r="D58" s="16"/>
      <c r="E58" s="16"/>
      <c r="F58" s="7">
        <f t="shared" si="1"/>
        <v>0</v>
      </c>
      <c r="G58" s="7">
        <f>COUNTIFS('Daily Production'!$A$5:$A$504,A58,'Daily Production'!$F$5:$F$504,B58)</f>
        <v>0</v>
      </c>
      <c r="H58" s="7">
        <f>SUMIFS('Daily Production'!$L$5:$L$504,'Daily Production'!$A$5:$A$504,A58,'Daily Production'!$F$5:$F$504,B58)</f>
        <v>0</v>
      </c>
      <c r="I58" s="7">
        <f>SUMIFS('Daily Production'!$J$5:$J$504,'Daily Production'!$A$5:$A$504,A58,'Daily Production'!$F$5:$F$504,B58)</f>
        <v>0</v>
      </c>
      <c r="J58" s="7">
        <f>SUMIFS('Daily Production'!$K$5:$K$504,'Daily Production'!$A$5:$A$504,A58,'Daily Production'!$F$5:$F$504,B58)</f>
        <v>0</v>
      </c>
      <c r="K58" s="13">
        <f>SUMIFS('Daily Production'!$Q$5:$Q$504,'Daily Production'!$A$5:$A$504,A58,'Daily Production'!$F$5:$F$504,B58)</f>
        <v>0</v>
      </c>
      <c r="L58" s="13">
        <f>IF(C58="Present",Settings!$B$5,IF(C58="Half Day",Settings!$B$5/2,0))</f>
        <v>0</v>
      </c>
    </row>
    <row r="59" ht="15.75" customHeight="1">
      <c r="A59" s="15"/>
      <c r="B59" s="7"/>
      <c r="C59" s="7"/>
      <c r="D59" s="16"/>
      <c r="E59" s="16"/>
      <c r="F59" s="7">
        <f t="shared" si="1"/>
        <v>0</v>
      </c>
      <c r="G59" s="7">
        <f>COUNTIFS('Daily Production'!$A$5:$A$504,A59,'Daily Production'!$F$5:$F$504,B59)</f>
        <v>0</v>
      </c>
      <c r="H59" s="7">
        <f>SUMIFS('Daily Production'!$L$5:$L$504,'Daily Production'!$A$5:$A$504,A59,'Daily Production'!$F$5:$F$504,B59)</f>
        <v>0</v>
      </c>
      <c r="I59" s="7">
        <f>SUMIFS('Daily Production'!$J$5:$J$504,'Daily Production'!$A$5:$A$504,A59,'Daily Production'!$F$5:$F$504,B59)</f>
        <v>0</v>
      </c>
      <c r="J59" s="7">
        <f>SUMIFS('Daily Production'!$K$5:$K$504,'Daily Production'!$A$5:$A$504,A59,'Daily Production'!$F$5:$F$504,B59)</f>
        <v>0</v>
      </c>
      <c r="K59" s="13">
        <f>SUMIFS('Daily Production'!$Q$5:$Q$504,'Daily Production'!$A$5:$A$504,A59,'Daily Production'!$F$5:$F$504,B59)</f>
        <v>0</v>
      </c>
      <c r="L59" s="13">
        <f>IF(C59="Present",Settings!$B$5,IF(C59="Half Day",Settings!$B$5/2,0))</f>
        <v>0</v>
      </c>
    </row>
    <row r="60" ht="15.75" customHeight="1">
      <c r="A60" s="15"/>
      <c r="B60" s="7"/>
      <c r="C60" s="7"/>
      <c r="D60" s="16"/>
      <c r="E60" s="16"/>
      <c r="F60" s="7">
        <f t="shared" si="1"/>
        <v>0</v>
      </c>
      <c r="G60" s="7">
        <f>COUNTIFS('Daily Production'!$A$5:$A$504,A60,'Daily Production'!$F$5:$F$504,B60)</f>
        <v>0</v>
      </c>
      <c r="H60" s="7">
        <f>SUMIFS('Daily Production'!$L$5:$L$504,'Daily Production'!$A$5:$A$504,A60,'Daily Production'!$F$5:$F$504,B60)</f>
        <v>0</v>
      </c>
      <c r="I60" s="7">
        <f>SUMIFS('Daily Production'!$J$5:$J$504,'Daily Production'!$A$5:$A$504,A60,'Daily Production'!$F$5:$F$504,B60)</f>
        <v>0</v>
      </c>
      <c r="J60" s="7">
        <f>SUMIFS('Daily Production'!$K$5:$K$504,'Daily Production'!$A$5:$A$504,A60,'Daily Production'!$F$5:$F$504,B60)</f>
        <v>0</v>
      </c>
      <c r="K60" s="13">
        <f>SUMIFS('Daily Production'!$Q$5:$Q$504,'Daily Production'!$A$5:$A$504,A60,'Daily Production'!$F$5:$F$504,B60)</f>
        <v>0</v>
      </c>
      <c r="L60" s="13">
        <f>IF(C60="Present",Settings!$B$5,IF(C60="Half Day",Settings!$B$5/2,0))</f>
        <v>0</v>
      </c>
    </row>
    <row r="61" ht="15.75" customHeight="1">
      <c r="A61" s="15"/>
      <c r="B61" s="7"/>
      <c r="C61" s="7"/>
      <c r="D61" s="16"/>
      <c r="E61" s="16"/>
      <c r="F61" s="7">
        <f t="shared" si="1"/>
        <v>0</v>
      </c>
      <c r="G61" s="7">
        <f>COUNTIFS('Daily Production'!$A$5:$A$504,A61,'Daily Production'!$F$5:$F$504,B61)</f>
        <v>0</v>
      </c>
      <c r="H61" s="7">
        <f>SUMIFS('Daily Production'!$L$5:$L$504,'Daily Production'!$A$5:$A$504,A61,'Daily Production'!$F$5:$F$504,B61)</f>
        <v>0</v>
      </c>
      <c r="I61" s="7">
        <f>SUMIFS('Daily Production'!$J$5:$J$504,'Daily Production'!$A$5:$A$504,A61,'Daily Production'!$F$5:$F$504,B61)</f>
        <v>0</v>
      </c>
      <c r="J61" s="7">
        <f>SUMIFS('Daily Production'!$K$5:$K$504,'Daily Production'!$A$5:$A$504,A61,'Daily Production'!$F$5:$F$504,B61)</f>
        <v>0</v>
      </c>
      <c r="K61" s="13">
        <f>SUMIFS('Daily Production'!$Q$5:$Q$504,'Daily Production'!$A$5:$A$504,A61,'Daily Production'!$F$5:$F$504,B61)</f>
        <v>0</v>
      </c>
      <c r="L61" s="13">
        <f>IF(C61="Present",Settings!$B$5,IF(C61="Half Day",Settings!$B$5/2,0))</f>
        <v>0</v>
      </c>
    </row>
    <row r="62" ht="15.75" customHeight="1">
      <c r="A62" s="15"/>
      <c r="B62" s="7"/>
      <c r="C62" s="7"/>
      <c r="D62" s="16"/>
      <c r="E62" s="16"/>
      <c r="F62" s="7">
        <f t="shared" si="1"/>
        <v>0</v>
      </c>
      <c r="G62" s="7">
        <f>COUNTIFS('Daily Production'!$A$5:$A$504,A62,'Daily Production'!$F$5:$F$504,B62)</f>
        <v>0</v>
      </c>
      <c r="H62" s="7">
        <f>SUMIFS('Daily Production'!$L$5:$L$504,'Daily Production'!$A$5:$A$504,A62,'Daily Production'!$F$5:$F$504,B62)</f>
        <v>0</v>
      </c>
      <c r="I62" s="7">
        <f>SUMIFS('Daily Production'!$J$5:$J$504,'Daily Production'!$A$5:$A$504,A62,'Daily Production'!$F$5:$F$504,B62)</f>
        <v>0</v>
      </c>
      <c r="J62" s="7">
        <f>SUMIFS('Daily Production'!$K$5:$K$504,'Daily Production'!$A$5:$A$504,A62,'Daily Production'!$F$5:$F$504,B62)</f>
        <v>0</v>
      </c>
      <c r="K62" s="13">
        <f>SUMIFS('Daily Production'!$Q$5:$Q$504,'Daily Production'!$A$5:$A$504,A62,'Daily Production'!$F$5:$F$504,B62)</f>
        <v>0</v>
      </c>
      <c r="L62" s="13">
        <f>IF(C62="Present",Settings!$B$5,IF(C62="Half Day",Settings!$B$5/2,0))</f>
        <v>0</v>
      </c>
    </row>
    <row r="63" ht="15.75" customHeight="1">
      <c r="A63" s="15"/>
      <c r="B63" s="7"/>
      <c r="C63" s="7"/>
      <c r="D63" s="16"/>
      <c r="E63" s="16"/>
      <c r="F63" s="7">
        <f t="shared" si="1"/>
        <v>0</v>
      </c>
      <c r="G63" s="7">
        <f>COUNTIFS('Daily Production'!$A$5:$A$504,A63,'Daily Production'!$F$5:$F$504,B63)</f>
        <v>0</v>
      </c>
      <c r="H63" s="7">
        <f>SUMIFS('Daily Production'!$L$5:$L$504,'Daily Production'!$A$5:$A$504,A63,'Daily Production'!$F$5:$F$504,B63)</f>
        <v>0</v>
      </c>
      <c r="I63" s="7">
        <f>SUMIFS('Daily Production'!$J$5:$J$504,'Daily Production'!$A$5:$A$504,A63,'Daily Production'!$F$5:$F$504,B63)</f>
        <v>0</v>
      </c>
      <c r="J63" s="7">
        <f>SUMIFS('Daily Production'!$K$5:$K$504,'Daily Production'!$A$5:$A$504,A63,'Daily Production'!$F$5:$F$504,B63)</f>
        <v>0</v>
      </c>
      <c r="K63" s="13">
        <f>SUMIFS('Daily Production'!$Q$5:$Q$504,'Daily Production'!$A$5:$A$504,A63,'Daily Production'!$F$5:$F$504,B63)</f>
        <v>0</v>
      </c>
      <c r="L63" s="13">
        <f>IF(C63="Present",Settings!$B$5,IF(C63="Half Day",Settings!$B$5/2,0))</f>
        <v>0</v>
      </c>
    </row>
    <row r="64" ht="15.75" customHeight="1">
      <c r="A64" s="15"/>
      <c r="B64" s="7"/>
      <c r="C64" s="7"/>
      <c r="D64" s="16"/>
      <c r="E64" s="16"/>
      <c r="F64" s="7">
        <f t="shared" si="1"/>
        <v>0</v>
      </c>
      <c r="G64" s="7">
        <f>COUNTIFS('Daily Production'!$A$5:$A$504,A64,'Daily Production'!$F$5:$F$504,B64)</f>
        <v>0</v>
      </c>
      <c r="H64" s="7">
        <f>SUMIFS('Daily Production'!$L$5:$L$504,'Daily Production'!$A$5:$A$504,A64,'Daily Production'!$F$5:$F$504,B64)</f>
        <v>0</v>
      </c>
      <c r="I64" s="7">
        <f>SUMIFS('Daily Production'!$J$5:$J$504,'Daily Production'!$A$5:$A$504,A64,'Daily Production'!$F$5:$F$504,B64)</f>
        <v>0</v>
      </c>
      <c r="J64" s="7">
        <f>SUMIFS('Daily Production'!$K$5:$K$504,'Daily Production'!$A$5:$A$504,A64,'Daily Production'!$F$5:$F$504,B64)</f>
        <v>0</v>
      </c>
      <c r="K64" s="13">
        <f>SUMIFS('Daily Production'!$Q$5:$Q$504,'Daily Production'!$A$5:$A$504,A64,'Daily Production'!$F$5:$F$504,B64)</f>
        <v>0</v>
      </c>
      <c r="L64" s="13">
        <f>IF(C64="Present",Settings!$B$5,IF(C64="Half Day",Settings!$B$5/2,0))</f>
        <v>0</v>
      </c>
    </row>
    <row r="65" ht="15.75" customHeight="1">
      <c r="A65" s="15"/>
      <c r="B65" s="7"/>
      <c r="C65" s="7"/>
      <c r="D65" s="16"/>
      <c r="E65" s="16"/>
      <c r="F65" s="7">
        <f t="shared" si="1"/>
        <v>0</v>
      </c>
      <c r="G65" s="7">
        <f>COUNTIFS('Daily Production'!$A$5:$A$504,A65,'Daily Production'!$F$5:$F$504,B65)</f>
        <v>0</v>
      </c>
      <c r="H65" s="7">
        <f>SUMIFS('Daily Production'!$L$5:$L$504,'Daily Production'!$A$5:$A$504,A65,'Daily Production'!$F$5:$F$504,B65)</f>
        <v>0</v>
      </c>
      <c r="I65" s="7">
        <f>SUMIFS('Daily Production'!$J$5:$J$504,'Daily Production'!$A$5:$A$504,A65,'Daily Production'!$F$5:$F$504,B65)</f>
        <v>0</v>
      </c>
      <c r="J65" s="7">
        <f>SUMIFS('Daily Production'!$K$5:$K$504,'Daily Production'!$A$5:$A$504,A65,'Daily Production'!$F$5:$F$504,B65)</f>
        <v>0</v>
      </c>
      <c r="K65" s="13">
        <f>SUMIFS('Daily Production'!$Q$5:$Q$504,'Daily Production'!$A$5:$A$504,A65,'Daily Production'!$F$5:$F$504,B65)</f>
        <v>0</v>
      </c>
      <c r="L65" s="13">
        <f>IF(C65="Present",Settings!$B$5,IF(C65="Half Day",Settings!$B$5/2,0))</f>
        <v>0</v>
      </c>
    </row>
    <row r="66" ht="15.75" customHeight="1">
      <c r="A66" s="15"/>
      <c r="B66" s="7"/>
      <c r="C66" s="7"/>
      <c r="D66" s="16"/>
      <c r="E66" s="16"/>
      <c r="F66" s="7">
        <f t="shared" si="1"/>
        <v>0</v>
      </c>
      <c r="G66" s="7">
        <f>COUNTIFS('Daily Production'!$A$5:$A$504,A66,'Daily Production'!$F$5:$F$504,B66)</f>
        <v>0</v>
      </c>
      <c r="H66" s="7">
        <f>SUMIFS('Daily Production'!$L$5:$L$504,'Daily Production'!$A$5:$A$504,A66,'Daily Production'!$F$5:$F$504,B66)</f>
        <v>0</v>
      </c>
      <c r="I66" s="7">
        <f>SUMIFS('Daily Production'!$J$5:$J$504,'Daily Production'!$A$5:$A$504,A66,'Daily Production'!$F$5:$F$504,B66)</f>
        <v>0</v>
      </c>
      <c r="J66" s="7">
        <f>SUMIFS('Daily Production'!$K$5:$K$504,'Daily Production'!$A$5:$A$504,A66,'Daily Production'!$F$5:$F$504,B66)</f>
        <v>0</v>
      </c>
      <c r="K66" s="13">
        <f>SUMIFS('Daily Production'!$Q$5:$Q$504,'Daily Production'!$A$5:$A$504,A66,'Daily Production'!$F$5:$F$504,B66)</f>
        <v>0</v>
      </c>
      <c r="L66" s="13">
        <f>IF(C66="Present",Settings!$B$5,IF(C66="Half Day",Settings!$B$5/2,0))</f>
        <v>0</v>
      </c>
    </row>
    <row r="67" ht="15.75" customHeight="1">
      <c r="A67" s="15"/>
      <c r="B67" s="7"/>
      <c r="C67" s="7"/>
      <c r="D67" s="16"/>
      <c r="E67" s="16"/>
      <c r="F67" s="7">
        <f t="shared" si="1"/>
        <v>0</v>
      </c>
      <c r="G67" s="7">
        <f>COUNTIFS('Daily Production'!$A$5:$A$504,A67,'Daily Production'!$F$5:$F$504,B67)</f>
        <v>0</v>
      </c>
      <c r="H67" s="7">
        <f>SUMIFS('Daily Production'!$L$5:$L$504,'Daily Production'!$A$5:$A$504,A67,'Daily Production'!$F$5:$F$504,B67)</f>
        <v>0</v>
      </c>
      <c r="I67" s="7">
        <f>SUMIFS('Daily Production'!$J$5:$J$504,'Daily Production'!$A$5:$A$504,A67,'Daily Production'!$F$5:$F$504,B67)</f>
        <v>0</v>
      </c>
      <c r="J67" s="7">
        <f>SUMIFS('Daily Production'!$K$5:$K$504,'Daily Production'!$A$5:$A$504,A67,'Daily Production'!$F$5:$F$504,B67)</f>
        <v>0</v>
      </c>
      <c r="K67" s="13">
        <f>SUMIFS('Daily Production'!$Q$5:$Q$504,'Daily Production'!$A$5:$A$504,A67,'Daily Production'!$F$5:$F$504,B67)</f>
        <v>0</v>
      </c>
      <c r="L67" s="13">
        <f>IF(C67="Present",Settings!$B$5,IF(C67="Half Day",Settings!$B$5/2,0))</f>
        <v>0</v>
      </c>
    </row>
    <row r="68" ht="15.75" customHeight="1">
      <c r="A68" s="15"/>
      <c r="B68" s="7"/>
      <c r="C68" s="7"/>
      <c r="D68" s="16"/>
      <c r="E68" s="16"/>
      <c r="F68" s="7">
        <f t="shared" si="1"/>
        <v>0</v>
      </c>
      <c r="G68" s="7">
        <f>COUNTIFS('Daily Production'!$A$5:$A$504,A68,'Daily Production'!$F$5:$F$504,B68)</f>
        <v>0</v>
      </c>
      <c r="H68" s="7">
        <f>SUMIFS('Daily Production'!$L$5:$L$504,'Daily Production'!$A$5:$A$504,A68,'Daily Production'!$F$5:$F$504,B68)</f>
        <v>0</v>
      </c>
      <c r="I68" s="7">
        <f>SUMIFS('Daily Production'!$J$5:$J$504,'Daily Production'!$A$5:$A$504,A68,'Daily Production'!$F$5:$F$504,B68)</f>
        <v>0</v>
      </c>
      <c r="J68" s="7">
        <f>SUMIFS('Daily Production'!$K$5:$K$504,'Daily Production'!$A$5:$A$504,A68,'Daily Production'!$F$5:$F$504,B68)</f>
        <v>0</v>
      </c>
      <c r="K68" s="13">
        <f>SUMIFS('Daily Production'!$Q$5:$Q$504,'Daily Production'!$A$5:$A$504,A68,'Daily Production'!$F$5:$F$504,B68)</f>
        <v>0</v>
      </c>
      <c r="L68" s="13">
        <f>IF(C68="Present",Settings!$B$5,IF(C68="Half Day",Settings!$B$5/2,0))</f>
        <v>0</v>
      </c>
    </row>
    <row r="69" ht="15.75" customHeight="1">
      <c r="A69" s="15"/>
      <c r="B69" s="7"/>
      <c r="C69" s="7"/>
      <c r="D69" s="16"/>
      <c r="E69" s="16"/>
      <c r="F69" s="7">
        <f t="shared" si="1"/>
        <v>0</v>
      </c>
      <c r="G69" s="7">
        <f>COUNTIFS('Daily Production'!$A$5:$A$504,A69,'Daily Production'!$F$5:$F$504,B69)</f>
        <v>0</v>
      </c>
      <c r="H69" s="7">
        <f>SUMIFS('Daily Production'!$L$5:$L$504,'Daily Production'!$A$5:$A$504,A69,'Daily Production'!$F$5:$F$504,B69)</f>
        <v>0</v>
      </c>
      <c r="I69" s="7">
        <f>SUMIFS('Daily Production'!$J$5:$J$504,'Daily Production'!$A$5:$A$504,A69,'Daily Production'!$F$5:$F$504,B69)</f>
        <v>0</v>
      </c>
      <c r="J69" s="7">
        <f>SUMIFS('Daily Production'!$K$5:$K$504,'Daily Production'!$A$5:$A$504,A69,'Daily Production'!$F$5:$F$504,B69)</f>
        <v>0</v>
      </c>
      <c r="K69" s="13">
        <f>SUMIFS('Daily Production'!$Q$5:$Q$504,'Daily Production'!$A$5:$A$504,A69,'Daily Production'!$F$5:$F$504,B69)</f>
        <v>0</v>
      </c>
      <c r="L69" s="13">
        <f>IF(C69="Present",Settings!$B$5,IF(C69="Half Day",Settings!$B$5/2,0))</f>
        <v>0</v>
      </c>
    </row>
    <row r="70" ht="15.75" customHeight="1">
      <c r="A70" s="15"/>
      <c r="B70" s="7"/>
      <c r="C70" s="7"/>
      <c r="D70" s="16"/>
      <c r="E70" s="16"/>
      <c r="F70" s="7">
        <f t="shared" si="1"/>
        <v>0</v>
      </c>
      <c r="G70" s="7">
        <f>COUNTIFS('Daily Production'!$A$5:$A$504,A70,'Daily Production'!$F$5:$F$504,B70)</f>
        <v>0</v>
      </c>
      <c r="H70" s="7">
        <f>SUMIFS('Daily Production'!$L$5:$L$504,'Daily Production'!$A$5:$A$504,A70,'Daily Production'!$F$5:$F$504,B70)</f>
        <v>0</v>
      </c>
      <c r="I70" s="7">
        <f>SUMIFS('Daily Production'!$J$5:$J$504,'Daily Production'!$A$5:$A$504,A70,'Daily Production'!$F$5:$F$504,B70)</f>
        <v>0</v>
      </c>
      <c r="J70" s="7">
        <f>SUMIFS('Daily Production'!$K$5:$K$504,'Daily Production'!$A$5:$A$504,A70,'Daily Production'!$F$5:$F$504,B70)</f>
        <v>0</v>
      </c>
      <c r="K70" s="13">
        <f>SUMIFS('Daily Production'!$Q$5:$Q$504,'Daily Production'!$A$5:$A$504,A70,'Daily Production'!$F$5:$F$504,B70)</f>
        <v>0</v>
      </c>
      <c r="L70" s="13">
        <f>IF(C70="Present",Settings!$B$5,IF(C70="Half Day",Settings!$B$5/2,0))</f>
        <v>0</v>
      </c>
    </row>
    <row r="71" ht="15.75" customHeight="1">
      <c r="A71" s="15"/>
      <c r="B71" s="7"/>
      <c r="C71" s="7"/>
      <c r="D71" s="16"/>
      <c r="E71" s="16"/>
      <c r="F71" s="7">
        <f t="shared" si="1"/>
        <v>0</v>
      </c>
      <c r="G71" s="7">
        <f>COUNTIFS('Daily Production'!$A$5:$A$504,A71,'Daily Production'!$F$5:$F$504,B71)</f>
        <v>0</v>
      </c>
      <c r="H71" s="7">
        <f>SUMIFS('Daily Production'!$L$5:$L$504,'Daily Production'!$A$5:$A$504,A71,'Daily Production'!$F$5:$F$504,B71)</f>
        <v>0</v>
      </c>
      <c r="I71" s="7">
        <f>SUMIFS('Daily Production'!$J$5:$J$504,'Daily Production'!$A$5:$A$504,A71,'Daily Production'!$F$5:$F$504,B71)</f>
        <v>0</v>
      </c>
      <c r="J71" s="7">
        <f>SUMIFS('Daily Production'!$K$5:$K$504,'Daily Production'!$A$5:$A$504,A71,'Daily Production'!$F$5:$F$504,B71)</f>
        <v>0</v>
      </c>
      <c r="K71" s="13">
        <f>SUMIFS('Daily Production'!$Q$5:$Q$504,'Daily Production'!$A$5:$A$504,A71,'Daily Production'!$F$5:$F$504,B71)</f>
        <v>0</v>
      </c>
      <c r="L71" s="13">
        <f>IF(C71="Present",Settings!$B$5,IF(C71="Half Day",Settings!$B$5/2,0))</f>
        <v>0</v>
      </c>
    </row>
    <row r="72" ht="15.75" customHeight="1">
      <c r="A72" s="15"/>
      <c r="B72" s="7"/>
      <c r="C72" s="7"/>
      <c r="D72" s="16"/>
      <c r="E72" s="16"/>
      <c r="F72" s="7">
        <f t="shared" si="1"/>
        <v>0</v>
      </c>
      <c r="G72" s="7">
        <f>COUNTIFS('Daily Production'!$A$5:$A$504,A72,'Daily Production'!$F$5:$F$504,B72)</f>
        <v>0</v>
      </c>
      <c r="H72" s="7">
        <f>SUMIFS('Daily Production'!$L$5:$L$504,'Daily Production'!$A$5:$A$504,A72,'Daily Production'!$F$5:$F$504,B72)</f>
        <v>0</v>
      </c>
      <c r="I72" s="7">
        <f>SUMIFS('Daily Production'!$J$5:$J$504,'Daily Production'!$A$5:$A$504,A72,'Daily Production'!$F$5:$F$504,B72)</f>
        <v>0</v>
      </c>
      <c r="J72" s="7">
        <f>SUMIFS('Daily Production'!$K$5:$K$504,'Daily Production'!$A$5:$A$504,A72,'Daily Production'!$F$5:$F$504,B72)</f>
        <v>0</v>
      </c>
      <c r="K72" s="13">
        <f>SUMIFS('Daily Production'!$Q$5:$Q$504,'Daily Production'!$A$5:$A$504,A72,'Daily Production'!$F$5:$F$504,B72)</f>
        <v>0</v>
      </c>
      <c r="L72" s="13">
        <f>IF(C72="Present",Settings!$B$5,IF(C72="Half Day",Settings!$B$5/2,0))</f>
        <v>0</v>
      </c>
    </row>
    <row r="73" ht="15.75" customHeight="1">
      <c r="A73" s="15"/>
      <c r="B73" s="7"/>
      <c r="C73" s="7"/>
      <c r="D73" s="16"/>
      <c r="E73" s="16"/>
      <c r="F73" s="7">
        <f t="shared" si="1"/>
        <v>0</v>
      </c>
      <c r="G73" s="7">
        <f>COUNTIFS('Daily Production'!$A$5:$A$504,A73,'Daily Production'!$F$5:$F$504,B73)</f>
        <v>0</v>
      </c>
      <c r="H73" s="7">
        <f>SUMIFS('Daily Production'!$L$5:$L$504,'Daily Production'!$A$5:$A$504,A73,'Daily Production'!$F$5:$F$504,B73)</f>
        <v>0</v>
      </c>
      <c r="I73" s="7">
        <f>SUMIFS('Daily Production'!$J$5:$J$504,'Daily Production'!$A$5:$A$504,A73,'Daily Production'!$F$5:$F$504,B73)</f>
        <v>0</v>
      </c>
      <c r="J73" s="7">
        <f>SUMIFS('Daily Production'!$K$5:$K$504,'Daily Production'!$A$5:$A$504,A73,'Daily Production'!$F$5:$F$504,B73)</f>
        <v>0</v>
      </c>
      <c r="K73" s="13">
        <f>SUMIFS('Daily Production'!$Q$5:$Q$504,'Daily Production'!$A$5:$A$504,A73,'Daily Production'!$F$5:$F$504,B73)</f>
        <v>0</v>
      </c>
      <c r="L73" s="13">
        <f>IF(C73="Present",Settings!$B$5,IF(C73="Half Day",Settings!$B$5/2,0))</f>
        <v>0</v>
      </c>
    </row>
    <row r="74" ht="15.75" customHeight="1">
      <c r="A74" s="15"/>
      <c r="B74" s="7"/>
      <c r="C74" s="7"/>
      <c r="D74" s="16"/>
      <c r="E74" s="16"/>
      <c r="F74" s="7">
        <f t="shared" si="1"/>
        <v>0</v>
      </c>
      <c r="G74" s="7">
        <f>COUNTIFS('Daily Production'!$A$5:$A$504,A74,'Daily Production'!$F$5:$F$504,B74)</f>
        <v>0</v>
      </c>
      <c r="H74" s="7">
        <f>SUMIFS('Daily Production'!$L$5:$L$504,'Daily Production'!$A$5:$A$504,A74,'Daily Production'!$F$5:$F$504,B74)</f>
        <v>0</v>
      </c>
      <c r="I74" s="7">
        <f>SUMIFS('Daily Production'!$J$5:$J$504,'Daily Production'!$A$5:$A$504,A74,'Daily Production'!$F$5:$F$504,B74)</f>
        <v>0</v>
      </c>
      <c r="J74" s="7">
        <f>SUMIFS('Daily Production'!$K$5:$K$504,'Daily Production'!$A$5:$A$504,A74,'Daily Production'!$F$5:$F$504,B74)</f>
        <v>0</v>
      </c>
      <c r="K74" s="13">
        <f>SUMIFS('Daily Production'!$Q$5:$Q$504,'Daily Production'!$A$5:$A$504,A74,'Daily Production'!$F$5:$F$504,B74)</f>
        <v>0</v>
      </c>
      <c r="L74" s="13">
        <f>IF(C74="Present",Settings!$B$5,IF(C74="Half Day",Settings!$B$5/2,0))</f>
        <v>0</v>
      </c>
    </row>
    <row r="75" ht="15.75" customHeight="1">
      <c r="A75" s="15"/>
      <c r="B75" s="7"/>
      <c r="C75" s="7"/>
      <c r="D75" s="16"/>
      <c r="E75" s="16"/>
      <c r="F75" s="7">
        <f t="shared" si="1"/>
        <v>0</v>
      </c>
      <c r="G75" s="7">
        <f>COUNTIFS('Daily Production'!$A$5:$A$504,A75,'Daily Production'!$F$5:$F$504,B75)</f>
        <v>0</v>
      </c>
      <c r="H75" s="7">
        <f>SUMIFS('Daily Production'!$L$5:$L$504,'Daily Production'!$A$5:$A$504,A75,'Daily Production'!$F$5:$F$504,B75)</f>
        <v>0</v>
      </c>
      <c r="I75" s="7">
        <f>SUMIFS('Daily Production'!$J$5:$J$504,'Daily Production'!$A$5:$A$504,A75,'Daily Production'!$F$5:$F$504,B75)</f>
        <v>0</v>
      </c>
      <c r="J75" s="7">
        <f>SUMIFS('Daily Production'!$K$5:$K$504,'Daily Production'!$A$5:$A$504,A75,'Daily Production'!$F$5:$F$504,B75)</f>
        <v>0</v>
      </c>
      <c r="K75" s="13">
        <f>SUMIFS('Daily Production'!$Q$5:$Q$504,'Daily Production'!$A$5:$A$504,A75,'Daily Production'!$F$5:$F$504,B75)</f>
        <v>0</v>
      </c>
      <c r="L75" s="13">
        <f>IF(C75="Present",Settings!$B$5,IF(C75="Half Day",Settings!$B$5/2,0))</f>
        <v>0</v>
      </c>
    </row>
    <row r="76" ht="15.75" customHeight="1">
      <c r="A76" s="15"/>
      <c r="B76" s="7"/>
      <c r="C76" s="7"/>
      <c r="D76" s="16"/>
      <c r="E76" s="16"/>
      <c r="F76" s="7">
        <f t="shared" si="1"/>
        <v>0</v>
      </c>
      <c r="G76" s="7">
        <f>COUNTIFS('Daily Production'!$A$5:$A$504,A76,'Daily Production'!$F$5:$F$504,B76)</f>
        <v>0</v>
      </c>
      <c r="H76" s="7">
        <f>SUMIFS('Daily Production'!$L$5:$L$504,'Daily Production'!$A$5:$A$504,A76,'Daily Production'!$F$5:$F$504,B76)</f>
        <v>0</v>
      </c>
      <c r="I76" s="7">
        <f>SUMIFS('Daily Production'!$J$5:$J$504,'Daily Production'!$A$5:$A$504,A76,'Daily Production'!$F$5:$F$504,B76)</f>
        <v>0</v>
      </c>
      <c r="J76" s="7">
        <f>SUMIFS('Daily Production'!$K$5:$K$504,'Daily Production'!$A$5:$A$504,A76,'Daily Production'!$F$5:$F$504,B76)</f>
        <v>0</v>
      </c>
      <c r="K76" s="13">
        <f>SUMIFS('Daily Production'!$Q$5:$Q$504,'Daily Production'!$A$5:$A$504,A76,'Daily Production'!$F$5:$F$504,B76)</f>
        <v>0</v>
      </c>
      <c r="L76" s="13">
        <f>IF(C76="Present",Settings!$B$5,IF(C76="Half Day",Settings!$B$5/2,0))</f>
        <v>0</v>
      </c>
    </row>
    <row r="77" ht="15.75" customHeight="1">
      <c r="A77" s="15"/>
      <c r="B77" s="7"/>
      <c r="C77" s="7"/>
      <c r="D77" s="16"/>
      <c r="E77" s="16"/>
      <c r="F77" s="7">
        <f t="shared" si="1"/>
        <v>0</v>
      </c>
      <c r="G77" s="7">
        <f>COUNTIFS('Daily Production'!$A$5:$A$504,A77,'Daily Production'!$F$5:$F$504,B77)</f>
        <v>0</v>
      </c>
      <c r="H77" s="7">
        <f>SUMIFS('Daily Production'!$L$5:$L$504,'Daily Production'!$A$5:$A$504,A77,'Daily Production'!$F$5:$F$504,B77)</f>
        <v>0</v>
      </c>
      <c r="I77" s="7">
        <f>SUMIFS('Daily Production'!$J$5:$J$504,'Daily Production'!$A$5:$A$504,A77,'Daily Production'!$F$5:$F$504,B77)</f>
        <v>0</v>
      </c>
      <c r="J77" s="7">
        <f>SUMIFS('Daily Production'!$K$5:$K$504,'Daily Production'!$A$5:$A$504,A77,'Daily Production'!$F$5:$F$504,B77)</f>
        <v>0</v>
      </c>
      <c r="K77" s="13">
        <f>SUMIFS('Daily Production'!$Q$5:$Q$504,'Daily Production'!$A$5:$A$504,A77,'Daily Production'!$F$5:$F$504,B77)</f>
        <v>0</v>
      </c>
      <c r="L77" s="13">
        <f>IF(C77="Present",Settings!$B$5,IF(C77="Half Day",Settings!$B$5/2,0))</f>
        <v>0</v>
      </c>
    </row>
    <row r="78" ht="15.75" customHeight="1">
      <c r="A78" s="15"/>
      <c r="B78" s="7"/>
      <c r="C78" s="7"/>
      <c r="D78" s="16"/>
      <c r="E78" s="16"/>
      <c r="F78" s="7">
        <f t="shared" si="1"/>
        <v>0</v>
      </c>
      <c r="G78" s="7">
        <f>COUNTIFS('Daily Production'!$A$5:$A$504,A78,'Daily Production'!$F$5:$F$504,B78)</f>
        <v>0</v>
      </c>
      <c r="H78" s="7">
        <f>SUMIFS('Daily Production'!$L$5:$L$504,'Daily Production'!$A$5:$A$504,A78,'Daily Production'!$F$5:$F$504,B78)</f>
        <v>0</v>
      </c>
      <c r="I78" s="7">
        <f>SUMIFS('Daily Production'!$J$5:$J$504,'Daily Production'!$A$5:$A$504,A78,'Daily Production'!$F$5:$F$504,B78)</f>
        <v>0</v>
      </c>
      <c r="J78" s="7">
        <f>SUMIFS('Daily Production'!$K$5:$K$504,'Daily Production'!$A$5:$A$504,A78,'Daily Production'!$F$5:$F$504,B78)</f>
        <v>0</v>
      </c>
      <c r="K78" s="13">
        <f>SUMIFS('Daily Production'!$Q$5:$Q$504,'Daily Production'!$A$5:$A$504,A78,'Daily Production'!$F$5:$F$504,B78)</f>
        <v>0</v>
      </c>
      <c r="L78" s="13">
        <f>IF(C78="Present",Settings!$B$5,IF(C78="Half Day",Settings!$B$5/2,0))</f>
        <v>0</v>
      </c>
    </row>
    <row r="79" ht="15.75" customHeight="1">
      <c r="A79" s="15"/>
      <c r="B79" s="7"/>
      <c r="C79" s="7"/>
      <c r="D79" s="16"/>
      <c r="E79" s="16"/>
      <c r="F79" s="7">
        <f t="shared" si="1"/>
        <v>0</v>
      </c>
      <c r="G79" s="7">
        <f>COUNTIFS('Daily Production'!$A$5:$A$504,A79,'Daily Production'!$F$5:$F$504,B79)</f>
        <v>0</v>
      </c>
      <c r="H79" s="7">
        <f>SUMIFS('Daily Production'!$L$5:$L$504,'Daily Production'!$A$5:$A$504,A79,'Daily Production'!$F$5:$F$504,B79)</f>
        <v>0</v>
      </c>
      <c r="I79" s="7">
        <f>SUMIFS('Daily Production'!$J$5:$J$504,'Daily Production'!$A$5:$A$504,A79,'Daily Production'!$F$5:$F$504,B79)</f>
        <v>0</v>
      </c>
      <c r="J79" s="7">
        <f>SUMIFS('Daily Production'!$K$5:$K$504,'Daily Production'!$A$5:$A$504,A79,'Daily Production'!$F$5:$F$504,B79)</f>
        <v>0</v>
      </c>
      <c r="K79" s="13">
        <f>SUMIFS('Daily Production'!$Q$5:$Q$504,'Daily Production'!$A$5:$A$504,A79,'Daily Production'!$F$5:$F$504,B79)</f>
        <v>0</v>
      </c>
      <c r="L79" s="13">
        <f>IF(C79="Present",Settings!$B$5,IF(C79="Half Day",Settings!$B$5/2,0))</f>
        <v>0</v>
      </c>
    </row>
    <row r="80" ht="15.75" customHeight="1">
      <c r="A80" s="15"/>
      <c r="B80" s="7"/>
      <c r="C80" s="7"/>
      <c r="D80" s="16"/>
      <c r="E80" s="16"/>
      <c r="F80" s="7">
        <f t="shared" si="1"/>
        <v>0</v>
      </c>
      <c r="G80" s="7">
        <f>COUNTIFS('Daily Production'!$A$5:$A$504,A80,'Daily Production'!$F$5:$F$504,B80)</f>
        <v>0</v>
      </c>
      <c r="H80" s="7">
        <f>SUMIFS('Daily Production'!$L$5:$L$504,'Daily Production'!$A$5:$A$504,A80,'Daily Production'!$F$5:$F$504,B80)</f>
        <v>0</v>
      </c>
      <c r="I80" s="7">
        <f>SUMIFS('Daily Production'!$J$5:$J$504,'Daily Production'!$A$5:$A$504,A80,'Daily Production'!$F$5:$F$504,B80)</f>
        <v>0</v>
      </c>
      <c r="J80" s="7">
        <f>SUMIFS('Daily Production'!$K$5:$K$504,'Daily Production'!$A$5:$A$504,A80,'Daily Production'!$F$5:$F$504,B80)</f>
        <v>0</v>
      </c>
      <c r="K80" s="13">
        <f>SUMIFS('Daily Production'!$Q$5:$Q$504,'Daily Production'!$A$5:$A$504,A80,'Daily Production'!$F$5:$F$504,B80)</f>
        <v>0</v>
      </c>
      <c r="L80" s="13">
        <f>IF(C80="Present",Settings!$B$5,IF(C80="Half Day",Settings!$B$5/2,0))</f>
        <v>0</v>
      </c>
    </row>
    <row r="81" ht="15.75" customHeight="1">
      <c r="A81" s="15"/>
      <c r="B81" s="7"/>
      <c r="C81" s="7"/>
      <c r="D81" s="16"/>
      <c r="E81" s="16"/>
      <c r="F81" s="7">
        <f t="shared" si="1"/>
        <v>0</v>
      </c>
      <c r="G81" s="7">
        <f>COUNTIFS('Daily Production'!$A$5:$A$504,A81,'Daily Production'!$F$5:$F$504,B81)</f>
        <v>0</v>
      </c>
      <c r="H81" s="7">
        <f>SUMIFS('Daily Production'!$L$5:$L$504,'Daily Production'!$A$5:$A$504,A81,'Daily Production'!$F$5:$F$504,B81)</f>
        <v>0</v>
      </c>
      <c r="I81" s="7">
        <f>SUMIFS('Daily Production'!$J$5:$J$504,'Daily Production'!$A$5:$A$504,A81,'Daily Production'!$F$5:$F$504,B81)</f>
        <v>0</v>
      </c>
      <c r="J81" s="7">
        <f>SUMIFS('Daily Production'!$K$5:$K$504,'Daily Production'!$A$5:$A$504,A81,'Daily Production'!$F$5:$F$504,B81)</f>
        <v>0</v>
      </c>
      <c r="K81" s="13">
        <f>SUMIFS('Daily Production'!$Q$5:$Q$504,'Daily Production'!$A$5:$A$504,A81,'Daily Production'!$F$5:$F$504,B81)</f>
        <v>0</v>
      </c>
      <c r="L81" s="13">
        <f>IF(C81="Present",Settings!$B$5,IF(C81="Half Day",Settings!$B$5/2,0))</f>
        <v>0</v>
      </c>
    </row>
    <row r="82" ht="15.75" customHeight="1">
      <c r="A82" s="15"/>
      <c r="B82" s="7"/>
      <c r="C82" s="7"/>
      <c r="D82" s="16"/>
      <c r="E82" s="16"/>
      <c r="F82" s="7">
        <f t="shared" si="1"/>
        <v>0</v>
      </c>
      <c r="G82" s="7">
        <f>COUNTIFS('Daily Production'!$A$5:$A$504,A82,'Daily Production'!$F$5:$F$504,B82)</f>
        <v>0</v>
      </c>
      <c r="H82" s="7">
        <f>SUMIFS('Daily Production'!$L$5:$L$504,'Daily Production'!$A$5:$A$504,A82,'Daily Production'!$F$5:$F$504,B82)</f>
        <v>0</v>
      </c>
      <c r="I82" s="7">
        <f>SUMIFS('Daily Production'!$J$5:$J$504,'Daily Production'!$A$5:$A$504,A82,'Daily Production'!$F$5:$F$504,B82)</f>
        <v>0</v>
      </c>
      <c r="J82" s="7">
        <f>SUMIFS('Daily Production'!$K$5:$K$504,'Daily Production'!$A$5:$A$504,A82,'Daily Production'!$F$5:$F$504,B82)</f>
        <v>0</v>
      </c>
      <c r="K82" s="13">
        <f>SUMIFS('Daily Production'!$Q$5:$Q$504,'Daily Production'!$A$5:$A$504,A82,'Daily Production'!$F$5:$F$504,B82)</f>
        <v>0</v>
      </c>
      <c r="L82" s="13">
        <f>IF(C82="Present",Settings!$B$5,IF(C82="Half Day",Settings!$B$5/2,0))</f>
        <v>0</v>
      </c>
    </row>
    <row r="83" ht="15.75" customHeight="1">
      <c r="A83" s="15"/>
      <c r="B83" s="7"/>
      <c r="C83" s="7"/>
      <c r="D83" s="16"/>
      <c r="E83" s="16"/>
      <c r="F83" s="7">
        <f t="shared" si="1"/>
        <v>0</v>
      </c>
      <c r="G83" s="7">
        <f>COUNTIFS('Daily Production'!$A$5:$A$504,A83,'Daily Production'!$F$5:$F$504,B83)</f>
        <v>0</v>
      </c>
      <c r="H83" s="7">
        <f>SUMIFS('Daily Production'!$L$5:$L$504,'Daily Production'!$A$5:$A$504,A83,'Daily Production'!$F$5:$F$504,B83)</f>
        <v>0</v>
      </c>
      <c r="I83" s="7">
        <f>SUMIFS('Daily Production'!$J$5:$J$504,'Daily Production'!$A$5:$A$504,A83,'Daily Production'!$F$5:$F$504,B83)</f>
        <v>0</v>
      </c>
      <c r="J83" s="7">
        <f>SUMIFS('Daily Production'!$K$5:$K$504,'Daily Production'!$A$5:$A$504,A83,'Daily Production'!$F$5:$F$504,B83)</f>
        <v>0</v>
      </c>
      <c r="K83" s="13">
        <f>SUMIFS('Daily Production'!$Q$5:$Q$504,'Daily Production'!$A$5:$A$504,A83,'Daily Production'!$F$5:$F$504,B83)</f>
        <v>0</v>
      </c>
      <c r="L83" s="13">
        <f>IF(C83="Present",Settings!$B$5,IF(C83="Half Day",Settings!$B$5/2,0))</f>
        <v>0</v>
      </c>
    </row>
    <row r="84" ht="15.75" customHeight="1">
      <c r="A84" s="15"/>
      <c r="B84" s="7"/>
      <c r="C84" s="7"/>
      <c r="D84" s="16"/>
      <c r="E84" s="16"/>
      <c r="F84" s="7">
        <f t="shared" si="1"/>
        <v>0</v>
      </c>
      <c r="G84" s="7">
        <f>COUNTIFS('Daily Production'!$A$5:$A$504,A84,'Daily Production'!$F$5:$F$504,B84)</f>
        <v>0</v>
      </c>
      <c r="H84" s="7">
        <f>SUMIFS('Daily Production'!$L$5:$L$504,'Daily Production'!$A$5:$A$504,A84,'Daily Production'!$F$5:$F$504,B84)</f>
        <v>0</v>
      </c>
      <c r="I84" s="7">
        <f>SUMIFS('Daily Production'!$J$5:$J$504,'Daily Production'!$A$5:$A$504,A84,'Daily Production'!$F$5:$F$504,B84)</f>
        <v>0</v>
      </c>
      <c r="J84" s="7">
        <f>SUMIFS('Daily Production'!$K$5:$K$504,'Daily Production'!$A$5:$A$504,A84,'Daily Production'!$F$5:$F$504,B84)</f>
        <v>0</v>
      </c>
      <c r="K84" s="13">
        <f>SUMIFS('Daily Production'!$Q$5:$Q$504,'Daily Production'!$A$5:$A$504,A84,'Daily Production'!$F$5:$F$504,B84)</f>
        <v>0</v>
      </c>
      <c r="L84" s="13">
        <f>IF(C84="Present",Settings!$B$5,IF(C84="Half Day",Settings!$B$5/2,0))</f>
        <v>0</v>
      </c>
    </row>
    <row r="85" ht="15.75" customHeight="1">
      <c r="A85" s="15"/>
      <c r="B85" s="7"/>
      <c r="C85" s="7"/>
      <c r="D85" s="16"/>
      <c r="E85" s="16"/>
      <c r="F85" s="7">
        <f t="shared" si="1"/>
        <v>0</v>
      </c>
      <c r="G85" s="7">
        <f>COUNTIFS('Daily Production'!$A$5:$A$504,A85,'Daily Production'!$F$5:$F$504,B85)</f>
        <v>0</v>
      </c>
      <c r="H85" s="7">
        <f>SUMIFS('Daily Production'!$L$5:$L$504,'Daily Production'!$A$5:$A$504,A85,'Daily Production'!$F$5:$F$504,B85)</f>
        <v>0</v>
      </c>
      <c r="I85" s="7">
        <f>SUMIFS('Daily Production'!$J$5:$J$504,'Daily Production'!$A$5:$A$504,A85,'Daily Production'!$F$5:$F$504,B85)</f>
        <v>0</v>
      </c>
      <c r="J85" s="7">
        <f>SUMIFS('Daily Production'!$K$5:$K$504,'Daily Production'!$A$5:$A$504,A85,'Daily Production'!$F$5:$F$504,B85)</f>
        <v>0</v>
      </c>
      <c r="K85" s="13">
        <f>SUMIFS('Daily Production'!$Q$5:$Q$504,'Daily Production'!$A$5:$A$504,A85,'Daily Production'!$F$5:$F$504,B85)</f>
        <v>0</v>
      </c>
      <c r="L85" s="13">
        <f>IF(C85="Present",Settings!$B$5,IF(C85="Half Day",Settings!$B$5/2,0))</f>
        <v>0</v>
      </c>
    </row>
    <row r="86" ht="15.75" customHeight="1">
      <c r="A86" s="15"/>
      <c r="B86" s="7"/>
      <c r="C86" s="7"/>
      <c r="D86" s="16"/>
      <c r="E86" s="16"/>
      <c r="F86" s="7">
        <f t="shared" si="1"/>
        <v>0</v>
      </c>
      <c r="G86" s="7">
        <f>COUNTIFS('Daily Production'!$A$5:$A$504,A86,'Daily Production'!$F$5:$F$504,B86)</f>
        <v>0</v>
      </c>
      <c r="H86" s="7">
        <f>SUMIFS('Daily Production'!$L$5:$L$504,'Daily Production'!$A$5:$A$504,A86,'Daily Production'!$F$5:$F$504,B86)</f>
        <v>0</v>
      </c>
      <c r="I86" s="7">
        <f>SUMIFS('Daily Production'!$J$5:$J$504,'Daily Production'!$A$5:$A$504,A86,'Daily Production'!$F$5:$F$504,B86)</f>
        <v>0</v>
      </c>
      <c r="J86" s="7">
        <f>SUMIFS('Daily Production'!$K$5:$K$504,'Daily Production'!$A$5:$A$504,A86,'Daily Production'!$F$5:$F$504,B86)</f>
        <v>0</v>
      </c>
      <c r="K86" s="13">
        <f>SUMIFS('Daily Production'!$Q$5:$Q$504,'Daily Production'!$A$5:$A$504,A86,'Daily Production'!$F$5:$F$504,B86)</f>
        <v>0</v>
      </c>
      <c r="L86" s="13">
        <f>IF(C86="Present",Settings!$B$5,IF(C86="Half Day",Settings!$B$5/2,0))</f>
        <v>0</v>
      </c>
    </row>
    <row r="87" ht="15.75" customHeight="1">
      <c r="A87" s="15"/>
      <c r="B87" s="7"/>
      <c r="C87" s="7"/>
      <c r="D87" s="16"/>
      <c r="E87" s="16"/>
      <c r="F87" s="7">
        <f t="shared" si="1"/>
        <v>0</v>
      </c>
      <c r="G87" s="7">
        <f>COUNTIFS('Daily Production'!$A$5:$A$504,A87,'Daily Production'!$F$5:$F$504,B87)</f>
        <v>0</v>
      </c>
      <c r="H87" s="7">
        <f>SUMIFS('Daily Production'!$L$5:$L$504,'Daily Production'!$A$5:$A$504,A87,'Daily Production'!$F$5:$F$504,B87)</f>
        <v>0</v>
      </c>
      <c r="I87" s="7">
        <f>SUMIFS('Daily Production'!$J$5:$J$504,'Daily Production'!$A$5:$A$504,A87,'Daily Production'!$F$5:$F$504,B87)</f>
        <v>0</v>
      </c>
      <c r="J87" s="7">
        <f>SUMIFS('Daily Production'!$K$5:$K$504,'Daily Production'!$A$5:$A$504,A87,'Daily Production'!$F$5:$F$504,B87)</f>
        <v>0</v>
      </c>
      <c r="K87" s="13">
        <f>SUMIFS('Daily Production'!$Q$5:$Q$504,'Daily Production'!$A$5:$A$504,A87,'Daily Production'!$F$5:$F$504,B87)</f>
        <v>0</v>
      </c>
      <c r="L87" s="13">
        <f>IF(C87="Present",Settings!$B$5,IF(C87="Half Day",Settings!$B$5/2,0))</f>
        <v>0</v>
      </c>
    </row>
    <row r="88" ht="15.75" customHeight="1">
      <c r="A88" s="15"/>
      <c r="B88" s="7"/>
      <c r="C88" s="7"/>
      <c r="D88" s="16"/>
      <c r="E88" s="16"/>
      <c r="F88" s="7">
        <f t="shared" si="1"/>
        <v>0</v>
      </c>
      <c r="G88" s="7">
        <f>COUNTIFS('Daily Production'!$A$5:$A$504,A88,'Daily Production'!$F$5:$F$504,B88)</f>
        <v>0</v>
      </c>
      <c r="H88" s="7">
        <f>SUMIFS('Daily Production'!$L$5:$L$504,'Daily Production'!$A$5:$A$504,A88,'Daily Production'!$F$5:$F$504,B88)</f>
        <v>0</v>
      </c>
      <c r="I88" s="7">
        <f>SUMIFS('Daily Production'!$J$5:$J$504,'Daily Production'!$A$5:$A$504,A88,'Daily Production'!$F$5:$F$504,B88)</f>
        <v>0</v>
      </c>
      <c r="J88" s="7">
        <f>SUMIFS('Daily Production'!$K$5:$K$504,'Daily Production'!$A$5:$A$504,A88,'Daily Production'!$F$5:$F$504,B88)</f>
        <v>0</v>
      </c>
      <c r="K88" s="13">
        <f>SUMIFS('Daily Production'!$Q$5:$Q$504,'Daily Production'!$A$5:$A$504,A88,'Daily Production'!$F$5:$F$504,B88)</f>
        <v>0</v>
      </c>
      <c r="L88" s="13">
        <f>IF(C88="Present",Settings!$B$5,IF(C88="Half Day",Settings!$B$5/2,0))</f>
        <v>0</v>
      </c>
    </row>
    <row r="89" ht="15.75" customHeight="1">
      <c r="A89" s="15"/>
      <c r="B89" s="7"/>
      <c r="C89" s="7"/>
      <c r="D89" s="16"/>
      <c r="E89" s="16"/>
      <c r="F89" s="7">
        <f t="shared" si="1"/>
        <v>0</v>
      </c>
      <c r="G89" s="7">
        <f>COUNTIFS('Daily Production'!$A$5:$A$504,A89,'Daily Production'!$F$5:$F$504,B89)</f>
        <v>0</v>
      </c>
      <c r="H89" s="7">
        <f>SUMIFS('Daily Production'!$L$5:$L$504,'Daily Production'!$A$5:$A$504,A89,'Daily Production'!$F$5:$F$504,B89)</f>
        <v>0</v>
      </c>
      <c r="I89" s="7">
        <f>SUMIFS('Daily Production'!$J$5:$J$504,'Daily Production'!$A$5:$A$504,A89,'Daily Production'!$F$5:$F$504,B89)</f>
        <v>0</v>
      </c>
      <c r="J89" s="7">
        <f>SUMIFS('Daily Production'!$K$5:$K$504,'Daily Production'!$A$5:$A$504,A89,'Daily Production'!$F$5:$F$504,B89)</f>
        <v>0</v>
      </c>
      <c r="K89" s="13">
        <f>SUMIFS('Daily Production'!$Q$5:$Q$504,'Daily Production'!$A$5:$A$504,A89,'Daily Production'!$F$5:$F$504,B89)</f>
        <v>0</v>
      </c>
      <c r="L89" s="13">
        <f>IF(C89="Present",Settings!$B$5,IF(C89="Half Day",Settings!$B$5/2,0))</f>
        <v>0</v>
      </c>
    </row>
    <row r="90" ht="15.75" customHeight="1">
      <c r="A90" s="15"/>
      <c r="B90" s="7"/>
      <c r="C90" s="7"/>
      <c r="D90" s="16"/>
      <c r="E90" s="16"/>
      <c r="F90" s="7">
        <f t="shared" si="1"/>
        <v>0</v>
      </c>
      <c r="G90" s="7">
        <f>COUNTIFS('Daily Production'!$A$5:$A$504,A90,'Daily Production'!$F$5:$F$504,B90)</f>
        <v>0</v>
      </c>
      <c r="H90" s="7">
        <f>SUMIFS('Daily Production'!$L$5:$L$504,'Daily Production'!$A$5:$A$504,A90,'Daily Production'!$F$5:$F$504,B90)</f>
        <v>0</v>
      </c>
      <c r="I90" s="7">
        <f>SUMIFS('Daily Production'!$J$5:$J$504,'Daily Production'!$A$5:$A$504,A90,'Daily Production'!$F$5:$F$504,B90)</f>
        <v>0</v>
      </c>
      <c r="J90" s="7">
        <f>SUMIFS('Daily Production'!$K$5:$K$504,'Daily Production'!$A$5:$A$504,A90,'Daily Production'!$F$5:$F$504,B90)</f>
        <v>0</v>
      </c>
      <c r="K90" s="13">
        <f>SUMIFS('Daily Production'!$Q$5:$Q$504,'Daily Production'!$A$5:$A$504,A90,'Daily Production'!$F$5:$F$504,B90)</f>
        <v>0</v>
      </c>
      <c r="L90" s="13">
        <f>IF(C90="Present",Settings!$B$5,IF(C90="Half Day",Settings!$B$5/2,0))</f>
        <v>0</v>
      </c>
    </row>
    <row r="91" ht="15.75" customHeight="1">
      <c r="A91" s="15"/>
      <c r="B91" s="7"/>
      <c r="C91" s="7"/>
      <c r="D91" s="16"/>
      <c r="E91" s="16"/>
      <c r="F91" s="7">
        <f t="shared" si="1"/>
        <v>0</v>
      </c>
      <c r="G91" s="7">
        <f>COUNTIFS('Daily Production'!$A$5:$A$504,A91,'Daily Production'!$F$5:$F$504,B91)</f>
        <v>0</v>
      </c>
      <c r="H91" s="7">
        <f>SUMIFS('Daily Production'!$L$5:$L$504,'Daily Production'!$A$5:$A$504,A91,'Daily Production'!$F$5:$F$504,B91)</f>
        <v>0</v>
      </c>
      <c r="I91" s="7">
        <f>SUMIFS('Daily Production'!$J$5:$J$504,'Daily Production'!$A$5:$A$504,A91,'Daily Production'!$F$5:$F$504,B91)</f>
        <v>0</v>
      </c>
      <c r="J91" s="7">
        <f>SUMIFS('Daily Production'!$K$5:$K$504,'Daily Production'!$A$5:$A$504,A91,'Daily Production'!$F$5:$F$504,B91)</f>
        <v>0</v>
      </c>
      <c r="K91" s="13">
        <f>SUMIFS('Daily Production'!$Q$5:$Q$504,'Daily Production'!$A$5:$A$504,A91,'Daily Production'!$F$5:$F$504,B91)</f>
        <v>0</v>
      </c>
      <c r="L91" s="13">
        <f>IF(C91="Present",Settings!$B$5,IF(C91="Half Day",Settings!$B$5/2,0))</f>
        <v>0</v>
      </c>
    </row>
    <row r="92" ht="15.75" customHeight="1">
      <c r="A92" s="15"/>
      <c r="B92" s="7"/>
      <c r="C92" s="7"/>
      <c r="D92" s="16"/>
      <c r="E92" s="16"/>
      <c r="F92" s="7">
        <f t="shared" si="1"/>
        <v>0</v>
      </c>
      <c r="G92" s="7">
        <f>COUNTIFS('Daily Production'!$A$5:$A$504,A92,'Daily Production'!$F$5:$F$504,B92)</f>
        <v>0</v>
      </c>
      <c r="H92" s="7">
        <f>SUMIFS('Daily Production'!$L$5:$L$504,'Daily Production'!$A$5:$A$504,A92,'Daily Production'!$F$5:$F$504,B92)</f>
        <v>0</v>
      </c>
      <c r="I92" s="7">
        <f>SUMIFS('Daily Production'!$J$5:$J$504,'Daily Production'!$A$5:$A$504,A92,'Daily Production'!$F$5:$F$504,B92)</f>
        <v>0</v>
      </c>
      <c r="J92" s="7">
        <f>SUMIFS('Daily Production'!$K$5:$K$504,'Daily Production'!$A$5:$A$504,A92,'Daily Production'!$F$5:$F$504,B92)</f>
        <v>0</v>
      </c>
      <c r="K92" s="13">
        <f>SUMIFS('Daily Production'!$Q$5:$Q$504,'Daily Production'!$A$5:$A$504,A92,'Daily Production'!$F$5:$F$504,B92)</f>
        <v>0</v>
      </c>
      <c r="L92" s="13">
        <f>IF(C92="Present",Settings!$B$5,IF(C92="Half Day",Settings!$B$5/2,0))</f>
        <v>0</v>
      </c>
    </row>
    <row r="93" ht="15.75" customHeight="1">
      <c r="A93" s="15"/>
      <c r="B93" s="7"/>
      <c r="C93" s="7"/>
      <c r="D93" s="16"/>
      <c r="E93" s="16"/>
      <c r="F93" s="7">
        <f t="shared" si="1"/>
        <v>0</v>
      </c>
      <c r="G93" s="7">
        <f>COUNTIFS('Daily Production'!$A$5:$A$504,A93,'Daily Production'!$F$5:$F$504,B93)</f>
        <v>0</v>
      </c>
      <c r="H93" s="7">
        <f>SUMIFS('Daily Production'!$L$5:$L$504,'Daily Production'!$A$5:$A$504,A93,'Daily Production'!$F$5:$F$504,B93)</f>
        <v>0</v>
      </c>
      <c r="I93" s="7">
        <f>SUMIFS('Daily Production'!$J$5:$J$504,'Daily Production'!$A$5:$A$504,A93,'Daily Production'!$F$5:$F$504,B93)</f>
        <v>0</v>
      </c>
      <c r="J93" s="7">
        <f>SUMIFS('Daily Production'!$K$5:$K$504,'Daily Production'!$A$5:$A$504,A93,'Daily Production'!$F$5:$F$504,B93)</f>
        <v>0</v>
      </c>
      <c r="K93" s="13">
        <f>SUMIFS('Daily Production'!$Q$5:$Q$504,'Daily Production'!$A$5:$A$504,A93,'Daily Production'!$F$5:$F$504,B93)</f>
        <v>0</v>
      </c>
      <c r="L93" s="13">
        <f>IF(C93="Present",Settings!$B$5,IF(C93="Half Day",Settings!$B$5/2,0))</f>
        <v>0</v>
      </c>
    </row>
    <row r="94" ht="15.75" customHeight="1">
      <c r="A94" s="15"/>
      <c r="B94" s="7"/>
      <c r="C94" s="7"/>
      <c r="D94" s="16"/>
      <c r="E94" s="16"/>
      <c r="F94" s="7">
        <f t="shared" si="1"/>
        <v>0</v>
      </c>
      <c r="G94" s="7">
        <f>COUNTIFS('Daily Production'!$A$5:$A$504,A94,'Daily Production'!$F$5:$F$504,B94)</f>
        <v>0</v>
      </c>
      <c r="H94" s="7">
        <f>SUMIFS('Daily Production'!$L$5:$L$504,'Daily Production'!$A$5:$A$504,A94,'Daily Production'!$F$5:$F$504,B94)</f>
        <v>0</v>
      </c>
      <c r="I94" s="7">
        <f>SUMIFS('Daily Production'!$J$5:$J$504,'Daily Production'!$A$5:$A$504,A94,'Daily Production'!$F$5:$F$504,B94)</f>
        <v>0</v>
      </c>
      <c r="J94" s="7">
        <f>SUMIFS('Daily Production'!$K$5:$K$504,'Daily Production'!$A$5:$A$504,A94,'Daily Production'!$F$5:$F$504,B94)</f>
        <v>0</v>
      </c>
      <c r="K94" s="13">
        <f>SUMIFS('Daily Production'!$Q$5:$Q$504,'Daily Production'!$A$5:$A$504,A94,'Daily Production'!$F$5:$F$504,B94)</f>
        <v>0</v>
      </c>
      <c r="L94" s="13">
        <f>IF(C94="Present",Settings!$B$5,IF(C94="Half Day",Settings!$B$5/2,0))</f>
        <v>0</v>
      </c>
    </row>
    <row r="95" ht="15.75" customHeight="1">
      <c r="A95" s="15"/>
      <c r="B95" s="7"/>
      <c r="C95" s="7"/>
      <c r="D95" s="16"/>
      <c r="E95" s="16"/>
      <c r="F95" s="7">
        <f t="shared" si="1"/>
        <v>0</v>
      </c>
      <c r="G95" s="7">
        <f>COUNTIFS('Daily Production'!$A$5:$A$504,A95,'Daily Production'!$F$5:$F$504,B95)</f>
        <v>0</v>
      </c>
      <c r="H95" s="7">
        <f>SUMIFS('Daily Production'!$L$5:$L$504,'Daily Production'!$A$5:$A$504,A95,'Daily Production'!$F$5:$F$504,B95)</f>
        <v>0</v>
      </c>
      <c r="I95" s="7">
        <f>SUMIFS('Daily Production'!$J$5:$J$504,'Daily Production'!$A$5:$A$504,A95,'Daily Production'!$F$5:$F$504,B95)</f>
        <v>0</v>
      </c>
      <c r="J95" s="7">
        <f>SUMIFS('Daily Production'!$K$5:$K$504,'Daily Production'!$A$5:$A$504,A95,'Daily Production'!$F$5:$F$504,B95)</f>
        <v>0</v>
      </c>
      <c r="K95" s="13">
        <f>SUMIFS('Daily Production'!$Q$5:$Q$504,'Daily Production'!$A$5:$A$504,A95,'Daily Production'!$F$5:$F$504,B95)</f>
        <v>0</v>
      </c>
      <c r="L95" s="13">
        <f>IF(C95="Present",Settings!$B$5,IF(C95="Half Day",Settings!$B$5/2,0))</f>
        <v>0</v>
      </c>
    </row>
    <row r="96" ht="15.75" customHeight="1">
      <c r="A96" s="15"/>
      <c r="B96" s="7"/>
      <c r="C96" s="7"/>
      <c r="D96" s="16"/>
      <c r="E96" s="16"/>
      <c r="F96" s="7">
        <f t="shared" si="1"/>
        <v>0</v>
      </c>
      <c r="G96" s="7">
        <f>COUNTIFS('Daily Production'!$A$5:$A$504,A96,'Daily Production'!$F$5:$F$504,B96)</f>
        <v>0</v>
      </c>
      <c r="H96" s="7">
        <f>SUMIFS('Daily Production'!$L$5:$L$504,'Daily Production'!$A$5:$A$504,A96,'Daily Production'!$F$5:$F$504,B96)</f>
        <v>0</v>
      </c>
      <c r="I96" s="7">
        <f>SUMIFS('Daily Production'!$J$5:$J$504,'Daily Production'!$A$5:$A$504,A96,'Daily Production'!$F$5:$F$504,B96)</f>
        <v>0</v>
      </c>
      <c r="J96" s="7">
        <f>SUMIFS('Daily Production'!$K$5:$K$504,'Daily Production'!$A$5:$A$504,A96,'Daily Production'!$F$5:$F$504,B96)</f>
        <v>0</v>
      </c>
      <c r="K96" s="13">
        <f>SUMIFS('Daily Production'!$Q$5:$Q$504,'Daily Production'!$A$5:$A$504,A96,'Daily Production'!$F$5:$F$504,B96)</f>
        <v>0</v>
      </c>
      <c r="L96" s="13">
        <f>IF(C96="Present",Settings!$B$5,IF(C96="Half Day",Settings!$B$5/2,0))</f>
        <v>0</v>
      </c>
    </row>
    <row r="97" ht="15.75" customHeight="1">
      <c r="A97" s="15"/>
      <c r="B97" s="7"/>
      <c r="C97" s="7"/>
      <c r="D97" s="16"/>
      <c r="E97" s="16"/>
      <c r="F97" s="7">
        <f t="shared" si="1"/>
        <v>0</v>
      </c>
      <c r="G97" s="7">
        <f>COUNTIFS('Daily Production'!$A$5:$A$504,A97,'Daily Production'!$F$5:$F$504,B97)</f>
        <v>0</v>
      </c>
      <c r="H97" s="7">
        <f>SUMIFS('Daily Production'!$L$5:$L$504,'Daily Production'!$A$5:$A$504,A97,'Daily Production'!$F$5:$F$504,B97)</f>
        <v>0</v>
      </c>
      <c r="I97" s="7">
        <f>SUMIFS('Daily Production'!$J$5:$J$504,'Daily Production'!$A$5:$A$504,A97,'Daily Production'!$F$5:$F$504,B97)</f>
        <v>0</v>
      </c>
      <c r="J97" s="7">
        <f>SUMIFS('Daily Production'!$K$5:$K$504,'Daily Production'!$A$5:$A$504,A97,'Daily Production'!$F$5:$F$504,B97)</f>
        <v>0</v>
      </c>
      <c r="K97" s="13">
        <f>SUMIFS('Daily Production'!$Q$5:$Q$504,'Daily Production'!$A$5:$A$504,A97,'Daily Production'!$F$5:$F$504,B97)</f>
        <v>0</v>
      </c>
      <c r="L97" s="13">
        <f>IF(C97="Present",Settings!$B$5,IF(C97="Half Day",Settings!$B$5/2,0))</f>
        <v>0</v>
      </c>
    </row>
    <row r="98" ht="15.75" customHeight="1">
      <c r="A98" s="15"/>
      <c r="B98" s="7"/>
      <c r="C98" s="7"/>
      <c r="D98" s="16"/>
      <c r="E98" s="16"/>
      <c r="F98" s="7">
        <f t="shared" si="1"/>
        <v>0</v>
      </c>
      <c r="G98" s="7">
        <f>COUNTIFS('Daily Production'!$A$5:$A$504,A98,'Daily Production'!$F$5:$F$504,B98)</f>
        <v>0</v>
      </c>
      <c r="H98" s="7">
        <f>SUMIFS('Daily Production'!$L$5:$L$504,'Daily Production'!$A$5:$A$504,A98,'Daily Production'!$F$5:$F$504,B98)</f>
        <v>0</v>
      </c>
      <c r="I98" s="7">
        <f>SUMIFS('Daily Production'!$J$5:$J$504,'Daily Production'!$A$5:$A$504,A98,'Daily Production'!$F$5:$F$504,B98)</f>
        <v>0</v>
      </c>
      <c r="J98" s="7">
        <f>SUMIFS('Daily Production'!$K$5:$K$504,'Daily Production'!$A$5:$A$504,A98,'Daily Production'!$F$5:$F$504,B98)</f>
        <v>0</v>
      </c>
      <c r="K98" s="13">
        <f>SUMIFS('Daily Production'!$Q$5:$Q$504,'Daily Production'!$A$5:$A$504,A98,'Daily Production'!$F$5:$F$504,B98)</f>
        <v>0</v>
      </c>
      <c r="L98" s="13">
        <f>IF(C98="Present",Settings!$B$5,IF(C98="Half Day",Settings!$B$5/2,0))</f>
        <v>0</v>
      </c>
    </row>
    <row r="99" ht="15.75" customHeight="1">
      <c r="A99" s="15"/>
      <c r="B99" s="7"/>
      <c r="C99" s="7"/>
      <c r="D99" s="16"/>
      <c r="E99" s="16"/>
      <c r="F99" s="7">
        <f t="shared" si="1"/>
        <v>0</v>
      </c>
      <c r="G99" s="7">
        <f>COUNTIFS('Daily Production'!$A$5:$A$504,A99,'Daily Production'!$F$5:$F$504,B99)</f>
        <v>0</v>
      </c>
      <c r="H99" s="7">
        <f>SUMIFS('Daily Production'!$L$5:$L$504,'Daily Production'!$A$5:$A$504,A99,'Daily Production'!$F$5:$F$504,B99)</f>
        <v>0</v>
      </c>
      <c r="I99" s="7">
        <f>SUMIFS('Daily Production'!$J$5:$J$504,'Daily Production'!$A$5:$A$504,A99,'Daily Production'!$F$5:$F$504,B99)</f>
        <v>0</v>
      </c>
      <c r="J99" s="7">
        <f>SUMIFS('Daily Production'!$K$5:$K$504,'Daily Production'!$A$5:$A$504,A99,'Daily Production'!$F$5:$F$504,B99)</f>
        <v>0</v>
      </c>
      <c r="K99" s="13">
        <f>SUMIFS('Daily Production'!$Q$5:$Q$504,'Daily Production'!$A$5:$A$504,A99,'Daily Production'!$F$5:$F$504,B99)</f>
        <v>0</v>
      </c>
      <c r="L99" s="13">
        <f>IF(C99="Present",Settings!$B$5,IF(C99="Half Day",Settings!$B$5/2,0))</f>
        <v>0</v>
      </c>
    </row>
    <row r="100" ht="15.75" customHeight="1">
      <c r="A100" s="15"/>
      <c r="B100" s="7"/>
      <c r="C100" s="7"/>
      <c r="D100" s="16"/>
      <c r="E100" s="16"/>
      <c r="F100" s="7">
        <f t="shared" si="1"/>
        <v>0</v>
      </c>
      <c r="G100" s="7">
        <f>COUNTIFS('Daily Production'!$A$5:$A$504,A100,'Daily Production'!$F$5:$F$504,B100)</f>
        <v>0</v>
      </c>
      <c r="H100" s="7">
        <f>SUMIFS('Daily Production'!$L$5:$L$504,'Daily Production'!$A$5:$A$504,A100,'Daily Production'!$F$5:$F$504,B100)</f>
        <v>0</v>
      </c>
      <c r="I100" s="7">
        <f>SUMIFS('Daily Production'!$J$5:$J$504,'Daily Production'!$A$5:$A$504,A100,'Daily Production'!$F$5:$F$504,B100)</f>
        <v>0</v>
      </c>
      <c r="J100" s="7">
        <f>SUMIFS('Daily Production'!$K$5:$K$504,'Daily Production'!$A$5:$A$504,A100,'Daily Production'!$F$5:$F$504,B100)</f>
        <v>0</v>
      </c>
      <c r="K100" s="13">
        <f>SUMIFS('Daily Production'!$Q$5:$Q$504,'Daily Production'!$A$5:$A$504,A100,'Daily Production'!$F$5:$F$504,B100)</f>
        <v>0</v>
      </c>
      <c r="L100" s="13">
        <f>IF(C100="Present",Settings!$B$5,IF(C100="Half Day",Settings!$B$5/2,0))</f>
        <v>0</v>
      </c>
    </row>
    <row r="101" ht="15.75" customHeight="1">
      <c r="A101" s="15"/>
      <c r="B101" s="7"/>
      <c r="C101" s="7"/>
      <c r="D101" s="16"/>
      <c r="E101" s="16"/>
      <c r="F101" s="7">
        <f t="shared" si="1"/>
        <v>0</v>
      </c>
      <c r="G101" s="7">
        <f>COUNTIFS('Daily Production'!$A$5:$A$504,A101,'Daily Production'!$F$5:$F$504,B101)</f>
        <v>0</v>
      </c>
      <c r="H101" s="7">
        <f>SUMIFS('Daily Production'!$L$5:$L$504,'Daily Production'!$A$5:$A$504,A101,'Daily Production'!$F$5:$F$504,B101)</f>
        <v>0</v>
      </c>
      <c r="I101" s="7">
        <f>SUMIFS('Daily Production'!$J$5:$J$504,'Daily Production'!$A$5:$A$504,A101,'Daily Production'!$F$5:$F$504,B101)</f>
        <v>0</v>
      </c>
      <c r="J101" s="7">
        <f>SUMIFS('Daily Production'!$K$5:$K$504,'Daily Production'!$A$5:$A$504,A101,'Daily Production'!$F$5:$F$504,B101)</f>
        <v>0</v>
      </c>
      <c r="K101" s="13">
        <f>SUMIFS('Daily Production'!$Q$5:$Q$504,'Daily Production'!$A$5:$A$504,A101,'Daily Production'!$F$5:$F$504,B101)</f>
        <v>0</v>
      </c>
      <c r="L101" s="13">
        <f>IF(C101="Present",Settings!$B$5,IF(C101="Half Day",Settings!$B$5/2,0))</f>
        <v>0</v>
      </c>
    </row>
    <row r="102" ht="15.75" customHeight="1">
      <c r="A102" s="15"/>
      <c r="B102" s="7"/>
      <c r="C102" s="7"/>
      <c r="D102" s="16"/>
      <c r="E102" s="16"/>
      <c r="F102" s="7">
        <f t="shared" si="1"/>
        <v>0</v>
      </c>
      <c r="G102" s="7">
        <f>COUNTIFS('Daily Production'!$A$5:$A$504,A102,'Daily Production'!$F$5:$F$504,B102)</f>
        <v>0</v>
      </c>
      <c r="H102" s="7">
        <f>SUMIFS('Daily Production'!$L$5:$L$504,'Daily Production'!$A$5:$A$504,A102,'Daily Production'!$F$5:$F$504,B102)</f>
        <v>0</v>
      </c>
      <c r="I102" s="7">
        <f>SUMIFS('Daily Production'!$J$5:$J$504,'Daily Production'!$A$5:$A$504,A102,'Daily Production'!$F$5:$F$504,B102)</f>
        <v>0</v>
      </c>
      <c r="J102" s="7">
        <f>SUMIFS('Daily Production'!$K$5:$K$504,'Daily Production'!$A$5:$A$504,A102,'Daily Production'!$F$5:$F$504,B102)</f>
        <v>0</v>
      </c>
      <c r="K102" s="13">
        <f>SUMIFS('Daily Production'!$Q$5:$Q$504,'Daily Production'!$A$5:$A$504,A102,'Daily Production'!$F$5:$F$504,B102)</f>
        <v>0</v>
      </c>
      <c r="L102" s="13">
        <f>IF(C102="Present",Settings!$B$5,IF(C102="Half Day",Settings!$B$5/2,0))</f>
        <v>0</v>
      </c>
    </row>
    <row r="103" ht="15.75" customHeight="1">
      <c r="A103" s="15"/>
      <c r="B103" s="7"/>
      <c r="C103" s="7"/>
      <c r="D103" s="16"/>
      <c r="E103" s="16"/>
      <c r="F103" s="7">
        <f t="shared" si="1"/>
        <v>0</v>
      </c>
      <c r="G103" s="7">
        <f>COUNTIFS('Daily Production'!$A$5:$A$504,A103,'Daily Production'!$F$5:$F$504,B103)</f>
        <v>0</v>
      </c>
      <c r="H103" s="7">
        <f>SUMIFS('Daily Production'!$L$5:$L$504,'Daily Production'!$A$5:$A$504,A103,'Daily Production'!$F$5:$F$504,B103)</f>
        <v>0</v>
      </c>
      <c r="I103" s="7">
        <f>SUMIFS('Daily Production'!$J$5:$J$504,'Daily Production'!$A$5:$A$504,A103,'Daily Production'!$F$5:$F$504,B103)</f>
        <v>0</v>
      </c>
      <c r="J103" s="7">
        <f>SUMIFS('Daily Production'!$K$5:$K$504,'Daily Production'!$A$5:$A$504,A103,'Daily Production'!$F$5:$F$504,B103)</f>
        <v>0</v>
      </c>
      <c r="K103" s="13">
        <f>SUMIFS('Daily Production'!$Q$5:$Q$504,'Daily Production'!$A$5:$A$504,A103,'Daily Production'!$F$5:$F$504,B103)</f>
        <v>0</v>
      </c>
      <c r="L103" s="13">
        <f>IF(C103="Present",Settings!$B$5,IF(C103="Half Day",Settings!$B$5/2,0))</f>
        <v>0</v>
      </c>
    </row>
    <row r="104" ht="15.75" customHeight="1">
      <c r="A104" s="15"/>
      <c r="B104" s="7"/>
      <c r="C104" s="7"/>
      <c r="D104" s="16"/>
      <c r="E104" s="16"/>
      <c r="F104" s="7">
        <f t="shared" si="1"/>
        <v>0</v>
      </c>
      <c r="G104" s="7">
        <f>COUNTIFS('Daily Production'!$A$5:$A$504,A104,'Daily Production'!$F$5:$F$504,B104)</f>
        <v>0</v>
      </c>
      <c r="H104" s="7">
        <f>SUMIFS('Daily Production'!$L$5:$L$504,'Daily Production'!$A$5:$A$504,A104,'Daily Production'!$F$5:$F$504,B104)</f>
        <v>0</v>
      </c>
      <c r="I104" s="7">
        <f>SUMIFS('Daily Production'!$J$5:$J$504,'Daily Production'!$A$5:$A$504,A104,'Daily Production'!$F$5:$F$504,B104)</f>
        <v>0</v>
      </c>
      <c r="J104" s="7">
        <f>SUMIFS('Daily Production'!$K$5:$K$504,'Daily Production'!$A$5:$A$504,A104,'Daily Production'!$F$5:$F$504,B104)</f>
        <v>0</v>
      </c>
      <c r="K104" s="13">
        <f>SUMIFS('Daily Production'!$Q$5:$Q$504,'Daily Production'!$A$5:$A$504,A104,'Daily Production'!$F$5:$F$504,B104)</f>
        <v>0</v>
      </c>
      <c r="L104" s="13">
        <f>IF(C104="Present",Settings!$B$5,IF(C104="Half Day",Settings!$B$5/2,0))</f>
        <v>0</v>
      </c>
    </row>
    <row r="105" ht="15.75" customHeight="1">
      <c r="A105" s="15"/>
      <c r="B105" s="7"/>
      <c r="C105" s="7"/>
      <c r="D105" s="16"/>
      <c r="E105" s="16"/>
      <c r="F105" s="7">
        <f t="shared" si="1"/>
        <v>0</v>
      </c>
      <c r="G105" s="7">
        <f>COUNTIFS('Daily Production'!$A$5:$A$504,A105,'Daily Production'!$F$5:$F$504,B105)</f>
        <v>0</v>
      </c>
      <c r="H105" s="7">
        <f>SUMIFS('Daily Production'!$L$5:$L$504,'Daily Production'!$A$5:$A$504,A105,'Daily Production'!$F$5:$F$504,B105)</f>
        <v>0</v>
      </c>
      <c r="I105" s="7">
        <f>SUMIFS('Daily Production'!$J$5:$J$504,'Daily Production'!$A$5:$A$504,A105,'Daily Production'!$F$5:$F$504,B105)</f>
        <v>0</v>
      </c>
      <c r="J105" s="7">
        <f>SUMIFS('Daily Production'!$K$5:$K$504,'Daily Production'!$A$5:$A$504,A105,'Daily Production'!$F$5:$F$504,B105)</f>
        <v>0</v>
      </c>
      <c r="K105" s="13">
        <f>SUMIFS('Daily Production'!$Q$5:$Q$504,'Daily Production'!$A$5:$A$504,A105,'Daily Production'!$F$5:$F$504,B105)</f>
        <v>0</v>
      </c>
      <c r="L105" s="13">
        <f>IF(C105="Present",Settings!$B$5,IF(C105="Half Day",Settings!$B$5/2,0))</f>
        <v>0</v>
      </c>
    </row>
    <row r="106" ht="15.75" customHeight="1">
      <c r="A106" s="15"/>
      <c r="B106" s="7"/>
      <c r="C106" s="7"/>
      <c r="D106" s="16"/>
      <c r="E106" s="16"/>
      <c r="F106" s="7">
        <f t="shared" si="1"/>
        <v>0</v>
      </c>
      <c r="G106" s="7">
        <f>COUNTIFS('Daily Production'!$A$5:$A$504,A106,'Daily Production'!$F$5:$F$504,B106)</f>
        <v>0</v>
      </c>
      <c r="H106" s="7">
        <f>SUMIFS('Daily Production'!$L$5:$L$504,'Daily Production'!$A$5:$A$504,A106,'Daily Production'!$F$5:$F$504,B106)</f>
        <v>0</v>
      </c>
      <c r="I106" s="7">
        <f>SUMIFS('Daily Production'!$J$5:$J$504,'Daily Production'!$A$5:$A$504,A106,'Daily Production'!$F$5:$F$504,B106)</f>
        <v>0</v>
      </c>
      <c r="J106" s="7">
        <f>SUMIFS('Daily Production'!$K$5:$K$504,'Daily Production'!$A$5:$A$504,A106,'Daily Production'!$F$5:$F$504,B106)</f>
        <v>0</v>
      </c>
      <c r="K106" s="13">
        <f>SUMIFS('Daily Production'!$Q$5:$Q$504,'Daily Production'!$A$5:$A$504,A106,'Daily Production'!$F$5:$F$504,B106)</f>
        <v>0</v>
      </c>
      <c r="L106" s="13">
        <f>IF(C106="Present",Settings!$B$5,IF(C106="Half Day",Settings!$B$5/2,0))</f>
        <v>0</v>
      </c>
    </row>
    <row r="107" ht="15.75" customHeight="1">
      <c r="A107" s="15"/>
      <c r="B107" s="7"/>
      <c r="C107" s="7"/>
      <c r="D107" s="16"/>
      <c r="E107" s="16"/>
      <c r="F107" s="7">
        <f t="shared" si="1"/>
        <v>0</v>
      </c>
      <c r="G107" s="7">
        <f>COUNTIFS('Daily Production'!$A$5:$A$504,A107,'Daily Production'!$F$5:$F$504,B107)</f>
        <v>0</v>
      </c>
      <c r="H107" s="7">
        <f>SUMIFS('Daily Production'!$L$5:$L$504,'Daily Production'!$A$5:$A$504,A107,'Daily Production'!$F$5:$F$504,B107)</f>
        <v>0</v>
      </c>
      <c r="I107" s="7">
        <f>SUMIFS('Daily Production'!$J$5:$J$504,'Daily Production'!$A$5:$A$504,A107,'Daily Production'!$F$5:$F$504,B107)</f>
        <v>0</v>
      </c>
      <c r="J107" s="7">
        <f>SUMIFS('Daily Production'!$K$5:$K$504,'Daily Production'!$A$5:$A$504,A107,'Daily Production'!$F$5:$F$504,B107)</f>
        <v>0</v>
      </c>
      <c r="K107" s="13">
        <f>SUMIFS('Daily Production'!$Q$5:$Q$504,'Daily Production'!$A$5:$A$504,A107,'Daily Production'!$F$5:$F$504,B107)</f>
        <v>0</v>
      </c>
      <c r="L107" s="13">
        <f>IF(C107="Present",Settings!$B$5,IF(C107="Half Day",Settings!$B$5/2,0))</f>
        <v>0</v>
      </c>
    </row>
    <row r="108" ht="15.75" customHeight="1">
      <c r="A108" s="15"/>
      <c r="B108" s="7"/>
      <c r="C108" s="7"/>
      <c r="D108" s="16"/>
      <c r="E108" s="16"/>
      <c r="F108" s="7">
        <f t="shared" si="1"/>
        <v>0</v>
      </c>
      <c r="G108" s="7">
        <f>COUNTIFS('Daily Production'!$A$5:$A$504,A108,'Daily Production'!$F$5:$F$504,B108)</f>
        <v>0</v>
      </c>
      <c r="H108" s="7">
        <f>SUMIFS('Daily Production'!$L$5:$L$504,'Daily Production'!$A$5:$A$504,A108,'Daily Production'!$F$5:$F$504,B108)</f>
        <v>0</v>
      </c>
      <c r="I108" s="7">
        <f>SUMIFS('Daily Production'!$J$5:$J$504,'Daily Production'!$A$5:$A$504,A108,'Daily Production'!$F$5:$F$504,B108)</f>
        <v>0</v>
      </c>
      <c r="J108" s="7">
        <f>SUMIFS('Daily Production'!$K$5:$K$504,'Daily Production'!$A$5:$A$504,A108,'Daily Production'!$F$5:$F$504,B108)</f>
        <v>0</v>
      </c>
      <c r="K108" s="13">
        <f>SUMIFS('Daily Production'!$Q$5:$Q$504,'Daily Production'!$A$5:$A$504,A108,'Daily Production'!$F$5:$F$504,B108)</f>
        <v>0</v>
      </c>
      <c r="L108" s="13">
        <f>IF(C108="Present",Settings!$B$5,IF(C108="Half Day",Settings!$B$5/2,0))</f>
        <v>0</v>
      </c>
    </row>
    <row r="109" ht="15.75" customHeight="1">
      <c r="A109" s="15"/>
      <c r="B109" s="7"/>
      <c r="C109" s="7"/>
      <c r="D109" s="16"/>
      <c r="E109" s="16"/>
      <c r="F109" s="7">
        <f t="shared" si="1"/>
        <v>0</v>
      </c>
      <c r="G109" s="7">
        <f>COUNTIFS('Daily Production'!$A$5:$A$504,A109,'Daily Production'!$F$5:$F$504,B109)</f>
        <v>0</v>
      </c>
      <c r="H109" s="7">
        <f>SUMIFS('Daily Production'!$L$5:$L$504,'Daily Production'!$A$5:$A$504,A109,'Daily Production'!$F$5:$F$504,B109)</f>
        <v>0</v>
      </c>
      <c r="I109" s="7">
        <f>SUMIFS('Daily Production'!$J$5:$J$504,'Daily Production'!$A$5:$A$504,A109,'Daily Production'!$F$5:$F$504,B109)</f>
        <v>0</v>
      </c>
      <c r="J109" s="7">
        <f>SUMIFS('Daily Production'!$K$5:$K$504,'Daily Production'!$A$5:$A$504,A109,'Daily Production'!$F$5:$F$504,B109)</f>
        <v>0</v>
      </c>
      <c r="K109" s="13">
        <f>SUMIFS('Daily Production'!$Q$5:$Q$504,'Daily Production'!$A$5:$A$504,A109,'Daily Production'!$F$5:$F$504,B109)</f>
        <v>0</v>
      </c>
      <c r="L109" s="13">
        <f>IF(C109="Present",Settings!$B$5,IF(C109="Half Day",Settings!$B$5/2,0))</f>
        <v>0</v>
      </c>
    </row>
    <row r="110" ht="15.75" customHeight="1">
      <c r="A110" s="15"/>
      <c r="B110" s="7"/>
      <c r="C110" s="7"/>
      <c r="D110" s="16"/>
      <c r="E110" s="16"/>
      <c r="F110" s="7">
        <f t="shared" si="1"/>
        <v>0</v>
      </c>
      <c r="G110" s="7">
        <f>COUNTIFS('Daily Production'!$A$5:$A$504,A110,'Daily Production'!$F$5:$F$504,B110)</f>
        <v>0</v>
      </c>
      <c r="H110" s="7">
        <f>SUMIFS('Daily Production'!$L$5:$L$504,'Daily Production'!$A$5:$A$504,A110,'Daily Production'!$F$5:$F$504,B110)</f>
        <v>0</v>
      </c>
      <c r="I110" s="7">
        <f>SUMIFS('Daily Production'!$J$5:$J$504,'Daily Production'!$A$5:$A$504,A110,'Daily Production'!$F$5:$F$504,B110)</f>
        <v>0</v>
      </c>
      <c r="J110" s="7">
        <f>SUMIFS('Daily Production'!$K$5:$K$504,'Daily Production'!$A$5:$A$504,A110,'Daily Production'!$F$5:$F$504,B110)</f>
        <v>0</v>
      </c>
      <c r="K110" s="13">
        <f>SUMIFS('Daily Production'!$Q$5:$Q$504,'Daily Production'!$A$5:$A$504,A110,'Daily Production'!$F$5:$F$504,B110)</f>
        <v>0</v>
      </c>
      <c r="L110" s="13">
        <f>IF(C110="Present",Settings!$B$5,IF(C110="Half Day",Settings!$B$5/2,0))</f>
        <v>0</v>
      </c>
    </row>
    <row r="111" ht="15.75" customHeight="1">
      <c r="A111" s="15"/>
      <c r="B111" s="7"/>
      <c r="C111" s="7"/>
      <c r="D111" s="16"/>
      <c r="E111" s="16"/>
      <c r="F111" s="7">
        <f t="shared" si="1"/>
        <v>0</v>
      </c>
      <c r="G111" s="7">
        <f>COUNTIFS('Daily Production'!$A$5:$A$504,A111,'Daily Production'!$F$5:$F$504,B111)</f>
        <v>0</v>
      </c>
      <c r="H111" s="7">
        <f>SUMIFS('Daily Production'!$L$5:$L$504,'Daily Production'!$A$5:$A$504,A111,'Daily Production'!$F$5:$F$504,B111)</f>
        <v>0</v>
      </c>
      <c r="I111" s="7">
        <f>SUMIFS('Daily Production'!$J$5:$J$504,'Daily Production'!$A$5:$A$504,A111,'Daily Production'!$F$5:$F$504,B111)</f>
        <v>0</v>
      </c>
      <c r="J111" s="7">
        <f>SUMIFS('Daily Production'!$K$5:$K$504,'Daily Production'!$A$5:$A$504,A111,'Daily Production'!$F$5:$F$504,B111)</f>
        <v>0</v>
      </c>
      <c r="K111" s="13">
        <f>SUMIFS('Daily Production'!$Q$5:$Q$504,'Daily Production'!$A$5:$A$504,A111,'Daily Production'!$F$5:$F$504,B111)</f>
        <v>0</v>
      </c>
      <c r="L111" s="13">
        <f>IF(C111="Present",Settings!$B$5,IF(C111="Half Day",Settings!$B$5/2,0))</f>
        <v>0</v>
      </c>
    </row>
    <row r="112" ht="15.75" customHeight="1">
      <c r="A112" s="15"/>
      <c r="B112" s="7"/>
      <c r="C112" s="7"/>
      <c r="D112" s="16"/>
      <c r="E112" s="16"/>
      <c r="F112" s="7">
        <f t="shared" si="1"/>
        <v>0</v>
      </c>
      <c r="G112" s="7">
        <f>COUNTIFS('Daily Production'!$A$5:$A$504,A112,'Daily Production'!$F$5:$F$504,B112)</f>
        <v>0</v>
      </c>
      <c r="H112" s="7">
        <f>SUMIFS('Daily Production'!$L$5:$L$504,'Daily Production'!$A$5:$A$504,A112,'Daily Production'!$F$5:$F$504,B112)</f>
        <v>0</v>
      </c>
      <c r="I112" s="7">
        <f>SUMIFS('Daily Production'!$J$5:$J$504,'Daily Production'!$A$5:$A$504,A112,'Daily Production'!$F$5:$F$504,B112)</f>
        <v>0</v>
      </c>
      <c r="J112" s="7">
        <f>SUMIFS('Daily Production'!$K$5:$K$504,'Daily Production'!$A$5:$A$504,A112,'Daily Production'!$F$5:$F$504,B112)</f>
        <v>0</v>
      </c>
      <c r="K112" s="13">
        <f>SUMIFS('Daily Production'!$Q$5:$Q$504,'Daily Production'!$A$5:$A$504,A112,'Daily Production'!$F$5:$F$504,B112)</f>
        <v>0</v>
      </c>
      <c r="L112" s="13">
        <f>IF(C112="Present",Settings!$B$5,IF(C112="Half Day",Settings!$B$5/2,0))</f>
        <v>0</v>
      </c>
    </row>
    <row r="113" ht="15.75" customHeight="1">
      <c r="A113" s="15"/>
      <c r="B113" s="7"/>
      <c r="C113" s="7"/>
      <c r="D113" s="16"/>
      <c r="E113" s="16"/>
      <c r="F113" s="7">
        <f t="shared" si="1"/>
        <v>0</v>
      </c>
      <c r="G113" s="7">
        <f>COUNTIFS('Daily Production'!$A$5:$A$504,A113,'Daily Production'!$F$5:$F$504,B113)</f>
        <v>0</v>
      </c>
      <c r="H113" s="7">
        <f>SUMIFS('Daily Production'!$L$5:$L$504,'Daily Production'!$A$5:$A$504,A113,'Daily Production'!$F$5:$F$504,B113)</f>
        <v>0</v>
      </c>
      <c r="I113" s="7">
        <f>SUMIFS('Daily Production'!$J$5:$J$504,'Daily Production'!$A$5:$A$504,A113,'Daily Production'!$F$5:$F$504,B113)</f>
        <v>0</v>
      </c>
      <c r="J113" s="7">
        <f>SUMIFS('Daily Production'!$K$5:$K$504,'Daily Production'!$A$5:$A$504,A113,'Daily Production'!$F$5:$F$504,B113)</f>
        <v>0</v>
      </c>
      <c r="K113" s="13">
        <f>SUMIFS('Daily Production'!$Q$5:$Q$504,'Daily Production'!$A$5:$A$504,A113,'Daily Production'!$F$5:$F$504,B113)</f>
        <v>0</v>
      </c>
      <c r="L113" s="13">
        <f>IF(C113="Present",Settings!$B$5,IF(C113="Half Day",Settings!$B$5/2,0))</f>
        <v>0</v>
      </c>
    </row>
    <row r="114" ht="15.75" customHeight="1">
      <c r="A114" s="15"/>
      <c r="B114" s="7"/>
      <c r="C114" s="7"/>
      <c r="D114" s="16"/>
      <c r="E114" s="16"/>
      <c r="F114" s="7">
        <f t="shared" si="1"/>
        <v>0</v>
      </c>
      <c r="G114" s="7">
        <f>COUNTIFS('Daily Production'!$A$5:$A$504,A114,'Daily Production'!$F$5:$F$504,B114)</f>
        <v>0</v>
      </c>
      <c r="H114" s="7">
        <f>SUMIFS('Daily Production'!$L$5:$L$504,'Daily Production'!$A$5:$A$504,A114,'Daily Production'!$F$5:$F$504,B114)</f>
        <v>0</v>
      </c>
      <c r="I114" s="7">
        <f>SUMIFS('Daily Production'!$J$5:$J$504,'Daily Production'!$A$5:$A$504,A114,'Daily Production'!$F$5:$F$504,B114)</f>
        <v>0</v>
      </c>
      <c r="J114" s="7">
        <f>SUMIFS('Daily Production'!$K$5:$K$504,'Daily Production'!$A$5:$A$504,A114,'Daily Production'!$F$5:$F$504,B114)</f>
        <v>0</v>
      </c>
      <c r="K114" s="13">
        <f>SUMIFS('Daily Production'!$Q$5:$Q$504,'Daily Production'!$A$5:$A$504,A114,'Daily Production'!$F$5:$F$504,B114)</f>
        <v>0</v>
      </c>
      <c r="L114" s="13">
        <f>IF(C114="Present",Settings!$B$5,IF(C114="Half Day",Settings!$B$5/2,0))</f>
        <v>0</v>
      </c>
    </row>
    <row r="115" ht="15.75" customHeight="1">
      <c r="A115" s="15"/>
      <c r="B115" s="7"/>
      <c r="C115" s="7"/>
      <c r="D115" s="16"/>
      <c r="E115" s="16"/>
      <c r="F115" s="7">
        <f t="shared" si="1"/>
        <v>0</v>
      </c>
      <c r="G115" s="7">
        <f>COUNTIFS('Daily Production'!$A$5:$A$504,A115,'Daily Production'!$F$5:$F$504,B115)</f>
        <v>0</v>
      </c>
      <c r="H115" s="7">
        <f>SUMIFS('Daily Production'!$L$5:$L$504,'Daily Production'!$A$5:$A$504,A115,'Daily Production'!$F$5:$F$504,B115)</f>
        <v>0</v>
      </c>
      <c r="I115" s="7">
        <f>SUMIFS('Daily Production'!$J$5:$J$504,'Daily Production'!$A$5:$A$504,A115,'Daily Production'!$F$5:$F$504,B115)</f>
        <v>0</v>
      </c>
      <c r="J115" s="7">
        <f>SUMIFS('Daily Production'!$K$5:$K$504,'Daily Production'!$A$5:$A$504,A115,'Daily Production'!$F$5:$F$504,B115)</f>
        <v>0</v>
      </c>
      <c r="K115" s="13">
        <f>SUMIFS('Daily Production'!$Q$5:$Q$504,'Daily Production'!$A$5:$A$504,A115,'Daily Production'!$F$5:$F$504,B115)</f>
        <v>0</v>
      </c>
      <c r="L115" s="13">
        <f>IF(C115="Present",Settings!$B$5,IF(C115="Half Day",Settings!$B$5/2,0))</f>
        <v>0</v>
      </c>
    </row>
    <row r="116" ht="15.75" customHeight="1">
      <c r="A116" s="15"/>
      <c r="B116" s="7"/>
      <c r="C116" s="7"/>
      <c r="D116" s="16"/>
      <c r="E116" s="16"/>
      <c r="F116" s="7">
        <f t="shared" si="1"/>
        <v>0</v>
      </c>
      <c r="G116" s="7">
        <f>COUNTIFS('Daily Production'!$A$5:$A$504,A116,'Daily Production'!$F$5:$F$504,B116)</f>
        <v>0</v>
      </c>
      <c r="H116" s="7">
        <f>SUMIFS('Daily Production'!$L$5:$L$504,'Daily Production'!$A$5:$A$504,A116,'Daily Production'!$F$5:$F$504,B116)</f>
        <v>0</v>
      </c>
      <c r="I116" s="7">
        <f>SUMIFS('Daily Production'!$J$5:$J$504,'Daily Production'!$A$5:$A$504,A116,'Daily Production'!$F$5:$F$504,B116)</f>
        <v>0</v>
      </c>
      <c r="J116" s="7">
        <f>SUMIFS('Daily Production'!$K$5:$K$504,'Daily Production'!$A$5:$A$504,A116,'Daily Production'!$F$5:$F$504,B116)</f>
        <v>0</v>
      </c>
      <c r="K116" s="13">
        <f>SUMIFS('Daily Production'!$Q$5:$Q$504,'Daily Production'!$A$5:$A$504,A116,'Daily Production'!$F$5:$F$504,B116)</f>
        <v>0</v>
      </c>
      <c r="L116" s="13">
        <f>IF(C116="Present",Settings!$B$5,IF(C116="Half Day",Settings!$B$5/2,0))</f>
        <v>0</v>
      </c>
    </row>
    <row r="117" ht="15.75" customHeight="1">
      <c r="A117" s="15"/>
      <c r="B117" s="7"/>
      <c r="C117" s="7"/>
      <c r="D117" s="16"/>
      <c r="E117" s="16"/>
      <c r="F117" s="7">
        <f t="shared" si="1"/>
        <v>0</v>
      </c>
      <c r="G117" s="7">
        <f>COUNTIFS('Daily Production'!$A$5:$A$504,A117,'Daily Production'!$F$5:$F$504,B117)</f>
        <v>0</v>
      </c>
      <c r="H117" s="7">
        <f>SUMIFS('Daily Production'!$L$5:$L$504,'Daily Production'!$A$5:$A$504,A117,'Daily Production'!$F$5:$F$504,B117)</f>
        <v>0</v>
      </c>
      <c r="I117" s="7">
        <f>SUMIFS('Daily Production'!$J$5:$J$504,'Daily Production'!$A$5:$A$504,A117,'Daily Production'!$F$5:$F$504,B117)</f>
        <v>0</v>
      </c>
      <c r="J117" s="7">
        <f>SUMIFS('Daily Production'!$K$5:$K$504,'Daily Production'!$A$5:$A$504,A117,'Daily Production'!$F$5:$F$504,B117)</f>
        <v>0</v>
      </c>
      <c r="K117" s="13">
        <f>SUMIFS('Daily Production'!$Q$5:$Q$504,'Daily Production'!$A$5:$A$504,A117,'Daily Production'!$F$5:$F$504,B117)</f>
        <v>0</v>
      </c>
      <c r="L117" s="13">
        <f>IF(C117="Present",Settings!$B$5,IF(C117="Half Day",Settings!$B$5/2,0))</f>
        <v>0</v>
      </c>
    </row>
    <row r="118" ht="15.75" customHeight="1">
      <c r="A118" s="15"/>
      <c r="B118" s="7"/>
      <c r="C118" s="7"/>
      <c r="D118" s="16"/>
      <c r="E118" s="16"/>
      <c r="F118" s="7">
        <f t="shared" si="1"/>
        <v>0</v>
      </c>
      <c r="G118" s="7">
        <f>COUNTIFS('Daily Production'!$A$5:$A$504,A118,'Daily Production'!$F$5:$F$504,B118)</f>
        <v>0</v>
      </c>
      <c r="H118" s="7">
        <f>SUMIFS('Daily Production'!$L$5:$L$504,'Daily Production'!$A$5:$A$504,A118,'Daily Production'!$F$5:$F$504,B118)</f>
        <v>0</v>
      </c>
      <c r="I118" s="7">
        <f>SUMIFS('Daily Production'!$J$5:$J$504,'Daily Production'!$A$5:$A$504,A118,'Daily Production'!$F$5:$F$504,B118)</f>
        <v>0</v>
      </c>
      <c r="J118" s="7">
        <f>SUMIFS('Daily Production'!$K$5:$K$504,'Daily Production'!$A$5:$A$504,A118,'Daily Production'!$F$5:$F$504,B118)</f>
        <v>0</v>
      </c>
      <c r="K118" s="13">
        <f>SUMIFS('Daily Production'!$Q$5:$Q$504,'Daily Production'!$A$5:$A$504,A118,'Daily Production'!$F$5:$F$504,B118)</f>
        <v>0</v>
      </c>
      <c r="L118" s="13">
        <f>IF(C118="Present",Settings!$B$5,IF(C118="Half Day",Settings!$B$5/2,0))</f>
        <v>0</v>
      </c>
    </row>
    <row r="119" ht="15.75" customHeight="1">
      <c r="A119" s="15"/>
      <c r="B119" s="7"/>
      <c r="C119" s="7"/>
      <c r="D119" s="16"/>
      <c r="E119" s="16"/>
      <c r="F119" s="7">
        <f t="shared" si="1"/>
        <v>0</v>
      </c>
      <c r="G119" s="7">
        <f>COUNTIFS('Daily Production'!$A$5:$A$504,A119,'Daily Production'!$F$5:$F$504,B119)</f>
        <v>0</v>
      </c>
      <c r="H119" s="7">
        <f>SUMIFS('Daily Production'!$L$5:$L$504,'Daily Production'!$A$5:$A$504,A119,'Daily Production'!$F$5:$F$504,B119)</f>
        <v>0</v>
      </c>
      <c r="I119" s="7">
        <f>SUMIFS('Daily Production'!$J$5:$J$504,'Daily Production'!$A$5:$A$504,A119,'Daily Production'!$F$5:$F$504,B119)</f>
        <v>0</v>
      </c>
      <c r="J119" s="7">
        <f>SUMIFS('Daily Production'!$K$5:$K$504,'Daily Production'!$A$5:$A$504,A119,'Daily Production'!$F$5:$F$504,B119)</f>
        <v>0</v>
      </c>
      <c r="K119" s="13">
        <f>SUMIFS('Daily Production'!$Q$5:$Q$504,'Daily Production'!$A$5:$A$504,A119,'Daily Production'!$F$5:$F$504,B119)</f>
        <v>0</v>
      </c>
      <c r="L119" s="13">
        <f>IF(C119="Present",Settings!$B$5,IF(C119="Half Day",Settings!$B$5/2,0))</f>
        <v>0</v>
      </c>
    </row>
    <row r="120" ht="15.75" customHeight="1">
      <c r="A120" s="15"/>
      <c r="B120" s="7"/>
      <c r="C120" s="7"/>
      <c r="D120" s="16"/>
      <c r="E120" s="16"/>
      <c r="F120" s="7">
        <f t="shared" si="1"/>
        <v>0</v>
      </c>
      <c r="G120" s="7">
        <f>COUNTIFS('Daily Production'!$A$5:$A$504,A120,'Daily Production'!$F$5:$F$504,B120)</f>
        <v>0</v>
      </c>
      <c r="H120" s="7">
        <f>SUMIFS('Daily Production'!$L$5:$L$504,'Daily Production'!$A$5:$A$504,A120,'Daily Production'!$F$5:$F$504,B120)</f>
        <v>0</v>
      </c>
      <c r="I120" s="7">
        <f>SUMIFS('Daily Production'!$J$5:$J$504,'Daily Production'!$A$5:$A$504,A120,'Daily Production'!$F$5:$F$504,B120)</f>
        <v>0</v>
      </c>
      <c r="J120" s="7">
        <f>SUMIFS('Daily Production'!$K$5:$K$504,'Daily Production'!$A$5:$A$504,A120,'Daily Production'!$F$5:$F$504,B120)</f>
        <v>0</v>
      </c>
      <c r="K120" s="13">
        <f>SUMIFS('Daily Production'!$Q$5:$Q$504,'Daily Production'!$A$5:$A$504,A120,'Daily Production'!$F$5:$F$504,B120)</f>
        <v>0</v>
      </c>
      <c r="L120" s="13">
        <f>IF(C120="Present",Settings!$B$5,IF(C120="Half Day",Settings!$B$5/2,0))</f>
        <v>0</v>
      </c>
    </row>
    <row r="121" ht="15.75" customHeight="1">
      <c r="A121" s="15"/>
      <c r="B121" s="7"/>
      <c r="C121" s="7"/>
      <c r="D121" s="16"/>
      <c r="E121" s="16"/>
      <c r="F121" s="7">
        <f t="shared" si="1"/>
        <v>0</v>
      </c>
      <c r="G121" s="7">
        <f>COUNTIFS('Daily Production'!$A$5:$A$504,A121,'Daily Production'!$F$5:$F$504,B121)</f>
        <v>0</v>
      </c>
      <c r="H121" s="7">
        <f>SUMIFS('Daily Production'!$L$5:$L$504,'Daily Production'!$A$5:$A$504,A121,'Daily Production'!$F$5:$F$504,B121)</f>
        <v>0</v>
      </c>
      <c r="I121" s="7">
        <f>SUMIFS('Daily Production'!$J$5:$J$504,'Daily Production'!$A$5:$A$504,A121,'Daily Production'!$F$5:$F$504,B121)</f>
        <v>0</v>
      </c>
      <c r="J121" s="7">
        <f>SUMIFS('Daily Production'!$K$5:$K$504,'Daily Production'!$A$5:$A$504,A121,'Daily Production'!$F$5:$F$504,B121)</f>
        <v>0</v>
      </c>
      <c r="K121" s="13">
        <f>SUMIFS('Daily Production'!$Q$5:$Q$504,'Daily Production'!$A$5:$A$504,A121,'Daily Production'!$F$5:$F$504,B121)</f>
        <v>0</v>
      </c>
      <c r="L121" s="13">
        <f>IF(C121="Present",Settings!$B$5,IF(C121="Half Day",Settings!$B$5/2,0))</f>
        <v>0</v>
      </c>
    </row>
    <row r="122" ht="15.75" customHeight="1">
      <c r="A122" s="15"/>
      <c r="B122" s="7"/>
      <c r="C122" s="7"/>
      <c r="D122" s="16"/>
      <c r="E122" s="16"/>
      <c r="F122" s="7">
        <f t="shared" si="1"/>
        <v>0</v>
      </c>
      <c r="G122" s="7">
        <f>COUNTIFS('Daily Production'!$A$5:$A$504,A122,'Daily Production'!$F$5:$F$504,B122)</f>
        <v>0</v>
      </c>
      <c r="H122" s="7">
        <f>SUMIFS('Daily Production'!$L$5:$L$504,'Daily Production'!$A$5:$A$504,A122,'Daily Production'!$F$5:$F$504,B122)</f>
        <v>0</v>
      </c>
      <c r="I122" s="7">
        <f>SUMIFS('Daily Production'!$J$5:$J$504,'Daily Production'!$A$5:$A$504,A122,'Daily Production'!$F$5:$F$504,B122)</f>
        <v>0</v>
      </c>
      <c r="J122" s="7">
        <f>SUMIFS('Daily Production'!$K$5:$K$504,'Daily Production'!$A$5:$A$504,A122,'Daily Production'!$F$5:$F$504,B122)</f>
        <v>0</v>
      </c>
      <c r="K122" s="13">
        <f>SUMIFS('Daily Production'!$Q$5:$Q$504,'Daily Production'!$A$5:$A$504,A122,'Daily Production'!$F$5:$F$504,B122)</f>
        <v>0</v>
      </c>
      <c r="L122" s="13">
        <f>IF(C122="Present",Settings!$B$5,IF(C122="Half Day",Settings!$B$5/2,0))</f>
        <v>0</v>
      </c>
    </row>
    <row r="123" ht="15.75" customHeight="1">
      <c r="A123" s="15"/>
      <c r="B123" s="7"/>
      <c r="C123" s="7"/>
      <c r="D123" s="16"/>
      <c r="E123" s="16"/>
      <c r="F123" s="7">
        <f t="shared" si="1"/>
        <v>0</v>
      </c>
      <c r="G123" s="7">
        <f>COUNTIFS('Daily Production'!$A$5:$A$504,A123,'Daily Production'!$F$5:$F$504,B123)</f>
        <v>0</v>
      </c>
      <c r="H123" s="7">
        <f>SUMIFS('Daily Production'!$L$5:$L$504,'Daily Production'!$A$5:$A$504,A123,'Daily Production'!$F$5:$F$504,B123)</f>
        <v>0</v>
      </c>
      <c r="I123" s="7">
        <f>SUMIFS('Daily Production'!$J$5:$J$504,'Daily Production'!$A$5:$A$504,A123,'Daily Production'!$F$5:$F$504,B123)</f>
        <v>0</v>
      </c>
      <c r="J123" s="7">
        <f>SUMIFS('Daily Production'!$K$5:$K$504,'Daily Production'!$A$5:$A$504,A123,'Daily Production'!$F$5:$F$504,B123)</f>
        <v>0</v>
      </c>
      <c r="K123" s="13">
        <f>SUMIFS('Daily Production'!$Q$5:$Q$504,'Daily Production'!$A$5:$A$504,A123,'Daily Production'!$F$5:$F$504,B123)</f>
        <v>0</v>
      </c>
      <c r="L123" s="13">
        <f>IF(C123="Present",Settings!$B$5,IF(C123="Half Day",Settings!$B$5/2,0))</f>
        <v>0</v>
      </c>
    </row>
    <row r="124" ht="15.75" customHeight="1">
      <c r="A124" s="15"/>
      <c r="B124" s="7"/>
      <c r="C124" s="7"/>
      <c r="D124" s="16"/>
      <c r="E124" s="16"/>
      <c r="F124" s="7">
        <f t="shared" si="1"/>
        <v>0</v>
      </c>
      <c r="G124" s="7">
        <f>COUNTIFS('Daily Production'!$A$5:$A$504,A124,'Daily Production'!$F$5:$F$504,B124)</f>
        <v>0</v>
      </c>
      <c r="H124" s="7">
        <f>SUMIFS('Daily Production'!$L$5:$L$504,'Daily Production'!$A$5:$A$504,A124,'Daily Production'!$F$5:$F$504,B124)</f>
        <v>0</v>
      </c>
      <c r="I124" s="7">
        <f>SUMIFS('Daily Production'!$J$5:$J$504,'Daily Production'!$A$5:$A$504,A124,'Daily Production'!$F$5:$F$504,B124)</f>
        <v>0</v>
      </c>
      <c r="J124" s="7">
        <f>SUMIFS('Daily Production'!$K$5:$K$504,'Daily Production'!$A$5:$A$504,A124,'Daily Production'!$F$5:$F$504,B124)</f>
        <v>0</v>
      </c>
      <c r="K124" s="13">
        <f>SUMIFS('Daily Production'!$Q$5:$Q$504,'Daily Production'!$A$5:$A$504,A124,'Daily Production'!$F$5:$F$504,B124)</f>
        <v>0</v>
      </c>
      <c r="L124" s="13">
        <f>IF(C124="Present",Settings!$B$5,IF(C124="Half Day",Settings!$B$5/2,0))</f>
        <v>0</v>
      </c>
    </row>
    <row r="125" ht="15.75" customHeight="1">
      <c r="A125" s="15"/>
      <c r="B125" s="7"/>
      <c r="C125" s="7"/>
      <c r="D125" s="16"/>
      <c r="E125" s="16"/>
      <c r="F125" s="7">
        <f t="shared" si="1"/>
        <v>0</v>
      </c>
      <c r="G125" s="7">
        <f>COUNTIFS('Daily Production'!$A$5:$A$504,A125,'Daily Production'!$F$5:$F$504,B125)</f>
        <v>0</v>
      </c>
      <c r="H125" s="7">
        <f>SUMIFS('Daily Production'!$L$5:$L$504,'Daily Production'!$A$5:$A$504,A125,'Daily Production'!$F$5:$F$504,B125)</f>
        <v>0</v>
      </c>
      <c r="I125" s="7">
        <f>SUMIFS('Daily Production'!$J$5:$J$504,'Daily Production'!$A$5:$A$504,A125,'Daily Production'!$F$5:$F$504,B125)</f>
        <v>0</v>
      </c>
      <c r="J125" s="7">
        <f>SUMIFS('Daily Production'!$K$5:$K$504,'Daily Production'!$A$5:$A$504,A125,'Daily Production'!$F$5:$F$504,B125)</f>
        <v>0</v>
      </c>
      <c r="K125" s="13">
        <f>SUMIFS('Daily Production'!$Q$5:$Q$504,'Daily Production'!$A$5:$A$504,A125,'Daily Production'!$F$5:$F$504,B125)</f>
        <v>0</v>
      </c>
      <c r="L125" s="13">
        <f>IF(C125="Present",Settings!$B$5,IF(C125="Half Day",Settings!$B$5/2,0))</f>
        <v>0</v>
      </c>
    </row>
    <row r="126" ht="15.75" customHeight="1">
      <c r="A126" s="15"/>
      <c r="B126" s="7"/>
      <c r="C126" s="7"/>
      <c r="D126" s="16"/>
      <c r="E126" s="16"/>
      <c r="F126" s="7">
        <f t="shared" si="1"/>
        <v>0</v>
      </c>
      <c r="G126" s="7">
        <f>COUNTIFS('Daily Production'!$A$5:$A$504,A126,'Daily Production'!$F$5:$F$504,B126)</f>
        <v>0</v>
      </c>
      <c r="H126" s="7">
        <f>SUMIFS('Daily Production'!$L$5:$L$504,'Daily Production'!$A$5:$A$504,A126,'Daily Production'!$F$5:$F$504,B126)</f>
        <v>0</v>
      </c>
      <c r="I126" s="7">
        <f>SUMIFS('Daily Production'!$J$5:$J$504,'Daily Production'!$A$5:$A$504,A126,'Daily Production'!$F$5:$F$504,B126)</f>
        <v>0</v>
      </c>
      <c r="J126" s="7">
        <f>SUMIFS('Daily Production'!$K$5:$K$504,'Daily Production'!$A$5:$A$504,A126,'Daily Production'!$F$5:$F$504,B126)</f>
        <v>0</v>
      </c>
      <c r="K126" s="13">
        <f>SUMIFS('Daily Production'!$Q$5:$Q$504,'Daily Production'!$A$5:$A$504,A126,'Daily Production'!$F$5:$F$504,B126)</f>
        <v>0</v>
      </c>
      <c r="L126" s="13">
        <f>IF(C126="Present",Settings!$B$5,IF(C126="Half Day",Settings!$B$5/2,0))</f>
        <v>0</v>
      </c>
    </row>
    <row r="127" ht="15.75" customHeight="1">
      <c r="A127" s="15"/>
      <c r="B127" s="7"/>
      <c r="C127" s="7"/>
      <c r="D127" s="16"/>
      <c r="E127" s="16"/>
      <c r="F127" s="7">
        <f t="shared" si="1"/>
        <v>0</v>
      </c>
      <c r="G127" s="7">
        <f>COUNTIFS('Daily Production'!$A$5:$A$504,A127,'Daily Production'!$F$5:$F$504,B127)</f>
        <v>0</v>
      </c>
      <c r="H127" s="7">
        <f>SUMIFS('Daily Production'!$L$5:$L$504,'Daily Production'!$A$5:$A$504,A127,'Daily Production'!$F$5:$F$504,B127)</f>
        <v>0</v>
      </c>
      <c r="I127" s="7">
        <f>SUMIFS('Daily Production'!$J$5:$J$504,'Daily Production'!$A$5:$A$504,A127,'Daily Production'!$F$5:$F$504,B127)</f>
        <v>0</v>
      </c>
      <c r="J127" s="7">
        <f>SUMIFS('Daily Production'!$K$5:$K$504,'Daily Production'!$A$5:$A$504,A127,'Daily Production'!$F$5:$F$504,B127)</f>
        <v>0</v>
      </c>
      <c r="K127" s="13">
        <f>SUMIFS('Daily Production'!$Q$5:$Q$504,'Daily Production'!$A$5:$A$504,A127,'Daily Production'!$F$5:$F$504,B127)</f>
        <v>0</v>
      </c>
      <c r="L127" s="13">
        <f>IF(C127="Present",Settings!$B$5,IF(C127="Half Day",Settings!$B$5/2,0))</f>
        <v>0</v>
      </c>
    </row>
    <row r="128" ht="15.75" customHeight="1">
      <c r="A128" s="15"/>
      <c r="B128" s="7"/>
      <c r="C128" s="7"/>
      <c r="D128" s="16"/>
      <c r="E128" s="16"/>
      <c r="F128" s="7">
        <f t="shared" si="1"/>
        <v>0</v>
      </c>
      <c r="G128" s="7">
        <f>COUNTIFS('Daily Production'!$A$5:$A$504,A128,'Daily Production'!$F$5:$F$504,B128)</f>
        <v>0</v>
      </c>
      <c r="H128" s="7">
        <f>SUMIFS('Daily Production'!$L$5:$L$504,'Daily Production'!$A$5:$A$504,A128,'Daily Production'!$F$5:$F$504,B128)</f>
        <v>0</v>
      </c>
      <c r="I128" s="7">
        <f>SUMIFS('Daily Production'!$J$5:$J$504,'Daily Production'!$A$5:$A$504,A128,'Daily Production'!$F$5:$F$504,B128)</f>
        <v>0</v>
      </c>
      <c r="J128" s="7">
        <f>SUMIFS('Daily Production'!$K$5:$K$504,'Daily Production'!$A$5:$A$504,A128,'Daily Production'!$F$5:$F$504,B128)</f>
        <v>0</v>
      </c>
      <c r="K128" s="13">
        <f>SUMIFS('Daily Production'!$Q$5:$Q$504,'Daily Production'!$A$5:$A$504,A128,'Daily Production'!$F$5:$F$504,B128)</f>
        <v>0</v>
      </c>
      <c r="L128" s="13">
        <f>IF(C128="Present",Settings!$B$5,IF(C128="Half Day",Settings!$B$5/2,0))</f>
        <v>0</v>
      </c>
    </row>
    <row r="129" ht="15.75" customHeight="1">
      <c r="A129" s="15"/>
      <c r="B129" s="7"/>
      <c r="C129" s="7"/>
      <c r="D129" s="16"/>
      <c r="E129" s="16"/>
      <c r="F129" s="7">
        <f t="shared" si="1"/>
        <v>0</v>
      </c>
      <c r="G129" s="7">
        <f>COUNTIFS('Daily Production'!$A$5:$A$504,A129,'Daily Production'!$F$5:$F$504,B129)</f>
        <v>0</v>
      </c>
      <c r="H129" s="7">
        <f>SUMIFS('Daily Production'!$L$5:$L$504,'Daily Production'!$A$5:$A$504,A129,'Daily Production'!$F$5:$F$504,B129)</f>
        <v>0</v>
      </c>
      <c r="I129" s="7">
        <f>SUMIFS('Daily Production'!$J$5:$J$504,'Daily Production'!$A$5:$A$504,A129,'Daily Production'!$F$5:$F$504,B129)</f>
        <v>0</v>
      </c>
      <c r="J129" s="7">
        <f>SUMIFS('Daily Production'!$K$5:$K$504,'Daily Production'!$A$5:$A$504,A129,'Daily Production'!$F$5:$F$504,B129)</f>
        <v>0</v>
      </c>
      <c r="K129" s="13">
        <f>SUMIFS('Daily Production'!$Q$5:$Q$504,'Daily Production'!$A$5:$A$504,A129,'Daily Production'!$F$5:$F$504,B129)</f>
        <v>0</v>
      </c>
      <c r="L129" s="13">
        <f>IF(C129="Present",Settings!$B$5,IF(C129="Half Day",Settings!$B$5/2,0))</f>
        <v>0</v>
      </c>
    </row>
    <row r="130" ht="15.75" customHeight="1">
      <c r="A130" s="15"/>
      <c r="B130" s="7"/>
      <c r="C130" s="7"/>
      <c r="D130" s="16"/>
      <c r="E130" s="16"/>
      <c r="F130" s="7">
        <f t="shared" si="1"/>
        <v>0</v>
      </c>
      <c r="G130" s="7">
        <f>COUNTIFS('Daily Production'!$A$5:$A$504,A130,'Daily Production'!$F$5:$F$504,B130)</f>
        <v>0</v>
      </c>
      <c r="H130" s="7">
        <f>SUMIFS('Daily Production'!$L$5:$L$504,'Daily Production'!$A$5:$A$504,A130,'Daily Production'!$F$5:$F$504,B130)</f>
        <v>0</v>
      </c>
      <c r="I130" s="7">
        <f>SUMIFS('Daily Production'!$J$5:$J$504,'Daily Production'!$A$5:$A$504,A130,'Daily Production'!$F$5:$F$504,B130)</f>
        <v>0</v>
      </c>
      <c r="J130" s="7">
        <f>SUMIFS('Daily Production'!$K$5:$K$504,'Daily Production'!$A$5:$A$504,A130,'Daily Production'!$F$5:$F$504,B130)</f>
        <v>0</v>
      </c>
      <c r="K130" s="13">
        <f>SUMIFS('Daily Production'!$Q$5:$Q$504,'Daily Production'!$A$5:$A$504,A130,'Daily Production'!$F$5:$F$504,B130)</f>
        <v>0</v>
      </c>
      <c r="L130" s="13">
        <f>IF(C130="Present",Settings!$B$5,IF(C130="Half Day",Settings!$B$5/2,0))</f>
        <v>0</v>
      </c>
    </row>
    <row r="131" ht="15.75" customHeight="1">
      <c r="A131" s="15"/>
      <c r="B131" s="7"/>
      <c r="C131" s="7"/>
      <c r="D131" s="16"/>
      <c r="E131" s="16"/>
      <c r="F131" s="7">
        <f t="shared" si="1"/>
        <v>0</v>
      </c>
      <c r="G131" s="7">
        <f>COUNTIFS('Daily Production'!$A$5:$A$504,A131,'Daily Production'!$F$5:$F$504,B131)</f>
        <v>0</v>
      </c>
      <c r="H131" s="7">
        <f>SUMIFS('Daily Production'!$L$5:$L$504,'Daily Production'!$A$5:$A$504,A131,'Daily Production'!$F$5:$F$504,B131)</f>
        <v>0</v>
      </c>
      <c r="I131" s="7">
        <f>SUMIFS('Daily Production'!$J$5:$J$504,'Daily Production'!$A$5:$A$504,A131,'Daily Production'!$F$5:$F$504,B131)</f>
        <v>0</v>
      </c>
      <c r="J131" s="7">
        <f>SUMIFS('Daily Production'!$K$5:$K$504,'Daily Production'!$A$5:$A$504,A131,'Daily Production'!$F$5:$F$504,B131)</f>
        <v>0</v>
      </c>
      <c r="K131" s="13">
        <f>SUMIFS('Daily Production'!$Q$5:$Q$504,'Daily Production'!$A$5:$A$504,A131,'Daily Production'!$F$5:$F$504,B131)</f>
        <v>0</v>
      </c>
      <c r="L131" s="13">
        <f>IF(C131="Present",Settings!$B$5,IF(C131="Half Day",Settings!$B$5/2,0))</f>
        <v>0</v>
      </c>
    </row>
    <row r="132" ht="15.75" customHeight="1">
      <c r="A132" s="15"/>
      <c r="B132" s="7"/>
      <c r="C132" s="7"/>
      <c r="D132" s="16"/>
      <c r="E132" s="16"/>
      <c r="F132" s="7">
        <f t="shared" si="1"/>
        <v>0</v>
      </c>
      <c r="G132" s="7">
        <f>COUNTIFS('Daily Production'!$A$5:$A$504,A132,'Daily Production'!$F$5:$F$504,B132)</f>
        <v>0</v>
      </c>
      <c r="H132" s="7">
        <f>SUMIFS('Daily Production'!$L$5:$L$504,'Daily Production'!$A$5:$A$504,A132,'Daily Production'!$F$5:$F$504,B132)</f>
        <v>0</v>
      </c>
      <c r="I132" s="7">
        <f>SUMIFS('Daily Production'!$J$5:$J$504,'Daily Production'!$A$5:$A$504,A132,'Daily Production'!$F$5:$F$504,B132)</f>
        <v>0</v>
      </c>
      <c r="J132" s="7">
        <f>SUMIFS('Daily Production'!$K$5:$K$504,'Daily Production'!$A$5:$A$504,A132,'Daily Production'!$F$5:$F$504,B132)</f>
        <v>0</v>
      </c>
      <c r="K132" s="13">
        <f>SUMIFS('Daily Production'!$Q$5:$Q$504,'Daily Production'!$A$5:$A$504,A132,'Daily Production'!$F$5:$F$504,B132)</f>
        <v>0</v>
      </c>
      <c r="L132" s="13">
        <f>IF(C132="Present",Settings!$B$5,IF(C132="Half Day",Settings!$B$5/2,0))</f>
        <v>0</v>
      </c>
    </row>
    <row r="133" ht="15.75" customHeight="1">
      <c r="A133" s="15"/>
      <c r="B133" s="7"/>
      <c r="C133" s="7"/>
      <c r="D133" s="16"/>
      <c r="E133" s="16"/>
      <c r="F133" s="7">
        <f t="shared" si="1"/>
        <v>0</v>
      </c>
      <c r="G133" s="7">
        <f>COUNTIFS('Daily Production'!$A$5:$A$504,A133,'Daily Production'!$F$5:$F$504,B133)</f>
        <v>0</v>
      </c>
      <c r="H133" s="7">
        <f>SUMIFS('Daily Production'!$L$5:$L$504,'Daily Production'!$A$5:$A$504,A133,'Daily Production'!$F$5:$F$504,B133)</f>
        <v>0</v>
      </c>
      <c r="I133" s="7">
        <f>SUMIFS('Daily Production'!$J$5:$J$504,'Daily Production'!$A$5:$A$504,A133,'Daily Production'!$F$5:$F$504,B133)</f>
        <v>0</v>
      </c>
      <c r="J133" s="7">
        <f>SUMIFS('Daily Production'!$K$5:$K$504,'Daily Production'!$A$5:$A$504,A133,'Daily Production'!$F$5:$F$504,B133)</f>
        <v>0</v>
      </c>
      <c r="K133" s="13">
        <f>SUMIFS('Daily Production'!$Q$5:$Q$504,'Daily Production'!$A$5:$A$504,A133,'Daily Production'!$F$5:$F$504,B133)</f>
        <v>0</v>
      </c>
      <c r="L133" s="13">
        <f>IF(C133="Present",Settings!$B$5,IF(C133="Half Day",Settings!$B$5/2,0))</f>
        <v>0</v>
      </c>
    </row>
    <row r="134" ht="15.75" customHeight="1">
      <c r="A134" s="15"/>
      <c r="B134" s="7"/>
      <c r="C134" s="7"/>
      <c r="D134" s="16"/>
      <c r="E134" s="16"/>
      <c r="F134" s="7">
        <f t="shared" si="1"/>
        <v>0</v>
      </c>
      <c r="G134" s="7">
        <f>COUNTIFS('Daily Production'!$A$5:$A$504,A134,'Daily Production'!$F$5:$F$504,B134)</f>
        <v>0</v>
      </c>
      <c r="H134" s="7">
        <f>SUMIFS('Daily Production'!$L$5:$L$504,'Daily Production'!$A$5:$A$504,A134,'Daily Production'!$F$5:$F$504,B134)</f>
        <v>0</v>
      </c>
      <c r="I134" s="7">
        <f>SUMIFS('Daily Production'!$J$5:$J$504,'Daily Production'!$A$5:$A$504,A134,'Daily Production'!$F$5:$F$504,B134)</f>
        <v>0</v>
      </c>
      <c r="J134" s="7">
        <f>SUMIFS('Daily Production'!$K$5:$K$504,'Daily Production'!$A$5:$A$504,A134,'Daily Production'!$F$5:$F$504,B134)</f>
        <v>0</v>
      </c>
      <c r="K134" s="13">
        <f>SUMIFS('Daily Production'!$Q$5:$Q$504,'Daily Production'!$A$5:$A$504,A134,'Daily Production'!$F$5:$F$504,B134)</f>
        <v>0</v>
      </c>
      <c r="L134" s="13">
        <f>IF(C134="Present",Settings!$B$5,IF(C134="Half Day",Settings!$B$5/2,0))</f>
        <v>0</v>
      </c>
    </row>
    <row r="135" ht="15.75" customHeight="1">
      <c r="A135" s="15"/>
      <c r="B135" s="7"/>
      <c r="C135" s="7"/>
      <c r="D135" s="16"/>
      <c r="E135" s="16"/>
      <c r="F135" s="7">
        <f t="shared" si="1"/>
        <v>0</v>
      </c>
      <c r="G135" s="7">
        <f>COUNTIFS('Daily Production'!$A$5:$A$504,A135,'Daily Production'!$F$5:$F$504,B135)</f>
        <v>0</v>
      </c>
      <c r="H135" s="7">
        <f>SUMIFS('Daily Production'!$L$5:$L$504,'Daily Production'!$A$5:$A$504,A135,'Daily Production'!$F$5:$F$504,B135)</f>
        <v>0</v>
      </c>
      <c r="I135" s="7">
        <f>SUMIFS('Daily Production'!$J$5:$J$504,'Daily Production'!$A$5:$A$504,A135,'Daily Production'!$F$5:$F$504,B135)</f>
        <v>0</v>
      </c>
      <c r="J135" s="7">
        <f>SUMIFS('Daily Production'!$K$5:$K$504,'Daily Production'!$A$5:$A$504,A135,'Daily Production'!$F$5:$F$504,B135)</f>
        <v>0</v>
      </c>
      <c r="K135" s="13">
        <f>SUMIFS('Daily Production'!$Q$5:$Q$504,'Daily Production'!$A$5:$A$504,A135,'Daily Production'!$F$5:$F$504,B135)</f>
        <v>0</v>
      </c>
      <c r="L135" s="13">
        <f>IF(C135="Present",Settings!$B$5,IF(C135="Half Day",Settings!$B$5/2,0))</f>
        <v>0</v>
      </c>
    </row>
    <row r="136" ht="15.75" customHeight="1">
      <c r="A136" s="15"/>
      <c r="B136" s="7"/>
      <c r="C136" s="7"/>
      <c r="D136" s="16"/>
      <c r="E136" s="16"/>
      <c r="F136" s="7">
        <f t="shared" si="1"/>
        <v>0</v>
      </c>
      <c r="G136" s="7">
        <f>COUNTIFS('Daily Production'!$A$5:$A$504,A136,'Daily Production'!$F$5:$F$504,B136)</f>
        <v>0</v>
      </c>
      <c r="H136" s="7">
        <f>SUMIFS('Daily Production'!$L$5:$L$504,'Daily Production'!$A$5:$A$504,A136,'Daily Production'!$F$5:$F$504,B136)</f>
        <v>0</v>
      </c>
      <c r="I136" s="7">
        <f>SUMIFS('Daily Production'!$J$5:$J$504,'Daily Production'!$A$5:$A$504,A136,'Daily Production'!$F$5:$F$504,B136)</f>
        <v>0</v>
      </c>
      <c r="J136" s="7">
        <f>SUMIFS('Daily Production'!$K$5:$K$504,'Daily Production'!$A$5:$A$504,A136,'Daily Production'!$F$5:$F$504,B136)</f>
        <v>0</v>
      </c>
      <c r="K136" s="13">
        <f>SUMIFS('Daily Production'!$Q$5:$Q$504,'Daily Production'!$A$5:$A$504,A136,'Daily Production'!$F$5:$F$504,B136)</f>
        <v>0</v>
      </c>
      <c r="L136" s="13">
        <f>IF(C136="Present",Settings!$B$5,IF(C136="Half Day",Settings!$B$5/2,0))</f>
        <v>0</v>
      </c>
    </row>
    <row r="137" ht="15.75" customHeight="1">
      <c r="A137" s="15"/>
      <c r="B137" s="7"/>
      <c r="C137" s="7"/>
      <c r="D137" s="16"/>
      <c r="E137" s="16"/>
      <c r="F137" s="7">
        <f t="shared" si="1"/>
        <v>0</v>
      </c>
      <c r="G137" s="7">
        <f>COUNTIFS('Daily Production'!$A$5:$A$504,A137,'Daily Production'!$F$5:$F$504,B137)</f>
        <v>0</v>
      </c>
      <c r="H137" s="7">
        <f>SUMIFS('Daily Production'!$L$5:$L$504,'Daily Production'!$A$5:$A$504,A137,'Daily Production'!$F$5:$F$504,B137)</f>
        <v>0</v>
      </c>
      <c r="I137" s="7">
        <f>SUMIFS('Daily Production'!$J$5:$J$504,'Daily Production'!$A$5:$A$504,A137,'Daily Production'!$F$5:$F$504,B137)</f>
        <v>0</v>
      </c>
      <c r="J137" s="7">
        <f>SUMIFS('Daily Production'!$K$5:$K$504,'Daily Production'!$A$5:$A$504,A137,'Daily Production'!$F$5:$F$504,B137)</f>
        <v>0</v>
      </c>
      <c r="K137" s="13">
        <f>SUMIFS('Daily Production'!$Q$5:$Q$504,'Daily Production'!$A$5:$A$504,A137,'Daily Production'!$F$5:$F$504,B137)</f>
        <v>0</v>
      </c>
      <c r="L137" s="13">
        <f>IF(C137="Present",Settings!$B$5,IF(C137="Half Day",Settings!$B$5/2,0))</f>
        <v>0</v>
      </c>
    </row>
    <row r="138" ht="15.75" customHeight="1">
      <c r="A138" s="15"/>
      <c r="B138" s="7"/>
      <c r="C138" s="7"/>
      <c r="D138" s="16"/>
      <c r="E138" s="16"/>
      <c r="F138" s="7">
        <f t="shared" si="1"/>
        <v>0</v>
      </c>
      <c r="G138" s="7">
        <f>COUNTIFS('Daily Production'!$A$5:$A$504,A138,'Daily Production'!$F$5:$F$504,B138)</f>
        <v>0</v>
      </c>
      <c r="H138" s="7">
        <f>SUMIFS('Daily Production'!$L$5:$L$504,'Daily Production'!$A$5:$A$504,A138,'Daily Production'!$F$5:$F$504,B138)</f>
        <v>0</v>
      </c>
      <c r="I138" s="7">
        <f>SUMIFS('Daily Production'!$J$5:$J$504,'Daily Production'!$A$5:$A$504,A138,'Daily Production'!$F$5:$F$504,B138)</f>
        <v>0</v>
      </c>
      <c r="J138" s="7">
        <f>SUMIFS('Daily Production'!$K$5:$K$504,'Daily Production'!$A$5:$A$504,A138,'Daily Production'!$F$5:$F$504,B138)</f>
        <v>0</v>
      </c>
      <c r="K138" s="13">
        <f>SUMIFS('Daily Production'!$Q$5:$Q$504,'Daily Production'!$A$5:$A$504,A138,'Daily Production'!$F$5:$F$504,B138)</f>
        <v>0</v>
      </c>
      <c r="L138" s="13">
        <f>IF(C138="Present",Settings!$B$5,IF(C138="Half Day",Settings!$B$5/2,0))</f>
        <v>0</v>
      </c>
    </row>
    <row r="139" ht="15.75" customHeight="1">
      <c r="A139" s="15"/>
      <c r="B139" s="7"/>
      <c r="C139" s="7"/>
      <c r="D139" s="16"/>
      <c r="E139" s="16"/>
      <c r="F139" s="7">
        <f t="shared" si="1"/>
        <v>0</v>
      </c>
      <c r="G139" s="7">
        <f>COUNTIFS('Daily Production'!$A$5:$A$504,A139,'Daily Production'!$F$5:$F$504,B139)</f>
        <v>0</v>
      </c>
      <c r="H139" s="7">
        <f>SUMIFS('Daily Production'!$L$5:$L$504,'Daily Production'!$A$5:$A$504,A139,'Daily Production'!$F$5:$F$504,B139)</f>
        <v>0</v>
      </c>
      <c r="I139" s="7">
        <f>SUMIFS('Daily Production'!$J$5:$J$504,'Daily Production'!$A$5:$A$504,A139,'Daily Production'!$F$5:$F$504,B139)</f>
        <v>0</v>
      </c>
      <c r="J139" s="7">
        <f>SUMIFS('Daily Production'!$K$5:$K$504,'Daily Production'!$A$5:$A$504,A139,'Daily Production'!$F$5:$F$504,B139)</f>
        <v>0</v>
      </c>
      <c r="K139" s="13">
        <f>SUMIFS('Daily Production'!$Q$5:$Q$504,'Daily Production'!$A$5:$A$504,A139,'Daily Production'!$F$5:$F$504,B139)</f>
        <v>0</v>
      </c>
      <c r="L139" s="13">
        <f>IF(C139="Present",Settings!$B$5,IF(C139="Half Day",Settings!$B$5/2,0))</f>
        <v>0</v>
      </c>
    </row>
    <row r="140" ht="15.75" customHeight="1">
      <c r="A140" s="15"/>
      <c r="B140" s="7"/>
      <c r="C140" s="7"/>
      <c r="D140" s="16"/>
      <c r="E140" s="16"/>
      <c r="F140" s="7">
        <f t="shared" si="1"/>
        <v>0</v>
      </c>
      <c r="G140" s="7">
        <f>COUNTIFS('Daily Production'!$A$5:$A$504,A140,'Daily Production'!$F$5:$F$504,B140)</f>
        <v>0</v>
      </c>
      <c r="H140" s="7">
        <f>SUMIFS('Daily Production'!$L$5:$L$504,'Daily Production'!$A$5:$A$504,A140,'Daily Production'!$F$5:$F$504,B140)</f>
        <v>0</v>
      </c>
      <c r="I140" s="7">
        <f>SUMIFS('Daily Production'!$J$5:$J$504,'Daily Production'!$A$5:$A$504,A140,'Daily Production'!$F$5:$F$504,B140)</f>
        <v>0</v>
      </c>
      <c r="J140" s="7">
        <f>SUMIFS('Daily Production'!$K$5:$K$504,'Daily Production'!$A$5:$A$504,A140,'Daily Production'!$F$5:$F$504,B140)</f>
        <v>0</v>
      </c>
      <c r="K140" s="13">
        <f>SUMIFS('Daily Production'!$Q$5:$Q$504,'Daily Production'!$A$5:$A$504,A140,'Daily Production'!$F$5:$F$504,B140)</f>
        <v>0</v>
      </c>
      <c r="L140" s="13">
        <f>IF(C140="Present",Settings!$B$5,IF(C140="Half Day",Settings!$B$5/2,0))</f>
        <v>0</v>
      </c>
    </row>
    <row r="141" ht="15.75" customHeight="1">
      <c r="A141" s="15"/>
      <c r="B141" s="7"/>
      <c r="C141" s="7"/>
      <c r="D141" s="16"/>
      <c r="E141" s="16"/>
      <c r="F141" s="7">
        <f t="shared" si="1"/>
        <v>0</v>
      </c>
      <c r="G141" s="7">
        <f>COUNTIFS('Daily Production'!$A$5:$A$504,A141,'Daily Production'!$F$5:$F$504,B141)</f>
        <v>0</v>
      </c>
      <c r="H141" s="7">
        <f>SUMIFS('Daily Production'!$L$5:$L$504,'Daily Production'!$A$5:$A$504,A141,'Daily Production'!$F$5:$F$504,B141)</f>
        <v>0</v>
      </c>
      <c r="I141" s="7">
        <f>SUMIFS('Daily Production'!$J$5:$J$504,'Daily Production'!$A$5:$A$504,A141,'Daily Production'!$F$5:$F$504,B141)</f>
        <v>0</v>
      </c>
      <c r="J141" s="7">
        <f>SUMIFS('Daily Production'!$K$5:$K$504,'Daily Production'!$A$5:$A$504,A141,'Daily Production'!$F$5:$F$504,B141)</f>
        <v>0</v>
      </c>
      <c r="K141" s="13">
        <f>SUMIFS('Daily Production'!$Q$5:$Q$504,'Daily Production'!$A$5:$A$504,A141,'Daily Production'!$F$5:$F$504,B141)</f>
        <v>0</v>
      </c>
      <c r="L141" s="13">
        <f>IF(C141="Present",Settings!$B$5,IF(C141="Half Day",Settings!$B$5/2,0))</f>
        <v>0</v>
      </c>
    </row>
    <row r="142" ht="15.75" customHeight="1">
      <c r="A142" s="15"/>
      <c r="B142" s="7"/>
      <c r="C142" s="7"/>
      <c r="D142" s="16"/>
      <c r="E142" s="16"/>
      <c r="F142" s="7">
        <f t="shared" si="1"/>
        <v>0</v>
      </c>
      <c r="G142" s="7">
        <f>COUNTIFS('Daily Production'!$A$5:$A$504,A142,'Daily Production'!$F$5:$F$504,B142)</f>
        <v>0</v>
      </c>
      <c r="H142" s="7">
        <f>SUMIFS('Daily Production'!$L$5:$L$504,'Daily Production'!$A$5:$A$504,A142,'Daily Production'!$F$5:$F$504,B142)</f>
        <v>0</v>
      </c>
      <c r="I142" s="7">
        <f>SUMIFS('Daily Production'!$J$5:$J$504,'Daily Production'!$A$5:$A$504,A142,'Daily Production'!$F$5:$F$504,B142)</f>
        <v>0</v>
      </c>
      <c r="J142" s="7">
        <f>SUMIFS('Daily Production'!$K$5:$K$504,'Daily Production'!$A$5:$A$504,A142,'Daily Production'!$F$5:$F$504,B142)</f>
        <v>0</v>
      </c>
      <c r="K142" s="13">
        <f>SUMIFS('Daily Production'!$Q$5:$Q$504,'Daily Production'!$A$5:$A$504,A142,'Daily Production'!$F$5:$F$504,B142)</f>
        <v>0</v>
      </c>
      <c r="L142" s="13">
        <f>IF(C142="Present",Settings!$B$5,IF(C142="Half Day",Settings!$B$5/2,0))</f>
        <v>0</v>
      </c>
    </row>
    <row r="143" ht="15.75" customHeight="1">
      <c r="A143" s="15"/>
      <c r="B143" s="7"/>
      <c r="C143" s="7"/>
      <c r="D143" s="16"/>
      <c r="E143" s="16"/>
      <c r="F143" s="7">
        <f t="shared" si="1"/>
        <v>0</v>
      </c>
      <c r="G143" s="7">
        <f>COUNTIFS('Daily Production'!$A$5:$A$504,A143,'Daily Production'!$F$5:$F$504,B143)</f>
        <v>0</v>
      </c>
      <c r="H143" s="7">
        <f>SUMIFS('Daily Production'!$L$5:$L$504,'Daily Production'!$A$5:$A$504,A143,'Daily Production'!$F$5:$F$504,B143)</f>
        <v>0</v>
      </c>
      <c r="I143" s="7">
        <f>SUMIFS('Daily Production'!$J$5:$J$504,'Daily Production'!$A$5:$A$504,A143,'Daily Production'!$F$5:$F$504,B143)</f>
        <v>0</v>
      </c>
      <c r="J143" s="7">
        <f>SUMIFS('Daily Production'!$K$5:$K$504,'Daily Production'!$A$5:$A$504,A143,'Daily Production'!$F$5:$F$504,B143)</f>
        <v>0</v>
      </c>
      <c r="K143" s="13">
        <f>SUMIFS('Daily Production'!$Q$5:$Q$504,'Daily Production'!$A$5:$A$504,A143,'Daily Production'!$F$5:$F$504,B143)</f>
        <v>0</v>
      </c>
      <c r="L143" s="13">
        <f>IF(C143="Present",Settings!$B$5,IF(C143="Half Day",Settings!$B$5/2,0))</f>
        <v>0</v>
      </c>
    </row>
    <row r="144" ht="15.75" customHeight="1">
      <c r="A144" s="15"/>
      <c r="B144" s="7"/>
      <c r="C144" s="7"/>
      <c r="D144" s="16"/>
      <c r="E144" s="16"/>
      <c r="F144" s="7">
        <f t="shared" si="1"/>
        <v>0</v>
      </c>
      <c r="G144" s="7">
        <f>COUNTIFS('Daily Production'!$A$5:$A$504,A144,'Daily Production'!$F$5:$F$504,B144)</f>
        <v>0</v>
      </c>
      <c r="H144" s="7">
        <f>SUMIFS('Daily Production'!$L$5:$L$504,'Daily Production'!$A$5:$A$504,A144,'Daily Production'!$F$5:$F$504,B144)</f>
        <v>0</v>
      </c>
      <c r="I144" s="7">
        <f>SUMIFS('Daily Production'!$J$5:$J$504,'Daily Production'!$A$5:$A$504,A144,'Daily Production'!$F$5:$F$504,B144)</f>
        <v>0</v>
      </c>
      <c r="J144" s="7">
        <f>SUMIFS('Daily Production'!$K$5:$K$504,'Daily Production'!$A$5:$A$504,A144,'Daily Production'!$F$5:$F$504,B144)</f>
        <v>0</v>
      </c>
      <c r="K144" s="13">
        <f>SUMIFS('Daily Production'!$Q$5:$Q$504,'Daily Production'!$A$5:$A$504,A144,'Daily Production'!$F$5:$F$504,B144)</f>
        <v>0</v>
      </c>
      <c r="L144" s="13">
        <f>IF(C144="Present",Settings!$B$5,IF(C144="Half Day",Settings!$B$5/2,0))</f>
        <v>0</v>
      </c>
    </row>
    <row r="145" ht="15.75" customHeight="1">
      <c r="A145" s="15"/>
      <c r="B145" s="7"/>
      <c r="C145" s="7"/>
      <c r="D145" s="16"/>
      <c r="E145" s="16"/>
      <c r="F145" s="7">
        <f t="shared" si="1"/>
        <v>0</v>
      </c>
      <c r="G145" s="7">
        <f>COUNTIFS('Daily Production'!$A$5:$A$504,A145,'Daily Production'!$F$5:$F$504,B145)</f>
        <v>0</v>
      </c>
      <c r="H145" s="7">
        <f>SUMIFS('Daily Production'!$L$5:$L$504,'Daily Production'!$A$5:$A$504,A145,'Daily Production'!$F$5:$F$504,B145)</f>
        <v>0</v>
      </c>
      <c r="I145" s="7">
        <f>SUMIFS('Daily Production'!$J$5:$J$504,'Daily Production'!$A$5:$A$504,A145,'Daily Production'!$F$5:$F$504,B145)</f>
        <v>0</v>
      </c>
      <c r="J145" s="7">
        <f>SUMIFS('Daily Production'!$K$5:$K$504,'Daily Production'!$A$5:$A$504,A145,'Daily Production'!$F$5:$F$504,B145)</f>
        <v>0</v>
      </c>
      <c r="K145" s="13">
        <f>SUMIFS('Daily Production'!$Q$5:$Q$504,'Daily Production'!$A$5:$A$504,A145,'Daily Production'!$F$5:$F$504,B145)</f>
        <v>0</v>
      </c>
      <c r="L145" s="13">
        <f>IF(C145="Present",Settings!$B$5,IF(C145="Half Day",Settings!$B$5/2,0))</f>
        <v>0</v>
      </c>
    </row>
    <row r="146" ht="15.75" customHeight="1">
      <c r="A146" s="15"/>
      <c r="B146" s="7"/>
      <c r="C146" s="7"/>
      <c r="D146" s="16"/>
      <c r="E146" s="16"/>
      <c r="F146" s="7">
        <f t="shared" si="1"/>
        <v>0</v>
      </c>
      <c r="G146" s="7">
        <f>COUNTIFS('Daily Production'!$A$5:$A$504,A146,'Daily Production'!$F$5:$F$504,B146)</f>
        <v>0</v>
      </c>
      <c r="H146" s="7">
        <f>SUMIFS('Daily Production'!$L$5:$L$504,'Daily Production'!$A$5:$A$504,A146,'Daily Production'!$F$5:$F$504,B146)</f>
        <v>0</v>
      </c>
      <c r="I146" s="7">
        <f>SUMIFS('Daily Production'!$J$5:$J$504,'Daily Production'!$A$5:$A$504,A146,'Daily Production'!$F$5:$F$504,B146)</f>
        <v>0</v>
      </c>
      <c r="J146" s="7">
        <f>SUMIFS('Daily Production'!$K$5:$K$504,'Daily Production'!$A$5:$A$504,A146,'Daily Production'!$F$5:$F$504,B146)</f>
        <v>0</v>
      </c>
      <c r="K146" s="13">
        <f>SUMIFS('Daily Production'!$Q$5:$Q$504,'Daily Production'!$A$5:$A$504,A146,'Daily Production'!$F$5:$F$504,B146)</f>
        <v>0</v>
      </c>
      <c r="L146" s="13">
        <f>IF(C146="Present",Settings!$B$5,IF(C146="Half Day",Settings!$B$5/2,0))</f>
        <v>0</v>
      </c>
    </row>
    <row r="147" ht="15.75" customHeight="1">
      <c r="A147" s="15"/>
      <c r="B147" s="7"/>
      <c r="C147" s="7"/>
      <c r="D147" s="16"/>
      <c r="E147" s="16"/>
      <c r="F147" s="7">
        <f t="shared" si="1"/>
        <v>0</v>
      </c>
      <c r="G147" s="7">
        <f>COUNTIFS('Daily Production'!$A$5:$A$504,A147,'Daily Production'!$F$5:$F$504,B147)</f>
        <v>0</v>
      </c>
      <c r="H147" s="7">
        <f>SUMIFS('Daily Production'!$L$5:$L$504,'Daily Production'!$A$5:$A$504,A147,'Daily Production'!$F$5:$F$504,B147)</f>
        <v>0</v>
      </c>
      <c r="I147" s="7">
        <f>SUMIFS('Daily Production'!$J$5:$J$504,'Daily Production'!$A$5:$A$504,A147,'Daily Production'!$F$5:$F$504,B147)</f>
        <v>0</v>
      </c>
      <c r="J147" s="7">
        <f>SUMIFS('Daily Production'!$K$5:$K$504,'Daily Production'!$A$5:$A$504,A147,'Daily Production'!$F$5:$F$504,B147)</f>
        <v>0</v>
      </c>
      <c r="K147" s="13">
        <f>SUMIFS('Daily Production'!$Q$5:$Q$504,'Daily Production'!$A$5:$A$504,A147,'Daily Production'!$F$5:$F$504,B147)</f>
        <v>0</v>
      </c>
      <c r="L147" s="13">
        <f>IF(C147="Present",Settings!$B$5,IF(C147="Half Day",Settings!$B$5/2,0))</f>
        <v>0</v>
      </c>
    </row>
    <row r="148" ht="15.75" customHeight="1">
      <c r="A148" s="15"/>
      <c r="B148" s="7"/>
      <c r="C148" s="7"/>
      <c r="D148" s="16"/>
      <c r="E148" s="16"/>
      <c r="F148" s="7">
        <f t="shared" si="1"/>
        <v>0</v>
      </c>
      <c r="G148" s="7">
        <f>COUNTIFS('Daily Production'!$A$5:$A$504,A148,'Daily Production'!$F$5:$F$504,B148)</f>
        <v>0</v>
      </c>
      <c r="H148" s="7">
        <f>SUMIFS('Daily Production'!$L$5:$L$504,'Daily Production'!$A$5:$A$504,A148,'Daily Production'!$F$5:$F$504,B148)</f>
        <v>0</v>
      </c>
      <c r="I148" s="7">
        <f>SUMIFS('Daily Production'!$J$5:$J$504,'Daily Production'!$A$5:$A$504,A148,'Daily Production'!$F$5:$F$504,B148)</f>
        <v>0</v>
      </c>
      <c r="J148" s="7">
        <f>SUMIFS('Daily Production'!$K$5:$K$504,'Daily Production'!$A$5:$A$504,A148,'Daily Production'!$F$5:$F$504,B148)</f>
        <v>0</v>
      </c>
      <c r="K148" s="13">
        <f>SUMIFS('Daily Production'!$Q$5:$Q$504,'Daily Production'!$A$5:$A$504,A148,'Daily Production'!$F$5:$F$504,B148)</f>
        <v>0</v>
      </c>
      <c r="L148" s="13">
        <f>IF(C148="Present",Settings!$B$5,IF(C148="Half Day",Settings!$B$5/2,0))</f>
        <v>0</v>
      </c>
    </row>
    <row r="149" ht="15.75" customHeight="1">
      <c r="A149" s="15"/>
      <c r="B149" s="7"/>
      <c r="C149" s="7"/>
      <c r="D149" s="16"/>
      <c r="E149" s="16"/>
      <c r="F149" s="7">
        <f t="shared" si="1"/>
        <v>0</v>
      </c>
      <c r="G149" s="7">
        <f>COUNTIFS('Daily Production'!$A$5:$A$504,A149,'Daily Production'!$F$5:$F$504,B149)</f>
        <v>0</v>
      </c>
      <c r="H149" s="7">
        <f>SUMIFS('Daily Production'!$L$5:$L$504,'Daily Production'!$A$5:$A$504,A149,'Daily Production'!$F$5:$F$504,B149)</f>
        <v>0</v>
      </c>
      <c r="I149" s="7">
        <f>SUMIFS('Daily Production'!$J$5:$J$504,'Daily Production'!$A$5:$A$504,A149,'Daily Production'!$F$5:$F$504,B149)</f>
        <v>0</v>
      </c>
      <c r="J149" s="7">
        <f>SUMIFS('Daily Production'!$K$5:$K$504,'Daily Production'!$A$5:$A$504,A149,'Daily Production'!$F$5:$F$504,B149)</f>
        <v>0</v>
      </c>
      <c r="K149" s="13">
        <f>SUMIFS('Daily Production'!$Q$5:$Q$504,'Daily Production'!$A$5:$A$504,A149,'Daily Production'!$F$5:$F$504,B149)</f>
        <v>0</v>
      </c>
      <c r="L149" s="13">
        <f>IF(C149="Present",Settings!$B$5,IF(C149="Half Day",Settings!$B$5/2,0))</f>
        <v>0</v>
      </c>
    </row>
    <row r="150" ht="15.75" customHeight="1">
      <c r="A150" s="15"/>
      <c r="B150" s="7"/>
      <c r="C150" s="7"/>
      <c r="D150" s="16"/>
      <c r="E150" s="16"/>
      <c r="F150" s="7">
        <f t="shared" si="1"/>
        <v>0</v>
      </c>
      <c r="G150" s="7">
        <f>COUNTIFS('Daily Production'!$A$5:$A$504,A150,'Daily Production'!$F$5:$F$504,B150)</f>
        <v>0</v>
      </c>
      <c r="H150" s="7">
        <f>SUMIFS('Daily Production'!$L$5:$L$504,'Daily Production'!$A$5:$A$504,A150,'Daily Production'!$F$5:$F$504,B150)</f>
        <v>0</v>
      </c>
      <c r="I150" s="7">
        <f>SUMIFS('Daily Production'!$J$5:$J$504,'Daily Production'!$A$5:$A$504,A150,'Daily Production'!$F$5:$F$504,B150)</f>
        <v>0</v>
      </c>
      <c r="J150" s="7">
        <f>SUMIFS('Daily Production'!$K$5:$K$504,'Daily Production'!$A$5:$A$504,A150,'Daily Production'!$F$5:$F$504,B150)</f>
        <v>0</v>
      </c>
      <c r="K150" s="13">
        <f>SUMIFS('Daily Production'!$Q$5:$Q$504,'Daily Production'!$A$5:$A$504,A150,'Daily Production'!$F$5:$F$504,B150)</f>
        <v>0</v>
      </c>
      <c r="L150" s="13">
        <f>IF(C150="Present",Settings!$B$5,IF(C150="Half Day",Settings!$B$5/2,0))</f>
        <v>0</v>
      </c>
    </row>
    <row r="151" ht="15.75" customHeight="1">
      <c r="A151" s="15"/>
      <c r="B151" s="7"/>
      <c r="C151" s="7"/>
      <c r="D151" s="16"/>
      <c r="E151" s="16"/>
      <c r="F151" s="7">
        <f t="shared" si="1"/>
        <v>0</v>
      </c>
      <c r="G151" s="7">
        <f>COUNTIFS('Daily Production'!$A$5:$A$504,A151,'Daily Production'!$F$5:$F$504,B151)</f>
        <v>0</v>
      </c>
      <c r="H151" s="7">
        <f>SUMIFS('Daily Production'!$L$5:$L$504,'Daily Production'!$A$5:$A$504,A151,'Daily Production'!$F$5:$F$504,B151)</f>
        <v>0</v>
      </c>
      <c r="I151" s="7">
        <f>SUMIFS('Daily Production'!$J$5:$J$504,'Daily Production'!$A$5:$A$504,A151,'Daily Production'!$F$5:$F$504,B151)</f>
        <v>0</v>
      </c>
      <c r="J151" s="7">
        <f>SUMIFS('Daily Production'!$K$5:$K$504,'Daily Production'!$A$5:$A$504,A151,'Daily Production'!$F$5:$F$504,B151)</f>
        <v>0</v>
      </c>
      <c r="K151" s="13">
        <f>SUMIFS('Daily Production'!$Q$5:$Q$504,'Daily Production'!$A$5:$A$504,A151,'Daily Production'!$F$5:$F$504,B151)</f>
        <v>0</v>
      </c>
      <c r="L151" s="13">
        <f>IF(C151="Present",Settings!$B$5,IF(C151="Half Day",Settings!$B$5/2,0))</f>
        <v>0</v>
      </c>
    </row>
    <row r="152" ht="15.75" customHeight="1">
      <c r="A152" s="15"/>
      <c r="B152" s="7"/>
      <c r="C152" s="7"/>
      <c r="D152" s="16"/>
      <c r="E152" s="16"/>
      <c r="F152" s="7">
        <f t="shared" si="1"/>
        <v>0</v>
      </c>
      <c r="G152" s="7">
        <f>COUNTIFS('Daily Production'!$A$5:$A$504,A152,'Daily Production'!$F$5:$F$504,B152)</f>
        <v>0</v>
      </c>
      <c r="H152" s="7">
        <f>SUMIFS('Daily Production'!$L$5:$L$504,'Daily Production'!$A$5:$A$504,A152,'Daily Production'!$F$5:$F$504,B152)</f>
        <v>0</v>
      </c>
      <c r="I152" s="7">
        <f>SUMIFS('Daily Production'!$J$5:$J$504,'Daily Production'!$A$5:$A$504,A152,'Daily Production'!$F$5:$F$504,B152)</f>
        <v>0</v>
      </c>
      <c r="J152" s="7">
        <f>SUMIFS('Daily Production'!$K$5:$K$504,'Daily Production'!$A$5:$A$504,A152,'Daily Production'!$F$5:$F$504,B152)</f>
        <v>0</v>
      </c>
      <c r="K152" s="13">
        <f>SUMIFS('Daily Production'!$Q$5:$Q$504,'Daily Production'!$A$5:$A$504,A152,'Daily Production'!$F$5:$F$504,B152)</f>
        <v>0</v>
      </c>
      <c r="L152" s="13">
        <f>IF(C152="Present",Settings!$B$5,IF(C152="Half Day",Settings!$B$5/2,0))</f>
        <v>0</v>
      </c>
    </row>
    <row r="153" ht="15.75" customHeight="1">
      <c r="A153" s="15"/>
      <c r="B153" s="7"/>
      <c r="C153" s="7"/>
      <c r="D153" s="16"/>
      <c r="E153" s="16"/>
      <c r="F153" s="7">
        <f t="shared" si="1"/>
        <v>0</v>
      </c>
      <c r="G153" s="7">
        <f>COUNTIFS('Daily Production'!$A$5:$A$504,A153,'Daily Production'!$F$5:$F$504,B153)</f>
        <v>0</v>
      </c>
      <c r="H153" s="7">
        <f>SUMIFS('Daily Production'!$L$5:$L$504,'Daily Production'!$A$5:$A$504,A153,'Daily Production'!$F$5:$F$504,B153)</f>
        <v>0</v>
      </c>
      <c r="I153" s="7">
        <f>SUMIFS('Daily Production'!$J$5:$J$504,'Daily Production'!$A$5:$A$504,A153,'Daily Production'!$F$5:$F$504,B153)</f>
        <v>0</v>
      </c>
      <c r="J153" s="7">
        <f>SUMIFS('Daily Production'!$K$5:$K$504,'Daily Production'!$A$5:$A$504,A153,'Daily Production'!$F$5:$F$504,B153)</f>
        <v>0</v>
      </c>
      <c r="K153" s="13">
        <f>SUMIFS('Daily Production'!$Q$5:$Q$504,'Daily Production'!$A$5:$A$504,A153,'Daily Production'!$F$5:$F$504,B153)</f>
        <v>0</v>
      </c>
      <c r="L153" s="13">
        <f>IF(C153="Present",Settings!$B$5,IF(C153="Half Day",Settings!$B$5/2,0))</f>
        <v>0</v>
      </c>
    </row>
    <row r="154" ht="15.75" customHeight="1">
      <c r="A154" s="15"/>
      <c r="B154" s="7"/>
      <c r="C154" s="7"/>
      <c r="D154" s="16"/>
      <c r="E154" s="16"/>
      <c r="F154" s="7">
        <f t="shared" si="1"/>
        <v>0</v>
      </c>
      <c r="G154" s="7">
        <f>COUNTIFS('Daily Production'!$A$5:$A$504,A154,'Daily Production'!$F$5:$F$504,B154)</f>
        <v>0</v>
      </c>
      <c r="H154" s="7">
        <f>SUMIFS('Daily Production'!$L$5:$L$504,'Daily Production'!$A$5:$A$504,A154,'Daily Production'!$F$5:$F$504,B154)</f>
        <v>0</v>
      </c>
      <c r="I154" s="7">
        <f>SUMIFS('Daily Production'!$J$5:$J$504,'Daily Production'!$A$5:$A$504,A154,'Daily Production'!$F$5:$F$504,B154)</f>
        <v>0</v>
      </c>
      <c r="J154" s="7">
        <f>SUMIFS('Daily Production'!$K$5:$K$504,'Daily Production'!$A$5:$A$504,A154,'Daily Production'!$F$5:$F$504,B154)</f>
        <v>0</v>
      </c>
      <c r="K154" s="13">
        <f>SUMIFS('Daily Production'!$Q$5:$Q$504,'Daily Production'!$A$5:$A$504,A154,'Daily Production'!$F$5:$F$504,B154)</f>
        <v>0</v>
      </c>
      <c r="L154" s="13">
        <f>IF(C154="Present",Settings!$B$5,IF(C154="Half Day",Settings!$B$5/2,0))</f>
        <v>0</v>
      </c>
    </row>
    <row r="155" ht="15.75" customHeight="1">
      <c r="A155" s="15"/>
      <c r="B155" s="7"/>
      <c r="C155" s="7"/>
      <c r="D155" s="16"/>
      <c r="E155" s="16"/>
      <c r="F155" s="7">
        <f t="shared" si="1"/>
        <v>0</v>
      </c>
      <c r="G155" s="7">
        <f>COUNTIFS('Daily Production'!$A$5:$A$504,A155,'Daily Production'!$F$5:$F$504,B155)</f>
        <v>0</v>
      </c>
      <c r="H155" s="7">
        <f>SUMIFS('Daily Production'!$L$5:$L$504,'Daily Production'!$A$5:$A$504,A155,'Daily Production'!$F$5:$F$504,B155)</f>
        <v>0</v>
      </c>
      <c r="I155" s="7">
        <f>SUMIFS('Daily Production'!$J$5:$J$504,'Daily Production'!$A$5:$A$504,A155,'Daily Production'!$F$5:$F$504,B155)</f>
        <v>0</v>
      </c>
      <c r="J155" s="7">
        <f>SUMIFS('Daily Production'!$K$5:$K$504,'Daily Production'!$A$5:$A$504,A155,'Daily Production'!$F$5:$F$504,B155)</f>
        <v>0</v>
      </c>
      <c r="K155" s="13">
        <f>SUMIFS('Daily Production'!$Q$5:$Q$504,'Daily Production'!$A$5:$A$504,A155,'Daily Production'!$F$5:$F$504,B155)</f>
        <v>0</v>
      </c>
      <c r="L155" s="13">
        <f>IF(C155="Present",Settings!$B$5,IF(C155="Half Day",Settings!$B$5/2,0))</f>
        <v>0</v>
      </c>
    </row>
    <row r="156" ht="15.75" customHeight="1">
      <c r="A156" s="15"/>
      <c r="B156" s="7"/>
      <c r="C156" s="7"/>
      <c r="D156" s="16"/>
      <c r="E156" s="16"/>
      <c r="F156" s="7">
        <f t="shared" si="1"/>
        <v>0</v>
      </c>
      <c r="G156" s="7">
        <f>COUNTIFS('Daily Production'!$A$5:$A$504,A156,'Daily Production'!$F$5:$F$504,B156)</f>
        <v>0</v>
      </c>
      <c r="H156" s="7">
        <f>SUMIFS('Daily Production'!$L$5:$L$504,'Daily Production'!$A$5:$A$504,A156,'Daily Production'!$F$5:$F$504,B156)</f>
        <v>0</v>
      </c>
      <c r="I156" s="7">
        <f>SUMIFS('Daily Production'!$J$5:$J$504,'Daily Production'!$A$5:$A$504,A156,'Daily Production'!$F$5:$F$504,B156)</f>
        <v>0</v>
      </c>
      <c r="J156" s="7">
        <f>SUMIFS('Daily Production'!$K$5:$K$504,'Daily Production'!$A$5:$A$504,A156,'Daily Production'!$F$5:$F$504,B156)</f>
        <v>0</v>
      </c>
      <c r="K156" s="13">
        <f>SUMIFS('Daily Production'!$Q$5:$Q$504,'Daily Production'!$A$5:$A$504,A156,'Daily Production'!$F$5:$F$504,B156)</f>
        <v>0</v>
      </c>
      <c r="L156" s="13">
        <f>IF(C156="Present",Settings!$B$5,IF(C156="Half Day",Settings!$B$5/2,0))</f>
        <v>0</v>
      </c>
    </row>
    <row r="157" ht="15.75" customHeight="1">
      <c r="A157" s="15"/>
      <c r="B157" s="7"/>
      <c r="C157" s="7"/>
      <c r="D157" s="16"/>
      <c r="E157" s="16"/>
      <c r="F157" s="7">
        <f t="shared" si="1"/>
        <v>0</v>
      </c>
      <c r="G157" s="7">
        <f>COUNTIFS('Daily Production'!$A$5:$A$504,A157,'Daily Production'!$F$5:$F$504,B157)</f>
        <v>0</v>
      </c>
      <c r="H157" s="7">
        <f>SUMIFS('Daily Production'!$L$5:$L$504,'Daily Production'!$A$5:$A$504,A157,'Daily Production'!$F$5:$F$504,B157)</f>
        <v>0</v>
      </c>
      <c r="I157" s="7">
        <f>SUMIFS('Daily Production'!$J$5:$J$504,'Daily Production'!$A$5:$A$504,A157,'Daily Production'!$F$5:$F$504,B157)</f>
        <v>0</v>
      </c>
      <c r="J157" s="7">
        <f>SUMIFS('Daily Production'!$K$5:$K$504,'Daily Production'!$A$5:$A$504,A157,'Daily Production'!$F$5:$F$504,B157)</f>
        <v>0</v>
      </c>
      <c r="K157" s="13">
        <f>SUMIFS('Daily Production'!$Q$5:$Q$504,'Daily Production'!$A$5:$A$504,A157,'Daily Production'!$F$5:$F$504,B157)</f>
        <v>0</v>
      </c>
      <c r="L157" s="13">
        <f>IF(C157="Present",Settings!$B$5,IF(C157="Half Day",Settings!$B$5/2,0))</f>
        <v>0</v>
      </c>
    </row>
    <row r="158" ht="15.75" customHeight="1">
      <c r="A158" s="15"/>
      <c r="B158" s="7"/>
      <c r="C158" s="7"/>
      <c r="D158" s="16"/>
      <c r="E158" s="16"/>
      <c r="F158" s="7">
        <f t="shared" si="1"/>
        <v>0</v>
      </c>
      <c r="G158" s="7">
        <f>COUNTIFS('Daily Production'!$A$5:$A$504,A158,'Daily Production'!$F$5:$F$504,B158)</f>
        <v>0</v>
      </c>
      <c r="H158" s="7">
        <f>SUMIFS('Daily Production'!$L$5:$L$504,'Daily Production'!$A$5:$A$504,A158,'Daily Production'!$F$5:$F$504,B158)</f>
        <v>0</v>
      </c>
      <c r="I158" s="7">
        <f>SUMIFS('Daily Production'!$J$5:$J$504,'Daily Production'!$A$5:$A$504,A158,'Daily Production'!$F$5:$F$504,B158)</f>
        <v>0</v>
      </c>
      <c r="J158" s="7">
        <f>SUMIFS('Daily Production'!$K$5:$K$504,'Daily Production'!$A$5:$A$504,A158,'Daily Production'!$F$5:$F$504,B158)</f>
        <v>0</v>
      </c>
      <c r="K158" s="13">
        <f>SUMIFS('Daily Production'!$Q$5:$Q$504,'Daily Production'!$A$5:$A$504,A158,'Daily Production'!$F$5:$F$504,B158)</f>
        <v>0</v>
      </c>
      <c r="L158" s="13">
        <f>IF(C158="Present",Settings!$B$5,IF(C158="Half Day",Settings!$B$5/2,0))</f>
        <v>0</v>
      </c>
    </row>
    <row r="159" ht="15.75" customHeight="1">
      <c r="A159" s="15"/>
      <c r="B159" s="7"/>
      <c r="C159" s="7"/>
      <c r="D159" s="16"/>
      <c r="E159" s="16"/>
      <c r="F159" s="7">
        <f t="shared" si="1"/>
        <v>0</v>
      </c>
      <c r="G159" s="7">
        <f>COUNTIFS('Daily Production'!$A$5:$A$504,A159,'Daily Production'!$F$5:$F$504,B159)</f>
        <v>0</v>
      </c>
      <c r="H159" s="7">
        <f>SUMIFS('Daily Production'!$L$5:$L$504,'Daily Production'!$A$5:$A$504,A159,'Daily Production'!$F$5:$F$504,B159)</f>
        <v>0</v>
      </c>
      <c r="I159" s="7">
        <f>SUMIFS('Daily Production'!$J$5:$J$504,'Daily Production'!$A$5:$A$504,A159,'Daily Production'!$F$5:$F$504,B159)</f>
        <v>0</v>
      </c>
      <c r="J159" s="7">
        <f>SUMIFS('Daily Production'!$K$5:$K$504,'Daily Production'!$A$5:$A$504,A159,'Daily Production'!$F$5:$F$504,B159)</f>
        <v>0</v>
      </c>
      <c r="K159" s="13">
        <f>SUMIFS('Daily Production'!$Q$5:$Q$504,'Daily Production'!$A$5:$A$504,A159,'Daily Production'!$F$5:$F$504,B159)</f>
        <v>0</v>
      </c>
      <c r="L159" s="13">
        <f>IF(C159="Present",Settings!$B$5,IF(C159="Half Day",Settings!$B$5/2,0))</f>
        <v>0</v>
      </c>
    </row>
    <row r="160" ht="15.75" customHeight="1">
      <c r="A160" s="15"/>
      <c r="B160" s="7"/>
      <c r="C160" s="7"/>
      <c r="D160" s="16"/>
      <c r="E160" s="16"/>
      <c r="F160" s="7">
        <f t="shared" si="1"/>
        <v>0</v>
      </c>
      <c r="G160" s="7">
        <f>COUNTIFS('Daily Production'!$A$5:$A$504,A160,'Daily Production'!$F$5:$F$504,B160)</f>
        <v>0</v>
      </c>
      <c r="H160" s="7">
        <f>SUMIFS('Daily Production'!$L$5:$L$504,'Daily Production'!$A$5:$A$504,A160,'Daily Production'!$F$5:$F$504,B160)</f>
        <v>0</v>
      </c>
      <c r="I160" s="7">
        <f>SUMIFS('Daily Production'!$J$5:$J$504,'Daily Production'!$A$5:$A$504,A160,'Daily Production'!$F$5:$F$504,B160)</f>
        <v>0</v>
      </c>
      <c r="J160" s="7">
        <f>SUMIFS('Daily Production'!$K$5:$K$504,'Daily Production'!$A$5:$A$504,A160,'Daily Production'!$F$5:$F$504,B160)</f>
        <v>0</v>
      </c>
      <c r="K160" s="13">
        <f>SUMIFS('Daily Production'!$Q$5:$Q$504,'Daily Production'!$A$5:$A$504,A160,'Daily Production'!$F$5:$F$504,B160)</f>
        <v>0</v>
      </c>
      <c r="L160" s="13">
        <f>IF(C160="Present",Settings!$B$5,IF(C160="Half Day",Settings!$B$5/2,0))</f>
        <v>0</v>
      </c>
    </row>
    <row r="161" ht="15.75" customHeight="1">
      <c r="A161" s="15"/>
      <c r="B161" s="7"/>
      <c r="C161" s="7"/>
      <c r="D161" s="16"/>
      <c r="E161" s="16"/>
      <c r="F161" s="7">
        <f t="shared" si="1"/>
        <v>0</v>
      </c>
      <c r="G161" s="7">
        <f>COUNTIFS('Daily Production'!$A$5:$A$504,A161,'Daily Production'!$F$5:$F$504,B161)</f>
        <v>0</v>
      </c>
      <c r="H161" s="7">
        <f>SUMIFS('Daily Production'!$L$5:$L$504,'Daily Production'!$A$5:$A$504,A161,'Daily Production'!$F$5:$F$504,B161)</f>
        <v>0</v>
      </c>
      <c r="I161" s="7">
        <f>SUMIFS('Daily Production'!$J$5:$J$504,'Daily Production'!$A$5:$A$504,A161,'Daily Production'!$F$5:$F$504,B161)</f>
        <v>0</v>
      </c>
      <c r="J161" s="7">
        <f>SUMIFS('Daily Production'!$K$5:$K$504,'Daily Production'!$A$5:$A$504,A161,'Daily Production'!$F$5:$F$504,B161)</f>
        <v>0</v>
      </c>
      <c r="K161" s="13">
        <f>SUMIFS('Daily Production'!$Q$5:$Q$504,'Daily Production'!$A$5:$A$504,A161,'Daily Production'!$F$5:$F$504,B161)</f>
        <v>0</v>
      </c>
      <c r="L161" s="13">
        <f>IF(C161="Present",Settings!$B$5,IF(C161="Half Day",Settings!$B$5/2,0))</f>
        <v>0</v>
      </c>
    </row>
    <row r="162" ht="15.75" customHeight="1">
      <c r="A162" s="15"/>
      <c r="B162" s="7"/>
      <c r="C162" s="7"/>
      <c r="D162" s="16"/>
      <c r="E162" s="16"/>
      <c r="F162" s="7">
        <f t="shared" si="1"/>
        <v>0</v>
      </c>
      <c r="G162" s="7">
        <f>COUNTIFS('Daily Production'!$A$5:$A$504,A162,'Daily Production'!$F$5:$F$504,B162)</f>
        <v>0</v>
      </c>
      <c r="H162" s="7">
        <f>SUMIFS('Daily Production'!$L$5:$L$504,'Daily Production'!$A$5:$A$504,A162,'Daily Production'!$F$5:$F$504,B162)</f>
        <v>0</v>
      </c>
      <c r="I162" s="7">
        <f>SUMIFS('Daily Production'!$J$5:$J$504,'Daily Production'!$A$5:$A$504,A162,'Daily Production'!$F$5:$F$504,B162)</f>
        <v>0</v>
      </c>
      <c r="J162" s="7">
        <f>SUMIFS('Daily Production'!$K$5:$K$504,'Daily Production'!$A$5:$A$504,A162,'Daily Production'!$F$5:$F$504,B162)</f>
        <v>0</v>
      </c>
      <c r="K162" s="13">
        <f>SUMIFS('Daily Production'!$Q$5:$Q$504,'Daily Production'!$A$5:$A$504,A162,'Daily Production'!$F$5:$F$504,B162)</f>
        <v>0</v>
      </c>
      <c r="L162" s="13">
        <f>IF(C162="Present",Settings!$B$5,IF(C162="Half Day",Settings!$B$5/2,0))</f>
        <v>0</v>
      </c>
    </row>
    <row r="163" ht="15.75" customHeight="1">
      <c r="A163" s="15"/>
      <c r="B163" s="7"/>
      <c r="C163" s="7"/>
      <c r="D163" s="16"/>
      <c r="E163" s="16"/>
      <c r="F163" s="7">
        <f t="shared" si="1"/>
        <v>0</v>
      </c>
      <c r="G163" s="7">
        <f>COUNTIFS('Daily Production'!$A$5:$A$504,A163,'Daily Production'!$F$5:$F$504,B163)</f>
        <v>0</v>
      </c>
      <c r="H163" s="7">
        <f>SUMIFS('Daily Production'!$L$5:$L$504,'Daily Production'!$A$5:$A$504,A163,'Daily Production'!$F$5:$F$504,B163)</f>
        <v>0</v>
      </c>
      <c r="I163" s="7">
        <f>SUMIFS('Daily Production'!$J$5:$J$504,'Daily Production'!$A$5:$A$504,A163,'Daily Production'!$F$5:$F$504,B163)</f>
        <v>0</v>
      </c>
      <c r="J163" s="7">
        <f>SUMIFS('Daily Production'!$K$5:$K$504,'Daily Production'!$A$5:$A$504,A163,'Daily Production'!$F$5:$F$504,B163)</f>
        <v>0</v>
      </c>
      <c r="K163" s="13">
        <f>SUMIFS('Daily Production'!$Q$5:$Q$504,'Daily Production'!$A$5:$A$504,A163,'Daily Production'!$F$5:$F$504,B163)</f>
        <v>0</v>
      </c>
      <c r="L163" s="13">
        <f>IF(C163="Present",Settings!$B$5,IF(C163="Half Day",Settings!$B$5/2,0))</f>
        <v>0</v>
      </c>
    </row>
    <row r="164" ht="15.75" customHeight="1">
      <c r="A164" s="15"/>
      <c r="B164" s="7"/>
      <c r="C164" s="7"/>
      <c r="D164" s="16"/>
      <c r="E164" s="16"/>
      <c r="F164" s="7">
        <f t="shared" si="1"/>
        <v>0</v>
      </c>
      <c r="G164" s="7">
        <f>COUNTIFS('Daily Production'!$A$5:$A$504,A164,'Daily Production'!$F$5:$F$504,B164)</f>
        <v>0</v>
      </c>
      <c r="H164" s="7">
        <f>SUMIFS('Daily Production'!$L$5:$L$504,'Daily Production'!$A$5:$A$504,A164,'Daily Production'!$F$5:$F$504,B164)</f>
        <v>0</v>
      </c>
      <c r="I164" s="7">
        <f>SUMIFS('Daily Production'!$J$5:$J$504,'Daily Production'!$A$5:$A$504,A164,'Daily Production'!$F$5:$F$504,B164)</f>
        <v>0</v>
      </c>
      <c r="J164" s="7">
        <f>SUMIFS('Daily Production'!$K$5:$K$504,'Daily Production'!$A$5:$A$504,A164,'Daily Production'!$F$5:$F$504,B164)</f>
        <v>0</v>
      </c>
      <c r="K164" s="13">
        <f>SUMIFS('Daily Production'!$Q$5:$Q$504,'Daily Production'!$A$5:$A$504,A164,'Daily Production'!$F$5:$F$504,B164)</f>
        <v>0</v>
      </c>
      <c r="L164" s="13">
        <f>IF(C164="Present",Settings!$B$5,IF(C164="Half Day",Settings!$B$5/2,0))</f>
        <v>0</v>
      </c>
    </row>
    <row r="165" ht="15.75" customHeight="1">
      <c r="A165" s="15"/>
      <c r="B165" s="7"/>
      <c r="C165" s="7"/>
      <c r="D165" s="16"/>
      <c r="E165" s="16"/>
      <c r="F165" s="7">
        <f t="shared" si="1"/>
        <v>0</v>
      </c>
      <c r="G165" s="7">
        <f>COUNTIFS('Daily Production'!$A$5:$A$504,A165,'Daily Production'!$F$5:$F$504,B165)</f>
        <v>0</v>
      </c>
      <c r="H165" s="7">
        <f>SUMIFS('Daily Production'!$L$5:$L$504,'Daily Production'!$A$5:$A$504,A165,'Daily Production'!$F$5:$F$504,B165)</f>
        <v>0</v>
      </c>
      <c r="I165" s="7">
        <f>SUMIFS('Daily Production'!$J$5:$J$504,'Daily Production'!$A$5:$A$504,A165,'Daily Production'!$F$5:$F$504,B165)</f>
        <v>0</v>
      </c>
      <c r="J165" s="7">
        <f>SUMIFS('Daily Production'!$K$5:$K$504,'Daily Production'!$A$5:$A$504,A165,'Daily Production'!$F$5:$F$504,B165)</f>
        <v>0</v>
      </c>
      <c r="K165" s="13">
        <f>SUMIFS('Daily Production'!$Q$5:$Q$504,'Daily Production'!$A$5:$A$504,A165,'Daily Production'!$F$5:$F$504,B165)</f>
        <v>0</v>
      </c>
      <c r="L165" s="13">
        <f>IF(C165="Present",Settings!$B$5,IF(C165="Half Day",Settings!$B$5/2,0))</f>
        <v>0</v>
      </c>
    </row>
    <row r="166" ht="15.75" customHeight="1">
      <c r="A166" s="15"/>
      <c r="B166" s="7"/>
      <c r="C166" s="7"/>
      <c r="D166" s="16"/>
      <c r="E166" s="16"/>
      <c r="F166" s="7">
        <f t="shared" si="1"/>
        <v>0</v>
      </c>
      <c r="G166" s="7">
        <f>COUNTIFS('Daily Production'!$A$5:$A$504,A166,'Daily Production'!$F$5:$F$504,B166)</f>
        <v>0</v>
      </c>
      <c r="H166" s="7">
        <f>SUMIFS('Daily Production'!$L$5:$L$504,'Daily Production'!$A$5:$A$504,A166,'Daily Production'!$F$5:$F$504,B166)</f>
        <v>0</v>
      </c>
      <c r="I166" s="7">
        <f>SUMIFS('Daily Production'!$J$5:$J$504,'Daily Production'!$A$5:$A$504,A166,'Daily Production'!$F$5:$F$504,B166)</f>
        <v>0</v>
      </c>
      <c r="J166" s="7">
        <f>SUMIFS('Daily Production'!$K$5:$K$504,'Daily Production'!$A$5:$A$504,A166,'Daily Production'!$F$5:$F$504,B166)</f>
        <v>0</v>
      </c>
      <c r="K166" s="13">
        <f>SUMIFS('Daily Production'!$Q$5:$Q$504,'Daily Production'!$A$5:$A$504,A166,'Daily Production'!$F$5:$F$504,B166)</f>
        <v>0</v>
      </c>
      <c r="L166" s="13">
        <f>IF(C166="Present",Settings!$B$5,IF(C166="Half Day",Settings!$B$5/2,0))</f>
        <v>0</v>
      </c>
    </row>
    <row r="167" ht="15.75" customHeight="1">
      <c r="A167" s="15"/>
      <c r="B167" s="7"/>
      <c r="C167" s="7"/>
      <c r="D167" s="16"/>
      <c r="E167" s="16"/>
      <c r="F167" s="7">
        <f t="shared" si="1"/>
        <v>0</v>
      </c>
      <c r="G167" s="7">
        <f>COUNTIFS('Daily Production'!$A$5:$A$504,A167,'Daily Production'!$F$5:$F$504,B167)</f>
        <v>0</v>
      </c>
      <c r="H167" s="7">
        <f>SUMIFS('Daily Production'!$L$5:$L$504,'Daily Production'!$A$5:$A$504,A167,'Daily Production'!$F$5:$F$504,B167)</f>
        <v>0</v>
      </c>
      <c r="I167" s="7">
        <f>SUMIFS('Daily Production'!$J$5:$J$504,'Daily Production'!$A$5:$A$504,A167,'Daily Production'!$F$5:$F$504,B167)</f>
        <v>0</v>
      </c>
      <c r="J167" s="7">
        <f>SUMIFS('Daily Production'!$K$5:$K$504,'Daily Production'!$A$5:$A$504,A167,'Daily Production'!$F$5:$F$504,B167)</f>
        <v>0</v>
      </c>
      <c r="K167" s="13">
        <f>SUMIFS('Daily Production'!$Q$5:$Q$504,'Daily Production'!$A$5:$A$504,A167,'Daily Production'!$F$5:$F$504,B167)</f>
        <v>0</v>
      </c>
      <c r="L167" s="13">
        <f>IF(C167="Present",Settings!$B$5,IF(C167="Half Day",Settings!$B$5/2,0))</f>
        <v>0</v>
      </c>
    </row>
    <row r="168" ht="15.75" customHeight="1">
      <c r="A168" s="15"/>
      <c r="B168" s="7"/>
      <c r="C168" s="7"/>
      <c r="D168" s="16"/>
      <c r="E168" s="16"/>
      <c r="F168" s="7">
        <f t="shared" si="1"/>
        <v>0</v>
      </c>
      <c r="G168" s="7">
        <f>COUNTIFS('Daily Production'!$A$5:$A$504,A168,'Daily Production'!$F$5:$F$504,B168)</f>
        <v>0</v>
      </c>
      <c r="H168" s="7">
        <f>SUMIFS('Daily Production'!$L$5:$L$504,'Daily Production'!$A$5:$A$504,A168,'Daily Production'!$F$5:$F$504,B168)</f>
        <v>0</v>
      </c>
      <c r="I168" s="7">
        <f>SUMIFS('Daily Production'!$J$5:$J$504,'Daily Production'!$A$5:$A$504,A168,'Daily Production'!$F$5:$F$504,B168)</f>
        <v>0</v>
      </c>
      <c r="J168" s="7">
        <f>SUMIFS('Daily Production'!$K$5:$K$504,'Daily Production'!$A$5:$A$504,A168,'Daily Production'!$F$5:$F$504,B168)</f>
        <v>0</v>
      </c>
      <c r="K168" s="13">
        <f>SUMIFS('Daily Production'!$Q$5:$Q$504,'Daily Production'!$A$5:$A$504,A168,'Daily Production'!$F$5:$F$504,B168)</f>
        <v>0</v>
      </c>
      <c r="L168" s="13">
        <f>IF(C168="Present",Settings!$B$5,IF(C168="Half Day",Settings!$B$5/2,0))</f>
        <v>0</v>
      </c>
    </row>
    <row r="169" ht="15.75" customHeight="1">
      <c r="A169" s="15"/>
      <c r="B169" s="7"/>
      <c r="C169" s="7"/>
      <c r="D169" s="16"/>
      <c r="E169" s="16"/>
      <c r="F169" s="7">
        <f t="shared" si="1"/>
        <v>0</v>
      </c>
      <c r="G169" s="7">
        <f>COUNTIFS('Daily Production'!$A$5:$A$504,A169,'Daily Production'!$F$5:$F$504,B169)</f>
        <v>0</v>
      </c>
      <c r="H169" s="7">
        <f>SUMIFS('Daily Production'!$L$5:$L$504,'Daily Production'!$A$5:$A$504,A169,'Daily Production'!$F$5:$F$504,B169)</f>
        <v>0</v>
      </c>
      <c r="I169" s="7">
        <f>SUMIFS('Daily Production'!$J$5:$J$504,'Daily Production'!$A$5:$A$504,A169,'Daily Production'!$F$5:$F$504,B169)</f>
        <v>0</v>
      </c>
      <c r="J169" s="7">
        <f>SUMIFS('Daily Production'!$K$5:$K$504,'Daily Production'!$A$5:$A$504,A169,'Daily Production'!$F$5:$F$504,B169)</f>
        <v>0</v>
      </c>
      <c r="K169" s="13">
        <f>SUMIFS('Daily Production'!$Q$5:$Q$504,'Daily Production'!$A$5:$A$504,A169,'Daily Production'!$F$5:$F$504,B169)</f>
        <v>0</v>
      </c>
      <c r="L169" s="13">
        <f>IF(C169="Present",Settings!$B$5,IF(C169="Half Day",Settings!$B$5/2,0))</f>
        <v>0</v>
      </c>
    </row>
    <row r="170" ht="15.75" customHeight="1">
      <c r="A170" s="15"/>
      <c r="B170" s="7"/>
      <c r="C170" s="7"/>
      <c r="D170" s="16"/>
      <c r="E170" s="16"/>
      <c r="F170" s="7">
        <f t="shared" si="1"/>
        <v>0</v>
      </c>
      <c r="G170" s="7">
        <f>COUNTIFS('Daily Production'!$A$5:$A$504,A170,'Daily Production'!$F$5:$F$504,B170)</f>
        <v>0</v>
      </c>
      <c r="H170" s="7">
        <f>SUMIFS('Daily Production'!$L$5:$L$504,'Daily Production'!$A$5:$A$504,A170,'Daily Production'!$F$5:$F$504,B170)</f>
        <v>0</v>
      </c>
      <c r="I170" s="7">
        <f>SUMIFS('Daily Production'!$J$5:$J$504,'Daily Production'!$A$5:$A$504,A170,'Daily Production'!$F$5:$F$504,B170)</f>
        <v>0</v>
      </c>
      <c r="J170" s="7">
        <f>SUMIFS('Daily Production'!$K$5:$K$504,'Daily Production'!$A$5:$A$504,A170,'Daily Production'!$F$5:$F$504,B170)</f>
        <v>0</v>
      </c>
      <c r="K170" s="13">
        <f>SUMIFS('Daily Production'!$Q$5:$Q$504,'Daily Production'!$A$5:$A$504,A170,'Daily Production'!$F$5:$F$504,B170)</f>
        <v>0</v>
      </c>
      <c r="L170" s="13">
        <f>IF(C170="Present",Settings!$B$5,IF(C170="Half Day",Settings!$B$5/2,0))</f>
        <v>0</v>
      </c>
    </row>
    <row r="171" ht="15.75" customHeight="1">
      <c r="A171" s="15"/>
      <c r="B171" s="7"/>
      <c r="C171" s="7"/>
      <c r="D171" s="16"/>
      <c r="E171" s="16"/>
      <c r="F171" s="7">
        <f t="shared" si="1"/>
        <v>0</v>
      </c>
      <c r="G171" s="7">
        <f>COUNTIFS('Daily Production'!$A$5:$A$504,A171,'Daily Production'!$F$5:$F$504,B171)</f>
        <v>0</v>
      </c>
      <c r="H171" s="7">
        <f>SUMIFS('Daily Production'!$L$5:$L$504,'Daily Production'!$A$5:$A$504,A171,'Daily Production'!$F$5:$F$504,B171)</f>
        <v>0</v>
      </c>
      <c r="I171" s="7">
        <f>SUMIFS('Daily Production'!$J$5:$J$504,'Daily Production'!$A$5:$A$504,A171,'Daily Production'!$F$5:$F$504,B171)</f>
        <v>0</v>
      </c>
      <c r="J171" s="7">
        <f>SUMIFS('Daily Production'!$K$5:$K$504,'Daily Production'!$A$5:$A$504,A171,'Daily Production'!$F$5:$F$504,B171)</f>
        <v>0</v>
      </c>
      <c r="K171" s="13">
        <f>SUMIFS('Daily Production'!$Q$5:$Q$504,'Daily Production'!$A$5:$A$504,A171,'Daily Production'!$F$5:$F$504,B171)</f>
        <v>0</v>
      </c>
      <c r="L171" s="13">
        <f>IF(C171="Present",Settings!$B$5,IF(C171="Half Day",Settings!$B$5/2,0))</f>
        <v>0</v>
      </c>
    </row>
    <row r="172" ht="15.75" customHeight="1">
      <c r="A172" s="15"/>
      <c r="B172" s="7"/>
      <c r="C172" s="7"/>
      <c r="D172" s="16"/>
      <c r="E172" s="16"/>
      <c r="F172" s="7">
        <f t="shared" si="1"/>
        <v>0</v>
      </c>
      <c r="G172" s="7">
        <f>COUNTIFS('Daily Production'!$A$5:$A$504,A172,'Daily Production'!$F$5:$F$504,B172)</f>
        <v>0</v>
      </c>
      <c r="H172" s="7">
        <f>SUMIFS('Daily Production'!$L$5:$L$504,'Daily Production'!$A$5:$A$504,A172,'Daily Production'!$F$5:$F$504,B172)</f>
        <v>0</v>
      </c>
      <c r="I172" s="7">
        <f>SUMIFS('Daily Production'!$J$5:$J$504,'Daily Production'!$A$5:$A$504,A172,'Daily Production'!$F$5:$F$504,B172)</f>
        <v>0</v>
      </c>
      <c r="J172" s="7">
        <f>SUMIFS('Daily Production'!$K$5:$K$504,'Daily Production'!$A$5:$A$504,A172,'Daily Production'!$F$5:$F$504,B172)</f>
        <v>0</v>
      </c>
      <c r="K172" s="13">
        <f>SUMIFS('Daily Production'!$Q$5:$Q$504,'Daily Production'!$A$5:$A$504,A172,'Daily Production'!$F$5:$F$504,B172)</f>
        <v>0</v>
      </c>
      <c r="L172" s="13">
        <f>IF(C172="Present",Settings!$B$5,IF(C172="Half Day",Settings!$B$5/2,0))</f>
        <v>0</v>
      </c>
    </row>
    <row r="173" ht="15.75" customHeight="1">
      <c r="A173" s="15"/>
      <c r="B173" s="7"/>
      <c r="C173" s="7"/>
      <c r="D173" s="16"/>
      <c r="E173" s="16"/>
      <c r="F173" s="7">
        <f t="shared" si="1"/>
        <v>0</v>
      </c>
      <c r="G173" s="7">
        <f>COUNTIFS('Daily Production'!$A$5:$A$504,A173,'Daily Production'!$F$5:$F$504,B173)</f>
        <v>0</v>
      </c>
      <c r="H173" s="7">
        <f>SUMIFS('Daily Production'!$L$5:$L$504,'Daily Production'!$A$5:$A$504,A173,'Daily Production'!$F$5:$F$504,B173)</f>
        <v>0</v>
      </c>
      <c r="I173" s="7">
        <f>SUMIFS('Daily Production'!$J$5:$J$504,'Daily Production'!$A$5:$A$504,A173,'Daily Production'!$F$5:$F$504,B173)</f>
        <v>0</v>
      </c>
      <c r="J173" s="7">
        <f>SUMIFS('Daily Production'!$K$5:$K$504,'Daily Production'!$A$5:$A$504,A173,'Daily Production'!$F$5:$F$504,B173)</f>
        <v>0</v>
      </c>
      <c r="K173" s="13">
        <f>SUMIFS('Daily Production'!$Q$5:$Q$504,'Daily Production'!$A$5:$A$504,A173,'Daily Production'!$F$5:$F$504,B173)</f>
        <v>0</v>
      </c>
      <c r="L173" s="13">
        <f>IF(C173="Present",Settings!$B$5,IF(C173="Half Day",Settings!$B$5/2,0))</f>
        <v>0</v>
      </c>
    </row>
    <row r="174" ht="15.75" customHeight="1">
      <c r="A174" s="15"/>
      <c r="B174" s="7"/>
      <c r="C174" s="7"/>
      <c r="D174" s="16"/>
      <c r="E174" s="16"/>
      <c r="F174" s="7">
        <f t="shared" si="1"/>
        <v>0</v>
      </c>
      <c r="G174" s="7">
        <f>COUNTIFS('Daily Production'!$A$5:$A$504,A174,'Daily Production'!$F$5:$F$504,B174)</f>
        <v>0</v>
      </c>
      <c r="H174" s="7">
        <f>SUMIFS('Daily Production'!$L$5:$L$504,'Daily Production'!$A$5:$A$504,A174,'Daily Production'!$F$5:$F$504,B174)</f>
        <v>0</v>
      </c>
      <c r="I174" s="7">
        <f>SUMIFS('Daily Production'!$J$5:$J$504,'Daily Production'!$A$5:$A$504,A174,'Daily Production'!$F$5:$F$504,B174)</f>
        <v>0</v>
      </c>
      <c r="J174" s="7">
        <f>SUMIFS('Daily Production'!$K$5:$K$504,'Daily Production'!$A$5:$A$504,A174,'Daily Production'!$F$5:$F$504,B174)</f>
        <v>0</v>
      </c>
      <c r="K174" s="13">
        <f>SUMIFS('Daily Production'!$Q$5:$Q$504,'Daily Production'!$A$5:$A$504,A174,'Daily Production'!$F$5:$F$504,B174)</f>
        <v>0</v>
      </c>
      <c r="L174" s="13">
        <f>IF(C174="Present",Settings!$B$5,IF(C174="Half Day",Settings!$B$5/2,0))</f>
        <v>0</v>
      </c>
    </row>
    <row r="175" ht="15.75" customHeight="1">
      <c r="A175" s="15"/>
      <c r="B175" s="7"/>
      <c r="C175" s="7"/>
      <c r="D175" s="16"/>
      <c r="E175" s="16"/>
      <c r="F175" s="7">
        <f t="shared" si="1"/>
        <v>0</v>
      </c>
      <c r="G175" s="7">
        <f>COUNTIFS('Daily Production'!$A$5:$A$504,A175,'Daily Production'!$F$5:$F$504,B175)</f>
        <v>0</v>
      </c>
      <c r="H175" s="7">
        <f>SUMIFS('Daily Production'!$L$5:$L$504,'Daily Production'!$A$5:$A$504,A175,'Daily Production'!$F$5:$F$504,B175)</f>
        <v>0</v>
      </c>
      <c r="I175" s="7">
        <f>SUMIFS('Daily Production'!$J$5:$J$504,'Daily Production'!$A$5:$A$504,A175,'Daily Production'!$F$5:$F$504,B175)</f>
        <v>0</v>
      </c>
      <c r="J175" s="7">
        <f>SUMIFS('Daily Production'!$K$5:$K$504,'Daily Production'!$A$5:$A$504,A175,'Daily Production'!$F$5:$F$504,B175)</f>
        <v>0</v>
      </c>
      <c r="K175" s="13">
        <f>SUMIFS('Daily Production'!$Q$5:$Q$504,'Daily Production'!$A$5:$A$504,A175,'Daily Production'!$F$5:$F$504,B175)</f>
        <v>0</v>
      </c>
      <c r="L175" s="13">
        <f>IF(C175="Present",Settings!$B$5,IF(C175="Half Day",Settings!$B$5/2,0))</f>
        <v>0</v>
      </c>
    </row>
    <row r="176" ht="15.75" customHeight="1">
      <c r="A176" s="15"/>
      <c r="B176" s="7"/>
      <c r="C176" s="7"/>
      <c r="D176" s="16"/>
      <c r="E176" s="16"/>
      <c r="F176" s="7">
        <f t="shared" si="1"/>
        <v>0</v>
      </c>
      <c r="G176" s="7">
        <f>COUNTIFS('Daily Production'!$A$5:$A$504,A176,'Daily Production'!$F$5:$F$504,B176)</f>
        <v>0</v>
      </c>
      <c r="H176" s="7">
        <f>SUMIFS('Daily Production'!$L$5:$L$504,'Daily Production'!$A$5:$A$504,A176,'Daily Production'!$F$5:$F$504,B176)</f>
        <v>0</v>
      </c>
      <c r="I176" s="7">
        <f>SUMIFS('Daily Production'!$J$5:$J$504,'Daily Production'!$A$5:$A$504,A176,'Daily Production'!$F$5:$F$504,B176)</f>
        <v>0</v>
      </c>
      <c r="J176" s="7">
        <f>SUMIFS('Daily Production'!$K$5:$K$504,'Daily Production'!$A$5:$A$504,A176,'Daily Production'!$F$5:$F$504,B176)</f>
        <v>0</v>
      </c>
      <c r="K176" s="13">
        <f>SUMIFS('Daily Production'!$Q$5:$Q$504,'Daily Production'!$A$5:$A$504,A176,'Daily Production'!$F$5:$F$504,B176)</f>
        <v>0</v>
      </c>
      <c r="L176" s="13">
        <f>IF(C176="Present",Settings!$B$5,IF(C176="Half Day",Settings!$B$5/2,0))</f>
        <v>0</v>
      </c>
    </row>
    <row r="177" ht="15.75" customHeight="1">
      <c r="A177" s="15"/>
      <c r="B177" s="7"/>
      <c r="C177" s="7"/>
      <c r="D177" s="16"/>
      <c r="E177" s="16"/>
      <c r="F177" s="7">
        <f t="shared" si="1"/>
        <v>0</v>
      </c>
      <c r="G177" s="7">
        <f>COUNTIFS('Daily Production'!$A$5:$A$504,A177,'Daily Production'!$F$5:$F$504,B177)</f>
        <v>0</v>
      </c>
      <c r="H177" s="7">
        <f>SUMIFS('Daily Production'!$L$5:$L$504,'Daily Production'!$A$5:$A$504,A177,'Daily Production'!$F$5:$F$504,B177)</f>
        <v>0</v>
      </c>
      <c r="I177" s="7">
        <f>SUMIFS('Daily Production'!$J$5:$J$504,'Daily Production'!$A$5:$A$504,A177,'Daily Production'!$F$5:$F$504,B177)</f>
        <v>0</v>
      </c>
      <c r="J177" s="7">
        <f>SUMIFS('Daily Production'!$K$5:$K$504,'Daily Production'!$A$5:$A$504,A177,'Daily Production'!$F$5:$F$504,B177)</f>
        <v>0</v>
      </c>
      <c r="K177" s="13">
        <f>SUMIFS('Daily Production'!$Q$5:$Q$504,'Daily Production'!$A$5:$A$504,A177,'Daily Production'!$F$5:$F$504,B177)</f>
        <v>0</v>
      </c>
      <c r="L177" s="13">
        <f>IF(C177="Present",Settings!$B$5,IF(C177="Half Day",Settings!$B$5/2,0))</f>
        <v>0</v>
      </c>
    </row>
    <row r="178" ht="15.75" customHeight="1">
      <c r="A178" s="15"/>
      <c r="B178" s="7"/>
      <c r="C178" s="7"/>
      <c r="D178" s="16"/>
      <c r="E178" s="16"/>
      <c r="F178" s="7">
        <f t="shared" si="1"/>
        <v>0</v>
      </c>
      <c r="G178" s="7">
        <f>COUNTIFS('Daily Production'!$A$5:$A$504,A178,'Daily Production'!$F$5:$F$504,B178)</f>
        <v>0</v>
      </c>
      <c r="H178" s="7">
        <f>SUMIFS('Daily Production'!$L$5:$L$504,'Daily Production'!$A$5:$A$504,A178,'Daily Production'!$F$5:$F$504,B178)</f>
        <v>0</v>
      </c>
      <c r="I178" s="7">
        <f>SUMIFS('Daily Production'!$J$5:$J$504,'Daily Production'!$A$5:$A$504,A178,'Daily Production'!$F$5:$F$504,B178)</f>
        <v>0</v>
      </c>
      <c r="J178" s="7">
        <f>SUMIFS('Daily Production'!$K$5:$K$504,'Daily Production'!$A$5:$A$504,A178,'Daily Production'!$F$5:$F$504,B178)</f>
        <v>0</v>
      </c>
      <c r="K178" s="13">
        <f>SUMIFS('Daily Production'!$Q$5:$Q$504,'Daily Production'!$A$5:$A$504,A178,'Daily Production'!$F$5:$F$504,B178)</f>
        <v>0</v>
      </c>
      <c r="L178" s="13">
        <f>IF(C178="Present",Settings!$B$5,IF(C178="Half Day",Settings!$B$5/2,0))</f>
        <v>0</v>
      </c>
    </row>
    <row r="179" ht="15.75" customHeight="1">
      <c r="A179" s="15"/>
      <c r="B179" s="7"/>
      <c r="C179" s="7"/>
      <c r="D179" s="16"/>
      <c r="E179" s="16"/>
      <c r="F179" s="7">
        <f t="shared" si="1"/>
        <v>0</v>
      </c>
      <c r="G179" s="7">
        <f>COUNTIFS('Daily Production'!$A$5:$A$504,A179,'Daily Production'!$F$5:$F$504,B179)</f>
        <v>0</v>
      </c>
      <c r="H179" s="7">
        <f>SUMIFS('Daily Production'!$L$5:$L$504,'Daily Production'!$A$5:$A$504,A179,'Daily Production'!$F$5:$F$504,B179)</f>
        <v>0</v>
      </c>
      <c r="I179" s="7">
        <f>SUMIFS('Daily Production'!$J$5:$J$504,'Daily Production'!$A$5:$A$504,A179,'Daily Production'!$F$5:$F$504,B179)</f>
        <v>0</v>
      </c>
      <c r="J179" s="7">
        <f>SUMIFS('Daily Production'!$K$5:$K$504,'Daily Production'!$A$5:$A$504,A179,'Daily Production'!$F$5:$F$504,B179)</f>
        <v>0</v>
      </c>
      <c r="K179" s="13">
        <f>SUMIFS('Daily Production'!$Q$5:$Q$504,'Daily Production'!$A$5:$A$504,A179,'Daily Production'!$F$5:$F$504,B179)</f>
        <v>0</v>
      </c>
      <c r="L179" s="13">
        <f>IF(C179="Present",Settings!$B$5,IF(C179="Half Day",Settings!$B$5/2,0))</f>
        <v>0</v>
      </c>
    </row>
    <row r="180" ht="15.75" customHeight="1">
      <c r="A180" s="15"/>
      <c r="B180" s="7"/>
      <c r="C180" s="7"/>
      <c r="D180" s="16"/>
      <c r="E180" s="16"/>
      <c r="F180" s="7">
        <f t="shared" si="1"/>
        <v>0</v>
      </c>
      <c r="G180" s="7">
        <f>COUNTIFS('Daily Production'!$A$5:$A$504,A180,'Daily Production'!$F$5:$F$504,B180)</f>
        <v>0</v>
      </c>
      <c r="H180" s="7">
        <f>SUMIFS('Daily Production'!$L$5:$L$504,'Daily Production'!$A$5:$A$504,A180,'Daily Production'!$F$5:$F$504,B180)</f>
        <v>0</v>
      </c>
      <c r="I180" s="7">
        <f>SUMIFS('Daily Production'!$J$5:$J$504,'Daily Production'!$A$5:$A$504,A180,'Daily Production'!$F$5:$F$504,B180)</f>
        <v>0</v>
      </c>
      <c r="J180" s="7">
        <f>SUMIFS('Daily Production'!$K$5:$K$504,'Daily Production'!$A$5:$A$504,A180,'Daily Production'!$F$5:$F$504,B180)</f>
        <v>0</v>
      </c>
      <c r="K180" s="13">
        <f>SUMIFS('Daily Production'!$Q$5:$Q$504,'Daily Production'!$A$5:$A$504,A180,'Daily Production'!$F$5:$F$504,B180)</f>
        <v>0</v>
      </c>
      <c r="L180" s="13">
        <f>IF(C180="Present",Settings!$B$5,IF(C180="Half Day",Settings!$B$5/2,0))</f>
        <v>0</v>
      </c>
    </row>
    <row r="181" ht="15.75" customHeight="1">
      <c r="A181" s="15"/>
      <c r="B181" s="7"/>
      <c r="C181" s="7"/>
      <c r="D181" s="16"/>
      <c r="E181" s="16"/>
      <c r="F181" s="7">
        <f t="shared" si="1"/>
        <v>0</v>
      </c>
      <c r="G181" s="7">
        <f>COUNTIFS('Daily Production'!$A$5:$A$504,A181,'Daily Production'!$F$5:$F$504,B181)</f>
        <v>0</v>
      </c>
      <c r="H181" s="7">
        <f>SUMIFS('Daily Production'!$L$5:$L$504,'Daily Production'!$A$5:$A$504,A181,'Daily Production'!$F$5:$F$504,B181)</f>
        <v>0</v>
      </c>
      <c r="I181" s="7">
        <f>SUMIFS('Daily Production'!$J$5:$J$504,'Daily Production'!$A$5:$A$504,A181,'Daily Production'!$F$5:$F$504,B181)</f>
        <v>0</v>
      </c>
      <c r="J181" s="7">
        <f>SUMIFS('Daily Production'!$K$5:$K$504,'Daily Production'!$A$5:$A$504,A181,'Daily Production'!$F$5:$F$504,B181)</f>
        <v>0</v>
      </c>
      <c r="K181" s="13">
        <f>SUMIFS('Daily Production'!$Q$5:$Q$504,'Daily Production'!$A$5:$A$504,A181,'Daily Production'!$F$5:$F$504,B181)</f>
        <v>0</v>
      </c>
      <c r="L181" s="13">
        <f>IF(C181="Present",Settings!$B$5,IF(C181="Half Day",Settings!$B$5/2,0))</f>
        <v>0</v>
      </c>
    </row>
    <row r="182" ht="15.75" customHeight="1">
      <c r="A182" s="15"/>
      <c r="B182" s="7"/>
      <c r="C182" s="7"/>
      <c r="D182" s="16"/>
      <c r="E182" s="16"/>
      <c r="F182" s="7">
        <f t="shared" si="1"/>
        <v>0</v>
      </c>
      <c r="G182" s="7">
        <f>COUNTIFS('Daily Production'!$A$5:$A$504,A182,'Daily Production'!$F$5:$F$504,B182)</f>
        <v>0</v>
      </c>
      <c r="H182" s="7">
        <f>SUMIFS('Daily Production'!$L$5:$L$504,'Daily Production'!$A$5:$A$504,A182,'Daily Production'!$F$5:$F$504,B182)</f>
        <v>0</v>
      </c>
      <c r="I182" s="7">
        <f>SUMIFS('Daily Production'!$J$5:$J$504,'Daily Production'!$A$5:$A$504,A182,'Daily Production'!$F$5:$F$504,B182)</f>
        <v>0</v>
      </c>
      <c r="J182" s="7">
        <f>SUMIFS('Daily Production'!$K$5:$K$504,'Daily Production'!$A$5:$A$504,A182,'Daily Production'!$F$5:$F$504,B182)</f>
        <v>0</v>
      </c>
      <c r="K182" s="13">
        <f>SUMIFS('Daily Production'!$Q$5:$Q$504,'Daily Production'!$A$5:$A$504,A182,'Daily Production'!$F$5:$F$504,B182)</f>
        <v>0</v>
      </c>
      <c r="L182" s="13">
        <f>IF(C182="Present",Settings!$B$5,IF(C182="Half Day",Settings!$B$5/2,0))</f>
        <v>0</v>
      </c>
    </row>
    <row r="183" ht="15.75" customHeight="1">
      <c r="A183" s="15"/>
      <c r="B183" s="7"/>
      <c r="C183" s="7"/>
      <c r="D183" s="16"/>
      <c r="E183" s="16"/>
      <c r="F183" s="7">
        <f t="shared" si="1"/>
        <v>0</v>
      </c>
      <c r="G183" s="7">
        <f>COUNTIFS('Daily Production'!$A$5:$A$504,A183,'Daily Production'!$F$5:$F$504,B183)</f>
        <v>0</v>
      </c>
      <c r="H183" s="7">
        <f>SUMIFS('Daily Production'!$L$5:$L$504,'Daily Production'!$A$5:$A$504,A183,'Daily Production'!$F$5:$F$504,B183)</f>
        <v>0</v>
      </c>
      <c r="I183" s="7">
        <f>SUMIFS('Daily Production'!$J$5:$J$504,'Daily Production'!$A$5:$A$504,A183,'Daily Production'!$F$5:$F$504,B183)</f>
        <v>0</v>
      </c>
      <c r="J183" s="7">
        <f>SUMIFS('Daily Production'!$K$5:$K$504,'Daily Production'!$A$5:$A$504,A183,'Daily Production'!$F$5:$F$504,B183)</f>
        <v>0</v>
      </c>
      <c r="K183" s="13">
        <f>SUMIFS('Daily Production'!$Q$5:$Q$504,'Daily Production'!$A$5:$A$504,A183,'Daily Production'!$F$5:$F$504,B183)</f>
        <v>0</v>
      </c>
      <c r="L183" s="13">
        <f>IF(C183="Present",Settings!$B$5,IF(C183="Half Day",Settings!$B$5/2,0))</f>
        <v>0</v>
      </c>
    </row>
    <row r="184" ht="15.75" customHeight="1">
      <c r="A184" s="15"/>
      <c r="B184" s="7"/>
      <c r="C184" s="7"/>
      <c r="D184" s="16"/>
      <c r="E184" s="16"/>
      <c r="F184" s="7">
        <f t="shared" si="1"/>
        <v>0</v>
      </c>
      <c r="G184" s="7">
        <f>COUNTIFS('Daily Production'!$A$5:$A$504,A184,'Daily Production'!$F$5:$F$504,B184)</f>
        <v>0</v>
      </c>
      <c r="H184" s="7">
        <f>SUMIFS('Daily Production'!$L$5:$L$504,'Daily Production'!$A$5:$A$504,A184,'Daily Production'!$F$5:$F$504,B184)</f>
        <v>0</v>
      </c>
      <c r="I184" s="7">
        <f>SUMIFS('Daily Production'!$J$5:$J$504,'Daily Production'!$A$5:$A$504,A184,'Daily Production'!$F$5:$F$504,B184)</f>
        <v>0</v>
      </c>
      <c r="J184" s="7">
        <f>SUMIFS('Daily Production'!$K$5:$K$504,'Daily Production'!$A$5:$A$504,A184,'Daily Production'!$F$5:$F$504,B184)</f>
        <v>0</v>
      </c>
      <c r="K184" s="13">
        <f>SUMIFS('Daily Production'!$Q$5:$Q$504,'Daily Production'!$A$5:$A$504,A184,'Daily Production'!$F$5:$F$504,B184)</f>
        <v>0</v>
      </c>
      <c r="L184" s="13">
        <f>IF(C184="Present",Settings!$B$5,IF(C184="Half Day",Settings!$B$5/2,0))</f>
        <v>0</v>
      </c>
    </row>
    <row r="185" ht="15.75" customHeight="1">
      <c r="A185" s="15"/>
      <c r="B185" s="7"/>
      <c r="C185" s="7"/>
      <c r="D185" s="16"/>
      <c r="E185" s="16"/>
      <c r="F185" s="7">
        <f t="shared" si="1"/>
        <v>0</v>
      </c>
      <c r="G185" s="7">
        <f>COUNTIFS('Daily Production'!$A$5:$A$504,A185,'Daily Production'!$F$5:$F$504,B185)</f>
        <v>0</v>
      </c>
      <c r="H185" s="7">
        <f>SUMIFS('Daily Production'!$L$5:$L$504,'Daily Production'!$A$5:$A$504,A185,'Daily Production'!$F$5:$F$504,B185)</f>
        <v>0</v>
      </c>
      <c r="I185" s="7">
        <f>SUMIFS('Daily Production'!$J$5:$J$504,'Daily Production'!$A$5:$A$504,A185,'Daily Production'!$F$5:$F$504,B185)</f>
        <v>0</v>
      </c>
      <c r="J185" s="7">
        <f>SUMIFS('Daily Production'!$K$5:$K$504,'Daily Production'!$A$5:$A$504,A185,'Daily Production'!$F$5:$F$504,B185)</f>
        <v>0</v>
      </c>
      <c r="K185" s="13">
        <f>SUMIFS('Daily Production'!$Q$5:$Q$504,'Daily Production'!$A$5:$A$504,A185,'Daily Production'!$F$5:$F$504,B185)</f>
        <v>0</v>
      </c>
      <c r="L185" s="13">
        <f>IF(C185="Present",Settings!$B$5,IF(C185="Half Day",Settings!$B$5/2,0))</f>
        <v>0</v>
      </c>
    </row>
    <row r="186" ht="15.75" customHeight="1">
      <c r="A186" s="15"/>
      <c r="B186" s="7"/>
      <c r="C186" s="7"/>
      <c r="D186" s="16"/>
      <c r="E186" s="16"/>
      <c r="F186" s="7">
        <f t="shared" si="1"/>
        <v>0</v>
      </c>
      <c r="G186" s="7">
        <f>COUNTIFS('Daily Production'!$A$5:$A$504,A186,'Daily Production'!$F$5:$F$504,B186)</f>
        <v>0</v>
      </c>
      <c r="H186" s="7">
        <f>SUMIFS('Daily Production'!$L$5:$L$504,'Daily Production'!$A$5:$A$504,A186,'Daily Production'!$F$5:$F$504,B186)</f>
        <v>0</v>
      </c>
      <c r="I186" s="7">
        <f>SUMIFS('Daily Production'!$J$5:$J$504,'Daily Production'!$A$5:$A$504,A186,'Daily Production'!$F$5:$F$504,B186)</f>
        <v>0</v>
      </c>
      <c r="J186" s="7">
        <f>SUMIFS('Daily Production'!$K$5:$K$504,'Daily Production'!$A$5:$A$504,A186,'Daily Production'!$F$5:$F$504,B186)</f>
        <v>0</v>
      </c>
      <c r="K186" s="13">
        <f>SUMIFS('Daily Production'!$Q$5:$Q$504,'Daily Production'!$A$5:$A$504,A186,'Daily Production'!$F$5:$F$504,B186)</f>
        <v>0</v>
      </c>
      <c r="L186" s="13">
        <f>IF(C186="Present",Settings!$B$5,IF(C186="Half Day",Settings!$B$5/2,0))</f>
        <v>0</v>
      </c>
    </row>
    <row r="187" ht="15.75" customHeight="1">
      <c r="A187" s="15"/>
      <c r="B187" s="7"/>
      <c r="C187" s="7"/>
      <c r="D187" s="16"/>
      <c r="E187" s="16"/>
      <c r="F187" s="7">
        <f t="shared" si="1"/>
        <v>0</v>
      </c>
      <c r="G187" s="7">
        <f>COUNTIFS('Daily Production'!$A$5:$A$504,A187,'Daily Production'!$F$5:$F$504,B187)</f>
        <v>0</v>
      </c>
      <c r="H187" s="7">
        <f>SUMIFS('Daily Production'!$L$5:$L$504,'Daily Production'!$A$5:$A$504,A187,'Daily Production'!$F$5:$F$504,B187)</f>
        <v>0</v>
      </c>
      <c r="I187" s="7">
        <f>SUMIFS('Daily Production'!$J$5:$J$504,'Daily Production'!$A$5:$A$504,A187,'Daily Production'!$F$5:$F$504,B187)</f>
        <v>0</v>
      </c>
      <c r="J187" s="7">
        <f>SUMIFS('Daily Production'!$K$5:$K$504,'Daily Production'!$A$5:$A$504,A187,'Daily Production'!$F$5:$F$504,B187)</f>
        <v>0</v>
      </c>
      <c r="K187" s="13">
        <f>SUMIFS('Daily Production'!$Q$5:$Q$504,'Daily Production'!$A$5:$A$504,A187,'Daily Production'!$F$5:$F$504,B187)</f>
        <v>0</v>
      </c>
      <c r="L187" s="13">
        <f>IF(C187="Present",Settings!$B$5,IF(C187="Half Day",Settings!$B$5/2,0))</f>
        <v>0</v>
      </c>
    </row>
    <row r="188" ht="15.75" customHeight="1">
      <c r="A188" s="15"/>
      <c r="B188" s="7"/>
      <c r="C188" s="7"/>
      <c r="D188" s="16"/>
      <c r="E188" s="16"/>
      <c r="F188" s="7">
        <f t="shared" si="1"/>
        <v>0</v>
      </c>
      <c r="G188" s="7">
        <f>COUNTIFS('Daily Production'!$A$5:$A$504,A188,'Daily Production'!$F$5:$F$504,B188)</f>
        <v>0</v>
      </c>
      <c r="H188" s="7">
        <f>SUMIFS('Daily Production'!$L$5:$L$504,'Daily Production'!$A$5:$A$504,A188,'Daily Production'!$F$5:$F$504,B188)</f>
        <v>0</v>
      </c>
      <c r="I188" s="7">
        <f>SUMIFS('Daily Production'!$J$5:$J$504,'Daily Production'!$A$5:$A$504,A188,'Daily Production'!$F$5:$F$504,B188)</f>
        <v>0</v>
      </c>
      <c r="J188" s="7">
        <f>SUMIFS('Daily Production'!$K$5:$K$504,'Daily Production'!$A$5:$A$504,A188,'Daily Production'!$F$5:$F$504,B188)</f>
        <v>0</v>
      </c>
      <c r="K188" s="13">
        <f>SUMIFS('Daily Production'!$Q$5:$Q$504,'Daily Production'!$A$5:$A$504,A188,'Daily Production'!$F$5:$F$504,B188)</f>
        <v>0</v>
      </c>
      <c r="L188" s="13">
        <f>IF(C188="Present",Settings!$B$5,IF(C188="Half Day",Settings!$B$5/2,0))</f>
        <v>0</v>
      </c>
    </row>
    <row r="189" ht="15.75" customHeight="1">
      <c r="A189" s="15"/>
      <c r="B189" s="7"/>
      <c r="C189" s="7"/>
      <c r="D189" s="16"/>
      <c r="E189" s="16"/>
      <c r="F189" s="7">
        <f t="shared" si="1"/>
        <v>0</v>
      </c>
      <c r="G189" s="7">
        <f>COUNTIFS('Daily Production'!$A$5:$A$504,A189,'Daily Production'!$F$5:$F$504,B189)</f>
        <v>0</v>
      </c>
      <c r="H189" s="7">
        <f>SUMIFS('Daily Production'!$L$5:$L$504,'Daily Production'!$A$5:$A$504,A189,'Daily Production'!$F$5:$F$504,B189)</f>
        <v>0</v>
      </c>
      <c r="I189" s="7">
        <f>SUMIFS('Daily Production'!$J$5:$J$504,'Daily Production'!$A$5:$A$504,A189,'Daily Production'!$F$5:$F$504,B189)</f>
        <v>0</v>
      </c>
      <c r="J189" s="7">
        <f>SUMIFS('Daily Production'!$K$5:$K$504,'Daily Production'!$A$5:$A$504,A189,'Daily Production'!$F$5:$F$504,B189)</f>
        <v>0</v>
      </c>
      <c r="K189" s="13">
        <f>SUMIFS('Daily Production'!$Q$5:$Q$504,'Daily Production'!$A$5:$A$504,A189,'Daily Production'!$F$5:$F$504,B189)</f>
        <v>0</v>
      </c>
      <c r="L189" s="13">
        <f>IF(C189="Present",Settings!$B$5,IF(C189="Half Day",Settings!$B$5/2,0))</f>
        <v>0</v>
      </c>
    </row>
    <row r="190" ht="15.75" customHeight="1">
      <c r="A190" s="15"/>
      <c r="B190" s="7"/>
      <c r="C190" s="7"/>
      <c r="D190" s="16"/>
      <c r="E190" s="16"/>
      <c r="F190" s="7">
        <f t="shared" si="1"/>
        <v>0</v>
      </c>
      <c r="G190" s="7">
        <f>COUNTIFS('Daily Production'!$A$5:$A$504,A190,'Daily Production'!$F$5:$F$504,B190)</f>
        <v>0</v>
      </c>
      <c r="H190" s="7">
        <f>SUMIFS('Daily Production'!$L$5:$L$504,'Daily Production'!$A$5:$A$504,A190,'Daily Production'!$F$5:$F$504,B190)</f>
        <v>0</v>
      </c>
      <c r="I190" s="7">
        <f>SUMIFS('Daily Production'!$J$5:$J$504,'Daily Production'!$A$5:$A$504,A190,'Daily Production'!$F$5:$F$504,B190)</f>
        <v>0</v>
      </c>
      <c r="J190" s="7">
        <f>SUMIFS('Daily Production'!$K$5:$K$504,'Daily Production'!$A$5:$A$504,A190,'Daily Production'!$F$5:$F$504,B190)</f>
        <v>0</v>
      </c>
      <c r="K190" s="13">
        <f>SUMIFS('Daily Production'!$Q$5:$Q$504,'Daily Production'!$A$5:$A$504,A190,'Daily Production'!$F$5:$F$504,B190)</f>
        <v>0</v>
      </c>
      <c r="L190" s="13">
        <f>IF(C190="Present",Settings!$B$5,IF(C190="Half Day",Settings!$B$5/2,0))</f>
        <v>0</v>
      </c>
    </row>
    <row r="191" ht="15.75" customHeight="1">
      <c r="A191" s="15"/>
      <c r="B191" s="7"/>
      <c r="C191" s="7"/>
      <c r="D191" s="16"/>
      <c r="E191" s="16"/>
      <c r="F191" s="7">
        <f t="shared" si="1"/>
        <v>0</v>
      </c>
      <c r="G191" s="7">
        <f>COUNTIFS('Daily Production'!$A$5:$A$504,A191,'Daily Production'!$F$5:$F$504,B191)</f>
        <v>0</v>
      </c>
      <c r="H191" s="7">
        <f>SUMIFS('Daily Production'!$L$5:$L$504,'Daily Production'!$A$5:$A$504,A191,'Daily Production'!$F$5:$F$504,B191)</f>
        <v>0</v>
      </c>
      <c r="I191" s="7">
        <f>SUMIFS('Daily Production'!$J$5:$J$504,'Daily Production'!$A$5:$A$504,A191,'Daily Production'!$F$5:$F$504,B191)</f>
        <v>0</v>
      </c>
      <c r="J191" s="7">
        <f>SUMIFS('Daily Production'!$K$5:$K$504,'Daily Production'!$A$5:$A$504,A191,'Daily Production'!$F$5:$F$504,B191)</f>
        <v>0</v>
      </c>
      <c r="K191" s="13">
        <f>SUMIFS('Daily Production'!$Q$5:$Q$504,'Daily Production'!$A$5:$A$504,A191,'Daily Production'!$F$5:$F$504,B191)</f>
        <v>0</v>
      </c>
      <c r="L191" s="13">
        <f>IF(C191="Present",Settings!$B$5,IF(C191="Half Day",Settings!$B$5/2,0))</f>
        <v>0</v>
      </c>
    </row>
    <row r="192" ht="15.75" customHeight="1">
      <c r="A192" s="15"/>
      <c r="B192" s="7"/>
      <c r="C192" s="7"/>
      <c r="D192" s="16"/>
      <c r="E192" s="16"/>
      <c r="F192" s="7">
        <f t="shared" si="1"/>
        <v>0</v>
      </c>
      <c r="G192" s="7">
        <f>COUNTIFS('Daily Production'!$A$5:$A$504,A192,'Daily Production'!$F$5:$F$504,B192)</f>
        <v>0</v>
      </c>
      <c r="H192" s="7">
        <f>SUMIFS('Daily Production'!$L$5:$L$504,'Daily Production'!$A$5:$A$504,A192,'Daily Production'!$F$5:$F$504,B192)</f>
        <v>0</v>
      </c>
      <c r="I192" s="7">
        <f>SUMIFS('Daily Production'!$J$5:$J$504,'Daily Production'!$A$5:$A$504,A192,'Daily Production'!$F$5:$F$504,B192)</f>
        <v>0</v>
      </c>
      <c r="J192" s="7">
        <f>SUMIFS('Daily Production'!$K$5:$K$504,'Daily Production'!$A$5:$A$504,A192,'Daily Production'!$F$5:$F$504,B192)</f>
        <v>0</v>
      </c>
      <c r="K192" s="13">
        <f>SUMIFS('Daily Production'!$Q$5:$Q$504,'Daily Production'!$A$5:$A$504,A192,'Daily Production'!$F$5:$F$504,B192)</f>
        <v>0</v>
      </c>
      <c r="L192" s="13">
        <f>IF(C192="Present",Settings!$B$5,IF(C192="Half Day",Settings!$B$5/2,0))</f>
        <v>0</v>
      </c>
    </row>
    <row r="193" ht="15.75" customHeight="1">
      <c r="A193" s="15"/>
      <c r="B193" s="7"/>
      <c r="C193" s="7"/>
      <c r="D193" s="16"/>
      <c r="E193" s="16"/>
      <c r="F193" s="7">
        <f t="shared" si="1"/>
        <v>0</v>
      </c>
      <c r="G193" s="7">
        <f>COUNTIFS('Daily Production'!$A$5:$A$504,A193,'Daily Production'!$F$5:$F$504,B193)</f>
        <v>0</v>
      </c>
      <c r="H193" s="7">
        <f>SUMIFS('Daily Production'!$L$5:$L$504,'Daily Production'!$A$5:$A$504,A193,'Daily Production'!$F$5:$F$504,B193)</f>
        <v>0</v>
      </c>
      <c r="I193" s="7">
        <f>SUMIFS('Daily Production'!$J$5:$J$504,'Daily Production'!$A$5:$A$504,A193,'Daily Production'!$F$5:$F$504,B193)</f>
        <v>0</v>
      </c>
      <c r="J193" s="7">
        <f>SUMIFS('Daily Production'!$K$5:$K$504,'Daily Production'!$A$5:$A$504,A193,'Daily Production'!$F$5:$F$504,B193)</f>
        <v>0</v>
      </c>
      <c r="K193" s="13">
        <f>SUMIFS('Daily Production'!$Q$5:$Q$504,'Daily Production'!$A$5:$A$504,A193,'Daily Production'!$F$5:$F$504,B193)</f>
        <v>0</v>
      </c>
      <c r="L193" s="13">
        <f>IF(C193="Present",Settings!$B$5,IF(C193="Half Day",Settings!$B$5/2,0))</f>
        <v>0</v>
      </c>
    </row>
    <row r="194" ht="15.75" customHeight="1">
      <c r="A194" s="15"/>
      <c r="B194" s="7"/>
      <c r="C194" s="7"/>
      <c r="D194" s="16"/>
      <c r="E194" s="16"/>
      <c r="F194" s="7">
        <f t="shared" si="1"/>
        <v>0</v>
      </c>
      <c r="G194" s="7">
        <f>COUNTIFS('Daily Production'!$A$5:$A$504,A194,'Daily Production'!$F$5:$F$504,B194)</f>
        <v>0</v>
      </c>
      <c r="H194" s="7">
        <f>SUMIFS('Daily Production'!$L$5:$L$504,'Daily Production'!$A$5:$A$504,A194,'Daily Production'!$F$5:$F$504,B194)</f>
        <v>0</v>
      </c>
      <c r="I194" s="7">
        <f>SUMIFS('Daily Production'!$J$5:$J$504,'Daily Production'!$A$5:$A$504,A194,'Daily Production'!$F$5:$F$504,B194)</f>
        <v>0</v>
      </c>
      <c r="J194" s="7">
        <f>SUMIFS('Daily Production'!$K$5:$K$504,'Daily Production'!$A$5:$A$504,A194,'Daily Production'!$F$5:$F$504,B194)</f>
        <v>0</v>
      </c>
      <c r="K194" s="13">
        <f>SUMIFS('Daily Production'!$Q$5:$Q$504,'Daily Production'!$A$5:$A$504,A194,'Daily Production'!$F$5:$F$504,B194)</f>
        <v>0</v>
      </c>
      <c r="L194" s="13">
        <f>IF(C194="Present",Settings!$B$5,IF(C194="Half Day",Settings!$B$5/2,0))</f>
        <v>0</v>
      </c>
    </row>
    <row r="195" ht="15.75" customHeight="1">
      <c r="A195" s="15"/>
      <c r="B195" s="7"/>
      <c r="C195" s="7"/>
      <c r="D195" s="16"/>
      <c r="E195" s="16"/>
      <c r="F195" s="7">
        <f t="shared" si="1"/>
        <v>0</v>
      </c>
      <c r="G195" s="7">
        <f>COUNTIFS('Daily Production'!$A$5:$A$504,A195,'Daily Production'!$F$5:$F$504,B195)</f>
        <v>0</v>
      </c>
      <c r="H195" s="7">
        <f>SUMIFS('Daily Production'!$L$5:$L$504,'Daily Production'!$A$5:$A$504,A195,'Daily Production'!$F$5:$F$504,B195)</f>
        <v>0</v>
      </c>
      <c r="I195" s="7">
        <f>SUMIFS('Daily Production'!$J$5:$J$504,'Daily Production'!$A$5:$A$504,A195,'Daily Production'!$F$5:$F$504,B195)</f>
        <v>0</v>
      </c>
      <c r="J195" s="7">
        <f>SUMIFS('Daily Production'!$K$5:$K$504,'Daily Production'!$A$5:$A$504,A195,'Daily Production'!$F$5:$F$504,B195)</f>
        <v>0</v>
      </c>
      <c r="K195" s="13">
        <f>SUMIFS('Daily Production'!$Q$5:$Q$504,'Daily Production'!$A$5:$A$504,A195,'Daily Production'!$F$5:$F$504,B195)</f>
        <v>0</v>
      </c>
      <c r="L195" s="13">
        <f>IF(C195="Present",Settings!$B$5,IF(C195="Half Day",Settings!$B$5/2,0))</f>
        <v>0</v>
      </c>
    </row>
    <row r="196" ht="15.75" customHeight="1">
      <c r="A196" s="15"/>
      <c r="B196" s="7"/>
      <c r="C196" s="7"/>
      <c r="D196" s="16"/>
      <c r="E196" s="16"/>
      <c r="F196" s="7">
        <f t="shared" si="1"/>
        <v>0</v>
      </c>
      <c r="G196" s="7">
        <f>COUNTIFS('Daily Production'!$A$5:$A$504,A196,'Daily Production'!$F$5:$F$504,B196)</f>
        <v>0</v>
      </c>
      <c r="H196" s="7">
        <f>SUMIFS('Daily Production'!$L$5:$L$504,'Daily Production'!$A$5:$A$504,A196,'Daily Production'!$F$5:$F$504,B196)</f>
        <v>0</v>
      </c>
      <c r="I196" s="7">
        <f>SUMIFS('Daily Production'!$J$5:$J$504,'Daily Production'!$A$5:$A$504,A196,'Daily Production'!$F$5:$F$504,B196)</f>
        <v>0</v>
      </c>
      <c r="J196" s="7">
        <f>SUMIFS('Daily Production'!$K$5:$K$504,'Daily Production'!$A$5:$A$504,A196,'Daily Production'!$F$5:$F$504,B196)</f>
        <v>0</v>
      </c>
      <c r="K196" s="13">
        <f>SUMIFS('Daily Production'!$Q$5:$Q$504,'Daily Production'!$A$5:$A$504,A196,'Daily Production'!$F$5:$F$504,B196)</f>
        <v>0</v>
      </c>
      <c r="L196" s="13">
        <f>IF(C196="Present",Settings!$B$5,IF(C196="Half Day",Settings!$B$5/2,0))</f>
        <v>0</v>
      </c>
    </row>
    <row r="197" ht="15.75" customHeight="1">
      <c r="A197" s="15"/>
      <c r="B197" s="7"/>
      <c r="C197" s="7"/>
      <c r="D197" s="16"/>
      <c r="E197" s="16"/>
      <c r="F197" s="7">
        <f t="shared" si="1"/>
        <v>0</v>
      </c>
      <c r="G197" s="7">
        <f>COUNTIFS('Daily Production'!$A$5:$A$504,A197,'Daily Production'!$F$5:$F$504,B197)</f>
        <v>0</v>
      </c>
      <c r="H197" s="7">
        <f>SUMIFS('Daily Production'!$L$5:$L$504,'Daily Production'!$A$5:$A$504,A197,'Daily Production'!$F$5:$F$504,B197)</f>
        <v>0</v>
      </c>
      <c r="I197" s="7">
        <f>SUMIFS('Daily Production'!$J$5:$J$504,'Daily Production'!$A$5:$A$504,A197,'Daily Production'!$F$5:$F$504,B197)</f>
        <v>0</v>
      </c>
      <c r="J197" s="7">
        <f>SUMIFS('Daily Production'!$K$5:$K$504,'Daily Production'!$A$5:$A$504,A197,'Daily Production'!$F$5:$F$504,B197)</f>
        <v>0</v>
      </c>
      <c r="K197" s="13">
        <f>SUMIFS('Daily Production'!$Q$5:$Q$504,'Daily Production'!$A$5:$A$504,A197,'Daily Production'!$F$5:$F$504,B197)</f>
        <v>0</v>
      </c>
      <c r="L197" s="13">
        <f>IF(C197="Present",Settings!$B$5,IF(C197="Half Day",Settings!$B$5/2,0))</f>
        <v>0</v>
      </c>
    </row>
    <row r="198" ht="15.75" customHeight="1">
      <c r="A198" s="15"/>
      <c r="B198" s="7"/>
      <c r="C198" s="7"/>
      <c r="D198" s="16"/>
      <c r="E198" s="16"/>
      <c r="F198" s="7">
        <f t="shared" si="1"/>
        <v>0</v>
      </c>
      <c r="G198" s="7">
        <f>COUNTIFS('Daily Production'!$A$5:$A$504,A198,'Daily Production'!$F$5:$F$504,B198)</f>
        <v>0</v>
      </c>
      <c r="H198" s="7">
        <f>SUMIFS('Daily Production'!$L$5:$L$504,'Daily Production'!$A$5:$A$504,A198,'Daily Production'!$F$5:$F$504,B198)</f>
        <v>0</v>
      </c>
      <c r="I198" s="7">
        <f>SUMIFS('Daily Production'!$J$5:$J$504,'Daily Production'!$A$5:$A$504,A198,'Daily Production'!$F$5:$F$504,B198)</f>
        <v>0</v>
      </c>
      <c r="J198" s="7">
        <f>SUMIFS('Daily Production'!$K$5:$K$504,'Daily Production'!$A$5:$A$504,A198,'Daily Production'!$F$5:$F$504,B198)</f>
        <v>0</v>
      </c>
      <c r="K198" s="13">
        <f>SUMIFS('Daily Production'!$Q$5:$Q$504,'Daily Production'!$A$5:$A$504,A198,'Daily Production'!$F$5:$F$504,B198)</f>
        <v>0</v>
      </c>
      <c r="L198" s="13">
        <f>IF(C198="Present",Settings!$B$5,IF(C198="Half Day",Settings!$B$5/2,0))</f>
        <v>0</v>
      </c>
    </row>
    <row r="199" ht="15.75" customHeight="1">
      <c r="A199" s="15"/>
      <c r="B199" s="7"/>
      <c r="C199" s="7"/>
      <c r="D199" s="16"/>
      <c r="E199" s="16"/>
      <c r="F199" s="7">
        <f t="shared" si="1"/>
        <v>0</v>
      </c>
      <c r="G199" s="7">
        <f>COUNTIFS('Daily Production'!$A$5:$A$504,A199,'Daily Production'!$F$5:$F$504,B199)</f>
        <v>0</v>
      </c>
      <c r="H199" s="7">
        <f>SUMIFS('Daily Production'!$L$5:$L$504,'Daily Production'!$A$5:$A$504,A199,'Daily Production'!$F$5:$F$504,B199)</f>
        <v>0</v>
      </c>
      <c r="I199" s="7">
        <f>SUMIFS('Daily Production'!$J$5:$J$504,'Daily Production'!$A$5:$A$504,A199,'Daily Production'!$F$5:$F$504,B199)</f>
        <v>0</v>
      </c>
      <c r="J199" s="7">
        <f>SUMIFS('Daily Production'!$K$5:$K$504,'Daily Production'!$A$5:$A$504,A199,'Daily Production'!$F$5:$F$504,B199)</f>
        <v>0</v>
      </c>
      <c r="K199" s="13">
        <f>SUMIFS('Daily Production'!$Q$5:$Q$504,'Daily Production'!$A$5:$A$504,A199,'Daily Production'!$F$5:$F$504,B199)</f>
        <v>0</v>
      </c>
      <c r="L199" s="13">
        <f>IF(C199="Present",Settings!$B$5,IF(C199="Half Day",Settings!$B$5/2,0))</f>
        <v>0</v>
      </c>
    </row>
    <row r="200" ht="15.75" customHeight="1">
      <c r="A200" s="15"/>
      <c r="B200" s="7"/>
      <c r="C200" s="7"/>
      <c r="D200" s="16"/>
      <c r="E200" s="16"/>
      <c r="F200" s="7">
        <f t="shared" si="1"/>
        <v>0</v>
      </c>
      <c r="G200" s="7">
        <f>COUNTIFS('Daily Production'!$A$5:$A$504,A200,'Daily Production'!$F$5:$F$504,B200)</f>
        <v>0</v>
      </c>
      <c r="H200" s="7">
        <f>SUMIFS('Daily Production'!$L$5:$L$504,'Daily Production'!$A$5:$A$504,A200,'Daily Production'!$F$5:$F$504,B200)</f>
        <v>0</v>
      </c>
      <c r="I200" s="7">
        <f>SUMIFS('Daily Production'!$J$5:$J$504,'Daily Production'!$A$5:$A$504,A200,'Daily Production'!$F$5:$F$504,B200)</f>
        <v>0</v>
      </c>
      <c r="J200" s="7">
        <f>SUMIFS('Daily Production'!$K$5:$K$504,'Daily Production'!$A$5:$A$504,A200,'Daily Production'!$F$5:$F$504,B200)</f>
        <v>0</v>
      </c>
      <c r="K200" s="13">
        <f>SUMIFS('Daily Production'!$Q$5:$Q$504,'Daily Production'!$A$5:$A$504,A200,'Daily Production'!$F$5:$F$504,B200)</f>
        <v>0</v>
      </c>
      <c r="L200" s="13">
        <f>IF(C200="Present",Settings!$B$5,IF(C200="Half Day",Settings!$B$5/2,0))</f>
        <v>0</v>
      </c>
    </row>
    <row r="201" ht="15.75" customHeight="1">
      <c r="A201" s="15"/>
      <c r="B201" s="7"/>
      <c r="C201" s="7"/>
      <c r="D201" s="16"/>
      <c r="E201" s="16"/>
      <c r="F201" s="7">
        <f t="shared" si="1"/>
        <v>0</v>
      </c>
      <c r="G201" s="7">
        <f>COUNTIFS('Daily Production'!$A$5:$A$504,A201,'Daily Production'!$F$5:$F$504,B201)</f>
        <v>0</v>
      </c>
      <c r="H201" s="7">
        <f>SUMIFS('Daily Production'!$L$5:$L$504,'Daily Production'!$A$5:$A$504,A201,'Daily Production'!$F$5:$F$504,B201)</f>
        <v>0</v>
      </c>
      <c r="I201" s="7">
        <f>SUMIFS('Daily Production'!$J$5:$J$504,'Daily Production'!$A$5:$A$504,A201,'Daily Production'!$F$5:$F$504,B201)</f>
        <v>0</v>
      </c>
      <c r="J201" s="7">
        <f>SUMIFS('Daily Production'!$K$5:$K$504,'Daily Production'!$A$5:$A$504,A201,'Daily Production'!$F$5:$F$504,B201)</f>
        <v>0</v>
      </c>
      <c r="K201" s="13">
        <f>SUMIFS('Daily Production'!$Q$5:$Q$504,'Daily Production'!$A$5:$A$504,A201,'Daily Production'!$F$5:$F$504,B201)</f>
        <v>0</v>
      </c>
      <c r="L201" s="13">
        <f>IF(C201="Present",Settings!$B$5,IF(C201="Half Day",Settings!$B$5/2,0))</f>
        <v>0</v>
      </c>
    </row>
    <row r="202" ht="15.75" customHeight="1">
      <c r="A202" s="15"/>
      <c r="B202" s="7"/>
      <c r="C202" s="7"/>
      <c r="D202" s="16"/>
      <c r="E202" s="16"/>
      <c r="F202" s="7">
        <f t="shared" si="1"/>
        <v>0</v>
      </c>
      <c r="G202" s="7">
        <f>COUNTIFS('Daily Production'!$A$5:$A$504,A202,'Daily Production'!$F$5:$F$504,B202)</f>
        <v>0</v>
      </c>
      <c r="H202" s="7">
        <f>SUMIFS('Daily Production'!$L$5:$L$504,'Daily Production'!$A$5:$A$504,A202,'Daily Production'!$F$5:$F$504,B202)</f>
        <v>0</v>
      </c>
      <c r="I202" s="7">
        <f>SUMIFS('Daily Production'!$J$5:$J$504,'Daily Production'!$A$5:$A$504,A202,'Daily Production'!$F$5:$F$504,B202)</f>
        <v>0</v>
      </c>
      <c r="J202" s="7">
        <f>SUMIFS('Daily Production'!$K$5:$K$504,'Daily Production'!$A$5:$A$504,A202,'Daily Production'!$F$5:$F$504,B202)</f>
        <v>0</v>
      </c>
      <c r="K202" s="13">
        <f>SUMIFS('Daily Production'!$Q$5:$Q$504,'Daily Production'!$A$5:$A$504,A202,'Daily Production'!$F$5:$F$504,B202)</f>
        <v>0</v>
      </c>
      <c r="L202" s="13">
        <f>IF(C202="Present",Settings!$B$5,IF(C202="Half Day",Settings!$B$5/2,0))</f>
        <v>0</v>
      </c>
    </row>
    <row r="203" ht="15.75" customHeight="1">
      <c r="A203" s="15"/>
      <c r="B203" s="7"/>
      <c r="C203" s="7"/>
      <c r="D203" s="16"/>
      <c r="E203" s="16"/>
      <c r="F203" s="7">
        <f t="shared" si="1"/>
        <v>0</v>
      </c>
      <c r="G203" s="7">
        <f>COUNTIFS('Daily Production'!$A$5:$A$504,A203,'Daily Production'!$F$5:$F$504,B203)</f>
        <v>0</v>
      </c>
      <c r="H203" s="7">
        <f>SUMIFS('Daily Production'!$L$5:$L$504,'Daily Production'!$A$5:$A$504,A203,'Daily Production'!$F$5:$F$504,B203)</f>
        <v>0</v>
      </c>
      <c r="I203" s="7">
        <f>SUMIFS('Daily Production'!$J$5:$J$504,'Daily Production'!$A$5:$A$504,A203,'Daily Production'!$F$5:$F$504,B203)</f>
        <v>0</v>
      </c>
      <c r="J203" s="7">
        <f>SUMIFS('Daily Production'!$K$5:$K$504,'Daily Production'!$A$5:$A$504,A203,'Daily Production'!$F$5:$F$504,B203)</f>
        <v>0</v>
      </c>
      <c r="K203" s="13">
        <f>SUMIFS('Daily Production'!$Q$5:$Q$504,'Daily Production'!$A$5:$A$504,A203,'Daily Production'!$F$5:$F$504,B203)</f>
        <v>0</v>
      </c>
      <c r="L203" s="13">
        <f>IF(C203="Present",Settings!$B$5,IF(C203="Half Day",Settings!$B$5/2,0))</f>
        <v>0</v>
      </c>
    </row>
    <row r="204" ht="15.75" customHeight="1">
      <c r="A204" s="15"/>
      <c r="B204" s="7"/>
      <c r="C204" s="7"/>
      <c r="D204" s="16"/>
      <c r="E204" s="16"/>
      <c r="F204" s="7">
        <f t="shared" si="1"/>
        <v>0</v>
      </c>
      <c r="G204" s="7">
        <f>COUNTIFS('Daily Production'!$A$5:$A$504,A204,'Daily Production'!$F$5:$F$504,B204)</f>
        <v>0</v>
      </c>
      <c r="H204" s="7">
        <f>SUMIFS('Daily Production'!$L$5:$L$504,'Daily Production'!$A$5:$A$504,A204,'Daily Production'!$F$5:$F$504,B204)</f>
        <v>0</v>
      </c>
      <c r="I204" s="7">
        <f>SUMIFS('Daily Production'!$J$5:$J$504,'Daily Production'!$A$5:$A$504,A204,'Daily Production'!$F$5:$F$504,B204)</f>
        <v>0</v>
      </c>
      <c r="J204" s="7">
        <f>SUMIFS('Daily Production'!$K$5:$K$504,'Daily Production'!$A$5:$A$504,A204,'Daily Production'!$F$5:$F$504,B204)</f>
        <v>0</v>
      </c>
      <c r="K204" s="13">
        <f>SUMIFS('Daily Production'!$Q$5:$Q$504,'Daily Production'!$A$5:$A$504,A204,'Daily Production'!$F$5:$F$504,B204)</f>
        <v>0</v>
      </c>
      <c r="L204" s="13">
        <f>IF(C204="Present",Settings!$B$5,IF(C204="Half Day",Settings!$B$5/2,0))</f>
        <v>0</v>
      </c>
    </row>
    <row r="205" ht="15.75" customHeight="1">
      <c r="A205" s="15"/>
      <c r="B205" s="7"/>
      <c r="C205" s="7"/>
      <c r="D205" s="16"/>
      <c r="E205" s="16"/>
      <c r="F205" s="7">
        <f t="shared" si="1"/>
        <v>0</v>
      </c>
      <c r="G205" s="7">
        <f>COUNTIFS('Daily Production'!$A$5:$A$504,A205,'Daily Production'!$F$5:$F$504,B205)</f>
        <v>0</v>
      </c>
      <c r="H205" s="7">
        <f>SUMIFS('Daily Production'!$L$5:$L$504,'Daily Production'!$A$5:$A$504,A205,'Daily Production'!$F$5:$F$504,B205)</f>
        <v>0</v>
      </c>
      <c r="I205" s="7">
        <f>SUMIFS('Daily Production'!$J$5:$J$504,'Daily Production'!$A$5:$A$504,A205,'Daily Production'!$F$5:$F$504,B205)</f>
        <v>0</v>
      </c>
      <c r="J205" s="7">
        <f>SUMIFS('Daily Production'!$K$5:$K$504,'Daily Production'!$A$5:$A$504,A205,'Daily Production'!$F$5:$F$504,B205)</f>
        <v>0</v>
      </c>
      <c r="K205" s="13">
        <f>SUMIFS('Daily Production'!$Q$5:$Q$504,'Daily Production'!$A$5:$A$504,A205,'Daily Production'!$F$5:$F$504,B205)</f>
        <v>0</v>
      </c>
      <c r="L205" s="13">
        <f>IF(C205="Present",Settings!$B$5,IF(C205="Half Day",Settings!$B$5/2,0))</f>
        <v>0</v>
      </c>
    </row>
    <row r="206" ht="15.75" customHeight="1">
      <c r="A206" s="15"/>
      <c r="B206" s="7"/>
      <c r="C206" s="7"/>
      <c r="D206" s="16"/>
      <c r="E206" s="16"/>
      <c r="F206" s="7">
        <f t="shared" si="1"/>
        <v>0</v>
      </c>
      <c r="G206" s="7">
        <f>COUNTIFS('Daily Production'!$A$5:$A$504,A206,'Daily Production'!$F$5:$F$504,B206)</f>
        <v>0</v>
      </c>
      <c r="H206" s="7">
        <f>SUMIFS('Daily Production'!$L$5:$L$504,'Daily Production'!$A$5:$A$504,A206,'Daily Production'!$F$5:$F$504,B206)</f>
        <v>0</v>
      </c>
      <c r="I206" s="7">
        <f>SUMIFS('Daily Production'!$J$5:$J$504,'Daily Production'!$A$5:$A$504,A206,'Daily Production'!$F$5:$F$504,B206)</f>
        <v>0</v>
      </c>
      <c r="J206" s="7">
        <f>SUMIFS('Daily Production'!$K$5:$K$504,'Daily Production'!$A$5:$A$504,A206,'Daily Production'!$F$5:$F$504,B206)</f>
        <v>0</v>
      </c>
      <c r="K206" s="13">
        <f>SUMIFS('Daily Production'!$Q$5:$Q$504,'Daily Production'!$A$5:$A$504,A206,'Daily Production'!$F$5:$F$504,B206)</f>
        <v>0</v>
      </c>
      <c r="L206" s="13">
        <f>IF(C206="Present",Settings!$B$5,IF(C206="Half Day",Settings!$B$5/2,0))</f>
        <v>0</v>
      </c>
    </row>
    <row r="207" ht="15.75" customHeight="1">
      <c r="A207" s="15"/>
      <c r="B207" s="7"/>
      <c r="C207" s="7"/>
      <c r="D207" s="16"/>
      <c r="E207" s="16"/>
      <c r="F207" s="7">
        <f t="shared" si="1"/>
        <v>0</v>
      </c>
      <c r="G207" s="7">
        <f>COUNTIFS('Daily Production'!$A$5:$A$504,A207,'Daily Production'!$F$5:$F$504,B207)</f>
        <v>0</v>
      </c>
      <c r="H207" s="7">
        <f>SUMIFS('Daily Production'!$L$5:$L$504,'Daily Production'!$A$5:$A$504,A207,'Daily Production'!$F$5:$F$504,B207)</f>
        <v>0</v>
      </c>
      <c r="I207" s="7">
        <f>SUMIFS('Daily Production'!$J$5:$J$504,'Daily Production'!$A$5:$A$504,A207,'Daily Production'!$F$5:$F$504,B207)</f>
        <v>0</v>
      </c>
      <c r="J207" s="7">
        <f>SUMIFS('Daily Production'!$K$5:$K$504,'Daily Production'!$A$5:$A$504,A207,'Daily Production'!$F$5:$F$504,B207)</f>
        <v>0</v>
      </c>
      <c r="K207" s="13">
        <f>SUMIFS('Daily Production'!$Q$5:$Q$504,'Daily Production'!$A$5:$A$504,A207,'Daily Production'!$F$5:$F$504,B207)</f>
        <v>0</v>
      </c>
      <c r="L207" s="13">
        <f>IF(C207="Present",Settings!$B$5,IF(C207="Half Day",Settings!$B$5/2,0))</f>
        <v>0</v>
      </c>
    </row>
    <row r="208" ht="15.75" customHeight="1">
      <c r="A208" s="15"/>
      <c r="B208" s="7"/>
      <c r="C208" s="7"/>
      <c r="D208" s="16"/>
      <c r="E208" s="16"/>
      <c r="F208" s="7">
        <f t="shared" si="1"/>
        <v>0</v>
      </c>
      <c r="G208" s="7">
        <f>COUNTIFS('Daily Production'!$A$5:$A$504,A208,'Daily Production'!$F$5:$F$504,B208)</f>
        <v>0</v>
      </c>
      <c r="H208" s="7">
        <f>SUMIFS('Daily Production'!$L$5:$L$504,'Daily Production'!$A$5:$A$504,A208,'Daily Production'!$F$5:$F$504,B208)</f>
        <v>0</v>
      </c>
      <c r="I208" s="7">
        <f>SUMIFS('Daily Production'!$J$5:$J$504,'Daily Production'!$A$5:$A$504,A208,'Daily Production'!$F$5:$F$504,B208)</f>
        <v>0</v>
      </c>
      <c r="J208" s="7">
        <f>SUMIFS('Daily Production'!$K$5:$K$504,'Daily Production'!$A$5:$A$504,A208,'Daily Production'!$F$5:$F$504,B208)</f>
        <v>0</v>
      </c>
      <c r="K208" s="13">
        <f>SUMIFS('Daily Production'!$Q$5:$Q$504,'Daily Production'!$A$5:$A$504,A208,'Daily Production'!$F$5:$F$504,B208)</f>
        <v>0</v>
      </c>
      <c r="L208" s="13">
        <f>IF(C208="Present",Settings!$B$5,IF(C208="Half Day",Settings!$B$5/2,0))</f>
        <v>0</v>
      </c>
    </row>
    <row r="209" ht="15.75" customHeight="1">
      <c r="A209" s="15"/>
      <c r="B209" s="7"/>
      <c r="C209" s="7"/>
      <c r="D209" s="16"/>
      <c r="E209" s="16"/>
      <c r="F209" s="7">
        <f t="shared" si="1"/>
        <v>0</v>
      </c>
      <c r="G209" s="7">
        <f>COUNTIFS('Daily Production'!$A$5:$A$504,A209,'Daily Production'!$F$5:$F$504,B209)</f>
        <v>0</v>
      </c>
      <c r="H209" s="7">
        <f>SUMIFS('Daily Production'!$L$5:$L$504,'Daily Production'!$A$5:$A$504,A209,'Daily Production'!$F$5:$F$504,B209)</f>
        <v>0</v>
      </c>
      <c r="I209" s="7">
        <f>SUMIFS('Daily Production'!$J$5:$J$504,'Daily Production'!$A$5:$A$504,A209,'Daily Production'!$F$5:$F$504,B209)</f>
        <v>0</v>
      </c>
      <c r="J209" s="7">
        <f>SUMIFS('Daily Production'!$K$5:$K$504,'Daily Production'!$A$5:$A$504,A209,'Daily Production'!$F$5:$F$504,B209)</f>
        <v>0</v>
      </c>
      <c r="K209" s="13">
        <f>SUMIFS('Daily Production'!$Q$5:$Q$504,'Daily Production'!$A$5:$A$504,A209,'Daily Production'!$F$5:$F$504,B209)</f>
        <v>0</v>
      </c>
      <c r="L209" s="13">
        <f>IF(C209="Present",Settings!$B$5,IF(C209="Half Day",Settings!$B$5/2,0))</f>
        <v>0</v>
      </c>
    </row>
    <row r="210" ht="15.75" customHeight="1">
      <c r="A210" s="15"/>
      <c r="B210" s="7"/>
      <c r="C210" s="7"/>
      <c r="D210" s="16"/>
      <c r="E210" s="16"/>
      <c r="F210" s="7">
        <f t="shared" si="1"/>
        <v>0</v>
      </c>
      <c r="G210" s="7">
        <f>COUNTIFS('Daily Production'!$A$5:$A$504,A210,'Daily Production'!$F$5:$F$504,B210)</f>
        <v>0</v>
      </c>
      <c r="H210" s="7">
        <f>SUMIFS('Daily Production'!$L$5:$L$504,'Daily Production'!$A$5:$A$504,A210,'Daily Production'!$F$5:$F$504,B210)</f>
        <v>0</v>
      </c>
      <c r="I210" s="7">
        <f>SUMIFS('Daily Production'!$J$5:$J$504,'Daily Production'!$A$5:$A$504,A210,'Daily Production'!$F$5:$F$504,B210)</f>
        <v>0</v>
      </c>
      <c r="J210" s="7">
        <f>SUMIFS('Daily Production'!$K$5:$K$504,'Daily Production'!$A$5:$A$504,A210,'Daily Production'!$F$5:$F$504,B210)</f>
        <v>0</v>
      </c>
      <c r="K210" s="13">
        <f>SUMIFS('Daily Production'!$Q$5:$Q$504,'Daily Production'!$A$5:$A$504,A210,'Daily Production'!$F$5:$F$504,B210)</f>
        <v>0</v>
      </c>
      <c r="L210" s="13">
        <f>IF(C210="Present",Settings!$B$5,IF(C210="Half Day",Settings!$B$5/2,0))</f>
        <v>0</v>
      </c>
    </row>
    <row r="211" ht="15.75" customHeight="1">
      <c r="A211" s="15"/>
      <c r="B211" s="7"/>
      <c r="C211" s="7"/>
      <c r="D211" s="16"/>
      <c r="E211" s="16"/>
      <c r="F211" s="7">
        <f t="shared" si="1"/>
        <v>0</v>
      </c>
      <c r="G211" s="7">
        <f>COUNTIFS('Daily Production'!$A$5:$A$504,A211,'Daily Production'!$F$5:$F$504,B211)</f>
        <v>0</v>
      </c>
      <c r="H211" s="7">
        <f>SUMIFS('Daily Production'!$L$5:$L$504,'Daily Production'!$A$5:$A$504,A211,'Daily Production'!$F$5:$F$504,B211)</f>
        <v>0</v>
      </c>
      <c r="I211" s="7">
        <f>SUMIFS('Daily Production'!$J$5:$J$504,'Daily Production'!$A$5:$A$504,A211,'Daily Production'!$F$5:$F$504,B211)</f>
        <v>0</v>
      </c>
      <c r="J211" s="7">
        <f>SUMIFS('Daily Production'!$K$5:$K$504,'Daily Production'!$A$5:$A$504,A211,'Daily Production'!$F$5:$F$504,B211)</f>
        <v>0</v>
      </c>
      <c r="K211" s="13">
        <f>SUMIFS('Daily Production'!$Q$5:$Q$504,'Daily Production'!$A$5:$A$504,A211,'Daily Production'!$F$5:$F$504,B211)</f>
        <v>0</v>
      </c>
      <c r="L211" s="13">
        <f>IF(C211="Present",Settings!$B$5,IF(C211="Half Day",Settings!$B$5/2,0))</f>
        <v>0</v>
      </c>
    </row>
    <row r="212" ht="15.75" customHeight="1">
      <c r="A212" s="15"/>
      <c r="B212" s="7"/>
      <c r="C212" s="7"/>
      <c r="D212" s="16"/>
      <c r="E212" s="16"/>
      <c r="F212" s="7">
        <f t="shared" si="1"/>
        <v>0</v>
      </c>
      <c r="G212" s="7">
        <f>COUNTIFS('Daily Production'!$A$5:$A$504,A212,'Daily Production'!$F$5:$F$504,B212)</f>
        <v>0</v>
      </c>
      <c r="H212" s="7">
        <f>SUMIFS('Daily Production'!$L$5:$L$504,'Daily Production'!$A$5:$A$504,A212,'Daily Production'!$F$5:$F$504,B212)</f>
        <v>0</v>
      </c>
      <c r="I212" s="7">
        <f>SUMIFS('Daily Production'!$J$5:$J$504,'Daily Production'!$A$5:$A$504,A212,'Daily Production'!$F$5:$F$504,B212)</f>
        <v>0</v>
      </c>
      <c r="J212" s="7">
        <f>SUMIFS('Daily Production'!$K$5:$K$504,'Daily Production'!$A$5:$A$504,A212,'Daily Production'!$F$5:$F$504,B212)</f>
        <v>0</v>
      </c>
      <c r="K212" s="13">
        <f>SUMIFS('Daily Production'!$Q$5:$Q$504,'Daily Production'!$A$5:$A$504,A212,'Daily Production'!$F$5:$F$504,B212)</f>
        <v>0</v>
      </c>
      <c r="L212" s="13">
        <f>IF(C212="Present",Settings!$B$5,IF(C212="Half Day",Settings!$B$5/2,0))</f>
        <v>0</v>
      </c>
    </row>
    <row r="213" ht="15.75" customHeight="1">
      <c r="A213" s="15"/>
      <c r="B213" s="7"/>
      <c r="C213" s="7"/>
      <c r="D213" s="16"/>
      <c r="E213" s="16"/>
      <c r="F213" s="7">
        <f t="shared" si="1"/>
        <v>0</v>
      </c>
      <c r="G213" s="7">
        <f>COUNTIFS('Daily Production'!$A$5:$A$504,A213,'Daily Production'!$F$5:$F$504,B213)</f>
        <v>0</v>
      </c>
      <c r="H213" s="7">
        <f>SUMIFS('Daily Production'!$L$5:$L$504,'Daily Production'!$A$5:$A$504,A213,'Daily Production'!$F$5:$F$504,B213)</f>
        <v>0</v>
      </c>
      <c r="I213" s="7">
        <f>SUMIFS('Daily Production'!$J$5:$J$504,'Daily Production'!$A$5:$A$504,A213,'Daily Production'!$F$5:$F$504,B213)</f>
        <v>0</v>
      </c>
      <c r="J213" s="7">
        <f>SUMIFS('Daily Production'!$K$5:$K$504,'Daily Production'!$A$5:$A$504,A213,'Daily Production'!$F$5:$F$504,B213)</f>
        <v>0</v>
      </c>
      <c r="K213" s="13">
        <f>SUMIFS('Daily Production'!$Q$5:$Q$504,'Daily Production'!$A$5:$A$504,A213,'Daily Production'!$F$5:$F$504,B213)</f>
        <v>0</v>
      </c>
      <c r="L213" s="13">
        <f>IF(C213="Present",Settings!$B$5,IF(C213="Half Day",Settings!$B$5/2,0))</f>
        <v>0</v>
      </c>
    </row>
    <row r="214" ht="15.75" customHeight="1">
      <c r="A214" s="15"/>
      <c r="B214" s="7"/>
      <c r="C214" s="7"/>
      <c r="D214" s="16"/>
      <c r="E214" s="16"/>
      <c r="F214" s="7">
        <f t="shared" si="1"/>
        <v>0</v>
      </c>
      <c r="G214" s="7">
        <f>COUNTIFS('Daily Production'!$A$5:$A$504,A214,'Daily Production'!$F$5:$F$504,B214)</f>
        <v>0</v>
      </c>
      <c r="H214" s="7">
        <f>SUMIFS('Daily Production'!$L$5:$L$504,'Daily Production'!$A$5:$A$504,A214,'Daily Production'!$F$5:$F$504,B214)</f>
        <v>0</v>
      </c>
      <c r="I214" s="7">
        <f>SUMIFS('Daily Production'!$J$5:$J$504,'Daily Production'!$A$5:$A$504,A214,'Daily Production'!$F$5:$F$504,B214)</f>
        <v>0</v>
      </c>
      <c r="J214" s="7">
        <f>SUMIFS('Daily Production'!$K$5:$K$504,'Daily Production'!$A$5:$A$504,A214,'Daily Production'!$F$5:$F$504,B214)</f>
        <v>0</v>
      </c>
      <c r="K214" s="13">
        <f>SUMIFS('Daily Production'!$Q$5:$Q$504,'Daily Production'!$A$5:$A$504,A214,'Daily Production'!$F$5:$F$504,B214)</f>
        <v>0</v>
      </c>
      <c r="L214" s="13">
        <f>IF(C214="Present",Settings!$B$5,IF(C214="Half Day",Settings!$B$5/2,0))</f>
        <v>0</v>
      </c>
    </row>
    <row r="215" ht="15.75" customHeight="1">
      <c r="A215" s="15"/>
      <c r="B215" s="7"/>
      <c r="C215" s="7"/>
      <c r="D215" s="16"/>
      <c r="E215" s="16"/>
      <c r="F215" s="7">
        <f t="shared" si="1"/>
        <v>0</v>
      </c>
      <c r="G215" s="7">
        <f>COUNTIFS('Daily Production'!$A$5:$A$504,A215,'Daily Production'!$F$5:$F$504,B215)</f>
        <v>0</v>
      </c>
      <c r="H215" s="7">
        <f>SUMIFS('Daily Production'!$L$5:$L$504,'Daily Production'!$A$5:$A$504,A215,'Daily Production'!$F$5:$F$504,B215)</f>
        <v>0</v>
      </c>
      <c r="I215" s="7">
        <f>SUMIFS('Daily Production'!$J$5:$J$504,'Daily Production'!$A$5:$A$504,A215,'Daily Production'!$F$5:$F$504,B215)</f>
        <v>0</v>
      </c>
      <c r="J215" s="7">
        <f>SUMIFS('Daily Production'!$K$5:$K$504,'Daily Production'!$A$5:$A$504,A215,'Daily Production'!$F$5:$F$504,B215)</f>
        <v>0</v>
      </c>
      <c r="K215" s="13">
        <f>SUMIFS('Daily Production'!$Q$5:$Q$504,'Daily Production'!$A$5:$A$504,A215,'Daily Production'!$F$5:$F$504,B215)</f>
        <v>0</v>
      </c>
      <c r="L215" s="13">
        <f>IF(C215="Present",Settings!$B$5,IF(C215="Half Day",Settings!$B$5/2,0))</f>
        <v>0</v>
      </c>
    </row>
    <row r="216" ht="15.75" customHeight="1">
      <c r="A216" s="15"/>
      <c r="B216" s="7"/>
      <c r="C216" s="7"/>
      <c r="D216" s="16"/>
      <c r="E216" s="16"/>
      <c r="F216" s="7">
        <f t="shared" si="1"/>
        <v>0</v>
      </c>
      <c r="G216" s="7">
        <f>COUNTIFS('Daily Production'!$A$5:$A$504,A216,'Daily Production'!$F$5:$F$504,B216)</f>
        <v>0</v>
      </c>
      <c r="H216" s="7">
        <f>SUMIFS('Daily Production'!$L$5:$L$504,'Daily Production'!$A$5:$A$504,A216,'Daily Production'!$F$5:$F$504,B216)</f>
        <v>0</v>
      </c>
      <c r="I216" s="7">
        <f>SUMIFS('Daily Production'!$J$5:$J$504,'Daily Production'!$A$5:$A$504,A216,'Daily Production'!$F$5:$F$504,B216)</f>
        <v>0</v>
      </c>
      <c r="J216" s="7">
        <f>SUMIFS('Daily Production'!$K$5:$K$504,'Daily Production'!$A$5:$A$504,A216,'Daily Production'!$F$5:$F$504,B216)</f>
        <v>0</v>
      </c>
      <c r="K216" s="13">
        <f>SUMIFS('Daily Production'!$Q$5:$Q$504,'Daily Production'!$A$5:$A$504,A216,'Daily Production'!$F$5:$F$504,B216)</f>
        <v>0</v>
      </c>
      <c r="L216" s="13">
        <f>IF(C216="Present",Settings!$B$5,IF(C216="Half Day",Settings!$B$5/2,0))</f>
        <v>0</v>
      </c>
    </row>
    <row r="217" ht="15.75" customHeight="1">
      <c r="A217" s="15"/>
      <c r="B217" s="7"/>
      <c r="C217" s="7"/>
      <c r="D217" s="16"/>
      <c r="E217" s="16"/>
      <c r="F217" s="7">
        <f t="shared" si="1"/>
        <v>0</v>
      </c>
      <c r="G217" s="7">
        <f>COUNTIFS('Daily Production'!$A$5:$A$504,A217,'Daily Production'!$F$5:$F$504,B217)</f>
        <v>0</v>
      </c>
      <c r="H217" s="7">
        <f>SUMIFS('Daily Production'!$L$5:$L$504,'Daily Production'!$A$5:$A$504,A217,'Daily Production'!$F$5:$F$504,B217)</f>
        <v>0</v>
      </c>
      <c r="I217" s="7">
        <f>SUMIFS('Daily Production'!$J$5:$J$504,'Daily Production'!$A$5:$A$504,A217,'Daily Production'!$F$5:$F$504,B217)</f>
        <v>0</v>
      </c>
      <c r="J217" s="7">
        <f>SUMIFS('Daily Production'!$K$5:$K$504,'Daily Production'!$A$5:$A$504,A217,'Daily Production'!$F$5:$F$504,B217)</f>
        <v>0</v>
      </c>
      <c r="K217" s="13">
        <f>SUMIFS('Daily Production'!$Q$5:$Q$504,'Daily Production'!$A$5:$A$504,A217,'Daily Production'!$F$5:$F$504,B217)</f>
        <v>0</v>
      </c>
      <c r="L217" s="13">
        <f>IF(C217="Present",Settings!$B$5,IF(C217="Half Day",Settings!$B$5/2,0))</f>
        <v>0</v>
      </c>
    </row>
    <row r="218" ht="15.75" customHeight="1">
      <c r="A218" s="15"/>
      <c r="B218" s="7"/>
      <c r="C218" s="7"/>
      <c r="D218" s="16"/>
      <c r="E218" s="16"/>
      <c r="F218" s="7">
        <f t="shared" si="1"/>
        <v>0</v>
      </c>
      <c r="G218" s="7">
        <f>COUNTIFS('Daily Production'!$A$5:$A$504,A218,'Daily Production'!$F$5:$F$504,B218)</f>
        <v>0</v>
      </c>
      <c r="H218" s="7">
        <f>SUMIFS('Daily Production'!$L$5:$L$504,'Daily Production'!$A$5:$A$504,A218,'Daily Production'!$F$5:$F$504,B218)</f>
        <v>0</v>
      </c>
      <c r="I218" s="7">
        <f>SUMIFS('Daily Production'!$J$5:$J$504,'Daily Production'!$A$5:$A$504,A218,'Daily Production'!$F$5:$F$504,B218)</f>
        <v>0</v>
      </c>
      <c r="J218" s="7">
        <f>SUMIFS('Daily Production'!$K$5:$K$504,'Daily Production'!$A$5:$A$504,A218,'Daily Production'!$F$5:$F$504,B218)</f>
        <v>0</v>
      </c>
      <c r="K218" s="13">
        <f>SUMIFS('Daily Production'!$Q$5:$Q$504,'Daily Production'!$A$5:$A$504,A218,'Daily Production'!$F$5:$F$504,B218)</f>
        <v>0</v>
      </c>
      <c r="L218" s="13">
        <f>IF(C218="Present",Settings!$B$5,IF(C218="Half Day",Settings!$B$5/2,0))</f>
        <v>0</v>
      </c>
    </row>
    <row r="219" ht="15.75" customHeight="1">
      <c r="A219" s="15"/>
      <c r="B219" s="7"/>
      <c r="C219" s="7"/>
      <c r="D219" s="16"/>
      <c r="E219" s="16"/>
      <c r="F219" s="7">
        <f t="shared" si="1"/>
        <v>0</v>
      </c>
      <c r="G219" s="7">
        <f>COUNTIFS('Daily Production'!$A$5:$A$504,A219,'Daily Production'!$F$5:$F$504,B219)</f>
        <v>0</v>
      </c>
      <c r="H219" s="7">
        <f>SUMIFS('Daily Production'!$L$5:$L$504,'Daily Production'!$A$5:$A$504,A219,'Daily Production'!$F$5:$F$504,B219)</f>
        <v>0</v>
      </c>
      <c r="I219" s="7">
        <f>SUMIFS('Daily Production'!$J$5:$J$504,'Daily Production'!$A$5:$A$504,A219,'Daily Production'!$F$5:$F$504,B219)</f>
        <v>0</v>
      </c>
      <c r="J219" s="7">
        <f>SUMIFS('Daily Production'!$K$5:$K$504,'Daily Production'!$A$5:$A$504,A219,'Daily Production'!$F$5:$F$504,B219)</f>
        <v>0</v>
      </c>
      <c r="K219" s="13">
        <f>SUMIFS('Daily Production'!$Q$5:$Q$504,'Daily Production'!$A$5:$A$504,A219,'Daily Production'!$F$5:$F$504,B219)</f>
        <v>0</v>
      </c>
      <c r="L219" s="13">
        <f>IF(C219="Present",Settings!$B$5,IF(C219="Half Day",Settings!$B$5/2,0))</f>
        <v>0</v>
      </c>
    </row>
    <row r="220" ht="15.75" customHeight="1">
      <c r="A220" s="15"/>
      <c r="B220" s="7"/>
      <c r="C220" s="7"/>
      <c r="D220" s="16"/>
      <c r="E220" s="16"/>
      <c r="F220" s="7">
        <f t="shared" si="1"/>
        <v>0</v>
      </c>
      <c r="G220" s="7">
        <f>COUNTIFS('Daily Production'!$A$5:$A$504,A220,'Daily Production'!$F$5:$F$504,B220)</f>
        <v>0</v>
      </c>
      <c r="H220" s="7">
        <f>SUMIFS('Daily Production'!$L$5:$L$504,'Daily Production'!$A$5:$A$504,A220,'Daily Production'!$F$5:$F$504,B220)</f>
        <v>0</v>
      </c>
      <c r="I220" s="7">
        <f>SUMIFS('Daily Production'!$J$5:$J$504,'Daily Production'!$A$5:$A$504,A220,'Daily Production'!$F$5:$F$504,B220)</f>
        <v>0</v>
      </c>
      <c r="J220" s="7">
        <f>SUMIFS('Daily Production'!$K$5:$K$504,'Daily Production'!$A$5:$A$504,A220,'Daily Production'!$F$5:$F$504,B220)</f>
        <v>0</v>
      </c>
      <c r="K220" s="13">
        <f>SUMIFS('Daily Production'!$Q$5:$Q$504,'Daily Production'!$A$5:$A$504,A220,'Daily Production'!$F$5:$F$504,B220)</f>
        <v>0</v>
      </c>
      <c r="L220" s="13">
        <f>IF(C220="Present",Settings!$B$5,IF(C220="Half Day",Settings!$B$5/2,0))</f>
        <v>0</v>
      </c>
    </row>
    <row r="221" ht="15.75" customHeight="1">
      <c r="A221" s="15"/>
      <c r="B221" s="7"/>
      <c r="C221" s="7"/>
      <c r="D221" s="16"/>
      <c r="E221" s="16"/>
      <c r="F221" s="7">
        <f t="shared" si="1"/>
        <v>0</v>
      </c>
      <c r="G221" s="7">
        <f>COUNTIFS('Daily Production'!$A$5:$A$504,A221,'Daily Production'!$F$5:$F$504,B221)</f>
        <v>0</v>
      </c>
      <c r="H221" s="7">
        <f>SUMIFS('Daily Production'!$L$5:$L$504,'Daily Production'!$A$5:$A$504,A221,'Daily Production'!$F$5:$F$504,B221)</f>
        <v>0</v>
      </c>
      <c r="I221" s="7">
        <f>SUMIFS('Daily Production'!$J$5:$J$504,'Daily Production'!$A$5:$A$504,A221,'Daily Production'!$F$5:$F$504,B221)</f>
        <v>0</v>
      </c>
      <c r="J221" s="7">
        <f>SUMIFS('Daily Production'!$K$5:$K$504,'Daily Production'!$A$5:$A$504,A221,'Daily Production'!$F$5:$F$504,B221)</f>
        <v>0</v>
      </c>
      <c r="K221" s="13">
        <f>SUMIFS('Daily Production'!$Q$5:$Q$504,'Daily Production'!$A$5:$A$504,A221,'Daily Production'!$F$5:$F$504,B221)</f>
        <v>0</v>
      </c>
      <c r="L221" s="13">
        <f>IF(C221="Present",Settings!$B$5,IF(C221="Half Day",Settings!$B$5/2,0))</f>
        <v>0</v>
      </c>
    </row>
    <row r="222" ht="15.75" customHeight="1">
      <c r="A222" s="15"/>
      <c r="B222" s="7"/>
      <c r="C222" s="7"/>
      <c r="D222" s="16"/>
      <c r="E222" s="16"/>
      <c r="F222" s="7">
        <f t="shared" si="1"/>
        <v>0</v>
      </c>
      <c r="G222" s="7">
        <f>COUNTIFS('Daily Production'!$A$5:$A$504,A222,'Daily Production'!$F$5:$F$504,B222)</f>
        <v>0</v>
      </c>
      <c r="H222" s="7">
        <f>SUMIFS('Daily Production'!$L$5:$L$504,'Daily Production'!$A$5:$A$504,A222,'Daily Production'!$F$5:$F$504,B222)</f>
        <v>0</v>
      </c>
      <c r="I222" s="7">
        <f>SUMIFS('Daily Production'!$J$5:$J$504,'Daily Production'!$A$5:$A$504,A222,'Daily Production'!$F$5:$F$504,B222)</f>
        <v>0</v>
      </c>
      <c r="J222" s="7">
        <f>SUMIFS('Daily Production'!$K$5:$K$504,'Daily Production'!$A$5:$A$504,A222,'Daily Production'!$F$5:$F$504,B222)</f>
        <v>0</v>
      </c>
      <c r="K222" s="13">
        <f>SUMIFS('Daily Production'!$Q$5:$Q$504,'Daily Production'!$A$5:$A$504,A222,'Daily Production'!$F$5:$F$504,B222)</f>
        <v>0</v>
      </c>
      <c r="L222" s="13">
        <f>IF(C222="Present",Settings!$B$5,IF(C222="Half Day",Settings!$B$5/2,0))</f>
        <v>0</v>
      </c>
    </row>
    <row r="223" ht="15.75" customHeight="1">
      <c r="A223" s="15"/>
      <c r="B223" s="7"/>
      <c r="C223" s="7"/>
      <c r="D223" s="16"/>
      <c r="E223" s="16"/>
      <c r="F223" s="7">
        <f t="shared" si="1"/>
        <v>0</v>
      </c>
      <c r="G223" s="7">
        <f>COUNTIFS('Daily Production'!$A$5:$A$504,A223,'Daily Production'!$F$5:$F$504,B223)</f>
        <v>0</v>
      </c>
      <c r="H223" s="7">
        <f>SUMIFS('Daily Production'!$L$5:$L$504,'Daily Production'!$A$5:$A$504,A223,'Daily Production'!$F$5:$F$504,B223)</f>
        <v>0</v>
      </c>
      <c r="I223" s="7">
        <f>SUMIFS('Daily Production'!$J$5:$J$504,'Daily Production'!$A$5:$A$504,A223,'Daily Production'!$F$5:$F$504,B223)</f>
        <v>0</v>
      </c>
      <c r="J223" s="7">
        <f>SUMIFS('Daily Production'!$K$5:$K$504,'Daily Production'!$A$5:$A$504,A223,'Daily Production'!$F$5:$F$504,B223)</f>
        <v>0</v>
      </c>
      <c r="K223" s="13">
        <f>SUMIFS('Daily Production'!$Q$5:$Q$504,'Daily Production'!$A$5:$A$504,A223,'Daily Production'!$F$5:$F$504,B223)</f>
        <v>0</v>
      </c>
      <c r="L223" s="13">
        <f>IF(C223="Present",Settings!$B$5,IF(C223="Half Day",Settings!$B$5/2,0))</f>
        <v>0</v>
      </c>
    </row>
    <row r="224" ht="15.75" customHeight="1">
      <c r="A224" s="15"/>
      <c r="B224" s="7"/>
      <c r="C224" s="7"/>
      <c r="D224" s="16"/>
      <c r="E224" s="16"/>
      <c r="F224" s="7">
        <f t="shared" si="1"/>
        <v>0</v>
      </c>
      <c r="G224" s="7">
        <f>COUNTIFS('Daily Production'!$A$5:$A$504,A224,'Daily Production'!$F$5:$F$504,B224)</f>
        <v>0</v>
      </c>
      <c r="H224" s="7">
        <f>SUMIFS('Daily Production'!$L$5:$L$504,'Daily Production'!$A$5:$A$504,A224,'Daily Production'!$F$5:$F$504,B224)</f>
        <v>0</v>
      </c>
      <c r="I224" s="7">
        <f>SUMIFS('Daily Production'!$J$5:$J$504,'Daily Production'!$A$5:$A$504,A224,'Daily Production'!$F$5:$F$504,B224)</f>
        <v>0</v>
      </c>
      <c r="J224" s="7">
        <f>SUMIFS('Daily Production'!$K$5:$K$504,'Daily Production'!$A$5:$A$504,A224,'Daily Production'!$F$5:$F$504,B224)</f>
        <v>0</v>
      </c>
      <c r="K224" s="13">
        <f>SUMIFS('Daily Production'!$Q$5:$Q$504,'Daily Production'!$A$5:$A$504,A224,'Daily Production'!$F$5:$F$504,B224)</f>
        <v>0</v>
      </c>
      <c r="L224" s="13">
        <f>IF(C224="Present",Settings!$B$5,IF(C224="Half Day",Settings!$B$5/2,0))</f>
        <v>0</v>
      </c>
    </row>
    <row r="225" ht="15.75" customHeight="1">
      <c r="A225" s="15"/>
      <c r="B225" s="7"/>
      <c r="C225" s="7"/>
      <c r="D225" s="16"/>
      <c r="E225" s="16"/>
      <c r="F225" s="7">
        <f t="shared" si="1"/>
        <v>0</v>
      </c>
      <c r="G225" s="7">
        <f>COUNTIFS('Daily Production'!$A$5:$A$504,A225,'Daily Production'!$F$5:$F$504,B225)</f>
        <v>0</v>
      </c>
      <c r="H225" s="7">
        <f>SUMIFS('Daily Production'!$L$5:$L$504,'Daily Production'!$A$5:$A$504,A225,'Daily Production'!$F$5:$F$504,B225)</f>
        <v>0</v>
      </c>
      <c r="I225" s="7">
        <f>SUMIFS('Daily Production'!$J$5:$J$504,'Daily Production'!$A$5:$A$504,A225,'Daily Production'!$F$5:$F$504,B225)</f>
        <v>0</v>
      </c>
      <c r="J225" s="7">
        <f>SUMIFS('Daily Production'!$K$5:$K$504,'Daily Production'!$A$5:$A$504,A225,'Daily Production'!$F$5:$F$504,B225)</f>
        <v>0</v>
      </c>
      <c r="K225" s="13">
        <f>SUMIFS('Daily Production'!$Q$5:$Q$504,'Daily Production'!$A$5:$A$504,A225,'Daily Production'!$F$5:$F$504,B225)</f>
        <v>0</v>
      </c>
      <c r="L225" s="13">
        <f>IF(C225="Present",Settings!$B$5,IF(C225="Half Day",Settings!$B$5/2,0))</f>
        <v>0</v>
      </c>
    </row>
    <row r="226" ht="15.75" customHeight="1">
      <c r="A226" s="15"/>
      <c r="B226" s="7"/>
      <c r="C226" s="7"/>
      <c r="D226" s="16"/>
      <c r="E226" s="16"/>
      <c r="F226" s="7">
        <f t="shared" si="1"/>
        <v>0</v>
      </c>
      <c r="G226" s="7">
        <f>COUNTIFS('Daily Production'!$A$5:$A$504,A226,'Daily Production'!$F$5:$F$504,B226)</f>
        <v>0</v>
      </c>
      <c r="H226" s="7">
        <f>SUMIFS('Daily Production'!$L$5:$L$504,'Daily Production'!$A$5:$A$504,A226,'Daily Production'!$F$5:$F$504,B226)</f>
        <v>0</v>
      </c>
      <c r="I226" s="7">
        <f>SUMIFS('Daily Production'!$J$5:$J$504,'Daily Production'!$A$5:$A$504,A226,'Daily Production'!$F$5:$F$504,B226)</f>
        <v>0</v>
      </c>
      <c r="J226" s="7">
        <f>SUMIFS('Daily Production'!$K$5:$K$504,'Daily Production'!$A$5:$A$504,A226,'Daily Production'!$F$5:$F$504,B226)</f>
        <v>0</v>
      </c>
      <c r="K226" s="13">
        <f>SUMIFS('Daily Production'!$Q$5:$Q$504,'Daily Production'!$A$5:$A$504,A226,'Daily Production'!$F$5:$F$504,B226)</f>
        <v>0</v>
      </c>
      <c r="L226" s="13">
        <f>IF(C226="Present",Settings!$B$5,IF(C226="Half Day",Settings!$B$5/2,0))</f>
        <v>0</v>
      </c>
    </row>
    <row r="227" ht="15.75" customHeight="1">
      <c r="A227" s="15"/>
      <c r="B227" s="7"/>
      <c r="C227" s="7"/>
      <c r="D227" s="16"/>
      <c r="E227" s="16"/>
      <c r="F227" s="7">
        <f t="shared" si="1"/>
        <v>0</v>
      </c>
      <c r="G227" s="7">
        <f>COUNTIFS('Daily Production'!$A$5:$A$504,A227,'Daily Production'!$F$5:$F$504,B227)</f>
        <v>0</v>
      </c>
      <c r="H227" s="7">
        <f>SUMIFS('Daily Production'!$L$5:$L$504,'Daily Production'!$A$5:$A$504,A227,'Daily Production'!$F$5:$F$504,B227)</f>
        <v>0</v>
      </c>
      <c r="I227" s="7">
        <f>SUMIFS('Daily Production'!$J$5:$J$504,'Daily Production'!$A$5:$A$504,A227,'Daily Production'!$F$5:$F$504,B227)</f>
        <v>0</v>
      </c>
      <c r="J227" s="7">
        <f>SUMIFS('Daily Production'!$K$5:$K$504,'Daily Production'!$A$5:$A$504,A227,'Daily Production'!$F$5:$F$504,B227)</f>
        <v>0</v>
      </c>
      <c r="K227" s="13">
        <f>SUMIFS('Daily Production'!$Q$5:$Q$504,'Daily Production'!$A$5:$A$504,A227,'Daily Production'!$F$5:$F$504,B227)</f>
        <v>0</v>
      </c>
      <c r="L227" s="13">
        <f>IF(C227="Present",Settings!$B$5,IF(C227="Half Day",Settings!$B$5/2,0))</f>
        <v>0</v>
      </c>
    </row>
    <row r="228" ht="15.75" customHeight="1">
      <c r="A228" s="15"/>
      <c r="B228" s="7"/>
      <c r="C228" s="7"/>
      <c r="D228" s="16"/>
      <c r="E228" s="16"/>
      <c r="F228" s="7">
        <f t="shared" si="1"/>
        <v>0</v>
      </c>
      <c r="G228" s="7">
        <f>COUNTIFS('Daily Production'!$A$5:$A$504,A228,'Daily Production'!$F$5:$F$504,B228)</f>
        <v>0</v>
      </c>
      <c r="H228" s="7">
        <f>SUMIFS('Daily Production'!$L$5:$L$504,'Daily Production'!$A$5:$A$504,A228,'Daily Production'!$F$5:$F$504,B228)</f>
        <v>0</v>
      </c>
      <c r="I228" s="7">
        <f>SUMIFS('Daily Production'!$J$5:$J$504,'Daily Production'!$A$5:$A$504,A228,'Daily Production'!$F$5:$F$504,B228)</f>
        <v>0</v>
      </c>
      <c r="J228" s="7">
        <f>SUMIFS('Daily Production'!$K$5:$K$504,'Daily Production'!$A$5:$A$504,A228,'Daily Production'!$F$5:$F$504,B228)</f>
        <v>0</v>
      </c>
      <c r="K228" s="13">
        <f>SUMIFS('Daily Production'!$Q$5:$Q$504,'Daily Production'!$A$5:$A$504,A228,'Daily Production'!$F$5:$F$504,B228)</f>
        <v>0</v>
      </c>
      <c r="L228" s="13">
        <f>IF(C228="Present",Settings!$B$5,IF(C228="Half Day",Settings!$B$5/2,0))</f>
        <v>0</v>
      </c>
    </row>
    <row r="229" ht="15.75" customHeight="1">
      <c r="A229" s="15"/>
      <c r="B229" s="7"/>
      <c r="C229" s="7"/>
      <c r="D229" s="16"/>
      <c r="E229" s="16"/>
      <c r="F229" s="7">
        <f t="shared" si="1"/>
        <v>0</v>
      </c>
      <c r="G229" s="7">
        <f>COUNTIFS('Daily Production'!$A$5:$A$504,A229,'Daily Production'!$F$5:$F$504,B229)</f>
        <v>0</v>
      </c>
      <c r="H229" s="7">
        <f>SUMIFS('Daily Production'!$L$5:$L$504,'Daily Production'!$A$5:$A$504,A229,'Daily Production'!$F$5:$F$504,B229)</f>
        <v>0</v>
      </c>
      <c r="I229" s="7">
        <f>SUMIFS('Daily Production'!$J$5:$J$504,'Daily Production'!$A$5:$A$504,A229,'Daily Production'!$F$5:$F$504,B229)</f>
        <v>0</v>
      </c>
      <c r="J229" s="7">
        <f>SUMIFS('Daily Production'!$K$5:$K$504,'Daily Production'!$A$5:$A$504,A229,'Daily Production'!$F$5:$F$504,B229)</f>
        <v>0</v>
      </c>
      <c r="K229" s="13">
        <f>SUMIFS('Daily Production'!$Q$5:$Q$504,'Daily Production'!$A$5:$A$504,A229,'Daily Production'!$F$5:$F$504,B229)</f>
        <v>0</v>
      </c>
      <c r="L229" s="13">
        <f>IF(C229="Present",Settings!$B$5,IF(C229="Half Day",Settings!$B$5/2,0))</f>
        <v>0</v>
      </c>
    </row>
    <row r="230" ht="15.75" customHeight="1">
      <c r="A230" s="15"/>
      <c r="B230" s="7"/>
      <c r="C230" s="7"/>
      <c r="D230" s="16"/>
      <c r="E230" s="16"/>
      <c r="F230" s="7">
        <f t="shared" si="1"/>
        <v>0</v>
      </c>
      <c r="G230" s="7">
        <f>COUNTIFS('Daily Production'!$A$5:$A$504,A230,'Daily Production'!$F$5:$F$504,B230)</f>
        <v>0</v>
      </c>
      <c r="H230" s="7">
        <f>SUMIFS('Daily Production'!$L$5:$L$504,'Daily Production'!$A$5:$A$504,A230,'Daily Production'!$F$5:$F$504,B230)</f>
        <v>0</v>
      </c>
      <c r="I230" s="7">
        <f>SUMIFS('Daily Production'!$J$5:$J$504,'Daily Production'!$A$5:$A$504,A230,'Daily Production'!$F$5:$F$504,B230)</f>
        <v>0</v>
      </c>
      <c r="J230" s="7">
        <f>SUMIFS('Daily Production'!$K$5:$K$504,'Daily Production'!$A$5:$A$504,A230,'Daily Production'!$F$5:$F$504,B230)</f>
        <v>0</v>
      </c>
      <c r="K230" s="13">
        <f>SUMIFS('Daily Production'!$Q$5:$Q$504,'Daily Production'!$A$5:$A$504,A230,'Daily Production'!$F$5:$F$504,B230)</f>
        <v>0</v>
      </c>
      <c r="L230" s="13">
        <f>IF(C230="Present",Settings!$B$5,IF(C230="Half Day",Settings!$B$5/2,0))</f>
        <v>0</v>
      </c>
    </row>
    <row r="231" ht="15.75" customHeight="1">
      <c r="A231" s="15"/>
      <c r="B231" s="7"/>
      <c r="C231" s="7"/>
      <c r="D231" s="16"/>
      <c r="E231" s="16"/>
      <c r="F231" s="7">
        <f t="shared" si="1"/>
        <v>0</v>
      </c>
      <c r="G231" s="7">
        <f>COUNTIFS('Daily Production'!$A$5:$A$504,A231,'Daily Production'!$F$5:$F$504,B231)</f>
        <v>0</v>
      </c>
      <c r="H231" s="7">
        <f>SUMIFS('Daily Production'!$L$5:$L$504,'Daily Production'!$A$5:$A$504,A231,'Daily Production'!$F$5:$F$504,B231)</f>
        <v>0</v>
      </c>
      <c r="I231" s="7">
        <f>SUMIFS('Daily Production'!$J$5:$J$504,'Daily Production'!$A$5:$A$504,A231,'Daily Production'!$F$5:$F$504,B231)</f>
        <v>0</v>
      </c>
      <c r="J231" s="7">
        <f>SUMIFS('Daily Production'!$K$5:$K$504,'Daily Production'!$A$5:$A$504,A231,'Daily Production'!$F$5:$F$504,B231)</f>
        <v>0</v>
      </c>
      <c r="K231" s="13">
        <f>SUMIFS('Daily Production'!$Q$5:$Q$504,'Daily Production'!$A$5:$A$504,A231,'Daily Production'!$F$5:$F$504,B231)</f>
        <v>0</v>
      </c>
      <c r="L231" s="13">
        <f>IF(C231="Present",Settings!$B$5,IF(C231="Half Day",Settings!$B$5/2,0))</f>
        <v>0</v>
      </c>
    </row>
    <row r="232" ht="15.75" customHeight="1">
      <c r="A232" s="15"/>
      <c r="B232" s="7"/>
      <c r="C232" s="7"/>
      <c r="D232" s="16"/>
      <c r="E232" s="16"/>
      <c r="F232" s="7">
        <f t="shared" si="1"/>
        <v>0</v>
      </c>
      <c r="G232" s="7">
        <f>COUNTIFS('Daily Production'!$A$5:$A$504,A232,'Daily Production'!$F$5:$F$504,B232)</f>
        <v>0</v>
      </c>
      <c r="H232" s="7">
        <f>SUMIFS('Daily Production'!$L$5:$L$504,'Daily Production'!$A$5:$A$504,A232,'Daily Production'!$F$5:$F$504,B232)</f>
        <v>0</v>
      </c>
      <c r="I232" s="7">
        <f>SUMIFS('Daily Production'!$J$5:$J$504,'Daily Production'!$A$5:$A$504,A232,'Daily Production'!$F$5:$F$504,B232)</f>
        <v>0</v>
      </c>
      <c r="J232" s="7">
        <f>SUMIFS('Daily Production'!$K$5:$K$504,'Daily Production'!$A$5:$A$504,A232,'Daily Production'!$F$5:$F$504,B232)</f>
        <v>0</v>
      </c>
      <c r="K232" s="13">
        <f>SUMIFS('Daily Production'!$Q$5:$Q$504,'Daily Production'!$A$5:$A$504,A232,'Daily Production'!$F$5:$F$504,B232)</f>
        <v>0</v>
      </c>
      <c r="L232" s="13">
        <f>IF(C232="Present",Settings!$B$5,IF(C232="Half Day",Settings!$B$5/2,0))</f>
        <v>0</v>
      </c>
    </row>
    <row r="233" ht="15.75" customHeight="1">
      <c r="A233" s="15"/>
      <c r="B233" s="7"/>
      <c r="C233" s="7"/>
      <c r="D233" s="16"/>
      <c r="E233" s="16"/>
      <c r="F233" s="7">
        <f t="shared" si="1"/>
        <v>0</v>
      </c>
      <c r="G233" s="7">
        <f>COUNTIFS('Daily Production'!$A$5:$A$504,A233,'Daily Production'!$F$5:$F$504,B233)</f>
        <v>0</v>
      </c>
      <c r="H233" s="7">
        <f>SUMIFS('Daily Production'!$L$5:$L$504,'Daily Production'!$A$5:$A$504,A233,'Daily Production'!$F$5:$F$504,B233)</f>
        <v>0</v>
      </c>
      <c r="I233" s="7">
        <f>SUMIFS('Daily Production'!$J$5:$J$504,'Daily Production'!$A$5:$A$504,A233,'Daily Production'!$F$5:$F$504,B233)</f>
        <v>0</v>
      </c>
      <c r="J233" s="7">
        <f>SUMIFS('Daily Production'!$K$5:$K$504,'Daily Production'!$A$5:$A$504,A233,'Daily Production'!$F$5:$F$504,B233)</f>
        <v>0</v>
      </c>
      <c r="K233" s="13">
        <f>SUMIFS('Daily Production'!$Q$5:$Q$504,'Daily Production'!$A$5:$A$504,A233,'Daily Production'!$F$5:$F$504,B233)</f>
        <v>0</v>
      </c>
      <c r="L233" s="13">
        <f>IF(C233="Present",Settings!$B$5,IF(C233="Half Day",Settings!$B$5/2,0))</f>
        <v>0</v>
      </c>
    </row>
    <row r="234" ht="15.75" customHeight="1">
      <c r="A234" s="15"/>
      <c r="B234" s="7"/>
      <c r="C234" s="7"/>
      <c r="D234" s="16"/>
      <c r="E234" s="16"/>
      <c r="F234" s="7">
        <f t="shared" si="1"/>
        <v>0</v>
      </c>
      <c r="G234" s="7">
        <f>COUNTIFS('Daily Production'!$A$5:$A$504,A234,'Daily Production'!$F$5:$F$504,B234)</f>
        <v>0</v>
      </c>
      <c r="H234" s="7">
        <f>SUMIFS('Daily Production'!$L$5:$L$504,'Daily Production'!$A$5:$A$504,A234,'Daily Production'!$F$5:$F$504,B234)</f>
        <v>0</v>
      </c>
      <c r="I234" s="7">
        <f>SUMIFS('Daily Production'!$J$5:$J$504,'Daily Production'!$A$5:$A$504,A234,'Daily Production'!$F$5:$F$504,B234)</f>
        <v>0</v>
      </c>
      <c r="J234" s="7">
        <f>SUMIFS('Daily Production'!$K$5:$K$504,'Daily Production'!$A$5:$A$504,A234,'Daily Production'!$F$5:$F$504,B234)</f>
        <v>0</v>
      </c>
      <c r="K234" s="13">
        <f>SUMIFS('Daily Production'!$Q$5:$Q$504,'Daily Production'!$A$5:$A$504,A234,'Daily Production'!$F$5:$F$504,B234)</f>
        <v>0</v>
      </c>
      <c r="L234" s="13">
        <f>IF(C234="Present",Settings!$B$5,IF(C234="Half Day",Settings!$B$5/2,0))</f>
        <v>0</v>
      </c>
    </row>
    <row r="235" ht="15.75" customHeight="1">
      <c r="A235" s="15"/>
      <c r="B235" s="7"/>
      <c r="C235" s="7"/>
      <c r="D235" s="16"/>
      <c r="E235" s="16"/>
      <c r="F235" s="7">
        <f t="shared" si="1"/>
        <v>0</v>
      </c>
      <c r="G235" s="7">
        <f>COUNTIFS('Daily Production'!$A$5:$A$504,A235,'Daily Production'!$F$5:$F$504,B235)</f>
        <v>0</v>
      </c>
      <c r="H235" s="7">
        <f>SUMIFS('Daily Production'!$L$5:$L$504,'Daily Production'!$A$5:$A$504,A235,'Daily Production'!$F$5:$F$504,B235)</f>
        <v>0</v>
      </c>
      <c r="I235" s="7">
        <f>SUMIFS('Daily Production'!$J$5:$J$504,'Daily Production'!$A$5:$A$504,A235,'Daily Production'!$F$5:$F$504,B235)</f>
        <v>0</v>
      </c>
      <c r="J235" s="7">
        <f>SUMIFS('Daily Production'!$K$5:$K$504,'Daily Production'!$A$5:$A$504,A235,'Daily Production'!$F$5:$F$504,B235)</f>
        <v>0</v>
      </c>
      <c r="K235" s="13">
        <f>SUMIFS('Daily Production'!$Q$5:$Q$504,'Daily Production'!$A$5:$A$504,A235,'Daily Production'!$F$5:$F$504,B235)</f>
        <v>0</v>
      </c>
      <c r="L235" s="13">
        <f>IF(C235="Present",Settings!$B$5,IF(C235="Half Day",Settings!$B$5/2,0))</f>
        <v>0</v>
      </c>
    </row>
    <row r="236" ht="15.75" customHeight="1">
      <c r="A236" s="15"/>
      <c r="B236" s="7"/>
      <c r="C236" s="7"/>
      <c r="D236" s="16"/>
      <c r="E236" s="16"/>
      <c r="F236" s="7">
        <f t="shared" si="1"/>
        <v>0</v>
      </c>
      <c r="G236" s="7">
        <f>COUNTIFS('Daily Production'!$A$5:$A$504,A236,'Daily Production'!$F$5:$F$504,B236)</f>
        <v>0</v>
      </c>
      <c r="H236" s="7">
        <f>SUMIFS('Daily Production'!$L$5:$L$504,'Daily Production'!$A$5:$A$504,A236,'Daily Production'!$F$5:$F$504,B236)</f>
        <v>0</v>
      </c>
      <c r="I236" s="7">
        <f>SUMIFS('Daily Production'!$J$5:$J$504,'Daily Production'!$A$5:$A$504,A236,'Daily Production'!$F$5:$F$504,B236)</f>
        <v>0</v>
      </c>
      <c r="J236" s="7">
        <f>SUMIFS('Daily Production'!$K$5:$K$504,'Daily Production'!$A$5:$A$504,A236,'Daily Production'!$F$5:$F$504,B236)</f>
        <v>0</v>
      </c>
      <c r="K236" s="13">
        <f>SUMIFS('Daily Production'!$Q$5:$Q$504,'Daily Production'!$A$5:$A$504,A236,'Daily Production'!$F$5:$F$504,B236)</f>
        <v>0</v>
      </c>
      <c r="L236" s="13">
        <f>IF(C236="Present",Settings!$B$5,IF(C236="Half Day",Settings!$B$5/2,0))</f>
        <v>0</v>
      </c>
    </row>
    <row r="237" ht="15.75" customHeight="1">
      <c r="A237" s="15"/>
      <c r="B237" s="7"/>
      <c r="C237" s="7"/>
      <c r="D237" s="16"/>
      <c r="E237" s="16"/>
      <c r="F237" s="7">
        <f t="shared" si="1"/>
        <v>0</v>
      </c>
      <c r="G237" s="7">
        <f>COUNTIFS('Daily Production'!$A$5:$A$504,A237,'Daily Production'!$F$5:$F$504,B237)</f>
        <v>0</v>
      </c>
      <c r="H237" s="7">
        <f>SUMIFS('Daily Production'!$L$5:$L$504,'Daily Production'!$A$5:$A$504,A237,'Daily Production'!$F$5:$F$504,B237)</f>
        <v>0</v>
      </c>
      <c r="I237" s="7">
        <f>SUMIFS('Daily Production'!$J$5:$J$504,'Daily Production'!$A$5:$A$504,A237,'Daily Production'!$F$5:$F$504,B237)</f>
        <v>0</v>
      </c>
      <c r="J237" s="7">
        <f>SUMIFS('Daily Production'!$K$5:$K$504,'Daily Production'!$A$5:$A$504,A237,'Daily Production'!$F$5:$F$504,B237)</f>
        <v>0</v>
      </c>
      <c r="K237" s="13">
        <f>SUMIFS('Daily Production'!$Q$5:$Q$504,'Daily Production'!$A$5:$A$504,A237,'Daily Production'!$F$5:$F$504,B237)</f>
        <v>0</v>
      </c>
      <c r="L237" s="13">
        <f>IF(C237="Present",Settings!$B$5,IF(C237="Half Day",Settings!$B$5/2,0))</f>
        <v>0</v>
      </c>
    </row>
    <row r="238" ht="15.75" customHeight="1">
      <c r="A238" s="15"/>
      <c r="B238" s="7"/>
      <c r="C238" s="7"/>
      <c r="D238" s="16"/>
      <c r="E238" s="16"/>
      <c r="F238" s="7">
        <f t="shared" si="1"/>
        <v>0</v>
      </c>
      <c r="G238" s="7">
        <f>COUNTIFS('Daily Production'!$A$5:$A$504,A238,'Daily Production'!$F$5:$F$504,B238)</f>
        <v>0</v>
      </c>
      <c r="H238" s="7">
        <f>SUMIFS('Daily Production'!$L$5:$L$504,'Daily Production'!$A$5:$A$504,A238,'Daily Production'!$F$5:$F$504,B238)</f>
        <v>0</v>
      </c>
      <c r="I238" s="7">
        <f>SUMIFS('Daily Production'!$J$5:$J$504,'Daily Production'!$A$5:$A$504,A238,'Daily Production'!$F$5:$F$504,B238)</f>
        <v>0</v>
      </c>
      <c r="J238" s="7">
        <f>SUMIFS('Daily Production'!$K$5:$K$504,'Daily Production'!$A$5:$A$504,A238,'Daily Production'!$F$5:$F$504,B238)</f>
        <v>0</v>
      </c>
      <c r="K238" s="13">
        <f>SUMIFS('Daily Production'!$Q$5:$Q$504,'Daily Production'!$A$5:$A$504,A238,'Daily Production'!$F$5:$F$504,B238)</f>
        <v>0</v>
      </c>
      <c r="L238" s="13">
        <f>IF(C238="Present",Settings!$B$5,IF(C238="Half Day",Settings!$B$5/2,0))</f>
        <v>0</v>
      </c>
    </row>
    <row r="239" ht="15.75" customHeight="1">
      <c r="A239" s="15"/>
      <c r="B239" s="7"/>
      <c r="C239" s="7"/>
      <c r="D239" s="16"/>
      <c r="E239" s="16"/>
      <c r="F239" s="7">
        <f t="shared" si="1"/>
        <v>0</v>
      </c>
      <c r="G239" s="7">
        <f>COUNTIFS('Daily Production'!$A$5:$A$504,A239,'Daily Production'!$F$5:$F$504,B239)</f>
        <v>0</v>
      </c>
      <c r="H239" s="7">
        <f>SUMIFS('Daily Production'!$L$5:$L$504,'Daily Production'!$A$5:$A$504,A239,'Daily Production'!$F$5:$F$504,B239)</f>
        <v>0</v>
      </c>
      <c r="I239" s="7">
        <f>SUMIFS('Daily Production'!$J$5:$J$504,'Daily Production'!$A$5:$A$504,A239,'Daily Production'!$F$5:$F$504,B239)</f>
        <v>0</v>
      </c>
      <c r="J239" s="7">
        <f>SUMIFS('Daily Production'!$K$5:$K$504,'Daily Production'!$A$5:$A$504,A239,'Daily Production'!$F$5:$F$504,B239)</f>
        <v>0</v>
      </c>
      <c r="K239" s="13">
        <f>SUMIFS('Daily Production'!$Q$5:$Q$504,'Daily Production'!$A$5:$A$504,A239,'Daily Production'!$F$5:$F$504,B239)</f>
        <v>0</v>
      </c>
      <c r="L239" s="13">
        <f>IF(C239="Present",Settings!$B$5,IF(C239="Half Day",Settings!$B$5/2,0))</f>
        <v>0</v>
      </c>
    </row>
    <row r="240" ht="15.75" customHeight="1">
      <c r="A240" s="15"/>
      <c r="B240" s="7"/>
      <c r="C240" s="7"/>
      <c r="D240" s="16"/>
      <c r="E240" s="16"/>
      <c r="F240" s="7">
        <f t="shared" si="1"/>
        <v>0</v>
      </c>
      <c r="G240" s="7">
        <f>COUNTIFS('Daily Production'!$A$5:$A$504,A240,'Daily Production'!$F$5:$F$504,B240)</f>
        <v>0</v>
      </c>
      <c r="H240" s="7">
        <f>SUMIFS('Daily Production'!$L$5:$L$504,'Daily Production'!$A$5:$A$504,A240,'Daily Production'!$F$5:$F$504,B240)</f>
        <v>0</v>
      </c>
      <c r="I240" s="7">
        <f>SUMIFS('Daily Production'!$J$5:$J$504,'Daily Production'!$A$5:$A$504,A240,'Daily Production'!$F$5:$F$504,B240)</f>
        <v>0</v>
      </c>
      <c r="J240" s="7">
        <f>SUMIFS('Daily Production'!$K$5:$K$504,'Daily Production'!$A$5:$A$504,A240,'Daily Production'!$F$5:$F$504,B240)</f>
        <v>0</v>
      </c>
      <c r="K240" s="13">
        <f>SUMIFS('Daily Production'!$Q$5:$Q$504,'Daily Production'!$A$5:$A$504,A240,'Daily Production'!$F$5:$F$504,B240)</f>
        <v>0</v>
      </c>
      <c r="L240" s="13">
        <f>IF(C240="Present",Settings!$B$5,IF(C240="Half Day",Settings!$B$5/2,0))</f>
        <v>0</v>
      </c>
    </row>
    <row r="241" ht="15.75" customHeight="1">
      <c r="A241" s="15"/>
      <c r="B241" s="7"/>
      <c r="C241" s="7"/>
      <c r="D241" s="16"/>
      <c r="E241" s="16"/>
      <c r="F241" s="7">
        <f t="shared" si="1"/>
        <v>0</v>
      </c>
      <c r="G241" s="7">
        <f>COUNTIFS('Daily Production'!$A$5:$A$504,A241,'Daily Production'!$F$5:$F$504,B241)</f>
        <v>0</v>
      </c>
      <c r="H241" s="7">
        <f>SUMIFS('Daily Production'!$L$5:$L$504,'Daily Production'!$A$5:$A$504,A241,'Daily Production'!$F$5:$F$504,B241)</f>
        <v>0</v>
      </c>
      <c r="I241" s="7">
        <f>SUMIFS('Daily Production'!$J$5:$J$504,'Daily Production'!$A$5:$A$504,A241,'Daily Production'!$F$5:$F$504,B241)</f>
        <v>0</v>
      </c>
      <c r="J241" s="7">
        <f>SUMIFS('Daily Production'!$K$5:$K$504,'Daily Production'!$A$5:$A$504,A241,'Daily Production'!$F$5:$F$504,B241)</f>
        <v>0</v>
      </c>
      <c r="K241" s="13">
        <f>SUMIFS('Daily Production'!$Q$5:$Q$504,'Daily Production'!$A$5:$A$504,A241,'Daily Production'!$F$5:$F$504,B241)</f>
        <v>0</v>
      </c>
      <c r="L241" s="13">
        <f>IF(C241="Present",Settings!$B$5,IF(C241="Half Day",Settings!$B$5/2,0))</f>
        <v>0</v>
      </c>
    </row>
    <row r="242" ht="15.75" customHeight="1">
      <c r="A242" s="15"/>
      <c r="B242" s="7"/>
      <c r="C242" s="7"/>
      <c r="D242" s="16"/>
      <c r="E242" s="16"/>
      <c r="F242" s="7">
        <f t="shared" si="1"/>
        <v>0</v>
      </c>
      <c r="G242" s="7">
        <f>COUNTIFS('Daily Production'!$A$5:$A$504,A242,'Daily Production'!$F$5:$F$504,B242)</f>
        <v>0</v>
      </c>
      <c r="H242" s="7">
        <f>SUMIFS('Daily Production'!$L$5:$L$504,'Daily Production'!$A$5:$A$504,A242,'Daily Production'!$F$5:$F$504,B242)</f>
        <v>0</v>
      </c>
      <c r="I242" s="7">
        <f>SUMIFS('Daily Production'!$J$5:$J$504,'Daily Production'!$A$5:$A$504,A242,'Daily Production'!$F$5:$F$504,B242)</f>
        <v>0</v>
      </c>
      <c r="J242" s="7">
        <f>SUMIFS('Daily Production'!$K$5:$K$504,'Daily Production'!$A$5:$A$504,A242,'Daily Production'!$F$5:$F$504,B242)</f>
        <v>0</v>
      </c>
      <c r="K242" s="13">
        <f>SUMIFS('Daily Production'!$Q$5:$Q$504,'Daily Production'!$A$5:$A$504,A242,'Daily Production'!$F$5:$F$504,B242)</f>
        <v>0</v>
      </c>
      <c r="L242" s="13">
        <f>IF(C242="Present",Settings!$B$5,IF(C242="Half Day",Settings!$B$5/2,0))</f>
        <v>0</v>
      </c>
    </row>
    <row r="243" ht="15.75" customHeight="1">
      <c r="A243" s="15"/>
      <c r="B243" s="7"/>
      <c r="C243" s="7"/>
      <c r="D243" s="16"/>
      <c r="E243" s="16"/>
      <c r="F243" s="7">
        <f t="shared" si="1"/>
        <v>0</v>
      </c>
      <c r="G243" s="7">
        <f>COUNTIFS('Daily Production'!$A$5:$A$504,A243,'Daily Production'!$F$5:$F$504,B243)</f>
        <v>0</v>
      </c>
      <c r="H243" s="7">
        <f>SUMIFS('Daily Production'!$L$5:$L$504,'Daily Production'!$A$5:$A$504,A243,'Daily Production'!$F$5:$F$504,B243)</f>
        <v>0</v>
      </c>
      <c r="I243" s="7">
        <f>SUMIFS('Daily Production'!$J$5:$J$504,'Daily Production'!$A$5:$A$504,A243,'Daily Production'!$F$5:$F$504,B243)</f>
        <v>0</v>
      </c>
      <c r="J243" s="7">
        <f>SUMIFS('Daily Production'!$K$5:$K$504,'Daily Production'!$A$5:$A$504,A243,'Daily Production'!$F$5:$F$504,B243)</f>
        <v>0</v>
      </c>
      <c r="K243" s="13">
        <f>SUMIFS('Daily Production'!$Q$5:$Q$504,'Daily Production'!$A$5:$A$504,A243,'Daily Production'!$F$5:$F$504,B243)</f>
        <v>0</v>
      </c>
      <c r="L243" s="13">
        <f>IF(C243="Present",Settings!$B$5,IF(C243="Half Day",Settings!$B$5/2,0))</f>
        <v>0</v>
      </c>
    </row>
    <row r="244" ht="15.75" customHeight="1">
      <c r="A244" s="15"/>
      <c r="B244" s="7"/>
      <c r="C244" s="7"/>
      <c r="D244" s="16"/>
      <c r="E244" s="16"/>
      <c r="F244" s="7">
        <f t="shared" si="1"/>
        <v>0</v>
      </c>
      <c r="G244" s="7">
        <f>COUNTIFS('Daily Production'!$A$5:$A$504,A244,'Daily Production'!$F$5:$F$504,B244)</f>
        <v>0</v>
      </c>
      <c r="H244" s="7">
        <f>SUMIFS('Daily Production'!$L$5:$L$504,'Daily Production'!$A$5:$A$504,A244,'Daily Production'!$F$5:$F$504,B244)</f>
        <v>0</v>
      </c>
      <c r="I244" s="7">
        <f>SUMIFS('Daily Production'!$J$5:$J$504,'Daily Production'!$A$5:$A$504,A244,'Daily Production'!$F$5:$F$504,B244)</f>
        <v>0</v>
      </c>
      <c r="J244" s="7">
        <f>SUMIFS('Daily Production'!$K$5:$K$504,'Daily Production'!$A$5:$A$504,A244,'Daily Production'!$F$5:$F$504,B244)</f>
        <v>0</v>
      </c>
      <c r="K244" s="13">
        <f>SUMIFS('Daily Production'!$Q$5:$Q$504,'Daily Production'!$A$5:$A$504,A244,'Daily Production'!$F$5:$F$504,B244)</f>
        <v>0</v>
      </c>
      <c r="L244" s="13">
        <f>IF(C244="Present",Settings!$B$5,IF(C244="Half Day",Settings!$B$5/2,0))</f>
        <v>0</v>
      </c>
    </row>
    <row r="245" ht="15.75" customHeight="1">
      <c r="A245" s="15"/>
      <c r="B245" s="7"/>
      <c r="C245" s="7"/>
      <c r="D245" s="16"/>
      <c r="E245" s="16"/>
      <c r="F245" s="7">
        <f t="shared" si="1"/>
        <v>0</v>
      </c>
      <c r="G245" s="7">
        <f>COUNTIFS('Daily Production'!$A$5:$A$504,A245,'Daily Production'!$F$5:$F$504,B245)</f>
        <v>0</v>
      </c>
      <c r="H245" s="7">
        <f>SUMIFS('Daily Production'!$L$5:$L$504,'Daily Production'!$A$5:$A$504,A245,'Daily Production'!$F$5:$F$504,B245)</f>
        <v>0</v>
      </c>
      <c r="I245" s="7">
        <f>SUMIFS('Daily Production'!$J$5:$J$504,'Daily Production'!$A$5:$A$504,A245,'Daily Production'!$F$5:$F$504,B245)</f>
        <v>0</v>
      </c>
      <c r="J245" s="7">
        <f>SUMIFS('Daily Production'!$K$5:$K$504,'Daily Production'!$A$5:$A$504,A245,'Daily Production'!$F$5:$F$504,B245)</f>
        <v>0</v>
      </c>
      <c r="K245" s="13">
        <f>SUMIFS('Daily Production'!$Q$5:$Q$504,'Daily Production'!$A$5:$A$504,A245,'Daily Production'!$F$5:$F$504,B245)</f>
        <v>0</v>
      </c>
      <c r="L245" s="13">
        <f>IF(C245="Present",Settings!$B$5,IF(C245="Half Day",Settings!$B$5/2,0))</f>
        <v>0</v>
      </c>
    </row>
    <row r="246" ht="15.75" customHeight="1">
      <c r="A246" s="15"/>
      <c r="B246" s="7"/>
      <c r="C246" s="7"/>
      <c r="D246" s="16"/>
      <c r="E246" s="16"/>
      <c r="F246" s="7">
        <f t="shared" si="1"/>
        <v>0</v>
      </c>
      <c r="G246" s="7">
        <f>COUNTIFS('Daily Production'!$A$5:$A$504,A246,'Daily Production'!$F$5:$F$504,B246)</f>
        <v>0</v>
      </c>
      <c r="H246" s="7">
        <f>SUMIFS('Daily Production'!$L$5:$L$504,'Daily Production'!$A$5:$A$504,A246,'Daily Production'!$F$5:$F$504,B246)</f>
        <v>0</v>
      </c>
      <c r="I246" s="7">
        <f>SUMIFS('Daily Production'!$J$5:$J$504,'Daily Production'!$A$5:$A$504,A246,'Daily Production'!$F$5:$F$504,B246)</f>
        <v>0</v>
      </c>
      <c r="J246" s="7">
        <f>SUMIFS('Daily Production'!$K$5:$K$504,'Daily Production'!$A$5:$A$504,A246,'Daily Production'!$F$5:$F$504,B246)</f>
        <v>0</v>
      </c>
      <c r="K246" s="13">
        <f>SUMIFS('Daily Production'!$Q$5:$Q$504,'Daily Production'!$A$5:$A$504,A246,'Daily Production'!$F$5:$F$504,B246)</f>
        <v>0</v>
      </c>
      <c r="L246" s="13">
        <f>IF(C246="Present",Settings!$B$5,IF(C246="Half Day",Settings!$B$5/2,0))</f>
        <v>0</v>
      </c>
    </row>
    <row r="247" ht="15.75" customHeight="1">
      <c r="A247" s="15"/>
      <c r="B247" s="7"/>
      <c r="C247" s="7"/>
      <c r="D247" s="16"/>
      <c r="E247" s="16"/>
      <c r="F247" s="7">
        <f t="shared" si="1"/>
        <v>0</v>
      </c>
      <c r="G247" s="7">
        <f>COUNTIFS('Daily Production'!$A$5:$A$504,A247,'Daily Production'!$F$5:$F$504,B247)</f>
        <v>0</v>
      </c>
      <c r="H247" s="7">
        <f>SUMIFS('Daily Production'!$L$5:$L$504,'Daily Production'!$A$5:$A$504,A247,'Daily Production'!$F$5:$F$504,B247)</f>
        <v>0</v>
      </c>
      <c r="I247" s="7">
        <f>SUMIFS('Daily Production'!$J$5:$J$504,'Daily Production'!$A$5:$A$504,A247,'Daily Production'!$F$5:$F$504,B247)</f>
        <v>0</v>
      </c>
      <c r="J247" s="7">
        <f>SUMIFS('Daily Production'!$K$5:$K$504,'Daily Production'!$A$5:$A$504,A247,'Daily Production'!$F$5:$F$504,B247)</f>
        <v>0</v>
      </c>
      <c r="K247" s="13">
        <f>SUMIFS('Daily Production'!$Q$5:$Q$504,'Daily Production'!$A$5:$A$504,A247,'Daily Production'!$F$5:$F$504,B247)</f>
        <v>0</v>
      </c>
      <c r="L247" s="13">
        <f>IF(C247="Present",Settings!$B$5,IF(C247="Half Day",Settings!$B$5/2,0))</f>
        <v>0</v>
      </c>
    </row>
    <row r="248" ht="15.75" customHeight="1">
      <c r="A248" s="15"/>
      <c r="B248" s="7"/>
      <c r="C248" s="7"/>
      <c r="D248" s="16"/>
      <c r="E248" s="16"/>
      <c r="F248" s="7">
        <f t="shared" si="1"/>
        <v>0</v>
      </c>
      <c r="G248" s="7">
        <f>COUNTIFS('Daily Production'!$A$5:$A$504,A248,'Daily Production'!$F$5:$F$504,B248)</f>
        <v>0</v>
      </c>
      <c r="H248" s="7">
        <f>SUMIFS('Daily Production'!$L$5:$L$504,'Daily Production'!$A$5:$A$504,A248,'Daily Production'!$F$5:$F$504,B248)</f>
        <v>0</v>
      </c>
      <c r="I248" s="7">
        <f>SUMIFS('Daily Production'!$J$5:$J$504,'Daily Production'!$A$5:$A$504,A248,'Daily Production'!$F$5:$F$504,B248)</f>
        <v>0</v>
      </c>
      <c r="J248" s="7">
        <f>SUMIFS('Daily Production'!$K$5:$K$504,'Daily Production'!$A$5:$A$504,A248,'Daily Production'!$F$5:$F$504,B248)</f>
        <v>0</v>
      </c>
      <c r="K248" s="13">
        <f>SUMIFS('Daily Production'!$Q$5:$Q$504,'Daily Production'!$A$5:$A$504,A248,'Daily Production'!$F$5:$F$504,B248)</f>
        <v>0</v>
      </c>
      <c r="L248" s="13">
        <f>IF(C248="Present",Settings!$B$5,IF(C248="Half Day",Settings!$B$5/2,0))</f>
        <v>0</v>
      </c>
    </row>
    <row r="249" ht="15.75" customHeight="1">
      <c r="A249" s="15"/>
      <c r="B249" s="7"/>
      <c r="C249" s="7"/>
      <c r="D249" s="16"/>
      <c r="E249" s="16"/>
      <c r="F249" s="7">
        <f t="shared" si="1"/>
        <v>0</v>
      </c>
      <c r="G249" s="7">
        <f>COUNTIFS('Daily Production'!$A$5:$A$504,A249,'Daily Production'!$F$5:$F$504,B249)</f>
        <v>0</v>
      </c>
      <c r="H249" s="7">
        <f>SUMIFS('Daily Production'!$L$5:$L$504,'Daily Production'!$A$5:$A$504,A249,'Daily Production'!$F$5:$F$504,B249)</f>
        <v>0</v>
      </c>
      <c r="I249" s="7">
        <f>SUMIFS('Daily Production'!$J$5:$J$504,'Daily Production'!$A$5:$A$504,A249,'Daily Production'!$F$5:$F$504,B249)</f>
        <v>0</v>
      </c>
      <c r="J249" s="7">
        <f>SUMIFS('Daily Production'!$K$5:$K$504,'Daily Production'!$A$5:$A$504,A249,'Daily Production'!$F$5:$F$504,B249)</f>
        <v>0</v>
      </c>
      <c r="K249" s="13">
        <f>SUMIFS('Daily Production'!$Q$5:$Q$504,'Daily Production'!$A$5:$A$504,A249,'Daily Production'!$F$5:$F$504,B249)</f>
        <v>0</v>
      </c>
      <c r="L249" s="13">
        <f>IF(C249="Present",Settings!$B$5,IF(C249="Half Day",Settings!$B$5/2,0))</f>
        <v>0</v>
      </c>
    </row>
    <row r="250" ht="15.75" customHeight="1">
      <c r="A250" s="15"/>
      <c r="B250" s="7"/>
      <c r="C250" s="7"/>
      <c r="D250" s="16"/>
      <c r="E250" s="16"/>
      <c r="F250" s="7">
        <f t="shared" si="1"/>
        <v>0</v>
      </c>
      <c r="G250" s="7">
        <f>COUNTIFS('Daily Production'!$A$5:$A$504,A250,'Daily Production'!$F$5:$F$504,B250)</f>
        <v>0</v>
      </c>
      <c r="H250" s="7">
        <f>SUMIFS('Daily Production'!$L$5:$L$504,'Daily Production'!$A$5:$A$504,A250,'Daily Production'!$F$5:$F$504,B250)</f>
        <v>0</v>
      </c>
      <c r="I250" s="7">
        <f>SUMIFS('Daily Production'!$J$5:$J$504,'Daily Production'!$A$5:$A$504,A250,'Daily Production'!$F$5:$F$504,B250)</f>
        <v>0</v>
      </c>
      <c r="J250" s="7">
        <f>SUMIFS('Daily Production'!$K$5:$K$504,'Daily Production'!$A$5:$A$504,A250,'Daily Production'!$F$5:$F$504,B250)</f>
        <v>0</v>
      </c>
      <c r="K250" s="13">
        <f>SUMIFS('Daily Production'!$Q$5:$Q$504,'Daily Production'!$A$5:$A$504,A250,'Daily Production'!$F$5:$F$504,B250)</f>
        <v>0</v>
      </c>
      <c r="L250" s="13">
        <f>IF(C250="Present",Settings!$B$5,IF(C250="Half Day",Settings!$B$5/2,0))</f>
        <v>0</v>
      </c>
    </row>
    <row r="251" ht="15.75" customHeight="1">
      <c r="A251" s="15"/>
      <c r="B251" s="7"/>
      <c r="C251" s="7"/>
      <c r="D251" s="16"/>
      <c r="E251" s="16"/>
      <c r="F251" s="7">
        <f t="shared" si="1"/>
        <v>0</v>
      </c>
      <c r="G251" s="7">
        <f>COUNTIFS('Daily Production'!$A$5:$A$504,A251,'Daily Production'!$F$5:$F$504,B251)</f>
        <v>0</v>
      </c>
      <c r="H251" s="7">
        <f>SUMIFS('Daily Production'!$L$5:$L$504,'Daily Production'!$A$5:$A$504,A251,'Daily Production'!$F$5:$F$504,B251)</f>
        <v>0</v>
      </c>
      <c r="I251" s="7">
        <f>SUMIFS('Daily Production'!$J$5:$J$504,'Daily Production'!$A$5:$A$504,A251,'Daily Production'!$F$5:$F$504,B251)</f>
        <v>0</v>
      </c>
      <c r="J251" s="7">
        <f>SUMIFS('Daily Production'!$K$5:$K$504,'Daily Production'!$A$5:$A$504,A251,'Daily Production'!$F$5:$F$504,B251)</f>
        <v>0</v>
      </c>
      <c r="K251" s="13">
        <f>SUMIFS('Daily Production'!$Q$5:$Q$504,'Daily Production'!$A$5:$A$504,A251,'Daily Production'!$F$5:$F$504,B251)</f>
        <v>0</v>
      </c>
      <c r="L251" s="13">
        <f>IF(C251="Present",Settings!$B$5,IF(C251="Half Day",Settings!$B$5/2,0))</f>
        <v>0</v>
      </c>
    </row>
    <row r="252" ht="15.75" customHeight="1">
      <c r="A252" s="15"/>
      <c r="B252" s="7"/>
      <c r="C252" s="7"/>
      <c r="D252" s="16"/>
      <c r="E252" s="16"/>
      <c r="F252" s="7">
        <f t="shared" si="1"/>
        <v>0</v>
      </c>
      <c r="G252" s="7">
        <f>COUNTIFS('Daily Production'!$A$5:$A$504,A252,'Daily Production'!$F$5:$F$504,B252)</f>
        <v>0</v>
      </c>
      <c r="H252" s="7">
        <f>SUMIFS('Daily Production'!$L$5:$L$504,'Daily Production'!$A$5:$A$504,A252,'Daily Production'!$F$5:$F$504,B252)</f>
        <v>0</v>
      </c>
      <c r="I252" s="7">
        <f>SUMIFS('Daily Production'!$J$5:$J$504,'Daily Production'!$A$5:$A$504,A252,'Daily Production'!$F$5:$F$504,B252)</f>
        <v>0</v>
      </c>
      <c r="J252" s="7">
        <f>SUMIFS('Daily Production'!$K$5:$K$504,'Daily Production'!$A$5:$A$504,A252,'Daily Production'!$F$5:$F$504,B252)</f>
        <v>0</v>
      </c>
      <c r="K252" s="13">
        <f>SUMIFS('Daily Production'!$Q$5:$Q$504,'Daily Production'!$A$5:$A$504,A252,'Daily Production'!$F$5:$F$504,B252)</f>
        <v>0</v>
      </c>
      <c r="L252" s="13">
        <f>IF(C252="Present",Settings!$B$5,IF(C252="Half Day",Settings!$B$5/2,0))</f>
        <v>0</v>
      </c>
    </row>
    <row r="253" ht="15.75" customHeight="1">
      <c r="A253" s="15"/>
      <c r="B253" s="7"/>
      <c r="C253" s="7"/>
      <c r="D253" s="16"/>
      <c r="E253" s="16"/>
      <c r="F253" s="7">
        <f t="shared" si="1"/>
        <v>0</v>
      </c>
      <c r="G253" s="7">
        <f>COUNTIFS('Daily Production'!$A$5:$A$504,A253,'Daily Production'!$F$5:$F$504,B253)</f>
        <v>0</v>
      </c>
      <c r="H253" s="7">
        <f>SUMIFS('Daily Production'!$L$5:$L$504,'Daily Production'!$A$5:$A$504,A253,'Daily Production'!$F$5:$F$504,B253)</f>
        <v>0</v>
      </c>
      <c r="I253" s="7">
        <f>SUMIFS('Daily Production'!$J$5:$J$504,'Daily Production'!$A$5:$A$504,A253,'Daily Production'!$F$5:$F$504,B253)</f>
        <v>0</v>
      </c>
      <c r="J253" s="7">
        <f>SUMIFS('Daily Production'!$K$5:$K$504,'Daily Production'!$A$5:$A$504,A253,'Daily Production'!$F$5:$F$504,B253)</f>
        <v>0</v>
      </c>
      <c r="K253" s="13">
        <f>SUMIFS('Daily Production'!$Q$5:$Q$504,'Daily Production'!$A$5:$A$504,A253,'Daily Production'!$F$5:$F$504,B253)</f>
        <v>0</v>
      </c>
      <c r="L253" s="13">
        <f>IF(C253="Present",Settings!$B$5,IF(C253="Half Day",Settings!$B$5/2,0))</f>
        <v>0</v>
      </c>
    </row>
    <row r="254" ht="15.75" customHeight="1">
      <c r="A254" s="15"/>
      <c r="B254" s="7"/>
      <c r="C254" s="7"/>
      <c r="D254" s="16"/>
      <c r="E254" s="16"/>
      <c r="F254" s="7">
        <f t="shared" si="1"/>
        <v>0</v>
      </c>
      <c r="G254" s="7">
        <f>COUNTIFS('Daily Production'!$A$5:$A$504,A254,'Daily Production'!$F$5:$F$504,B254)</f>
        <v>0</v>
      </c>
      <c r="H254" s="7">
        <f>SUMIFS('Daily Production'!$L$5:$L$504,'Daily Production'!$A$5:$A$504,A254,'Daily Production'!$F$5:$F$504,B254)</f>
        <v>0</v>
      </c>
      <c r="I254" s="7">
        <f>SUMIFS('Daily Production'!$J$5:$J$504,'Daily Production'!$A$5:$A$504,A254,'Daily Production'!$F$5:$F$504,B254)</f>
        <v>0</v>
      </c>
      <c r="J254" s="7">
        <f>SUMIFS('Daily Production'!$K$5:$K$504,'Daily Production'!$A$5:$A$504,A254,'Daily Production'!$F$5:$F$504,B254)</f>
        <v>0</v>
      </c>
      <c r="K254" s="13">
        <f>SUMIFS('Daily Production'!$Q$5:$Q$504,'Daily Production'!$A$5:$A$504,A254,'Daily Production'!$F$5:$F$504,B254)</f>
        <v>0</v>
      </c>
      <c r="L254" s="13">
        <f>IF(C254="Present",Settings!$B$5,IF(C254="Half Day",Settings!$B$5/2,0))</f>
        <v>0</v>
      </c>
    </row>
    <row r="255" ht="15.75" customHeight="1">
      <c r="A255" s="15"/>
      <c r="B255" s="7"/>
      <c r="C255" s="7"/>
      <c r="D255" s="16"/>
      <c r="E255" s="16"/>
      <c r="F255" s="7">
        <f t="shared" si="1"/>
        <v>0</v>
      </c>
      <c r="G255" s="7">
        <f>COUNTIFS('Daily Production'!$A$5:$A$504,A255,'Daily Production'!$F$5:$F$504,B255)</f>
        <v>0</v>
      </c>
      <c r="H255" s="7">
        <f>SUMIFS('Daily Production'!$L$5:$L$504,'Daily Production'!$A$5:$A$504,A255,'Daily Production'!$F$5:$F$504,B255)</f>
        <v>0</v>
      </c>
      <c r="I255" s="7">
        <f>SUMIFS('Daily Production'!$J$5:$J$504,'Daily Production'!$A$5:$A$504,A255,'Daily Production'!$F$5:$F$504,B255)</f>
        <v>0</v>
      </c>
      <c r="J255" s="7">
        <f>SUMIFS('Daily Production'!$K$5:$K$504,'Daily Production'!$A$5:$A$504,A255,'Daily Production'!$F$5:$F$504,B255)</f>
        <v>0</v>
      </c>
      <c r="K255" s="13">
        <f>SUMIFS('Daily Production'!$Q$5:$Q$504,'Daily Production'!$A$5:$A$504,A255,'Daily Production'!$F$5:$F$504,B255)</f>
        <v>0</v>
      </c>
      <c r="L255" s="13">
        <f>IF(C255="Present",Settings!$B$5,IF(C255="Half Day",Settings!$B$5/2,0))</f>
        <v>0</v>
      </c>
    </row>
    <row r="256" ht="15.75" customHeight="1">
      <c r="A256" s="15"/>
      <c r="B256" s="7"/>
      <c r="C256" s="7"/>
      <c r="D256" s="16"/>
      <c r="E256" s="16"/>
      <c r="F256" s="7">
        <f t="shared" si="1"/>
        <v>0</v>
      </c>
      <c r="G256" s="7">
        <f>COUNTIFS('Daily Production'!$A$5:$A$504,A256,'Daily Production'!$F$5:$F$504,B256)</f>
        <v>0</v>
      </c>
      <c r="H256" s="7">
        <f>SUMIFS('Daily Production'!$L$5:$L$504,'Daily Production'!$A$5:$A$504,A256,'Daily Production'!$F$5:$F$504,B256)</f>
        <v>0</v>
      </c>
      <c r="I256" s="7">
        <f>SUMIFS('Daily Production'!$J$5:$J$504,'Daily Production'!$A$5:$A$504,A256,'Daily Production'!$F$5:$F$504,B256)</f>
        <v>0</v>
      </c>
      <c r="J256" s="7">
        <f>SUMIFS('Daily Production'!$K$5:$K$504,'Daily Production'!$A$5:$A$504,A256,'Daily Production'!$F$5:$F$504,B256)</f>
        <v>0</v>
      </c>
      <c r="K256" s="13">
        <f>SUMIFS('Daily Production'!$Q$5:$Q$504,'Daily Production'!$A$5:$A$504,A256,'Daily Production'!$F$5:$F$504,B256)</f>
        <v>0</v>
      </c>
      <c r="L256" s="13">
        <f>IF(C256="Present",Settings!$B$5,IF(C256="Half Day",Settings!$B$5/2,0))</f>
        <v>0</v>
      </c>
    </row>
    <row r="257" ht="15.75" customHeight="1">
      <c r="A257" s="15"/>
      <c r="B257" s="7"/>
      <c r="C257" s="7"/>
      <c r="D257" s="16"/>
      <c r="E257" s="16"/>
      <c r="F257" s="7">
        <f t="shared" si="1"/>
        <v>0</v>
      </c>
      <c r="G257" s="7">
        <f>COUNTIFS('Daily Production'!$A$5:$A$504,A257,'Daily Production'!$F$5:$F$504,B257)</f>
        <v>0</v>
      </c>
      <c r="H257" s="7">
        <f>SUMIFS('Daily Production'!$L$5:$L$504,'Daily Production'!$A$5:$A$504,A257,'Daily Production'!$F$5:$F$504,B257)</f>
        <v>0</v>
      </c>
      <c r="I257" s="7">
        <f>SUMIFS('Daily Production'!$J$5:$J$504,'Daily Production'!$A$5:$A$504,A257,'Daily Production'!$F$5:$F$504,B257)</f>
        <v>0</v>
      </c>
      <c r="J257" s="7">
        <f>SUMIFS('Daily Production'!$K$5:$K$504,'Daily Production'!$A$5:$A$504,A257,'Daily Production'!$F$5:$F$504,B257)</f>
        <v>0</v>
      </c>
      <c r="K257" s="13">
        <f>SUMIFS('Daily Production'!$Q$5:$Q$504,'Daily Production'!$A$5:$A$504,A257,'Daily Production'!$F$5:$F$504,B257)</f>
        <v>0</v>
      </c>
      <c r="L257" s="13">
        <f>IF(C257="Present",Settings!$B$5,IF(C257="Half Day",Settings!$B$5/2,0))</f>
        <v>0</v>
      </c>
    </row>
    <row r="258" ht="15.75" customHeight="1">
      <c r="A258" s="15"/>
      <c r="B258" s="7"/>
      <c r="C258" s="7"/>
      <c r="D258" s="16"/>
      <c r="E258" s="16"/>
      <c r="F258" s="7">
        <f t="shared" si="1"/>
        <v>0</v>
      </c>
      <c r="G258" s="7">
        <f>COUNTIFS('Daily Production'!$A$5:$A$504,A258,'Daily Production'!$F$5:$F$504,B258)</f>
        <v>0</v>
      </c>
      <c r="H258" s="7">
        <f>SUMIFS('Daily Production'!$L$5:$L$504,'Daily Production'!$A$5:$A$504,A258,'Daily Production'!$F$5:$F$504,B258)</f>
        <v>0</v>
      </c>
      <c r="I258" s="7">
        <f>SUMIFS('Daily Production'!$J$5:$J$504,'Daily Production'!$A$5:$A$504,A258,'Daily Production'!$F$5:$F$504,B258)</f>
        <v>0</v>
      </c>
      <c r="J258" s="7">
        <f>SUMIFS('Daily Production'!$K$5:$K$504,'Daily Production'!$A$5:$A$504,A258,'Daily Production'!$F$5:$F$504,B258)</f>
        <v>0</v>
      </c>
      <c r="K258" s="13">
        <f>SUMIFS('Daily Production'!$Q$5:$Q$504,'Daily Production'!$A$5:$A$504,A258,'Daily Production'!$F$5:$F$504,B258)</f>
        <v>0</v>
      </c>
      <c r="L258" s="13">
        <f>IF(C258="Present",Settings!$B$5,IF(C258="Half Day",Settings!$B$5/2,0))</f>
        <v>0</v>
      </c>
    </row>
    <row r="259" ht="15.75" customHeight="1">
      <c r="A259" s="15"/>
      <c r="B259" s="7"/>
      <c r="C259" s="7"/>
      <c r="D259" s="16"/>
      <c r="E259" s="16"/>
      <c r="F259" s="7">
        <f t="shared" si="1"/>
        <v>0</v>
      </c>
      <c r="G259" s="7">
        <f>COUNTIFS('Daily Production'!$A$5:$A$504,A259,'Daily Production'!$F$5:$F$504,B259)</f>
        <v>0</v>
      </c>
      <c r="H259" s="7">
        <f>SUMIFS('Daily Production'!$L$5:$L$504,'Daily Production'!$A$5:$A$504,A259,'Daily Production'!$F$5:$F$504,B259)</f>
        <v>0</v>
      </c>
      <c r="I259" s="7">
        <f>SUMIFS('Daily Production'!$J$5:$J$504,'Daily Production'!$A$5:$A$504,A259,'Daily Production'!$F$5:$F$504,B259)</f>
        <v>0</v>
      </c>
      <c r="J259" s="7">
        <f>SUMIFS('Daily Production'!$K$5:$K$504,'Daily Production'!$A$5:$A$504,A259,'Daily Production'!$F$5:$F$504,B259)</f>
        <v>0</v>
      </c>
      <c r="K259" s="13">
        <f>SUMIFS('Daily Production'!$Q$5:$Q$504,'Daily Production'!$A$5:$A$504,A259,'Daily Production'!$F$5:$F$504,B259)</f>
        <v>0</v>
      </c>
      <c r="L259" s="13">
        <f>IF(C259="Present",Settings!$B$5,IF(C259="Half Day",Settings!$B$5/2,0))</f>
        <v>0</v>
      </c>
    </row>
    <row r="260" ht="15.75" customHeight="1">
      <c r="A260" s="15"/>
      <c r="B260" s="7"/>
      <c r="C260" s="7"/>
      <c r="D260" s="16"/>
      <c r="E260" s="16"/>
      <c r="F260" s="7">
        <f t="shared" si="1"/>
        <v>0</v>
      </c>
      <c r="G260" s="7">
        <f>COUNTIFS('Daily Production'!$A$5:$A$504,A260,'Daily Production'!$F$5:$F$504,B260)</f>
        <v>0</v>
      </c>
      <c r="H260" s="7">
        <f>SUMIFS('Daily Production'!$L$5:$L$504,'Daily Production'!$A$5:$A$504,A260,'Daily Production'!$F$5:$F$504,B260)</f>
        <v>0</v>
      </c>
      <c r="I260" s="7">
        <f>SUMIFS('Daily Production'!$J$5:$J$504,'Daily Production'!$A$5:$A$504,A260,'Daily Production'!$F$5:$F$504,B260)</f>
        <v>0</v>
      </c>
      <c r="J260" s="7">
        <f>SUMIFS('Daily Production'!$K$5:$K$504,'Daily Production'!$A$5:$A$504,A260,'Daily Production'!$F$5:$F$504,B260)</f>
        <v>0</v>
      </c>
      <c r="K260" s="13">
        <f>SUMIFS('Daily Production'!$Q$5:$Q$504,'Daily Production'!$A$5:$A$504,A260,'Daily Production'!$F$5:$F$504,B260)</f>
        <v>0</v>
      </c>
      <c r="L260" s="13">
        <f>IF(C260="Present",Settings!$B$5,IF(C260="Half Day",Settings!$B$5/2,0))</f>
        <v>0</v>
      </c>
    </row>
    <row r="261" ht="15.75" customHeight="1">
      <c r="A261" s="15"/>
      <c r="B261" s="7"/>
      <c r="C261" s="7"/>
      <c r="D261" s="16"/>
      <c r="E261" s="16"/>
      <c r="F261" s="7">
        <f t="shared" si="1"/>
        <v>0</v>
      </c>
      <c r="G261" s="7">
        <f>COUNTIFS('Daily Production'!$A$5:$A$504,A261,'Daily Production'!$F$5:$F$504,B261)</f>
        <v>0</v>
      </c>
      <c r="H261" s="7">
        <f>SUMIFS('Daily Production'!$L$5:$L$504,'Daily Production'!$A$5:$A$504,A261,'Daily Production'!$F$5:$F$504,B261)</f>
        <v>0</v>
      </c>
      <c r="I261" s="7">
        <f>SUMIFS('Daily Production'!$J$5:$J$504,'Daily Production'!$A$5:$A$504,A261,'Daily Production'!$F$5:$F$504,B261)</f>
        <v>0</v>
      </c>
      <c r="J261" s="7">
        <f>SUMIFS('Daily Production'!$K$5:$K$504,'Daily Production'!$A$5:$A$504,A261,'Daily Production'!$F$5:$F$504,B261)</f>
        <v>0</v>
      </c>
      <c r="K261" s="13">
        <f>SUMIFS('Daily Production'!$Q$5:$Q$504,'Daily Production'!$A$5:$A$504,A261,'Daily Production'!$F$5:$F$504,B261)</f>
        <v>0</v>
      </c>
      <c r="L261" s="13">
        <f>IF(C261="Present",Settings!$B$5,IF(C261="Half Day",Settings!$B$5/2,0))</f>
        <v>0</v>
      </c>
    </row>
    <row r="262" ht="15.75" customHeight="1">
      <c r="A262" s="15"/>
      <c r="B262" s="7"/>
      <c r="C262" s="7"/>
      <c r="D262" s="16"/>
      <c r="E262" s="16"/>
      <c r="F262" s="7">
        <f t="shared" si="1"/>
        <v>0</v>
      </c>
      <c r="G262" s="7">
        <f>COUNTIFS('Daily Production'!$A$5:$A$504,A262,'Daily Production'!$F$5:$F$504,B262)</f>
        <v>0</v>
      </c>
      <c r="H262" s="7">
        <f>SUMIFS('Daily Production'!$L$5:$L$504,'Daily Production'!$A$5:$A$504,A262,'Daily Production'!$F$5:$F$504,B262)</f>
        <v>0</v>
      </c>
      <c r="I262" s="7">
        <f>SUMIFS('Daily Production'!$J$5:$J$504,'Daily Production'!$A$5:$A$504,A262,'Daily Production'!$F$5:$F$504,B262)</f>
        <v>0</v>
      </c>
      <c r="J262" s="7">
        <f>SUMIFS('Daily Production'!$K$5:$K$504,'Daily Production'!$A$5:$A$504,A262,'Daily Production'!$F$5:$F$504,B262)</f>
        <v>0</v>
      </c>
      <c r="K262" s="13">
        <f>SUMIFS('Daily Production'!$Q$5:$Q$504,'Daily Production'!$A$5:$A$504,A262,'Daily Production'!$F$5:$F$504,B262)</f>
        <v>0</v>
      </c>
      <c r="L262" s="13">
        <f>IF(C262="Present",Settings!$B$5,IF(C262="Half Day",Settings!$B$5/2,0))</f>
        <v>0</v>
      </c>
    </row>
    <row r="263" ht="15.75" customHeight="1">
      <c r="A263" s="15"/>
      <c r="B263" s="7"/>
      <c r="C263" s="7"/>
      <c r="D263" s="16"/>
      <c r="E263" s="16"/>
      <c r="F263" s="7">
        <f t="shared" si="1"/>
        <v>0</v>
      </c>
      <c r="G263" s="7">
        <f>COUNTIFS('Daily Production'!$A$5:$A$504,A263,'Daily Production'!$F$5:$F$504,B263)</f>
        <v>0</v>
      </c>
      <c r="H263" s="7">
        <f>SUMIFS('Daily Production'!$L$5:$L$504,'Daily Production'!$A$5:$A$504,A263,'Daily Production'!$F$5:$F$504,B263)</f>
        <v>0</v>
      </c>
      <c r="I263" s="7">
        <f>SUMIFS('Daily Production'!$J$5:$J$504,'Daily Production'!$A$5:$A$504,A263,'Daily Production'!$F$5:$F$504,B263)</f>
        <v>0</v>
      </c>
      <c r="J263" s="7">
        <f>SUMIFS('Daily Production'!$K$5:$K$504,'Daily Production'!$A$5:$A$504,A263,'Daily Production'!$F$5:$F$504,B263)</f>
        <v>0</v>
      </c>
      <c r="K263" s="13">
        <f>SUMIFS('Daily Production'!$Q$5:$Q$504,'Daily Production'!$A$5:$A$504,A263,'Daily Production'!$F$5:$F$504,B263)</f>
        <v>0</v>
      </c>
      <c r="L263" s="13">
        <f>IF(C263="Present",Settings!$B$5,IF(C263="Half Day",Settings!$B$5/2,0))</f>
        <v>0</v>
      </c>
    </row>
    <row r="264" ht="15.75" customHeight="1">
      <c r="A264" s="15"/>
      <c r="B264" s="7"/>
      <c r="C264" s="7"/>
      <c r="D264" s="16"/>
      <c r="E264" s="16"/>
      <c r="F264" s="7">
        <f t="shared" si="1"/>
        <v>0</v>
      </c>
      <c r="G264" s="7">
        <f>COUNTIFS('Daily Production'!$A$5:$A$504,A264,'Daily Production'!$F$5:$F$504,B264)</f>
        <v>0</v>
      </c>
      <c r="H264" s="7">
        <f>SUMIFS('Daily Production'!$L$5:$L$504,'Daily Production'!$A$5:$A$504,A264,'Daily Production'!$F$5:$F$504,B264)</f>
        <v>0</v>
      </c>
      <c r="I264" s="7">
        <f>SUMIFS('Daily Production'!$J$5:$J$504,'Daily Production'!$A$5:$A$504,A264,'Daily Production'!$F$5:$F$504,B264)</f>
        <v>0</v>
      </c>
      <c r="J264" s="7">
        <f>SUMIFS('Daily Production'!$K$5:$K$504,'Daily Production'!$A$5:$A$504,A264,'Daily Production'!$F$5:$F$504,B264)</f>
        <v>0</v>
      </c>
      <c r="K264" s="13">
        <f>SUMIFS('Daily Production'!$Q$5:$Q$504,'Daily Production'!$A$5:$A$504,A264,'Daily Production'!$F$5:$F$504,B264)</f>
        <v>0</v>
      </c>
      <c r="L264" s="13">
        <f>IF(C264="Present",Settings!$B$5,IF(C264="Half Day",Settings!$B$5/2,0))</f>
        <v>0</v>
      </c>
    </row>
    <row r="265" ht="15.75" customHeight="1">
      <c r="A265" s="15"/>
      <c r="B265" s="7"/>
      <c r="C265" s="7"/>
      <c r="D265" s="16"/>
      <c r="E265" s="16"/>
      <c r="F265" s="7">
        <f t="shared" si="1"/>
        <v>0</v>
      </c>
      <c r="G265" s="7">
        <f>COUNTIFS('Daily Production'!$A$5:$A$504,A265,'Daily Production'!$F$5:$F$504,B265)</f>
        <v>0</v>
      </c>
      <c r="H265" s="7">
        <f>SUMIFS('Daily Production'!$L$5:$L$504,'Daily Production'!$A$5:$A$504,A265,'Daily Production'!$F$5:$F$504,B265)</f>
        <v>0</v>
      </c>
      <c r="I265" s="7">
        <f>SUMIFS('Daily Production'!$J$5:$J$504,'Daily Production'!$A$5:$A$504,A265,'Daily Production'!$F$5:$F$504,B265)</f>
        <v>0</v>
      </c>
      <c r="J265" s="7">
        <f>SUMIFS('Daily Production'!$K$5:$K$504,'Daily Production'!$A$5:$A$504,A265,'Daily Production'!$F$5:$F$504,B265)</f>
        <v>0</v>
      </c>
      <c r="K265" s="13">
        <f>SUMIFS('Daily Production'!$Q$5:$Q$504,'Daily Production'!$A$5:$A$504,A265,'Daily Production'!$F$5:$F$504,B265)</f>
        <v>0</v>
      </c>
      <c r="L265" s="13">
        <f>IF(C265="Present",Settings!$B$5,IF(C265="Half Day",Settings!$B$5/2,0))</f>
        <v>0</v>
      </c>
    </row>
    <row r="266" ht="15.75" customHeight="1">
      <c r="A266" s="15"/>
      <c r="B266" s="7"/>
      <c r="C266" s="7"/>
      <c r="D266" s="16"/>
      <c r="E266" s="16"/>
      <c r="F266" s="7">
        <f t="shared" si="1"/>
        <v>0</v>
      </c>
      <c r="G266" s="7">
        <f>COUNTIFS('Daily Production'!$A$5:$A$504,A266,'Daily Production'!$F$5:$F$504,B266)</f>
        <v>0</v>
      </c>
      <c r="H266" s="7">
        <f>SUMIFS('Daily Production'!$L$5:$L$504,'Daily Production'!$A$5:$A$504,A266,'Daily Production'!$F$5:$F$504,B266)</f>
        <v>0</v>
      </c>
      <c r="I266" s="7">
        <f>SUMIFS('Daily Production'!$J$5:$J$504,'Daily Production'!$A$5:$A$504,A266,'Daily Production'!$F$5:$F$504,B266)</f>
        <v>0</v>
      </c>
      <c r="J266" s="7">
        <f>SUMIFS('Daily Production'!$K$5:$K$504,'Daily Production'!$A$5:$A$504,A266,'Daily Production'!$F$5:$F$504,B266)</f>
        <v>0</v>
      </c>
      <c r="K266" s="13">
        <f>SUMIFS('Daily Production'!$Q$5:$Q$504,'Daily Production'!$A$5:$A$504,A266,'Daily Production'!$F$5:$F$504,B266)</f>
        <v>0</v>
      </c>
      <c r="L266" s="13">
        <f>IF(C266="Present",Settings!$B$5,IF(C266="Half Day",Settings!$B$5/2,0))</f>
        <v>0</v>
      </c>
    </row>
    <row r="267" ht="15.75" customHeight="1">
      <c r="A267" s="15"/>
      <c r="B267" s="7"/>
      <c r="C267" s="7"/>
      <c r="D267" s="16"/>
      <c r="E267" s="16"/>
      <c r="F267" s="7">
        <f t="shared" si="1"/>
        <v>0</v>
      </c>
      <c r="G267" s="7">
        <f>COUNTIFS('Daily Production'!$A$5:$A$504,A267,'Daily Production'!$F$5:$F$504,B267)</f>
        <v>0</v>
      </c>
      <c r="H267" s="7">
        <f>SUMIFS('Daily Production'!$L$5:$L$504,'Daily Production'!$A$5:$A$504,A267,'Daily Production'!$F$5:$F$504,B267)</f>
        <v>0</v>
      </c>
      <c r="I267" s="7">
        <f>SUMIFS('Daily Production'!$J$5:$J$504,'Daily Production'!$A$5:$A$504,A267,'Daily Production'!$F$5:$F$504,B267)</f>
        <v>0</v>
      </c>
      <c r="J267" s="7">
        <f>SUMIFS('Daily Production'!$K$5:$K$504,'Daily Production'!$A$5:$A$504,A267,'Daily Production'!$F$5:$F$504,B267)</f>
        <v>0</v>
      </c>
      <c r="K267" s="13">
        <f>SUMIFS('Daily Production'!$Q$5:$Q$504,'Daily Production'!$A$5:$A$504,A267,'Daily Production'!$F$5:$F$504,B267)</f>
        <v>0</v>
      </c>
      <c r="L267" s="13">
        <f>IF(C267="Present",Settings!$B$5,IF(C267="Half Day",Settings!$B$5/2,0))</f>
        <v>0</v>
      </c>
    </row>
    <row r="268" ht="15.75" customHeight="1">
      <c r="A268" s="15"/>
      <c r="B268" s="7"/>
      <c r="C268" s="7"/>
      <c r="D268" s="16"/>
      <c r="E268" s="16"/>
      <c r="F268" s="7">
        <f t="shared" si="1"/>
        <v>0</v>
      </c>
      <c r="G268" s="7">
        <f>COUNTIFS('Daily Production'!$A$5:$A$504,A268,'Daily Production'!$F$5:$F$504,B268)</f>
        <v>0</v>
      </c>
      <c r="H268" s="7">
        <f>SUMIFS('Daily Production'!$L$5:$L$504,'Daily Production'!$A$5:$A$504,A268,'Daily Production'!$F$5:$F$504,B268)</f>
        <v>0</v>
      </c>
      <c r="I268" s="7">
        <f>SUMIFS('Daily Production'!$J$5:$J$504,'Daily Production'!$A$5:$A$504,A268,'Daily Production'!$F$5:$F$504,B268)</f>
        <v>0</v>
      </c>
      <c r="J268" s="7">
        <f>SUMIFS('Daily Production'!$K$5:$K$504,'Daily Production'!$A$5:$A$504,A268,'Daily Production'!$F$5:$F$504,B268)</f>
        <v>0</v>
      </c>
      <c r="K268" s="13">
        <f>SUMIFS('Daily Production'!$Q$5:$Q$504,'Daily Production'!$A$5:$A$504,A268,'Daily Production'!$F$5:$F$504,B268)</f>
        <v>0</v>
      </c>
      <c r="L268" s="13">
        <f>IF(C268="Present",Settings!$B$5,IF(C268="Half Day",Settings!$B$5/2,0))</f>
        <v>0</v>
      </c>
    </row>
    <row r="269" ht="15.75" customHeight="1">
      <c r="A269" s="15"/>
      <c r="B269" s="7"/>
      <c r="C269" s="7"/>
      <c r="D269" s="16"/>
      <c r="E269" s="16"/>
      <c r="F269" s="7">
        <f t="shared" si="1"/>
        <v>0</v>
      </c>
      <c r="G269" s="7">
        <f>COUNTIFS('Daily Production'!$A$5:$A$504,A269,'Daily Production'!$F$5:$F$504,B269)</f>
        <v>0</v>
      </c>
      <c r="H269" s="7">
        <f>SUMIFS('Daily Production'!$L$5:$L$504,'Daily Production'!$A$5:$A$504,A269,'Daily Production'!$F$5:$F$504,B269)</f>
        <v>0</v>
      </c>
      <c r="I269" s="7">
        <f>SUMIFS('Daily Production'!$J$5:$J$504,'Daily Production'!$A$5:$A$504,A269,'Daily Production'!$F$5:$F$504,B269)</f>
        <v>0</v>
      </c>
      <c r="J269" s="7">
        <f>SUMIFS('Daily Production'!$K$5:$K$504,'Daily Production'!$A$5:$A$504,A269,'Daily Production'!$F$5:$F$504,B269)</f>
        <v>0</v>
      </c>
      <c r="K269" s="13">
        <f>SUMIFS('Daily Production'!$Q$5:$Q$504,'Daily Production'!$A$5:$A$504,A269,'Daily Production'!$F$5:$F$504,B269)</f>
        <v>0</v>
      </c>
      <c r="L269" s="13">
        <f>IF(C269="Present",Settings!$B$5,IF(C269="Half Day",Settings!$B$5/2,0))</f>
        <v>0</v>
      </c>
    </row>
    <row r="270" ht="15.75" customHeight="1">
      <c r="A270" s="15"/>
      <c r="B270" s="7"/>
      <c r="C270" s="7"/>
      <c r="D270" s="16"/>
      <c r="E270" s="16"/>
      <c r="F270" s="7">
        <f t="shared" si="1"/>
        <v>0</v>
      </c>
      <c r="G270" s="7">
        <f>COUNTIFS('Daily Production'!$A$5:$A$504,A270,'Daily Production'!$F$5:$F$504,B270)</f>
        <v>0</v>
      </c>
      <c r="H270" s="7">
        <f>SUMIFS('Daily Production'!$L$5:$L$504,'Daily Production'!$A$5:$A$504,A270,'Daily Production'!$F$5:$F$504,B270)</f>
        <v>0</v>
      </c>
      <c r="I270" s="7">
        <f>SUMIFS('Daily Production'!$J$5:$J$504,'Daily Production'!$A$5:$A$504,A270,'Daily Production'!$F$5:$F$504,B270)</f>
        <v>0</v>
      </c>
      <c r="J270" s="7">
        <f>SUMIFS('Daily Production'!$K$5:$K$504,'Daily Production'!$A$5:$A$504,A270,'Daily Production'!$F$5:$F$504,B270)</f>
        <v>0</v>
      </c>
      <c r="K270" s="13">
        <f>SUMIFS('Daily Production'!$Q$5:$Q$504,'Daily Production'!$A$5:$A$504,A270,'Daily Production'!$F$5:$F$504,B270)</f>
        <v>0</v>
      </c>
      <c r="L270" s="13">
        <f>IF(C270="Present",Settings!$B$5,IF(C270="Half Day",Settings!$B$5/2,0))</f>
        <v>0</v>
      </c>
    </row>
    <row r="271" ht="15.75" customHeight="1">
      <c r="A271" s="15"/>
      <c r="B271" s="7"/>
      <c r="C271" s="7"/>
      <c r="D271" s="16"/>
      <c r="E271" s="16"/>
      <c r="F271" s="7">
        <f t="shared" si="1"/>
        <v>0</v>
      </c>
      <c r="G271" s="7">
        <f>COUNTIFS('Daily Production'!$A$5:$A$504,A271,'Daily Production'!$F$5:$F$504,B271)</f>
        <v>0</v>
      </c>
      <c r="H271" s="7">
        <f>SUMIFS('Daily Production'!$L$5:$L$504,'Daily Production'!$A$5:$A$504,A271,'Daily Production'!$F$5:$F$504,B271)</f>
        <v>0</v>
      </c>
      <c r="I271" s="7">
        <f>SUMIFS('Daily Production'!$J$5:$J$504,'Daily Production'!$A$5:$A$504,A271,'Daily Production'!$F$5:$F$504,B271)</f>
        <v>0</v>
      </c>
      <c r="J271" s="7">
        <f>SUMIFS('Daily Production'!$K$5:$K$504,'Daily Production'!$A$5:$A$504,A271,'Daily Production'!$F$5:$F$504,B271)</f>
        <v>0</v>
      </c>
      <c r="K271" s="13">
        <f>SUMIFS('Daily Production'!$Q$5:$Q$504,'Daily Production'!$A$5:$A$504,A271,'Daily Production'!$F$5:$F$504,B271)</f>
        <v>0</v>
      </c>
      <c r="L271" s="13">
        <f>IF(C271="Present",Settings!$B$5,IF(C271="Half Day",Settings!$B$5/2,0))</f>
        <v>0</v>
      </c>
    </row>
    <row r="272" ht="15.75" customHeight="1">
      <c r="A272" s="15"/>
      <c r="B272" s="7"/>
      <c r="C272" s="7"/>
      <c r="D272" s="16"/>
      <c r="E272" s="16"/>
      <c r="F272" s="7">
        <f t="shared" si="1"/>
        <v>0</v>
      </c>
      <c r="G272" s="7">
        <f>COUNTIFS('Daily Production'!$A$5:$A$504,A272,'Daily Production'!$F$5:$F$504,B272)</f>
        <v>0</v>
      </c>
      <c r="H272" s="7">
        <f>SUMIFS('Daily Production'!$L$5:$L$504,'Daily Production'!$A$5:$A$504,A272,'Daily Production'!$F$5:$F$504,B272)</f>
        <v>0</v>
      </c>
      <c r="I272" s="7">
        <f>SUMIFS('Daily Production'!$J$5:$J$504,'Daily Production'!$A$5:$A$504,A272,'Daily Production'!$F$5:$F$504,B272)</f>
        <v>0</v>
      </c>
      <c r="J272" s="7">
        <f>SUMIFS('Daily Production'!$K$5:$K$504,'Daily Production'!$A$5:$A$504,A272,'Daily Production'!$F$5:$F$504,B272)</f>
        <v>0</v>
      </c>
      <c r="K272" s="13">
        <f>SUMIFS('Daily Production'!$Q$5:$Q$504,'Daily Production'!$A$5:$A$504,A272,'Daily Production'!$F$5:$F$504,B272)</f>
        <v>0</v>
      </c>
      <c r="L272" s="13">
        <f>IF(C272="Present",Settings!$B$5,IF(C272="Half Day",Settings!$B$5/2,0))</f>
        <v>0</v>
      </c>
    </row>
    <row r="273" ht="15.75" customHeight="1">
      <c r="A273" s="15"/>
      <c r="B273" s="7"/>
      <c r="C273" s="7"/>
      <c r="D273" s="16"/>
      <c r="E273" s="16"/>
      <c r="F273" s="7">
        <f t="shared" si="1"/>
        <v>0</v>
      </c>
      <c r="G273" s="7">
        <f>COUNTIFS('Daily Production'!$A$5:$A$504,A273,'Daily Production'!$F$5:$F$504,B273)</f>
        <v>0</v>
      </c>
      <c r="H273" s="7">
        <f>SUMIFS('Daily Production'!$L$5:$L$504,'Daily Production'!$A$5:$A$504,A273,'Daily Production'!$F$5:$F$504,B273)</f>
        <v>0</v>
      </c>
      <c r="I273" s="7">
        <f>SUMIFS('Daily Production'!$J$5:$J$504,'Daily Production'!$A$5:$A$504,A273,'Daily Production'!$F$5:$F$504,B273)</f>
        <v>0</v>
      </c>
      <c r="J273" s="7">
        <f>SUMIFS('Daily Production'!$K$5:$K$504,'Daily Production'!$A$5:$A$504,A273,'Daily Production'!$F$5:$F$504,B273)</f>
        <v>0</v>
      </c>
      <c r="K273" s="13">
        <f>SUMIFS('Daily Production'!$Q$5:$Q$504,'Daily Production'!$A$5:$A$504,A273,'Daily Production'!$F$5:$F$504,B273)</f>
        <v>0</v>
      </c>
      <c r="L273" s="13">
        <f>IF(C273="Present",Settings!$B$5,IF(C273="Half Day",Settings!$B$5/2,0))</f>
        <v>0</v>
      </c>
    </row>
    <row r="274" ht="15.75" customHeight="1">
      <c r="A274" s="15"/>
      <c r="B274" s="7"/>
      <c r="C274" s="7"/>
      <c r="D274" s="16"/>
      <c r="E274" s="16"/>
      <c r="F274" s="7">
        <f t="shared" si="1"/>
        <v>0</v>
      </c>
      <c r="G274" s="7">
        <f>COUNTIFS('Daily Production'!$A$5:$A$504,A274,'Daily Production'!$F$5:$F$504,B274)</f>
        <v>0</v>
      </c>
      <c r="H274" s="7">
        <f>SUMIFS('Daily Production'!$L$5:$L$504,'Daily Production'!$A$5:$A$504,A274,'Daily Production'!$F$5:$F$504,B274)</f>
        <v>0</v>
      </c>
      <c r="I274" s="7">
        <f>SUMIFS('Daily Production'!$J$5:$J$504,'Daily Production'!$A$5:$A$504,A274,'Daily Production'!$F$5:$F$504,B274)</f>
        <v>0</v>
      </c>
      <c r="J274" s="7">
        <f>SUMIFS('Daily Production'!$K$5:$K$504,'Daily Production'!$A$5:$A$504,A274,'Daily Production'!$F$5:$F$504,B274)</f>
        <v>0</v>
      </c>
      <c r="K274" s="13">
        <f>SUMIFS('Daily Production'!$Q$5:$Q$504,'Daily Production'!$A$5:$A$504,A274,'Daily Production'!$F$5:$F$504,B274)</f>
        <v>0</v>
      </c>
      <c r="L274" s="13">
        <f>IF(C274="Present",Settings!$B$5,IF(C274="Half Day",Settings!$B$5/2,0))</f>
        <v>0</v>
      </c>
    </row>
    <row r="275" ht="15.75" customHeight="1">
      <c r="A275" s="15"/>
      <c r="B275" s="7"/>
      <c r="C275" s="7"/>
      <c r="D275" s="16"/>
      <c r="E275" s="16"/>
      <c r="F275" s="7">
        <f t="shared" si="1"/>
        <v>0</v>
      </c>
      <c r="G275" s="7">
        <f>COUNTIFS('Daily Production'!$A$5:$A$504,A275,'Daily Production'!$F$5:$F$504,B275)</f>
        <v>0</v>
      </c>
      <c r="H275" s="7">
        <f>SUMIFS('Daily Production'!$L$5:$L$504,'Daily Production'!$A$5:$A$504,A275,'Daily Production'!$F$5:$F$504,B275)</f>
        <v>0</v>
      </c>
      <c r="I275" s="7">
        <f>SUMIFS('Daily Production'!$J$5:$J$504,'Daily Production'!$A$5:$A$504,A275,'Daily Production'!$F$5:$F$504,B275)</f>
        <v>0</v>
      </c>
      <c r="J275" s="7">
        <f>SUMIFS('Daily Production'!$K$5:$K$504,'Daily Production'!$A$5:$A$504,A275,'Daily Production'!$F$5:$F$504,B275)</f>
        <v>0</v>
      </c>
      <c r="K275" s="13">
        <f>SUMIFS('Daily Production'!$Q$5:$Q$504,'Daily Production'!$A$5:$A$504,A275,'Daily Production'!$F$5:$F$504,B275)</f>
        <v>0</v>
      </c>
      <c r="L275" s="13">
        <f>IF(C275="Present",Settings!$B$5,IF(C275="Half Day",Settings!$B$5/2,0))</f>
        <v>0</v>
      </c>
    </row>
    <row r="276" ht="15.75" customHeight="1">
      <c r="A276" s="15"/>
      <c r="B276" s="7"/>
      <c r="C276" s="7"/>
      <c r="D276" s="16"/>
      <c r="E276" s="16"/>
      <c r="F276" s="7">
        <f t="shared" si="1"/>
        <v>0</v>
      </c>
      <c r="G276" s="7">
        <f>COUNTIFS('Daily Production'!$A$5:$A$504,A276,'Daily Production'!$F$5:$F$504,B276)</f>
        <v>0</v>
      </c>
      <c r="H276" s="7">
        <f>SUMIFS('Daily Production'!$L$5:$L$504,'Daily Production'!$A$5:$A$504,A276,'Daily Production'!$F$5:$F$504,B276)</f>
        <v>0</v>
      </c>
      <c r="I276" s="7">
        <f>SUMIFS('Daily Production'!$J$5:$J$504,'Daily Production'!$A$5:$A$504,A276,'Daily Production'!$F$5:$F$504,B276)</f>
        <v>0</v>
      </c>
      <c r="J276" s="7">
        <f>SUMIFS('Daily Production'!$K$5:$K$504,'Daily Production'!$A$5:$A$504,A276,'Daily Production'!$F$5:$F$504,B276)</f>
        <v>0</v>
      </c>
      <c r="K276" s="13">
        <f>SUMIFS('Daily Production'!$Q$5:$Q$504,'Daily Production'!$A$5:$A$504,A276,'Daily Production'!$F$5:$F$504,B276)</f>
        <v>0</v>
      </c>
      <c r="L276" s="13">
        <f>IF(C276="Present",Settings!$B$5,IF(C276="Half Day",Settings!$B$5/2,0))</f>
        <v>0</v>
      </c>
    </row>
    <row r="277" ht="15.75" customHeight="1">
      <c r="A277" s="15"/>
      <c r="B277" s="7"/>
      <c r="C277" s="7"/>
      <c r="D277" s="16"/>
      <c r="E277" s="16"/>
      <c r="F277" s="7">
        <f t="shared" si="1"/>
        <v>0</v>
      </c>
      <c r="G277" s="7">
        <f>COUNTIFS('Daily Production'!$A$5:$A$504,A277,'Daily Production'!$F$5:$F$504,B277)</f>
        <v>0</v>
      </c>
      <c r="H277" s="7">
        <f>SUMIFS('Daily Production'!$L$5:$L$504,'Daily Production'!$A$5:$A$504,A277,'Daily Production'!$F$5:$F$504,B277)</f>
        <v>0</v>
      </c>
      <c r="I277" s="7">
        <f>SUMIFS('Daily Production'!$J$5:$J$504,'Daily Production'!$A$5:$A$504,A277,'Daily Production'!$F$5:$F$504,B277)</f>
        <v>0</v>
      </c>
      <c r="J277" s="7">
        <f>SUMIFS('Daily Production'!$K$5:$K$504,'Daily Production'!$A$5:$A$504,A277,'Daily Production'!$F$5:$F$504,B277)</f>
        <v>0</v>
      </c>
      <c r="K277" s="13">
        <f>SUMIFS('Daily Production'!$Q$5:$Q$504,'Daily Production'!$A$5:$A$504,A277,'Daily Production'!$F$5:$F$504,B277)</f>
        <v>0</v>
      </c>
      <c r="L277" s="13">
        <f>IF(C277="Present",Settings!$B$5,IF(C277="Half Day",Settings!$B$5/2,0))</f>
        <v>0</v>
      </c>
    </row>
    <row r="278" ht="15.75" customHeight="1">
      <c r="A278" s="15"/>
      <c r="B278" s="7"/>
      <c r="C278" s="7"/>
      <c r="D278" s="16"/>
      <c r="E278" s="16"/>
      <c r="F278" s="7">
        <f t="shared" si="1"/>
        <v>0</v>
      </c>
      <c r="G278" s="7">
        <f>COUNTIFS('Daily Production'!$A$5:$A$504,A278,'Daily Production'!$F$5:$F$504,B278)</f>
        <v>0</v>
      </c>
      <c r="H278" s="7">
        <f>SUMIFS('Daily Production'!$L$5:$L$504,'Daily Production'!$A$5:$A$504,A278,'Daily Production'!$F$5:$F$504,B278)</f>
        <v>0</v>
      </c>
      <c r="I278" s="7">
        <f>SUMIFS('Daily Production'!$J$5:$J$504,'Daily Production'!$A$5:$A$504,A278,'Daily Production'!$F$5:$F$504,B278)</f>
        <v>0</v>
      </c>
      <c r="J278" s="7">
        <f>SUMIFS('Daily Production'!$K$5:$K$504,'Daily Production'!$A$5:$A$504,A278,'Daily Production'!$F$5:$F$504,B278)</f>
        <v>0</v>
      </c>
      <c r="K278" s="13">
        <f>SUMIFS('Daily Production'!$Q$5:$Q$504,'Daily Production'!$A$5:$A$504,A278,'Daily Production'!$F$5:$F$504,B278)</f>
        <v>0</v>
      </c>
      <c r="L278" s="13">
        <f>IF(C278="Present",Settings!$B$5,IF(C278="Half Day",Settings!$B$5/2,0))</f>
        <v>0</v>
      </c>
    </row>
    <row r="279" ht="15.75" customHeight="1">
      <c r="A279" s="15"/>
      <c r="B279" s="7"/>
      <c r="C279" s="7"/>
      <c r="D279" s="16"/>
      <c r="E279" s="16"/>
      <c r="F279" s="7">
        <f t="shared" si="1"/>
        <v>0</v>
      </c>
      <c r="G279" s="7">
        <f>COUNTIFS('Daily Production'!$A$5:$A$504,A279,'Daily Production'!$F$5:$F$504,B279)</f>
        <v>0</v>
      </c>
      <c r="H279" s="7">
        <f>SUMIFS('Daily Production'!$L$5:$L$504,'Daily Production'!$A$5:$A$504,A279,'Daily Production'!$F$5:$F$504,B279)</f>
        <v>0</v>
      </c>
      <c r="I279" s="7">
        <f>SUMIFS('Daily Production'!$J$5:$J$504,'Daily Production'!$A$5:$A$504,A279,'Daily Production'!$F$5:$F$504,B279)</f>
        <v>0</v>
      </c>
      <c r="J279" s="7">
        <f>SUMIFS('Daily Production'!$K$5:$K$504,'Daily Production'!$A$5:$A$504,A279,'Daily Production'!$F$5:$F$504,B279)</f>
        <v>0</v>
      </c>
      <c r="K279" s="13">
        <f>SUMIFS('Daily Production'!$Q$5:$Q$504,'Daily Production'!$A$5:$A$504,A279,'Daily Production'!$F$5:$F$504,B279)</f>
        <v>0</v>
      </c>
      <c r="L279" s="13">
        <f>IF(C279="Present",Settings!$B$5,IF(C279="Half Day",Settings!$B$5/2,0))</f>
        <v>0</v>
      </c>
    </row>
    <row r="280" ht="15.75" customHeight="1">
      <c r="A280" s="15"/>
      <c r="B280" s="7"/>
      <c r="C280" s="7"/>
      <c r="D280" s="16"/>
      <c r="E280" s="16"/>
      <c r="F280" s="7">
        <f t="shared" si="1"/>
        <v>0</v>
      </c>
      <c r="G280" s="7">
        <f>COUNTIFS('Daily Production'!$A$5:$A$504,A280,'Daily Production'!$F$5:$F$504,B280)</f>
        <v>0</v>
      </c>
      <c r="H280" s="7">
        <f>SUMIFS('Daily Production'!$L$5:$L$504,'Daily Production'!$A$5:$A$504,A280,'Daily Production'!$F$5:$F$504,B280)</f>
        <v>0</v>
      </c>
      <c r="I280" s="7">
        <f>SUMIFS('Daily Production'!$J$5:$J$504,'Daily Production'!$A$5:$A$504,A280,'Daily Production'!$F$5:$F$504,B280)</f>
        <v>0</v>
      </c>
      <c r="J280" s="7">
        <f>SUMIFS('Daily Production'!$K$5:$K$504,'Daily Production'!$A$5:$A$504,A280,'Daily Production'!$F$5:$F$504,B280)</f>
        <v>0</v>
      </c>
      <c r="K280" s="13">
        <f>SUMIFS('Daily Production'!$Q$5:$Q$504,'Daily Production'!$A$5:$A$504,A280,'Daily Production'!$F$5:$F$504,B280)</f>
        <v>0</v>
      </c>
      <c r="L280" s="13">
        <f>IF(C280="Present",Settings!$B$5,IF(C280="Half Day",Settings!$B$5/2,0))</f>
        <v>0</v>
      </c>
    </row>
    <row r="281" ht="15.75" customHeight="1">
      <c r="A281" s="15"/>
      <c r="B281" s="7"/>
      <c r="C281" s="7"/>
      <c r="D281" s="16"/>
      <c r="E281" s="16"/>
      <c r="F281" s="7">
        <f t="shared" si="1"/>
        <v>0</v>
      </c>
      <c r="G281" s="7">
        <f>COUNTIFS('Daily Production'!$A$5:$A$504,A281,'Daily Production'!$F$5:$F$504,B281)</f>
        <v>0</v>
      </c>
      <c r="H281" s="7">
        <f>SUMIFS('Daily Production'!$L$5:$L$504,'Daily Production'!$A$5:$A$504,A281,'Daily Production'!$F$5:$F$504,B281)</f>
        <v>0</v>
      </c>
      <c r="I281" s="7">
        <f>SUMIFS('Daily Production'!$J$5:$J$504,'Daily Production'!$A$5:$A$504,A281,'Daily Production'!$F$5:$F$504,B281)</f>
        <v>0</v>
      </c>
      <c r="J281" s="7">
        <f>SUMIFS('Daily Production'!$K$5:$K$504,'Daily Production'!$A$5:$A$504,A281,'Daily Production'!$F$5:$F$504,B281)</f>
        <v>0</v>
      </c>
      <c r="K281" s="13">
        <f>SUMIFS('Daily Production'!$Q$5:$Q$504,'Daily Production'!$A$5:$A$504,A281,'Daily Production'!$F$5:$F$504,B281)</f>
        <v>0</v>
      </c>
      <c r="L281" s="13">
        <f>IF(C281="Present",Settings!$B$5,IF(C281="Half Day",Settings!$B$5/2,0))</f>
        <v>0</v>
      </c>
    </row>
    <row r="282" ht="15.75" customHeight="1">
      <c r="A282" s="15"/>
      <c r="B282" s="7"/>
      <c r="C282" s="7"/>
      <c r="D282" s="16"/>
      <c r="E282" s="16"/>
      <c r="F282" s="7">
        <f t="shared" si="1"/>
        <v>0</v>
      </c>
      <c r="G282" s="7">
        <f>COUNTIFS('Daily Production'!$A$5:$A$504,A282,'Daily Production'!$F$5:$F$504,B282)</f>
        <v>0</v>
      </c>
      <c r="H282" s="7">
        <f>SUMIFS('Daily Production'!$L$5:$L$504,'Daily Production'!$A$5:$A$504,A282,'Daily Production'!$F$5:$F$504,B282)</f>
        <v>0</v>
      </c>
      <c r="I282" s="7">
        <f>SUMIFS('Daily Production'!$J$5:$J$504,'Daily Production'!$A$5:$A$504,A282,'Daily Production'!$F$5:$F$504,B282)</f>
        <v>0</v>
      </c>
      <c r="J282" s="7">
        <f>SUMIFS('Daily Production'!$K$5:$K$504,'Daily Production'!$A$5:$A$504,A282,'Daily Production'!$F$5:$F$504,B282)</f>
        <v>0</v>
      </c>
      <c r="K282" s="13">
        <f>SUMIFS('Daily Production'!$Q$5:$Q$504,'Daily Production'!$A$5:$A$504,A282,'Daily Production'!$F$5:$F$504,B282)</f>
        <v>0</v>
      </c>
      <c r="L282" s="13">
        <f>IF(C282="Present",Settings!$B$5,IF(C282="Half Day",Settings!$B$5/2,0))</f>
        <v>0</v>
      </c>
    </row>
    <row r="283" ht="15.75" customHeight="1">
      <c r="A283" s="15"/>
      <c r="B283" s="7"/>
      <c r="C283" s="7"/>
      <c r="D283" s="16"/>
      <c r="E283" s="16"/>
      <c r="F283" s="7">
        <f t="shared" si="1"/>
        <v>0</v>
      </c>
      <c r="G283" s="7">
        <f>COUNTIFS('Daily Production'!$A$5:$A$504,A283,'Daily Production'!$F$5:$F$504,B283)</f>
        <v>0</v>
      </c>
      <c r="H283" s="7">
        <f>SUMIFS('Daily Production'!$L$5:$L$504,'Daily Production'!$A$5:$A$504,A283,'Daily Production'!$F$5:$F$504,B283)</f>
        <v>0</v>
      </c>
      <c r="I283" s="7">
        <f>SUMIFS('Daily Production'!$J$5:$J$504,'Daily Production'!$A$5:$A$504,A283,'Daily Production'!$F$5:$F$504,B283)</f>
        <v>0</v>
      </c>
      <c r="J283" s="7">
        <f>SUMIFS('Daily Production'!$K$5:$K$504,'Daily Production'!$A$5:$A$504,A283,'Daily Production'!$F$5:$F$504,B283)</f>
        <v>0</v>
      </c>
      <c r="K283" s="13">
        <f>SUMIFS('Daily Production'!$Q$5:$Q$504,'Daily Production'!$A$5:$A$504,A283,'Daily Production'!$F$5:$F$504,B283)</f>
        <v>0</v>
      </c>
      <c r="L283" s="13">
        <f>IF(C283="Present",Settings!$B$5,IF(C283="Half Day",Settings!$B$5/2,0))</f>
        <v>0</v>
      </c>
    </row>
    <row r="284" ht="15.75" customHeight="1">
      <c r="A284" s="15"/>
      <c r="B284" s="7"/>
      <c r="C284" s="7"/>
      <c r="D284" s="16"/>
      <c r="E284" s="16"/>
      <c r="F284" s="7">
        <f t="shared" si="1"/>
        <v>0</v>
      </c>
      <c r="G284" s="7">
        <f>COUNTIFS('Daily Production'!$A$5:$A$504,A284,'Daily Production'!$F$5:$F$504,B284)</f>
        <v>0</v>
      </c>
      <c r="H284" s="7">
        <f>SUMIFS('Daily Production'!$L$5:$L$504,'Daily Production'!$A$5:$A$504,A284,'Daily Production'!$F$5:$F$504,B284)</f>
        <v>0</v>
      </c>
      <c r="I284" s="7">
        <f>SUMIFS('Daily Production'!$J$5:$J$504,'Daily Production'!$A$5:$A$504,A284,'Daily Production'!$F$5:$F$504,B284)</f>
        <v>0</v>
      </c>
      <c r="J284" s="7">
        <f>SUMIFS('Daily Production'!$K$5:$K$504,'Daily Production'!$A$5:$A$504,A284,'Daily Production'!$F$5:$F$504,B284)</f>
        <v>0</v>
      </c>
      <c r="K284" s="13">
        <f>SUMIFS('Daily Production'!$Q$5:$Q$504,'Daily Production'!$A$5:$A$504,A284,'Daily Production'!$F$5:$F$504,B284)</f>
        <v>0</v>
      </c>
      <c r="L284" s="13">
        <f>IF(C284="Present",Settings!$B$5,IF(C284="Half Day",Settings!$B$5/2,0))</f>
        <v>0</v>
      </c>
    </row>
    <row r="285" ht="15.75" customHeight="1">
      <c r="A285" s="15"/>
      <c r="B285" s="7"/>
      <c r="C285" s="7"/>
      <c r="D285" s="16"/>
      <c r="E285" s="16"/>
      <c r="F285" s="7">
        <f t="shared" si="1"/>
        <v>0</v>
      </c>
      <c r="G285" s="7">
        <f>COUNTIFS('Daily Production'!$A$5:$A$504,A285,'Daily Production'!$F$5:$F$504,B285)</f>
        <v>0</v>
      </c>
      <c r="H285" s="7">
        <f>SUMIFS('Daily Production'!$L$5:$L$504,'Daily Production'!$A$5:$A$504,A285,'Daily Production'!$F$5:$F$504,B285)</f>
        <v>0</v>
      </c>
      <c r="I285" s="7">
        <f>SUMIFS('Daily Production'!$J$5:$J$504,'Daily Production'!$A$5:$A$504,A285,'Daily Production'!$F$5:$F$504,B285)</f>
        <v>0</v>
      </c>
      <c r="J285" s="7">
        <f>SUMIFS('Daily Production'!$K$5:$K$504,'Daily Production'!$A$5:$A$504,A285,'Daily Production'!$F$5:$F$504,B285)</f>
        <v>0</v>
      </c>
      <c r="K285" s="13">
        <f>SUMIFS('Daily Production'!$Q$5:$Q$504,'Daily Production'!$A$5:$A$504,A285,'Daily Production'!$F$5:$F$504,B285)</f>
        <v>0</v>
      </c>
      <c r="L285" s="13">
        <f>IF(C285="Present",Settings!$B$5,IF(C285="Half Day",Settings!$B$5/2,0))</f>
        <v>0</v>
      </c>
    </row>
    <row r="286" ht="15.75" customHeight="1">
      <c r="A286" s="15"/>
      <c r="B286" s="7"/>
      <c r="C286" s="7"/>
      <c r="D286" s="16"/>
      <c r="E286" s="16"/>
      <c r="F286" s="7">
        <f t="shared" si="1"/>
        <v>0</v>
      </c>
      <c r="G286" s="7">
        <f>COUNTIFS('Daily Production'!$A$5:$A$504,A286,'Daily Production'!$F$5:$F$504,B286)</f>
        <v>0</v>
      </c>
      <c r="H286" s="7">
        <f>SUMIFS('Daily Production'!$L$5:$L$504,'Daily Production'!$A$5:$A$504,A286,'Daily Production'!$F$5:$F$504,B286)</f>
        <v>0</v>
      </c>
      <c r="I286" s="7">
        <f>SUMIFS('Daily Production'!$J$5:$J$504,'Daily Production'!$A$5:$A$504,A286,'Daily Production'!$F$5:$F$504,B286)</f>
        <v>0</v>
      </c>
      <c r="J286" s="7">
        <f>SUMIFS('Daily Production'!$K$5:$K$504,'Daily Production'!$A$5:$A$504,A286,'Daily Production'!$F$5:$F$504,B286)</f>
        <v>0</v>
      </c>
      <c r="K286" s="13">
        <f>SUMIFS('Daily Production'!$Q$5:$Q$504,'Daily Production'!$A$5:$A$504,A286,'Daily Production'!$F$5:$F$504,B286)</f>
        <v>0</v>
      </c>
      <c r="L286" s="13">
        <f>IF(C286="Present",Settings!$B$5,IF(C286="Half Day",Settings!$B$5/2,0))</f>
        <v>0</v>
      </c>
    </row>
    <row r="287" ht="15.75" customHeight="1">
      <c r="A287" s="15"/>
      <c r="B287" s="7"/>
      <c r="C287" s="7"/>
      <c r="D287" s="16"/>
      <c r="E287" s="16"/>
      <c r="F287" s="7">
        <f t="shared" si="1"/>
        <v>0</v>
      </c>
      <c r="G287" s="7">
        <f>COUNTIFS('Daily Production'!$A$5:$A$504,A287,'Daily Production'!$F$5:$F$504,B287)</f>
        <v>0</v>
      </c>
      <c r="H287" s="7">
        <f>SUMIFS('Daily Production'!$L$5:$L$504,'Daily Production'!$A$5:$A$504,A287,'Daily Production'!$F$5:$F$504,B287)</f>
        <v>0</v>
      </c>
      <c r="I287" s="7">
        <f>SUMIFS('Daily Production'!$J$5:$J$504,'Daily Production'!$A$5:$A$504,A287,'Daily Production'!$F$5:$F$504,B287)</f>
        <v>0</v>
      </c>
      <c r="J287" s="7">
        <f>SUMIFS('Daily Production'!$K$5:$K$504,'Daily Production'!$A$5:$A$504,A287,'Daily Production'!$F$5:$F$504,B287)</f>
        <v>0</v>
      </c>
      <c r="K287" s="13">
        <f>SUMIFS('Daily Production'!$Q$5:$Q$504,'Daily Production'!$A$5:$A$504,A287,'Daily Production'!$F$5:$F$504,B287)</f>
        <v>0</v>
      </c>
      <c r="L287" s="13">
        <f>IF(C287="Present",Settings!$B$5,IF(C287="Half Day",Settings!$B$5/2,0))</f>
        <v>0</v>
      </c>
    </row>
    <row r="288" ht="15.75" customHeight="1">
      <c r="A288" s="15"/>
      <c r="B288" s="7"/>
      <c r="C288" s="7"/>
      <c r="D288" s="16"/>
      <c r="E288" s="16"/>
      <c r="F288" s="7">
        <f t="shared" si="1"/>
        <v>0</v>
      </c>
      <c r="G288" s="7">
        <f>COUNTIFS('Daily Production'!$A$5:$A$504,A288,'Daily Production'!$F$5:$F$504,B288)</f>
        <v>0</v>
      </c>
      <c r="H288" s="7">
        <f>SUMIFS('Daily Production'!$L$5:$L$504,'Daily Production'!$A$5:$A$504,A288,'Daily Production'!$F$5:$F$504,B288)</f>
        <v>0</v>
      </c>
      <c r="I288" s="7">
        <f>SUMIFS('Daily Production'!$J$5:$J$504,'Daily Production'!$A$5:$A$504,A288,'Daily Production'!$F$5:$F$504,B288)</f>
        <v>0</v>
      </c>
      <c r="J288" s="7">
        <f>SUMIFS('Daily Production'!$K$5:$K$504,'Daily Production'!$A$5:$A$504,A288,'Daily Production'!$F$5:$F$504,B288)</f>
        <v>0</v>
      </c>
      <c r="K288" s="13">
        <f>SUMIFS('Daily Production'!$Q$5:$Q$504,'Daily Production'!$A$5:$A$504,A288,'Daily Production'!$F$5:$F$504,B288)</f>
        <v>0</v>
      </c>
      <c r="L288" s="13">
        <f>IF(C288="Present",Settings!$B$5,IF(C288="Half Day",Settings!$B$5/2,0))</f>
        <v>0</v>
      </c>
    </row>
    <row r="289" ht="15.75" customHeight="1">
      <c r="A289" s="15"/>
      <c r="B289" s="7"/>
      <c r="C289" s="7"/>
      <c r="D289" s="16"/>
      <c r="E289" s="16"/>
      <c r="F289" s="7">
        <f t="shared" si="1"/>
        <v>0</v>
      </c>
      <c r="G289" s="7">
        <f>COUNTIFS('Daily Production'!$A$5:$A$504,A289,'Daily Production'!$F$5:$F$504,B289)</f>
        <v>0</v>
      </c>
      <c r="H289" s="7">
        <f>SUMIFS('Daily Production'!$L$5:$L$504,'Daily Production'!$A$5:$A$504,A289,'Daily Production'!$F$5:$F$504,B289)</f>
        <v>0</v>
      </c>
      <c r="I289" s="7">
        <f>SUMIFS('Daily Production'!$J$5:$J$504,'Daily Production'!$A$5:$A$504,A289,'Daily Production'!$F$5:$F$504,B289)</f>
        <v>0</v>
      </c>
      <c r="J289" s="7">
        <f>SUMIFS('Daily Production'!$K$5:$K$504,'Daily Production'!$A$5:$A$504,A289,'Daily Production'!$F$5:$F$504,B289)</f>
        <v>0</v>
      </c>
      <c r="K289" s="13">
        <f>SUMIFS('Daily Production'!$Q$5:$Q$504,'Daily Production'!$A$5:$A$504,A289,'Daily Production'!$F$5:$F$504,B289)</f>
        <v>0</v>
      </c>
      <c r="L289" s="13">
        <f>IF(C289="Present",Settings!$B$5,IF(C289="Half Day",Settings!$B$5/2,0))</f>
        <v>0</v>
      </c>
    </row>
    <row r="290" ht="15.75" customHeight="1">
      <c r="A290" s="15"/>
      <c r="B290" s="7"/>
      <c r="C290" s="7"/>
      <c r="D290" s="16"/>
      <c r="E290" s="16"/>
      <c r="F290" s="7">
        <f t="shared" si="1"/>
        <v>0</v>
      </c>
      <c r="G290" s="7">
        <f>COUNTIFS('Daily Production'!$A$5:$A$504,A290,'Daily Production'!$F$5:$F$504,B290)</f>
        <v>0</v>
      </c>
      <c r="H290" s="7">
        <f>SUMIFS('Daily Production'!$L$5:$L$504,'Daily Production'!$A$5:$A$504,A290,'Daily Production'!$F$5:$F$504,B290)</f>
        <v>0</v>
      </c>
      <c r="I290" s="7">
        <f>SUMIFS('Daily Production'!$J$5:$J$504,'Daily Production'!$A$5:$A$504,A290,'Daily Production'!$F$5:$F$504,B290)</f>
        <v>0</v>
      </c>
      <c r="J290" s="7">
        <f>SUMIFS('Daily Production'!$K$5:$K$504,'Daily Production'!$A$5:$A$504,A290,'Daily Production'!$F$5:$F$504,B290)</f>
        <v>0</v>
      </c>
      <c r="K290" s="13">
        <f>SUMIFS('Daily Production'!$Q$5:$Q$504,'Daily Production'!$A$5:$A$504,A290,'Daily Production'!$F$5:$F$504,B290)</f>
        <v>0</v>
      </c>
      <c r="L290" s="13">
        <f>IF(C290="Present",Settings!$B$5,IF(C290="Half Day",Settings!$B$5/2,0))</f>
        <v>0</v>
      </c>
    </row>
    <row r="291" ht="15.75" customHeight="1">
      <c r="A291" s="15"/>
      <c r="B291" s="7"/>
      <c r="C291" s="7"/>
      <c r="D291" s="16"/>
      <c r="E291" s="16"/>
      <c r="F291" s="7">
        <f t="shared" si="1"/>
        <v>0</v>
      </c>
      <c r="G291" s="7">
        <f>COUNTIFS('Daily Production'!$A$5:$A$504,A291,'Daily Production'!$F$5:$F$504,B291)</f>
        <v>0</v>
      </c>
      <c r="H291" s="7">
        <f>SUMIFS('Daily Production'!$L$5:$L$504,'Daily Production'!$A$5:$A$504,A291,'Daily Production'!$F$5:$F$504,B291)</f>
        <v>0</v>
      </c>
      <c r="I291" s="7">
        <f>SUMIFS('Daily Production'!$J$5:$J$504,'Daily Production'!$A$5:$A$504,A291,'Daily Production'!$F$5:$F$504,B291)</f>
        <v>0</v>
      </c>
      <c r="J291" s="7">
        <f>SUMIFS('Daily Production'!$K$5:$K$504,'Daily Production'!$A$5:$A$504,A291,'Daily Production'!$F$5:$F$504,B291)</f>
        <v>0</v>
      </c>
      <c r="K291" s="13">
        <f>SUMIFS('Daily Production'!$Q$5:$Q$504,'Daily Production'!$A$5:$A$504,A291,'Daily Production'!$F$5:$F$504,B291)</f>
        <v>0</v>
      </c>
      <c r="L291" s="13">
        <f>IF(C291="Present",Settings!$B$5,IF(C291="Half Day",Settings!$B$5/2,0))</f>
        <v>0</v>
      </c>
    </row>
    <row r="292" ht="15.75" customHeight="1">
      <c r="A292" s="15"/>
      <c r="B292" s="7"/>
      <c r="C292" s="7"/>
      <c r="D292" s="16"/>
      <c r="E292" s="16"/>
      <c r="F292" s="7">
        <f t="shared" si="1"/>
        <v>0</v>
      </c>
      <c r="G292" s="7">
        <f>COUNTIFS('Daily Production'!$A$5:$A$504,A292,'Daily Production'!$F$5:$F$504,B292)</f>
        <v>0</v>
      </c>
      <c r="H292" s="7">
        <f>SUMIFS('Daily Production'!$L$5:$L$504,'Daily Production'!$A$5:$A$504,A292,'Daily Production'!$F$5:$F$504,B292)</f>
        <v>0</v>
      </c>
      <c r="I292" s="7">
        <f>SUMIFS('Daily Production'!$J$5:$J$504,'Daily Production'!$A$5:$A$504,A292,'Daily Production'!$F$5:$F$504,B292)</f>
        <v>0</v>
      </c>
      <c r="J292" s="7">
        <f>SUMIFS('Daily Production'!$K$5:$K$504,'Daily Production'!$A$5:$A$504,A292,'Daily Production'!$F$5:$F$504,B292)</f>
        <v>0</v>
      </c>
      <c r="K292" s="13">
        <f>SUMIFS('Daily Production'!$Q$5:$Q$504,'Daily Production'!$A$5:$A$504,A292,'Daily Production'!$F$5:$F$504,B292)</f>
        <v>0</v>
      </c>
      <c r="L292" s="13">
        <f>IF(C292="Present",Settings!$B$5,IF(C292="Half Day",Settings!$B$5/2,0))</f>
        <v>0</v>
      </c>
    </row>
    <row r="293" ht="15.75" customHeight="1">
      <c r="A293" s="15"/>
      <c r="B293" s="7"/>
      <c r="C293" s="7"/>
      <c r="D293" s="16"/>
      <c r="E293" s="16"/>
      <c r="F293" s="7">
        <f t="shared" si="1"/>
        <v>0</v>
      </c>
      <c r="G293" s="7">
        <f>COUNTIFS('Daily Production'!$A$5:$A$504,A293,'Daily Production'!$F$5:$F$504,B293)</f>
        <v>0</v>
      </c>
      <c r="H293" s="7">
        <f>SUMIFS('Daily Production'!$L$5:$L$504,'Daily Production'!$A$5:$A$504,A293,'Daily Production'!$F$5:$F$504,B293)</f>
        <v>0</v>
      </c>
      <c r="I293" s="7">
        <f>SUMIFS('Daily Production'!$J$5:$J$504,'Daily Production'!$A$5:$A$504,A293,'Daily Production'!$F$5:$F$504,B293)</f>
        <v>0</v>
      </c>
      <c r="J293" s="7">
        <f>SUMIFS('Daily Production'!$K$5:$K$504,'Daily Production'!$A$5:$A$504,A293,'Daily Production'!$F$5:$F$504,B293)</f>
        <v>0</v>
      </c>
      <c r="K293" s="13">
        <f>SUMIFS('Daily Production'!$Q$5:$Q$504,'Daily Production'!$A$5:$A$504,A293,'Daily Production'!$F$5:$F$504,B293)</f>
        <v>0</v>
      </c>
      <c r="L293" s="13">
        <f>IF(C293="Present",Settings!$B$5,IF(C293="Half Day",Settings!$B$5/2,0))</f>
        <v>0</v>
      </c>
    </row>
    <row r="294" ht="15.75" customHeight="1">
      <c r="A294" s="15"/>
      <c r="B294" s="7"/>
      <c r="C294" s="7"/>
      <c r="D294" s="16"/>
      <c r="E294" s="16"/>
      <c r="F294" s="7">
        <f t="shared" si="1"/>
        <v>0</v>
      </c>
      <c r="G294" s="7">
        <f>COUNTIFS('Daily Production'!$A$5:$A$504,A294,'Daily Production'!$F$5:$F$504,B294)</f>
        <v>0</v>
      </c>
      <c r="H294" s="7">
        <f>SUMIFS('Daily Production'!$L$5:$L$504,'Daily Production'!$A$5:$A$504,A294,'Daily Production'!$F$5:$F$504,B294)</f>
        <v>0</v>
      </c>
      <c r="I294" s="7">
        <f>SUMIFS('Daily Production'!$J$5:$J$504,'Daily Production'!$A$5:$A$504,A294,'Daily Production'!$F$5:$F$504,B294)</f>
        <v>0</v>
      </c>
      <c r="J294" s="7">
        <f>SUMIFS('Daily Production'!$K$5:$K$504,'Daily Production'!$A$5:$A$504,A294,'Daily Production'!$F$5:$F$504,B294)</f>
        <v>0</v>
      </c>
      <c r="K294" s="13">
        <f>SUMIFS('Daily Production'!$Q$5:$Q$504,'Daily Production'!$A$5:$A$504,A294,'Daily Production'!$F$5:$F$504,B294)</f>
        <v>0</v>
      </c>
      <c r="L294" s="13">
        <f>IF(C294="Present",Settings!$B$5,IF(C294="Half Day",Settings!$B$5/2,0))</f>
        <v>0</v>
      </c>
    </row>
    <row r="295" ht="15.75" customHeight="1">
      <c r="A295" s="15"/>
      <c r="B295" s="7"/>
      <c r="C295" s="7"/>
      <c r="D295" s="16"/>
      <c r="E295" s="16"/>
      <c r="F295" s="7">
        <f t="shared" si="1"/>
        <v>0</v>
      </c>
      <c r="G295" s="7">
        <f>COUNTIFS('Daily Production'!$A$5:$A$504,A295,'Daily Production'!$F$5:$F$504,B295)</f>
        <v>0</v>
      </c>
      <c r="H295" s="7">
        <f>SUMIFS('Daily Production'!$L$5:$L$504,'Daily Production'!$A$5:$A$504,A295,'Daily Production'!$F$5:$F$504,B295)</f>
        <v>0</v>
      </c>
      <c r="I295" s="7">
        <f>SUMIFS('Daily Production'!$J$5:$J$504,'Daily Production'!$A$5:$A$504,A295,'Daily Production'!$F$5:$F$504,B295)</f>
        <v>0</v>
      </c>
      <c r="J295" s="7">
        <f>SUMIFS('Daily Production'!$K$5:$K$504,'Daily Production'!$A$5:$A$504,A295,'Daily Production'!$F$5:$F$504,B295)</f>
        <v>0</v>
      </c>
      <c r="K295" s="13">
        <f>SUMIFS('Daily Production'!$Q$5:$Q$504,'Daily Production'!$A$5:$A$504,A295,'Daily Production'!$F$5:$F$504,B295)</f>
        <v>0</v>
      </c>
      <c r="L295" s="13">
        <f>IF(C295="Present",Settings!$B$5,IF(C295="Half Day",Settings!$B$5/2,0))</f>
        <v>0</v>
      </c>
    </row>
    <row r="296" ht="15.75" customHeight="1">
      <c r="A296" s="15"/>
      <c r="B296" s="7"/>
      <c r="C296" s="7"/>
      <c r="D296" s="16"/>
      <c r="E296" s="16"/>
      <c r="F296" s="7">
        <f t="shared" si="1"/>
        <v>0</v>
      </c>
      <c r="G296" s="7">
        <f>COUNTIFS('Daily Production'!$A$5:$A$504,A296,'Daily Production'!$F$5:$F$504,B296)</f>
        <v>0</v>
      </c>
      <c r="H296" s="7">
        <f>SUMIFS('Daily Production'!$L$5:$L$504,'Daily Production'!$A$5:$A$504,A296,'Daily Production'!$F$5:$F$504,B296)</f>
        <v>0</v>
      </c>
      <c r="I296" s="7">
        <f>SUMIFS('Daily Production'!$J$5:$J$504,'Daily Production'!$A$5:$A$504,A296,'Daily Production'!$F$5:$F$504,B296)</f>
        <v>0</v>
      </c>
      <c r="J296" s="7">
        <f>SUMIFS('Daily Production'!$K$5:$K$504,'Daily Production'!$A$5:$A$504,A296,'Daily Production'!$F$5:$F$504,B296)</f>
        <v>0</v>
      </c>
      <c r="K296" s="13">
        <f>SUMIFS('Daily Production'!$Q$5:$Q$504,'Daily Production'!$A$5:$A$504,A296,'Daily Production'!$F$5:$F$504,B296)</f>
        <v>0</v>
      </c>
      <c r="L296" s="13">
        <f>IF(C296="Present",Settings!$B$5,IF(C296="Half Day",Settings!$B$5/2,0))</f>
        <v>0</v>
      </c>
    </row>
    <row r="297" ht="15.75" customHeight="1">
      <c r="A297" s="15"/>
      <c r="B297" s="7"/>
      <c r="C297" s="7"/>
      <c r="D297" s="16"/>
      <c r="E297" s="16"/>
      <c r="F297" s="7">
        <f t="shared" si="1"/>
        <v>0</v>
      </c>
      <c r="G297" s="7">
        <f>COUNTIFS('Daily Production'!$A$5:$A$504,A297,'Daily Production'!$F$5:$F$504,B297)</f>
        <v>0</v>
      </c>
      <c r="H297" s="7">
        <f>SUMIFS('Daily Production'!$L$5:$L$504,'Daily Production'!$A$5:$A$504,A297,'Daily Production'!$F$5:$F$504,B297)</f>
        <v>0</v>
      </c>
      <c r="I297" s="7">
        <f>SUMIFS('Daily Production'!$J$5:$J$504,'Daily Production'!$A$5:$A$504,A297,'Daily Production'!$F$5:$F$504,B297)</f>
        <v>0</v>
      </c>
      <c r="J297" s="7">
        <f>SUMIFS('Daily Production'!$K$5:$K$504,'Daily Production'!$A$5:$A$504,A297,'Daily Production'!$F$5:$F$504,B297)</f>
        <v>0</v>
      </c>
      <c r="K297" s="13">
        <f>SUMIFS('Daily Production'!$Q$5:$Q$504,'Daily Production'!$A$5:$A$504,A297,'Daily Production'!$F$5:$F$504,B297)</f>
        <v>0</v>
      </c>
      <c r="L297" s="13">
        <f>IF(C297="Present",Settings!$B$5,IF(C297="Half Day",Settings!$B$5/2,0))</f>
        <v>0</v>
      </c>
    </row>
    <row r="298" ht="15.75" customHeight="1">
      <c r="A298" s="15"/>
      <c r="B298" s="7"/>
      <c r="C298" s="7"/>
      <c r="D298" s="16"/>
      <c r="E298" s="16"/>
      <c r="F298" s="7">
        <f t="shared" si="1"/>
        <v>0</v>
      </c>
      <c r="G298" s="7">
        <f>COUNTIFS('Daily Production'!$A$5:$A$504,A298,'Daily Production'!$F$5:$F$504,B298)</f>
        <v>0</v>
      </c>
      <c r="H298" s="7">
        <f>SUMIFS('Daily Production'!$L$5:$L$504,'Daily Production'!$A$5:$A$504,A298,'Daily Production'!$F$5:$F$504,B298)</f>
        <v>0</v>
      </c>
      <c r="I298" s="7">
        <f>SUMIFS('Daily Production'!$J$5:$J$504,'Daily Production'!$A$5:$A$504,A298,'Daily Production'!$F$5:$F$504,B298)</f>
        <v>0</v>
      </c>
      <c r="J298" s="7">
        <f>SUMIFS('Daily Production'!$K$5:$K$504,'Daily Production'!$A$5:$A$504,A298,'Daily Production'!$F$5:$F$504,B298)</f>
        <v>0</v>
      </c>
      <c r="K298" s="13">
        <f>SUMIFS('Daily Production'!$Q$5:$Q$504,'Daily Production'!$A$5:$A$504,A298,'Daily Production'!$F$5:$F$504,B298)</f>
        <v>0</v>
      </c>
      <c r="L298" s="13">
        <f>IF(C298="Present",Settings!$B$5,IF(C298="Half Day",Settings!$B$5/2,0))</f>
        <v>0</v>
      </c>
    </row>
    <row r="299" ht="15.75" customHeight="1">
      <c r="A299" s="15"/>
      <c r="B299" s="7"/>
      <c r="C299" s="7"/>
      <c r="D299" s="16"/>
      <c r="E299" s="16"/>
      <c r="F299" s="7">
        <f t="shared" si="1"/>
        <v>0</v>
      </c>
      <c r="G299" s="7">
        <f>COUNTIFS('Daily Production'!$A$5:$A$504,A299,'Daily Production'!$F$5:$F$504,B299)</f>
        <v>0</v>
      </c>
      <c r="H299" s="7">
        <f>SUMIFS('Daily Production'!$L$5:$L$504,'Daily Production'!$A$5:$A$504,A299,'Daily Production'!$F$5:$F$504,B299)</f>
        <v>0</v>
      </c>
      <c r="I299" s="7">
        <f>SUMIFS('Daily Production'!$J$5:$J$504,'Daily Production'!$A$5:$A$504,A299,'Daily Production'!$F$5:$F$504,B299)</f>
        <v>0</v>
      </c>
      <c r="J299" s="7">
        <f>SUMIFS('Daily Production'!$K$5:$K$504,'Daily Production'!$A$5:$A$504,A299,'Daily Production'!$F$5:$F$504,B299)</f>
        <v>0</v>
      </c>
      <c r="K299" s="13">
        <f>SUMIFS('Daily Production'!$Q$5:$Q$504,'Daily Production'!$A$5:$A$504,A299,'Daily Production'!$F$5:$F$504,B299)</f>
        <v>0</v>
      </c>
      <c r="L299" s="13">
        <f>IF(C299="Present",Settings!$B$5,IF(C299="Half Day",Settings!$B$5/2,0))</f>
        <v>0</v>
      </c>
    </row>
    <row r="300" ht="15.75" customHeight="1">
      <c r="A300" s="15"/>
      <c r="B300" s="7"/>
      <c r="C300" s="7"/>
      <c r="D300" s="16"/>
      <c r="E300" s="16"/>
      <c r="F300" s="7">
        <f t="shared" si="1"/>
        <v>0</v>
      </c>
      <c r="G300" s="7">
        <f>COUNTIFS('Daily Production'!$A$5:$A$504,A300,'Daily Production'!$F$5:$F$504,B300)</f>
        <v>0</v>
      </c>
      <c r="H300" s="7">
        <f>SUMIFS('Daily Production'!$L$5:$L$504,'Daily Production'!$A$5:$A$504,A300,'Daily Production'!$F$5:$F$504,B300)</f>
        <v>0</v>
      </c>
      <c r="I300" s="7">
        <f>SUMIFS('Daily Production'!$J$5:$J$504,'Daily Production'!$A$5:$A$504,A300,'Daily Production'!$F$5:$F$504,B300)</f>
        <v>0</v>
      </c>
      <c r="J300" s="7">
        <f>SUMIFS('Daily Production'!$K$5:$K$504,'Daily Production'!$A$5:$A$504,A300,'Daily Production'!$F$5:$F$504,B300)</f>
        <v>0</v>
      </c>
      <c r="K300" s="13">
        <f>SUMIFS('Daily Production'!$Q$5:$Q$504,'Daily Production'!$A$5:$A$504,A300,'Daily Production'!$F$5:$F$504,B300)</f>
        <v>0</v>
      </c>
      <c r="L300" s="13">
        <f>IF(C300="Present",Settings!$B$5,IF(C300="Half Day",Settings!$B$5/2,0))</f>
        <v>0</v>
      </c>
    </row>
    <row r="301" ht="15.75" customHeight="1">
      <c r="A301" s="15"/>
      <c r="B301" s="7"/>
      <c r="C301" s="7"/>
      <c r="D301" s="16"/>
      <c r="E301" s="16"/>
      <c r="F301" s="7">
        <f t="shared" si="1"/>
        <v>0</v>
      </c>
      <c r="G301" s="7">
        <f>COUNTIFS('Daily Production'!$A$5:$A$504,A301,'Daily Production'!$F$5:$F$504,B301)</f>
        <v>0</v>
      </c>
      <c r="H301" s="7">
        <f>SUMIFS('Daily Production'!$L$5:$L$504,'Daily Production'!$A$5:$A$504,A301,'Daily Production'!$F$5:$F$504,B301)</f>
        <v>0</v>
      </c>
      <c r="I301" s="7">
        <f>SUMIFS('Daily Production'!$J$5:$J$504,'Daily Production'!$A$5:$A$504,A301,'Daily Production'!$F$5:$F$504,B301)</f>
        <v>0</v>
      </c>
      <c r="J301" s="7">
        <f>SUMIFS('Daily Production'!$K$5:$K$504,'Daily Production'!$A$5:$A$504,A301,'Daily Production'!$F$5:$F$504,B301)</f>
        <v>0</v>
      </c>
      <c r="K301" s="13">
        <f>SUMIFS('Daily Production'!$Q$5:$Q$504,'Daily Production'!$A$5:$A$504,A301,'Daily Production'!$F$5:$F$504,B301)</f>
        <v>0</v>
      </c>
      <c r="L301" s="13">
        <f>IF(C301="Present",Settings!$B$5,IF(C301="Half Day",Settings!$B$5/2,0))</f>
        <v>0</v>
      </c>
    </row>
    <row r="302" ht="15.75" customHeight="1">
      <c r="A302" s="15"/>
      <c r="B302" s="7"/>
      <c r="C302" s="7"/>
      <c r="D302" s="16"/>
      <c r="E302" s="16"/>
      <c r="F302" s="7">
        <f t="shared" si="1"/>
        <v>0</v>
      </c>
      <c r="G302" s="7">
        <f>COUNTIFS('Daily Production'!$A$5:$A$504,A302,'Daily Production'!$F$5:$F$504,B302)</f>
        <v>0</v>
      </c>
      <c r="H302" s="7">
        <f>SUMIFS('Daily Production'!$L$5:$L$504,'Daily Production'!$A$5:$A$504,A302,'Daily Production'!$F$5:$F$504,B302)</f>
        <v>0</v>
      </c>
      <c r="I302" s="7">
        <f>SUMIFS('Daily Production'!$J$5:$J$504,'Daily Production'!$A$5:$A$504,A302,'Daily Production'!$F$5:$F$504,B302)</f>
        <v>0</v>
      </c>
      <c r="J302" s="7">
        <f>SUMIFS('Daily Production'!$K$5:$K$504,'Daily Production'!$A$5:$A$504,A302,'Daily Production'!$F$5:$F$504,B302)</f>
        <v>0</v>
      </c>
      <c r="K302" s="13">
        <f>SUMIFS('Daily Production'!$Q$5:$Q$504,'Daily Production'!$A$5:$A$504,A302,'Daily Production'!$F$5:$F$504,B302)</f>
        <v>0</v>
      </c>
      <c r="L302" s="13">
        <f>IF(C302="Present",Settings!$B$5,IF(C302="Half Day",Settings!$B$5/2,0))</f>
        <v>0</v>
      </c>
    </row>
    <row r="303" ht="15.75" customHeight="1">
      <c r="A303" s="15"/>
      <c r="B303" s="7"/>
      <c r="C303" s="7"/>
      <c r="D303" s="16"/>
      <c r="E303" s="16"/>
      <c r="F303" s="7">
        <f t="shared" si="1"/>
        <v>0</v>
      </c>
      <c r="G303" s="7">
        <f>COUNTIFS('Daily Production'!$A$5:$A$504,A303,'Daily Production'!$F$5:$F$504,B303)</f>
        <v>0</v>
      </c>
      <c r="H303" s="7">
        <f>SUMIFS('Daily Production'!$L$5:$L$504,'Daily Production'!$A$5:$A$504,A303,'Daily Production'!$F$5:$F$504,B303)</f>
        <v>0</v>
      </c>
      <c r="I303" s="7">
        <f>SUMIFS('Daily Production'!$J$5:$J$504,'Daily Production'!$A$5:$A$504,A303,'Daily Production'!$F$5:$F$504,B303)</f>
        <v>0</v>
      </c>
      <c r="J303" s="7">
        <f>SUMIFS('Daily Production'!$K$5:$K$504,'Daily Production'!$A$5:$A$504,A303,'Daily Production'!$F$5:$F$504,B303)</f>
        <v>0</v>
      </c>
      <c r="K303" s="13">
        <f>SUMIFS('Daily Production'!$Q$5:$Q$504,'Daily Production'!$A$5:$A$504,A303,'Daily Production'!$F$5:$F$504,B303)</f>
        <v>0</v>
      </c>
      <c r="L303" s="13">
        <f>IF(C303="Present",Settings!$B$5,IF(C303="Half Day",Settings!$B$5/2,0))</f>
        <v>0</v>
      </c>
    </row>
    <row r="304" ht="15.75" customHeight="1">
      <c r="A304" s="15"/>
      <c r="B304" s="7"/>
      <c r="C304" s="7"/>
      <c r="D304" s="16"/>
      <c r="E304" s="16"/>
      <c r="F304" s="7">
        <f t="shared" si="1"/>
        <v>0</v>
      </c>
      <c r="G304" s="7">
        <f>COUNTIFS('Daily Production'!$A$5:$A$504,A304,'Daily Production'!$F$5:$F$504,B304)</f>
        <v>0</v>
      </c>
      <c r="H304" s="7">
        <f>SUMIFS('Daily Production'!$L$5:$L$504,'Daily Production'!$A$5:$A$504,A304,'Daily Production'!$F$5:$F$504,B304)</f>
        <v>0</v>
      </c>
      <c r="I304" s="7">
        <f>SUMIFS('Daily Production'!$J$5:$J$504,'Daily Production'!$A$5:$A$504,A304,'Daily Production'!$F$5:$F$504,B304)</f>
        <v>0</v>
      </c>
      <c r="J304" s="7">
        <f>SUMIFS('Daily Production'!$K$5:$K$504,'Daily Production'!$A$5:$A$504,A304,'Daily Production'!$F$5:$F$504,B304)</f>
        <v>0</v>
      </c>
      <c r="K304" s="13">
        <f>SUMIFS('Daily Production'!$Q$5:$Q$504,'Daily Production'!$A$5:$A$504,A304,'Daily Production'!$F$5:$F$504,B304)</f>
        <v>0</v>
      </c>
      <c r="L304" s="13">
        <f>IF(C304="Present",Settings!$B$5,IF(C304="Half Day",Settings!$B$5/2,0))</f>
        <v>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dataValidations>
    <dataValidation type="list" allowBlank="1" sqref="B5:B304">
      <formula1>'Master Data'!$E$5:$E$13</formula1>
    </dataValidation>
    <dataValidation type="list" allowBlank="1" sqref="C5:C304">
      <formula1>'Master Data'!$Q$5:$Q$8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14.0"/>
    <col customWidth="1" min="5" max="5" width="19.0"/>
    <col customWidth="1" min="6" max="6" width="22.0"/>
    <col customWidth="1" min="7" max="7" width="10.0"/>
    <col customWidth="1" min="8" max="8" width="14.0"/>
    <col customWidth="1" min="9" max="9" width="12.0"/>
    <col customWidth="1" min="10" max="10" width="22.0"/>
    <col customWidth="1" min="11" max="13" width="11.0"/>
    <col customWidth="1" min="14" max="15" width="10.0"/>
    <col customWidth="1" min="16" max="16" width="24.0"/>
    <col customWidth="1" min="17" max="17" width="28.0"/>
    <col customWidth="1" min="18" max="18" width="11.0"/>
    <col customWidth="1" min="19" max="26" width="8.63"/>
  </cols>
  <sheetData>
    <row r="1" ht="27.75" customHeight="1">
      <c r="A1" s="2" t="s">
        <v>210</v>
      </c>
    </row>
    <row r="2">
      <c r="A2" s="4" t="s">
        <v>211</v>
      </c>
    </row>
    <row r="4" ht="31.5" customHeight="1">
      <c r="A4" s="5" t="s">
        <v>186</v>
      </c>
      <c r="B4" s="5" t="s">
        <v>212</v>
      </c>
      <c r="C4" s="5" t="s">
        <v>213</v>
      </c>
      <c r="D4" s="5" t="s">
        <v>172</v>
      </c>
      <c r="E4" s="5" t="s">
        <v>174</v>
      </c>
      <c r="F4" s="5" t="s">
        <v>176</v>
      </c>
      <c r="G4" s="5" t="s">
        <v>177</v>
      </c>
      <c r="H4" s="5" t="s">
        <v>165</v>
      </c>
      <c r="I4" s="5" t="s">
        <v>190</v>
      </c>
      <c r="J4" s="5" t="s">
        <v>214</v>
      </c>
      <c r="K4" s="5" t="s">
        <v>215</v>
      </c>
      <c r="L4" s="5" t="s">
        <v>216</v>
      </c>
      <c r="M4" s="5" t="s">
        <v>192</v>
      </c>
      <c r="N4" s="5" t="s">
        <v>193</v>
      </c>
      <c r="O4" s="5" t="s">
        <v>217</v>
      </c>
      <c r="P4" s="5" t="s">
        <v>218</v>
      </c>
      <c r="Q4" s="5" t="s">
        <v>219</v>
      </c>
      <c r="R4" s="5" t="s">
        <v>220</v>
      </c>
    </row>
    <row r="5">
      <c r="A5" s="15"/>
      <c r="B5" s="7"/>
      <c r="C5" s="7"/>
      <c r="D5" s="7"/>
      <c r="E5" s="7" t="str">
        <f t="array" ref="E5">IFERROR(INDEX('Order Planning'!$C$5:$C$204,MATCH(D5,'Order Planning'!$A$5:$A$204,0)),"")</f>
        <v/>
      </c>
      <c r="F5" s="7" t="str">
        <f t="array" ref="F5">IFERROR(INDEX('Order Planning'!$E$5:$E$204,MATCH(D5,'Order Planning'!$A$5:$A$204,0)),"")</f>
        <v/>
      </c>
      <c r="G5" s="7" t="str">
        <f t="array" ref="G5">IFERROR(INDEX('Order Planning'!$F$5:$F$204,MATCH(D5,'Order Planning'!$A$5:$A$204,0)),"")</f>
        <v/>
      </c>
      <c r="H5" s="7"/>
      <c r="I5" s="7"/>
      <c r="J5" s="7"/>
      <c r="O5" s="22">
        <f t="shared" ref="O5:O504" si="1">IF(K5=0,0,L5/K5)</f>
        <v>0</v>
      </c>
      <c r="R5" s="7"/>
    </row>
    <row r="6">
      <c r="A6" s="15"/>
      <c r="B6" s="7"/>
      <c r="C6" s="7"/>
      <c r="D6" s="7"/>
      <c r="E6" s="7" t="str">
        <f t="array" ref="E6">IFERROR(INDEX('Order Planning'!$C$5:$C$204,MATCH(D6,'Order Planning'!$A$5:$A$204,0)),"")</f>
        <v/>
      </c>
      <c r="F6" s="7" t="str">
        <f t="array" ref="F6">IFERROR(INDEX('Order Planning'!$E$5:$E$204,MATCH(D6,'Order Planning'!$A$5:$A$204,0)),"")</f>
        <v/>
      </c>
      <c r="G6" s="7" t="str">
        <f t="array" ref="G6">IFERROR(INDEX('Order Planning'!$F$5:$F$204,MATCH(D6,'Order Planning'!$A$5:$A$204,0)),"")</f>
        <v/>
      </c>
      <c r="H6" s="7"/>
      <c r="I6" s="7"/>
      <c r="J6" s="7"/>
      <c r="O6" s="22">
        <f t="shared" si="1"/>
        <v>0</v>
      </c>
      <c r="R6" s="7"/>
    </row>
    <row r="7">
      <c r="A7" s="15"/>
      <c r="B7" s="7"/>
      <c r="C7" s="7"/>
      <c r="D7" s="7"/>
      <c r="E7" s="7" t="str">
        <f t="array" ref="E7">IFERROR(INDEX('Order Planning'!$C$5:$C$204,MATCH(D7,'Order Planning'!$A$5:$A$204,0)),"")</f>
        <v/>
      </c>
      <c r="F7" s="7" t="str">
        <f t="array" ref="F7">IFERROR(INDEX('Order Planning'!$E$5:$E$204,MATCH(D7,'Order Planning'!$A$5:$A$204,0)),"")</f>
        <v/>
      </c>
      <c r="G7" s="7" t="str">
        <f t="array" ref="G7">IFERROR(INDEX('Order Planning'!$F$5:$F$204,MATCH(D7,'Order Planning'!$A$5:$A$204,0)),"")</f>
        <v/>
      </c>
      <c r="H7" s="7"/>
      <c r="I7" s="7"/>
      <c r="J7" s="7"/>
      <c r="O7" s="22">
        <f t="shared" si="1"/>
        <v>0</v>
      </c>
      <c r="R7" s="7"/>
    </row>
    <row r="8">
      <c r="A8" s="15"/>
      <c r="B8" s="7"/>
      <c r="C8" s="7"/>
      <c r="D8" s="7"/>
      <c r="E8" s="7" t="str">
        <f t="array" ref="E8">IFERROR(INDEX('Order Planning'!$C$5:$C$204,MATCH(D8,'Order Planning'!$A$5:$A$204,0)),"")</f>
        <v/>
      </c>
      <c r="F8" s="7" t="str">
        <f t="array" ref="F8">IFERROR(INDEX('Order Planning'!$E$5:$E$204,MATCH(D8,'Order Planning'!$A$5:$A$204,0)),"")</f>
        <v/>
      </c>
      <c r="G8" s="7" t="str">
        <f t="array" ref="G8">IFERROR(INDEX('Order Planning'!$F$5:$F$204,MATCH(D8,'Order Planning'!$A$5:$A$204,0)),"")</f>
        <v/>
      </c>
      <c r="H8" s="7"/>
      <c r="I8" s="7"/>
      <c r="J8" s="7"/>
      <c r="O8" s="22">
        <f t="shared" si="1"/>
        <v>0</v>
      </c>
      <c r="R8" s="7"/>
    </row>
    <row r="9">
      <c r="A9" s="15"/>
      <c r="B9" s="7"/>
      <c r="C9" s="7"/>
      <c r="D9" s="7"/>
      <c r="E9" s="7" t="str">
        <f t="array" ref="E9">IFERROR(INDEX('Order Planning'!$C$5:$C$204,MATCH(D9,'Order Planning'!$A$5:$A$204,0)),"")</f>
        <v/>
      </c>
      <c r="F9" s="7" t="str">
        <f t="array" ref="F9">IFERROR(INDEX('Order Planning'!$E$5:$E$204,MATCH(D9,'Order Planning'!$A$5:$A$204,0)),"")</f>
        <v/>
      </c>
      <c r="G9" s="7" t="str">
        <f t="array" ref="G9">IFERROR(INDEX('Order Planning'!$F$5:$F$204,MATCH(D9,'Order Planning'!$A$5:$A$204,0)),"")</f>
        <v/>
      </c>
      <c r="H9" s="7"/>
      <c r="I9" s="7"/>
      <c r="J9" s="7"/>
      <c r="O9" s="22">
        <f t="shared" si="1"/>
        <v>0</v>
      </c>
      <c r="R9" s="7"/>
    </row>
    <row r="10">
      <c r="A10" s="15"/>
      <c r="B10" s="7"/>
      <c r="C10" s="7"/>
      <c r="D10" s="7"/>
      <c r="E10" s="7" t="str">
        <f t="array" ref="E10">IFERROR(INDEX('Order Planning'!$C$5:$C$204,MATCH(D10,'Order Planning'!$A$5:$A$204,0)),"")</f>
        <v/>
      </c>
      <c r="F10" s="7" t="str">
        <f t="array" ref="F10">IFERROR(INDEX('Order Planning'!$E$5:$E$204,MATCH(D10,'Order Planning'!$A$5:$A$204,0)),"")</f>
        <v/>
      </c>
      <c r="G10" s="7" t="str">
        <f t="array" ref="G10">IFERROR(INDEX('Order Planning'!$F$5:$F$204,MATCH(D10,'Order Planning'!$A$5:$A$204,0)),"")</f>
        <v/>
      </c>
      <c r="H10" s="7"/>
      <c r="I10" s="7"/>
      <c r="J10" s="7"/>
      <c r="O10" s="22">
        <f t="shared" si="1"/>
        <v>0</v>
      </c>
      <c r="R10" s="7"/>
    </row>
    <row r="11">
      <c r="A11" s="15"/>
      <c r="B11" s="7"/>
      <c r="C11" s="7"/>
      <c r="D11" s="7"/>
      <c r="E11" s="7" t="str">
        <f t="array" ref="E11">IFERROR(INDEX('Order Planning'!$C$5:$C$204,MATCH(D11,'Order Planning'!$A$5:$A$204,0)),"")</f>
        <v/>
      </c>
      <c r="F11" s="7" t="str">
        <f t="array" ref="F11">IFERROR(INDEX('Order Planning'!$E$5:$E$204,MATCH(D11,'Order Planning'!$A$5:$A$204,0)),"")</f>
        <v/>
      </c>
      <c r="G11" s="7" t="str">
        <f t="array" ref="G11">IFERROR(INDEX('Order Planning'!$F$5:$F$204,MATCH(D11,'Order Planning'!$A$5:$A$204,0)),"")</f>
        <v/>
      </c>
      <c r="H11" s="7"/>
      <c r="I11" s="7"/>
      <c r="J11" s="7"/>
      <c r="O11" s="22">
        <f t="shared" si="1"/>
        <v>0</v>
      </c>
      <c r="R11" s="7"/>
    </row>
    <row r="12">
      <c r="A12" s="15"/>
      <c r="B12" s="7"/>
      <c r="C12" s="7"/>
      <c r="D12" s="7"/>
      <c r="E12" s="7" t="str">
        <f t="array" ref="E12">IFERROR(INDEX('Order Planning'!$C$5:$C$204,MATCH(D12,'Order Planning'!$A$5:$A$204,0)),"")</f>
        <v/>
      </c>
      <c r="F12" s="7" t="str">
        <f t="array" ref="F12">IFERROR(INDEX('Order Planning'!$E$5:$E$204,MATCH(D12,'Order Planning'!$A$5:$A$204,0)),"")</f>
        <v/>
      </c>
      <c r="G12" s="7" t="str">
        <f t="array" ref="G12">IFERROR(INDEX('Order Planning'!$F$5:$F$204,MATCH(D12,'Order Planning'!$A$5:$A$204,0)),"")</f>
        <v/>
      </c>
      <c r="H12" s="7"/>
      <c r="I12" s="7"/>
      <c r="J12" s="7"/>
      <c r="O12" s="22">
        <f t="shared" si="1"/>
        <v>0</v>
      </c>
      <c r="R12" s="7"/>
    </row>
    <row r="13">
      <c r="A13" s="15"/>
      <c r="B13" s="7"/>
      <c r="C13" s="7"/>
      <c r="D13" s="7"/>
      <c r="E13" s="7" t="str">
        <f t="array" ref="E13">IFERROR(INDEX('Order Planning'!$C$5:$C$204,MATCH(D13,'Order Planning'!$A$5:$A$204,0)),"")</f>
        <v/>
      </c>
      <c r="F13" s="7" t="str">
        <f t="array" ref="F13">IFERROR(INDEX('Order Planning'!$E$5:$E$204,MATCH(D13,'Order Planning'!$A$5:$A$204,0)),"")</f>
        <v/>
      </c>
      <c r="G13" s="7" t="str">
        <f t="array" ref="G13">IFERROR(INDEX('Order Planning'!$F$5:$F$204,MATCH(D13,'Order Planning'!$A$5:$A$204,0)),"")</f>
        <v/>
      </c>
      <c r="H13" s="7"/>
      <c r="I13" s="7"/>
      <c r="J13" s="7"/>
      <c r="O13" s="22">
        <f t="shared" si="1"/>
        <v>0</v>
      </c>
      <c r="R13" s="7"/>
    </row>
    <row r="14">
      <c r="A14" s="15"/>
      <c r="B14" s="7"/>
      <c r="C14" s="7"/>
      <c r="D14" s="7"/>
      <c r="E14" s="7" t="str">
        <f t="array" ref="E14">IFERROR(INDEX('Order Planning'!$C$5:$C$204,MATCH(D14,'Order Planning'!$A$5:$A$204,0)),"")</f>
        <v/>
      </c>
      <c r="F14" s="7" t="str">
        <f t="array" ref="F14">IFERROR(INDEX('Order Planning'!$E$5:$E$204,MATCH(D14,'Order Planning'!$A$5:$A$204,0)),"")</f>
        <v/>
      </c>
      <c r="G14" s="7" t="str">
        <f t="array" ref="G14">IFERROR(INDEX('Order Planning'!$F$5:$F$204,MATCH(D14,'Order Planning'!$A$5:$A$204,0)),"")</f>
        <v/>
      </c>
      <c r="H14" s="7"/>
      <c r="I14" s="7"/>
      <c r="J14" s="7"/>
      <c r="O14" s="22">
        <f t="shared" si="1"/>
        <v>0</v>
      </c>
      <c r="R14" s="7"/>
    </row>
    <row r="15">
      <c r="A15" s="15"/>
      <c r="B15" s="7"/>
      <c r="C15" s="7"/>
      <c r="D15" s="7"/>
      <c r="E15" s="7" t="str">
        <f t="array" ref="E15">IFERROR(INDEX('Order Planning'!$C$5:$C$204,MATCH(D15,'Order Planning'!$A$5:$A$204,0)),"")</f>
        <v/>
      </c>
      <c r="F15" s="7" t="str">
        <f t="array" ref="F15">IFERROR(INDEX('Order Planning'!$E$5:$E$204,MATCH(D15,'Order Planning'!$A$5:$A$204,0)),"")</f>
        <v/>
      </c>
      <c r="G15" s="7" t="str">
        <f t="array" ref="G15">IFERROR(INDEX('Order Planning'!$F$5:$F$204,MATCH(D15,'Order Planning'!$A$5:$A$204,0)),"")</f>
        <v/>
      </c>
      <c r="H15" s="7"/>
      <c r="I15" s="7"/>
      <c r="J15" s="7"/>
      <c r="O15" s="22">
        <f t="shared" si="1"/>
        <v>0</v>
      </c>
      <c r="R15" s="7"/>
    </row>
    <row r="16">
      <c r="A16" s="15"/>
      <c r="B16" s="7"/>
      <c r="C16" s="7"/>
      <c r="D16" s="7"/>
      <c r="E16" s="7" t="str">
        <f t="array" ref="E16">IFERROR(INDEX('Order Planning'!$C$5:$C$204,MATCH(D16,'Order Planning'!$A$5:$A$204,0)),"")</f>
        <v/>
      </c>
      <c r="F16" s="7" t="str">
        <f t="array" ref="F16">IFERROR(INDEX('Order Planning'!$E$5:$E$204,MATCH(D16,'Order Planning'!$A$5:$A$204,0)),"")</f>
        <v/>
      </c>
      <c r="G16" s="7" t="str">
        <f t="array" ref="G16">IFERROR(INDEX('Order Planning'!$F$5:$F$204,MATCH(D16,'Order Planning'!$A$5:$A$204,0)),"")</f>
        <v/>
      </c>
      <c r="H16" s="7"/>
      <c r="I16" s="7"/>
      <c r="J16" s="7"/>
      <c r="O16" s="22">
        <f t="shared" si="1"/>
        <v>0</v>
      </c>
      <c r="R16" s="7"/>
    </row>
    <row r="17">
      <c r="A17" s="15"/>
      <c r="B17" s="7"/>
      <c r="C17" s="7"/>
      <c r="D17" s="7"/>
      <c r="E17" s="7" t="str">
        <f t="array" ref="E17">IFERROR(INDEX('Order Planning'!$C$5:$C$204,MATCH(D17,'Order Planning'!$A$5:$A$204,0)),"")</f>
        <v/>
      </c>
      <c r="F17" s="7" t="str">
        <f t="array" ref="F17">IFERROR(INDEX('Order Planning'!$E$5:$E$204,MATCH(D17,'Order Planning'!$A$5:$A$204,0)),"")</f>
        <v/>
      </c>
      <c r="G17" s="7" t="str">
        <f t="array" ref="G17">IFERROR(INDEX('Order Planning'!$F$5:$F$204,MATCH(D17,'Order Planning'!$A$5:$A$204,0)),"")</f>
        <v/>
      </c>
      <c r="H17" s="7"/>
      <c r="I17" s="7"/>
      <c r="J17" s="7"/>
      <c r="O17" s="22">
        <f t="shared" si="1"/>
        <v>0</v>
      </c>
      <c r="R17" s="7"/>
    </row>
    <row r="18">
      <c r="A18" s="15"/>
      <c r="B18" s="7"/>
      <c r="C18" s="7"/>
      <c r="D18" s="7"/>
      <c r="E18" s="7" t="str">
        <f t="array" ref="E18">IFERROR(INDEX('Order Planning'!$C$5:$C$204,MATCH(D18,'Order Planning'!$A$5:$A$204,0)),"")</f>
        <v/>
      </c>
      <c r="F18" s="7" t="str">
        <f t="array" ref="F18">IFERROR(INDEX('Order Planning'!$E$5:$E$204,MATCH(D18,'Order Planning'!$A$5:$A$204,0)),"")</f>
        <v/>
      </c>
      <c r="G18" s="7" t="str">
        <f t="array" ref="G18">IFERROR(INDEX('Order Planning'!$F$5:$F$204,MATCH(D18,'Order Planning'!$A$5:$A$204,0)),"")</f>
        <v/>
      </c>
      <c r="H18" s="7"/>
      <c r="I18" s="7"/>
      <c r="J18" s="7"/>
      <c r="O18" s="22">
        <f t="shared" si="1"/>
        <v>0</v>
      </c>
      <c r="R18" s="7"/>
    </row>
    <row r="19">
      <c r="A19" s="15"/>
      <c r="B19" s="7"/>
      <c r="C19" s="7"/>
      <c r="D19" s="7"/>
      <c r="E19" s="7" t="str">
        <f t="array" ref="E19">IFERROR(INDEX('Order Planning'!$C$5:$C$204,MATCH(D19,'Order Planning'!$A$5:$A$204,0)),"")</f>
        <v/>
      </c>
      <c r="F19" s="7" t="str">
        <f t="array" ref="F19">IFERROR(INDEX('Order Planning'!$E$5:$E$204,MATCH(D19,'Order Planning'!$A$5:$A$204,0)),"")</f>
        <v/>
      </c>
      <c r="G19" s="7" t="str">
        <f t="array" ref="G19">IFERROR(INDEX('Order Planning'!$F$5:$F$204,MATCH(D19,'Order Planning'!$A$5:$A$204,0)),"")</f>
        <v/>
      </c>
      <c r="H19" s="7"/>
      <c r="I19" s="7"/>
      <c r="J19" s="7"/>
      <c r="O19" s="22">
        <f t="shared" si="1"/>
        <v>0</v>
      </c>
      <c r="R19" s="7"/>
    </row>
    <row r="20">
      <c r="A20" s="15"/>
      <c r="B20" s="7"/>
      <c r="C20" s="7"/>
      <c r="D20" s="7"/>
      <c r="E20" s="7" t="str">
        <f t="array" ref="E20">IFERROR(INDEX('Order Planning'!$C$5:$C$204,MATCH(D20,'Order Planning'!$A$5:$A$204,0)),"")</f>
        <v/>
      </c>
      <c r="F20" s="7" t="str">
        <f t="array" ref="F20">IFERROR(INDEX('Order Planning'!$E$5:$E$204,MATCH(D20,'Order Planning'!$A$5:$A$204,0)),"")</f>
        <v/>
      </c>
      <c r="G20" s="7" t="str">
        <f t="array" ref="G20">IFERROR(INDEX('Order Planning'!$F$5:$F$204,MATCH(D20,'Order Planning'!$A$5:$A$204,0)),"")</f>
        <v/>
      </c>
      <c r="H20" s="7"/>
      <c r="I20" s="7"/>
      <c r="J20" s="7"/>
      <c r="O20" s="22">
        <f t="shared" si="1"/>
        <v>0</v>
      </c>
      <c r="R20" s="7"/>
    </row>
    <row r="21" ht="15.75" customHeight="1">
      <c r="A21" s="15"/>
      <c r="B21" s="7"/>
      <c r="C21" s="7"/>
      <c r="D21" s="7"/>
      <c r="E21" s="7" t="str">
        <f t="array" ref="E21">IFERROR(INDEX('Order Planning'!$C$5:$C$204,MATCH(D21,'Order Planning'!$A$5:$A$204,0)),"")</f>
        <v/>
      </c>
      <c r="F21" s="7" t="str">
        <f t="array" ref="F21">IFERROR(INDEX('Order Planning'!$E$5:$E$204,MATCH(D21,'Order Planning'!$A$5:$A$204,0)),"")</f>
        <v/>
      </c>
      <c r="G21" s="7" t="str">
        <f t="array" ref="G21">IFERROR(INDEX('Order Planning'!$F$5:$F$204,MATCH(D21,'Order Planning'!$A$5:$A$204,0)),"")</f>
        <v/>
      </c>
      <c r="H21" s="7"/>
      <c r="I21" s="7"/>
      <c r="J21" s="7"/>
      <c r="O21" s="22">
        <f t="shared" si="1"/>
        <v>0</v>
      </c>
      <c r="R21" s="7"/>
    </row>
    <row r="22" ht="15.75" customHeight="1">
      <c r="A22" s="15"/>
      <c r="B22" s="7"/>
      <c r="C22" s="7"/>
      <c r="D22" s="7"/>
      <c r="E22" s="7" t="str">
        <f t="array" ref="E22">IFERROR(INDEX('Order Planning'!$C$5:$C$204,MATCH(D22,'Order Planning'!$A$5:$A$204,0)),"")</f>
        <v/>
      </c>
      <c r="F22" s="7" t="str">
        <f t="array" ref="F22">IFERROR(INDEX('Order Planning'!$E$5:$E$204,MATCH(D22,'Order Planning'!$A$5:$A$204,0)),"")</f>
        <v/>
      </c>
      <c r="G22" s="7" t="str">
        <f t="array" ref="G22">IFERROR(INDEX('Order Planning'!$F$5:$F$204,MATCH(D22,'Order Planning'!$A$5:$A$204,0)),"")</f>
        <v/>
      </c>
      <c r="H22" s="7"/>
      <c r="I22" s="7"/>
      <c r="J22" s="7"/>
      <c r="O22" s="22">
        <f t="shared" si="1"/>
        <v>0</v>
      </c>
      <c r="R22" s="7"/>
    </row>
    <row r="23" ht="15.75" customHeight="1">
      <c r="A23" s="15"/>
      <c r="B23" s="7"/>
      <c r="C23" s="7"/>
      <c r="D23" s="7"/>
      <c r="E23" s="7" t="str">
        <f t="array" ref="E23">IFERROR(INDEX('Order Planning'!$C$5:$C$204,MATCH(D23,'Order Planning'!$A$5:$A$204,0)),"")</f>
        <v/>
      </c>
      <c r="F23" s="7" t="str">
        <f t="array" ref="F23">IFERROR(INDEX('Order Planning'!$E$5:$E$204,MATCH(D23,'Order Planning'!$A$5:$A$204,0)),"")</f>
        <v/>
      </c>
      <c r="G23" s="7" t="str">
        <f t="array" ref="G23">IFERROR(INDEX('Order Planning'!$F$5:$F$204,MATCH(D23,'Order Planning'!$A$5:$A$204,0)),"")</f>
        <v/>
      </c>
      <c r="H23" s="7"/>
      <c r="I23" s="7"/>
      <c r="J23" s="7"/>
      <c r="O23" s="22">
        <f t="shared" si="1"/>
        <v>0</v>
      </c>
      <c r="R23" s="7"/>
    </row>
    <row r="24" ht="15.75" customHeight="1">
      <c r="A24" s="15"/>
      <c r="B24" s="7"/>
      <c r="C24" s="7"/>
      <c r="D24" s="7"/>
      <c r="E24" s="7" t="str">
        <f t="array" ref="E24">IFERROR(INDEX('Order Planning'!$C$5:$C$204,MATCH(D24,'Order Planning'!$A$5:$A$204,0)),"")</f>
        <v/>
      </c>
      <c r="F24" s="7" t="str">
        <f t="array" ref="F24">IFERROR(INDEX('Order Planning'!$E$5:$E$204,MATCH(D24,'Order Planning'!$A$5:$A$204,0)),"")</f>
        <v/>
      </c>
      <c r="G24" s="7" t="str">
        <f t="array" ref="G24">IFERROR(INDEX('Order Planning'!$F$5:$F$204,MATCH(D24,'Order Planning'!$A$5:$A$204,0)),"")</f>
        <v/>
      </c>
      <c r="H24" s="7"/>
      <c r="I24" s="7"/>
      <c r="J24" s="7"/>
      <c r="O24" s="22">
        <f t="shared" si="1"/>
        <v>0</v>
      </c>
      <c r="R24" s="7"/>
    </row>
    <row r="25" ht="15.75" customHeight="1">
      <c r="A25" s="15"/>
      <c r="B25" s="7"/>
      <c r="C25" s="7"/>
      <c r="D25" s="7"/>
      <c r="E25" s="7" t="str">
        <f t="array" ref="E25">IFERROR(INDEX('Order Planning'!$C$5:$C$204,MATCH(D25,'Order Planning'!$A$5:$A$204,0)),"")</f>
        <v/>
      </c>
      <c r="F25" s="7" t="str">
        <f t="array" ref="F25">IFERROR(INDEX('Order Planning'!$E$5:$E$204,MATCH(D25,'Order Planning'!$A$5:$A$204,0)),"")</f>
        <v/>
      </c>
      <c r="G25" s="7" t="str">
        <f t="array" ref="G25">IFERROR(INDEX('Order Planning'!$F$5:$F$204,MATCH(D25,'Order Planning'!$A$5:$A$204,0)),"")</f>
        <v/>
      </c>
      <c r="H25" s="7"/>
      <c r="I25" s="7"/>
      <c r="J25" s="7"/>
      <c r="O25" s="22">
        <f t="shared" si="1"/>
        <v>0</v>
      </c>
      <c r="R25" s="7"/>
    </row>
    <row r="26" ht="15.75" customHeight="1">
      <c r="A26" s="15"/>
      <c r="B26" s="7"/>
      <c r="C26" s="7"/>
      <c r="D26" s="7"/>
      <c r="E26" s="7" t="str">
        <f t="array" ref="E26">IFERROR(INDEX('Order Planning'!$C$5:$C$204,MATCH(D26,'Order Planning'!$A$5:$A$204,0)),"")</f>
        <v/>
      </c>
      <c r="F26" s="7" t="str">
        <f t="array" ref="F26">IFERROR(INDEX('Order Planning'!$E$5:$E$204,MATCH(D26,'Order Planning'!$A$5:$A$204,0)),"")</f>
        <v/>
      </c>
      <c r="G26" s="7" t="str">
        <f t="array" ref="G26">IFERROR(INDEX('Order Planning'!$F$5:$F$204,MATCH(D26,'Order Planning'!$A$5:$A$204,0)),"")</f>
        <v/>
      </c>
      <c r="H26" s="7"/>
      <c r="I26" s="7"/>
      <c r="J26" s="7"/>
      <c r="O26" s="22">
        <f t="shared" si="1"/>
        <v>0</v>
      </c>
      <c r="R26" s="7"/>
    </row>
    <row r="27" ht="15.75" customHeight="1">
      <c r="A27" s="15"/>
      <c r="B27" s="7"/>
      <c r="C27" s="7"/>
      <c r="D27" s="7"/>
      <c r="E27" s="7" t="str">
        <f t="array" ref="E27">IFERROR(INDEX('Order Planning'!$C$5:$C$204,MATCH(D27,'Order Planning'!$A$5:$A$204,0)),"")</f>
        <v/>
      </c>
      <c r="F27" s="7" t="str">
        <f t="array" ref="F27">IFERROR(INDEX('Order Planning'!$E$5:$E$204,MATCH(D27,'Order Planning'!$A$5:$A$204,0)),"")</f>
        <v/>
      </c>
      <c r="G27" s="7" t="str">
        <f t="array" ref="G27">IFERROR(INDEX('Order Planning'!$F$5:$F$204,MATCH(D27,'Order Planning'!$A$5:$A$204,0)),"")</f>
        <v/>
      </c>
      <c r="H27" s="7"/>
      <c r="I27" s="7"/>
      <c r="J27" s="7"/>
      <c r="O27" s="22">
        <f t="shared" si="1"/>
        <v>0</v>
      </c>
      <c r="R27" s="7"/>
    </row>
    <row r="28" ht="15.75" customHeight="1">
      <c r="A28" s="15"/>
      <c r="B28" s="7"/>
      <c r="C28" s="7"/>
      <c r="D28" s="7"/>
      <c r="E28" s="7" t="str">
        <f t="array" ref="E28">IFERROR(INDEX('Order Planning'!$C$5:$C$204,MATCH(D28,'Order Planning'!$A$5:$A$204,0)),"")</f>
        <v/>
      </c>
      <c r="F28" s="7" t="str">
        <f t="array" ref="F28">IFERROR(INDEX('Order Planning'!$E$5:$E$204,MATCH(D28,'Order Planning'!$A$5:$A$204,0)),"")</f>
        <v/>
      </c>
      <c r="G28" s="7" t="str">
        <f t="array" ref="G28">IFERROR(INDEX('Order Planning'!$F$5:$F$204,MATCH(D28,'Order Planning'!$A$5:$A$204,0)),"")</f>
        <v/>
      </c>
      <c r="H28" s="7"/>
      <c r="I28" s="7"/>
      <c r="J28" s="7"/>
      <c r="O28" s="22">
        <f t="shared" si="1"/>
        <v>0</v>
      </c>
      <c r="R28" s="7"/>
    </row>
    <row r="29" ht="15.75" customHeight="1">
      <c r="A29" s="15"/>
      <c r="B29" s="7"/>
      <c r="C29" s="7"/>
      <c r="D29" s="7"/>
      <c r="E29" s="7" t="str">
        <f t="array" ref="E29">IFERROR(INDEX('Order Planning'!$C$5:$C$204,MATCH(D29,'Order Planning'!$A$5:$A$204,0)),"")</f>
        <v/>
      </c>
      <c r="F29" s="7" t="str">
        <f t="array" ref="F29">IFERROR(INDEX('Order Planning'!$E$5:$E$204,MATCH(D29,'Order Planning'!$A$5:$A$204,0)),"")</f>
        <v/>
      </c>
      <c r="G29" s="7" t="str">
        <f t="array" ref="G29">IFERROR(INDEX('Order Planning'!$F$5:$F$204,MATCH(D29,'Order Planning'!$A$5:$A$204,0)),"")</f>
        <v/>
      </c>
      <c r="H29" s="7"/>
      <c r="I29" s="7"/>
      <c r="J29" s="7"/>
      <c r="O29" s="22">
        <f t="shared" si="1"/>
        <v>0</v>
      </c>
      <c r="R29" s="7"/>
    </row>
    <row r="30" ht="15.75" customHeight="1">
      <c r="A30" s="15"/>
      <c r="B30" s="7"/>
      <c r="C30" s="7"/>
      <c r="D30" s="7"/>
      <c r="E30" s="7" t="str">
        <f t="array" ref="E30">IFERROR(INDEX('Order Planning'!$C$5:$C$204,MATCH(D30,'Order Planning'!$A$5:$A$204,0)),"")</f>
        <v/>
      </c>
      <c r="F30" s="7" t="str">
        <f t="array" ref="F30">IFERROR(INDEX('Order Planning'!$E$5:$E$204,MATCH(D30,'Order Planning'!$A$5:$A$204,0)),"")</f>
        <v/>
      </c>
      <c r="G30" s="7" t="str">
        <f t="array" ref="G30">IFERROR(INDEX('Order Planning'!$F$5:$F$204,MATCH(D30,'Order Planning'!$A$5:$A$204,0)),"")</f>
        <v/>
      </c>
      <c r="H30" s="7"/>
      <c r="I30" s="7"/>
      <c r="J30" s="7"/>
      <c r="O30" s="22">
        <f t="shared" si="1"/>
        <v>0</v>
      </c>
      <c r="R30" s="7"/>
    </row>
    <row r="31" ht="15.75" customHeight="1">
      <c r="A31" s="15"/>
      <c r="B31" s="7"/>
      <c r="C31" s="7"/>
      <c r="D31" s="7"/>
      <c r="E31" s="7" t="str">
        <f t="array" ref="E31">IFERROR(INDEX('Order Planning'!$C$5:$C$204,MATCH(D31,'Order Planning'!$A$5:$A$204,0)),"")</f>
        <v/>
      </c>
      <c r="F31" s="7" t="str">
        <f t="array" ref="F31">IFERROR(INDEX('Order Planning'!$E$5:$E$204,MATCH(D31,'Order Planning'!$A$5:$A$204,0)),"")</f>
        <v/>
      </c>
      <c r="G31" s="7" t="str">
        <f t="array" ref="G31">IFERROR(INDEX('Order Planning'!$F$5:$F$204,MATCH(D31,'Order Planning'!$A$5:$A$204,0)),"")</f>
        <v/>
      </c>
      <c r="H31" s="7"/>
      <c r="I31" s="7"/>
      <c r="J31" s="7"/>
      <c r="O31" s="22">
        <f t="shared" si="1"/>
        <v>0</v>
      </c>
      <c r="R31" s="7"/>
    </row>
    <row r="32" ht="15.75" customHeight="1">
      <c r="A32" s="15"/>
      <c r="B32" s="7"/>
      <c r="C32" s="7"/>
      <c r="D32" s="7"/>
      <c r="E32" s="7" t="str">
        <f t="array" ref="E32">IFERROR(INDEX('Order Planning'!$C$5:$C$204,MATCH(D32,'Order Planning'!$A$5:$A$204,0)),"")</f>
        <v/>
      </c>
      <c r="F32" s="7" t="str">
        <f t="array" ref="F32">IFERROR(INDEX('Order Planning'!$E$5:$E$204,MATCH(D32,'Order Planning'!$A$5:$A$204,0)),"")</f>
        <v/>
      </c>
      <c r="G32" s="7" t="str">
        <f t="array" ref="G32">IFERROR(INDEX('Order Planning'!$F$5:$F$204,MATCH(D32,'Order Planning'!$A$5:$A$204,0)),"")</f>
        <v/>
      </c>
      <c r="H32" s="7"/>
      <c r="I32" s="7"/>
      <c r="J32" s="7"/>
      <c r="O32" s="22">
        <f t="shared" si="1"/>
        <v>0</v>
      </c>
      <c r="R32" s="7"/>
    </row>
    <row r="33" ht="15.75" customHeight="1">
      <c r="A33" s="15"/>
      <c r="B33" s="7"/>
      <c r="C33" s="7"/>
      <c r="D33" s="7"/>
      <c r="E33" s="7" t="str">
        <f t="array" ref="E33">IFERROR(INDEX('Order Planning'!$C$5:$C$204,MATCH(D33,'Order Planning'!$A$5:$A$204,0)),"")</f>
        <v/>
      </c>
      <c r="F33" s="7" t="str">
        <f t="array" ref="F33">IFERROR(INDEX('Order Planning'!$E$5:$E$204,MATCH(D33,'Order Planning'!$A$5:$A$204,0)),"")</f>
        <v/>
      </c>
      <c r="G33" s="7" t="str">
        <f t="array" ref="G33">IFERROR(INDEX('Order Planning'!$F$5:$F$204,MATCH(D33,'Order Planning'!$A$5:$A$204,0)),"")</f>
        <v/>
      </c>
      <c r="H33" s="7"/>
      <c r="I33" s="7"/>
      <c r="J33" s="7"/>
      <c r="O33" s="22">
        <f t="shared" si="1"/>
        <v>0</v>
      </c>
      <c r="R33" s="7"/>
    </row>
    <row r="34" ht="15.75" customHeight="1">
      <c r="A34" s="15"/>
      <c r="B34" s="7"/>
      <c r="C34" s="7"/>
      <c r="D34" s="7"/>
      <c r="E34" s="7" t="str">
        <f t="array" ref="E34">IFERROR(INDEX('Order Planning'!$C$5:$C$204,MATCH(D34,'Order Planning'!$A$5:$A$204,0)),"")</f>
        <v/>
      </c>
      <c r="F34" s="7" t="str">
        <f t="array" ref="F34">IFERROR(INDEX('Order Planning'!$E$5:$E$204,MATCH(D34,'Order Planning'!$A$5:$A$204,0)),"")</f>
        <v/>
      </c>
      <c r="G34" s="7" t="str">
        <f t="array" ref="G34">IFERROR(INDEX('Order Planning'!$F$5:$F$204,MATCH(D34,'Order Planning'!$A$5:$A$204,0)),"")</f>
        <v/>
      </c>
      <c r="H34" s="7"/>
      <c r="I34" s="7"/>
      <c r="J34" s="7"/>
      <c r="O34" s="22">
        <f t="shared" si="1"/>
        <v>0</v>
      </c>
      <c r="R34" s="7"/>
    </row>
    <row r="35" ht="15.75" customHeight="1">
      <c r="A35" s="15"/>
      <c r="B35" s="7"/>
      <c r="C35" s="7"/>
      <c r="D35" s="7"/>
      <c r="E35" s="7" t="str">
        <f t="array" ref="E35">IFERROR(INDEX('Order Planning'!$C$5:$C$204,MATCH(D35,'Order Planning'!$A$5:$A$204,0)),"")</f>
        <v/>
      </c>
      <c r="F35" s="7" t="str">
        <f t="array" ref="F35">IFERROR(INDEX('Order Planning'!$E$5:$E$204,MATCH(D35,'Order Planning'!$A$5:$A$204,0)),"")</f>
        <v/>
      </c>
      <c r="G35" s="7" t="str">
        <f t="array" ref="G35">IFERROR(INDEX('Order Planning'!$F$5:$F$204,MATCH(D35,'Order Planning'!$A$5:$A$204,0)),"")</f>
        <v/>
      </c>
      <c r="H35" s="7"/>
      <c r="I35" s="7"/>
      <c r="J35" s="7"/>
      <c r="O35" s="22">
        <f t="shared" si="1"/>
        <v>0</v>
      </c>
      <c r="R35" s="7"/>
    </row>
    <row r="36" ht="15.75" customHeight="1">
      <c r="A36" s="15"/>
      <c r="B36" s="7"/>
      <c r="C36" s="7"/>
      <c r="D36" s="7"/>
      <c r="E36" s="7" t="str">
        <f t="array" ref="E36">IFERROR(INDEX('Order Planning'!$C$5:$C$204,MATCH(D36,'Order Planning'!$A$5:$A$204,0)),"")</f>
        <v/>
      </c>
      <c r="F36" s="7" t="str">
        <f t="array" ref="F36">IFERROR(INDEX('Order Planning'!$E$5:$E$204,MATCH(D36,'Order Planning'!$A$5:$A$204,0)),"")</f>
        <v/>
      </c>
      <c r="G36" s="7" t="str">
        <f t="array" ref="G36">IFERROR(INDEX('Order Planning'!$F$5:$F$204,MATCH(D36,'Order Planning'!$A$5:$A$204,0)),"")</f>
        <v/>
      </c>
      <c r="H36" s="7"/>
      <c r="I36" s="7"/>
      <c r="J36" s="7"/>
      <c r="O36" s="22">
        <f t="shared" si="1"/>
        <v>0</v>
      </c>
      <c r="R36" s="7"/>
    </row>
    <row r="37" ht="15.75" customHeight="1">
      <c r="A37" s="15"/>
      <c r="B37" s="7"/>
      <c r="C37" s="7"/>
      <c r="D37" s="7"/>
      <c r="E37" s="7" t="str">
        <f t="array" ref="E37">IFERROR(INDEX('Order Planning'!$C$5:$C$204,MATCH(D37,'Order Planning'!$A$5:$A$204,0)),"")</f>
        <v/>
      </c>
      <c r="F37" s="7" t="str">
        <f t="array" ref="F37">IFERROR(INDEX('Order Planning'!$E$5:$E$204,MATCH(D37,'Order Planning'!$A$5:$A$204,0)),"")</f>
        <v/>
      </c>
      <c r="G37" s="7" t="str">
        <f t="array" ref="G37">IFERROR(INDEX('Order Planning'!$F$5:$F$204,MATCH(D37,'Order Planning'!$A$5:$A$204,0)),"")</f>
        <v/>
      </c>
      <c r="H37" s="7"/>
      <c r="I37" s="7"/>
      <c r="J37" s="7"/>
      <c r="O37" s="22">
        <f t="shared" si="1"/>
        <v>0</v>
      </c>
      <c r="R37" s="7"/>
    </row>
    <row r="38" ht="15.75" customHeight="1">
      <c r="A38" s="15"/>
      <c r="B38" s="7"/>
      <c r="C38" s="7"/>
      <c r="D38" s="7"/>
      <c r="E38" s="7" t="str">
        <f t="array" ref="E38">IFERROR(INDEX('Order Planning'!$C$5:$C$204,MATCH(D38,'Order Planning'!$A$5:$A$204,0)),"")</f>
        <v/>
      </c>
      <c r="F38" s="7" t="str">
        <f t="array" ref="F38">IFERROR(INDEX('Order Planning'!$E$5:$E$204,MATCH(D38,'Order Planning'!$A$5:$A$204,0)),"")</f>
        <v/>
      </c>
      <c r="G38" s="7" t="str">
        <f t="array" ref="G38">IFERROR(INDEX('Order Planning'!$F$5:$F$204,MATCH(D38,'Order Planning'!$A$5:$A$204,0)),"")</f>
        <v/>
      </c>
      <c r="H38" s="7"/>
      <c r="I38" s="7"/>
      <c r="J38" s="7"/>
      <c r="O38" s="22">
        <f t="shared" si="1"/>
        <v>0</v>
      </c>
      <c r="R38" s="7"/>
    </row>
    <row r="39" ht="15.75" customHeight="1">
      <c r="A39" s="15"/>
      <c r="B39" s="7"/>
      <c r="C39" s="7"/>
      <c r="D39" s="7"/>
      <c r="E39" s="7" t="str">
        <f t="array" ref="E39">IFERROR(INDEX('Order Planning'!$C$5:$C$204,MATCH(D39,'Order Planning'!$A$5:$A$204,0)),"")</f>
        <v/>
      </c>
      <c r="F39" s="7" t="str">
        <f t="array" ref="F39">IFERROR(INDEX('Order Planning'!$E$5:$E$204,MATCH(D39,'Order Planning'!$A$5:$A$204,0)),"")</f>
        <v/>
      </c>
      <c r="G39" s="7" t="str">
        <f t="array" ref="G39">IFERROR(INDEX('Order Planning'!$F$5:$F$204,MATCH(D39,'Order Planning'!$A$5:$A$204,0)),"")</f>
        <v/>
      </c>
      <c r="H39" s="7"/>
      <c r="I39" s="7"/>
      <c r="J39" s="7"/>
      <c r="O39" s="22">
        <f t="shared" si="1"/>
        <v>0</v>
      </c>
      <c r="R39" s="7"/>
    </row>
    <row r="40" ht="15.75" customHeight="1">
      <c r="A40" s="15"/>
      <c r="B40" s="7"/>
      <c r="C40" s="7"/>
      <c r="D40" s="7"/>
      <c r="E40" s="7" t="str">
        <f t="array" ref="E40">IFERROR(INDEX('Order Planning'!$C$5:$C$204,MATCH(D40,'Order Planning'!$A$5:$A$204,0)),"")</f>
        <v/>
      </c>
      <c r="F40" s="7" t="str">
        <f t="array" ref="F40">IFERROR(INDEX('Order Planning'!$E$5:$E$204,MATCH(D40,'Order Planning'!$A$5:$A$204,0)),"")</f>
        <v/>
      </c>
      <c r="G40" s="7" t="str">
        <f t="array" ref="G40">IFERROR(INDEX('Order Planning'!$F$5:$F$204,MATCH(D40,'Order Planning'!$A$5:$A$204,0)),"")</f>
        <v/>
      </c>
      <c r="H40" s="7"/>
      <c r="I40" s="7"/>
      <c r="J40" s="7"/>
      <c r="O40" s="22">
        <f t="shared" si="1"/>
        <v>0</v>
      </c>
      <c r="R40" s="7"/>
    </row>
    <row r="41" ht="15.75" customHeight="1">
      <c r="A41" s="15"/>
      <c r="B41" s="7"/>
      <c r="C41" s="7"/>
      <c r="D41" s="7"/>
      <c r="E41" s="7" t="str">
        <f t="array" ref="E41">IFERROR(INDEX('Order Planning'!$C$5:$C$204,MATCH(D41,'Order Planning'!$A$5:$A$204,0)),"")</f>
        <v/>
      </c>
      <c r="F41" s="7" t="str">
        <f t="array" ref="F41">IFERROR(INDEX('Order Planning'!$E$5:$E$204,MATCH(D41,'Order Planning'!$A$5:$A$204,0)),"")</f>
        <v/>
      </c>
      <c r="G41" s="7" t="str">
        <f t="array" ref="G41">IFERROR(INDEX('Order Planning'!$F$5:$F$204,MATCH(D41,'Order Planning'!$A$5:$A$204,0)),"")</f>
        <v/>
      </c>
      <c r="H41" s="7"/>
      <c r="I41" s="7"/>
      <c r="J41" s="7"/>
      <c r="O41" s="22">
        <f t="shared" si="1"/>
        <v>0</v>
      </c>
      <c r="R41" s="7"/>
    </row>
    <row r="42" ht="15.75" customHeight="1">
      <c r="A42" s="15"/>
      <c r="B42" s="7"/>
      <c r="C42" s="7"/>
      <c r="D42" s="7"/>
      <c r="E42" s="7" t="str">
        <f t="array" ref="E42">IFERROR(INDEX('Order Planning'!$C$5:$C$204,MATCH(D42,'Order Planning'!$A$5:$A$204,0)),"")</f>
        <v/>
      </c>
      <c r="F42" s="7" t="str">
        <f t="array" ref="F42">IFERROR(INDEX('Order Planning'!$E$5:$E$204,MATCH(D42,'Order Planning'!$A$5:$A$204,0)),"")</f>
        <v/>
      </c>
      <c r="G42" s="7" t="str">
        <f t="array" ref="G42">IFERROR(INDEX('Order Planning'!$F$5:$F$204,MATCH(D42,'Order Planning'!$A$5:$A$204,0)),"")</f>
        <v/>
      </c>
      <c r="H42" s="7"/>
      <c r="I42" s="7"/>
      <c r="J42" s="7"/>
      <c r="O42" s="22">
        <f t="shared" si="1"/>
        <v>0</v>
      </c>
      <c r="R42" s="7"/>
    </row>
    <row r="43" ht="15.75" customHeight="1">
      <c r="A43" s="15"/>
      <c r="B43" s="7"/>
      <c r="C43" s="7"/>
      <c r="D43" s="7"/>
      <c r="E43" s="7" t="str">
        <f t="array" ref="E43">IFERROR(INDEX('Order Planning'!$C$5:$C$204,MATCH(D43,'Order Planning'!$A$5:$A$204,0)),"")</f>
        <v/>
      </c>
      <c r="F43" s="7" t="str">
        <f t="array" ref="F43">IFERROR(INDEX('Order Planning'!$E$5:$E$204,MATCH(D43,'Order Planning'!$A$5:$A$204,0)),"")</f>
        <v/>
      </c>
      <c r="G43" s="7" t="str">
        <f t="array" ref="G43">IFERROR(INDEX('Order Planning'!$F$5:$F$204,MATCH(D43,'Order Planning'!$A$5:$A$204,0)),"")</f>
        <v/>
      </c>
      <c r="H43" s="7"/>
      <c r="I43" s="7"/>
      <c r="J43" s="7"/>
      <c r="O43" s="22">
        <f t="shared" si="1"/>
        <v>0</v>
      </c>
      <c r="R43" s="7"/>
    </row>
    <row r="44" ht="15.75" customHeight="1">
      <c r="A44" s="15"/>
      <c r="B44" s="7"/>
      <c r="C44" s="7"/>
      <c r="D44" s="7"/>
      <c r="E44" s="7" t="str">
        <f t="array" ref="E44">IFERROR(INDEX('Order Planning'!$C$5:$C$204,MATCH(D44,'Order Planning'!$A$5:$A$204,0)),"")</f>
        <v/>
      </c>
      <c r="F44" s="7" t="str">
        <f t="array" ref="F44">IFERROR(INDEX('Order Planning'!$E$5:$E$204,MATCH(D44,'Order Planning'!$A$5:$A$204,0)),"")</f>
        <v/>
      </c>
      <c r="G44" s="7" t="str">
        <f t="array" ref="G44">IFERROR(INDEX('Order Planning'!$F$5:$F$204,MATCH(D44,'Order Planning'!$A$5:$A$204,0)),"")</f>
        <v/>
      </c>
      <c r="H44" s="7"/>
      <c r="I44" s="7"/>
      <c r="J44" s="7"/>
      <c r="O44" s="22">
        <f t="shared" si="1"/>
        <v>0</v>
      </c>
      <c r="R44" s="7"/>
    </row>
    <row r="45" ht="15.75" customHeight="1">
      <c r="A45" s="15"/>
      <c r="B45" s="7"/>
      <c r="C45" s="7"/>
      <c r="D45" s="7"/>
      <c r="E45" s="7" t="str">
        <f t="array" ref="E45">IFERROR(INDEX('Order Planning'!$C$5:$C$204,MATCH(D45,'Order Planning'!$A$5:$A$204,0)),"")</f>
        <v/>
      </c>
      <c r="F45" s="7" t="str">
        <f t="array" ref="F45">IFERROR(INDEX('Order Planning'!$E$5:$E$204,MATCH(D45,'Order Planning'!$A$5:$A$204,0)),"")</f>
        <v/>
      </c>
      <c r="G45" s="7" t="str">
        <f t="array" ref="G45">IFERROR(INDEX('Order Planning'!$F$5:$F$204,MATCH(D45,'Order Planning'!$A$5:$A$204,0)),"")</f>
        <v/>
      </c>
      <c r="H45" s="7"/>
      <c r="I45" s="7"/>
      <c r="J45" s="7"/>
      <c r="O45" s="22">
        <f t="shared" si="1"/>
        <v>0</v>
      </c>
      <c r="R45" s="7"/>
    </row>
    <row r="46" ht="15.75" customHeight="1">
      <c r="A46" s="15"/>
      <c r="B46" s="7"/>
      <c r="C46" s="7"/>
      <c r="D46" s="7"/>
      <c r="E46" s="7" t="str">
        <f t="array" ref="E46">IFERROR(INDEX('Order Planning'!$C$5:$C$204,MATCH(D46,'Order Planning'!$A$5:$A$204,0)),"")</f>
        <v/>
      </c>
      <c r="F46" s="7" t="str">
        <f t="array" ref="F46">IFERROR(INDEX('Order Planning'!$E$5:$E$204,MATCH(D46,'Order Planning'!$A$5:$A$204,0)),"")</f>
        <v/>
      </c>
      <c r="G46" s="7" t="str">
        <f t="array" ref="G46">IFERROR(INDEX('Order Planning'!$F$5:$F$204,MATCH(D46,'Order Planning'!$A$5:$A$204,0)),"")</f>
        <v/>
      </c>
      <c r="H46" s="7"/>
      <c r="I46" s="7"/>
      <c r="J46" s="7"/>
      <c r="O46" s="22">
        <f t="shared" si="1"/>
        <v>0</v>
      </c>
      <c r="R46" s="7"/>
    </row>
    <row r="47" ht="15.75" customHeight="1">
      <c r="A47" s="15"/>
      <c r="B47" s="7"/>
      <c r="C47" s="7"/>
      <c r="D47" s="7"/>
      <c r="E47" s="7" t="str">
        <f t="array" ref="E47">IFERROR(INDEX('Order Planning'!$C$5:$C$204,MATCH(D47,'Order Planning'!$A$5:$A$204,0)),"")</f>
        <v/>
      </c>
      <c r="F47" s="7" t="str">
        <f t="array" ref="F47">IFERROR(INDEX('Order Planning'!$E$5:$E$204,MATCH(D47,'Order Planning'!$A$5:$A$204,0)),"")</f>
        <v/>
      </c>
      <c r="G47" s="7" t="str">
        <f t="array" ref="G47">IFERROR(INDEX('Order Planning'!$F$5:$F$204,MATCH(D47,'Order Planning'!$A$5:$A$204,0)),"")</f>
        <v/>
      </c>
      <c r="H47" s="7"/>
      <c r="I47" s="7"/>
      <c r="J47" s="7"/>
      <c r="O47" s="22">
        <f t="shared" si="1"/>
        <v>0</v>
      </c>
      <c r="R47" s="7"/>
    </row>
    <row r="48" ht="15.75" customHeight="1">
      <c r="A48" s="15"/>
      <c r="B48" s="7"/>
      <c r="C48" s="7"/>
      <c r="D48" s="7"/>
      <c r="E48" s="7" t="str">
        <f t="array" ref="E48">IFERROR(INDEX('Order Planning'!$C$5:$C$204,MATCH(D48,'Order Planning'!$A$5:$A$204,0)),"")</f>
        <v/>
      </c>
      <c r="F48" s="7" t="str">
        <f t="array" ref="F48">IFERROR(INDEX('Order Planning'!$E$5:$E$204,MATCH(D48,'Order Planning'!$A$5:$A$204,0)),"")</f>
        <v/>
      </c>
      <c r="G48" s="7" t="str">
        <f t="array" ref="G48">IFERROR(INDEX('Order Planning'!$F$5:$F$204,MATCH(D48,'Order Planning'!$A$5:$A$204,0)),"")</f>
        <v/>
      </c>
      <c r="H48" s="7"/>
      <c r="I48" s="7"/>
      <c r="J48" s="7"/>
      <c r="O48" s="22">
        <f t="shared" si="1"/>
        <v>0</v>
      </c>
      <c r="R48" s="7"/>
    </row>
    <row r="49" ht="15.75" customHeight="1">
      <c r="A49" s="15"/>
      <c r="B49" s="7"/>
      <c r="C49" s="7"/>
      <c r="D49" s="7"/>
      <c r="E49" s="7" t="str">
        <f t="array" ref="E49">IFERROR(INDEX('Order Planning'!$C$5:$C$204,MATCH(D49,'Order Planning'!$A$5:$A$204,0)),"")</f>
        <v/>
      </c>
      <c r="F49" s="7" t="str">
        <f t="array" ref="F49">IFERROR(INDEX('Order Planning'!$E$5:$E$204,MATCH(D49,'Order Planning'!$A$5:$A$204,0)),"")</f>
        <v/>
      </c>
      <c r="G49" s="7" t="str">
        <f t="array" ref="G49">IFERROR(INDEX('Order Planning'!$F$5:$F$204,MATCH(D49,'Order Planning'!$A$5:$A$204,0)),"")</f>
        <v/>
      </c>
      <c r="H49" s="7"/>
      <c r="I49" s="7"/>
      <c r="J49" s="7"/>
      <c r="O49" s="22">
        <f t="shared" si="1"/>
        <v>0</v>
      </c>
      <c r="R49" s="7"/>
    </row>
    <row r="50" ht="15.75" customHeight="1">
      <c r="A50" s="15"/>
      <c r="B50" s="7"/>
      <c r="C50" s="7"/>
      <c r="D50" s="7"/>
      <c r="E50" s="7" t="str">
        <f t="array" ref="E50">IFERROR(INDEX('Order Planning'!$C$5:$C$204,MATCH(D50,'Order Planning'!$A$5:$A$204,0)),"")</f>
        <v/>
      </c>
      <c r="F50" s="7" t="str">
        <f t="array" ref="F50">IFERROR(INDEX('Order Planning'!$E$5:$E$204,MATCH(D50,'Order Planning'!$A$5:$A$204,0)),"")</f>
        <v/>
      </c>
      <c r="G50" s="7" t="str">
        <f t="array" ref="G50">IFERROR(INDEX('Order Planning'!$F$5:$F$204,MATCH(D50,'Order Planning'!$A$5:$A$204,0)),"")</f>
        <v/>
      </c>
      <c r="H50" s="7"/>
      <c r="I50" s="7"/>
      <c r="J50" s="7"/>
      <c r="O50" s="22">
        <f t="shared" si="1"/>
        <v>0</v>
      </c>
      <c r="R50" s="7"/>
    </row>
    <row r="51" ht="15.75" customHeight="1">
      <c r="A51" s="15"/>
      <c r="B51" s="7"/>
      <c r="C51" s="7"/>
      <c r="D51" s="7"/>
      <c r="E51" s="7" t="str">
        <f t="array" ref="E51">IFERROR(INDEX('Order Planning'!$C$5:$C$204,MATCH(D51,'Order Planning'!$A$5:$A$204,0)),"")</f>
        <v/>
      </c>
      <c r="F51" s="7" t="str">
        <f t="array" ref="F51">IFERROR(INDEX('Order Planning'!$E$5:$E$204,MATCH(D51,'Order Planning'!$A$5:$A$204,0)),"")</f>
        <v/>
      </c>
      <c r="G51" s="7" t="str">
        <f t="array" ref="G51">IFERROR(INDEX('Order Planning'!$F$5:$F$204,MATCH(D51,'Order Planning'!$A$5:$A$204,0)),"")</f>
        <v/>
      </c>
      <c r="H51" s="7"/>
      <c r="I51" s="7"/>
      <c r="J51" s="7"/>
      <c r="O51" s="22">
        <f t="shared" si="1"/>
        <v>0</v>
      </c>
      <c r="R51" s="7"/>
    </row>
    <row r="52" ht="15.75" customHeight="1">
      <c r="A52" s="15"/>
      <c r="B52" s="7"/>
      <c r="C52" s="7"/>
      <c r="D52" s="7"/>
      <c r="E52" s="7" t="str">
        <f t="array" ref="E52">IFERROR(INDEX('Order Planning'!$C$5:$C$204,MATCH(D52,'Order Planning'!$A$5:$A$204,0)),"")</f>
        <v/>
      </c>
      <c r="F52" s="7" t="str">
        <f t="array" ref="F52">IFERROR(INDEX('Order Planning'!$E$5:$E$204,MATCH(D52,'Order Planning'!$A$5:$A$204,0)),"")</f>
        <v/>
      </c>
      <c r="G52" s="7" t="str">
        <f t="array" ref="G52">IFERROR(INDEX('Order Planning'!$F$5:$F$204,MATCH(D52,'Order Planning'!$A$5:$A$204,0)),"")</f>
        <v/>
      </c>
      <c r="H52" s="7"/>
      <c r="I52" s="7"/>
      <c r="J52" s="7"/>
      <c r="O52" s="22">
        <f t="shared" si="1"/>
        <v>0</v>
      </c>
      <c r="R52" s="7"/>
    </row>
    <row r="53" ht="15.75" customHeight="1">
      <c r="A53" s="15"/>
      <c r="B53" s="7"/>
      <c r="C53" s="7"/>
      <c r="D53" s="7"/>
      <c r="E53" s="7" t="str">
        <f t="array" ref="E53">IFERROR(INDEX('Order Planning'!$C$5:$C$204,MATCH(D53,'Order Planning'!$A$5:$A$204,0)),"")</f>
        <v/>
      </c>
      <c r="F53" s="7" t="str">
        <f t="array" ref="F53">IFERROR(INDEX('Order Planning'!$E$5:$E$204,MATCH(D53,'Order Planning'!$A$5:$A$204,0)),"")</f>
        <v/>
      </c>
      <c r="G53" s="7" t="str">
        <f t="array" ref="G53">IFERROR(INDEX('Order Planning'!$F$5:$F$204,MATCH(D53,'Order Planning'!$A$5:$A$204,0)),"")</f>
        <v/>
      </c>
      <c r="H53" s="7"/>
      <c r="I53" s="7"/>
      <c r="J53" s="7"/>
      <c r="O53" s="22">
        <f t="shared" si="1"/>
        <v>0</v>
      </c>
      <c r="R53" s="7"/>
    </row>
    <row r="54" ht="15.75" customHeight="1">
      <c r="A54" s="15"/>
      <c r="B54" s="7"/>
      <c r="C54" s="7"/>
      <c r="D54" s="7"/>
      <c r="E54" s="7" t="str">
        <f t="array" ref="E54">IFERROR(INDEX('Order Planning'!$C$5:$C$204,MATCH(D54,'Order Planning'!$A$5:$A$204,0)),"")</f>
        <v/>
      </c>
      <c r="F54" s="7" t="str">
        <f t="array" ref="F54">IFERROR(INDEX('Order Planning'!$E$5:$E$204,MATCH(D54,'Order Planning'!$A$5:$A$204,0)),"")</f>
        <v/>
      </c>
      <c r="G54" s="7" t="str">
        <f t="array" ref="G54">IFERROR(INDEX('Order Planning'!$F$5:$F$204,MATCH(D54,'Order Planning'!$A$5:$A$204,0)),"")</f>
        <v/>
      </c>
      <c r="H54" s="7"/>
      <c r="I54" s="7"/>
      <c r="J54" s="7"/>
      <c r="O54" s="22">
        <f t="shared" si="1"/>
        <v>0</v>
      </c>
      <c r="R54" s="7"/>
    </row>
    <row r="55" ht="15.75" customHeight="1">
      <c r="A55" s="15"/>
      <c r="B55" s="7"/>
      <c r="C55" s="7"/>
      <c r="D55" s="7"/>
      <c r="E55" s="7" t="str">
        <f t="array" ref="E55">IFERROR(INDEX('Order Planning'!$C$5:$C$204,MATCH(D55,'Order Planning'!$A$5:$A$204,0)),"")</f>
        <v/>
      </c>
      <c r="F55" s="7" t="str">
        <f t="array" ref="F55">IFERROR(INDEX('Order Planning'!$E$5:$E$204,MATCH(D55,'Order Planning'!$A$5:$A$204,0)),"")</f>
        <v/>
      </c>
      <c r="G55" s="7" t="str">
        <f t="array" ref="G55">IFERROR(INDEX('Order Planning'!$F$5:$F$204,MATCH(D55,'Order Planning'!$A$5:$A$204,0)),"")</f>
        <v/>
      </c>
      <c r="H55" s="7"/>
      <c r="I55" s="7"/>
      <c r="J55" s="7"/>
      <c r="O55" s="22">
        <f t="shared" si="1"/>
        <v>0</v>
      </c>
      <c r="R55" s="7"/>
    </row>
    <row r="56" ht="15.75" customHeight="1">
      <c r="A56" s="15"/>
      <c r="B56" s="7"/>
      <c r="C56" s="7"/>
      <c r="D56" s="7"/>
      <c r="E56" s="7" t="str">
        <f t="array" ref="E56">IFERROR(INDEX('Order Planning'!$C$5:$C$204,MATCH(D56,'Order Planning'!$A$5:$A$204,0)),"")</f>
        <v/>
      </c>
      <c r="F56" s="7" t="str">
        <f t="array" ref="F56">IFERROR(INDEX('Order Planning'!$E$5:$E$204,MATCH(D56,'Order Planning'!$A$5:$A$204,0)),"")</f>
        <v/>
      </c>
      <c r="G56" s="7" t="str">
        <f t="array" ref="G56">IFERROR(INDEX('Order Planning'!$F$5:$F$204,MATCH(D56,'Order Planning'!$A$5:$A$204,0)),"")</f>
        <v/>
      </c>
      <c r="H56" s="7"/>
      <c r="I56" s="7"/>
      <c r="J56" s="7"/>
      <c r="O56" s="22">
        <f t="shared" si="1"/>
        <v>0</v>
      </c>
      <c r="R56" s="7"/>
    </row>
    <row r="57" ht="15.75" customHeight="1">
      <c r="A57" s="15"/>
      <c r="B57" s="7"/>
      <c r="C57" s="7"/>
      <c r="D57" s="7"/>
      <c r="E57" s="7" t="str">
        <f t="array" ref="E57">IFERROR(INDEX('Order Planning'!$C$5:$C$204,MATCH(D57,'Order Planning'!$A$5:$A$204,0)),"")</f>
        <v/>
      </c>
      <c r="F57" s="7" t="str">
        <f t="array" ref="F57">IFERROR(INDEX('Order Planning'!$E$5:$E$204,MATCH(D57,'Order Planning'!$A$5:$A$204,0)),"")</f>
        <v/>
      </c>
      <c r="G57" s="7" t="str">
        <f t="array" ref="G57">IFERROR(INDEX('Order Planning'!$F$5:$F$204,MATCH(D57,'Order Planning'!$A$5:$A$204,0)),"")</f>
        <v/>
      </c>
      <c r="H57" s="7"/>
      <c r="I57" s="7"/>
      <c r="J57" s="7"/>
      <c r="O57" s="22">
        <f t="shared" si="1"/>
        <v>0</v>
      </c>
      <c r="R57" s="7"/>
    </row>
    <row r="58" ht="15.75" customHeight="1">
      <c r="A58" s="15"/>
      <c r="B58" s="7"/>
      <c r="C58" s="7"/>
      <c r="D58" s="7"/>
      <c r="E58" s="7" t="str">
        <f t="array" ref="E58">IFERROR(INDEX('Order Planning'!$C$5:$C$204,MATCH(D58,'Order Planning'!$A$5:$A$204,0)),"")</f>
        <v/>
      </c>
      <c r="F58" s="7" t="str">
        <f t="array" ref="F58">IFERROR(INDEX('Order Planning'!$E$5:$E$204,MATCH(D58,'Order Planning'!$A$5:$A$204,0)),"")</f>
        <v/>
      </c>
      <c r="G58" s="7" t="str">
        <f t="array" ref="G58">IFERROR(INDEX('Order Planning'!$F$5:$F$204,MATCH(D58,'Order Planning'!$A$5:$A$204,0)),"")</f>
        <v/>
      </c>
      <c r="H58" s="7"/>
      <c r="I58" s="7"/>
      <c r="J58" s="7"/>
      <c r="O58" s="22">
        <f t="shared" si="1"/>
        <v>0</v>
      </c>
      <c r="R58" s="7"/>
    </row>
    <row r="59" ht="15.75" customHeight="1">
      <c r="A59" s="15"/>
      <c r="B59" s="7"/>
      <c r="C59" s="7"/>
      <c r="D59" s="7"/>
      <c r="E59" s="7" t="str">
        <f t="array" ref="E59">IFERROR(INDEX('Order Planning'!$C$5:$C$204,MATCH(D59,'Order Planning'!$A$5:$A$204,0)),"")</f>
        <v/>
      </c>
      <c r="F59" s="7" t="str">
        <f t="array" ref="F59">IFERROR(INDEX('Order Planning'!$E$5:$E$204,MATCH(D59,'Order Planning'!$A$5:$A$204,0)),"")</f>
        <v/>
      </c>
      <c r="G59" s="7" t="str">
        <f t="array" ref="G59">IFERROR(INDEX('Order Planning'!$F$5:$F$204,MATCH(D59,'Order Planning'!$A$5:$A$204,0)),"")</f>
        <v/>
      </c>
      <c r="H59" s="7"/>
      <c r="I59" s="7"/>
      <c r="J59" s="7"/>
      <c r="O59" s="22">
        <f t="shared" si="1"/>
        <v>0</v>
      </c>
      <c r="R59" s="7"/>
    </row>
    <row r="60" ht="15.75" customHeight="1">
      <c r="A60" s="15"/>
      <c r="B60" s="7"/>
      <c r="C60" s="7"/>
      <c r="D60" s="7"/>
      <c r="E60" s="7" t="str">
        <f t="array" ref="E60">IFERROR(INDEX('Order Planning'!$C$5:$C$204,MATCH(D60,'Order Planning'!$A$5:$A$204,0)),"")</f>
        <v/>
      </c>
      <c r="F60" s="7" t="str">
        <f t="array" ref="F60">IFERROR(INDEX('Order Planning'!$E$5:$E$204,MATCH(D60,'Order Planning'!$A$5:$A$204,0)),"")</f>
        <v/>
      </c>
      <c r="G60" s="7" t="str">
        <f t="array" ref="G60">IFERROR(INDEX('Order Planning'!$F$5:$F$204,MATCH(D60,'Order Planning'!$A$5:$A$204,0)),"")</f>
        <v/>
      </c>
      <c r="H60" s="7"/>
      <c r="I60" s="7"/>
      <c r="J60" s="7"/>
      <c r="O60" s="22">
        <f t="shared" si="1"/>
        <v>0</v>
      </c>
      <c r="R60" s="7"/>
    </row>
    <row r="61" ht="15.75" customHeight="1">
      <c r="A61" s="15"/>
      <c r="B61" s="7"/>
      <c r="C61" s="7"/>
      <c r="D61" s="7"/>
      <c r="E61" s="7" t="str">
        <f t="array" ref="E61">IFERROR(INDEX('Order Planning'!$C$5:$C$204,MATCH(D61,'Order Planning'!$A$5:$A$204,0)),"")</f>
        <v/>
      </c>
      <c r="F61" s="7" t="str">
        <f t="array" ref="F61">IFERROR(INDEX('Order Planning'!$E$5:$E$204,MATCH(D61,'Order Planning'!$A$5:$A$204,0)),"")</f>
        <v/>
      </c>
      <c r="G61" s="7" t="str">
        <f t="array" ref="G61">IFERROR(INDEX('Order Planning'!$F$5:$F$204,MATCH(D61,'Order Planning'!$A$5:$A$204,0)),"")</f>
        <v/>
      </c>
      <c r="H61" s="7"/>
      <c r="I61" s="7"/>
      <c r="J61" s="7"/>
      <c r="O61" s="22">
        <f t="shared" si="1"/>
        <v>0</v>
      </c>
      <c r="R61" s="7"/>
    </row>
    <row r="62" ht="15.75" customHeight="1">
      <c r="A62" s="15"/>
      <c r="B62" s="7"/>
      <c r="C62" s="7"/>
      <c r="D62" s="7"/>
      <c r="E62" s="7" t="str">
        <f t="array" ref="E62">IFERROR(INDEX('Order Planning'!$C$5:$C$204,MATCH(D62,'Order Planning'!$A$5:$A$204,0)),"")</f>
        <v/>
      </c>
      <c r="F62" s="7" t="str">
        <f t="array" ref="F62">IFERROR(INDEX('Order Planning'!$E$5:$E$204,MATCH(D62,'Order Planning'!$A$5:$A$204,0)),"")</f>
        <v/>
      </c>
      <c r="G62" s="7" t="str">
        <f t="array" ref="G62">IFERROR(INDEX('Order Planning'!$F$5:$F$204,MATCH(D62,'Order Planning'!$A$5:$A$204,0)),"")</f>
        <v/>
      </c>
      <c r="H62" s="7"/>
      <c r="I62" s="7"/>
      <c r="J62" s="7"/>
      <c r="O62" s="22">
        <f t="shared" si="1"/>
        <v>0</v>
      </c>
      <c r="R62" s="7"/>
    </row>
    <row r="63" ht="15.75" customHeight="1">
      <c r="A63" s="15"/>
      <c r="B63" s="7"/>
      <c r="C63" s="7"/>
      <c r="D63" s="7"/>
      <c r="E63" s="7" t="str">
        <f t="array" ref="E63">IFERROR(INDEX('Order Planning'!$C$5:$C$204,MATCH(D63,'Order Planning'!$A$5:$A$204,0)),"")</f>
        <v/>
      </c>
      <c r="F63" s="7" t="str">
        <f t="array" ref="F63">IFERROR(INDEX('Order Planning'!$E$5:$E$204,MATCH(D63,'Order Planning'!$A$5:$A$204,0)),"")</f>
        <v/>
      </c>
      <c r="G63" s="7" t="str">
        <f t="array" ref="G63">IFERROR(INDEX('Order Planning'!$F$5:$F$204,MATCH(D63,'Order Planning'!$A$5:$A$204,0)),"")</f>
        <v/>
      </c>
      <c r="H63" s="7"/>
      <c r="I63" s="7"/>
      <c r="J63" s="7"/>
      <c r="O63" s="22">
        <f t="shared" si="1"/>
        <v>0</v>
      </c>
      <c r="R63" s="7"/>
    </row>
    <row r="64" ht="15.75" customHeight="1">
      <c r="A64" s="15"/>
      <c r="B64" s="7"/>
      <c r="C64" s="7"/>
      <c r="D64" s="7"/>
      <c r="E64" s="7" t="str">
        <f t="array" ref="E64">IFERROR(INDEX('Order Planning'!$C$5:$C$204,MATCH(D64,'Order Planning'!$A$5:$A$204,0)),"")</f>
        <v/>
      </c>
      <c r="F64" s="7" t="str">
        <f t="array" ref="F64">IFERROR(INDEX('Order Planning'!$E$5:$E$204,MATCH(D64,'Order Planning'!$A$5:$A$204,0)),"")</f>
        <v/>
      </c>
      <c r="G64" s="7" t="str">
        <f t="array" ref="G64">IFERROR(INDEX('Order Planning'!$F$5:$F$204,MATCH(D64,'Order Planning'!$A$5:$A$204,0)),"")</f>
        <v/>
      </c>
      <c r="H64" s="7"/>
      <c r="I64" s="7"/>
      <c r="J64" s="7"/>
      <c r="O64" s="22">
        <f t="shared" si="1"/>
        <v>0</v>
      </c>
      <c r="R64" s="7"/>
    </row>
    <row r="65" ht="15.75" customHeight="1">
      <c r="A65" s="15"/>
      <c r="B65" s="7"/>
      <c r="C65" s="7"/>
      <c r="D65" s="7"/>
      <c r="E65" s="7" t="str">
        <f t="array" ref="E65">IFERROR(INDEX('Order Planning'!$C$5:$C$204,MATCH(D65,'Order Planning'!$A$5:$A$204,0)),"")</f>
        <v/>
      </c>
      <c r="F65" s="7" t="str">
        <f t="array" ref="F65">IFERROR(INDEX('Order Planning'!$E$5:$E$204,MATCH(D65,'Order Planning'!$A$5:$A$204,0)),"")</f>
        <v/>
      </c>
      <c r="G65" s="7" t="str">
        <f t="array" ref="G65">IFERROR(INDEX('Order Planning'!$F$5:$F$204,MATCH(D65,'Order Planning'!$A$5:$A$204,0)),"")</f>
        <v/>
      </c>
      <c r="H65" s="7"/>
      <c r="I65" s="7"/>
      <c r="J65" s="7"/>
      <c r="O65" s="22">
        <f t="shared" si="1"/>
        <v>0</v>
      </c>
      <c r="R65" s="7"/>
    </row>
    <row r="66" ht="15.75" customHeight="1">
      <c r="A66" s="15"/>
      <c r="B66" s="7"/>
      <c r="C66" s="7"/>
      <c r="D66" s="7"/>
      <c r="E66" s="7" t="str">
        <f t="array" ref="E66">IFERROR(INDEX('Order Planning'!$C$5:$C$204,MATCH(D66,'Order Planning'!$A$5:$A$204,0)),"")</f>
        <v/>
      </c>
      <c r="F66" s="7" t="str">
        <f t="array" ref="F66">IFERROR(INDEX('Order Planning'!$E$5:$E$204,MATCH(D66,'Order Planning'!$A$5:$A$204,0)),"")</f>
        <v/>
      </c>
      <c r="G66" s="7" t="str">
        <f t="array" ref="G66">IFERROR(INDEX('Order Planning'!$F$5:$F$204,MATCH(D66,'Order Planning'!$A$5:$A$204,0)),"")</f>
        <v/>
      </c>
      <c r="H66" s="7"/>
      <c r="I66" s="7"/>
      <c r="J66" s="7"/>
      <c r="O66" s="22">
        <f t="shared" si="1"/>
        <v>0</v>
      </c>
      <c r="R66" s="7"/>
    </row>
    <row r="67" ht="15.75" customHeight="1">
      <c r="A67" s="15"/>
      <c r="B67" s="7"/>
      <c r="C67" s="7"/>
      <c r="D67" s="7"/>
      <c r="E67" s="7" t="str">
        <f t="array" ref="E67">IFERROR(INDEX('Order Planning'!$C$5:$C$204,MATCH(D67,'Order Planning'!$A$5:$A$204,0)),"")</f>
        <v/>
      </c>
      <c r="F67" s="7" t="str">
        <f t="array" ref="F67">IFERROR(INDEX('Order Planning'!$E$5:$E$204,MATCH(D67,'Order Planning'!$A$5:$A$204,0)),"")</f>
        <v/>
      </c>
      <c r="G67" s="7" t="str">
        <f t="array" ref="G67">IFERROR(INDEX('Order Planning'!$F$5:$F$204,MATCH(D67,'Order Planning'!$A$5:$A$204,0)),"")</f>
        <v/>
      </c>
      <c r="H67" s="7"/>
      <c r="I67" s="7"/>
      <c r="J67" s="7"/>
      <c r="O67" s="22">
        <f t="shared" si="1"/>
        <v>0</v>
      </c>
      <c r="R67" s="7"/>
    </row>
    <row r="68" ht="15.75" customHeight="1">
      <c r="A68" s="15"/>
      <c r="B68" s="7"/>
      <c r="C68" s="7"/>
      <c r="D68" s="7"/>
      <c r="E68" s="7" t="str">
        <f t="array" ref="E68">IFERROR(INDEX('Order Planning'!$C$5:$C$204,MATCH(D68,'Order Planning'!$A$5:$A$204,0)),"")</f>
        <v/>
      </c>
      <c r="F68" s="7" t="str">
        <f t="array" ref="F68">IFERROR(INDEX('Order Planning'!$E$5:$E$204,MATCH(D68,'Order Planning'!$A$5:$A$204,0)),"")</f>
        <v/>
      </c>
      <c r="G68" s="7" t="str">
        <f t="array" ref="G68">IFERROR(INDEX('Order Planning'!$F$5:$F$204,MATCH(D68,'Order Planning'!$A$5:$A$204,0)),"")</f>
        <v/>
      </c>
      <c r="H68" s="7"/>
      <c r="I68" s="7"/>
      <c r="J68" s="7"/>
      <c r="O68" s="22">
        <f t="shared" si="1"/>
        <v>0</v>
      </c>
      <c r="R68" s="7"/>
    </row>
    <row r="69" ht="15.75" customHeight="1">
      <c r="A69" s="15"/>
      <c r="B69" s="7"/>
      <c r="C69" s="7"/>
      <c r="D69" s="7"/>
      <c r="E69" s="7" t="str">
        <f t="array" ref="E69">IFERROR(INDEX('Order Planning'!$C$5:$C$204,MATCH(D69,'Order Planning'!$A$5:$A$204,0)),"")</f>
        <v/>
      </c>
      <c r="F69" s="7" t="str">
        <f t="array" ref="F69">IFERROR(INDEX('Order Planning'!$E$5:$E$204,MATCH(D69,'Order Planning'!$A$5:$A$204,0)),"")</f>
        <v/>
      </c>
      <c r="G69" s="7" t="str">
        <f t="array" ref="G69">IFERROR(INDEX('Order Planning'!$F$5:$F$204,MATCH(D69,'Order Planning'!$A$5:$A$204,0)),"")</f>
        <v/>
      </c>
      <c r="H69" s="7"/>
      <c r="I69" s="7"/>
      <c r="J69" s="7"/>
      <c r="O69" s="22">
        <f t="shared" si="1"/>
        <v>0</v>
      </c>
      <c r="R69" s="7"/>
    </row>
    <row r="70" ht="15.75" customHeight="1">
      <c r="A70" s="15"/>
      <c r="B70" s="7"/>
      <c r="C70" s="7"/>
      <c r="D70" s="7"/>
      <c r="E70" s="7" t="str">
        <f t="array" ref="E70">IFERROR(INDEX('Order Planning'!$C$5:$C$204,MATCH(D70,'Order Planning'!$A$5:$A$204,0)),"")</f>
        <v/>
      </c>
      <c r="F70" s="7" t="str">
        <f t="array" ref="F70">IFERROR(INDEX('Order Planning'!$E$5:$E$204,MATCH(D70,'Order Planning'!$A$5:$A$204,0)),"")</f>
        <v/>
      </c>
      <c r="G70" s="7" t="str">
        <f t="array" ref="G70">IFERROR(INDEX('Order Planning'!$F$5:$F$204,MATCH(D70,'Order Planning'!$A$5:$A$204,0)),"")</f>
        <v/>
      </c>
      <c r="H70" s="7"/>
      <c r="I70" s="7"/>
      <c r="J70" s="7"/>
      <c r="O70" s="22">
        <f t="shared" si="1"/>
        <v>0</v>
      </c>
      <c r="R70" s="7"/>
    </row>
    <row r="71" ht="15.75" customHeight="1">
      <c r="A71" s="15"/>
      <c r="B71" s="7"/>
      <c r="C71" s="7"/>
      <c r="D71" s="7"/>
      <c r="E71" s="7" t="str">
        <f t="array" ref="E71">IFERROR(INDEX('Order Planning'!$C$5:$C$204,MATCH(D71,'Order Planning'!$A$5:$A$204,0)),"")</f>
        <v/>
      </c>
      <c r="F71" s="7" t="str">
        <f t="array" ref="F71">IFERROR(INDEX('Order Planning'!$E$5:$E$204,MATCH(D71,'Order Planning'!$A$5:$A$204,0)),"")</f>
        <v/>
      </c>
      <c r="G71" s="7" t="str">
        <f t="array" ref="G71">IFERROR(INDEX('Order Planning'!$F$5:$F$204,MATCH(D71,'Order Planning'!$A$5:$A$204,0)),"")</f>
        <v/>
      </c>
      <c r="H71" s="7"/>
      <c r="I71" s="7"/>
      <c r="J71" s="7"/>
      <c r="O71" s="22">
        <f t="shared" si="1"/>
        <v>0</v>
      </c>
      <c r="R71" s="7"/>
    </row>
    <row r="72" ht="15.75" customHeight="1">
      <c r="A72" s="15"/>
      <c r="B72" s="7"/>
      <c r="C72" s="7"/>
      <c r="D72" s="7"/>
      <c r="E72" s="7" t="str">
        <f t="array" ref="E72">IFERROR(INDEX('Order Planning'!$C$5:$C$204,MATCH(D72,'Order Planning'!$A$5:$A$204,0)),"")</f>
        <v/>
      </c>
      <c r="F72" s="7" t="str">
        <f t="array" ref="F72">IFERROR(INDEX('Order Planning'!$E$5:$E$204,MATCH(D72,'Order Planning'!$A$5:$A$204,0)),"")</f>
        <v/>
      </c>
      <c r="G72" s="7" t="str">
        <f t="array" ref="G72">IFERROR(INDEX('Order Planning'!$F$5:$F$204,MATCH(D72,'Order Planning'!$A$5:$A$204,0)),"")</f>
        <v/>
      </c>
      <c r="H72" s="7"/>
      <c r="I72" s="7"/>
      <c r="J72" s="7"/>
      <c r="O72" s="22">
        <f t="shared" si="1"/>
        <v>0</v>
      </c>
      <c r="R72" s="7"/>
    </row>
    <row r="73" ht="15.75" customHeight="1">
      <c r="A73" s="15"/>
      <c r="B73" s="7"/>
      <c r="C73" s="7"/>
      <c r="D73" s="7"/>
      <c r="E73" s="7" t="str">
        <f t="array" ref="E73">IFERROR(INDEX('Order Planning'!$C$5:$C$204,MATCH(D73,'Order Planning'!$A$5:$A$204,0)),"")</f>
        <v/>
      </c>
      <c r="F73" s="7" t="str">
        <f t="array" ref="F73">IFERROR(INDEX('Order Planning'!$E$5:$E$204,MATCH(D73,'Order Planning'!$A$5:$A$204,0)),"")</f>
        <v/>
      </c>
      <c r="G73" s="7" t="str">
        <f t="array" ref="G73">IFERROR(INDEX('Order Planning'!$F$5:$F$204,MATCH(D73,'Order Planning'!$A$5:$A$204,0)),"")</f>
        <v/>
      </c>
      <c r="H73" s="7"/>
      <c r="I73" s="7"/>
      <c r="J73" s="7"/>
      <c r="O73" s="22">
        <f t="shared" si="1"/>
        <v>0</v>
      </c>
      <c r="R73" s="7"/>
    </row>
    <row r="74" ht="15.75" customHeight="1">
      <c r="A74" s="15"/>
      <c r="B74" s="7"/>
      <c r="C74" s="7"/>
      <c r="D74" s="7"/>
      <c r="E74" s="7" t="str">
        <f t="array" ref="E74">IFERROR(INDEX('Order Planning'!$C$5:$C$204,MATCH(D74,'Order Planning'!$A$5:$A$204,0)),"")</f>
        <v/>
      </c>
      <c r="F74" s="7" t="str">
        <f t="array" ref="F74">IFERROR(INDEX('Order Planning'!$E$5:$E$204,MATCH(D74,'Order Planning'!$A$5:$A$204,0)),"")</f>
        <v/>
      </c>
      <c r="G74" s="7" t="str">
        <f t="array" ref="G74">IFERROR(INDEX('Order Planning'!$F$5:$F$204,MATCH(D74,'Order Planning'!$A$5:$A$204,0)),"")</f>
        <v/>
      </c>
      <c r="H74" s="7"/>
      <c r="I74" s="7"/>
      <c r="J74" s="7"/>
      <c r="O74" s="22">
        <f t="shared" si="1"/>
        <v>0</v>
      </c>
      <c r="R74" s="7"/>
    </row>
    <row r="75" ht="15.75" customHeight="1">
      <c r="A75" s="15"/>
      <c r="B75" s="7"/>
      <c r="C75" s="7"/>
      <c r="D75" s="7"/>
      <c r="E75" s="7" t="str">
        <f t="array" ref="E75">IFERROR(INDEX('Order Planning'!$C$5:$C$204,MATCH(D75,'Order Planning'!$A$5:$A$204,0)),"")</f>
        <v/>
      </c>
      <c r="F75" s="7" t="str">
        <f t="array" ref="F75">IFERROR(INDEX('Order Planning'!$E$5:$E$204,MATCH(D75,'Order Planning'!$A$5:$A$204,0)),"")</f>
        <v/>
      </c>
      <c r="G75" s="7" t="str">
        <f t="array" ref="G75">IFERROR(INDEX('Order Planning'!$F$5:$F$204,MATCH(D75,'Order Planning'!$A$5:$A$204,0)),"")</f>
        <v/>
      </c>
      <c r="H75" s="7"/>
      <c r="I75" s="7"/>
      <c r="J75" s="7"/>
      <c r="O75" s="22">
        <f t="shared" si="1"/>
        <v>0</v>
      </c>
      <c r="R75" s="7"/>
    </row>
    <row r="76" ht="15.75" customHeight="1">
      <c r="A76" s="15"/>
      <c r="B76" s="7"/>
      <c r="C76" s="7"/>
      <c r="D76" s="7"/>
      <c r="E76" s="7" t="str">
        <f t="array" ref="E76">IFERROR(INDEX('Order Planning'!$C$5:$C$204,MATCH(D76,'Order Planning'!$A$5:$A$204,0)),"")</f>
        <v/>
      </c>
      <c r="F76" s="7" t="str">
        <f t="array" ref="F76">IFERROR(INDEX('Order Planning'!$E$5:$E$204,MATCH(D76,'Order Planning'!$A$5:$A$204,0)),"")</f>
        <v/>
      </c>
      <c r="G76" s="7" t="str">
        <f t="array" ref="G76">IFERROR(INDEX('Order Planning'!$F$5:$F$204,MATCH(D76,'Order Planning'!$A$5:$A$204,0)),"")</f>
        <v/>
      </c>
      <c r="H76" s="7"/>
      <c r="I76" s="7"/>
      <c r="J76" s="7"/>
      <c r="O76" s="22">
        <f t="shared" si="1"/>
        <v>0</v>
      </c>
      <c r="R76" s="7"/>
    </row>
    <row r="77" ht="15.75" customHeight="1">
      <c r="A77" s="15"/>
      <c r="B77" s="7"/>
      <c r="C77" s="7"/>
      <c r="D77" s="7"/>
      <c r="E77" s="7" t="str">
        <f t="array" ref="E77">IFERROR(INDEX('Order Planning'!$C$5:$C$204,MATCH(D77,'Order Planning'!$A$5:$A$204,0)),"")</f>
        <v/>
      </c>
      <c r="F77" s="7" t="str">
        <f t="array" ref="F77">IFERROR(INDEX('Order Planning'!$E$5:$E$204,MATCH(D77,'Order Planning'!$A$5:$A$204,0)),"")</f>
        <v/>
      </c>
      <c r="G77" s="7" t="str">
        <f t="array" ref="G77">IFERROR(INDEX('Order Planning'!$F$5:$F$204,MATCH(D77,'Order Planning'!$A$5:$A$204,0)),"")</f>
        <v/>
      </c>
      <c r="H77" s="7"/>
      <c r="I77" s="7"/>
      <c r="J77" s="7"/>
      <c r="O77" s="22">
        <f t="shared" si="1"/>
        <v>0</v>
      </c>
      <c r="R77" s="7"/>
    </row>
    <row r="78" ht="15.75" customHeight="1">
      <c r="A78" s="15"/>
      <c r="B78" s="7"/>
      <c r="C78" s="7"/>
      <c r="D78" s="7"/>
      <c r="E78" s="7" t="str">
        <f t="array" ref="E78">IFERROR(INDEX('Order Planning'!$C$5:$C$204,MATCH(D78,'Order Planning'!$A$5:$A$204,0)),"")</f>
        <v/>
      </c>
      <c r="F78" s="7" t="str">
        <f t="array" ref="F78">IFERROR(INDEX('Order Planning'!$E$5:$E$204,MATCH(D78,'Order Planning'!$A$5:$A$204,0)),"")</f>
        <v/>
      </c>
      <c r="G78" s="7" t="str">
        <f t="array" ref="G78">IFERROR(INDEX('Order Planning'!$F$5:$F$204,MATCH(D78,'Order Planning'!$A$5:$A$204,0)),"")</f>
        <v/>
      </c>
      <c r="H78" s="7"/>
      <c r="I78" s="7"/>
      <c r="J78" s="7"/>
      <c r="O78" s="22">
        <f t="shared" si="1"/>
        <v>0</v>
      </c>
      <c r="R78" s="7"/>
    </row>
    <row r="79" ht="15.75" customHeight="1">
      <c r="A79" s="15"/>
      <c r="B79" s="7"/>
      <c r="C79" s="7"/>
      <c r="D79" s="7"/>
      <c r="E79" s="7" t="str">
        <f t="array" ref="E79">IFERROR(INDEX('Order Planning'!$C$5:$C$204,MATCH(D79,'Order Planning'!$A$5:$A$204,0)),"")</f>
        <v/>
      </c>
      <c r="F79" s="7" t="str">
        <f t="array" ref="F79">IFERROR(INDEX('Order Planning'!$E$5:$E$204,MATCH(D79,'Order Planning'!$A$5:$A$204,0)),"")</f>
        <v/>
      </c>
      <c r="G79" s="7" t="str">
        <f t="array" ref="G79">IFERROR(INDEX('Order Planning'!$F$5:$F$204,MATCH(D79,'Order Planning'!$A$5:$A$204,0)),"")</f>
        <v/>
      </c>
      <c r="H79" s="7"/>
      <c r="I79" s="7"/>
      <c r="J79" s="7"/>
      <c r="O79" s="22">
        <f t="shared" si="1"/>
        <v>0</v>
      </c>
      <c r="R79" s="7"/>
    </row>
    <row r="80" ht="15.75" customHeight="1">
      <c r="A80" s="15"/>
      <c r="B80" s="7"/>
      <c r="C80" s="7"/>
      <c r="D80" s="7"/>
      <c r="E80" s="7" t="str">
        <f t="array" ref="E80">IFERROR(INDEX('Order Planning'!$C$5:$C$204,MATCH(D80,'Order Planning'!$A$5:$A$204,0)),"")</f>
        <v/>
      </c>
      <c r="F80" s="7" t="str">
        <f t="array" ref="F80">IFERROR(INDEX('Order Planning'!$E$5:$E$204,MATCH(D80,'Order Planning'!$A$5:$A$204,0)),"")</f>
        <v/>
      </c>
      <c r="G80" s="7" t="str">
        <f t="array" ref="G80">IFERROR(INDEX('Order Planning'!$F$5:$F$204,MATCH(D80,'Order Planning'!$A$5:$A$204,0)),"")</f>
        <v/>
      </c>
      <c r="H80" s="7"/>
      <c r="I80" s="7"/>
      <c r="J80" s="7"/>
      <c r="O80" s="22">
        <f t="shared" si="1"/>
        <v>0</v>
      </c>
      <c r="R80" s="7"/>
    </row>
    <row r="81" ht="15.75" customHeight="1">
      <c r="A81" s="15"/>
      <c r="B81" s="7"/>
      <c r="C81" s="7"/>
      <c r="D81" s="7"/>
      <c r="E81" s="7" t="str">
        <f t="array" ref="E81">IFERROR(INDEX('Order Planning'!$C$5:$C$204,MATCH(D81,'Order Planning'!$A$5:$A$204,0)),"")</f>
        <v/>
      </c>
      <c r="F81" s="7" t="str">
        <f t="array" ref="F81">IFERROR(INDEX('Order Planning'!$E$5:$E$204,MATCH(D81,'Order Planning'!$A$5:$A$204,0)),"")</f>
        <v/>
      </c>
      <c r="G81" s="7" t="str">
        <f t="array" ref="G81">IFERROR(INDEX('Order Planning'!$F$5:$F$204,MATCH(D81,'Order Planning'!$A$5:$A$204,0)),"")</f>
        <v/>
      </c>
      <c r="H81" s="7"/>
      <c r="I81" s="7"/>
      <c r="J81" s="7"/>
      <c r="O81" s="22">
        <f t="shared" si="1"/>
        <v>0</v>
      </c>
      <c r="R81" s="7"/>
    </row>
    <row r="82" ht="15.75" customHeight="1">
      <c r="A82" s="15"/>
      <c r="B82" s="7"/>
      <c r="C82" s="7"/>
      <c r="D82" s="7"/>
      <c r="E82" s="7" t="str">
        <f t="array" ref="E82">IFERROR(INDEX('Order Planning'!$C$5:$C$204,MATCH(D82,'Order Planning'!$A$5:$A$204,0)),"")</f>
        <v/>
      </c>
      <c r="F82" s="7" t="str">
        <f t="array" ref="F82">IFERROR(INDEX('Order Planning'!$E$5:$E$204,MATCH(D82,'Order Planning'!$A$5:$A$204,0)),"")</f>
        <v/>
      </c>
      <c r="G82" s="7" t="str">
        <f t="array" ref="G82">IFERROR(INDEX('Order Planning'!$F$5:$F$204,MATCH(D82,'Order Planning'!$A$5:$A$204,0)),"")</f>
        <v/>
      </c>
      <c r="H82" s="7"/>
      <c r="I82" s="7"/>
      <c r="J82" s="7"/>
      <c r="O82" s="22">
        <f t="shared" si="1"/>
        <v>0</v>
      </c>
      <c r="R82" s="7"/>
    </row>
    <row r="83" ht="15.75" customHeight="1">
      <c r="A83" s="15"/>
      <c r="B83" s="7"/>
      <c r="C83" s="7"/>
      <c r="D83" s="7"/>
      <c r="E83" s="7" t="str">
        <f t="array" ref="E83">IFERROR(INDEX('Order Planning'!$C$5:$C$204,MATCH(D83,'Order Planning'!$A$5:$A$204,0)),"")</f>
        <v/>
      </c>
      <c r="F83" s="7" t="str">
        <f t="array" ref="F83">IFERROR(INDEX('Order Planning'!$E$5:$E$204,MATCH(D83,'Order Planning'!$A$5:$A$204,0)),"")</f>
        <v/>
      </c>
      <c r="G83" s="7" t="str">
        <f t="array" ref="G83">IFERROR(INDEX('Order Planning'!$F$5:$F$204,MATCH(D83,'Order Planning'!$A$5:$A$204,0)),"")</f>
        <v/>
      </c>
      <c r="H83" s="7"/>
      <c r="I83" s="7"/>
      <c r="J83" s="7"/>
      <c r="O83" s="22">
        <f t="shared" si="1"/>
        <v>0</v>
      </c>
      <c r="R83" s="7"/>
    </row>
    <row r="84" ht="15.75" customHeight="1">
      <c r="A84" s="15"/>
      <c r="B84" s="7"/>
      <c r="C84" s="7"/>
      <c r="D84" s="7"/>
      <c r="E84" s="7" t="str">
        <f t="array" ref="E84">IFERROR(INDEX('Order Planning'!$C$5:$C$204,MATCH(D84,'Order Planning'!$A$5:$A$204,0)),"")</f>
        <v/>
      </c>
      <c r="F84" s="7" t="str">
        <f t="array" ref="F84">IFERROR(INDEX('Order Planning'!$E$5:$E$204,MATCH(D84,'Order Planning'!$A$5:$A$204,0)),"")</f>
        <v/>
      </c>
      <c r="G84" s="7" t="str">
        <f t="array" ref="G84">IFERROR(INDEX('Order Planning'!$F$5:$F$204,MATCH(D84,'Order Planning'!$A$5:$A$204,0)),"")</f>
        <v/>
      </c>
      <c r="H84" s="7"/>
      <c r="I84" s="7"/>
      <c r="J84" s="7"/>
      <c r="O84" s="22">
        <f t="shared" si="1"/>
        <v>0</v>
      </c>
      <c r="R84" s="7"/>
    </row>
    <row r="85" ht="15.75" customHeight="1">
      <c r="A85" s="15"/>
      <c r="B85" s="7"/>
      <c r="C85" s="7"/>
      <c r="D85" s="7"/>
      <c r="E85" s="7" t="str">
        <f t="array" ref="E85">IFERROR(INDEX('Order Planning'!$C$5:$C$204,MATCH(D85,'Order Planning'!$A$5:$A$204,0)),"")</f>
        <v/>
      </c>
      <c r="F85" s="7" t="str">
        <f t="array" ref="F85">IFERROR(INDEX('Order Planning'!$E$5:$E$204,MATCH(D85,'Order Planning'!$A$5:$A$204,0)),"")</f>
        <v/>
      </c>
      <c r="G85" s="7" t="str">
        <f t="array" ref="G85">IFERROR(INDEX('Order Planning'!$F$5:$F$204,MATCH(D85,'Order Planning'!$A$5:$A$204,0)),"")</f>
        <v/>
      </c>
      <c r="H85" s="7"/>
      <c r="I85" s="7"/>
      <c r="J85" s="7"/>
      <c r="O85" s="22">
        <f t="shared" si="1"/>
        <v>0</v>
      </c>
      <c r="R85" s="7"/>
    </row>
    <row r="86" ht="15.75" customHeight="1">
      <c r="A86" s="15"/>
      <c r="B86" s="7"/>
      <c r="C86" s="7"/>
      <c r="D86" s="7"/>
      <c r="E86" s="7" t="str">
        <f t="array" ref="E86">IFERROR(INDEX('Order Planning'!$C$5:$C$204,MATCH(D86,'Order Planning'!$A$5:$A$204,0)),"")</f>
        <v/>
      </c>
      <c r="F86" s="7" t="str">
        <f t="array" ref="F86">IFERROR(INDEX('Order Planning'!$E$5:$E$204,MATCH(D86,'Order Planning'!$A$5:$A$204,0)),"")</f>
        <v/>
      </c>
      <c r="G86" s="7" t="str">
        <f t="array" ref="G86">IFERROR(INDEX('Order Planning'!$F$5:$F$204,MATCH(D86,'Order Planning'!$A$5:$A$204,0)),"")</f>
        <v/>
      </c>
      <c r="H86" s="7"/>
      <c r="I86" s="7"/>
      <c r="J86" s="7"/>
      <c r="O86" s="22">
        <f t="shared" si="1"/>
        <v>0</v>
      </c>
      <c r="R86" s="7"/>
    </row>
    <row r="87" ht="15.75" customHeight="1">
      <c r="A87" s="15"/>
      <c r="B87" s="7"/>
      <c r="C87" s="7"/>
      <c r="D87" s="7"/>
      <c r="E87" s="7" t="str">
        <f t="array" ref="E87">IFERROR(INDEX('Order Planning'!$C$5:$C$204,MATCH(D87,'Order Planning'!$A$5:$A$204,0)),"")</f>
        <v/>
      </c>
      <c r="F87" s="7" t="str">
        <f t="array" ref="F87">IFERROR(INDEX('Order Planning'!$E$5:$E$204,MATCH(D87,'Order Planning'!$A$5:$A$204,0)),"")</f>
        <v/>
      </c>
      <c r="G87" s="7" t="str">
        <f t="array" ref="G87">IFERROR(INDEX('Order Planning'!$F$5:$F$204,MATCH(D87,'Order Planning'!$A$5:$A$204,0)),"")</f>
        <v/>
      </c>
      <c r="H87" s="7"/>
      <c r="I87" s="7"/>
      <c r="J87" s="7"/>
      <c r="O87" s="22">
        <f t="shared" si="1"/>
        <v>0</v>
      </c>
      <c r="R87" s="7"/>
    </row>
    <row r="88" ht="15.75" customHeight="1">
      <c r="A88" s="15"/>
      <c r="B88" s="7"/>
      <c r="C88" s="7"/>
      <c r="D88" s="7"/>
      <c r="E88" s="7" t="str">
        <f t="array" ref="E88">IFERROR(INDEX('Order Planning'!$C$5:$C$204,MATCH(D88,'Order Planning'!$A$5:$A$204,0)),"")</f>
        <v/>
      </c>
      <c r="F88" s="7" t="str">
        <f t="array" ref="F88">IFERROR(INDEX('Order Planning'!$E$5:$E$204,MATCH(D88,'Order Planning'!$A$5:$A$204,0)),"")</f>
        <v/>
      </c>
      <c r="G88" s="7" t="str">
        <f t="array" ref="G88">IFERROR(INDEX('Order Planning'!$F$5:$F$204,MATCH(D88,'Order Planning'!$A$5:$A$204,0)),"")</f>
        <v/>
      </c>
      <c r="H88" s="7"/>
      <c r="I88" s="7"/>
      <c r="J88" s="7"/>
      <c r="O88" s="22">
        <f t="shared" si="1"/>
        <v>0</v>
      </c>
      <c r="R88" s="7"/>
    </row>
    <row r="89" ht="15.75" customHeight="1">
      <c r="A89" s="15"/>
      <c r="B89" s="7"/>
      <c r="C89" s="7"/>
      <c r="D89" s="7"/>
      <c r="E89" s="7" t="str">
        <f t="array" ref="E89">IFERROR(INDEX('Order Planning'!$C$5:$C$204,MATCH(D89,'Order Planning'!$A$5:$A$204,0)),"")</f>
        <v/>
      </c>
      <c r="F89" s="7" t="str">
        <f t="array" ref="F89">IFERROR(INDEX('Order Planning'!$E$5:$E$204,MATCH(D89,'Order Planning'!$A$5:$A$204,0)),"")</f>
        <v/>
      </c>
      <c r="G89" s="7" t="str">
        <f t="array" ref="G89">IFERROR(INDEX('Order Planning'!$F$5:$F$204,MATCH(D89,'Order Planning'!$A$5:$A$204,0)),"")</f>
        <v/>
      </c>
      <c r="H89" s="7"/>
      <c r="I89" s="7"/>
      <c r="J89" s="7"/>
      <c r="O89" s="22">
        <f t="shared" si="1"/>
        <v>0</v>
      </c>
      <c r="R89" s="7"/>
    </row>
    <row r="90" ht="15.75" customHeight="1">
      <c r="A90" s="15"/>
      <c r="B90" s="7"/>
      <c r="C90" s="7"/>
      <c r="D90" s="7"/>
      <c r="E90" s="7" t="str">
        <f t="array" ref="E90">IFERROR(INDEX('Order Planning'!$C$5:$C$204,MATCH(D90,'Order Planning'!$A$5:$A$204,0)),"")</f>
        <v/>
      </c>
      <c r="F90" s="7" t="str">
        <f t="array" ref="F90">IFERROR(INDEX('Order Planning'!$E$5:$E$204,MATCH(D90,'Order Planning'!$A$5:$A$204,0)),"")</f>
        <v/>
      </c>
      <c r="G90" s="7" t="str">
        <f t="array" ref="G90">IFERROR(INDEX('Order Planning'!$F$5:$F$204,MATCH(D90,'Order Planning'!$A$5:$A$204,0)),"")</f>
        <v/>
      </c>
      <c r="H90" s="7"/>
      <c r="I90" s="7"/>
      <c r="J90" s="7"/>
      <c r="O90" s="22">
        <f t="shared" si="1"/>
        <v>0</v>
      </c>
      <c r="R90" s="7"/>
    </row>
    <row r="91" ht="15.75" customHeight="1">
      <c r="A91" s="15"/>
      <c r="B91" s="7"/>
      <c r="C91" s="7"/>
      <c r="D91" s="7"/>
      <c r="E91" s="7" t="str">
        <f t="array" ref="E91">IFERROR(INDEX('Order Planning'!$C$5:$C$204,MATCH(D91,'Order Planning'!$A$5:$A$204,0)),"")</f>
        <v/>
      </c>
      <c r="F91" s="7" t="str">
        <f t="array" ref="F91">IFERROR(INDEX('Order Planning'!$E$5:$E$204,MATCH(D91,'Order Planning'!$A$5:$A$204,0)),"")</f>
        <v/>
      </c>
      <c r="G91" s="7" t="str">
        <f t="array" ref="G91">IFERROR(INDEX('Order Planning'!$F$5:$F$204,MATCH(D91,'Order Planning'!$A$5:$A$204,0)),"")</f>
        <v/>
      </c>
      <c r="H91" s="7"/>
      <c r="I91" s="7"/>
      <c r="J91" s="7"/>
      <c r="O91" s="22">
        <f t="shared" si="1"/>
        <v>0</v>
      </c>
      <c r="R91" s="7"/>
    </row>
    <row r="92" ht="15.75" customHeight="1">
      <c r="A92" s="15"/>
      <c r="B92" s="7"/>
      <c r="C92" s="7"/>
      <c r="D92" s="7"/>
      <c r="E92" s="7" t="str">
        <f t="array" ref="E92">IFERROR(INDEX('Order Planning'!$C$5:$C$204,MATCH(D92,'Order Planning'!$A$5:$A$204,0)),"")</f>
        <v/>
      </c>
      <c r="F92" s="7" t="str">
        <f t="array" ref="F92">IFERROR(INDEX('Order Planning'!$E$5:$E$204,MATCH(D92,'Order Planning'!$A$5:$A$204,0)),"")</f>
        <v/>
      </c>
      <c r="G92" s="7" t="str">
        <f t="array" ref="G92">IFERROR(INDEX('Order Planning'!$F$5:$F$204,MATCH(D92,'Order Planning'!$A$5:$A$204,0)),"")</f>
        <v/>
      </c>
      <c r="H92" s="7"/>
      <c r="I92" s="7"/>
      <c r="J92" s="7"/>
      <c r="O92" s="22">
        <f t="shared" si="1"/>
        <v>0</v>
      </c>
      <c r="R92" s="7"/>
    </row>
    <row r="93" ht="15.75" customHeight="1">
      <c r="A93" s="15"/>
      <c r="B93" s="7"/>
      <c r="C93" s="7"/>
      <c r="D93" s="7"/>
      <c r="E93" s="7" t="str">
        <f t="array" ref="E93">IFERROR(INDEX('Order Planning'!$C$5:$C$204,MATCH(D93,'Order Planning'!$A$5:$A$204,0)),"")</f>
        <v/>
      </c>
      <c r="F93" s="7" t="str">
        <f t="array" ref="F93">IFERROR(INDEX('Order Planning'!$E$5:$E$204,MATCH(D93,'Order Planning'!$A$5:$A$204,0)),"")</f>
        <v/>
      </c>
      <c r="G93" s="7" t="str">
        <f t="array" ref="G93">IFERROR(INDEX('Order Planning'!$F$5:$F$204,MATCH(D93,'Order Planning'!$A$5:$A$204,0)),"")</f>
        <v/>
      </c>
      <c r="H93" s="7"/>
      <c r="I93" s="7"/>
      <c r="J93" s="7"/>
      <c r="O93" s="22">
        <f t="shared" si="1"/>
        <v>0</v>
      </c>
      <c r="R93" s="7"/>
    </row>
    <row r="94" ht="15.75" customHeight="1">
      <c r="A94" s="15"/>
      <c r="B94" s="7"/>
      <c r="C94" s="7"/>
      <c r="D94" s="7"/>
      <c r="E94" s="7" t="str">
        <f t="array" ref="E94">IFERROR(INDEX('Order Planning'!$C$5:$C$204,MATCH(D94,'Order Planning'!$A$5:$A$204,0)),"")</f>
        <v/>
      </c>
      <c r="F94" s="7" t="str">
        <f t="array" ref="F94">IFERROR(INDEX('Order Planning'!$E$5:$E$204,MATCH(D94,'Order Planning'!$A$5:$A$204,0)),"")</f>
        <v/>
      </c>
      <c r="G94" s="7" t="str">
        <f t="array" ref="G94">IFERROR(INDEX('Order Planning'!$F$5:$F$204,MATCH(D94,'Order Planning'!$A$5:$A$204,0)),"")</f>
        <v/>
      </c>
      <c r="H94" s="7"/>
      <c r="I94" s="7"/>
      <c r="J94" s="7"/>
      <c r="O94" s="22">
        <f t="shared" si="1"/>
        <v>0</v>
      </c>
      <c r="R94" s="7"/>
    </row>
    <row r="95" ht="15.75" customHeight="1">
      <c r="A95" s="15"/>
      <c r="B95" s="7"/>
      <c r="C95" s="7"/>
      <c r="D95" s="7"/>
      <c r="E95" s="7" t="str">
        <f t="array" ref="E95">IFERROR(INDEX('Order Planning'!$C$5:$C$204,MATCH(D95,'Order Planning'!$A$5:$A$204,0)),"")</f>
        <v/>
      </c>
      <c r="F95" s="7" t="str">
        <f t="array" ref="F95">IFERROR(INDEX('Order Planning'!$E$5:$E$204,MATCH(D95,'Order Planning'!$A$5:$A$204,0)),"")</f>
        <v/>
      </c>
      <c r="G95" s="7" t="str">
        <f t="array" ref="G95">IFERROR(INDEX('Order Planning'!$F$5:$F$204,MATCH(D95,'Order Planning'!$A$5:$A$204,0)),"")</f>
        <v/>
      </c>
      <c r="H95" s="7"/>
      <c r="I95" s="7"/>
      <c r="J95" s="7"/>
      <c r="O95" s="22">
        <f t="shared" si="1"/>
        <v>0</v>
      </c>
      <c r="R95" s="7"/>
    </row>
    <row r="96" ht="15.75" customHeight="1">
      <c r="A96" s="15"/>
      <c r="B96" s="7"/>
      <c r="C96" s="7"/>
      <c r="D96" s="7"/>
      <c r="E96" s="7" t="str">
        <f t="array" ref="E96">IFERROR(INDEX('Order Planning'!$C$5:$C$204,MATCH(D96,'Order Planning'!$A$5:$A$204,0)),"")</f>
        <v/>
      </c>
      <c r="F96" s="7" t="str">
        <f t="array" ref="F96">IFERROR(INDEX('Order Planning'!$E$5:$E$204,MATCH(D96,'Order Planning'!$A$5:$A$204,0)),"")</f>
        <v/>
      </c>
      <c r="G96" s="7" t="str">
        <f t="array" ref="G96">IFERROR(INDEX('Order Planning'!$F$5:$F$204,MATCH(D96,'Order Planning'!$A$5:$A$204,0)),"")</f>
        <v/>
      </c>
      <c r="H96" s="7"/>
      <c r="I96" s="7"/>
      <c r="J96" s="7"/>
      <c r="O96" s="22">
        <f t="shared" si="1"/>
        <v>0</v>
      </c>
      <c r="R96" s="7"/>
    </row>
    <row r="97" ht="15.75" customHeight="1">
      <c r="A97" s="15"/>
      <c r="B97" s="7"/>
      <c r="C97" s="7"/>
      <c r="D97" s="7"/>
      <c r="E97" s="7" t="str">
        <f t="array" ref="E97">IFERROR(INDEX('Order Planning'!$C$5:$C$204,MATCH(D97,'Order Planning'!$A$5:$A$204,0)),"")</f>
        <v/>
      </c>
      <c r="F97" s="7" t="str">
        <f t="array" ref="F97">IFERROR(INDEX('Order Planning'!$E$5:$E$204,MATCH(D97,'Order Planning'!$A$5:$A$204,0)),"")</f>
        <v/>
      </c>
      <c r="G97" s="7" t="str">
        <f t="array" ref="G97">IFERROR(INDEX('Order Planning'!$F$5:$F$204,MATCH(D97,'Order Planning'!$A$5:$A$204,0)),"")</f>
        <v/>
      </c>
      <c r="H97" s="7"/>
      <c r="I97" s="7"/>
      <c r="J97" s="7"/>
      <c r="O97" s="22">
        <f t="shared" si="1"/>
        <v>0</v>
      </c>
      <c r="R97" s="7"/>
    </row>
    <row r="98" ht="15.75" customHeight="1">
      <c r="A98" s="15"/>
      <c r="B98" s="7"/>
      <c r="C98" s="7"/>
      <c r="D98" s="7"/>
      <c r="E98" s="7" t="str">
        <f t="array" ref="E98">IFERROR(INDEX('Order Planning'!$C$5:$C$204,MATCH(D98,'Order Planning'!$A$5:$A$204,0)),"")</f>
        <v/>
      </c>
      <c r="F98" s="7" t="str">
        <f t="array" ref="F98">IFERROR(INDEX('Order Planning'!$E$5:$E$204,MATCH(D98,'Order Planning'!$A$5:$A$204,0)),"")</f>
        <v/>
      </c>
      <c r="G98" s="7" t="str">
        <f t="array" ref="G98">IFERROR(INDEX('Order Planning'!$F$5:$F$204,MATCH(D98,'Order Planning'!$A$5:$A$204,0)),"")</f>
        <v/>
      </c>
      <c r="H98" s="7"/>
      <c r="I98" s="7"/>
      <c r="J98" s="7"/>
      <c r="O98" s="22">
        <f t="shared" si="1"/>
        <v>0</v>
      </c>
      <c r="R98" s="7"/>
    </row>
    <row r="99" ht="15.75" customHeight="1">
      <c r="A99" s="15"/>
      <c r="B99" s="7"/>
      <c r="C99" s="7"/>
      <c r="D99" s="7"/>
      <c r="E99" s="7" t="str">
        <f t="array" ref="E99">IFERROR(INDEX('Order Planning'!$C$5:$C$204,MATCH(D99,'Order Planning'!$A$5:$A$204,0)),"")</f>
        <v/>
      </c>
      <c r="F99" s="7" t="str">
        <f t="array" ref="F99">IFERROR(INDEX('Order Planning'!$E$5:$E$204,MATCH(D99,'Order Planning'!$A$5:$A$204,0)),"")</f>
        <v/>
      </c>
      <c r="G99" s="7" t="str">
        <f t="array" ref="G99">IFERROR(INDEX('Order Planning'!$F$5:$F$204,MATCH(D99,'Order Planning'!$A$5:$A$204,0)),"")</f>
        <v/>
      </c>
      <c r="H99" s="7"/>
      <c r="I99" s="7"/>
      <c r="J99" s="7"/>
      <c r="O99" s="22">
        <f t="shared" si="1"/>
        <v>0</v>
      </c>
      <c r="R99" s="7"/>
    </row>
    <row r="100" ht="15.75" customHeight="1">
      <c r="A100" s="15"/>
      <c r="B100" s="7"/>
      <c r="C100" s="7"/>
      <c r="D100" s="7"/>
      <c r="E100" s="7" t="str">
        <f t="array" ref="E100">IFERROR(INDEX('Order Planning'!$C$5:$C$204,MATCH(D100,'Order Planning'!$A$5:$A$204,0)),"")</f>
        <v/>
      </c>
      <c r="F100" s="7" t="str">
        <f t="array" ref="F100">IFERROR(INDEX('Order Planning'!$E$5:$E$204,MATCH(D100,'Order Planning'!$A$5:$A$204,0)),"")</f>
        <v/>
      </c>
      <c r="G100" s="7" t="str">
        <f t="array" ref="G100">IFERROR(INDEX('Order Planning'!$F$5:$F$204,MATCH(D100,'Order Planning'!$A$5:$A$204,0)),"")</f>
        <v/>
      </c>
      <c r="H100" s="7"/>
      <c r="I100" s="7"/>
      <c r="J100" s="7"/>
      <c r="O100" s="22">
        <f t="shared" si="1"/>
        <v>0</v>
      </c>
      <c r="R100" s="7"/>
    </row>
    <row r="101" ht="15.75" customHeight="1">
      <c r="A101" s="15"/>
      <c r="B101" s="7"/>
      <c r="C101" s="7"/>
      <c r="D101" s="7"/>
      <c r="E101" s="7" t="str">
        <f t="array" ref="E101">IFERROR(INDEX('Order Planning'!$C$5:$C$204,MATCH(D101,'Order Planning'!$A$5:$A$204,0)),"")</f>
        <v/>
      </c>
      <c r="F101" s="7" t="str">
        <f t="array" ref="F101">IFERROR(INDEX('Order Planning'!$E$5:$E$204,MATCH(D101,'Order Planning'!$A$5:$A$204,0)),"")</f>
        <v/>
      </c>
      <c r="G101" s="7" t="str">
        <f t="array" ref="G101">IFERROR(INDEX('Order Planning'!$F$5:$F$204,MATCH(D101,'Order Planning'!$A$5:$A$204,0)),"")</f>
        <v/>
      </c>
      <c r="H101" s="7"/>
      <c r="I101" s="7"/>
      <c r="J101" s="7"/>
      <c r="O101" s="22">
        <f t="shared" si="1"/>
        <v>0</v>
      </c>
      <c r="R101" s="7"/>
    </row>
    <row r="102" ht="15.75" customHeight="1">
      <c r="A102" s="15"/>
      <c r="B102" s="7"/>
      <c r="C102" s="7"/>
      <c r="D102" s="7"/>
      <c r="E102" s="7" t="str">
        <f t="array" ref="E102">IFERROR(INDEX('Order Planning'!$C$5:$C$204,MATCH(D102,'Order Planning'!$A$5:$A$204,0)),"")</f>
        <v/>
      </c>
      <c r="F102" s="7" t="str">
        <f t="array" ref="F102">IFERROR(INDEX('Order Planning'!$E$5:$E$204,MATCH(D102,'Order Planning'!$A$5:$A$204,0)),"")</f>
        <v/>
      </c>
      <c r="G102" s="7" t="str">
        <f t="array" ref="G102">IFERROR(INDEX('Order Planning'!$F$5:$F$204,MATCH(D102,'Order Planning'!$A$5:$A$204,0)),"")</f>
        <v/>
      </c>
      <c r="H102" s="7"/>
      <c r="I102" s="7"/>
      <c r="J102" s="7"/>
      <c r="O102" s="22">
        <f t="shared" si="1"/>
        <v>0</v>
      </c>
      <c r="R102" s="7"/>
    </row>
    <row r="103" ht="15.75" customHeight="1">
      <c r="A103" s="15"/>
      <c r="B103" s="7"/>
      <c r="C103" s="7"/>
      <c r="D103" s="7"/>
      <c r="E103" s="7" t="str">
        <f t="array" ref="E103">IFERROR(INDEX('Order Planning'!$C$5:$C$204,MATCH(D103,'Order Planning'!$A$5:$A$204,0)),"")</f>
        <v/>
      </c>
      <c r="F103" s="7" t="str">
        <f t="array" ref="F103">IFERROR(INDEX('Order Planning'!$E$5:$E$204,MATCH(D103,'Order Planning'!$A$5:$A$204,0)),"")</f>
        <v/>
      </c>
      <c r="G103" s="7" t="str">
        <f t="array" ref="G103">IFERROR(INDEX('Order Planning'!$F$5:$F$204,MATCH(D103,'Order Planning'!$A$5:$A$204,0)),"")</f>
        <v/>
      </c>
      <c r="H103" s="7"/>
      <c r="I103" s="7"/>
      <c r="J103" s="7"/>
      <c r="O103" s="22">
        <f t="shared" si="1"/>
        <v>0</v>
      </c>
      <c r="R103" s="7"/>
    </row>
    <row r="104" ht="15.75" customHeight="1">
      <c r="A104" s="15"/>
      <c r="B104" s="7"/>
      <c r="C104" s="7"/>
      <c r="D104" s="7"/>
      <c r="E104" s="7" t="str">
        <f t="array" ref="E104">IFERROR(INDEX('Order Planning'!$C$5:$C$204,MATCH(D104,'Order Planning'!$A$5:$A$204,0)),"")</f>
        <v/>
      </c>
      <c r="F104" s="7" t="str">
        <f t="array" ref="F104">IFERROR(INDEX('Order Planning'!$E$5:$E$204,MATCH(D104,'Order Planning'!$A$5:$A$204,0)),"")</f>
        <v/>
      </c>
      <c r="G104" s="7" t="str">
        <f t="array" ref="G104">IFERROR(INDEX('Order Planning'!$F$5:$F$204,MATCH(D104,'Order Planning'!$A$5:$A$204,0)),"")</f>
        <v/>
      </c>
      <c r="H104" s="7"/>
      <c r="I104" s="7"/>
      <c r="J104" s="7"/>
      <c r="O104" s="22">
        <f t="shared" si="1"/>
        <v>0</v>
      </c>
      <c r="R104" s="7"/>
    </row>
    <row r="105" ht="15.75" customHeight="1">
      <c r="A105" s="15"/>
      <c r="B105" s="7"/>
      <c r="C105" s="7"/>
      <c r="D105" s="7"/>
      <c r="E105" s="7" t="str">
        <f t="array" ref="E105">IFERROR(INDEX('Order Planning'!$C$5:$C$204,MATCH(D105,'Order Planning'!$A$5:$A$204,0)),"")</f>
        <v/>
      </c>
      <c r="F105" s="7" t="str">
        <f t="array" ref="F105">IFERROR(INDEX('Order Planning'!$E$5:$E$204,MATCH(D105,'Order Planning'!$A$5:$A$204,0)),"")</f>
        <v/>
      </c>
      <c r="G105" s="7" t="str">
        <f t="array" ref="G105">IFERROR(INDEX('Order Planning'!$F$5:$F$204,MATCH(D105,'Order Planning'!$A$5:$A$204,0)),"")</f>
        <v/>
      </c>
      <c r="H105" s="7"/>
      <c r="I105" s="7"/>
      <c r="J105" s="7"/>
      <c r="O105" s="22">
        <f t="shared" si="1"/>
        <v>0</v>
      </c>
      <c r="R105" s="7"/>
    </row>
    <row r="106" ht="15.75" customHeight="1">
      <c r="A106" s="15"/>
      <c r="B106" s="7"/>
      <c r="C106" s="7"/>
      <c r="D106" s="7"/>
      <c r="E106" s="7" t="str">
        <f t="array" ref="E106">IFERROR(INDEX('Order Planning'!$C$5:$C$204,MATCH(D106,'Order Planning'!$A$5:$A$204,0)),"")</f>
        <v/>
      </c>
      <c r="F106" s="7" t="str">
        <f t="array" ref="F106">IFERROR(INDEX('Order Planning'!$E$5:$E$204,MATCH(D106,'Order Planning'!$A$5:$A$204,0)),"")</f>
        <v/>
      </c>
      <c r="G106" s="7" t="str">
        <f t="array" ref="G106">IFERROR(INDEX('Order Planning'!$F$5:$F$204,MATCH(D106,'Order Planning'!$A$5:$A$204,0)),"")</f>
        <v/>
      </c>
      <c r="H106" s="7"/>
      <c r="I106" s="7"/>
      <c r="J106" s="7"/>
      <c r="O106" s="22">
        <f t="shared" si="1"/>
        <v>0</v>
      </c>
      <c r="R106" s="7"/>
    </row>
    <row r="107" ht="15.75" customHeight="1">
      <c r="A107" s="15"/>
      <c r="B107" s="7"/>
      <c r="C107" s="7"/>
      <c r="D107" s="7"/>
      <c r="E107" s="7" t="str">
        <f t="array" ref="E107">IFERROR(INDEX('Order Planning'!$C$5:$C$204,MATCH(D107,'Order Planning'!$A$5:$A$204,0)),"")</f>
        <v/>
      </c>
      <c r="F107" s="7" t="str">
        <f t="array" ref="F107">IFERROR(INDEX('Order Planning'!$E$5:$E$204,MATCH(D107,'Order Planning'!$A$5:$A$204,0)),"")</f>
        <v/>
      </c>
      <c r="G107" s="7" t="str">
        <f t="array" ref="G107">IFERROR(INDEX('Order Planning'!$F$5:$F$204,MATCH(D107,'Order Planning'!$A$5:$A$204,0)),"")</f>
        <v/>
      </c>
      <c r="H107" s="7"/>
      <c r="I107" s="7"/>
      <c r="J107" s="7"/>
      <c r="O107" s="22">
        <f t="shared" si="1"/>
        <v>0</v>
      </c>
      <c r="R107" s="7"/>
    </row>
    <row r="108" ht="15.75" customHeight="1">
      <c r="A108" s="15"/>
      <c r="B108" s="7"/>
      <c r="C108" s="7"/>
      <c r="D108" s="7"/>
      <c r="E108" s="7" t="str">
        <f t="array" ref="E108">IFERROR(INDEX('Order Planning'!$C$5:$C$204,MATCH(D108,'Order Planning'!$A$5:$A$204,0)),"")</f>
        <v/>
      </c>
      <c r="F108" s="7" t="str">
        <f t="array" ref="F108">IFERROR(INDEX('Order Planning'!$E$5:$E$204,MATCH(D108,'Order Planning'!$A$5:$A$204,0)),"")</f>
        <v/>
      </c>
      <c r="G108" s="7" t="str">
        <f t="array" ref="G108">IFERROR(INDEX('Order Planning'!$F$5:$F$204,MATCH(D108,'Order Planning'!$A$5:$A$204,0)),"")</f>
        <v/>
      </c>
      <c r="H108" s="7"/>
      <c r="I108" s="7"/>
      <c r="J108" s="7"/>
      <c r="O108" s="22">
        <f t="shared" si="1"/>
        <v>0</v>
      </c>
      <c r="R108" s="7"/>
    </row>
    <row r="109" ht="15.75" customHeight="1">
      <c r="A109" s="15"/>
      <c r="B109" s="7"/>
      <c r="C109" s="7"/>
      <c r="D109" s="7"/>
      <c r="E109" s="7" t="str">
        <f t="array" ref="E109">IFERROR(INDEX('Order Planning'!$C$5:$C$204,MATCH(D109,'Order Planning'!$A$5:$A$204,0)),"")</f>
        <v/>
      </c>
      <c r="F109" s="7" t="str">
        <f t="array" ref="F109">IFERROR(INDEX('Order Planning'!$E$5:$E$204,MATCH(D109,'Order Planning'!$A$5:$A$204,0)),"")</f>
        <v/>
      </c>
      <c r="G109" s="7" t="str">
        <f t="array" ref="G109">IFERROR(INDEX('Order Planning'!$F$5:$F$204,MATCH(D109,'Order Planning'!$A$5:$A$204,0)),"")</f>
        <v/>
      </c>
      <c r="H109" s="7"/>
      <c r="I109" s="7"/>
      <c r="J109" s="7"/>
      <c r="O109" s="22">
        <f t="shared" si="1"/>
        <v>0</v>
      </c>
      <c r="R109" s="7"/>
    </row>
    <row r="110" ht="15.75" customHeight="1">
      <c r="A110" s="15"/>
      <c r="B110" s="7"/>
      <c r="C110" s="7"/>
      <c r="D110" s="7"/>
      <c r="E110" s="7" t="str">
        <f t="array" ref="E110">IFERROR(INDEX('Order Planning'!$C$5:$C$204,MATCH(D110,'Order Planning'!$A$5:$A$204,0)),"")</f>
        <v/>
      </c>
      <c r="F110" s="7" t="str">
        <f t="array" ref="F110">IFERROR(INDEX('Order Planning'!$E$5:$E$204,MATCH(D110,'Order Planning'!$A$5:$A$204,0)),"")</f>
        <v/>
      </c>
      <c r="G110" s="7" t="str">
        <f t="array" ref="G110">IFERROR(INDEX('Order Planning'!$F$5:$F$204,MATCH(D110,'Order Planning'!$A$5:$A$204,0)),"")</f>
        <v/>
      </c>
      <c r="H110" s="7"/>
      <c r="I110" s="7"/>
      <c r="J110" s="7"/>
      <c r="O110" s="22">
        <f t="shared" si="1"/>
        <v>0</v>
      </c>
      <c r="R110" s="7"/>
    </row>
    <row r="111" ht="15.75" customHeight="1">
      <c r="A111" s="15"/>
      <c r="B111" s="7"/>
      <c r="C111" s="7"/>
      <c r="D111" s="7"/>
      <c r="E111" s="7" t="str">
        <f t="array" ref="E111">IFERROR(INDEX('Order Planning'!$C$5:$C$204,MATCH(D111,'Order Planning'!$A$5:$A$204,0)),"")</f>
        <v/>
      </c>
      <c r="F111" s="7" t="str">
        <f t="array" ref="F111">IFERROR(INDEX('Order Planning'!$E$5:$E$204,MATCH(D111,'Order Planning'!$A$5:$A$204,0)),"")</f>
        <v/>
      </c>
      <c r="G111" s="7" t="str">
        <f t="array" ref="G111">IFERROR(INDEX('Order Planning'!$F$5:$F$204,MATCH(D111,'Order Planning'!$A$5:$A$204,0)),"")</f>
        <v/>
      </c>
      <c r="H111" s="7"/>
      <c r="I111" s="7"/>
      <c r="J111" s="7"/>
      <c r="O111" s="22">
        <f t="shared" si="1"/>
        <v>0</v>
      </c>
      <c r="R111" s="7"/>
    </row>
    <row r="112" ht="15.75" customHeight="1">
      <c r="A112" s="15"/>
      <c r="B112" s="7"/>
      <c r="C112" s="7"/>
      <c r="D112" s="7"/>
      <c r="E112" s="7" t="str">
        <f t="array" ref="E112">IFERROR(INDEX('Order Planning'!$C$5:$C$204,MATCH(D112,'Order Planning'!$A$5:$A$204,0)),"")</f>
        <v/>
      </c>
      <c r="F112" s="7" t="str">
        <f t="array" ref="F112">IFERROR(INDEX('Order Planning'!$E$5:$E$204,MATCH(D112,'Order Planning'!$A$5:$A$204,0)),"")</f>
        <v/>
      </c>
      <c r="G112" s="7" t="str">
        <f t="array" ref="G112">IFERROR(INDEX('Order Planning'!$F$5:$F$204,MATCH(D112,'Order Planning'!$A$5:$A$204,0)),"")</f>
        <v/>
      </c>
      <c r="H112" s="7"/>
      <c r="I112" s="7"/>
      <c r="J112" s="7"/>
      <c r="O112" s="22">
        <f t="shared" si="1"/>
        <v>0</v>
      </c>
      <c r="R112" s="7"/>
    </row>
    <row r="113" ht="15.75" customHeight="1">
      <c r="A113" s="15"/>
      <c r="B113" s="7"/>
      <c r="C113" s="7"/>
      <c r="D113" s="7"/>
      <c r="E113" s="7" t="str">
        <f t="array" ref="E113">IFERROR(INDEX('Order Planning'!$C$5:$C$204,MATCH(D113,'Order Planning'!$A$5:$A$204,0)),"")</f>
        <v/>
      </c>
      <c r="F113" s="7" t="str">
        <f t="array" ref="F113">IFERROR(INDEX('Order Planning'!$E$5:$E$204,MATCH(D113,'Order Planning'!$A$5:$A$204,0)),"")</f>
        <v/>
      </c>
      <c r="G113" s="7" t="str">
        <f t="array" ref="G113">IFERROR(INDEX('Order Planning'!$F$5:$F$204,MATCH(D113,'Order Planning'!$A$5:$A$204,0)),"")</f>
        <v/>
      </c>
      <c r="H113" s="7"/>
      <c r="I113" s="7"/>
      <c r="J113" s="7"/>
      <c r="O113" s="22">
        <f t="shared" si="1"/>
        <v>0</v>
      </c>
      <c r="R113" s="7"/>
    </row>
    <row r="114" ht="15.75" customHeight="1">
      <c r="A114" s="15"/>
      <c r="B114" s="7"/>
      <c r="C114" s="7"/>
      <c r="D114" s="7"/>
      <c r="E114" s="7" t="str">
        <f t="array" ref="E114">IFERROR(INDEX('Order Planning'!$C$5:$C$204,MATCH(D114,'Order Planning'!$A$5:$A$204,0)),"")</f>
        <v/>
      </c>
      <c r="F114" s="7" t="str">
        <f t="array" ref="F114">IFERROR(INDEX('Order Planning'!$E$5:$E$204,MATCH(D114,'Order Planning'!$A$5:$A$204,0)),"")</f>
        <v/>
      </c>
      <c r="G114" s="7" t="str">
        <f t="array" ref="G114">IFERROR(INDEX('Order Planning'!$F$5:$F$204,MATCH(D114,'Order Planning'!$A$5:$A$204,0)),"")</f>
        <v/>
      </c>
      <c r="H114" s="7"/>
      <c r="I114" s="7"/>
      <c r="J114" s="7"/>
      <c r="O114" s="22">
        <f t="shared" si="1"/>
        <v>0</v>
      </c>
      <c r="R114" s="7"/>
    </row>
    <row r="115" ht="15.75" customHeight="1">
      <c r="A115" s="15"/>
      <c r="B115" s="7"/>
      <c r="C115" s="7"/>
      <c r="D115" s="7"/>
      <c r="E115" s="7" t="str">
        <f t="array" ref="E115">IFERROR(INDEX('Order Planning'!$C$5:$C$204,MATCH(D115,'Order Planning'!$A$5:$A$204,0)),"")</f>
        <v/>
      </c>
      <c r="F115" s="7" t="str">
        <f t="array" ref="F115">IFERROR(INDEX('Order Planning'!$E$5:$E$204,MATCH(D115,'Order Planning'!$A$5:$A$204,0)),"")</f>
        <v/>
      </c>
      <c r="G115" s="7" t="str">
        <f t="array" ref="G115">IFERROR(INDEX('Order Planning'!$F$5:$F$204,MATCH(D115,'Order Planning'!$A$5:$A$204,0)),"")</f>
        <v/>
      </c>
      <c r="H115" s="7"/>
      <c r="I115" s="7"/>
      <c r="J115" s="7"/>
      <c r="O115" s="22">
        <f t="shared" si="1"/>
        <v>0</v>
      </c>
      <c r="R115" s="7"/>
    </row>
    <row r="116" ht="15.75" customHeight="1">
      <c r="A116" s="15"/>
      <c r="B116" s="7"/>
      <c r="C116" s="7"/>
      <c r="D116" s="7"/>
      <c r="E116" s="7" t="str">
        <f t="array" ref="E116">IFERROR(INDEX('Order Planning'!$C$5:$C$204,MATCH(D116,'Order Planning'!$A$5:$A$204,0)),"")</f>
        <v/>
      </c>
      <c r="F116" s="7" t="str">
        <f t="array" ref="F116">IFERROR(INDEX('Order Planning'!$E$5:$E$204,MATCH(D116,'Order Planning'!$A$5:$A$204,0)),"")</f>
        <v/>
      </c>
      <c r="G116" s="7" t="str">
        <f t="array" ref="G116">IFERROR(INDEX('Order Planning'!$F$5:$F$204,MATCH(D116,'Order Planning'!$A$5:$A$204,0)),"")</f>
        <v/>
      </c>
      <c r="H116" s="7"/>
      <c r="I116" s="7"/>
      <c r="J116" s="7"/>
      <c r="O116" s="22">
        <f t="shared" si="1"/>
        <v>0</v>
      </c>
      <c r="R116" s="7"/>
    </row>
    <row r="117" ht="15.75" customHeight="1">
      <c r="A117" s="15"/>
      <c r="B117" s="7"/>
      <c r="C117" s="7"/>
      <c r="D117" s="7"/>
      <c r="E117" s="7" t="str">
        <f t="array" ref="E117">IFERROR(INDEX('Order Planning'!$C$5:$C$204,MATCH(D117,'Order Planning'!$A$5:$A$204,0)),"")</f>
        <v/>
      </c>
      <c r="F117" s="7" t="str">
        <f t="array" ref="F117">IFERROR(INDEX('Order Planning'!$E$5:$E$204,MATCH(D117,'Order Planning'!$A$5:$A$204,0)),"")</f>
        <v/>
      </c>
      <c r="G117" s="7" t="str">
        <f t="array" ref="G117">IFERROR(INDEX('Order Planning'!$F$5:$F$204,MATCH(D117,'Order Planning'!$A$5:$A$204,0)),"")</f>
        <v/>
      </c>
      <c r="H117" s="7"/>
      <c r="I117" s="7"/>
      <c r="J117" s="7"/>
      <c r="O117" s="22">
        <f t="shared" si="1"/>
        <v>0</v>
      </c>
      <c r="R117" s="7"/>
    </row>
    <row r="118" ht="15.75" customHeight="1">
      <c r="A118" s="15"/>
      <c r="B118" s="7"/>
      <c r="C118" s="7"/>
      <c r="D118" s="7"/>
      <c r="E118" s="7" t="str">
        <f t="array" ref="E118">IFERROR(INDEX('Order Planning'!$C$5:$C$204,MATCH(D118,'Order Planning'!$A$5:$A$204,0)),"")</f>
        <v/>
      </c>
      <c r="F118" s="7" t="str">
        <f t="array" ref="F118">IFERROR(INDEX('Order Planning'!$E$5:$E$204,MATCH(D118,'Order Planning'!$A$5:$A$204,0)),"")</f>
        <v/>
      </c>
      <c r="G118" s="7" t="str">
        <f t="array" ref="G118">IFERROR(INDEX('Order Planning'!$F$5:$F$204,MATCH(D118,'Order Planning'!$A$5:$A$204,0)),"")</f>
        <v/>
      </c>
      <c r="H118" s="7"/>
      <c r="I118" s="7"/>
      <c r="J118" s="7"/>
      <c r="O118" s="22">
        <f t="shared" si="1"/>
        <v>0</v>
      </c>
      <c r="R118" s="7"/>
    </row>
    <row r="119" ht="15.75" customHeight="1">
      <c r="A119" s="15"/>
      <c r="B119" s="7"/>
      <c r="C119" s="7"/>
      <c r="D119" s="7"/>
      <c r="E119" s="7" t="str">
        <f t="array" ref="E119">IFERROR(INDEX('Order Planning'!$C$5:$C$204,MATCH(D119,'Order Planning'!$A$5:$A$204,0)),"")</f>
        <v/>
      </c>
      <c r="F119" s="7" t="str">
        <f t="array" ref="F119">IFERROR(INDEX('Order Planning'!$E$5:$E$204,MATCH(D119,'Order Planning'!$A$5:$A$204,0)),"")</f>
        <v/>
      </c>
      <c r="G119" s="7" t="str">
        <f t="array" ref="G119">IFERROR(INDEX('Order Planning'!$F$5:$F$204,MATCH(D119,'Order Planning'!$A$5:$A$204,0)),"")</f>
        <v/>
      </c>
      <c r="H119" s="7"/>
      <c r="I119" s="7"/>
      <c r="J119" s="7"/>
      <c r="O119" s="22">
        <f t="shared" si="1"/>
        <v>0</v>
      </c>
      <c r="R119" s="7"/>
    </row>
    <row r="120" ht="15.75" customHeight="1">
      <c r="A120" s="15"/>
      <c r="B120" s="7"/>
      <c r="C120" s="7"/>
      <c r="D120" s="7"/>
      <c r="E120" s="7" t="str">
        <f t="array" ref="E120">IFERROR(INDEX('Order Planning'!$C$5:$C$204,MATCH(D120,'Order Planning'!$A$5:$A$204,0)),"")</f>
        <v/>
      </c>
      <c r="F120" s="7" t="str">
        <f t="array" ref="F120">IFERROR(INDEX('Order Planning'!$E$5:$E$204,MATCH(D120,'Order Planning'!$A$5:$A$204,0)),"")</f>
        <v/>
      </c>
      <c r="G120" s="7" t="str">
        <f t="array" ref="G120">IFERROR(INDEX('Order Planning'!$F$5:$F$204,MATCH(D120,'Order Planning'!$A$5:$A$204,0)),"")</f>
        <v/>
      </c>
      <c r="H120" s="7"/>
      <c r="I120" s="7"/>
      <c r="J120" s="7"/>
      <c r="O120" s="22">
        <f t="shared" si="1"/>
        <v>0</v>
      </c>
      <c r="R120" s="7"/>
    </row>
    <row r="121" ht="15.75" customHeight="1">
      <c r="A121" s="15"/>
      <c r="B121" s="7"/>
      <c r="C121" s="7"/>
      <c r="D121" s="7"/>
      <c r="E121" s="7" t="str">
        <f t="array" ref="E121">IFERROR(INDEX('Order Planning'!$C$5:$C$204,MATCH(D121,'Order Planning'!$A$5:$A$204,0)),"")</f>
        <v/>
      </c>
      <c r="F121" s="7" t="str">
        <f t="array" ref="F121">IFERROR(INDEX('Order Planning'!$E$5:$E$204,MATCH(D121,'Order Planning'!$A$5:$A$204,0)),"")</f>
        <v/>
      </c>
      <c r="G121" s="7" t="str">
        <f t="array" ref="G121">IFERROR(INDEX('Order Planning'!$F$5:$F$204,MATCH(D121,'Order Planning'!$A$5:$A$204,0)),"")</f>
        <v/>
      </c>
      <c r="H121" s="7"/>
      <c r="I121" s="7"/>
      <c r="J121" s="7"/>
      <c r="O121" s="22">
        <f t="shared" si="1"/>
        <v>0</v>
      </c>
      <c r="R121" s="7"/>
    </row>
    <row r="122" ht="15.75" customHeight="1">
      <c r="A122" s="15"/>
      <c r="B122" s="7"/>
      <c r="C122" s="7"/>
      <c r="D122" s="7"/>
      <c r="E122" s="7" t="str">
        <f t="array" ref="E122">IFERROR(INDEX('Order Planning'!$C$5:$C$204,MATCH(D122,'Order Planning'!$A$5:$A$204,0)),"")</f>
        <v/>
      </c>
      <c r="F122" s="7" t="str">
        <f t="array" ref="F122">IFERROR(INDEX('Order Planning'!$E$5:$E$204,MATCH(D122,'Order Planning'!$A$5:$A$204,0)),"")</f>
        <v/>
      </c>
      <c r="G122" s="7" t="str">
        <f t="array" ref="G122">IFERROR(INDEX('Order Planning'!$F$5:$F$204,MATCH(D122,'Order Planning'!$A$5:$A$204,0)),"")</f>
        <v/>
      </c>
      <c r="H122" s="7"/>
      <c r="I122" s="7"/>
      <c r="J122" s="7"/>
      <c r="O122" s="22">
        <f t="shared" si="1"/>
        <v>0</v>
      </c>
      <c r="R122" s="7"/>
    </row>
    <row r="123" ht="15.75" customHeight="1">
      <c r="A123" s="15"/>
      <c r="B123" s="7"/>
      <c r="C123" s="7"/>
      <c r="D123" s="7"/>
      <c r="E123" s="7" t="str">
        <f t="array" ref="E123">IFERROR(INDEX('Order Planning'!$C$5:$C$204,MATCH(D123,'Order Planning'!$A$5:$A$204,0)),"")</f>
        <v/>
      </c>
      <c r="F123" s="7" t="str">
        <f t="array" ref="F123">IFERROR(INDEX('Order Planning'!$E$5:$E$204,MATCH(D123,'Order Planning'!$A$5:$A$204,0)),"")</f>
        <v/>
      </c>
      <c r="G123" s="7" t="str">
        <f t="array" ref="G123">IFERROR(INDEX('Order Planning'!$F$5:$F$204,MATCH(D123,'Order Planning'!$A$5:$A$204,0)),"")</f>
        <v/>
      </c>
      <c r="H123" s="7"/>
      <c r="I123" s="7"/>
      <c r="J123" s="7"/>
      <c r="O123" s="22">
        <f t="shared" si="1"/>
        <v>0</v>
      </c>
      <c r="R123" s="7"/>
    </row>
    <row r="124" ht="15.75" customHeight="1">
      <c r="A124" s="15"/>
      <c r="B124" s="7"/>
      <c r="C124" s="7"/>
      <c r="D124" s="7"/>
      <c r="E124" s="7" t="str">
        <f t="array" ref="E124">IFERROR(INDEX('Order Planning'!$C$5:$C$204,MATCH(D124,'Order Planning'!$A$5:$A$204,0)),"")</f>
        <v/>
      </c>
      <c r="F124" s="7" t="str">
        <f t="array" ref="F124">IFERROR(INDEX('Order Planning'!$E$5:$E$204,MATCH(D124,'Order Planning'!$A$5:$A$204,0)),"")</f>
        <v/>
      </c>
      <c r="G124" s="7" t="str">
        <f t="array" ref="G124">IFERROR(INDEX('Order Planning'!$F$5:$F$204,MATCH(D124,'Order Planning'!$A$5:$A$204,0)),"")</f>
        <v/>
      </c>
      <c r="H124" s="7"/>
      <c r="I124" s="7"/>
      <c r="J124" s="7"/>
      <c r="O124" s="22">
        <f t="shared" si="1"/>
        <v>0</v>
      </c>
      <c r="R124" s="7"/>
    </row>
    <row r="125" ht="15.75" customHeight="1">
      <c r="A125" s="15"/>
      <c r="B125" s="7"/>
      <c r="C125" s="7"/>
      <c r="D125" s="7"/>
      <c r="E125" s="7" t="str">
        <f t="array" ref="E125">IFERROR(INDEX('Order Planning'!$C$5:$C$204,MATCH(D125,'Order Planning'!$A$5:$A$204,0)),"")</f>
        <v/>
      </c>
      <c r="F125" s="7" t="str">
        <f t="array" ref="F125">IFERROR(INDEX('Order Planning'!$E$5:$E$204,MATCH(D125,'Order Planning'!$A$5:$A$204,0)),"")</f>
        <v/>
      </c>
      <c r="G125" s="7" t="str">
        <f t="array" ref="G125">IFERROR(INDEX('Order Planning'!$F$5:$F$204,MATCH(D125,'Order Planning'!$A$5:$A$204,0)),"")</f>
        <v/>
      </c>
      <c r="H125" s="7"/>
      <c r="I125" s="7"/>
      <c r="J125" s="7"/>
      <c r="O125" s="22">
        <f t="shared" si="1"/>
        <v>0</v>
      </c>
      <c r="R125" s="7"/>
    </row>
    <row r="126" ht="15.75" customHeight="1">
      <c r="A126" s="15"/>
      <c r="B126" s="7"/>
      <c r="C126" s="7"/>
      <c r="D126" s="7"/>
      <c r="E126" s="7" t="str">
        <f t="array" ref="E126">IFERROR(INDEX('Order Planning'!$C$5:$C$204,MATCH(D126,'Order Planning'!$A$5:$A$204,0)),"")</f>
        <v/>
      </c>
      <c r="F126" s="7" t="str">
        <f t="array" ref="F126">IFERROR(INDEX('Order Planning'!$E$5:$E$204,MATCH(D126,'Order Planning'!$A$5:$A$204,0)),"")</f>
        <v/>
      </c>
      <c r="G126" s="7" t="str">
        <f t="array" ref="G126">IFERROR(INDEX('Order Planning'!$F$5:$F$204,MATCH(D126,'Order Planning'!$A$5:$A$204,0)),"")</f>
        <v/>
      </c>
      <c r="H126" s="7"/>
      <c r="I126" s="7"/>
      <c r="J126" s="7"/>
      <c r="O126" s="22">
        <f t="shared" si="1"/>
        <v>0</v>
      </c>
      <c r="R126" s="7"/>
    </row>
    <row r="127" ht="15.75" customHeight="1">
      <c r="A127" s="15"/>
      <c r="B127" s="7"/>
      <c r="C127" s="7"/>
      <c r="D127" s="7"/>
      <c r="E127" s="7" t="str">
        <f t="array" ref="E127">IFERROR(INDEX('Order Planning'!$C$5:$C$204,MATCH(D127,'Order Planning'!$A$5:$A$204,0)),"")</f>
        <v/>
      </c>
      <c r="F127" s="7" t="str">
        <f t="array" ref="F127">IFERROR(INDEX('Order Planning'!$E$5:$E$204,MATCH(D127,'Order Planning'!$A$5:$A$204,0)),"")</f>
        <v/>
      </c>
      <c r="G127" s="7" t="str">
        <f t="array" ref="G127">IFERROR(INDEX('Order Planning'!$F$5:$F$204,MATCH(D127,'Order Planning'!$A$5:$A$204,0)),"")</f>
        <v/>
      </c>
      <c r="H127" s="7"/>
      <c r="I127" s="7"/>
      <c r="J127" s="7"/>
      <c r="O127" s="22">
        <f t="shared" si="1"/>
        <v>0</v>
      </c>
      <c r="R127" s="7"/>
    </row>
    <row r="128" ht="15.75" customHeight="1">
      <c r="A128" s="15"/>
      <c r="B128" s="7"/>
      <c r="C128" s="7"/>
      <c r="D128" s="7"/>
      <c r="E128" s="7" t="str">
        <f t="array" ref="E128">IFERROR(INDEX('Order Planning'!$C$5:$C$204,MATCH(D128,'Order Planning'!$A$5:$A$204,0)),"")</f>
        <v/>
      </c>
      <c r="F128" s="7" t="str">
        <f t="array" ref="F128">IFERROR(INDEX('Order Planning'!$E$5:$E$204,MATCH(D128,'Order Planning'!$A$5:$A$204,0)),"")</f>
        <v/>
      </c>
      <c r="G128" s="7" t="str">
        <f t="array" ref="G128">IFERROR(INDEX('Order Planning'!$F$5:$F$204,MATCH(D128,'Order Planning'!$A$5:$A$204,0)),"")</f>
        <v/>
      </c>
      <c r="H128" s="7"/>
      <c r="I128" s="7"/>
      <c r="J128" s="7"/>
      <c r="O128" s="22">
        <f t="shared" si="1"/>
        <v>0</v>
      </c>
      <c r="R128" s="7"/>
    </row>
    <row r="129" ht="15.75" customHeight="1">
      <c r="A129" s="15"/>
      <c r="B129" s="7"/>
      <c r="C129" s="7"/>
      <c r="D129" s="7"/>
      <c r="E129" s="7" t="str">
        <f t="array" ref="E129">IFERROR(INDEX('Order Planning'!$C$5:$C$204,MATCH(D129,'Order Planning'!$A$5:$A$204,0)),"")</f>
        <v/>
      </c>
      <c r="F129" s="7" t="str">
        <f t="array" ref="F129">IFERROR(INDEX('Order Planning'!$E$5:$E$204,MATCH(D129,'Order Planning'!$A$5:$A$204,0)),"")</f>
        <v/>
      </c>
      <c r="G129" s="7" t="str">
        <f t="array" ref="G129">IFERROR(INDEX('Order Planning'!$F$5:$F$204,MATCH(D129,'Order Planning'!$A$5:$A$204,0)),"")</f>
        <v/>
      </c>
      <c r="H129" s="7"/>
      <c r="I129" s="7"/>
      <c r="J129" s="7"/>
      <c r="O129" s="22">
        <f t="shared" si="1"/>
        <v>0</v>
      </c>
      <c r="R129" s="7"/>
    </row>
    <row r="130" ht="15.75" customHeight="1">
      <c r="A130" s="15"/>
      <c r="B130" s="7"/>
      <c r="C130" s="7"/>
      <c r="D130" s="7"/>
      <c r="E130" s="7" t="str">
        <f t="array" ref="E130">IFERROR(INDEX('Order Planning'!$C$5:$C$204,MATCH(D130,'Order Planning'!$A$5:$A$204,0)),"")</f>
        <v/>
      </c>
      <c r="F130" s="7" t="str">
        <f t="array" ref="F130">IFERROR(INDEX('Order Planning'!$E$5:$E$204,MATCH(D130,'Order Planning'!$A$5:$A$204,0)),"")</f>
        <v/>
      </c>
      <c r="G130" s="7" t="str">
        <f t="array" ref="G130">IFERROR(INDEX('Order Planning'!$F$5:$F$204,MATCH(D130,'Order Planning'!$A$5:$A$204,0)),"")</f>
        <v/>
      </c>
      <c r="H130" s="7"/>
      <c r="I130" s="7"/>
      <c r="J130" s="7"/>
      <c r="O130" s="22">
        <f t="shared" si="1"/>
        <v>0</v>
      </c>
      <c r="R130" s="7"/>
    </row>
    <row r="131" ht="15.75" customHeight="1">
      <c r="A131" s="15"/>
      <c r="B131" s="7"/>
      <c r="C131" s="7"/>
      <c r="D131" s="7"/>
      <c r="E131" s="7" t="str">
        <f t="array" ref="E131">IFERROR(INDEX('Order Planning'!$C$5:$C$204,MATCH(D131,'Order Planning'!$A$5:$A$204,0)),"")</f>
        <v/>
      </c>
      <c r="F131" s="7" t="str">
        <f t="array" ref="F131">IFERROR(INDEX('Order Planning'!$E$5:$E$204,MATCH(D131,'Order Planning'!$A$5:$A$204,0)),"")</f>
        <v/>
      </c>
      <c r="G131" s="7" t="str">
        <f t="array" ref="G131">IFERROR(INDEX('Order Planning'!$F$5:$F$204,MATCH(D131,'Order Planning'!$A$5:$A$204,0)),"")</f>
        <v/>
      </c>
      <c r="H131" s="7"/>
      <c r="I131" s="7"/>
      <c r="J131" s="7"/>
      <c r="O131" s="22">
        <f t="shared" si="1"/>
        <v>0</v>
      </c>
      <c r="R131" s="7"/>
    </row>
    <row r="132" ht="15.75" customHeight="1">
      <c r="A132" s="15"/>
      <c r="B132" s="7"/>
      <c r="C132" s="7"/>
      <c r="D132" s="7"/>
      <c r="E132" s="7" t="str">
        <f t="array" ref="E132">IFERROR(INDEX('Order Planning'!$C$5:$C$204,MATCH(D132,'Order Planning'!$A$5:$A$204,0)),"")</f>
        <v/>
      </c>
      <c r="F132" s="7" t="str">
        <f t="array" ref="F132">IFERROR(INDEX('Order Planning'!$E$5:$E$204,MATCH(D132,'Order Planning'!$A$5:$A$204,0)),"")</f>
        <v/>
      </c>
      <c r="G132" s="7" t="str">
        <f t="array" ref="G132">IFERROR(INDEX('Order Planning'!$F$5:$F$204,MATCH(D132,'Order Planning'!$A$5:$A$204,0)),"")</f>
        <v/>
      </c>
      <c r="H132" s="7"/>
      <c r="I132" s="7"/>
      <c r="J132" s="7"/>
      <c r="O132" s="22">
        <f t="shared" si="1"/>
        <v>0</v>
      </c>
      <c r="R132" s="7"/>
    </row>
    <row r="133" ht="15.75" customHeight="1">
      <c r="A133" s="15"/>
      <c r="B133" s="7"/>
      <c r="C133" s="7"/>
      <c r="D133" s="7"/>
      <c r="E133" s="7" t="str">
        <f t="array" ref="E133">IFERROR(INDEX('Order Planning'!$C$5:$C$204,MATCH(D133,'Order Planning'!$A$5:$A$204,0)),"")</f>
        <v/>
      </c>
      <c r="F133" s="7" t="str">
        <f t="array" ref="F133">IFERROR(INDEX('Order Planning'!$E$5:$E$204,MATCH(D133,'Order Planning'!$A$5:$A$204,0)),"")</f>
        <v/>
      </c>
      <c r="G133" s="7" t="str">
        <f t="array" ref="G133">IFERROR(INDEX('Order Planning'!$F$5:$F$204,MATCH(D133,'Order Planning'!$A$5:$A$204,0)),"")</f>
        <v/>
      </c>
      <c r="H133" s="7"/>
      <c r="I133" s="7"/>
      <c r="J133" s="7"/>
      <c r="O133" s="22">
        <f t="shared" si="1"/>
        <v>0</v>
      </c>
      <c r="R133" s="7"/>
    </row>
    <row r="134" ht="15.75" customHeight="1">
      <c r="A134" s="15"/>
      <c r="B134" s="7"/>
      <c r="C134" s="7"/>
      <c r="D134" s="7"/>
      <c r="E134" s="7" t="str">
        <f t="array" ref="E134">IFERROR(INDEX('Order Planning'!$C$5:$C$204,MATCH(D134,'Order Planning'!$A$5:$A$204,0)),"")</f>
        <v/>
      </c>
      <c r="F134" s="7" t="str">
        <f t="array" ref="F134">IFERROR(INDEX('Order Planning'!$E$5:$E$204,MATCH(D134,'Order Planning'!$A$5:$A$204,0)),"")</f>
        <v/>
      </c>
      <c r="G134" s="7" t="str">
        <f t="array" ref="G134">IFERROR(INDEX('Order Planning'!$F$5:$F$204,MATCH(D134,'Order Planning'!$A$5:$A$204,0)),"")</f>
        <v/>
      </c>
      <c r="H134" s="7"/>
      <c r="I134" s="7"/>
      <c r="J134" s="7"/>
      <c r="O134" s="22">
        <f t="shared" si="1"/>
        <v>0</v>
      </c>
      <c r="R134" s="7"/>
    </row>
    <row r="135" ht="15.75" customHeight="1">
      <c r="A135" s="15"/>
      <c r="B135" s="7"/>
      <c r="C135" s="7"/>
      <c r="D135" s="7"/>
      <c r="E135" s="7" t="str">
        <f t="array" ref="E135">IFERROR(INDEX('Order Planning'!$C$5:$C$204,MATCH(D135,'Order Planning'!$A$5:$A$204,0)),"")</f>
        <v/>
      </c>
      <c r="F135" s="7" t="str">
        <f t="array" ref="F135">IFERROR(INDEX('Order Planning'!$E$5:$E$204,MATCH(D135,'Order Planning'!$A$5:$A$204,0)),"")</f>
        <v/>
      </c>
      <c r="G135" s="7" t="str">
        <f t="array" ref="G135">IFERROR(INDEX('Order Planning'!$F$5:$F$204,MATCH(D135,'Order Planning'!$A$5:$A$204,0)),"")</f>
        <v/>
      </c>
      <c r="H135" s="7"/>
      <c r="I135" s="7"/>
      <c r="J135" s="7"/>
      <c r="O135" s="22">
        <f t="shared" si="1"/>
        <v>0</v>
      </c>
      <c r="R135" s="7"/>
    </row>
    <row r="136" ht="15.75" customHeight="1">
      <c r="A136" s="15"/>
      <c r="B136" s="7"/>
      <c r="C136" s="7"/>
      <c r="D136" s="7"/>
      <c r="E136" s="7" t="str">
        <f t="array" ref="E136">IFERROR(INDEX('Order Planning'!$C$5:$C$204,MATCH(D136,'Order Planning'!$A$5:$A$204,0)),"")</f>
        <v/>
      </c>
      <c r="F136" s="7" t="str">
        <f t="array" ref="F136">IFERROR(INDEX('Order Planning'!$E$5:$E$204,MATCH(D136,'Order Planning'!$A$5:$A$204,0)),"")</f>
        <v/>
      </c>
      <c r="G136" s="7" t="str">
        <f t="array" ref="G136">IFERROR(INDEX('Order Planning'!$F$5:$F$204,MATCH(D136,'Order Planning'!$A$5:$A$204,0)),"")</f>
        <v/>
      </c>
      <c r="H136" s="7"/>
      <c r="I136" s="7"/>
      <c r="J136" s="7"/>
      <c r="O136" s="22">
        <f t="shared" si="1"/>
        <v>0</v>
      </c>
      <c r="R136" s="7"/>
    </row>
    <row r="137" ht="15.75" customHeight="1">
      <c r="A137" s="15"/>
      <c r="B137" s="7"/>
      <c r="C137" s="7"/>
      <c r="D137" s="7"/>
      <c r="E137" s="7" t="str">
        <f t="array" ref="E137">IFERROR(INDEX('Order Planning'!$C$5:$C$204,MATCH(D137,'Order Planning'!$A$5:$A$204,0)),"")</f>
        <v/>
      </c>
      <c r="F137" s="7" t="str">
        <f t="array" ref="F137">IFERROR(INDEX('Order Planning'!$E$5:$E$204,MATCH(D137,'Order Planning'!$A$5:$A$204,0)),"")</f>
        <v/>
      </c>
      <c r="G137" s="7" t="str">
        <f t="array" ref="G137">IFERROR(INDEX('Order Planning'!$F$5:$F$204,MATCH(D137,'Order Planning'!$A$5:$A$204,0)),"")</f>
        <v/>
      </c>
      <c r="H137" s="7"/>
      <c r="I137" s="7"/>
      <c r="J137" s="7"/>
      <c r="O137" s="22">
        <f t="shared" si="1"/>
        <v>0</v>
      </c>
      <c r="R137" s="7"/>
    </row>
    <row r="138" ht="15.75" customHeight="1">
      <c r="A138" s="15"/>
      <c r="B138" s="7"/>
      <c r="C138" s="7"/>
      <c r="D138" s="7"/>
      <c r="E138" s="7" t="str">
        <f t="array" ref="E138">IFERROR(INDEX('Order Planning'!$C$5:$C$204,MATCH(D138,'Order Planning'!$A$5:$A$204,0)),"")</f>
        <v/>
      </c>
      <c r="F138" s="7" t="str">
        <f t="array" ref="F138">IFERROR(INDEX('Order Planning'!$E$5:$E$204,MATCH(D138,'Order Planning'!$A$5:$A$204,0)),"")</f>
        <v/>
      </c>
      <c r="G138" s="7" t="str">
        <f t="array" ref="G138">IFERROR(INDEX('Order Planning'!$F$5:$F$204,MATCH(D138,'Order Planning'!$A$5:$A$204,0)),"")</f>
        <v/>
      </c>
      <c r="H138" s="7"/>
      <c r="I138" s="7"/>
      <c r="J138" s="7"/>
      <c r="O138" s="22">
        <f t="shared" si="1"/>
        <v>0</v>
      </c>
      <c r="R138" s="7"/>
    </row>
    <row r="139" ht="15.75" customHeight="1">
      <c r="A139" s="15"/>
      <c r="B139" s="7"/>
      <c r="C139" s="7"/>
      <c r="D139" s="7"/>
      <c r="E139" s="7" t="str">
        <f t="array" ref="E139">IFERROR(INDEX('Order Planning'!$C$5:$C$204,MATCH(D139,'Order Planning'!$A$5:$A$204,0)),"")</f>
        <v/>
      </c>
      <c r="F139" s="7" t="str">
        <f t="array" ref="F139">IFERROR(INDEX('Order Planning'!$E$5:$E$204,MATCH(D139,'Order Planning'!$A$5:$A$204,0)),"")</f>
        <v/>
      </c>
      <c r="G139" s="7" t="str">
        <f t="array" ref="G139">IFERROR(INDEX('Order Planning'!$F$5:$F$204,MATCH(D139,'Order Planning'!$A$5:$A$204,0)),"")</f>
        <v/>
      </c>
      <c r="H139" s="7"/>
      <c r="I139" s="7"/>
      <c r="J139" s="7"/>
      <c r="O139" s="22">
        <f t="shared" si="1"/>
        <v>0</v>
      </c>
      <c r="R139" s="7"/>
    </row>
    <row r="140" ht="15.75" customHeight="1">
      <c r="A140" s="15"/>
      <c r="B140" s="7"/>
      <c r="C140" s="7"/>
      <c r="D140" s="7"/>
      <c r="E140" s="7" t="str">
        <f t="array" ref="E140">IFERROR(INDEX('Order Planning'!$C$5:$C$204,MATCH(D140,'Order Planning'!$A$5:$A$204,0)),"")</f>
        <v/>
      </c>
      <c r="F140" s="7" t="str">
        <f t="array" ref="F140">IFERROR(INDEX('Order Planning'!$E$5:$E$204,MATCH(D140,'Order Planning'!$A$5:$A$204,0)),"")</f>
        <v/>
      </c>
      <c r="G140" s="7" t="str">
        <f t="array" ref="G140">IFERROR(INDEX('Order Planning'!$F$5:$F$204,MATCH(D140,'Order Planning'!$A$5:$A$204,0)),"")</f>
        <v/>
      </c>
      <c r="H140" s="7"/>
      <c r="I140" s="7"/>
      <c r="J140" s="7"/>
      <c r="O140" s="22">
        <f t="shared" si="1"/>
        <v>0</v>
      </c>
      <c r="R140" s="7"/>
    </row>
    <row r="141" ht="15.75" customHeight="1">
      <c r="A141" s="15"/>
      <c r="B141" s="7"/>
      <c r="C141" s="7"/>
      <c r="D141" s="7"/>
      <c r="E141" s="7" t="str">
        <f t="array" ref="E141">IFERROR(INDEX('Order Planning'!$C$5:$C$204,MATCH(D141,'Order Planning'!$A$5:$A$204,0)),"")</f>
        <v/>
      </c>
      <c r="F141" s="7" t="str">
        <f t="array" ref="F141">IFERROR(INDEX('Order Planning'!$E$5:$E$204,MATCH(D141,'Order Planning'!$A$5:$A$204,0)),"")</f>
        <v/>
      </c>
      <c r="G141" s="7" t="str">
        <f t="array" ref="G141">IFERROR(INDEX('Order Planning'!$F$5:$F$204,MATCH(D141,'Order Planning'!$A$5:$A$204,0)),"")</f>
        <v/>
      </c>
      <c r="H141" s="7"/>
      <c r="I141" s="7"/>
      <c r="J141" s="7"/>
      <c r="O141" s="22">
        <f t="shared" si="1"/>
        <v>0</v>
      </c>
      <c r="R141" s="7"/>
    </row>
    <row r="142" ht="15.75" customHeight="1">
      <c r="A142" s="15"/>
      <c r="B142" s="7"/>
      <c r="C142" s="7"/>
      <c r="D142" s="7"/>
      <c r="E142" s="7" t="str">
        <f t="array" ref="E142">IFERROR(INDEX('Order Planning'!$C$5:$C$204,MATCH(D142,'Order Planning'!$A$5:$A$204,0)),"")</f>
        <v/>
      </c>
      <c r="F142" s="7" t="str">
        <f t="array" ref="F142">IFERROR(INDEX('Order Planning'!$E$5:$E$204,MATCH(D142,'Order Planning'!$A$5:$A$204,0)),"")</f>
        <v/>
      </c>
      <c r="G142" s="7" t="str">
        <f t="array" ref="G142">IFERROR(INDEX('Order Planning'!$F$5:$F$204,MATCH(D142,'Order Planning'!$A$5:$A$204,0)),"")</f>
        <v/>
      </c>
      <c r="H142" s="7"/>
      <c r="I142" s="7"/>
      <c r="J142" s="7"/>
      <c r="O142" s="22">
        <f t="shared" si="1"/>
        <v>0</v>
      </c>
      <c r="R142" s="7"/>
    </row>
    <row r="143" ht="15.75" customHeight="1">
      <c r="A143" s="15"/>
      <c r="B143" s="7"/>
      <c r="C143" s="7"/>
      <c r="D143" s="7"/>
      <c r="E143" s="7" t="str">
        <f t="array" ref="E143">IFERROR(INDEX('Order Planning'!$C$5:$C$204,MATCH(D143,'Order Planning'!$A$5:$A$204,0)),"")</f>
        <v/>
      </c>
      <c r="F143" s="7" t="str">
        <f t="array" ref="F143">IFERROR(INDEX('Order Planning'!$E$5:$E$204,MATCH(D143,'Order Planning'!$A$5:$A$204,0)),"")</f>
        <v/>
      </c>
      <c r="G143" s="7" t="str">
        <f t="array" ref="G143">IFERROR(INDEX('Order Planning'!$F$5:$F$204,MATCH(D143,'Order Planning'!$A$5:$A$204,0)),"")</f>
        <v/>
      </c>
      <c r="H143" s="7"/>
      <c r="I143" s="7"/>
      <c r="J143" s="7"/>
      <c r="O143" s="22">
        <f t="shared" si="1"/>
        <v>0</v>
      </c>
      <c r="R143" s="7"/>
    </row>
    <row r="144" ht="15.75" customHeight="1">
      <c r="A144" s="15"/>
      <c r="B144" s="7"/>
      <c r="C144" s="7"/>
      <c r="D144" s="7"/>
      <c r="E144" s="7" t="str">
        <f t="array" ref="E144">IFERROR(INDEX('Order Planning'!$C$5:$C$204,MATCH(D144,'Order Planning'!$A$5:$A$204,0)),"")</f>
        <v/>
      </c>
      <c r="F144" s="7" t="str">
        <f t="array" ref="F144">IFERROR(INDEX('Order Planning'!$E$5:$E$204,MATCH(D144,'Order Planning'!$A$5:$A$204,0)),"")</f>
        <v/>
      </c>
      <c r="G144" s="7" t="str">
        <f t="array" ref="G144">IFERROR(INDEX('Order Planning'!$F$5:$F$204,MATCH(D144,'Order Planning'!$A$5:$A$204,0)),"")</f>
        <v/>
      </c>
      <c r="H144" s="7"/>
      <c r="I144" s="7"/>
      <c r="J144" s="7"/>
      <c r="O144" s="22">
        <f t="shared" si="1"/>
        <v>0</v>
      </c>
      <c r="R144" s="7"/>
    </row>
    <row r="145" ht="15.75" customHeight="1">
      <c r="A145" s="15"/>
      <c r="B145" s="7"/>
      <c r="C145" s="7"/>
      <c r="D145" s="7"/>
      <c r="E145" s="7" t="str">
        <f t="array" ref="E145">IFERROR(INDEX('Order Planning'!$C$5:$C$204,MATCH(D145,'Order Planning'!$A$5:$A$204,0)),"")</f>
        <v/>
      </c>
      <c r="F145" s="7" t="str">
        <f t="array" ref="F145">IFERROR(INDEX('Order Planning'!$E$5:$E$204,MATCH(D145,'Order Planning'!$A$5:$A$204,0)),"")</f>
        <v/>
      </c>
      <c r="G145" s="7" t="str">
        <f t="array" ref="G145">IFERROR(INDEX('Order Planning'!$F$5:$F$204,MATCH(D145,'Order Planning'!$A$5:$A$204,0)),"")</f>
        <v/>
      </c>
      <c r="H145" s="7"/>
      <c r="I145" s="7"/>
      <c r="J145" s="7"/>
      <c r="O145" s="22">
        <f t="shared" si="1"/>
        <v>0</v>
      </c>
      <c r="R145" s="7"/>
    </row>
    <row r="146" ht="15.75" customHeight="1">
      <c r="A146" s="15"/>
      <c r="B146" s="7"/>
      <c r="C146" s="7"/>
      <c r="D146" s="7"/>
      <c r="E146" s="7" t="str">
        <f t="array" ref="E146">IFERROR(INDEX('Order Planning'!$C$5:$C$204,MATCH(D146,'Order Planning'!$A$5:$A$204,0)),"")</f>
        <v/>
      </c>
      <c r="F146" s="7" t="str">
        <f t="array" ref="F146">IFERROR(INDEX('Order Planning'!$E$5:$E$204,MATCH(D146,'Order Planning'!$A$5:$A$204,0)),"")</f>
        <v/>
      </c>
      <c r="G146" s="7" t="str">
        <f t="array" ref="G146">IFERROR(INDEX('Order Planning'!$F$5:$F$204,MATCH(D146,'Order Planning'!$A$5:$A$204,0)),"")</f>
        <v/>
      </c>
      <c r="H146" s="7"/>
      <c r="I146" s="7"/>
      <c r="J146" s="7"/>
      <c r="O146" s="22">
        <f t="shared" si="1"/>
        <v>0</v>
      </c>
      <c r="R146" s="7"/>
    </row>
    <row r="147" ht="15.75" customHeight="1">
      <c r="A147" s="15"/>
      <c r="B147" s="7"/>
      <c r="C147" s="7"/>
      <c r="D147" s="7"/>
      <c r="E147" s="7" t="str">
        <f t="array" ref="E147">IFERROR(INDEX('Order Planning'!$C$5:$C$204,MATCH(D147,'Order Planning'!$A$5:$A$204,0)),"")</f>
        <v/>
      </c>
      <c r="F147" s="7" t="str">
        <f t="array" ref="F147">IFERROR(INDEX('Order Planning'!$E$5:$E$204,MATCH(D147,'Order Planning'!$A$5:$A$204,0)),"")</f>
        <v/>
      </c>
      <c r="G147" s="7" t="str">
        <f t="array" ref="G147">IFERROR(INDEX('Order Planning'!$F$5:$F$204,MATCH(D147,'Order Planning'!$A$5:$A$204,0)),"")</f>
        <v/>
      </c>
      <c r="H147" s="7"/>
      <c r="I147" s="7"/>
      <c r="J147" s="7"/>
      <c r="O147" s="22">
        <f t="shared" si="1"/>
        <v>0</v>
      </c>
      <c r="R147" s="7"/>
    </row>
    <row r="148" ht="15.75" customHeight="1">
      <c r="A148" s="15"/>
      <c r="B148" s="7"/>
      <c r="C148" s="7"/>
      <c r="D148" s="7"/>
      <c r="E148" s="7" t="str">
        <f t="array" ref="E148">IFERROR(INDEX('Order Planning'!$C$5:$C$204,MATCH(D148,'Order Planning'!$A$5:$A$204,0)),"")</f>
        <v/>
      </c>
      <c r="F148" s="7" t="str">
        <f t="array" ref="F148">IFERROR(INDEX('Order Planning'!$E$5:$E$204,MATCH(D148,'Order Planning'!$A$5:$A$204,0)),"")</f>
        <v/>
      </c>
      <c r="G148" s="7" t="str">
        <f t="array" ref="G148">IFERROR(INDEX('Order Planning'!$F$5:$F$204,MATCH(D148,'Order Planning'!$A$5:$A$204,0)),"")</f>
        <v/>
      </c>
      <c r="H148" s="7"/>
      <c r="I148" s="7"/>
      <c r="J148" s="7"/>
      <c r="O148" s="22">
        <f t="shared" si="1"/>
        <v>0</v>
      </c>
      <c r="R148" s="7"/>
    </row>
    <row r="149" ht="15.75" customHeight="1">
      <c r="A149" s="15"/>
      <c r="B149" s="7"/>
      <c r="C149" s="7"/>
      <c r="D149" s="7"/>
      <c r="E149" s="7" t="str">
        <f t="array" ref="E149">IFERROR(INDEX('Order Planning'!$C$5:$C$204,MATCH(D149,'Order Planning'!$A$5:$A$204,0)),"")</f>
        <v/>
      </c>
      <c r="F149" s="7" t="str">
        <f t="array" ref="F149">IFERROR(INDEX('Order Planning'!$E$5:$E$204,MATCH(D149,'Order Planning'!$A$5:$A$204,0)),"")</f>
        <v/>
      </c>
      <c r="G149" s="7" t="str">
        <f t="array" ref="G149">IFERROR(INDEX('Order Planning'!$F$5:$F$204,MATCH(D149,'Order Planning'!$A$5:$A$204,0)),"")</f>
        <v/>
      </c>
      <c r="H149" s="7"/>
      <c r="I149" s="7"/>
      <c r="J149" s="7"/>
      <c r="O149" s="22">
        <f t="shared" si="1"/>
        <v>0</v>
      </c>
      <c r="R149" s="7"/>
    </row>
    <row r="150" ht="15.75" customHeight="1">
      <c r="A150" s="15"/>
      <c r="B150" s="7"/>
      <c r="C150" s="7"/>
      <c r="D150" s="7"/>
      <c r="E150" s="7" t="str">
        <f t="array" ref="E150">IFERROR(INDEX('Order Planning'!$C$5:$C$204,MATCH(D150,'Order Planning'!$A$5:$A$204,0)),"")</f>
        <v/>
      </c>
      <c r="F150" s="7" t="str">
        <f t="array" ref="F150">IFERROR(INDEX('Order Planning'!$E$5:$E$204,MATCH(D150,'Order Planning'!$A$5:$A$204,0)),"")</f>
        <v/>
      </c>
      <c r="G150" s="7" t="str">
        <f t="array" ref="G150">IFERROR(INDEX('Order Planning'!$F$5:$F$204,MATCH(D150,'Order Planning'!$A$5:$A$204,0)),"")</f>
        <v/>
      </c>
      <c r="H150" s="7"/>
      <c r="I150" s="7"/>
      <c r="J150" s="7"/>
      <c r="O150" s="22">
        <f t="shared" si="1"/>
        <v>0</v>
      </c>
      <c r="R150" s="7"/>
    </row>
    <row r="151" ht="15.75" customHeight="1">
      <c r="A151" s="15"/>
      <c r="B151" s="7"/>
      <c r="C151" s="7"/>
      <c r="D151" s="7"/>
      <c r="E151" s="7" t="str">
        <f t="array" ref="E151">IFERROR(INDEX('Order Planning'!$C$5:$C$204,MATCH(D151,'Order Planning'!$A$5:$A$204,0)),"")</f>
        <v/>
      </c>
      <c r="F151" s="7" t="str">
        <f t="array" ref="F151">IFERROR(INDEX('Order Planning'!$E$5:$E$204,MATCH(D151,'Order Planning'!$A$5:$A$204,0)),"")</f>
        <v/>
      </c>
      <c r="G151" s="7" t="str">
        <f t="array" ref="G151">IFERROR(INDEX('Order Planning'!$F$5:$F$204,MATCH(D151,'Order Planning'!$A$5:$A$204,0)),"")</f>
        <v/>
      </c>
      <c r="H151" s="7"/>
      <c r="I151" s="7"/>
      <c r="J151" s="7"/>
      <c r="O151" s="22">
        <f t="shared" si="1"/>
        <v>0</v>
      </c>
      <c r="R151" s="7"/>
    </row>
    <row r="152" ht="15.75" customHeight="1">
      <c r="A152" s="15"/>
      <c r="B152" s="7"/>
      <c r="C152" s="7"/>
      <c r="D152" s="7"/>
      <c r="E152" s="7" t="str">
        <f t="array" ref="E152">IFERROR(INDEX('Order Planning'!$C$5:$C$204,MATCH(D152,'Order Planning'!$A$5:$A$204,0)),"")</f>
        <v/>
      </c>
      <c r="F152" s="7" t="str">
        <f t="array" ref="F152">IFERROR(INDEX('Order Planning'!$E$5:$E$204,MATCH(D152,'Order Planning'!$A$5:$A$204,0)),"")</f>
        <v/>
      </c>
      <c r="G152" s="7" t="str">
        <f t="array" ref="G152">IFERROR(INDEX('Order Planning'!$F$5:$F$204,MATCH(D152,'Order Planning'!$A$5:$A$204,0)),"")</f>
        <v/>
      </c>
      <c r="H152" s="7"/>
      <c r="I152" s="7"/>
      <c r="J152" s="7"/>
      <c r="O152" s="22">
        <f t="shared" si="1"/>
        <v>0</v>
      </c>
      <c r="R152" s="7"/>
    </row>
    <row r="153" ht="15.75" customHeight="1">
      <c r="A153" s="15"/>
      <c r="B153" s="7"/>
      <c r="C153" s="7"/>
      <c r="D153" s="7"/>
      <c r="E153" s="7" t="str">
        <f t="array" ref="E153">IFERROR(INDEX('Order Planning'!$C$5:$C$204,MATCH(D153,'Order Planning'!$A$5:$A$204,0)),"")</f>
        <v/>
      </c>
      <c r="F153" s="7" t="str">
        <f t="array" ref="F153">IFERROR(INDEX('Order Planning'!$E$5:$E$204,MATCH(D153,'Order Planning'!$A$5:$A$204,0)),"")</f>
        <v/>
      </c>
      <c r="G153" s="7" t="str">
        <f t="array" ref="G153">IFERROR(INDEX('Order Planning'!$F$5:$F$204,MATCH(D153,'Order Planning'!$A$5:$A$204,0)),"")</f>
        <v/>
      </c>
      <c r="H153" s="7"/>
      <c r="I153" s="7"/>
      <c r="J153" s="7"/>
      <c r="O153" s="22">
        <f t="shared" si="1"/>
        <v>0</v>
      </c>
      <c r="R153" s="7"/>
    </row>
    <row r="154" ht="15.75" customHeight="1">
      <c r="A154" s="15"/>
      <c r="B154" s="7"/>
      <c r="C154" s="7"/>
      <c r="D154" s="7"/>
      <c r="E154" s="7" t="str">
        <f t="array" ref="E154">IFERROR(INDEX('Order Planning'!$C$5:$C$204,MATCH(D154,'Order Planning'!$A$5:$A$204,0)),"")</f>
        <v/>
      </c>
      <c r="F154" s="7" t="str">
        <f t="array" ref="F154">IFERROR(INDEX('Order Planning'!$E$5:$E$204,MATCH(D154,'Order Planning'!$A$5:$A$204,0)),"")</f>
        <v/>
      </c>
      <c r="G154" s="7" t="str">
        <f t="array" ref="G154">IFERROR(INDEX('Order Planning'!$F$5:$F$204,MATCH(D154,'Order Planning'!$A$5:$A$204,0)),"")</f>
        <v/>
      </c>
      <c r="H154" s="7"/>
      <c r="I154" s="7"/>
      <c r="J154" s="7"/>
      <c r="O154" s="22">
        <f t="shared" si="1"/>
        <v>0</v>
      </c>
      <c r="R154" s="7"/>
    </row>
    <row r="155" ht="15.75" customHeight="1">
      <c r="A155" s="15"/>
      <c r="B155" s="7"/>
      <c r="C155" s="7"/>
      <c r="D155" s="7"/>
      <c r="E155" s="7" t="str">
        <f t="array" ref="E155">IFERROR(INDEX('Order Planning'!$C$5:$C$204,MATCH(D155,'Order Planning'!$A$5:$A$204,0)),"")</f>
        <v/>
      </c>
      <c r="F155" s="7" t="str">
        <f t="array" ref="F155">IFERROR(INDEX('Order Planning'!$E$5:$E$204,MATCH(D155,'Order Planning'!$A$5:$A$204,0)),"")</f>
        <v/>
      </c>
      <c r="G155" s="7" t="str">
        <f t="array" ref="G155">IFERROR(INDEX('Order Planning'!$F$5:$F$204,MATCH(D155,'Order Planning'!$A$5:$A$204,0)),"")</f>
        <v/>
      </c>
      <c r="H155" s="7"/>
      <c r="I155" s="7"/>
      <c r="J155" s="7"/>
      <c r="O155" s="22">
        <f t="shared" si="1"/>
        <v>0</v>
      </c>
      <c r="R155" s="7"/>
    </row>
    <row r="156" ht="15.75" customHeight="1">
      <c r="A156" s="15"/>
      <c r="B156" s="7"/>
      <c r="C156" s="7"/>
      <c r="D156" s="7"/>
      <c r="E156" s="7" t="str">
        <f t="array" ref="E156">IFERROR(INDEX('Order Planning'!$C$5:$C$204,MATCH(D156,'Order Planning'!$A$5:$A$204,0)),"")</f>
        <v/>
      </c>
      <c r="F156" s="7" t="str">
        <f t="array" ref="F156">IFERROR(INDEX('Order Planning'!$E$5:$E$204,MATCH(D156,'Order Planning'!$A$5:$A$204,0)),"")</f>
        <v/>
      </c>
      <c r="G156" s="7" t="str">
        <f t="array" ref="G156">IFERROR(INDEX('Order Planning'!$F$5:$F$204,MATCH(D156,'Order Planning'!$A$5:$A$204,0)),"")</f>
        <v/>
      </c>
      <c r="H156" s="7"/>
      <c r="I156" s="7"/>
      <c r="J156" s="7"/>
      <c r="O156" s="22">
        <f t="shared" si="1"/>
        <v>0</v>
      </c>
      <c r="R156" s="7"/>
    </row>
    <row r="157" ht="15.75" customHeight="1">
      <c r="A157" s="15"/>
      <c r="B157" s="7"/>
      <c r="C157" s="7"/>
      <c r="D157" s="7"/>
      <c r="E157" s="7" t="str">
        <f t="array" ref="E157">IFERROR(INDEX('Order Planning'!$C$5:$C$204,MATCH(D157,'Order Planning'!$A$5:$A$204,0)),"")</f>
        <v/>
      </c>
      <c r="F157" s="7" t="str">
        <f t="array" ref="F157">IFERROR(INDEX('Order Planning'!$E$5:$E$204,MATCH(D157,'Order Planning'!$A$5:$A$204,0)),"")</f>
        <v/>
      </c>
      <c r="G157" s="7" t="str">
        <f t="array" ref="G157">IFERROR(INDEX('Order Planning'!$F$5:$F$204,MATCH(D157,'Order Planning'!$A$5:$A$204,0)),"")</f>
        <v/>
      </c>
      <c r="H157" s="7"/>
      <c r="I157" s="7"/>
      <c r="J157" s="7"/>
      <c r="O157" s="22">
        <f t="shared" si="1"/>
        <v>0</v>
      </c>
      <c r="R157" s="7"/>
    </row>
    <row r="158" ht="15.75" customHeight="1">
      <c r="A158" s="15"/>
      <c r="B158" s="7"/>
      <c r="C158" s="7"/>
      <c r="D158" s="7"/>
      <c r="E158" s="7" t="str">
        <f t="array" ref="E158">IFERROR(INDEX('Order Planning'!$C$5:$C$204,MATCH(D158,'Order Planning'!$A$5:$A$204,0)),"")</f>
        <v/>
      </c>
      <c r="F158" s="7" t="str">
        <f t="array" ref="F158">IFERROR(INDEX('Order Planning'!$E$5:$E$204,MATCH(D158,'Order Planning'!$A$5:$A$204,0)),"")</f>
        <v/>
      </c>
      <c r="G158" s="7" t="str">
        <f t="array" ref="G158">IFERROR(INDEX('Order Planning'!$F$5:$F$204,MATCH(D158,'Order Planning'!$A$5:$A$204,0)),"")</f>
        <v/>
      </c>
      <c r="H158" s="7"/>
      <c r="I158" s="7"/>
      <c r="J158" s="7"/>
      <c r="O158" s="22">
        <f t="shared" si="1"/>
        <v>0</v>
      </c>
      <c r="R158" s="7"/>
    </row>
    <row r="159" ht="15.75" customHeight="1">
      <c r="A159" s="15"/>
      <c r="B159" s="7"/>
      <c r="C159" s="7"/>
      <c r="D159" s="7"/>
      <c r="E159" s="7" t="str">
        <f t="array" ref="E159">IFERROR(INDEX('Order Planning'!$C$5:$C$204,MATCH(D159,'Order Planning'!$A$5:$A$204,0)),"")</f>
        <v/>
      </c>
      <c r="F159" s="7" t="str">
        <f t="array" ref="F159">IFERROR(INDEX('Order Planning'!$E$5:$E$204,MATCH(D159,'Order Planning'!$A$5:$A$204,0)),"")</f>
        <v/>
      </c>
      <c r="G159" s="7" t="str">
        <f t="array" ref="G159">IFERROR(INDEX('Order Planning'!$F$5:$F$204,MATCH(D159,'Order Planning'!$A$5:$A$204,0)),"")</f>
        <v/>
      </c>
      <c r="H159" s="7"/>
      <c r="I159" s="7"/>
      <c r="J159" s="7"/>
      <c r="O159" s="22">
        <f t="shared" si="1"/>
        <v>0</v>
      </c>
      <c r="R159" s="7"/>
    </row>
    <row r="160" ht="15.75" customHeight="1">
      <c r="A160" s="15"/>
      <c r="B160" s="7"/>
      <c r="C160" s="7"/>
      <c r="D160" s="7"/>
      <c r="E160" s="7" t="str">
        <f t="array" ref="E160">IFERROR(INDEX('Order Planning'!$C$5:$C$204,MATCH(D160,'Order Planning'!$A$5:$A$204,0)),"")</f>
        <v/>
      </c>
      <c r="F160" s="7" t="str">
        <f t="array" ref="F160">IFERROR(INDEX('Order Planning'!$E$5:$E$204,MATCH(D160,'Order Planning'!$A$5:$A$204,0)),"")</f>
        <v/>
      </c>
      <c r="G160" s="7" t="str">
        <f t="array" ref="G160">IFERROR(INDEX('Order Planning'!$F$5:$F$204,MATCH(D160,'Order Planning'!$A$5:$A$204,0)),"")</f>
        <v/>
      </c>
      <c r="H160" s="7"/>
      <c r="I160" s="7"/>
      <c r="J160" s="7"/>
      <c r="O160" s="22">
        <f t="shared" si="1"/>
        <v>0</v>
      </c>
      <c r="R160" s="7"/>
    </row>
    <row r="161" ht="15.75" customHeight="1">
      <c r="A161" s="15"/>
      <c r="B161" s="7"/>
      <c r="C161" s="7"/>
      <c r="D161" s="7"/>
      <c r="E161" s="7" t="str">
        <f t="array" ref="E161">IFERROR(INDEX('Order Planning'!$C$5:$C$204,MATCH(D161,'Order Planning'!$A$5:$A$204,0)),"")</f>
        <v/>
      </c>
      <c r="F161" s="7" t="str">
        <f t="array" ref="F161">IFERROR(INDEX('Order Planning'!$E$5:$E$204,MATCH(D161,'Order Planning'!$A$5:$A$204,0)),"")</f>
        <v/>
      </c>
      <c r="G161" s="7" t="str">
        <f t="array" ref="G161">IFERROR(INDEX('Order Planning'!$F$5:$F$204,MATCH(D161,'Order Planning'!$A$5:$A$204,0)),"")</f>
        <v/>
      </c>
      <c r="H161" s="7"/>
      <c r="I161" s="7"/>
      <c r="J161" s="7"/>
      <c r="O161" s="22">
        <f t="shared" si="1"/>
        <v>0</v>
      </c>
      <c r="R161" s="7"/>
    </row>
    <row r="162" ht="15.75" customHeight="1">
      <c r="A162" s="15"/>
      <c r="B162" s="7"/>
      <c r="C162" s="7"/>
      <c r="D162" s="7"/>
      <c r="E162" s="7" t="str">
        <f t="array" ref="E162">IFERROR(INDEX('Order Planning'!$C$5:$C$204,MATCH(D162,'Order Planning'!$A$5:$A$204,0)),"")</f>
        <v/>
      </c>
      <c r="F162" s="7" t="str">
        <f t="array" ref="F162">IFERROR(INDEX('Order Planning'!$E$5:$E$204,MATCH(D162,'Order Planning'!$A$5:$A$204,0)),"")</f>
        <v/>
      </c>
      <c r="G162" s="7" t="str">
        <f t="array" ref="G162">IFERROR(INDEX('Order Planning'!$F$5:$F$204,MATCH(D162,'Order Planning'!$A$5:$A$204,0)),"")</f>
        <v/>
      </c>
      <c r="H162" s="7"/>
      <c r="I162" s="7"/>
      <c r="J162" s="7"/>
      <c r="O162" s="22">
        <f t="shared" si="1"/>
        <v>0</v>
      </c>
      <c r="R162" s="7"/>
    </row>
    <row r="163" ht="15.75" customHeight="1">
      <c r="A163" s="15"/>
      <c r="B163" s="7"/>
      <c r="C163" s="7"/>
      <c r="D163" s="7"/>
      <c r="E163" s="7" t="str">
        <f t="array" ref="E163">IFERROR(INDEX('Order Planning'!$C$5:$C$204,MATCH(D163,'Order Planning'!$A$5:$A$204,0)),"")</f>
        <v/>
      </c>
      <c r="F163" s="7" t="str">
        <f t="array" ref="F163">IFERROR(INDEX('Order Planning'!$E$5:$E$204,MATCH(D163,'Order Planning'!$A$5:$A$204,0)),"")</f>
        <v/>
      </c>
      <c r="G163" s="7" t="str">
        <f t="array" ref="G163">IFERROR(INDEX('Order Planning'!$F$5:$F$204,MATCH(D163,'Order Planning'!$A$5:$A$204,0)),"")</f>
        <v/>
      </c>
      <c r="H163" s="7"/>
      <c r="I163" s="7"/>
      <c r="J163" s="7"/>
      <c r="O163" s="22">
        <f t="shared" si="1"/>
        <v>0</v>
      </c>
      <c r="R163" s="7"/>
    </row>
    <row r="164" ht="15.75" customHeight="1">
      <c r="A164" s="15"/>
      <c r="B164" s="7"/>
      <c r="C164" s="7"/>
      <c r="D164" s="7"/>
      <c r="E164" s="7" t="str">
        <f t="array" ref="E164">IFERROR(INDEX('Order Planning'!$C$5:$C$204,MATCH(D164,'Order Planning'!$A$5:$A$204,0)),"")</f>
        <v/>
      </c>
      <c r="F164" s="7" t="str">
        <f t="array" ref="F164">IFERROR(INDEX('Order Planning'!$E$5:$E$204,MATCH(D164,'Order Planning'!$A$5:$A$204,0)),"")</f>
        <v/>
      </c>
      <c r="G164" s="7" t="str">
        <f t="array" ref="G164">IFERROR(INDEX('Order Planning'!$F$5:$F$204,MATCH(D164,'Order Planning'!$A$5:$A$204,0)),"")</f>
        <v/>
      </c>
      <c r="H164" s="7"/>
      <c r="I164" s="7"/>
      <c r="J164" s="7"/>
      <c r="O164" s="22">
        <f t="shared" si="1"/>
        <v>0</v>
      </c>
      <c r="R164" s="7"/>
    </row>
    <row r="165" ht="15.75" customHeight="1">
      <c r="A165" s="15"/>
      <c r="B165" s="7"/>
      <c r="C165" s="7"/>
      <c r="D165" s="7"/>
      <c r="E165" s="7" t="str">
        <f t="array" ref="E165">IFERROR(INDEX('Order Planning'!$C$5:$C$204,MATCH(D165,'Order Planning'!$A$5:$A$204,0)),"")</f>
        <v/>
      </c>
      <c r="F165" s="7" t="str">
        <f t="array" ref="F165">IFERROR(INDEX('Order Planning'!$E$5:$E$204,MATCH(D165,'Order Planning'!$A$5:$A$204,0)),"")</f>
        <v/>
      </c>
      <c r="G165" s="7" t="str">
        <f t="array" ref="G165">IFERROR(INDEX('Order Planning'!$F$5:$F$204,MATCH(D165,'Order Planning'!$A$5:$A$204,0)),"")</f>
        <v/>
      </c>
      <c r="H165" s="7"/>
      <c r="I165" s="7"/>
      <c r="J165" s="7"/>
      <c r="O165" s="22">
        <f t="shared" si="1"/>
        <v>0</v>
      </c>
      <c r="R165" s="7"/>
    </row>
    <row r="166" ht="15.75" customHeight="1">
      <c r="A166" s="15"/>
      <c r="B166" s="7"/>
      <c r="C166" s="7"/>
      <c r="D166" s="7"/>
      <c r="E166" s="7" t="str">
        <f t="array" ref="E166">IFERROR(INDEX('Order Planning'!$C$5:$C$204,MATCH(D166,'Order Planning'!$A$5:$A$204,0)),"")</f>
        <v/>
      </c>
      <c r="F166" s="7" t="str">
        <f t="array" ref="F166">IFERROR(INDEX('Order Planning'!$E$5:$E$204,MATCH(D166,'Order Planning'!$A$5:$A$204,0)),"")</f>
        <v/>
      </c>
      <c r="G166" s="7" t="str">
        <f t="array" ref="G166">IFERROR(INDEX('Order Planning'!$F$5:$F$204,MATCH(D166,'Order Planning'!$A$5:$A$204,0)),"")</f>
        <v/>
      </c>
      <c r="H166" s="7"/>
      <c r="I166" s="7"/>
      <c r="J166" s="7"/>
      <c r="O166" s="22">
        <f t="shared" si="1"/>
        <v>0</v>
      </c>
      <c r="R166" s="7"/>
    </row>
    <row r="167" ht="15.75" customHeight="1">
      <c r="A167" s="15"/>
      <c r="B167" s="7"/>
      <c r="C167" s="7"/>
      <c r="D167" s="7"/>
      <c r="E167" s="7" t="str">
        <f t="array" ref="E167">IFERROR(INDEX('Order Planning'!$C$5:$C$204,MATCH(D167,'Order Planning'!$A$5:$A$204,0)),"")</f>
        <v/>
      </c>
      <c r="F167" s="7" t="str">
        <f t="array" ref="F167">IFERROR(INDEX('Order Planning'!$E$5:$E$204,MATCH(D167,'Order Planning'!$A$5:$A$204,0)),"")</f>
        <v/>
      </c>
      <c r="G167" s="7" t="str">
        <f t="array" ref="G167">IFERROR(INDEX('Order Planning'!$F$5:$F$204,MATCH(D167,'Order Planning'!$A$5:$A$204,0)),"")</f>
        <v/>
      </c>
      <c r="H167" s="7"/>
      <c r="I167" s="7"/>
      <c r="J167" s="7"/>
      <c r="O167" s="22">
        <f t="shared" si="1"/>
        <v>0</v>
      </c>
      <c r="R167" s="7"/>
    </row>
    <row r="168" ht="15.75" customHeight="1">
      <c r="A168" s="15"/>
      <c r="B168" s="7"/>
      <c r="C168" s="7"/>
      <c r="D168" s="7"/>
      <c r="E168" s="7" t="str">
        <f t="array" ref="E168">IFERROR(INDEX('Order Planning'!$C$5:$C$204,MATCH(D168,'Order Planning'!$A$5:$A$204,0)),"")</f>
        <v/>
      </c>
      <c r="F168" s="7" t="str">
        <f t="array" ref="F168">IFERROR(INDEX('Order Planning'!$E$5:$E$204,MATCH(D168,'Order Planning'!$A$5:$A$204,0)),"")</f>
        <v/>
      </c>
      <c r="G168" s="7" t="str">
        <f t="array" ref="G168">IFERROR(INDEX('Order Planning'!$F$5:$F$204,MATCH(D168,'Order Planning'!$A$5:$A$204,0)),"")</f>
        <v/>
      </c>
      <c r="H168" s="7"/>
      <c r="I168" s="7"/>
      <c r="J168" s="7"/>
      <c r="O168" s="22">
        <f t="shared" si="1"/>
        <v>0</v>
      </c>
      <c r="R168" s="7"/>
    </row>
    <row r="169" ht="15.75" customHeight="1">
      <c r="A169" s="15"/>
      <c r="B169" s="7"/>
      <c r="C169" s="7"/>
      <c r="D169" s="7"/>
      <c r="E169" s="7" t="str">
        <f t="array" ref="E169">IFERROR(INDEX('Order Planning'!$C$5:$C$204,MATCH(D169,'Order Planning'!$A$5:$A$204,0)),"")</f>
        <v/>
      </c>
      <c r="F169" s="7" t="str">
        <f t="array" ref="F169">IFERROR(INDEX('Order Planning'!$E$5:$E$204,MATCH(D169,'Order Planning'!$A$5:$A$204,0)),"")</f>
        <v/>
      </c>
      <c r="G169" s="7" t="str">
        <f t="array" ref="G169">IFERROR(INDEX('Order Planning'!$F$5:$F$204,MATCH(D169,'Order Planning'!$A$5:$A$204,0)),"")</f>
        <v/>
      </c>
      <c r="H169" s="7"/>
      <c r="I169" s="7"/>
      <c r="J169" s="7"/>
      <c r="O169" s="22">
        <f t="shared" si="1"/>
        <v>0</v>
      </c>
      <c r="R169" s="7"/>
    </row>
    <row r="170" ht="15.75" customHeight="1">
      <c r="A170" s="15"/>
      <c r="B170" s="7"/>
      <c r="C170" s="7"/>
      <c r="D170" s="7"/>
      <c r="E170" s="7" t="str">
        <f t="array" ref="E170">IFERROR(INDEX('Order Planning'!$C$5:$C$204,MATCH(D170,'Order Planning'!$A$5:$A$204,0)),"")</f>
        <v/>
      </c>
      <c r="F170" s="7" t="str">
        <f t="array" ref="F170">IFERROR(INDEX('Order Planning'!$E$5:$E$204,MATCH(D170,'Order Planning'!$A$5:$A$204,0)),"")</f>
        <v/>
      </c>
      <c r="G170" s="7" t="str">
        <f t="array" ref="G170">IFERROR(INDEX('Order Planning'!$F$5:$F$204,MATCH(D170,'Order Planning'!$A$5:$A$204,0)),"")</f>
        <v/>
      </c>
      <c r="H170" s="7"/>
      <c r="I170" s="7"/>
      <c r="J170" s="7"/>
      <c r="O170" s="22">
        <f t="shared" si="1"/>
        <v>0</v>
      </c>
      <c r="R170" s="7"/>
    </row>
    <row r="171" ht="15.75" customHeight="1">
      <c r="A171" s="15"/>
      <c r="B171" s="7"/>
      <c r="C171" s="7"/>
      <c r="D171" s="7"/>
      <c r="E171" s="7" t="str">
        <f t="array" ref="E171">IFERROR(INDEX('Order Planning'!$C$5:$C$204,MATCH(D171,'Order Planning'!$A$5:$A$204,0)),"")</f>
        <v/>
      </c>
      <c r="F171" s="7" t="str">
        <f t="array" ref="F171">IFERROR(INDEX('Order Planning'!$E$5:$E$204,MATCH(D171,'Order Planning'!$A$5:$A$204,0)),"")</f>
        <v/>
      </c>
      <c r="G171" s="7" t="str">
        <f t="array" ref="G171">IFERROR(INDEX('Order Planning'!$F$5:$F$204,MATCH(D171,'Order Planning'!$A$5:$A$204,0)),"")</f>
        <v/>
      </c>
      <c r="H171" s="7"/>
      <c r="I171" s="7"/>
      <c r="J171" s="7"/>
      <c r="O171" s="22">
        <f t="shared" si="1"/>
        <v>0</v>
      </c>
      <c r="R171" s="7"/>
    </row>
    <row r="172" ht="15.75" customHeight="1">
      <c r="A172" s="15"/>
      <c r="B172" s="7"/>
      <c r="C172" s="7"/>
      <c r="D172" s="7"/>
      <c r="E172" s="7" t="str">
        <f t="array" ref="E172">IFERROR(INDEX('Order Planning'!$C$5:$C$204,MATCH(D172,'Order Planning'!$A$5:$A$204,0)),"")</f>
        <v/>
      </c>
      <c r="F172" s="7" t="str">
        <f t="array" ref="F172">IFERROR(INDEX('Order Planning'!$E$5:$E$204,MATCH(D172,'Order Planning'!$A$5:$A$204,0)),"")</f>
        <v/>
      </c>
      <c r="G172" s="7" t="str">
        <f t="array" ref="G172">IFERROR(INDEX('Order Planning'!$F$5:$F$204,MATCH(D172,'Order Planning'!$A$5:$A$204,0)),"")</f>
        <v/>
      </c>
      <c r="H172" s="7"/>
      <c r="I172" s="7"/>
      <c r="J172" s="7"/>
      <c r="O172" s="22">
        <f t="shared" si="1"/>
        <v>0</v>
      </c>
      <c r="R172" s="7"/>
    </row>
    <row r="173" ht="15.75" customHeight="1">
      <c r="A173" s="15"/>
      <c r="B173" s="7"/>
      <c r="C173" s="7"/>
      <c r="D173" s="7"/>
      <c r="E173" s="7" t="str">
        <f t="array" ref="E173">IFERROR(INDEX('Order Planning'!$C$5:$C$204,MATCH(D173,'Order Planning'!$A$5:$A$204,0)),"")</f>
        <v/>
      </c>
      <c r="F173" s="7" t="str">
        <f t="array" ref="F173">IFERROR(INDEX('Order Planning'!$E$5:$E$204,MATCH(D173,'Order Planning'!$A$5:$A$204,0)),"")</f>
        <v/>
      </c>
      <c r="G173" s="7" t="str">
        <f t="array" ref="G173">IFERROR(INDEX('Order Planning'!$F$5:$F$204,MATCH(D173,'Order Planning'!$A$5:$A$204,0)),"")</f>
        <v/>
      </c>
      <c r="H173" s="7"/>
      <c r="I173" s="7"/>
      <c r="J173" s="7"/>
      <c r="O173" s="22">
        <f t="shared" si="1"/>
        <v>0</v>
      </c>
      <c r="R173" s="7"/>
    </row>
    <row r="174" ht="15.75" customHeight="1">
      <c r="A174" s="15"/>
      <c r="B174" s="7"/>
      <c r="C174" s="7"/>
      <c r="D174" s="7"/>
      <c r="E174" s="7" t="str">
        <f t="array" ref="E174">IFERROR(INDEX('Order Planning'!$C$5:$C$204,MATCH(D174,'Order Planning'!$A$5:$A$204,0)),"")</f>
        <v/>
      </c>
      <c r="F174" s="7" t="str">
        <f t="array" ref="F174">IFERROR(INDEX('Order Planning'!$E$5:$E$204,MATCH(D174,'Order Planning'!$A$5:$A$204,0)),"")</f>
        <v/>
      </c>
      <c r="G174" s="7" t="str">
        <f t="array" ref="G174">IFERROR(INDEX('Order Planning'!$F$5:$F$204,MATCH(D174,'Order Planning'!$A$5:$A$204,0)),"")</f>
        <v/>
      </c>
      <c r="H174" s="7"/>
      <c r="I174" s="7"/>
      <c r="J174" s="7"/>
      <c r="O174" s="22">
        <f t="shared" si="1"/>
        <v>0</v>
      </c>
      <c r="R174" s="7"/>
    </row>
    <row r="175" ht="15.75" customHeight="1">
      <c r="A175" s="15"/>
      <c r="B175" s="7"/>
      <c r="C175" s="7"/>
      <c r="D175" s="7"/>
      <c r="E175" s="7" t="str">
        <f t="array" ref="E175">IFERROR(INDEX('Order Planning'!$C$5:$C$204,MATCH(D175,'Order Planning'!$A$5:$A$204,0)),"")</f>
        <v/>
      </c>
      <c r="F175" s="7" t="str">
        <f t="array" ref="F175">IFERROR(INDEX('Order Planning'!$E$5:$E$204,MATCH(D175,'Order Planning'!$A$5:$A$204,0)),"")</f>
        <v/>
      </c>
      <c r="G175" s="7" t="str">
        <f t="array" ref="G175">IFERROR(INDEX('Order Planning'!$F$5:$F$204,MATCH(D175,'Order Planning'!$A$5:$A$204,0)),"")</f>
        <v/>
      </c>
      <c r="H175" s="7"/>
      <c r="I175" s="7"/>
      <c r="J175" s="7"/>
      <c r="O175" s="22">
        <f t="shared" si="1"/>
        <v>0</v>
      </c>
      <c r="R175" s="7"/>
    </row>
    <row r="176" ht="15.75" customHeight="1">
      <c r="A176" s="15"/>
      <c r="B176" s="7"/>
      <c r="C176" s="7"/>
      <c r="D176" s="7"/>
      <c r="E176" s="7" t="str">
        <f t="array" ref="E176">IFERROR(INDEX('Order Planning'!$C$5:$C$204,MATCH(D176,'Order Planning'!$A$5:$A$204,0)),"")</f>
        <v/>
      </c>
      <c r="F176" s="7" t="str">
        <f t="array" ref="F176">IFERROR(INDEX('Order Planning'!$E$5:$E$204,MATCH(D176,'Order Planning'!$A$5:$A$204,0)),"")</f>
        <v/>
      </c>
      <c r="G176" s="7" t="str">
        <f t="array" ref="G176">IFERROR(INDEX('Order Planning'!$F$5:$F$204,MATCH(D176,'Order Planning'!$A$5:$A$204,0)),"")</f>
        <v/>
      </c>
      <c r="H176" s="7"/>
      <c r="I176" s="7"/>
      <c r="J176" s="7"/>
      <c r="O176" s="22">
        <f t="shared" si="1"/>
        <v>0</v>
      </c>
      <c r="R176" s="7"/>
    </row>
    <row r="177" ht="15.75" customHeight="1">
      <c r="A177" s="15"/>
      <c r="B177" s="7"/>
      <c r="C177" s="7"/>
      <c r="D177" s="7"/>
      <c r="E177" s="7" t="str">
        <f t="array" ref="E177">IFERROR(INDEX('Order Planning'!$C$5:$C$204,MATCH(D177,'Order Planning'!$A$5:$A$204,0)),"")</f>
        <v/>
      </c>
      <c r="F177" s="7" t="str">
        <f t="array" ref="F177">IFERROR(INDEX('Order Planning'!$E$5:$E$204,MATCH(D177,'Order Planning'!$A$5:$A$204,0)),"")</f>
        <v/>
      </c>
      <c r="G177" s="7" t="str">
        <f t="array" ref="G177">IFERROR(INDEX('Order Planning'!$F$5:$F$204,MATCH(D177,'Order Planning'!$A$5:$A$204,0)),"")</f>
        <v/>
      </c>
      <c r="H177" s="7"/>
      <c r="I177" s="7"/>
      <c r="J177" s="7"/>
      <c r="O177" s="22">
        <f t="shared" si="1"/>
        <v>0</v>
      </c>
      <c r="R177" s="7"/>
    </row>
    <row r="178" ht="15.75" customHeight="1">
      <c r="A178" s="15"/>
      <c r="B178" s="7"/>
      <c r="C178" s="7"/>
      <c r="D178" s="7"/>
      <c r="E178" s="7" t="str">
        <f t="array" ref="E178">IFERROR(INDEX('Order Planning'!$C$5:$C$204,MATCH(D178,'Order Planning'!$A$5:$A$204,0)),"")</f>
        <v/>
      </c>
      <c r="F178" s="7" t="str">
        <f t="array" ref="F178">IFERROR(INDEX('Order Planning'!$E$5:$E$204,MATCH(D178,'Order Planning'!$A$5:$A$204,0)),"")</f>
        <v/>
      </c>
      <c r="G178" s="7" t="str">
        <f t="array" ref="G178">IFERROR(INDEX('Order Planning'!$F$5:$F$204,MATCH(D178,'Order Planning'!$A$5:$A$204,0)),"")</f>
        <v/>
      </c>
      <c r="H178" s="7"/>
      <c r="I178" s="7"/>
      <c r="J178" s="7"/>
      <c r="O178" s="22">
        <f t="shared" si="1"/>
        <v>0</v>
      </c>
      <c r="R178" s="7"/>
    </row>
    <row r="179" ht="15.75" customHeight="1">
      <c r="A179" s="15"/>
      <c r="B179" s="7"/>
      <c r="C179" s="7"/>
      <c r="D179" s="7"/>
      <c r="E179" s="7" t="str">
        <f t="array" ref="E179">IFERROR(INDEX('Order Planning'!$C$5:$C$204,MATCH(D179,'Order Planning'!$A$5:$A$204,0)),"")</f>
        <v/>
      </c>
      <c r="F179" s="7" t="str">
        <f t="array" ref="F179">IFERROR(INDEX('Order Planning'!$E$5:$E$204,MATCH(D179,'Order Planning'!$A$5:$A$204,0)),"")</f>
        <v/>
      </c>
      <c r="G179" s="7" t="str">
        <f t="array" ref="G179">IFERROR(INDEX('Order Planning'!$F$5:$F$204,MATCH(D179,'Order Planning'!$A$5:$A$204,0)),"")</f>
        <v/>
      </c>
      <c r="H179" s="7"/>
      <c r="I179" s="7"/>
      <c r="J179" s="7"/>
      <c r="O179" s="22">
        <f t="shared" si="1"/>
        <v>0</v>
      </c>
      <c r="R179" s="7"/>
    </row>
    <row r="180" ht="15.75" customHeight="1">
      <c r="A180" s="15"/>
      <c r="B180" s="7"/>
      <c r="C180" s="7"/>
      <c r="D180" s="7"/>
      <c r="E180" s="7" t="str">
        <f t="array" ref="E180">IFERROR(INDEX('Order Planning'!$C$5:$C$204,MATCH(D180,'Order Planning'!$A$5:$A$204,0)),"")</f>
        <v/>
      </c>
      <c r="F180" s="7" t="str">
        <f t="array" ref="F180">IFERROR(INDEX('Order Planning'!$E$5:$E$204,MATCH(D180,'Order Planning'!$A$5:$A$204,0)),"")</f>
        <v/>
      </c>
      <c r="G180" s="7" t="str">
        <f t="array" ref="G180">IFERROR(INDEX('Order Planning'!$F$5:$F$204,MATCH(D180,'Order Planning'!$A$5:$A$204,0)),"")</f>
        <v/>
      </c>
      <c r="H180" s="7"/>
      <c r="I180" s="7"/>
      <c r="J180" s="7"/>
      <c r="O180" s="22">
        <f t="shared" si="1"/>
        <v>0</v>
      </c>
      <c r="R180" s="7"/>
    </row>
    <row r="181" ht="15.75" customHeight="1">
      <c r="A181" s="15"/>
      <c r="B181" s="7"/>
      <c r="C181" s="7"/>
      <c r="D181" s="7"/>
      <c r="E181" s="7" t="str">
        <f t="array" ref="E181">IFERROR(INDEX('Order Planning'!$C$5:$C$204,MATCH(D181,'Order Planning'!$A$5:$A$204,0)),"")</f>
        <v/>
      </c>
      <c r="F181" s="7" t="str">
        <f t="array" ref="F181">IFERROR(INDEX('Order Planning'!$E$5:$E$204,MATCH(D181,'Order Planning'!$A$5:$A$204,0)),"")</f>
        <v/>
      </c>
      <c r="G181" s="7" t="str">
        <f t="array" ref="G181">IFERROR(INDEX('Order Planning'!$F$5:$F$204,MATCH(D181,'Order Planning'!$A$5:$A$204,0)),"")</f>
        <v/>
      </c>
      <c r="H181" s="7"/>
      <c r="I181" s="7"/>
      <c r="J181" s="7"/>
      <c r="O181" s="22">
        <f t="shared" si="1"/>
        <v>0</v>
      </c>
      <c r="R181" s="7"/>
    </row>
    <row r="182" ht="15.75" customHeight="1">
      <c r="A182" s="15"/>
      <c r="B182" s="7"/>
      <c r="C182" s="7"/>
      <c r="D182" s="7"/>
      <c r="E182" s="7" t="str">
        <f t="array" ref="E182">IFERROR(INDEX('Order Planning'!$C$5:$C$204,MATCH(D182,'Order Planning'!$A$5:$A$204,0)),"")</f>
        <v/>
      </c>
      <c r="F182" s="7" t="str">
        <f t="array" ref="F182">IFERROR(INDEX('Order Planning'!$E$5:$E$204,MATCH(D182,'Order Planning'!$A$5:$A$204,0)),"")</f>
        <v/>
      </c>
      <c r="G182" s="7" t="str">
        <f t="array" ref="G182">IFERROR(INDEX('Order Planning'!$F$5:$F$204,MATCH(D182,'Order Planning'!$A$5:$A$204,0)),"")</f>
        <v/>
      </c>
      <c r="H182" s="7"/>
      <c r="I182" s="7"/>
      <c r="J182" s="7"/>
      <c r="O182" s="22">
        <f t="shared" si="1"/>
        <v>0</v>
      </c>
      <c r="R182" s="7"/>
    </row>
    <row r="183" ht="15.75" customHeight="1">
      <c r="A183" s="15"/>
      <c r="B183" s="7"/>
      <c r="C183" s="7"/>
      <c r="D183" s="7"/>
      <c r="E183" s="7" t="str">
        <f t="array" ref="E183">IFERROR(INDEX('Order Planning'!$C$5:$C$204,MATCH(D183,'Order Planning'!$A$5:$A$204,0)),"")</f>
        <v/>
      </c>
      <c r="F183" s="7" t="str">
        <f t="array" ref="F183">IFERROR(INDEX('Order Planning'!$E$5:$E$204,MATCH(D183,'Order Planning'!$A$5:$A$204,0)),"")</f>
        <v/>
      </c>
      <c r="G183" s="7" t="str">
        <f t="array" ref="G183">IFERROR(INDEX('Order Planning'!$F$5:$F$204,MATCH(D183,'Order Planning'!$A$5:$A$204,0)),"")</f>
        <v/>
      </c>
      <c r="H183" s="7"/>
      <c r="I183" s="7"/>
      <c r="J183" s="7"/>
      <c r="O183" s="22">
        <f t="shared" si="1"/>
        <v>0</v>
      </c>
      <c r="R183" s="7"/>
    </row>
    <row r="184" ht="15.75" customHeight="1">
      <c r="A184" s="15"/>
      <c r="B184" s="7"/>
      <c r="C184" s="7"/>
      <c r="D184" s="7"/>
      <c r="E184" s="7" t="str">
        <f t="array" ref="E184">IFERROR(INDEX('Order Planning'!$C$5:$C$204,MATCH(D184,'Order Planning'!$A$5:$A$204,0)),"")</f>
        <v/>
      </c>
      <c r="F184" s="7" t="str">
        <f t="array" ref="F184">IFERROR(INDEX('Order Planning'!$E$5:$E$204,MATCH(D184,'Order Planning'!$A$5:$A$204,0)),"")</f>
        <v/>
      </c>
      <c r="G184" s="7" t="str">
        <f t="array" ref="G184">IFERROR(INDEX('Order Planning'!$F$5:$F$204,MATCH(D184,'Order Planning'!$A$5:$A$204,0)),"")</f>
        <v/>
      </c>
      <c r="H184" s="7"/>
      <c r="I184" s="7"/>
      <c r="J184" s="7"/>
      <c r="O184" s="22">
        <f t="shared" si="1"/>
        <v>0</v>
      </c>
      <c r="R184" s="7"/>
    </row>
    <row r="185" ht="15.75" customHeight="1">
      <c r="A185" s="15"/>
      <c r="B185" s="7"/>
      <c r="C185" s="7"/>
      <c r="D185" s="7"/>
      <c r="E185" s="7" t="str">
        <f t="array" ref="E185">IFERROR(INDEX('Order Planning'!$C$5:$C$204,MATCH(D185,'Order Planning'!$A$5:$A$204,0)),"")</f>
        <v/>
      </c>
      <c r="F185" s="7" t="str">
        <f t="array" ref="F185">IFERROR(INDEX('Order Planning'!$E$5:$E$204,MATCH(D185,'Order Planning'!$A$5:$A$204,0)),"")</f>
        <v/>
      </c>
      <c r="G185" s="7" t="str">
        <f t="array" ref="G185">IFERROR(INDEX('Order Planning'!$F$5:$F$204,MATCH(D185,'Order Planning'!$A$5:$A$204,0)),"")</f>
        <v/>
      </c>
      <c r="H185" s="7"/>
      <c r="I185" s="7"/>
      <c r="J185" s="7"/>
      <c r="O185" s="22">
        <f t="shared" si="1"/>
        <v>0</v>
      </c>
      <c r="R185" s="7"/>
    </row>
    <row r="186" ht="15.75" customHeight="1">
      <c r="A186" s="15"/>
      <c r="B186" s="7"/>
      <c r="C186" s="7"/>
      <c r="D186" s="7"/>
      <c r="E186" s="7" t="str">
        <f t="array" ref="E186">IFERROR(INDEX('Order Planning'!$C$5:$C$204,MATCH(D186,'Order Planning'!$A$5:$A$204,0)),"")</f>
        <v/>
      </c>
      <c r="F186" s="7" t="str">
        <f t="array" ref="F186">IFERROR(INDEX('Order Planning'!$E$5:$E$204,MATCH(D186,'Order Planning'!$A$5:$A$204,0)),"")</f>
        <v/>
      </c>
      <c r="G186" s="7" t="str">
        <f t="array" ref="G186">IFERROR(INDEX('Order Planning'!$F$5:$F$204,MATCH(D186,'Order Planning'!$A$5:$A$204,0)),"")</f>
        <v/>
      </c>
      <c r="H186" s="7"/>
      <c r="I186" s="7"/>
      <c r="J186" s="7"/>
      <c r="O186" s="22">
        <f t="shared" si="1"/>
        <v>0</v>
      </c>
      <c r="R186" s="7"/>
    </row>
    <row r="187" ht="15.75" customHeight="1">
      <c r="A187" s="15"/>
      <c r="B187" s="7"/>
      <c r="C187" s="7"/>
      <c r="D187" s="7"/>
      <c r="E187" s="7" t="str">
        <f t="array" ref="E187">IFERROR(INDEX('Order Planning'!$C$5:$C$204,MATCH(D187,'Order Planning'!$A$5:$A$204,0)),"")</f>
        <v/>
      </c>
      <c r="F187" s="7" t="str">
        <f t="array" ref="F187">IFERROR(INDEX('Order Planning'!$E$5:$E$204,MATCH(D187,'Order Planning'!$A$5:$A$204,0)),"")</f>
        <v/>
      </c>
      <c r="G187" s="7" t="str">
        <f t="array" ref="G187">IFERROR(INDEX('Order Planning'!$F$5:$F$204,MATCH(D187,'Order Planning'!$A$5:$A$204,0)),"")</f>
        <v/>
      </c>
      <c r="H187" s="7"/>
      <c r="I187" s="7"/>
      <c r="J187" s="7"/>
      <c r="O187" s="22">
        <f t="shared" si="1"/>
        <v>0</v>
      </c>
      <c r="R187" s="7"/>
    </row>
    <row r="188" ht="15.75" customHeight="1">
      <c r="A188" s="15"/>
      <c r="B188" s="7"/>
      <c r="C188" s="7"/>
      <c r="D188" s="7"/>
      <c r="E188" s="7" t="str">
        <f t="array" ref="E188">IFERROR(INDEX('Order Planning'!$C$5:$C$204,MATCH(D188,'Order Planning'!$A$5:$A$204,0)),"")</f>
        <v/>
      </c>
      <c r="F188" s="7" t="str">
        <f t="array" ref="F188">IFERROR(INDEX('Order Planning'!$E$5:$E$204,MATCH(D188,'Order Planning'!$A$5:$A$204,0)),"")</f>
        <v/>
      </c>
      <c r="G188" s="7" t="str">
        <f t="array" ref="G188">IFERROR(INDEX('Order Planning'!$F$5:$F$204,MATCH(D188,'Order Planning'!$A$5:$A$204,0)),"")</f>
        <v/>
      </c>
      <c r="H188" s="7"/>
      <c r="I188" s="7"/>
      <c r="J188" s="7"/>
      <c r="O188" s="22">
        <f t="shared" si="1"/>
        <v>0</v>
      </c>
      <c r="R188" s="7"/>
    </row>
    <row r="189" ht="15.75" customHeight="1">
      <c r="A189" s="15"/>
      <c r="B189" s="7"/>
      <c r="C189" s="7"/>
      <c r="D189" s="7"/>
      <c r="E189" s="7" t="str">
        <f t="array" ref="E189">IFERROR(INDEX('Order Planning'!$C$5:$C$204,MATCH(D189,'Order Planning'!$A$5:$A$204,0)),"")</f>
        <v/>
      </c>
      <c r="F189" s="7" t="str">
        <f t="array" ref="F189">IFERROR(INDEX('Order Planning'!$E$5:$E$204,MATCH(D189,'Order Planning'!$A$5:$A$204,0)),"")</f>
        <v/>
      </c>
      <c r="G189" s="7" t="str">
        <f t="array" ref="G189">IFERROR(INDEX('Order Planning'!$F$5:$F$204,MATCH(D189,'Order Planning'!$A$5:$A$204,0)),"")</f>
        <v/>
      </c>
      <c r="H189" s="7"/>
      <c r="I189" s="7"/>
      <c r="J189" s="7"/>
      <c r="O189" s="22">
        <f t="shared" si="1"/>
        <v>0</v>
      </c>
      <c r="R189" s="7"/>
    </row>
    <row r="190" ht="15.75" customHeight="1">
      <c r="A190" s="15"/>
      <c r="B190" s="7"/>
      <c r="C190" s="7"/>
      <c r="D190" s="7"/>
      <c r="E190" s="7" t="str">
        <f t="array" ref="E190">IFERROR(INDEX('Order Planning'!$C$5:$C$204,MATCH(D190,'Order Planning'!$A$5:$A$204,0)),"")</f>
        <v/>
      </c>
      <c r="F190" s="7" t="str">
        <f t="array" ref="F190">IFERROR(INDEX('Order Planning'!$E$5:$E$204,MATCH(D190,'Order Planning'!$A$5:$A$204,0)),"")</f>
        <v/>
      </c>
      <c r="G190" s="7" t="str">
        <f t="array" ref="G190">IFERROR(INDEX('Order Planning'!$F$5:$F$204,MATCH(D190,'Order Planning'!$A$5:$A$204,0)),"")</f>
        <v/>
      </c>
      <c r="H190" s="7"/>
      <c r="I190" s="7"/>
      <c r="J190" s="7"/>
      <c r="O190" s="22">
        <f t="shared" si="1"/>
        <v>0</v>
      </c>
      <c r="R190" s="7"/>
    </row>
    <row r="191" ht="15.75" customHeight="1">
      <c r="A191" s="15"/>
      <c r="B191" s="7"/>
      <c r="C191" s="7"/>
      <c r="D191" s="7"/>
      <c r="E191" s="7" t="str">
        <f t="array" ref="E191">IFERROR(INDEX('Order Planning'!$C$5:$C$204,MATCH(D191,'Order Planning'!$A$5:$A$204,0)),"")</f>
        <v/>
      </c>
      <c r="F191" s="7" t="str">
        <f t="array" ref="F191">IFERROR(INDEX('Order Planning'!$E$5:$E$204,MATCH(D191,'Order Planning'!$A$5:$A$204,0)),"")</f>
        <v/>
      </c>
      <c r="G191" s="7" t="str">
        <f t="array" ref="G191">IFERROR(INDEX('Order Planning'!$F$5:$F$204,MATCH(D191,'Order Planning'!$A$5:$A$204,0)),"")</f>
        <v/>
      </c>
      <c r="H191" s="7"/>
      <c r="I191" s="7"/>
      <c r="J191" s="7"/>
      <c r="O191" s="22">
        <f t="shared" si="1"/>
        <v>0</v>
      </c>
      <c r="R191" s="7"/>
    </row>
    <row r="192" ht="15.75" customHeight="1">
      <c r="A192" s="15"/>
      <c r="B192" s="7"/>
      <c r="C192" s="7"/>
      <c r="D192" s="7"/>
      <c r="E192" s="7" t="str">
        <f t="array" ref="E192">IFERROR(INDEX('Order Planning'!$C$5:$C$204,MATCH(D192,'Order Planning'!$A$5:$A$204,0)),"")</f>
        <v/>
      </c>
      <c r="F192" s="7" t="str">
        <f t="array" ref="F192">IFERROR(INDEX('Order Planning'!$E$5:$E$204,MATCH(D192,'Order Planning'!$A$5:$A$204,0)),"")</f>
        <v/>
      </c>
      <c r="G192" s="7" t="str">
        <f t="array" ref="G192">IFERROR(INDEX('Order Planning'!$F$5:$F$204,MATCH(D192,'Order Planning'!$A$5:$A$204,0)),"")</f>
        <v/>
      </c>
      <c r="H192" s="7"/>
      <c r="I192" s="7"/>
      <c r="J192" s="7"/>
      <c r="O192" s="22">
        <f t="shared" si="1"/>
        <v>0</v>
      </c>
      <c r="R192" s="7"/>
    </row>
    <row r="193" ht="15.75" customHeight="1">
      <c r="A193" s="15"/>
      <c r="B193" s="7"/>
      <c r="C193" s="7"/>
      <c r="D193" s="7"/>
      <c r="E193" s="7" t="str">
        <f t="array" ref="E193">IFERROR(INDEX('Order Planning'!$C$5:$C$204,MATCH(D193,'Order Planning'!$A$5:$A$204,0)),"")</f>
        <v/>
      </c>
      <c r="F193" s="7" t="str">
        <f t="array" ref="F193">IFERROR(INDEX('Order Planning'!$E$5:$E$204,MATCH(D193,'Order Planning'!$A$5:$A$204,0)),"")</f>
        <v/>
      </c>
      <c r="G193" s="7" t="str">
        <f t="array" ref="G193">IFERROR(INDEX('Order Planning'!$F$5:$F$204,MATCH(D193,'Order Planning'!$A$5:$A$204,0)),"")</f>
        <v/>
      </c>
      <c r="H193" s="7"/>
      <c r="I193" s="7"/>
      <c r="J193" s="7"/>
      <c r="O193" s="22">
        <f t="shared" si="1"/>
        <v>0</v>
      </c>
      <c r="R193" s="7"/>
    </row>
    <row r="194" ht="15.75" customHeight="1">
      <c r="A194" s="15"/>
      <c r="B194" s="7"/>
      <c r="C194" s="7"/>
      <c r="D194" s="7"/>
      <c r="E194" s="7" t="str">
        <f t="array" ref="E194">IFERROR(INDEX('Order Planning'!$C$5:$C$204,MATCH(D194,'Order Planning'!$A$5:$A$204,0)),"")</f>
        <v/>
      </c>
      <c r="F194" s="7" t="str">
        <f t="array" ref="F194">IFERROR(INDEX('Order Planning'!$E$5:$E$204,MATCH(D194,'Order Planning'!$A$5:$A$204,0)),"")</f>
        <v/>
      </c>
      <c r="G194" s="7" t="str">
        <f t="array" ref="G194">IFERROR(INDEX('Order Planning'!$F$5:$F$204,MATCH(D194,'Order Planning'!$A$5:$A$204,0)),"")</f>
        <v/>
      </c>
      <c r="H194" s="7"/>
      <c r="I194" s="7"/>
      <c r="J194" s="7"/>
      <c r="O194" s="22">
        <f t="shared" si="1"/>
        <v>0</v>
      </c>
      <c r="R194" s="7"/>
    </row>
    <row r="195" ht="15.75" customHeight="1">
      <c r="A195" s="15"/>
      <c r="B195" s="7"/>
      <c r="C195" s="7"/>
      <c r="D195" s="7"/>
      <c r="E195" s="7" t="str">
        <f t="array" ref="E195">IFERROR(INDEX('Order Planning'!$C$5:$C$204,MATCH(D195,'Order Planning'!$A$5:$A$204,0)),"")</f>
        <v/>
      </c>
      <c r="F195" s="7" t="str">
        <f t="array" ref="F195">IFERROR(INDEX('Order Planning'!$E$5:$E$204,MATCH(D195,'Order Planning'!$A$5:$A$204,0)),"")</f>
        <v/>
      </c>
      <c r="G195" s="7" t="str">
        <f t="array" ref="G195">IFERROR(INDEX('Order Planning'!$F$5:$F$204,MATCH(D195,'Order Planning'!$A$5:$A$204,0)),"")</f>
        <v/>
      </c>
      <c r="H195" s="7"/>
      <c r="I195" s="7"/>
      <c r="J195" s="7"/>
      <c r="O195" s="22">
        <f t="shared" si="1"/>
        <v>0</v>
      </c>
      <c r="R195" s="7"/>
    </row>
    <row r="196" ht="15.75" customHeight="1">
      <c r="A196" s="15"/>
      <c r="B196" s="7"/>
      <c r="C196" s="7"/>
      <c r="D196" s="7"/>
      <c r="E196" s="7" t="str">
        <f t="array" ref="E196">IFERROR(INDEX('Order Planning'!$C$5:$C$204,MATCH(D196,'Order Planning'!$A$5:$A$204,0)),"")</f>
        <v/>
      </c>
      <c r="F196" s="7" t="str">
        <f t="array" ref="F196">IFERROR(INDEX('Order Planning'!$E$5:$E$204,MATCH(D196,'Order Planning'!$A$5:$A$204,0)),"")</f>
        <v/>
      </c>
      <c r="G196" s="7" t="str">
        <f t="array" ref="G196">IFERROR(INDEX('Order Planning'!$F$5:$F$204,MATCH(D196,'Order Planning'!$A$5:$A$204,0)),"")</f>
        <v/>
      </c>
      <c r="H196" s="7"/>
      <c r="I196" s="7"/>
      <c r="J196" s="7"/>
      <c r="O196" s="22">
        <f t="shared" si="1"/>
        <v>0</v>
      </c>
      <c r="R196" s="7"/>
    </row>
    <row r="197" ht="15.75" customHeight="1">
      <c r="A197" s="15"/>
      <c r="B197" s="7"/>
      <c r="C197" s="7"/>
      <c r="D197" s="7"/>
      <c r="E197" s="7" t="str">
        <f t="array" ref="E197">IFERROR(INDEX('Order Planning'!$C$5:$C$204,MATCH(D197,'Order Planning'!$A$5:$A$204,0)),"")</f>
        <v/>
      </c>
      <c r="F197" s="7" t="str">
        <f t="array" ref="F197">IFERROR(INDEX('Order Planning'!$E$5:$E$204,MATCH(D197,'Order Planning'!$A$5:$A$204,0)),"")</f>
        <v/>
      </c>
      <c r="G197" s="7" t="str">
        <f t="array" ref="G197">IFERROR(INDEX('Order Planning'!$F$5:$F$204,MATCH(D197,'Order Planning'!$A$5:$A$204,0)),"")</f>
        <v/>
      </c>
      <c r="H197" s="7"/>
      <c r="I197" s="7"/>
      <c r="J197" s="7"/>
      <c r="O197" s="22">
        <f t="shared" si="1"/>
        <v>0</v>
      </c>
      <c r="R197" s="7"/>
    </row>
    <row r="198" ht="15.75" customHeight="1">
      <c r="A198" s="15"/>
      <c r="B198" s="7"/>
      <c r="C198" s="7"/>
      <c r="D198" s="7"/>
      <c r="E198" s="7" t="str">
        <f t="array" ref="E198">IFERROR(INDEX('Order Planning'!$C$5:$C$204,MATCH(D198,'Order Planning'!$A$5:$A$204,0)),"")</f>
        <v/>
      </c>
      <c r="F198" s="7" t="str">
        <f t="array" ref="F198">IFERROR(INDEX('Order Planning'!$E$5:$E$204,MATCH(D198,'Order Planning'!$A$5:$A$204,0)),"")</f>
        <v/>
      </c>
      <c r="G198" s="7" t="str">
        <f t="array" ref="G198">IFERROR(INDEX('Order Planning'!$F$5:$F$204,MATCH(D198,'Order Planning'!$A$5:$A$204,0)),"")</f>
        <v/>
      </c>
      <c r="H198" s="7"/>
      <c r="I198" s="7"/>
      <c r="J198" s="7"/>
      <c r="O198" s="22">
        <f t="shared" si="1"/>
        <v>0</v>
      </c>
      <c r="R198" s="7"/>
    </row>
    <row r="199" ht="15.75" customHeight="1">
      <c r="A199" s="15"/>
      <c r="B199" s="7"/>
      <c r="C199" s="7"/>
      <c r="D199" s="7"/>
      <c r="E199" s="7" t="str">
        <f t="array" ref="E199">IFERROR(INDEX('Order Planning'!$C$5:$C$204,MATCH(D199,'Order Planning'!$A$5:$A$204,0)),"")</f>
        <v/>
      </c>
      <c r="F199" s="7" t="str">
        <f t="array" ref="F199">IFERROR(INDEX('Order Planning'!$E$5:$E$204,MATCH(D199,'Order Planning'!$A$5:$A$204,0)),"")</f>
        <v/>
      </c>
      <c r="G199" s="7" t="str">
        <f t="array" ref="G199">IFERROR(INDEX('Order Planning'!$F$5:$F$204,MATCH(D199,'Order Planning'!$A$5:$A$204,0)),"")</f>
        <v/>
      </c>
      <c r="H199" s="7"/>
      <c r="I199" s="7"/>
      <c r="J199" s="7"/>
      <c r="O199" s="22">
        <f t="shared" si="1"/>
        <v>0</v>
      </c>
      <c r="R199" s="7"/>
    </row>
    <row r="200" ht="15.75" customHeight="1">
      <c r="A200" s="15"/>
      <c r="B200" s="7"/>
      <c r="C200" s="7"/>
      <c r="D200" s="7"/>
      <c r="E200" s="7" t="str">
        <f t="array" ref="E200">IFERROR(INDEX('Order Planning'!$C$5:$C$204,MATCH(D200,'Order Planning'!$A$5:$A$204,0)),"")</f>
        <v/>
      </c>
      <c r="F200" s="7" t="str">
        <f t="array" ref="F200">IFERROR(INDEX('Order Planning'!$E$5:$E$204,MATCH(D200,'Order Planning'!$A$5:$A$204,0)),"")</f>
        <v/>
      </c>
      <c r="G200" s="7" t="str">
        <f t="array" ref="G200">IFERROR(INDEX('Order Planning'!$F$5:$F$204,MATCH(D200,'Order Planning'!$A$5:$A$204,0)),"")</f>
        <v/>
      </c>
      <c r="H200" s="7"/>
      <c r="I200" s="7"/>
      <c r="J200" s="7"/>
      <c r="O200" s="22">
        <f t="shared" si="1"/>
        <v>0</v>
      </c>
      <c r="R200" s="7"/>
    </row>
    <row r="201" ht="15.75" customHeight="1">
      <c r="A201" s="15"/>
      <c r="B201" s="7"/>
      <c r="C201" s="7"/>
      <c r="D201" s="7"/>
      <c r="E201" s="7" t="str">
        <f t="array" ref="E201">IFERROR(INDEX('Order Planning'!$C$5:$C$204,MATCH(D201,'Order Planning'!$A$5:$A$204,0)),"")</f>
        <v/>
      </c>
      <c r="F201" s="7" t="str">
        <f t="array" ref="F201">IFERROR(INDEX('Order Planning'!$E$5:$E$204,MATCH(D201,'Order Planning'!$A$5:$A$204,0)),"")</f>
        <v/>
      </c>
      <c r="G201" s="7" t="str">
        <f t="array" ref="G201">IFERROR(INDEX('Order Planning'!$F$5:$F$204,MATCH(D201,'Order Planning'!$A$5:$A$204,0)),"")</f>
        <v/>
      </c>
      <c r="H201" s="7"/>
      <c r="I201" s="7"/>
      <c r="J201" s="7"/>
      <c r="O201" s="22">
        <f t="shared" si="1"/>
        <v>0</v>
      </c>
      <c r="R201" s="7"/>
    </row>
    <row r="202" ht="15.75" customHeight="1">
      <c r="A202" s="15"/>
      <c r="B202" s="7"/>
      <c r="C202" s="7"/>
      <c r="D202" s="7"/>
      <c r="E202" s="7" t="str">
        <f t="array" ref="E202">IFERROR(INDEX('Order Planning'!$C$5:$C$204,MATCH(D202,'Order Planning'!$A$5:$A$204,0)),"")</f>
        <v/>
      </c>
      <c r="F202" s="7" t="str">
        <f t="array" ref="F202">IFERROR(INDEX('Order Planning'!$E$5:$E$204,MATCH(D202,'Order Planning'!$A$5:$A$204,0)),"")</f>
        <v/>
      </c>
      <c r="G202" s="7" t="str">
        <f t="array" ref="G202">IFERROR(INDEX('Order Planning'!$F$5:$F$204,MATCH(D202,'Order Planning'!$A$5:$A$204,0)),"")</f>
        <v/>
      </c>
      <c r="H202" s="7"/>
      <c r="I202" s="7"/>
      <c r="J202" s="7"/>
      <c r="O202" s="22">
        <f t="shared" si="1"/>
        <v>0</v>
      </c>
      <c r="R202" s="7"/>
    </row>
    <row r="203" ht="15.75" customHeight="1">
      <c r="A203" s="15"/>
      <c r="B203" s="7"/>
      <c r="C203" s="7"/>
      <c r="D203" s="7"/>
      <c r="E203" s="7" t="str">
        <f t="array" ref="E203">IFERROR(INDEX('Order Planning'!$C$5:$C$204,MATCH(D203,'Order Planning'!$A$5:$A$204,0)),"")</f>
        <v/>
      </c>
      <c r="F203" s="7" t="str">
        <f t="array" ref="F203">IFERROR(INDEX('Order Planning'!$E$5:$E$204,MATCH(D203,'Order Planning'!$A$5:$A$204,0)),"")</f>
        <v/>
      </c>
      <c r="G203" s="7" t="str">
        <f t="array" ref="G203">IFERROR(INDEX('Order Planning'!$F$5:$F$204,MATCH(D203,'Order Planning'!$A$5:$A$204,0)),"")</f>
        <v/>
      </c>
      <c r="H203" s="7"/>
      <c r="I203" s="7"/>
      <c r="J203" s="7"/>
      <c r="O203" s="22">
        <f t="shared" si="1"/>
        <v>0</v>
      </c>
      <c r="R203" s="7"/>
    </row>
    <row r="204" ht="15.75" customHeight="1">
      <c r="A204" s="15"/>
      <c r="B204" s="7"/>
      <c r="C204" s="7"/>
      <c r="D204" s="7"/>
      <c r="E204" s="7" t="str">
        <f t="array" ref="E204">IFERROR(INDEX('Order Planning'!$C$5:$C$204,MATCH(D204,'Order Planning'!$A$5:$A$204,0)),"")</f>
        <v/>
      </c>
      <c r="F204" s="7" t="str">
        <f t="array" ref="F204">IFERROR(INDEX('Order Planning'!$E$5:$E$204,MATCH(D204,'Order Planning'!$A$5:$A$204,0)),"")</f>
        <v/>
      </c>
      <c r="G204" s="7" t="str">
        <f t="array" ref="G204">IFERROR(INDEX('Order Planning'!$F$5:$F$204,MATCH(D204,'Order Planning'!$A$5:$A$204,0)),"")</f>
        <v/>
      </c>
      <c r="H204" s="7"/>
      <c r="I204" s="7"/>
      <c r="J204" s="7"/>
      <c r="O204" s="22">
        <f t="shared" si="1"/>
        <v>0</v>
      </c>
      <c r="R204" s="7"/>
    </row>
    <row r="205" ht="15.75" customHeight="1">
      <c r="A205" s="15"/>
      <c r="B205" s="7"/>
      <c r="C205" s="7"/>
      <c r="D205" s="7"/>
      <c r="E205" s="7" t="str">
        <f t="array" ref="E205">IFERROR(INDEX('Order Planning'!$C$5:$C$204,MATCH(D205,'Order Planning'!$A$5:$A$204,0)),"")</f>
        <v/>
      </c>
      <c r="F205" s="7" t="str">
        <f t="array" ref="F205">IFERROR(INDEX('Order Planning'!$E$5:$E$204,MATCH(D205,'Order Planning'!$A$5:$A$204,0)),"")</f>
        <v/>
      </c>
      <c r="G205" s="7" t="str">
        <f t="array" ref="G205">IFERROR(INDEX('Order Planning'!$F$5:$F$204,MATCH(D205,'Order Planning'!$A$5:$A$204,0)),"")</f>
        <v/>
      </c>
      <c r="H205" s="7"/>
      <c r="I205" s="7"/>
      <c r="J205" s="7"/>
      <c r="O205" s="22">
        <f t="shared" si="1"/>
        <v>0</v>
      </c>
      <c r="R205" s="7"/>
    </row>
    <row r="206" ht="15.75" customHeight="1">
      <c r="A206" s="15"/>
      <c r="B206" s="7"/>
      <c r="C206" s="7"/>
      <c r="D206" s="7"/>
      <c r="E206" s="7" t="str">
        <f t="array" ref="E206">IFERROR(INDEX('Order Planning'!$C$5:$C$204,MATCH(D206,'Order Planning'!$A$5:$A$204,0)),"")</f>
        <v/>
      </c>
      <c r="F206" s="7" t="str">
        <f t="array" ref="F206">IFERROR(INDEX('Order Planning'!$E$5:$E$204,MATCH(D206,'Order Planning'!$A$5:$A$204,0)),"")</f>
        <v/>
      </c>
      <c r="G206" s="7" t="str">
        <f t="array" ref="G206">IFERROR(INDEX('Order Planning'!$F$5:$F$204,MATCH(D206,'Order Planning'!$A$5:$A$204,0)),"")</f>
        <v/>
      </c>
      <c r="H206" s="7"/>
      <c r="I206" s="7"/>
      <c r="J206" s="7"/>
      <c r="O206" s="22">
        <f t="shared" si="1"/>
        <v>0</v>
      </c>
      <c r="R206" s="7"/>
    </row>
    <row r="207" ht="15.75" customHeight="1">
      <c r="A207" s="15"/>
      <c r="B207" s="7"/>
      <c r="C207" s="7"/>
      <c r="D207" s="7"/>
      <c r="E207" s="7" t="str">
        <f t="array" ref="E207">IFERROR(INDEX('Order Planning'!$C$5:$C$204,MATCH(D207,'Order Planning'!$A$5:$A$204,0)),"")</f>
        <v/>
      </c>
      <c r="F207" s="7" t="str">
        <f t="array" ref="F207">IFERROR(INDEX('Order Planning'!$E$5:$E$204,MATCH(D207,'Order Planning'!$A$5:$A$204,0)),"")</f>
        <v/>
      </c>
      <c r="G207" s="7" t="str">
        <f t="array" ref="G207">IFERROR(INDEX('Order Planning'!$F$5:$F$204,MATCH(D207,'Order Planning'!$A$5:$A$204,0)),"")</f>
        <v/>
      </c>
      <c r="H207" s="7"/>
      <c r="I207" s="7"/>
      <c r="J207" s="7"/>
      <c r="O207" s="22">
        <f t="shared" si="1"/>
        <v>0</v>
      </c>
      <c r="R207" s="7"/>
    </row>
    <row r="208" ht="15.75" customHeight="1">
      <c r="A208" s="15"/>
      <c r="B208" s="7"/>
      <c r="C208" s="7"/>
      <c r="D208" s="7"/>
      <c r="E208" s="7" t="str">
        <f t="array" ref="E208">IFERROR(INDEX('Order Planning'!$C$5:$C$204,MATCH(D208,'Order Planning'!$A$5:$A$204,0)),"")</f>
        <v/>
      </c>
      <c r="F208" s="7" t="str">
        <f t="array" ref="F208">IFERROR(INDEX('Order Planning'!$E$5:$E$204,MATCH(D208,'Order Planning'!$A$5:$A$204,0)),"")</f>
        <v/>
      </c>
      <c r="G208" s="7" t="str">
        <f t="array" ref="G208">IFERROR(INDEX('Order Planning'!$F$5:$F$204,MATCH(D208,'Order Planning'!$A$5:$A$204,0)),"")</f>
        <v/>
      </c>
      <c r="H208" s="7"/>
      <c r="I208" s="7"/>
      <c r="J208" s="7"/>
      <c r="O208" s="22">
        <f t="shared" si="1"/>
        <v>0</v>
      </c>
      <c r="R208" s="7"/>
    </row>
    <row r="209" ht="15.75" customHeight="1">
      <c r="A209" s="15"/>
      <c r="B209" s="7"/>
      <c r="C209" s="7"/>
      <c r="D209" s="7"/>
      <c r="E209" s="7" t="str">
        <f t="array" ref="E209">IFERROR(INDEX('Order Planning'!$C$5:$C$204,MATCH(D209,'Order Planning'!$A$5:$A$204,0)),"")</f>
        <v/>
      </c>
      <c r="F209" s="7" t="str">
        <f t="array" ref="F209">IFERROR(INDEX('Order Planning'!$E$5:$E$204,MATCH(D209,'Order Planning'!$A$5:$A$204,0)),"")</f>
        <v/>
      </c>
      <c r="G209" s="7" t="str">
        <f t="array" ref="G209">IFERROR(INDEX('Order Planning'!$F$5:$F$204,MATCH(D209,'Order Planning'!$A$5:$A$204,0)),"")</f>
        <v/>
      </c>
      <c r="H209" s="7"/>
      <c r="I209" s="7"/>
      <c r="J209" s="7"/>
      <c r="O209" s="22">
        <f t="shared" si="1"/>
        <v>0</v>
      </c>
      <c r="R209" s="7"/>
    </row>
    <row r="210" ht="15.75" customHeight="1">
      <c r="A210" s="15"/>
      <c r="B210" s="7"/>
      <c r="C210" s="7"/>
      <c r="D210" s="7"/>
      <c r="E210" s="7" t="str">
        <f t="array" ref="E210">IFERROR(INDEX('Order Planning'!$C$5:$C$204,MATCH(D210,'Order Planning'!$A$5:$A$204,0)),"")</f>
        <v/>
      </c>
      <c r="F210" s="7" t="str">
        <f t="array" ref="F210">IFERROR(INDEX('Order Planning'!$E$5:$E$204,MATCH(D210,'Order Planning'!$A$5:$A$204,0)),"")</f>
        <v/>
      </c>
      <c r="G210" s="7" t="str">
        <f t="array" ref="G210">IFERROR(INDEX('Order Planning'!$F$5:$F$204,MATCH(D210,'Order Planning'!$A$5:$A$204,0)),"")</f>
        <v/>
      </c>
      <c r="H210" s="7"/>
      <c r="I210" s="7"/>
      <c r="J210" s="7"/>
      <c r="O210" s="22">
        <f t="shared" si="1"/>
        <v>0</v>
      </c>
      <c r="R210" s="7"/>
    </row>
    <row r="211" ht="15.75" customHeight="1">
      <c r="A211" s="15"/>
      <c r="B211" s="7"/>
      <c r="C211" s="7"/>
      <c r="D211" s="7"/>
      <c r="E211" s="7" t="str">
        <f t="array" ref="E211">IFERROR(INDEX('Order Planning'!$C$5:$C$204,MATCH(D211,'Order Planning'!$A$5:$A$204,0)),"")</f>
        <v/>
      </c>
      <c r="F211" s="7" t="str">
        <f t="array" ref="F211">IFERROR(INDEX('Order Planning'!$E$5:$E$204,MATCH(D211,'Order Planning'!$A$5:$A$204,0)),"")</f>
        <v/>
      </c>
      <c r="G211" s="7" t="str">
        <f t="array" ref="G211">IFERROR(INDEX('Order Planning'!$F$5:$F$204,MATCH(D211,'Order Planning'!$A$5:$A$204,0)),"")</f>
        <v/>
      </c>
      <c r="H211" s="7"/>
      <c r="I211" s="7"/>
      <c r="J211" s="7"/>
      <c r="O211" s="22">
        <f t="shared" si="1"/>
        <v>0</v>
      </c>
      <c r="R211" s="7"/>
    </row>
    <row r="212" ht="15.75" customHeight="1">
      <c r="A212" s="15"/>
      <c r="B212" s="7"/>
      <c r="C212" s="7"/>
      <c r="D212" s="7"/>
      <c r="E212" s="7" t="str">
        <f t="array" ref="E212">IFERROR(INDEX('Order Planning'!$C$5:$C$204,MATCH(D212,'Order Planning'!$A$5:$A$204,0)),"")</f>
        <v/>
      </c>
      <c r="F212" s="7" t="str">
        <f t="array" ref="F212">IFERROR(INDEX('Order Planning'!$E$5:$E$204,MATCH(D212,'Order Planning'!$A$5:$A$204,0)),"")</f>
        <v/>
      </c>
      <c r="G212" s="7" t="str">
        <f t="array" ref="G212">IFERROR(INDEX('Order Planning'!$F$5:$F$204,MATCH(D212,'Order Planning'!$A$5:$A$204,0)),"")</f>
        <v/>
      </c>
      <c r="H212" s="7"/>
      <c r="I212" s="7"/>
      <c r="J212" s="7"/>
      <c r="O212" s="22">
        <f t="shared" si="1"/>
        <v>0</v>
      </c>
      <c r="R212" s="7"/>
    </row>
    <row r="213" ht="15.75" customHeight="1">
      <c r="A213" s="15"/>
      <c r="B213" s="7"/>
      <c r="C213" s="7"/>
      <c r="D213" s="7"/>
      <c r="E213" s="7" t="str">
        <f t="array" ref="E213">IFERROR(INDEX('Order Planning'!$C$5:$C$204,MATCH(D213,'Order Planning'!$A$5:$A$204,0)),"")</f>
        <v/>
      </c>
      <c r="F213" s="7" t="str">
        <f t="array" ref="F213">IFERROR(INDEX('Order Planning'!$E$5:$E$204,MATCH(D213,'Order Planning'!$A$5:$A$204,0)),"")</f>
        <v/>
      </c>
      <c r="G213" s="7" t="str">
        <f t="array" ref="G213">IFERROR(INDEX('Order Planning'!$F$5:$F$204,MATCH(D213,'Order Planning'!$A$5:$A$204,0)),"")</f>
        <v/>
      </c>
      <c r="H213" s="7"/>
      <c r="I213" s="7"/>
      <c r="J213" s="7"/>
      <c r="O213" s="22">
        <f t="shared" si="1"/>
        <v>0</v>
      </c>
      <c r="R213" s="7"/>
    </row>
    <row r="214" ht="15.75" customHeight="1">
      <c r="A214" s="15"/>
      <c r="B214" s="7"/>
      <c r="C214" s="7"/>
      <c r="D214" s="7"/>
      <c r="E214" s="7" t="str">
        <f t="array" ref="E214">IFERROR(INDEX('Order Planning'!$C$5:$C$204,MATCH(D214,'Order Planning'!$A$5:$A$204,0)),"")</f>
        <v/>
      </c>
      <c r="F214" s="7" t="str">
        <f t="array" ref="F214">IFERROR(INDEX('Order Planning'!$E$5:$E$204,MATCH(D214,'Order Planning'!$A$5:$A$204,0)),"")</f>
        <v/>
      </c>
      <c r="G214" s="7" t="str">
        <f t="array" ref="G214">IFERROR(INDEX('Order Planning'!$F$5:$F$204,MATCH(D214,'Order Planning'!$A$5:$A$204,0)),"")</f>
        <v/>
      </c>
      <c r="H214" s="7"/>
      <c r="I214" s="7"/>
      <c r="J214" s="7"/>
      <c r="O214" s="22">
        <f t="shared" si="1"/>
        <v>0</v>
      </c>
      <c r="R214" s="7"/>
    </row>
    <row r="215" ht="15.75" customHeight="1">
      <c r="A215" s="15"/>
      <c r="B215" s="7"/>
      <c r="C215" s="7"/>
      <c r="D215" s="7"/>
      <c r="E215" s="7" t="str">
        <f t="array" ref="E215">IFERROR(INDEX('Order Planning'!$C$5:$C$204,MATCH(D215,'Order Planning'!$A$5:$A$204,0)),"")</f>
        <v/>
      </c>
      <c r="F215" s="7" t="str">
        <f t="array" ref="F215">IFERROR(INDEX('Order Planning'!$E$5:$E$204,MATCH(D215,'Order Planning'!$A$5:$A$204,0)),"")</f>
        <v/>
      </c>
      <c r="G215" s="7" t="str">
        <f t="array" ref="G215">IFERROR(INDEX('Order Planning'!$F$5:$F$204,MATCH(D215,'Order Planning'!$A$5:$A$204,0)),"")</f>
        <v/>
      </c>
      <c r="H215" s="7"/>
      <c r="I215" s="7"/>
      <c r="J215" s="7"/>
      <c r="O215" s="22">
        <f t="shared" si="1"/>
        <v>0</v>
      </c>
      <c r="R215" s="7"/>
    </row>
    <row r="216" ht="15.75" customHeight="1">
      <c r="A216" s="15"/>
      <c r="B216" s="7"/>
      <c r="C216" s="7"/>
      <c r="D216" s="7"/>
      <c r="E216" s="7" t="str">
        <f t="array" ref="E216">IFERROR(INDEX('Order Planning'!$C$5:$C$204,MATCH(D216,'Order Planning'!$A$5:$A$204,0)),"")</f>
        <v/>
      </c>
      <c r="F216" s="7" t="str">
        <f t="array" ref="F216">IFERROR(INDEX('Order Planning'!$E$5:$E$204,MATCH(D216,'Order Planning'!$A$5:$A$204,0)),"")</f>
        <v/>
      </c>
      <c r="G216" s="7" t="str">
        <f t="array" ref="G216">IFERROR(INDEX('Order Planning'!$F$5:$F$204,MATCH(D216,'Order Planning'!$A$5:$A$204,0)),"")</f>
        <v/>
      </c>
      <c r="H216" s="7"/>
      <c r="I216" s="7"/>
      <c r="J216" s="7"/>
      <c r="O216" s="22">
        <f t="shared" si="1"/>
        <v>0</v>
      </c>
      <c r="R216" s="7"/>
    </row>
    <row r="217" ht="15.75" customHeight="1">
      <c r="A217" s="15"/>
      <c r="B217" s="7"/>
      <c r="C217" s="7"/>
      <c r="D217" s="7"/>
      <c r="E217" s="7" t="str">
        <f t="array" ref="E217">IFERROR(INDEX('Order Planning'!$C$5:$C$204,MATCH(D217,'Order Planning'!$A$5:$A$204,0)),"")</f>
        <v/>
      </c>
      <c r="F217" s="7" t="str">
        <f t="array" ref="F217">IFERROR(INDEX('Order Planning'!$E$5:$E$204,MATCH(D217,'Order Planning'!$A$5:$A$204,0)),"")</f>
        <v/>
      </c>
      <c r="G217" s="7" t="str">
        <f t="array" ref="G217">IFERROR(INDEX('Order Planning'!$F$5:$F$204,MATCH(D217,'Order Planning'!$A$5:$A$204,0)),"")</f>
        <v/>
      </c>
      <c r="H217" s="7"/>
      <c r="I217" s="7"/>
      <c r="J217" s="7"/>
      <c r="O217" s="22">
        <f t="shared" si="1"/>
        <v>0</v>
      </c>
      <c r="R217" s="7"/>
    </row>
    <row r="218" ht="15.75" customHeight="1">
      <c r="A218" s="15"/>
      <c r="B218" s="7"/>
      <c r="C218" s="7"/>
      <c r="D218" s="7"/>
      <c r="E218" s="7" t="str">
        <f t="array" ref="E218">IFERROR(INDEX('Order Planning'!$C$5:$C$204,MATCH(D218,'Order Planning'!$A$5:$A$204,0)),"")</f>
        <v/>
      </c>
      <c r="F218" s="7" t="str">
        <f t="array" ref="F218">IFERROR(INDEX('Order Planning'!$E$5:$E$204,MATCH(D218,'Order Planning'!$A$5:$A$204,0)),"")</f>
        <v/>
      </c>
      <c r="G218" s="7" t="str">
        <f t="array" ref="G218">IFERROR(INDEX('Order Planning'!$F$5:$F$204,MATCH(D218,'Order Planning'!$A$5:$A$204,0)),"")</f>
        <v/>
      </c>
      <c r="H218" s="7"/>
      <c r="I218" s="7"/>
      <c r="J218" s="7"/>
      <c r="O218" s="22">
        <f t="shared" si="1"/>
        <v>0</v>
      </c>
      <c r="R218" s="7"/>
    </row>
    <row r="219" ht="15.75" customHeight="1">
      <c r="A219" s="15"/>
      <c r="B219" s="7"/>
      <c r="C219" s="7"/>
      <c r="D219" s="7"/>
      <c r="E219" s="7" t="str">
        <f t="array" ref="E219">IFERROR(INDEX('Order Planning'!$C$5:$C$204,MATCH(D219,'Order Planning'!$A$5:$A$204,0)),"")</f>
        <v/>
      </c>
      <c r="F219" s="7" t="str">
        <f t="array" ref="F219">IFERROR(INDEX('Order Planning'!$E$5:$E$204,MATCH(D219,'Order Planning'!$A$5:$A$204,0)),"")</f>
        <v/>
      </c>
      <c r="G219" s="7" t="str">
        <f t="array" ref="G219">IFERROR(INDEX('Order Planning'!$F$5:$F$204,MATCH(D219,'Order Planning'!$A$5:$A$204,0)),"")</f>
        <v/>
      </c>
      <c r="H219" s="7"/>
      <c r="I219" s="7"/>
      <c r="J219" s="7"/>
      <c r="O219" s="22">
        <f t="shared" si="1"/>
        <v>0</v>
      </c>
      <c r="R219" s="7"/>
    </row>
    <row r="220" ht="15.75" customHeight="1">
      <c r="A220" s="15"/>
      <c r="B220" s="7"/>
      <c r="C220" s="7"/>
      <c r="D220" s="7"/>
      <c r="E220" s="7" t="str">
        <f t="array" ref="E220">IFERROR(INDEX('Order Planning'!$C$5:$C$204,MATCH(D220,'Order Planning'!$A$5:$A$204,0)),"")</f>
        <v/>
      </c>
      <c r="F220" s="7" t="str">
        <f t="array" ref="F220">IFERROR(INDEX('Order Planning'!$E$5:$E$204,MATCH(D220,'Order Planning'!$A$5:$A$204,0)),"")</f>
        <v/>
      </c>
      <c r="G220" s="7" t="str">
        <f t="array" ref="G220">IFERROR(INDEX('Order Planning'!$F$5:$F$204,MATCH(D220,'Order Planning'!$A$5:$A$204,0)),"")</f>
        <v/>
      </c>
      <c r="H220" s="7"/>
      <c r="I220" s="7"/>
      <c r="J220" s="7"/>
      <c r="O220" s="22">
        <f t="shared" si="1"/>
        <v>0</v>
      </c>
      <c r="R220" s="7"/>
    </row>
    <row r="221" ht="15.75" customHeight="1">
      <c r="A221" s="15"/>
      <c r="B221" s="7"/>
      <c r="C221" s="7"/>
      <c r="D221" s="7"/>
      <c r="E221" s="7" t="str">
        <f t="array" ref="E221">IFERROR(INDEX('Order Planning'!$C$5:$C$204,MATCH(D221,'Order Planning'!$A$5:$A$204,0)),"")</f>
        <v/>
      </c>
      <c r="F221" s="7" t="str">
        <f t="array" ref="F221">IFERROR(INDEX('Order Planning'!$E$5:$E$204,MATCH(D221,'Order Planning'!$A$5:$A$204,0)),"")</f>
        <v/>
      </c>
      <c r="G221" s="7" t="str">
        <f t="array" ref="G221">IFERROR(INDEX('Order Planning'!$F$5:$F$204,MATCH(D221,'Order Planning'!$A$5:$A$204,0)),"")</f>
        <v/>
      </c>
      <c r="H221" s="7"/>
      <c r="I221" s="7"/>
      <c r="J221" s="7"/>
      <c r="O221" s="22">
        <f t="shared" si="1"/>
        <v>0</v>
      </c>
      <c r="R221" s="7"/>
    </row>
    <row r="222" ht="15.75" customHeight="1">
      <c r="A222" s="15"/>
      <c r="B222" s="7"/>
      <c r="C222" s="7"/>
      <c r="D222" s="7"/>
      <c r="E222" s="7" t="str">
        <f t="array" ref="E222">IFERROR(INDEX('Order Planning'!$C$5:$C$204,MATCH(D222,'Order Planning'!$A$5:$A$204,0)),"")</f>
        <v/>
      </c>
      <c r="F222" s="7" t="str">
        <f t="array" ref="F222">IFERROR(INDEX('Order Planning'!$E$5:$E$204,MATCH(D222,'Order Planning'!$A$5:$A$204,0)),"")</f>
        <v/>
      </c>
      <c r="G222" s="7" t="str">
        <f t="array" ref="G222">IFERROR(INDEX('Order Planning'!$F$5:$F$204,MATCH(D222,'Order Planning'!$A$5:$A$204,0)),"")</f>
        <v/>
      </c>
      <c r="H222" s="7"/>
      <c r="I222" s="7"/>
      <c r="J222" s="7"/>
      <c r="O222" s="22">
        <f t="shared" si="1"/>
        <v>0</v>
      </c>
      <c r="R222" s="7"/>
    </row>
    <row r="223" ht="15.75" customHeight="1">
      <c r="A223" s="15"/>
      <c r="B223" s="7"/>
      <c r="C223" s="7"/>
      <c r="D223" s="7"/>
      <c r="E223" s="7" t="str">
        <f t="array" ref="E223">IFERROR(INDEX('Order Planning'!$C$5:$C$204,MATCH(D223,'Order Planning'!$A$5:$A$204,0)),"")</f>
        <v/>
      </c>
      <c r="F223" s="7" t="str">
        <f t="array" ref="F223">IFERROR(INDEX('Order Planning'!$E$5:$E$204,MATCH(D223,'Order Planning'!$A$5:$A$204,0)),"")</f>
        <v/>
      </c>
      <c r="G223" s="7" t="str">
        <f t="array" ref="G223">IFERROR(INDEX('Order Planning'!$F$5:$F$204,MATCH(D223,'Order Planning'!$A$5:$A$204,0)),"")</f>
        <v/>
      </c>
      <c r="H223" s="7"/>
      <c r="I223" s="7"/>
      <c r="J223" s="7"/>
      <c r="O223" s="22">
        <f t="shared" si="1"/>
        <v>0</v>
      </c>
      <c r="R223" s="7"/>
    </row>
    <row r="224" ht="15.75" customHeight="1">
      <c r="A224" s="15"/>
      <c r="B224" s="7"/>
      <c r="C224" s="7"/>
      <c r="D224" s="7"/>
      <c r="E224" s="7" t="str">
        <f t="array" ref="E224">IFERROR(INDEX('Order Planning'!$C$5:$C$204,MATCH(D224,'Order Planning'!$A$5:$A$204,0)),"")</f>
        <v/>
      </c>
      <c r="F224" s="7" t="str">
        <f t="array" ref="F224">IFERROR(INDEX('Order Planning'!$E$5:$E$204,MATCH(D224,'Order Planning'!$A$5:$A$204,0)),"")</f>
        <v/>
      </c>
      <c r="G224" s="7" t="str">
        <f t="array" ref="G224">IFERROR(INDEX('Order Planning'!$F$5:$F$204,MATCH(D224,'Order Planning'!$A$5:$A$204,0)),"")</f>
        <v/>
      </c>
      <c r="H224" s="7"/>
      <c r="I224" s="7"/>
      <c r="J224" s="7"/>
      <c r="O224" s="22">
        <f t="shared" si="1"/>
        <v>0</v>
      </c>
      <c r="R224" s="7"/>
    </row>
    <row r="225" ht="15.75" customHeight="1">
      <c r="A225" s="15"/>
      <c r="B225" s="7"/>
      <c r="C225" s="7"/>
      <c r="D225" s="7"/>
      <c r="E225" s="7" t="str">
        <f t="array" ref="E225">IFERROR(INDEX('Order Planning'!$C$5:$C$204,MATCH(D225,'Order Planning'!$A$5:$A$204,0)),"")</f>
        <v/>
      </c>
      <c r="F225" s="7" t="str">
        <f t="array" ref="F225">IFERROR(INDEX('Order Planning'!$E$5:$E$204,MATCH(D225,'Order Planning'!$A$5:$A$204,0)),"")</f>
        <v/>
      </c>
      <c r="G225" s="7" t="str">
        <f t="array" ref="G225">IFERROR(INDEX('Order Planning'!$F$5:$F$204,MATCH(D225,'Order Planning'!$A$5:$A$204,0)),"")</f>
        <v/>
      </c>
      <c r="H225" s="7"/>
      <c r="I225" s="7"/>
      <c r="J225" s="7"/>
      <c r="O225" s="22">
        <f t="shared" si="1"/>
        <v>0</v>
      </c>
      <c r="R225" s="7"/>
    </row>
    <row r="226" ht="15.75" customHeight="1">
      <c r="A226" s="15"/>
      <c r="B226" s="7"/>
      <c r="C226" s="7"/>
      <c r="D226" s="7"/>
      <c r="E226" s="7" t="str">
        <f t="array" ref="E226">IFERROR(INDEX('Order Planning'!$C$5:$C$204,MATCH(D226,'Order Planning'!$A$5:$A$204,0)),"")</f>
        <v/>
      </c>
      <c r="F226" s="7" t="str">
        <f t="array" ref="F226">IFERROR(INDEX('Order Planning'!$E$5:$E$204,MATCH(D226,'Order Planning'!$A$5:$A$204,0)),"")</f>
        <v/>
      </c>
      <c r="G226" s="7" t="str">
        <f t="array" ref="G226">IFERROR(INDEX('Order Planning'!$F$5:$F$204,MATCH(D226,'Order Planning'!$A$5:$A$204,0)),"")</f>
        <v/>
      </c>
      <c r="H226" s="7"/>
      <c r="I226" s="7"/>
      <c r="J226" s="7"/>
      <c r="O226" s="22">
        <f t="shared" si="1"/>
        <v>0</v>
      </c>
      <c r="R226" s="7"/>
    </row>
    <row r="227" ht="15.75" customHeight="1">
      <c r="A227" s="15"/>
      <c r="B227" s="7"/>
      <c r="C227" s="7"/>
      <c r="D227" s="7"/>
      <c r="E227" s="7" t="str">
        <f t="array" ref="E227">IFERROR(INDEX('Order Planning'!$C$5:$C$204,MATCH(D227,'Order Planning'!$A$5:$A$204,0)),"")</f>
        <v/>
      </c>
      <c r="F227" s="7" t="str">
        <f t="array" ref="F227">IFERROR(INDEX('Order Planning'!$E$5:$E$204,MATCH(D227,'Order Planning'!$A$5:$A$204,0)),"")</f>
        <v/>
      </c>
      <c r="G227" s="7" t="str">
        <f t="array" ref="G227">IFERROR(INDEX('Order Planning'!$F$5:$F$204,MATCH(D227,'Order Planning'!$A$5:$A$204,0)),"")</f>
        <v/>
      </c>
      <c r="H227" s="7"/>
      <c r="I227" s="7"/>
      <c r="J227" s="7"/>
      <c r="O227" s="22">
        <f t="shared" si="1"/>
        <v>0</v>
      </c>
      <c r="R227" s="7"/>
    </row>
    <row r="228" ht="15.75" customHeight="1">
      <c r="A228" s="15"/>
      <c r="B228" s="7"/>
      <c r="C228" s="7"/>
      <c r="D228" s="7"/>
      <c r="E228" s="7" t="str">
        <f t="array" ref="E228">IFERROR(INDEX('Order Planning'!$C$5:$C$204,MATCH(D228,'Order Planning'!$A$5:$A$204,0)),"")</f>
        <v/>
      </c>
      <c r="F228" s="7" t="str">
        <f t="array" ref="F228">IFERROR(INDEX('Order Planning'!$E$5:$E$204,MATCH(D228,'Order Planning'!$A$5:$A$204,0)),"")</f>
        <v/>
      </c>
      <c r="G228" s="7" t="str">
        <f t="array" ref="G228">IFERROR(INDEX('Order Planning'!$F$5:$F$204,MATCH(D228,'Order Planning'!$A$5:$A$204,0)),"")</f>
        <v/>
      </c>
      <c r="H228" s="7"/>
      <c r="I228" s="7"/>
      <c r="J228" s="7"/>
      <c r="O228" s="22">
        <f t="shared" si="1"/>
        <v>0</v>
      </c>
      <c r="R228" s="7"/>
    </row>
    <row r="229" ht="15.75" customHeight="1">
      <c r="A229" s="15"/>
      <c r="B229" s="7"/>
      <c r="C229" s="7"/>
      <c r="D229" s="7"/>
      <c r="E229" s="7" t="str">
        <f t="array" ref="E229">IFERROR(INDEX('Order Planning'!$C$5:$C$204,MATCH(D229,'Order Planning'!$A$5:$A$204,0)),"")</f>
        <v/>
      </c>
      <c r="F229" s="7" t="str">
        <f t="array" ref="F229">IFERROR(INDEX('Order Planning'!$E$5:$E$204,MATCH(D229,'Order Planning'!$A$5:$A$204,0)),"")</f>
        <v/>
      </c>
      <c r="G229" s="7" t="str">
        <f t="array" ref="G229">IFERROR(INDEX('Order Planning'!$F$5:$F$204,MATCH(D229,'Order Planning'!$A$5:$A$204,0)),"")</f>
        <v/>
      </c>
      <c r="H229" s="7"/>
      <c r="I229" s="7"/>
      <c r="J229" s="7"/>
      <c r="O229" s="22">
        <f t="shared" si="1"/>
        <v>0</v>
      </c>
      <c r="R229" s="7"/>
    </row>
    <row r="230" ht="15.75" customHeight="1">
      <c r="A230" s="15"/>
      <c r="B230" s="7"/>
      <c r="C230" s="7"/>
      <c r="D230" s="7"/>
      <c r="E230" s="7" t="str">
        <f t="array" ref="E230">IFERROR(INDEX('Order Planning'!$C$5:$C$204,MATCH(D230,'Order Planning'!$A$5:$A$204,0)),"")</f>
        <v/>
      </c>
      <c r="F230" s="7" t="str">
        <f t="array" ref="F230">IFERROR(INDEX('Order Planning'!$E$5:$E$204,MATCH(D230,'Order Planning'!$A$5:$A$204,0)),"")</f>
        <v/>
      </c>
      <c r="G230" s="7" t="str">
        <f t="array" ref="G230">IFERROR(INDEX('Order Planning'!$F$5:$F$204,MATCH(D230,'Order Planning'!$A$5:$A$204,0)),"")</f>
        <v/>
      </c>
      <c r="H230" s="7"/>
      <c r="I230" s="7"/>
      <c r="J230" s="7"/>
      <c r="O230" s="22">
        <f t="shared" si="1"/>
        <v>0</v>
      </c>
      <c r="R230" s="7"/>
    </row>
    <row r="231" ht="15.75" customHeight="1">
      <c r="A231" s="15"/>
      <c r="B231" s="7"/>
      <c r="C231" s="7"/>
      <c r="D231" s="7"/>
      <c r="E231" s="7" t="str">
        <f t="array" ref="E231">IFERROR(INDEX('Order Planning'!$C$5:$C$204,MATCH(D231,'Order Planning'!$A$5:$A$204,0)),"")</f>
        <v/>
      </c>
      <c r="F231" s="7" t="str">
        <f t="array" ref="F231">IFERROR(INDEX('Order Planning'!$E$5:$E$204,MATCH(D231,'Order Planning'!$A$5:$A$204,0)),"")</f>
        <v/>
      </c>
      <c r="G231" s="7" t="str">
        <f t="array" ref="G231">IFERROR(INDEX('Order Planning'!$F$5:$F$204,MATCH(D231,'Order Planning'!$A$5:$A$204,0)),"")</f>
        <v/>
      </c>
      <c r="H231" s="7"/>
      <c r="I231" s="7"/>
      <c r="J231" s="7"/>
      <c r="O231" s="22">
        <f t="shared" si="1"/>
        <v>0</v>
      </c>
      <c r="R231" s="7"/>
    </row>
    <row r="232" ht="15.75" customHeight="1">
      <c r="A232" s="15"/>
      <c r="B232" s="7"/>
      <c r="C232" s="7"/>
      <c r="D232" s="7"/>
      <c r="E232" s="7" t="str">
        <f t="array" ref="E232">IFERROR(INDEX('Order Planning'!$C$5:$C$204,MATCH(D232,'Order Planning'!$A$5:$A$204,0)),"")</f>
        <v/>
      </c>
      <c r="F232" s="7" t="str">
        <f t="array" ref="F232">IFERROR(INDEX('Order Planning'!$E$5:$E$204,MATCH(D232,'Order Planning'!$A$5:$A$204,0)),"")</f>
        <v/>
      </c>
      <c r="G232" s="7" t="str">
        <f t="array" ref="G232">IFERROR(INDEX('Order Planning'!$F$5:$F$204,MATCH(D232,'Order Planning'!$A$5:$A$204,0)),"")</f>
        <v/>
      </c>
      <c r="H232" s="7"/>
      <c r="I232" s="7"/>
      <c r="J232" s="7"/>
      <c r="O232" s="22">
        <f t="shared" si="1"/>
        <v>0</v>
      </c>
      <c r="R232" s="7"/>
    </row>
    <row r="233" ht="15.75" customHeight="1">
      <c r="A233" s="15"/>
      <c r="B233" s="7"/>
      <c r="C233" s="7"/>
      <c r="D233" s="7"/>
      <c r="E233" s="7" t="str">
        <f t="array" ref="E233">IFERROR(INDEX('Order Planning'!$C$5:$C$204,MATCH(D233,'Order Planning'!$A$5:$A$204,0)),"")</f>
        <v/>
      </c>
      <c r="F233" s="7" t="str">
        <f t="array" ref="F233">IFERROR(INDEX('Order Planning'!$E$5:$E$204,MATCH(D233,'Order Planning'!$A$5:$A$204,0)),"")</f>
        <v/>
      </c>
      <c r="G233" s="7" t="str">
        <f t="array" ref="G233">IFERROR(INDEX('Order Planning'!$F$5:$F$204,MATCH(D233,'Order Planning'!$A$5:$A$204,0)),"")</f>
        <v/>
      </c>
      <c r="H233" s="7"/>
      <c r="I233" s="7"/>
      <c r="J233" s="7"/>
      <c r="O233" s="22">
        <f t="shared" si="1"/>
        <v>0</v>
      </c>
      <c r="R233" s="7"/>
    </row>
    <row r="234" ht="15.75" customHeight="1">
      <c r="A234" s="15"/>
      <c r="B234" s="7"/>
      <c r="C234" s="7"/>
      <c r="D234" s="7"/>
      <c r="E234" s="7" t="str">
        <f t="array" ref="E234">IFERROR(INDEX('Order Planning'!$C$5:$C$204,MATCH(D234,'Order Planning'!$A$5:$A$204,0)),"")</f>
        <v/>
      </c>
      <c r="F234" s="7" t="str">
        <f t="array" ref="F234">IFERROR(INDEX('Order Planning'!$E$5:$E$204,MATCH(D234,'Order Planning'!$A$5:$A$204,0)),"")</f>
        <v/>
      </c>
      <c r="G234" s="7" t="str">
        <f t="array" ref="G234">IFERROR(INDEX('Order Planning'!$F$5:$F$204,MATCH(D234,'Order Planning'!$A$5:$A$204,0)),"")</f>
        <v/>
      </c>
      <c r="H234" s="7"/>
      <c r="I234" s="7"/>
      <c r="J234" s="7"/>
      <c r="O234" s="22">
        <f t="shared" si="1"/>
        <v>0</v>
      </c>
      <c r="R234" s="7"/>
    </row>
    <row r="235" ht="15.75" customHeight="1">
      <c r="A235" s="15"/>
      <c r="B235" s="7"/>
      <c r="C235" s="7"/>
      <c r="D235" s="7"/>
      <c r="E235" s="7" t="str">
        <f t="array" ref="E235">IFERROR(INDEX('Order Planning'!$C$5:$C$204,MATCH(D235,'Order Planning'!$A$5:$A$204,0)),"")</f>
        <v/>
      </c>
      <c r="F235" s="7" t="str">
        <f t="array" ref="F235">IFERROR(INDEX('Order Planning'!$E$5:$E$204,MATCH(D235,'Order Planning'!$A$5:$A$204,0)),"")</f>
        <v/>
      </c>
      <c r="G235" s="7" t="str">
        <f t="array" ref="G235">IFERROR(INDEX('Order Planning'!$F$5:$F$204,MATCH(D235,'Order Planning'!$A$5:$A$204,0)),"")</f>
        <v/>
      </c>
      <c r="H235" s="7"/>
      <c r="I235" s="7"/>
      <c r="J235" s="7"/>
      <c r="O235" s="22">
        <f t="shared" si="1"/>
        <v>0</v>
      </c>
      <c r="R235" s="7"/>
    </row>
    <row r="236" ht="15.75" customHeight="1">
      <c r="A236" s="15"/>
      <c r="B236" s="7"/>
      <c r="C236" s="7"/>
      <c r="D236" s="7"/>
      <c r="E236" s="7" t="str">
        <f t="array" ref="E236">IFERROR(INDEX('Order Planning'!$C$5:$C$204,MATCH(D236,'Order Planning'!$A$5:$A$204,0)),"")</f>
        <v/>
      </c>
      <c r="F236" s="7" t="str">
        <f t="array" ref="F236">IFERROR(INDEX('Order Planning'!$E$5:$E$204,MATCH(D236,'Order Planning'!$A$5:$A$204,0)),"")</f>
        <v/>
      </c>
      <c r="G236" s="7" t="str">
        <f t="array" ref="G236">IFERROR(INDEX('Order Planning'!$F$5:$F$204,MATCH(D236,'Order Planning'!$A$5:$A$204,0)),"")</f>
        <v/>
      </c>
      <c r="H236" s="7"/>
      <c r="I236" s="7"/>
      <c r="J236" s="7"/>
      <c r="O236" s="22">
        <f t="shared" si="1"/>
        <v>0</v>
      </c>
      <c r="R236" s="7"/>
    </row>
    <row r="237" ht="15.75" customHeight="1">
      <c r="A237" s="15"/>
      <c r="B237" s="7"/>
      <c r="C237" s="7"/>
      <c r="D237" s="7"/>
      <c r="E237" s="7" t="str">
        <f t="array" ref="E237">IFERROR(INDEX('Order Planning'!$C$5:$C$204,MATCH(D237,'Order Planning'!$A$5:$A$204,0)),"")</f>
        <v/>
      </c>
      <c r="F237" s="7" t="str">
        <f t="array" ref="F237">IFERROR(INDEX('Order Planning'!$E$5:$E$204,MATCH(D237,'Order Planning'!$A$5:$A$204,0)),"")</f>
        <v/>
      </c>
      <c r="G237" s="7" t="str">
        <f t="array" ref="G237">IFERROR(INDEX('Order Planning'!$F$5:$F$204,MATCH(D237,'Order Planning'!$A$5:$A$204,0)),"")</f>
        <v/>
      </c>
      <c r="H237" s="7"/>
      <c r="I237" s="7"/>
      <c r="J237" s="7"/>
      <c r="O237" s="22">
        <f t="shared" si="1"/>
        <v>0</v>
      </c>
      <c r="R237" s="7"/>
    </row>
    <row r="238" ht="15.75" customHeight="1">
      <c r="A238" s="15"/>
      <c r="B238" s="7"/>
      <c r="C238" s="7"/>
      <c r="D238" s="7"/>
      <c r="E238" s="7" t="str">
        <f t="array" ref="E238">IFERROR(INDEX('Order Planning'!$C$5:$C$204,MATCH(D238,'Order Planning'!$A$5:$A$204,0)),"")</f>
        <v/>
      </c>
      <c r="F238" s="7" t="str">
        <f t="array" ref="F238">IFERROR(INDEX('Order Planning'!$E$5:$E$204,MATCH(D238,'Order Planning'!$A$5:$A$204,0)),"")</f>
        <v/>
      </c>
      <c r="G238" s="7" t="str">
        <f t="array" ref="G238">IFERROR(INDEX('Order Planning'!$F$5:$F$204,MATCH(D238,'Order Planning'!$A$5:$A$204,0)),"")</f>
        <v/>
      </c>
      <c r="H238" s="7"/>
      <c r="I238" s="7"/>
      <c r="J238" s="7"/>
      <c r="O238" s="22">
        <f t="shared" si="1"/>
        <v>0</v>
      </c>
      <c r="R238" s="7"/>
    </row>
    <row r="239" ht="15.75" customHeight="1">
      <c r="A239" s="15"/>
      <c r="B239" s="7"/>
      <c r="C239" s="7"/>
      <c r="D239" s="7"/>
      <c r="E239" s="7" t="str">
        <f t="array" ref="E239">IFERROR(INDEX('Order Planning'!$C$5:$C$204,MATCH(D239,'Order Planning'!$A$5:$A$204,0)),"")</f>
        <v/>
      </c>
      <c r="F239" s="7" t="str">
        <f t="array" ref="F239">IFERROR(INDEX('Order Planning'!$E$5:$E$204,MATCH(D239,'Order Planning'!$A$5:$A$204,0)),"")</f>
        <v/>
      </c>
      <c r="G239" s="7" t="str">
        <f t="array" ref="G239">IFERROR(INDEX('Order Planning'!$F$5:$F$204,MATCH(D239,'Order Planning'!$A$5:$A$204,0)),"")</f>
        <v/>
      </c>
      <c r="H239" s="7"/>
      <c r="I239" s="7"/>
      <c r="J239" s="7"/>
      <c r="O239" s="22">
        <f t="shared" si="1"/>
        <v>0</v>
      </c>
      <c r="R239" s="7"/>
    </row>
    <row r="240" ht="15.75" customHeight="1">
      <c r="A240" s="15"/>
      <c r="B240" s="7"/>
      <c r="C240" s="7"/>
      <c r="D240" s="7"/>
      <c r="E240" s="7" t="str">
        <f t="array" ref="E240">IFERROR(INDEX('Order Planning'!$C$5:$C$204,MATCH(D240,'Order Planning'!$A$5:$A$204,0)),"")</f>
        <v/>
      </c>
      <c r="F240" s="7" t="str">
        <f t="array" ref="F240">IFERROR(INDEX('Order Planning'!$E$5:$E$204,MATCH(D240,'Order Planning'!$A$5:$A$204,0)),"")</f>
        <v/>
      </c>
      <c r="G240" s="7" t="str">
        <f t="array" ref="G240">IFERROR(INDEX('Order Planning'!$F$5:$F$204,MATCH(D240,'Order Planning'!$A$5:$A$204,0)),"")</f>
        <v/>
      </c>
      <c r="H240" s="7"/>
      <c r="I240" s="7"/>
      <c r="J240" s="7"/>
      <c r="O240" s="22">
        <f t="shared" si="1"/>
        <v>0</v>
      </c>
      <c r="R240" s="7"/>
    </row>
    <row r="241" ht="15.75" customHeight="1">
      <c r="A241" s="15"/>
      <c r="B241" s="7"/>
      <c r="C241" s="7"/>
      <c r="D241" s="7"/>
      <c r="E241" s="7" t="str">
        <f t="array" ref="E241">IFERROR(INDEX('Order Planning'!$C$5:$C$204,MATCH(D241,'Order Planning'!$A$5:$A$204,0)),"")</f>
        <v/>
      </c>
      <c r="F241" s="7" t="str">
        <f t="array" ref="F241">IFERROR(INDEX('Order Planning'!$E$5:$E$204,MATCH(D241,'Order Planning'!$A$5:$A$204,0)),"")</f>
        <v/>
      </c>
      <c r="G241" s="7" t="str">
        <f t="array" ref="G241">IFERROR(INDEX('Order Planning'!$F$5:$F$204,MATCH(D241,'Order Planning'!$A$5:$A$204,0)),"")</f>
        <v/>
      </c>
      <c r="H241" s="7"/>
      <c r="I241" s="7"/>
      <c r="J241" s="7"/>
      <c r="O241" s="22">
        <f t="shared" si="1"/>
        <v>0</v>
      </c>
      <c r="R241" s="7"/>
    </row>
    <row r="242" ht="15.75" customHeight="1">
      <c r="A242" s="15"/>
      <c r="B242" s="7"/>
      <c r="C242" s="7"/>
      <c r="D242" s="7"/>
      <c r="E242" s="7" t="str">
        <f t="array" ref="E242">IFERROR(INDEX('Order Planning'!$C$5:$C$204,MATCH(D242,'Order Planning'!$A$5:$A$204,0)),"")</f>
        <v/>
      </c>
      <c r="F242" s="7" t="str">
        <f t="array" ref="F242">IFERROR(INDEX('Order Planning'!$E$5:$E$204,MATCH(D242,'Order Planning'!$A$5:$A$204,0)),"")</f>
        <v/>
      </c>
      <c r="G242" s="7" t="str">
        <f t="array" ref="G242">IFERROR(INDEX('Order Planning'!$F$5:$F$204,MATCH(D242,'Order Planning'!$A$5:$A$204,0)),"")</f>
        <v/>
      </c>
      <c r="H242" s="7"/>
      <c r="I242" s="7"/>
      <c r="J242" s="7"/>
      <c r="O242" s="22">
        <f t="shared" si="1"/>
        <v>0</v>
      </c>
      <c r="R242" s="7"/>
    </row>
    <row r="243" ht="15.75" customHeight="1">
      <c r="A243" s="15"/>
      <c r="B243" s="7"/>
      <c r="C243" s="7"/>
      <c r="D243" s="7"/>
      <c r="E243" s="7" t="str">
        <f t="array" ref="E243">IFERROR(INDEX('Order Planning'!$C$5:$C$204,MATCH(D243,'Order Planning'!$A$5:$A$204,0)),"")</f>
        <v/>
      </c>
      <c r="F243" s="7" t="str">
        <f t="array" ref="F243">IFERROR(INDEX('Order Planning'!$E$5:$E$204,MATCH(D243,'Order Planning'!$A$5:$A$204,0)),"")</f>
        <v/>
      </c>
      <c r="G243" s="7" t="str">
        <f t="array" ref="G243">IFERROR(INDEX('Order Planning'!$F$5:$F$204,MATCH(D243,'Order Planning'!$A$5:$A$204,0)),"")</f>
        <v/>
      </c>
      <c r="H243" s="7"/>
      <c r="I243" s="7"/>
      <c r="J243" s="7"/>
      <c r="O243" s="22">
        <f t="shared" si="1"/>
        <v>0</v>
      </c>
      <c r="R243" s="7"/>
    </row>
    <row r="244" ht="15.75" customHeight="1">
      <c r="A244" s="15"/>
      <c r="B244" s="7"/>
      <c r="C244" s="7"/>
      <c r="D244" s="7"/>
      <c r="E244" s="7" t="str">
        <f t="array" ref="E244">IFERROR(INDEX('Order Planning'!$C$5:$C$204,MATCH(D244,'Order Planning'!$A$5:$A$204,0)),"")</f>
        <v/>
      </c>
      <c r="F244" s="7" t="str">
        <f t="array" ref="F244">IFERROR(INDEX('Order Planning'!$E$5:$E$204,MATCH(D244,'Order Planning'!$A$5:$A$204,0)),"")</f>
        <v/>
      </c>
      <c r="G244" s="7" t="str">
        <f t="array" ref="G244">IFERROR(INDEX('Order Planning'!$F$5:$F$204,MATCH(D244,'Order Planning'!$A$5:$A$204,0)),"")</f>
        <v/>
      </c>
      <c r="H244" s="7"/>
      <c r="I244" s="7"/>
      <c r="J244" s="7"/>
      <c r="O244" s="22">
        <f t="shared" si="1"/>
        <v>0</v>
      </c>
      <c r="R244" s="7"/>
    </row>
    <row r="245" ht="15.75" customHeight="1">
      <c r="A245" s="15"/>
      <c r="B245" s="7"/>
      <c r="C245" s="7"/>
      <c r="D245" s="7"/>
      <c r="E245" s="7" t="str">
        <f t="array" ref="E245">IFERROR(INDEX('Order Planning'!$C$5:$C$204,MATCH(D245,'Order Planning'!$A$5:$A$204,0)),"")</f>
        <v/>
      </c>
      <c r="F245" s="7" t="str">
        <f t="array" ref="F245">IFERROR(INDEX('Order Planning'!$E$5:$E$204,MATCH(D245,'Order Planning'!$A$5:$A$204,0)),"")</f>
        <v/>
      </c>
      <c r="G245" s="7" t="str">
        <f t="array" ref="G245">IFERROR(INDEX('Order Planning'!$F$5:$F$204,MATCH(D245,'Order Planning'!$A$5:$A$204,0)),"")</f>
        <v/>
      </c>
      <c r="H245" s="7"/>
      <c r="I245" s="7"/>
      <c r="J245" s="7"/>
      <c r="O245" s="22">
        <f t="shared" si="1"/>
        <v>0</v>
      </c>
      <c r="R245" s="7"/>
    </row>
    <row r="246" ht="15.75" customHeight="1">
      <c r="A246" s="15"/>
      <c r="B246" s="7"/>
      <c r="C246" s="7"/>
      <c r="D246" s="7"/>
      <c r="E246" s="7" t="str">
        <f t="array" ref="E246">IFERROR(INDEX('Order Planning'!$C$5:$C$204,MATCH(D246,'Order Planning'!$A$5:$A$204,0)),"")</f>
        <v/>
      </c>
      <c r="F246" s="7" t="str">
        <f t="array" ref="F246">IFERROR(INDEX('Order Planning'!$E$5:$E$204,MATCH(D246,'Order Planning'!$A$5:$A$204,0)),"")</f>
        <v/>
      </c>
      <c r="G246" s="7" t="str">
        <f t="array" ref="G246">IFERROR(INDEX('Order Planning'!$F$5:$F$204,MATCH(D246,'Order Planning'!$A$5:$A$204,0)),"")</f>
        <v/>
      </c>
      <c r="H246" s="7"/>
      <c r="I246" s="7"/>
      <c r="J246" s="7"/>
      <c r="O246" s="22">
        <f t="shared" si="1"/>
        <v>0</v>
      </c>
      <c r="R246" s="7"/>
    </row>
    <row r="247" ht="15.75" customHeight="1">
      <c r="A247" s="15"/>
      <c r="B247" s="7"/>
      <c r="C247" s="7"/>
      <c r="D247" s="7"/>
      <c r="E247" s="7" t="str">
        <f t="array" ref="E247">IFERROR(INDEX('Order Planning'!$C$5:$C$204,MATCH(D247,'Order Planning'!$A$5:$A$204,0)),"")</f>
        <v/>
      </c>
      <c r="F247" s="7" t="str">
        <f t="array" ref="F247">IFERROR(INDEX('Order Planning'!$E$5:$E$204,MATCH(D247,'Order Planning'!$A$5:$A$204,0)),"")</f>
        <v/>
      </c>
      <c r="G247" s="7" t="str">
        <f t="array" ref="G247">IFERROR(INDEX('Order Planning'!$F$5:$F$204,MATCH(D247,'Order Planning'!$A$5:$A$204,0)),"")</f>
        <v/>
      </c>
      <c r="H247" s="7"/>
      <c r="I247" s="7"/>
      <c r="J247" s="7"/>
      <c r="O247" s="22">
        <f t="shared" si="1"/>
        <v>0</v>
      </c>
      <c r="R247" s="7"/>
    </row>
    <row r="248" ht="15.75" customHeight="1">
      <c r="A248" s="15"/>
      <c r="B248" s="7"/>
      <c r="C248" s="7"/>
      <c r="D248" s="7"/>
      <c r="E248" s="7" t="str">
        <f t="array" ref="E248">IFERROR(INDEX('Order Planning'!$C$5:$C$204,MATCH(D248,'Order Planning'!$A$5:$A$204,0)),"")</f>
        <v/>
      </c>
      <c r="F248" s="7" t="str">
        <f t="array" ref="F248">IFERROR(INDEX('Order Planning'!$E$5:$E$204,MATCH(D248,'Order Planning'!$A$5:$A$204,0)),"")</f>
        <v/>
      </c>
      <c r="G248" s="7" t="str">
        <f t="array" ref="G248">IFERROR(INDEX('Order Planning'!$F$5:$F$204,MATCH(D248,'Order Planning'!$A$5:$A$204,0)),"")</f>
        <v/>
      </c>
      <c r="H248" s="7"/>
      <c r="I248" s="7"/>
      <c r="J248" s="7"/>
      <c r="O248" s="22">
        <f t="shared" si="1"/>
        <v>0</v>
      </c>
      <c r="R248" s="7"/>
    </row>
    <row r="249" ht="15.75" customHeight="1">
      <c r="A249" s="15"/>
      <c r="B249" s="7"/>
      <c r="C249" s="7"/>
      <c r="D249" s="7"/>
      <c r="E249" s="7" t="str">
        <f t="array" ref="E249">IFERROR(INDEX('Order Planning'!$C$5:$C$204,MATCH(D249,'Order Planning'!$A$5:$A$204,0)),"")</f>
        <v/>
      </c>
      <c r="F249" s="7" t="str">
        <f t="array" ref="F249">IFERROR(INDEX('Order Planning'!$E$5:$E$204,MATCH(D249,'Order Planning'!$A$5:$A$204,0)),"")</f>
        <v/>
      </c>
      <c r="G249" s="7" t="str">
        <f t="array" ref="G249">IFERROR(INDEX('Order Planning'!$F$5:$F$204,MATCH(D249,'Order Planning'!$A$5:$A$204,0)),"")</f>
        <v/>
      </c>
      <c r="H249" s="7"/>
      <c r="I249" s="7"/>
      <c r="J249" s="7"/>
      <c r="O249" s="22">
        <f t="shared" si="1"/>
        <v>0</v>
      </c>
      <c r="R249" s="7"/>
    </row>
    <row r="250" ht="15.75" customHeight="1">
      <c r="A250" s="15"/>
      <c r="B250" s="7"/>
      <c r="C250" s="7"/>
      <c r="D250" s="7"/>
      <c r="E250" s="7" t="str">
        <f t="array" ref="E250">IFERROR(INDEX('Order Planning'!$C$5:$C$204,MATCH(D250,'Order Planning'!$A$5:$A$204,0)),"")</f>
        <v/>
      </c>
      <c r="F250" s="7" t="str">
        <f t="array" ref="F250">IFERROR(INDEX('Order Planning'!$E$5:$E$204,MATCH(D250,'Order Planning'!$A$5:$A$204,0)),"")</f>
        <v/>
      </c>
      <c r="G250" s="7" t="str">
        <f t="array" ref="G250">IFERROR(INDEX('Order Planning'!$F$5:$F$204,MATCH(D250,'Order Planning'!$A$5:$A$204,0)),"")</f>
        <v/>
      </c>
      <c r="H250" s="7"/>
      <c r="I250" s="7"/>
      <c r="J250" s="7"/>
      <c r="O250" s="22">
        <f t="shared" si="1"/>
        <v>0</v>
      </c>
      <c r="R250" s="7"/>
    </row>
    <row r="251" ht="15.75" customHeight="1">
      <c r="A251" s="15"/>
      <c r="B251" s="7"/>
      <c r="C251" s="7"/>
      <c r="D251" s="7"/>
      <c r="E251" s="7" t="str">
        <f t="array" ref="E251">IFERROR(INDEX('Order Planning'!$C$5:$C$204,MATCH(D251,'Order Planning'!$A$5:$A$204,0)),"")</f>
        <v/>
      </c>
      <c r="F251" s="7" t="str">
        <f t="array" ref="F251">IFERROR(INDEX('Order Planning'!$E$5:$E$204,MATCH(D251,'Order Planning'!$A$5:$A$204,0)),"")</f>
        <v/>
      </c>
      <c r="G251" s="7" t="str">
        <f t="array" ref="G251">IFERROR(INDEX('Order Planning'!$F$5:$F$204,MATCH(D251,'Order Planning'!$A$5:$A$204,0)),"")</f>
        <v/>
      </c>
      <c r="H251" s="7"/>
      <c r="I251" s="7"/>
      <c r="J251" s="7"/>
      <c r="O251" s="22">
        <f t="shared" si="1"/>
        <v>0</v>
      </c>
      <c r="R251" s="7"/>
    </row>
    <row r="252" ht="15.75" customHeight="1">
      <c r="A252" s="15"/>
      <c r="B252" s="7"/>
      <c r="C252" s="7"/>
      <c r="D252" s="7"/>
      <c r="E252" s="7" t="str">
        <f t="array" ref="E252">IFERROR(INDEX('Order Planning'!$C$5:$C$204,MATCH(D252,'Order Planning'!$A$5:$A$204,0)),"")</f>
        <v/>
      </c>
      <c r="F252" s="7" t="str">
        <f t="array" ref="F252">IFERROR(INDEX('Order Planning'!$E$5:$E$204,MATCH(D252,'Order Planning'!$A$5:$A$204,0)),"")</f>
        <v/>
      </c>
      <c r="G252" s="7" t="str">
        <f t="array" ref="G252">IFERROR(INDEX('Order Planning'!$F$5:$F$204,MATCH(D252,'Order Planning'!$A$5:$A$204,0)),"")</f>
        <v/>
      </c>
      <c r="H252" s="7"/>
      <c r="I252" s="7"/>
      <c r="J252" s="7"/>
      <c r="O252" s="22">
        <f t="shared" si="1"/>
        <v>0</v>
      </c>
      <c r="R252" s="7"/>
    </row>
    <row r="253" ht="15.75" customHeight="1">
      <c r="A253" s="15"/>
      <c r="B253" s="7"/>
      <c r="C253" s="7"/>
      <c r="D253" s="7"/>
      <c r="E253" s="7" t="str">
        <f t="array" ref="E253">IFERROR(INDEX('Order Planning'!$C$5:$C$204,MATCH(D253,'Order Planning'!$A$5:$A$204,0)),"")</f>
        <v/>
      </c>
      <c r="F253" s="7" t="str">
        <f t="array" ref="F253">IFERROR(INDEX('Order Planning'!$E$5:$E$204,MATCH(D253,'Order Planning'!$A$5:$A$204,0)),"")</f>
        <v/>
      </c>
      <c r="G253" s="7" t="str">
        <f t="array" ref="G253">IFERROR(INDEX('Order Planning'!$F$5:$F$204,MATCH(D253,'Order Planning'!$A$5:$A$204,0)),"")</f>
        <v/>
      </c>
      <c r="H253" s="7"/>
      <c r="I253" s="7"/>
      <c r="J253" s="7"/>
      <c r="O253" s="22">
        <f t="shared" si="1"/>
        <v>0</v>
      </c>
      <c r="R253" s="7"/>
    </row>
    <row r="254" ht="15.75" customHeight="1">
      <c r="A254" s="15"/>
      <c r="B254" s="7"/>
      <c r="C254" s="7"/>
      <c r="D254" s="7"/>
      <c r="E254" s="7" t="str">
        <f t="array" ref="E254">IFERROR(INDEX('Order Planning'!$C$5:$C$204,MATCH(D254,'Order Planning'!$A$5:$A$204,0)),"")</f>
        <v/>
      </c>
      <c r="F254" s="7" t="str">
        <f t="array" ref="F254">IFERROR(INDEX('Order Planning'!$E$5:$E$204,MATCH(D254,'Order Planning'!$A$5:$A$204,0)),"")</f>
        <v/>
      </c>
      <c r="G254" s="7" t="str">
        <f t="array" ref="G254">IFERROR(INDEX('Order Planning'!$F$5:$F$204,MATCH(D254,'Order Planning'!$A$5:$A$204,0)),"")</f>
        <v/>
      </c>
      <c r="H254" s="7"/>
      <c r="I254" s="7"/>
      <c r="J254" s="7"/>
      <c r="O254" s="22">
        <f t="shared" si="1"/>
        <v>0</v>
      </c>
      <c r="R254" s="7"/>
    </row>
    <row r="255" ht="15.75" customHeight="1">
      <c r="A255" s="15"/>
      <c r="B255" s="7"/>
      <c r="C255" s="7"/>
      <c r="D255" s="7"/>
      <c r="E255" s="7" t="str">
        <f t="array" ref="E255">IFERROR(INDEX('Order Planning'!$C$5:$C$204,MATCH(D255,'Order Planning'!$A$5:$A$204,0)),"")</f>
        <v/>
      </c>
      <c r="F255" s="7" t="str">
        <f t="array" ref="F255">IFERROR(INDEX('Order Planning'!$E$5:$E$204,MATCH(D255,'Order Planning'!$A$5:$A$204,0)),"")</f>
        <v/>
      </c>
      <c r="G255" s="7" t="str">
        <f t="array" ref="G255">IFERROR(INDEX('Order Planning'!$F$5:$F$204,MATCH(D255,'Order Planning'!$A$5:$A$204,0)),"")</f>
        <v/>
      </c>
      <c r="H255" s="7"/>
      <c r="I255" s="7"/>
      <c r="J255" s="7"/>
      <c r="O255" s="22">
        <f t="shared" si="1"/>
        <v>0</v>
      </c>
      <c r="R255" s="7"/>
    </row>
    <row r="256" ht="15.75" customHeight="1">
      <c r="A256" s="15"/>
      <c r="B256" s="7"/>
      <c r="C256" s="7"/>
      <c r="D256" s="7"/>
      <c r="E256" s="7" t="str">
        <f t="array" ref="E256">IFERROR(INDEX('Order Planning'!$C$5:$C$204,MATCH(D256,'Order Planning'!$A$5:$A$204,0)),"")</f>
        <v/>
      </c>
      <c r="F256" s="7" t="str">
        <f t="array" ref="F256">IFERROR(INDEX('Order Planning'!$E$5:$E$204,MATCH(D256,'Order Planning'!$A$5:$A$204,0)),"")</f>
        <v/>
      </c>
      <c r="G256" s="7" t="str">
        <f t="array" ref="G256">IFERROR(INDEX('Order Planning'!$F$5:$F$204,MATCH(D256,'Order Planning'!$A$5:$A$204,0)),"")</f>
        <v/>
      </c>
      <c r="H256" s="7"/>
      <c r="I256" s="7"/>
      <c r="J256" s="7"/>
      <c r="O256" s="22">
        <f t="shared" si="1"/>
        <v>0</v>
      </c>
      <c r="R256" s="7"/>
    </row>
    <row r="257" ht="15.75" customHeight="1">
      <c r="A257" s="15"/>
      <c r="B257" s="7"/>
      <c r="C257" s="7"/>
      <c r="D257" s="7"/>
      <c r="E257" s="7" t="str">
        <f t="array" ref="E257">IFERROR(INDEX('Order Planning'!$C$5:$C$204,MATCH(D257,'Order Planning'!$A$5:$A$204,0)),"")</f>
        <v/>
      </c>
      <c r="F257" s="7" t="str">
        <f t="array" ref="F257">IFERROR(INDEX('Order Planning'!$E$5:$E$204,MATCH(D257,'Order Planning'!$A$5:$A$204,0)),"")</f>
        <v/>
      </c>
      <c r="G257" s="7" t="str">
        <f t="array" ref="G257">IFERROR(INDEX('Order Planning'!$F$5:$F$204,MATCH(D257,'Order Planning'!$A$5:$A$204,0)),"")</f>
        <v/>
      </c>
      <c r="H257" s="7"/>
      <c r="I257" s="7"/>
      <c r="J257" s="7"/>
      <c r="O257" s="22">
        <f t="shared" si="1"/>
        <v>0</v>
      </c>
      <c r="R257" s="7"/>
    </row>
    <row r="258" ht="15.75" customHeight="1">
      <c r="A258" s="15"/>
      <c r="B258" s="7"/>
      <c r="C258" s="7"/>
      <c r="D258" s="7"/>
      <c r="E258" s="7" t="str">
        <f t="array" ref="E258">IFERROR(INDEX('Order Planning'!$C$5:$C$204,MATCH(D258,'Order Planning'!$A$5:$A$204,0)),"")</f>
        <v/>
      </c>
      <c r="F258" s="7" t="str">
        <f t="array" ref="F258">IFERROR(INDEX('Order Planning'!$E$5:$E$204,MATCH(D258,'Order Planning'!$A$5:$A$204,0)),"")</f>
        <v/>
      </c>
      <c r="G258" s="7" t="str">
        <f t="array" ref="G258">IFERROR(INDEX('Order Planning'!$F$5:$F$204,MATCH(D258,'Order Planning'!$A$5:$A$204,0)),"")</f>
        <v/>
      </c>
      <c r="H258" s="7"/>
      <c r="I258" s="7"/>
      <c r="J258" s="7"/>
      <c r="O258" s="22">
        <f t="shared" si="1"/>
        <v>0</v>
      </c>
      <c r="R258" s="7"/>
    </row>
    <row r="259" ht="15.75" customHeight="1">
      <c r="A259" s="15"/>
      <c r="B259" s="7"/>
      <c r="C259" s="7"/>
      <c r="D259" s="7"/>
      <c r="E259" s="7" t="str">
        <f t="array" ref="E259">IFERROR(INDEX('Order Planning'!$C$5:$C$204,MATCH(D259,'Order Planning'!$A$5:$A$204,0)),"")</f>
        <v/>
      </c>
      <c r="F259" s="7" t="str">
        <f t="array" ref="F259">IFERROR(INDEX('Order Planning'!$E$5:$E$204,MATCH(D259,'Order Planning'!$A$5:$A$204,0)),"")</f>
        <v/>
      </c>
      <c r="G259" s="7" t="str">
        <f t="array" ref="G259">IFERROR(INDEX('Order Planning'!$F$5:$F$204,MATCH(D259,'Order Planning'!$A$5:$A$204,0)),"")</f>
        <v/>
      </c>
      <c r="H259" s="7"/>
      <c r="I259" s="7"/>
      <c r="J259" s="7"/>
      <c r="O259" s="22">
        <f t="shared" si="1"/>
        <v>0</v>
      </c>
      <c r="R259" s="7"/>
    </row>
    <row r="260" ht="15.75" customHeight="1">
      <c r="A260" s="15"/>
      <c r="B260" s="7"/>
      <c r="C260" s="7"/>
      <c r="D260" s="7"/>
      <c r="E260" s="7" t="str">
        <f t="array" ref="E260">IFERROR(INDEX('Order Planning'!$C$5:$C$204,MATCH(D260,'Order Planning'!$A$5:$A$204,0)),"")</f>
        <v/>
      </c>
      <c r="F260" s="7" t="str">
        <f t="array" ref="F260">IFERROR(INDEX('Order Planning'!$E$5:$E$204,MATCH(D260,'Order Planning'!$A$5:$A$204,0)),"")</f>
        <v/>
      </c>
      <c r="G260" s="7" t="str">
        <f t="array" ref="G260">IFERROR(INDEX('Order Planning'!$F$5:$F$204,MATCH(D260,'Order Planning'!$A$5:$A$204,0)),"")</f>
        <v/>
      </c>
      <c r="H260" s="7"/>
      <c r="I260" s="7"/>
      <c r="J260" s="7"/>
      <c r="O260" s="22">
        <f t="shared" si="1"/>
        <v>0</v>
      </c>
      <c r="R260" s="7"/>
    </row>
    <row r="261" ht="15.75" customHeight="1">
      <c r="A261" s="15"/>
      <c r="B261" s="7"/>
      <c r="C261" s="7"/>
      <c r="D261" s="7"/>
      <c r="E261" s="7" t="str">
        <f t="array" ref="E261">IFERROR(INDEX('Order Planning'!$C$5:$C$204,MATCH(D261,'Order Planning'!$A$5:$A$204,0)),"")</f>
        <v/>
      </c>
      <c r="F261" s="7" t="str">
        <f t="array" ref="F261">IFERROR(INDEX('Order Planning'!$E$5:$E$204,MATCH(D261,'Order Planning'!$A$5:$A$204,0)),"")</f>
        <v/>
      </c>
      <c r="G261" s="7" t="str">
        <f t="array" ref="G261">IFERROR(INDEX('Order Planning'!$F$5:$F$204,MATCH(D261,'Order Planning'!$A$5:$A$204,0)),"")</f>
        <v/>
      </c>
      <c r="H261" s="7"/>
      <c r="I261" s="7"/>
      <c r="J261" s="7"/>
      <c r="O261" s="22">
        <f t="shared" si="1"/>
        <v>0</v>
      </c>
      <c r="R261" s="7"/>
    </row>
    <row r="262" ht="15.75" customHeight="1">
      <c r="A262" s="15"/>
      <c r="B262" s="7"/>
      <c r="C262" s="7"/>
      <c r="D262" s="7"/>
      <c r="E262" s="7" t="str">
        <f t="array" ref="E262">IFERROR(INDEX('Order Planning'!$C$5:$C$204,MATCH(D262,'Order Planning'!$A$5:$A$204,0)),"")</f>
        <v/>
      </c>
      <c r="F262" s="7" t="str">
        <f t="array" ref="F262">IFERROR(INDEX('Order Planning'!$E$5:$E$204,MATCH(D262,'Order Planning'!$A$5:$A$204,0)),"")</f>
        <v/>
      </c>
      <c r="G262" s="7" t="str">
        <f t="array" ref="G262">IFERROR(INDEX('Order Planning'!$F$5:$F$204,MATCH(D262,'Order Planning'!$A$5:$A$204,0)),"")</f>
        <v/>
      </c>
      <c r="H262" s="7"/>
      <c r="I262" s="7"/>
      <c r="J262" s="7"/>
      <c r="O262" s="22">
        <f t="shared" si="1"/>
        <v>0</v>
      </c>
      <c r="R262" s="7"/>
    </row>
    <row r="263" ht="15.75" customHeight="1">
      <c r="A263" s="15"/>
      <c r="B263" s="7"/>
      <c r="C263" s="7"/>
      <c r="D263" s="7"/>
      <c r="E263" s="7" t="str">
        <f t="array" ref="E263">IFERROR(INDEX('Order Planning'!$C$5:$C$204,MATCH(D263,'Order Planning'!$A$5:$A$204,0)),"")</f>
        <v/>
      </c>
      <c r="F263" s="7" t="str">
        <f t="array" ref="F263">IFERROR(INDEX('Order Planning'!$E$5:$E$204,MATCH(D263,'Order Planning'!$A$5:$A$204,0)),"")</f>
        <v/>
      </c>
      <c r="G263" s="7" t="str">
        <f t="array" ref="G263">IFERROR(INDEX('Order Planning'!$F$5:$F$204,MATCH(D263,'Order Planning'!$A$5:$A$204,0)),"")</f>
        <v/>
      </c>
      <c r="H263" s="7"/>
      <c r="I263" s="7"/>
      <c r="J263" s="7"/>
      <c r="O263" s="22">
        <f t="shared" si="1"/>
        <v>0</v>
      </c>
      <c r="R263" s="7"/>
    </row>
    <row r="264" ht="15.75" customHeight="1">
      <c r="A264" s="15"/>
      <c r="B264" s="7"/>
      <c r="C264" s="7"/>
      <c r="D264" s="7"/>
      <c r="E264" s="7" t="str">
        <f t="array" ref="E264">IFERROR(INDEX('Order Planning'!$C$5:$C$204,MATCH(D264,'Order Planning'!$A$5:$A$204,0)),"")</f>
        <v/>
      </c>
      <c r="F264" s="7" t="str">
        <f t="array" ref="F264">IFERROR(INDEX('Order Planning'!$E$5:$E$204,MATCH(D264,'Order Planning'!$A$5:$A$204,0)),"")</f>
        <v/>
      </c>
      <c r="G264" s="7" t="str">
        <f t="array" ref="G264">IFERROR(INDEX('Order Planning'!$F$5:$F$204,MATCH(D264,'Order Planning'!$A$5:$A$204,0)),"")</f>
        <v/>
      </c>
      <c r="H264" s="7"/>
      <c r="I264" s="7"/>
      <c r="J264" s="7"/>
      <c r="O264" s="22">
        <f t="shared" si="1"/>
        <v>0</v>
      </c>
      <c r="R264" s="7"/>
    </row>
    <row r="265" ht="15.75" customHeight="1">
      <c r="A265" s="15"/>
      <c r="B265" s="7"/>
      <c r="C265" s="7"/>
      <c r="D265" s="7"/>
      <c r="E265" s="7" t="str">
        <f t="array" ref="E265">IFERROR(INDEX('Order Planning'!$C$5:$C$204,MATCH(D265,'Order Planning'!$A$5:$A$204,0)),"")</f>
        <v/>
      </c>
      <c r="F265" s="7" t="str">
        <f t="array" ref="F265">IFERROR(INDEX('Order Planning'!$E$5:$E$204,MATCH(D265,'Order Planning'!$A$5:$A$204,0)),"")</f>
        <v/>
      </c>
      <c r="G265" s="7" t="str">
        <f t="array" ref="G265">IFERROR(INDEX('Order Planning'!$F$5:$F$204,MATCH(D265,'Order Planning'!$A$5:$A$204,0)),"")</f>
        <v/>
      </c>
      <c r="H265" s="7"/>
      <c r="I265" s="7"/>
      <c r="J265" s="7"/>
      <c r="O265" s="22">
        <f t="shared" si="1"/>
        <v>0</v>
      </c>
      <c r="R265" s="7"/>
    </row>
    <row r="266" ht="15.75" customHeight="1">
      <c r="A266" s="15"/>
      <c r="B266" s="7"/>
      <c r="C266" s="7"/>
      <c r="D266" s="7"/>
      <c r="E266" s="7" t="str">
        <f t="array" ref="E266">IFERROR(INDEX('Order Planning'!$C$5:$C$204,MATCH(D266,'Order Planning'!$A$5:$A$204,0)),"")</f>
        <v/>
      </c>
      <c r="F266" s="7" t="str">
        <f t="array" ref="F266">IFERROR(INDEX('Order Planning'!$E$5:$E$204,MATCH(D266,'Order Planning'!$A$5:$A$204,0)),"")</f>
        <v/>
      </c>
      <c r="G266" s="7" t="str">
        <f t="array" ref="G266">IFERROR(INDEX('Order Planning'!$F$5:$F$204,MATCH(D266,'Order Planning'!$A$5:$A$204,0)),"")</f>
        <v/>
      </c>
      <c r="H266" s="7"/>
      <c r="I266" s="7"/>
      <c r="J266" s="7"/>
      <c r="O266" s="22">
        <f t="shared" si="1"/>
        <v>0</v>
      </c>
      <c r="R266" s="7"/>
    </row>
    <row r="267" ht="15.75" customHeight="1">
      <c r="A267" s="15"/>
      <c r="B267" s="7"/>
      <c r="C267" s="7"/>
      <c r="D267" s="7"/>
      <c r="E267" s="7" t="str">
        <f t="array" ref="E267">IFERROR(INDEX('Order Planning'!$C$5:$C$204,MATCH(D267,'Order Planning'!$A$5:$A$204,0)),"")</f>
        <v/>
      </c>
      <c r="F267" s="7" t="str">
        <f t="array" ref="F267">IFERROR(INDEX('Order Planning'!$E$5:$E$204,MATCH(D267,'Order Planning'!$A$5:$A$204,0)),"")</f>
        <v/>
      </c>
      <c r="G267" s="7" t="str">
        <f t="array" ref="G267">IFERROR(INDEX('Order Planning'!$F$5:$F$204,MATCH(D267,'Order Planning'!$A$5:$A$204,0)),"")</f>
        <v/>
      </c>
      <c r="H267" s="7"/>
      <c r="I267" s="7"/>
      <c r="J267" s="7"/>
      <c r="O267" s="22">
        <f t="shared" si="1"/>
        <v>0</v>
      </c>
      <c r="R267" s="7"/>
    </row>
    <row r="268" ht="15.75" customHeight="1">
      <c r="A268" s="15"/>
      <c r="B268" s="7"/>
      <c r="C268" s="7"/>
      <c r="D268" s="7"/>
      <c r="E268" s="7" t="str">
        <f t="array" ref="E268">IFERROR(INDEX('Order Planning'!$C$5:$C$204,MATCH(D268,'Order Planning'!$A$5:$A$204,0)),"")</f>
        <v/>
      </c>
      <c r="F268" s="7" t="str">
        <f t="array" ref="F268">IFERROR(INDEX('Order Planning'!$E$5:$E$204,MATCH(D268,'Order Planning'!$A$5:$A$204,0)),"")</f>
        <v/>
      </c>
      <c r="G268" s="7" t="str">
        <f t="array" ref="G268">IFERROR(INDEX('Order Planning'!$F$5:$F$204,MATCH(D268,'Order Planning'!$A$5:$A$204,0)),"")</f>
        <v/>
      </c>
      <c r="H268" s="7"/>
      <c r="I268" s="7"/>
      <c r="J268" s="7"/>
      <c r="O268" s="22">
        <f t="shared" si="1"/>
        <v>0</v>
      </c>
      <c r="R268" s="7"/>
    </row>
    <row r="269" ht="15.75" customHeight="1">
      <c r="A269" s="15"/>
      <c r="B269" s="7"/>
      <c r="C269" s="7"/>
      <c r="D269" s="7"/>
      <c r="E269" s="7" t="str">
        <f t="array" ref="E269">IFERROR(INDEX('Order Planning'!$C$5:$C$204,MATCH(D269,'Order Planning'!$A$5:$A$204,0)),"")</f>
        <v/>
      </c>
      <c r="F269" s="7" t="str">
        <f t="array" ref="F269">IFERROR(INDEX('Order Planning'!$E$5:$E$204,MATCH(D269,'Order Planning'!$A$5:$A$204,0)),"")</f>
        <v/>
      </c>
      <c r="G269" s="7" t="str">
        <f t="array" ref="G269">IFERROR(INDEX('Order Planning'!$F$5:$F$204,MATCH(D269,'Order Planning'!$A$5:$A$204,0)),"")</f>
        <v/>
      </c>
      <c r="H269" s="7"/>
      <c r="I269" s="7"/>
      <c r="J269" s="7"/>
      <c r="O269" s="22">
        <f t="shared" si="1"/>
        <v>0</v>
      </c>
      <c r="R269" s="7"/>
    </row>
    <row r="270" ht="15.75" customHeight="1">
      <c r="A270" s="15"/>
      <c r="B270" s="7"/>
      <c r="C270" s="7"/>
      <c r="D270" s="7"/>
      <c r="E270" s="7" t="str">
        <f t="array" ref="E270">IFERROR(INDEX('Order Planning'!$C$5:$C$204,MATCH(D270,'Order Planning'!$A$5:$A$204,0)),"")</f>
        <v/>
      </c>
      <c r="F270" s="7" t="str">
        <f t="array" ref="F270">IFERROR(INDEX('Order Planning'!$E$5:$E$204,MATCH(D270,'Order Planning'!$A$5:$A$204,0)),"")</f>
        <v/>
      </c>
      <c r="G270" s="7" t="str">
        <f t="array" ref="G270">IFERROR(INDEX('Order Planning'!$F$5:$F$204,MATCH(D270,'Order Planning'!$A$5:$A$204,0)),"")</f>
        <v/>
      </c>
      <c r="H270" s="7"/>
      <c r="I270" s="7"/>
      <c r="J270" s="7"/>
      <c r="O270" s="22">
        <f t="shared" si="1"/>
        <v>0</v>
      </c>
      <c r="R270" s="7"/>
    </row>
    <row r="271" ht="15.75" customHeight="1">
      <c r="A271" s="15"/>
      <c r="B271" s="7"/>
      <c r="C271" s="7"/>
      <c r="D271" s="7"/>
      <c r="E271" s="7" t="str">
        <f t="array" ref="E271">IFERROR(INDEX('Order Planning'!$C$5:$C$204,MATCH(D271,'Order Planning'!$A$5:$A$204,0)),"")</f>
        <v/>
      </c>
      <c r="F271" s="7" t="str">
        <f t="array" ref="F271">IFERROR(INDEX('Order Planning'!$E$5:$E$204,MATCH(D271,'Order Planning'!$A$5:$A$204,0)),"")</f>
        <v/>
      </c>
      <c r="G271" s="7" t="str">
        <f t="array" ref="G271">IFERROR(INDEX('Order Planning'!$F$5:$F$204,MATCH(D271,'Order Planning'!$A$5:$A$204,0)),"")</f>
        <v/>
      </c>
      <c r="H271" s="7"/>
      <c r="I271" s="7"/>
      <c r="J271" s="7"/>
      <c r="O271" s="22">
        <f t="shared" si="1"/>
        <v>0</v>
      </c>
      <c r="R271" s="7"/>
    </row>
    <row r="272" ht="15.75" customHeight="1">
      <c r="A272" s="15"/>
      <c r="B272" s="7"/>
      <c r="C272" s="7"/>
      <c r="D272" s="7"/>
      <c r="E272" s="7" t="str">
        <f t="array" ref="E272">IFERROR(INDEX('Order Planning'!$C$5:$C$204,MATCH(D272,'Order Planning'!$A$5:$A$204,0)),"")</f>
        <v/>
      </c>
      <c r="F272" s="7" t="str">
        <f t="array" ref="F272">IFERROR(INDEX('Order Planning'!$E$5:$E$204,MATCH(D272,'Order Planning'!$A$5:$A$204,0)),"")</f>
        <v/>
      </c>
      <c r="G272" s="7" t="str">
        <f t="array" ref="G272">IFERROR(INDEX('Order Planning'!$F$5:$F$204,MATCH(D272,'Order Planning'!$A$5:$A$204,0)),"")</f>
        <v/>
      </c>
      <c r="H272" s="7"/>
      <c r="I272" s="7"/>
      <c r="J272" s="7"/>
      <c r="O272" s="22">
        <f t="shared" si="1"/>
        <v>0</v>
      </c>
      <c r="R272" s="7"/>
    </row>
    <row r="273" ht="15.75" customHeight="1">
      <c r="A273" s="15"/>
      <c r="B273" s="7"/>
      <c r="C273" s="7"/>
      <c r="D273" s="7"/>
      <c r="E273" s="7" t="str">
        <f t="array" ref="E273">IFERROR(INDEX('Order Planning'!$C$5:$C$204,MATCH(D273,'Order Planning'!$A$5:$A$204,0)),"")</f>
        <v/>
      </c>
      <c r="F273" s="7" t="str">
        <f t="array" ref="F273">IFERROR(INDEX('Order Planning'!$E$5:$E$204,MATCH(D273,'Order Planning'!$A$5:$A$204,0)),"")</f>
        <v/>
      </c>
      <c r="G273" s="7" t="str">
        <f t="array" ref="G273">IFERROR(INDEX('Order Planning'!$F$5:$F$204,MATCH(D273,'Order Planning'!$A$5:$A$204,0)),"")</f>
        <v/>
      </c>
      <c r="H273" s="7"/>
      <c r="I273" s="7"/>
      <c r="J273" s="7"/>
      <c r="O273" s="22">
        <f t="shared" si="1"/>
        <v>0</v>
      </c>
      <c r="R273" s="7"/>
    </row>
    <row r="274" ht="15.75" customHeight="1">
      <c r="A274" s="15"/>
      <c r="B274" s="7"/>
      <c r="C274" s="7"/>
      <c r="D274" s="7"/>
      <c r="E274" s="7" t="str">
        <f t="array" ref="E274">IFERROR(INDEX('Order Planning'!$C$5:$C$204,MATCH(D274,'Order Planning'!$A$5:$A$204,0)),"")</f>
        <v/>
      </c>
      <c r="F274" s="7" t="str">
        <f t="array" ref="F274">IFERROR(INDEX('Order Planning'!$E$5:$E$204,MATCH(D274,'Order Planning'!$A$5:$A$204,0)),"")</f>
        <v/>
      </c>
      <c r="G274" s="7" t="str">
        <f t="array" ref="G274">IFERROR(INDEX('Order Planning'!$F$5:$F$204,MATCH(D274,'Order Planning'!$A$5:$A$204,0)),"")</f>
        <v/>
      </c>
      <c r="H274" s="7"/>
      <c r="I274" s="7"/>
      <c r="J274" s="7"/>
      <c r="O274" s="22">
        <f t="shared" si="1"/>
        <v>0</v>
      </c>
      <c r="R274" s="7"/>
    </row>
    <row r="275" ht="15.75" customHeight="1">
      <c r="A275" s="15"/>
      <c r="B275" s="7"/>
      <c r="C275" s="7"/>
      <c r="D275" s="7"/>
      <c r="E275" s="7" t="str">
        <f t="array" ref="E275">IFERROR(INDEX('Order Planning'!$C$5:$C$204,MATCH(D275,'Order Planning'!$A$5:$A$204,0)),"")</f>
        <v/>
      </c>
      <c r="F275" s="7" t="str">
        <f t="array" ref="F275">IFERROR(INDEX('Order Planning'!$E$5:$E$204,MATCH(D275,'Order Planning'!$A$5:$A$204,0)),"")</f>
        <v/>
      </c>
      <c r="G275" s="7" t="str">
        <f t="array" ref="G275">IFERROR(INDEX('Order Planning'!$F$5:$F$204,MATCH(D275,'Order Planning'!$A$5:$A$204,0)),"")</f>
        <v/>
      </c>
      <c r="H275" s="7"/>
      <c r="I275" s="7"/>
      <c r="J275" s="7"/>
      <c r="O275" s="22">
        <f t="shared" si="1"/>
        <v>0</v>
      </c>
      <c r="R275" s="7"/>
    </row>
    <row r="276" ht="15.75" customHeight="1">
      <c r="A276" s="15"/>
      <c r="B276" s="7"/>
      <c r="C276" s="7"/>
      <c r="D276" s="7"/>
      <c r="E276" s="7" t="str">
        <f t="array" ref="E276">IFERROR(INDEX('Order Planning'!$C$5:$C$204,MATCH(D276,'Order Planning'!$A$5:$A$204,0)),"")</f>
        <v/>
      </c>
      <c r="F276" s="7" t="str">
        <f t="array" ref="F276">IFERROR(INDEX('Order Planning'!$E$5:$E$204,MATCH(D276,'Order Planning'!$A$5:$A$204,0)),"")</f>
        <v/>
      </c>
      <c r="G276" s="7" t="str">
        <f t="array" ref="G276">IFERROR(INDEX('Order Planning'!$F$5:$F$204,MATCH(D276,'Order Planning'!$A$5:$A$204,0)),"")</f>
        <v/>
      </c>
      <c r="H276" s="7"/>
      <c r="I276" s="7"/>
      <c r="J276" s="7"/>
      <c r="O276" s="22">
        <f t="shared" si="1"/>
        <v>0</v>
      </c>
      <c r="R276" s="7"/>
    </row>
    <row r="277" ht="15.75" customHeight="1">
      <c r="A277" s="15"/>
      <c r="B277" s="7"/>
      <c r="C277" s="7"/>
      <c r="D277" s="7"/>
      <c r="E277" s="7" t="str">
        <f t="array" ref="E277">IFERROR(INDEX('Order Planning'!$C$5:$C$204,MATCH(D277,'Order Planning'!$A$5:$A$204,0)),"")</f>
        <v/>
      </c>
      <c r="F277" s="7" t="str">
        <f t="array" ref="F277">IFERROR(INDEX('Order Planning'!$E$5:$E$204,MATCH(D277,'Order Planning'!$A$5:$A$204,0)),"")</f>
        <v/>
      </c>
      <c r="G277" s="7" t="str">
        <f t="array" ref="G277">IFERROR(INDEX('Order Planning'!$F$5:$F$204,MATCH(D277,'Order Planning'!$A$5:$A$204,0)),"")</f>
        <v/>
      </c>
      <c r="H277" s="7"/>
      <c r="I277" s="7"/>
      <c r="J277" s="7"/>
      <c r="O277" s="22">
        <f t="shared" si="1"/>
        <v>0</v>
      </c>
      <c r="R277" s="7"/>
    </row>
    <row r="278" ht="15.75" customHeight="1">
      <c r="A278" s="15"/>
      <c r="B278" s="7"/>
      <c r="C278" s="7"/>
      <c r="D278" s="7"/>
      <c r="E278" s="7" t="str">
        <f t="array" ref="E278">IFERROR(INDEX('Order Planning'!$C$5:$C$204,MATCH(D278,'Order Planning'!$A$5:$A$204,0)),"")</f>
        <v/>
      </c>
      <c r="F278" s="7" t="str">
        <f t="array" ref="F278">IFERROR(INDEX('Order Planning'!$E$5:$E$204,MATCH(D278,'Order Planning'!$A$5:$A$204,0)),"")</f>
        <v/>
      </c>
      <c r="G278" s="7" t="str">
        <f t="array" ref="G278">IFERROR(INDEX('Order Planning'!$F$5:$F$204,MATCH(D278,'Order Planning'!$A$5:$A$204,0)),"")</f>
        <v/>
      </c>
      <c r="H278" s="7"/>
      <c r="I278" s="7"/>
      <c r="J278" s="7"/>
      <c r="O278" s="22">
        <f t="shared" si="1"/>
        <v>0</v>
      </c>
      <c r="R278" s="7"/>
    </row>
    <row r="279" ht="15.75" customHeight="1">
      <c r="A279" s="15"/>
      <c r="B279" s="7"/>
      <c r="C279" s="7"/>
      <c r="D279" s="7"/>
      <c r="E279" s="7" t="str">
        <f t="array" ref="E279">IFERROR(INDEX('Order Planning'!$C$5:$C$204,MATCH(D279,'Order Planning'!$A$5:$A$204,0)),"")</f>
        <v/>
      </c>
      <c r="F279" s="7" t="str">
        <f t="array" ref="F279">IFERROR(INDEX('Order Planning'!$E$5:$E$204,MATCH(D279,'Order Planning'!$A$5:$A$204,0)),"")</f>
        <v/>
      </c>
      <c r="G279" s="7" t="str">
        <f t="array" ref="G279">IFERROR(INDEX('Order Planning'!$F$5:$F$204,MATCH(D279,'Order Planning'!$A$5:$A$204,0)),"")</f>
        <v/>
      </c>
      <c r="H279" s="7"/>
      <c r="I279" s="7"/>
      <c r="J279" s="7"/>
      <c r="O279" s="22">
        <f t="shared" si="1"/>
        <v>0</v>
      </c>
      <c r="R279" s="7"/>
    </row>
    <row r="280" ht="15.75" customHeight="1">
      <c r="A280" s="15"/>
      <c r="B280" s="7"/>
      <c r="C280" s="7"/>
      <c r="D280" s="7"/>
      <c r="E280" s="7" t="str">
        <f t="array" ref="E280">IFERROR(INDEX('Order Planning'!$C$5:$C$204,MATCH(D280,'Order Planning'!$A$5:$A$204,0)),"")</f>
        <v/>
      </c>
      <c r="F280" s="7" t="str">
        <f t="array" ref="F280">IFERROR(INDEX('Order Planning'!$E$5:$E$204,MATCH(D280,'Order Planning'!$A$5:$A$204,0)),"")</f>
        <v/>
      </c>
      <c r="G280" s="7" t="str">
        <f t="array" ref="G280">IFERROR(INDEX('Order Planning'!$F$5:$F$204,MATCH(D280,'Order Planning'!$A$5:$A$204,0)),"")</f>
        <v/>
      </c>
      <c r="H280" s="7"/>
      <c r="I280" s="7"/>
      <c r="J280" s="7"/>
      <c r="O280" s="22">
        <f t="shared" si="1"/>
        <v>0</v>
      </c>
      <c r="R280" s="7"/>
    </row>
    <row r="281" ht="15.75" customHeight="1">
      <c r="A281" s="15"/>
      <c r="B281" s="7"/>
      <c r="C281" s="7"/>
      <c r="D281" s="7"/>
      <c r="E281" s="7" t="str">
        <f t="array" ref="E281">IFERROR(INDEX('Order Planning'!$C$5:$C$204,MATCH(D281,'Order Planning'!$A$5:$A$204,0)),"")</f>
        <v/>
      </c>
      <c r="F281" s="7" t="str">
        <f t="array" ref="F281">IFERROR(INDEX('Order Planning'!$E$5:$E$204,MATCH(D281,'Order Planning'!$A$5:$A$204,0)),"")</f>
        <v/>
      </c>
      <c r="G281" s="7" t="str">
        <f t="array" ref="G281">IFERROR(INDEX('Order Planning'!$F$5:$F$204,MATCH(D281,'Order Planning'!$A$5:$A$204,0)),"")</f>
        <v/>
      </c>
      <c r="H281" s="7"/>
      <c r="I281" s="7"/>
      <c r="J281" s="7"/>
      <c r="O281" s="22">
        <f t="shared" si="1"/>
        <v>0</v>
      </c>
      <c r="R281" s="7"/>
    </row>
    <row r="282" ht="15.75" customHeight="1">
      <c r="A282" s="15"/>
      <c r="B282" s="7"/>
      <c r="C282" s="7"/>
      <c r="D282" s="7"/>
      <c r="E282" s="7" t="str">
        <f t="array" ref="E282">IFERROR(INDEX('Order Planning'!$C$5:$C$204,MATCH(D282,'Order Planning'!$A$5:$A$204,0)),"")</f>
        <v/>
      </c>
      <c r="F282" s="7" t="str">
        <f t="array" ref="F282">IFERROR(INDEX('Order Planning'!$E$5:$E$204,MATCH(D282,'Order Planning'!$A$5:$A$204,0)),"")</f>
        <v/>
      </c>
      <c r="G282" s="7" t="str">
        <f t="array" ref="G282">IFERROR(INDEX('Order Planning'!$F$5:$F$204,MATCH(D282,'Order Planning'!$A$5:$A$204,0)),"")</f>
        <v/>
      </c>
      <c r="H282" s="7"/>
      <c r="I282" s="7"/>
      <c r="J282" s="7"/>
      <c r="O282" s="22">
        <f t="shared" si="1"/>
        <v>0</v>
      </c>
      <c r="R282" s="7"/>
    </row>
    <row r="283" ht="15.75" customHeight="1">
      <c r="A283" s="15"/>
      <c r="B283" s="7"/>
      <c r="C283" s="7"/>
      <c r="D283" s="7"/>
      <c r="E283" s="7" t="str">
        <f t="array" ref="E283">IFERROR(INDEX('Order Planning'!$C$5:$C$204,MATCH(D283,'Order Planning'!$A$5:$A$204,0)),"")</f>
        <v/>
      </c>
      <c r="F283" s="7" t="str">
        <f t="array" ref="F283">IFERROR(INDEX('Order Planning'!$E$5:$E$204,MATCH(D283,'Order Planning'!$A$5:$A$204,0)),"")</f>
        <v/>
      </c>
      <c r="G283" s="7" t="str">
        <f t="array" ref="G283">IFERROR(INDEX('Order Planning'!$F$5:$F$204,MATCH(D283,'Order Planning'!$A$5:$A$204,0)),"")</f>
        <v/>
      </c>
      <c r="H283" s="7"/>
      <c r="I283" s="7"/>
      <c r="J283" s="7"/>
      <c r="O283" s="22">
        <f t="shared" si="1"/>
        <v>0</v>
      </c>
      <c r="R283" s="7"/>
    </row>
    <row r="284" ht="15.75" customHeight="1">
      <c r="A284" s="15"/>
      <c r="B284" s="7"/>
      <c r="C284" s="7"/>
      <c r="D284" s="7"/>
      <c r="E284" s="7" t="str">
        <f t="array" ref="E284">IFERROR(INDEX('Order Planning'!$C$5:$C$204,MATCH(D284,'Order Planning'!$A$5:$A$204,0)),"")</f>
        <v/>
      </c>
      <c r="F284" s="7" t="str">
        <f t="array" ref="F284">IFERROR(INDEX('Order Planning'!$E$5:$E$204,MATCH(D284,'Order Planning'!$A$5:$A$204,0)),"")</f>
        <v/>
      </c>
      <c r="G284" s="7" t="str">
        <f t="array" ref="G284">IFERROR(INDEX('Order Planning'!$F$5:$F$204,MATCH(D284,'Order Planning'!$A$5:$A$204,0)),"")</f>
        <v/>
      </c>
      <c r="H284" s="7"/>
      <c r="I284" s="7"/>
      <c r="J284" s="7"/>
      <c r="O284" s="22">
        <f t="shared" si="1"/>
        <v>0</v>
      </c>
      <c r="R284" s="7"/>
    </row>
    <row r="285" ht="15.75" customHeight="1">
      <c r="A285" s="15"/>
      <c r="B285" s="7"/>
      <c r="C285" s="7"/>
      <c r="D285" s="7"/>
      <c r="E285" s="7" t="str">
        <f t="array" ref="E285">IFERROR(INDEX('Order Planning'!$C$5:$C$204,MATCH(D285,'Order Planning'!$A$5:$A$204,0)),"")</f>
        <v/>
      </c>
      <c r="F285" s="7" t="str">
        <f t="array" ref="F285">IFERROR(INDEX('Order Planning'!$E$5:$E$204,MATCH(D285,'Order Planning'!$A$5:$A$204,0)),"")</f>
        <v/>
      </c>
      <c r="G285" s="7" t="str">
        <f t="array" ref="G285">IFERROR(INDEX('Order Planning'!$F$5:$F$204,MATCH(D285,'Order Planning'!$A$5:$A$204,0)),"")</f>
        <v/>
      </c>
      <c r="H285" s="7"/>
      <c r="I285" s="7"/>
      <c r="J285" s="7"/>
      <c r="O285" s="22">
        <f t="shared" si="1"/>
        <v>0</v>
      </c>
      <c r="R285" s="7"/>
    </row>
    <row r="286" ht="15.75" customHeight="1">
      <c r="A286" s="15"/>
      <c r="B286" s="7"/>
      <c r="C286" s="7"/>
      <c r="D286" s="7"/>
      <c r="E286" s="7" t="str">
        <f t="array" ref="E286">IFERROR(INDEX('Order Planning'!$C$5:$C$204,MATCH(D286,'Order Planning'!$A$5:$A$204,0)),"")</f>
        <v/>
      </c>
      <c r="F286" s="7" t="str">
        <f t="array" ref="F286">IFERROR(INDEX('Order Planning'!$E$5:$E$204,MATCH(D286,'Order Planning'!$A$5:$A$204,0)),"")</f>
        <v/>
      </c>
      <c r="G286" s="7" t="str">
        <f t="array" ref="G286">IFERROR(INDEX('Order Planning'!$F$5:$F$204,MATCH(D286,'Order Planning'!$A$5:$A$204,0)),"")</f>
        <v/>
      </c>
      <c r="H286" s="7"/>
      <c r="I286" s="7"/>
      <c r="J286" s="7"/>
      <c r="O286" s="22">
        <f t="shared" si="1"/>
        <v>0</v>
      </c>
      <c r="R286" s="7"/>
    </row>
    <row r="287" ht="15.75" customHeight="1">
      <c r="A287" s="15"/>
      <c r="B287" s="7"/>
      <c r="C287" s="7"/>
      <c r="D287" s="7"/>
      <c r="E287" s="7" t="str">
        <f t="array" ref="E287">IFERROR(INDEX('Order Planning'!$C$5:$C$204,MATCH(D287,'Order Planning'!$A$5:$A$204,0)),"")</f>
        <v/>
      </c>
      <c r="F287" s="7" t="str">
        <f t="array" ref="F287">IFERROR(INDEX('Order Planning'!$E$5:$E$204,MATCH(D287,'Order Planning'!$A$5:$A$204,0)),"")</f>
        <v/>
      </c>
      <c r="G287" s="7" t="str">
        <f t="array" ref="G287">IFERROR(INDEX('Order Planning'!$F$5:$F$204,MATCH(D287,'Order Planning'!$A$5:$A$204,0)),"")</f>
        <v/>
      </c>
      <c r="H287" s="7"/>
      <c r="I287" s="7"/>
      <c r="J287" s="7"/>
      <c r="O287" s="22">
        <f t="shared" si="1"/>
        <v>0</v>
      </c>
      <c r="R287" s="7"/>
    </row>
    <row r="288" ht="15.75" customHeight="1">
      <c r="A288" s="15"/>
      <c r="B288" s="7"/>
      <c r="C288" s="7"/>
      <c r="D288" s="7"/>
      <c r="E288" s="7" t="str">
        <f t="array" ref="E288">IFERROR(INDEX('Order Planning'!$C$5:$C$204,MATCH(D288,'Order Planning'!$A$5:$A$204,0)),"")</f>
        <v/>
      </c>
      <c r="F288" s="7" t="str">
        <f t="array" ref="F288">IFERROR(INDEX('Order Planning'!$E$5:$E$204,MATCH(D288,'Order Planning'!$A$5:$A$204,0)),"")</f>
        <v/>
      </c>
      <c r="G288" s="7" t="str">
        <f t="array" ref="G288">IFERROR(INDEX('Order Planning'!$F$5:$F$204,MATCH(D288,'Order Planning'!$A$5:$A$204,0)),"")</f>
        <v/>
      </c>
      <c r="H288" s="7"/>
      <c r="I288" s="7"/>
      <c r="J288" s="7"/>
      <c r="O288" s="22">
        <f t="shared" si="1"/>
        <v>0</v>
      </c>
      <c r="R288" s="7"/>
    </row>
    <row r="289" ht="15.75" customHeight="1">
      <c r="A289" s="15"/>
      <c r="B289" s="7"/>
      <c r="C289" s="7"/>
      <c r="D289" s="7"/>
      <c r="E289" s="7" t="str">
        <f t="array" ref="E289">IFERROR(INDEX('Order Planning'!$C$5:$C$204,MATCH(D289,'Order Planning'!$A$5:$A$204,0)),"")</f>
        <v/>
      </c>
      <c r="F289" s="7" t="str">
        <f t="array" ref="F289">IFERROR(INDEX('Order Planning'!$E$5:$E$204,MATCH(D289,'Order Planning'!$A$5:$A$204,0)),"")</f>
        <v/>
      </c>
      <c r="G289" s="7" t="str">
        <f t="array" ref="G289">IFERROR(INDEX('Order Planning'!$F$5:$F$204,MATCH(D289,'Order Planning'!$A$5:$A$204,0)),"")</f>
        <v/>
      </c>
      <c r="H289" s="7"/>
      <c r="I289" s="7"/>
      <c r="J289" s="7"/>
      <c r="O289" s="22">
        <f t="shared" si="1"/>
        <v>0</v>
      </c>
      <c r="R289" s="7"/>
    </row>
    <row r="290" ht="15.75" customHeight="1">
      <c r="A290" s="15"/>
      <c r="B290" s="7"/>
      <c r="C290" s="7"/>
      <c r="D290" s="7"/>
      <c r="E290" s="7" t="str">
        <f t="array" ref="E290">IFERROR(INDEX('Order Planning'!$C$5:$C$204,MATCH(D290,'Order Planning'!$A$5:$A$204,0)),"")</f>
        <v/>
      </c>
      <c r="F290" s="7" t="str">
        <f t="array" ref="F290">IFERROR(INDEX('Order Planning'!$E$5:$E$204,MATCH(D290,'Order Planning'!$A$5:$A$204,0)),"")</f>
        <v/>
      </c>
      <c r="G290" s="7" t="str">
        <f t="array" ref="G290">IFERROR(INDEX('Order Planning'!$F$5:$F$204,MATCH(D290,'Order Planning'!$A$5:$A$204,0)),"")</f>
        <v/>
      </c>
      <c r="H290" s="7"/>
      <c r="I290" s="7"/>
      <c r="J290" s="7"/>
      <c r="O290" s="22">
        <f t="shared" si="1"/>
        <v>0</v>
      </c>
      <c r="R290" s="7"/>
    </row>
    <row r="291" ht="15.75" customHeight="1">
      <c r="A291" s="15"/>
      <c r="B291" s="7"/>
      <c r="C291" s="7"/>
      <c r="D291" s="7"/>
      <c r="E291" s="7" t="str">
        <f t="array" ref="E291">IFERROR(INDEX('Order Planning'!$C$5:$C$204,MATCH(D291,'Order Planning'!$A$5:$A$204,0)),"")</f>
        <v/>
      </c>
      <c r="F291" s="7" t="str">
        <f t="array" ref="F291">IFERROR(INDEX('Order Planning'!$E$5:$E$204,MATCH(D291,'Order Planning'!$A$5:$A$204,0)),"")</f>
        <v/>
      </c>
      <c r="G291" s="7" t="str">
        <f t="array" ref="G291">IFERROR(INDEX('Order Planning'!$F$5:$F$204,MATCH(D291,'Order Planning'!$A$5:$A$204,0)),"")</f>
        <v/>
      </c>
      <c r="H291" s="7"/>
      <c r="I291" s="7"/>
      <c r="J291" s="7"/>
      <c r="O291" s="22">
        <f t="shared" si="1"/>
        <v>0</v>
      </c>
      <c r="R291" s="7"/>
    </row>
    <row r="292" ht="15.75" customHeight="1">
      <c r="A292" s="15"/>
      <c r="B292" s="7"/>
      <c r="C292" s="7"/>
      <c r="D292" s="7"/>
      <c r="E292" s="7" t="str">
        <f t="array" ref="E292">IFERROR(INDEX('Order Planning'!$C$5:$C$204,MATCH(D292,'Order Planning'!$A$5:$A$204,0)),"")</f>
        <v/>
      </c>
      <c r="F292" s="7" t="str">
        <f t="array" ref="F292">IFERROR(INDEX('Order Planning'!$E$5:$E$204,MATCH(D292,'Order Planning'!$A$5:$A$204,0)),"")</f>
        <v/>
      </c>
      <c r="G292" s="7" t="str">
        <f t="array" ref="G292">IFERROR(INDEX('Order Planning'!$F$5:$F$204,MATCH(D292,'Order Planning'!$A$5:$A$204,0)),"")</f>
        <v/>
      </c>
      <c r="H292" s="7"/>
      <c r="I292" s="7"/>
      <c r="J292" s="7"/>
      <c r="O292" s="22">
        <f t="shared" si="1"/>
        <v>0</v>
      </c>
      <c r="R292" s="7"/>
    </row>
    <row r="293" ht="15.75" customHeight="1">
      <c r="A293" s="15"/>
      <c r="B293" s="7"/>
      <c r="C293" s="7"/>
      <c r="D293" s="7"/>
      <c r="E293" s="7" t="str">
        <f t="array" ref="E293">IFERROR(INDEX('Order Planning'!$C$5:$C$204,MATCH(D293,'Order Planning'!$A$5:$A$204,0)),"")</f>
        <v/>
      </c>
      <c r="F293" s="7" t="str">
        <f t="array" ref="F293">IFERROR(INDEX('Order Planning'!$E$5:$E$204,MATCH(D293,'Order Planning'!$A$5:$A$204,0)),"")</f>
        <v/>
      </c>
      <c r="G293" s="7" t="str">
        <f t="array" ref="G293">IFERROR(INDEX('Order Planning'!$F$5:$F$204,MATCH(D293,'Order Planning'!$A$5:$A$204,0)),"")</f>
        <v/>
      </c>
      <c r="H293" s="7"/>
      <c r="I293" s="7"/>
      <c r="J293" s="7"/>
      <c r="O293" s="22">
        <f t="shared" si="1"/>
        <v>0</v>
      </c>
      <c r="R293" s="7"/>
    </row>
    <row r="294" ht="15.75" customHeight="1">
      <c r="A294" s="15"/>
      <c r="B294" s="7"/>
      <c r="C294" s="7"/>
      <c r="D294" s="7"/>
      <c r="E294" s="7" t="str">
        <f t="array" ref="E294">IFERROR(INDEX('Order Planning'!$C$5:$C$204,MATCH(D294,'Order Planning'!$A$5:$A$204,0)),"")</f>
        <v/>
      </c>
      <c r="F294" s="7" t="str">
        <f t="array" ref="F294">IFERROR(INDEX('Order Planning'!$E$5:$E$204,MATCH(D294,'Order Planning'!$A$5:$A$204,0)),"")</f>
        <v/>
      </c>
      <c r="G294" s="7" t="str">
        <f t="array" ref="G294">IFERROR(INDEX('Order Planning'!$F$5:$F$204,MATCH(D294,'Order Planning'!$A$5:$A$204,0)),"")</f>
        <v/>
      </c>
      <c r="H294" s="7"/>
      <c r="I294" s="7"/>
      <c r="J294" s="7"/>
      <c r="O294" s="22">
        <f t="shared" si="1"/>
        <v>0</v>
      </c>
      <c r="R294" s="7"/>
    </row>
    <row r="295" ht="15.75" customHeight="1">
      <c r="A295" s="15"/>
      <c r="B295" s="7"/>
      <c r="C295" s="7"/>
      <c r="D295" s="7"/>
      <c r="E295" s="7" t="str">
        <f t="array" ref="E295">IFERROR(INDEX('Order Planning'!$C$5:$C$204,MATCH(D295,'Order Planning'!$A$5:$A$204,0)),"")</f>
        <v/>
      </c>
      <c r="F295" s="7" t="str">
        <f t="array" ref="F295">IFERROR(INDEX('Order Planning'!$E$5:$E$204,MATCH(D295,'Order Planning'!$A$5:$A$204,0)),"")</f>
        <v/>
      </c>
      <c r="G295" s="7" t="str">
        <f t="array" ref="G295">IFERROR(INDEX('Order Planning'!$F$5:$F$204,MATCH(D295,'Order Planning'!$A$5:$A$204,0)),"")</f>
        <v/>
      </c>
      <c r="H295" s="7"/>
      <c r="I295" s="7"/>
      <c r="J295" s="7"/>
      <c r="O295" s="22">
        <f t="shared" si="1"/>
        <v>0</v>
      </c>
      <c r="R295" s="7"/>
    </row>
    <row r="296" ht="15.75" customHeight="1">
      <c r="A296" s="15"/>
      <c r="B296" s="7"/>
      <c r="C296" s="7"/>
      <c r="D296" s="7"/>
      <c r="E296" s="7" t="str">
        <f t="array" ref="E296">IFERROR(INDEX('Order Planning'!$C$5:$C$204,MATCH(D296,'Order Planning'!$A$5:$A$204,0)),"")</f>
        <v/>
      </c>
      <c r="F296" s="7" t="str">
        <f t="array" ref="F296">IFERROR(INDEX('Order Planning'!$E$5:$E$204,MATCH(D296,'Order Planning'!$A$5:$A$204,0)),"")</f>
        <v/>
      </c>
      <c r="G296" s="7" t="str">
        <f t="array" ref="G296">IFERROR(INDEX('Order Planning'!$F$5:$F$204,MATCH(D296,'Order Planning'!$A$5:$A$204,0)),"")</f>
        <v/>
      </c>
      <c r="H296" s="7"/>
      <c r="I296" s="7"/>
      <c r="J296" s="7"/>
      <c r="O296" s="22">
        <f t="shared" si="1"/>
        <v>0</v>
      </c>
      <c r="R296" s="7"/>
    </row>
    <row r="297" ht="15.75" customHeight="1">
      <c r="A297" s="15"/>
      <c r="B297" s="7"/>
      <c r="C297" s="7"/>
      <c r="D297" s="7"/>
      <c r="E297" s="7" t="str">
        <f t="array" ref="E297">IFERROR(INDEX('Order Planning'!$C$5:$C$204,MATCH(D297,'Order Planning'!$A$5:$A$204,0)),"")</f>
        <v/>
      </c>
      <c r="F297" s="7" t="str">
        <f t="array" ref="F297">IFERROR(INDEX('Order Planning'!$E$5:$E$204,MATCH(D297,'Order Planning'!$A$5:$A$204,0)),"")</f>
        <v/>
      </c>
      <c r="G297" s="7" t="str">
        <f t="array" ref="G297">IFERROR(INDEX('Order Planning'!$F$5:$F$204,MATCH(D297,'Order Planning'!$A$5:$A$204,0)),"")</f>
        <v/>
      </c>
      <c r="H297" s="7"/>
      <c r="I297" s="7"/>
      <c r="J297" s="7"/>
      <c r="O297" s="22">
        <f t="shared" si="1"/>
        <v>0</v>
      </c>
      <c r="R297" s="7"/>
    </row>
    <row r="298" ht="15.75" customHeight="1">
      <c r="A298" s="15"/>
      <c r="B298" s="7"/>
      <c r="C298" s="7"/>
      <c r="D298" s="7"/>
      <c r="E298" s="7" t="str">
        <f t="array" ref="E298">IFERROR(INDEX('Order Planning'!$C$5:$C$204,MATCH(D298,'Order Planning'!$A$5:$A$204,0)),"")</f>
        <v/>
      </c>
      <c r="F298" s="7" t="str">
        <f t="array" ref="F298">IFERROR(INDEX('Order Planning'!$E$5:$E$204,MATCH(D298,'Order Planning'!$A$5:$A$204,0)),"")</f>
        <v/>
      </c>
      <c r="G298" s="7" t="str">
        <f t="array" ref="G298">IFERROR(INDEX('Order Planning'!$F$5:$F$204,MATCH(D298,'Order Planning'!$A$5:$A$204,0)),"")</f>
        <v/>
      </c>
      <c r="H298" s="7"/>
      <c r="I298" s="7"/>
      <c r="J298" s="7"/>
      <c r="O298" s="22">
        <f t="shared" si="1"/>
        <v>0</v>
      </c>
      <c r="R298" s="7"/>
    </row>
    <row r="299" ht="15.75" customHeight="1">
      <c r="A299" s="15"/>
      <c r="B299" s="7"/>
      <c r="C299" s="7"/>
      <c r="D299" s="7"/>
      <c r="E299" s="7" t="str">
        <f t="array" ref="E299">IFERROR(INDEX('Order Planning'!$C$5:$C$204,MATCH(D299,'Order Planning'!$A$5:$A$204,0)),"")</f>
        <v/>
      </c>
      <c r="F299" s="7" t="str">
        <f t="array" ref="F299">IFERROR(INDEX('Order Planning'!$E$5:$E$204,MATCH(D299,'Order Planning'!$A$5:$A$204,0)),"")</f>
        <v/>
      </c>
      <c r="G299" s="7" t="str">
        <f t="array" ref="G299">IFERROR(INDEX('Order Planning'!$F$5:$F$204,MATCH(D299,'Order Planning'!$A$5:$A$204,0)),"")</f>
        <v/>
      </c>
      <c r="H299" s="7"/>
      <c r="I299" s="7"/>
      <c r="J299" s="7"/>
      <c r="O299" s="22">
        <f t="shared" si="1"/>
        <v>0</v>
      </c>
      <c r="R299" s="7"/>
    </row>
    <row r="300" ht="15.75" customHeight="1">
      <c r="A300" s="15"/>
      <c r="B300" s="7"/>
      <c r="C300" s="7"/>
      <c r="D300" s="7"/>
      <c r="E300" s="7" t="str">
        <f t="array" ref="E300">IFERROR(INDEX('Order Planning'!$C$5:$C$204,MATCH(D300,'Order Planning'!$A$5:$A$204,0)),"")</f>
        <v/>
      </c>
      <c r="F300" s="7" t="str">
        <f t="array" ref="F300">IFERROR(INDEX('Order Planning'!$E$5:$E$204,MATCH(D300,'Order Planning'!$A$5:$A$204,0)),"")</f>
        <v/>
      </c>
      <c r="G300" s="7" t="str">
        <f t="array" ref="G300">IFERROR(INDEX('Order Planning'!$F$5:$F$204,MATCH(D300,'Order Planning'!$A$5:$A$204,0)),"")</f>
        <v/>
      </c>
      <c r="H300" s="7"/>
      <c r="I300" s="7"/>
      <c r="J300" s="7"/>
      <c r="O300" s="22">
        <f t="shared" si="1"/>
        <v>0</v>
      </c>
      <c r="R300" s="7"/>
    </row>
    <row r="301" ht="15.75" customHeight="1">
      <c r="A301" s="15"/>
      <c r="B301" s="7"/>
      <c r="C301" s="7"/>
      <c r="D301" s="7"/>
      <c r="E301" s="7" t="str">
        <f t="array" ref="E301">IFERROR(INDEX('Order Planning'!$C$5:$C$204,MATCH(D301,'Order Planning'!$A$5:$A$204,0)),"")</f>
        <v/>
      </c>
      <c r="F301" s="7" t="str">
        <f t="array" ref="F301">IFERROR(INDEX('Order Planning'!$E$5:$E$204,MATCH(D301,'Order Planning'!$A$5:$A$204,0)),"")</f>
        <v/>
      </c>
      <c r="G301" s="7" t="str">
        <f t="array" ref="G301">IFERROR(INDEX('Order Planning'!$F$5:$F$204,MATCH(D301,'Order Planning'!$A$5:$A$204,0)),"")</f>
        <v/>
      </c>
      <c r="H301" s="7"/>
      <c r="I301" s="7"/>
      <c r="J301" s="7"/>
      <c r="O301" s="22">
        <f t="shared" si="1"/>
        <v>0</v>
      </c>
      <c r="R301" s="7"/>
    </row>
    <row r="302" ht="15.75" customHeight="1">
      <c r="A302" s="15"/>
      <c r="B302" s="7"/>
      <c r="C302" s="7"/>
      <c r="D302" s="7"/>
      <c r="E302" s="7" t="str">
        <f t="array" ref="E302">IFERROR(INDEX('Order Planning'!$C$5:$C$204,MATCH(D302,'Order Planning'!$A$5:$A$204,0)),"")</f>
        <v/>
      </c>
      <c r="F302" s="7" t="str">
        <f t="array" ref="F302">IFERROR(INDEX('Order Planning'!$E$5:$E$204,MATCH(D302,'Order Planning'!$A$5:$A$204,0)),"")</f>
        <v/>
      </c>
      <c r="G302" s="7" t="str">
        <f t="array" ref="G302">IFERROR(INDEX('Order Planning'!$F$5:$F$204,MATCH(D302,'Order Planning'!$A$5:$A$204,0)),"")</f>
        <v/>
      </c>
      <c r="H302" s="7"/>
      <c r="I302" s="7"/>
      <c r="J302" s="7"/>
      <c r="O302" s="22">
        <f t="shared" si="1"/>
        <v>0</v>
      </c>
      <c r="R302" s="7"/>
    </row>
    <row r="303" ht="15.75" customHeight="1">
      <c r="A303" s="15"/>
      <c r="B303" s="7"/>
      <c r="C303" s="7"/>
      <c r="D303" s="7"/>
      <c r="E303" s="7" t="str">
        <f t="array" ref="E303">IFERROR(INDEX('Order Planning'!$C$5:$C$204,MATCH(D303,'Order Planning'!$A$5:$A$204,0)),"")</f>
        <v/>
      </c>
      <c r="F303" s="7" t="str">
        <f t="array" ref="F303">IFERROR(INDEX('Order Planning'!$E$5:$E$204,MATCH(D303,'Order Planning'!$A$5:$A$204,0)),"")</f>
        <v/>
      </c>
      <c r="G303" s="7" t="str">
        <f t="array" ref="G303">IFERROR(INDEX('Order Planning'!$F$5:$F$204,MATCH(D303,'Order Planning'!$A$5:$A$204,0)),"")</f>
        <v/>
      </c>
      <c r="H303" s="7"/>
      <c r="I303" s="7"/>
      <c r="J303" s="7"/>
      <c r="O303" s="22">
        <f t="shared" si="1"/>
        <v>0</v>
      </c>
      <c r="R303" s="7"/>
    </row>
    <row r="304" ht="15.75" customHeight="1">
      <c r="A304" s="15"/>
      <c r="B304" s="7"/>
      <c r="C304" s="7"/>
      <c r="D304" s="7"/>
      <c r="E304" s="7" t="str">
        <f t="array" ref="E304">IFERROR(INDEX('Order Planning'!$C$5:$C$204,MATCH(D304,'Order Planning'!$A$5:$A$204,0)),"")</f>
        <v/>
      </c>
      <c r="F304" s="7" t="str">
        <f t="array" ref="F304">IFERROR(INDEX('Order Planning'!$E$5:$E$204,MATCH(D304,'Order Planning'!$A$5:$A$204,0)),"")</f>
        <v/>
      </c>
      <c r="G304" s="7" t="str">
        <f t="array" ref="G304">IFERROR(INDEX('Order Planning'!$F$5:$F$204,MATCH(D304,'Order Planning'!$A$5:$A$204,0)),"")</f>
        <v/>
      </c>
      <c r="H304" s="7"/>
      <c r="I304" s="7"/>
      <c r="J304" s="7"/>
      <c r="O304" s="22">
        <f t="shared" si="1"/>
        <v>0</v>
      </c>
      <c r="R304" s="7"/>
    </row>
    <row r="305" ht="15.75" customHeight="1">
      <c r="A305" s="15"/>
      <c r="B305" s="7"/>
      <c r="C305" s="7"/>
      <c r="D305" s="7"/>
      <c r="E305" s="7" t="str">
        <f t="array" ref="E305">IFERROR(INDEX('Order Planning'!$C$5:$C$204,MATCH(D305,'Order Planning'!$A$5:$A$204,0)),"")</f>
        <v/>
      </c>
      <c r="F305" s="7" t="str">
        <f t="array" ref="F305">IFERROR(INDEX('Order Planning'!$E$5:$E$204,MATCH(D305,'Order Planning'!$A$5:$A$204,0)),"")</f>
        <v/>
      </c>
      <c r="G305" s="7" t="str">
        <f t="array" ref="G305">IFERROR(INDEX('Order Planning'!$F$5:$F$204,MATCH(D305,'Order Planning'!$A$5:$A$204,0)),"")</f>
        <v/>
      </c>
      <c r="H305" s="7"/>
      <c r="I305" s="7"/>
      <c r="J305" s="7"/>
      <c r="O305" s="22">
        <f t="shared" si="1"/>
        <v>0</v>
      </c>
      <c r="R305" s="7"/>
    </row>
    <row r="306" ht="15.75" customHeight="1">
      <c r="A306" s="15"/>
      <c r="B306" s="7"/>
      <c r="C306" s="7"/>
      <c r="D306" s="7"/>
      <c r="E306" s="7" t="str">
        <f t="array" ref="E306">IFERROR(INDEX('Order Planning'!$C$5:$C$204,MATCH(D306,'Order Planning'!$A$5:$A$204,0)),"")</f>
        <v/>
      </c>
      <c r="F306" s="7" t="str">
        <f t="array" ref="F306">IFERROR(INDEX('Order Planning'!$E$5:$E$204,MATCH(D306,'Order Planning'!$A$5:$A$204,0)),"")</f>
        <v/>
      </c>
      <c r="G306" s="7" t="str">
        <f t="array" ref="G306">IFERROR(INDEX('Order Planning'!$F$5:$F$204,MATCH(D306,'Order Planning'!$A$5:$A$204,0)),"")</f>
        <v/>
      </c>
      <c r="H306" s="7"/>
      <c r="I306" s="7"/>
      <c r="J306" s="7"/>
      <c r="O306" s="22">
        <f t="shared" si="1"/>
        <v>0</v>
      </c>
      <c r="R306" s="7"/>
    </row>
    <row r="307" ht="15.75" customHeight="1">
      <c r="A307" s="15"/>
      <c r="B307" s="7"/>
      <c r="C307" s="7"/>
      <c r="D307" s="7"/>
      <c r="E307" s="7" t="str">
        <f t="array" ref="E307">IFERROR(INDEX('Order Planning'!$C$5:$C$204,MATCH(D307,'Order Planning'!$A$5:$A$204,0)),"")</f>
        <v/>
      </c>
      <c r="F307" s="7" t="str">
        <f t="array" ref="F307">IFERROR(INDEX('Order Planning'!$E$5:$E$204,MATCH(D307,'Order Planning'!$A$5:$A$204,0)),"")</f>
        <v/>
      </c>
      <c r="G307" s="7" t="str">
        <f t="array" ref="G307">IFERROR(INDEX('Order Planning'!$F$5:$F$204,MATCH(D307,'Order Planning'!$A$5:$A$204,0)),"")</f>
        <v/>
      </c>
      <c r="H307" s="7"/>
      <c r="I307" s="7"/>
      <c r="J307" s="7"/>
      <c r="O307" s="22">
        <f t="shared" si="1"/>
        <v>0</v>
      </c>
      <c r="R307" s="7"/>
    </row>
    <row r="308" ht="15.75" customHeight="1">
      <c r="A308" s="15"/>
      <c r="B308" s="7"/>
      <c r="C308" s="7"/>
      <c r="D308" s="7"/>
      <c r="E308" s="7" t="str">
        <f t="array" ref="E308">IFERROR(INDEX('Order Planning'!$C$5:$C$204,MATCH(D308,'Order Planning'!$A$5:$A$204,0)),"")</f>
        <v/>
      </c>
      <c r="F308" s="7" t="str">
        <f t="array" ref="F308">IFERROR(INDEX('Order Planning'!$E$5:$E$204,MATCH(D308,'Order Planning'!$A$5:$A$204,0)),"")</f>
        <v/>
      </c>
      <c r="G308" s="7" t="str">
        <f t="array" ref="G308">IFERROR(INDEX('Order Planning'!$F$5:$F$204,MATCH(D308,'Order Planning'!$A$5:$A$204,0)),"")</f>
        <v/>
      </c>
      <c r="H308" s="7"/>
      <c r="I308" s="7"/>
      <c r="J308" s="7"/>
      <c r="O308" s="22">
        <f t="shared" si="1"/>
        <v>0</v>
      </c>
      <c r="R308" s="7"/>
    </row>
    <row r="309" ht="15.75" customHeight="1">
      <c r="A309" s="15"/>
      <c r="B309" s="7"/>
      <c r="C309" s="7"/>
      <c r="D309" s="7"/>
      <c r="E309" s="7" t="str">
        <f t="array" ref="E309">IFERROR(INDEX('Order Planning'!$C$5:$C$204,MATCH(D309,'Order Planning'!$A$5:$A$204,0)),"")</f>
        <v/>
      </c>
      <c r="F309" s="7" t="str">
        <f t="array" ref="F309">IFERROR(INDEX('Order Planning'!$E$5:$E$204,MATCH(D309,'Order Planning'!$A$5:$A$204,0)),"")</f>
        <v/>
      </c>
      <c r="G309" s="7" t="str">
        <f t="array" ref="G309">IFERROR(INDEX('Order Planning'!$F$5:$F$204,MATCH(D309,'Order Planning'!$A$5:$A$204,0)),"")</f>
        <v/>
      </c>
      <c r="H309" s="7"/>
      <c r="I309" s="7"/>
      <c r="J309" s="7"/>
      <c r="O309" s="22">
        <f t="shared" si="1"/>
        <v>0</v>
      </c>
      <c r="R309" s="7"/>
    </row>
    <row r="310" ht="15.75" customHeight="1">
      <c r="A310" s="15"/>
      <c r="B310" s="7"/>
      <c r="C310" s="7"/>
      <c r="D310" s="7"/>
      <c r="E310" s="7" t="str">
        <f t="array" ref="E310">IFERROR(INDEX('Order Planning'!$C$5:$C$204,MATCH(D310,'Order Planning'!$A$5:$A$204,0)),"")</f>
        <v/>
      </c>
      <c r="F310" s="7" t="str">
        <f t="array" ref="F310">IFERROR(INDEX('Order Planning'!$E$5:$E$204,MATCH(D310,'Order Planning'!$A$5:$A$204,0)),"")</f>
        <v/>
      </c>
      <c r="G310" s="7" t="str">
        <f t="array" ref="G310">IFERROR(INDEX('Order Planning'!$F$5:$F$204,MATCH(D310,'Order Planning'!$A$5:$A$204,0)),"")</f>
        <v/>
      </c>
      <c r="H310" s="7"/>
      <c r="I310" s="7"/>
      <c r="J310" s="7"/>
      <c r="O310" s="22">
        <f t="shared" si="1"/>
        <v>0</v>
      </c>
      <c r="R310" s="7"/>
    </row>
    <row r="311" ht="15.75" customHeight="1">
      <c r="A311" s="15"/>
      <c r="B311" s="7"/>
      <c r="C311" s="7"/>
      <c r="D311" s="7"/>
      <c r="E311" s="7" t="str">
        <f t="array" ref="E311">IFERROR(INDEX('Order Planning'!$C$5:$C$204,MATCH(D311,'Order Planning'!$A$5:$A$204,0)),"")</f>
        <v/>
      </c>
      <c r="F311" s="7" t="str">
        <f t="array" ref="F311">IFERROR(INDEX('Order Planning'!$E$5:$E$204,MATCH(D311,'Order Planning'!$A$5:$A$204,0)),"")</f>
        <v/>
      </c>
      <c r="G311" s="7" t="str">
        <f t="array" ref="G311">IFERROR(INDEX('Order Planning'!$F$5:$F$204,MATCH(D311,'Order Planning'!$A$5:$A$204,0)),"")</f>
        <v/>
      </c>
      <c r="H311" s="7"/>
      <c r="I311" s="7"/>
      <c r="J311" s="7"/>
      <c r="O311" s="22">
        <f t="shared" si="1"/>
        <v>0</v>
      </c>
      <c r="R311" s="7"/>
    </row>
    <row r="312" ht="15.75" customHeight="1">
      <c r="A312" s="15"/>
      <c r="B312" s="7"/>
      <c r="C312" s="7"/>
      <c r="D312" s="7"/>
      <c r="E312" s="7" t="str">
        <f t="array" ref="E312">IFERROR(INDEX('Order Planning'!$C$5:$C$204,MATCH(D312,'Order Planning'!$A$5:$A$204,0)),"")</f>
        <v/>
      </c>
      <c r="F312" s="7" t="str">
        <f t="array" ref="F312">IFERROR(INDEX('Order Planning'!$E$5:$E$204,MATCH(D312,'Order Planning'!$A$5:$A$204,0)),"")</f>
        <v/>
      </c>
      <c r="G312" s="7" t="str">
        <f t="array" ref="G312">IFERROR(INDEX('Order Planning'!$F$5:$F$204,MATCH(D312,'Order Planning'!$A$5:$A$204,0)),"")</f>
        <v/>
      </c>
      <c r="H312" s="7"/>
      <c r="I312" s="7"/>
      <c r="J312" s="7"/>
      <c r="O312" s="22">
        <f t="shared" si="1"/>
        <v>0</v>
      </c>
      <c r="R312" s="7"/>
    </row>
    <row r="313" ht="15.75" customHeight="1">
      <c r="A313" s="15"/>
      <c r="B313" s="7"/>
      <c r="C313" s="7"/>
      <c r="D313" s="7"/>
      <c r="E313" s="7" t="str">
        <f t="array" ref="E313">IFERROR(INDEX('Order Planning'!$C$5:$C$204,MATCH(D313,'Order Planning'!$A$5:$A$204,0)),"")</f>
        <v/>
      </c>
      <c r="F313" s="7" t="str">
        <f t="array" ref="F313">IFERROR(INDEX('Order Planning'!$E$5:$E$204,MATCH(D313,'Order Planning'!$A$5:$A$204,0)),"")</f>
        <v/>
      </c>
      <c r="G313" s="7" t="str">
        <f t="array" ref="G313">IFERROR(INDEX('Order Planning'!$F$5:$F$204,MATCH(D313,'Order Planning'!$A$5:$A$204,0)),"")</f>
        <v/>
      </c>
      <c r="H313" s="7"/>
      <c r="I313" s="7"/>
      <c r="J313" s="7"/>
      <c r="O313" s="22">
        <f t="shared" si="1"/>
        <v>0</v>
      </c>
      <c r="R313" s="7"/>
    </row>
    <row r="314" ht="15.75" customHeight="1">
      <c r="A314" s="15"/>
      <c r="B314" s="7"/>
      <c r="C314" s="7"/>
      <c r="D314" s="7"/>
      <c r="E314" s="7" t="str">
        <f t="array" ref="E314">IFERROR(INDEX('Order Planning'!$C$5:$C$204,MATCH(D314,'Order Planning'!$A$5:$A$204,0)),"")</f>
        <v/>
      </c>
      <c r="F314" s="7" t="str">
        <f t="array" ref="F314">IFERROR(INDEX('Order Planning'!$E$5:$E$204,MATCH(D314,'Order Planning'!$A$5:$A$204,0)),"")</f>
        <v/>
      </c>
      <c r="G314" s="7" t="str">
        <f t="array" ref="G314">IFERROR(INDEX('Order Planning'!$F$5:$F$204,MATCH(D314,'Order Planning'!$A$5:$A$204,0)),"")</f>
        <v/>
      </c>
      <c r="H314" s="7"/>
      <c r="I314" s="7"/>
      <c r="J314" s="7"/>
      <c r="O314" s="22">
        <f t="shared" si="1"/>
        <v>0</v>
      </c>
      <c r="R314" s="7"/>
    </row>
    <row r="315" ht="15.75" customHeight="1">
      <c r="A315" s="15"/>
      <c r="B315" s="7"/>
      <c r="C315" s="7"/>
      <c r="D315" s="7"/>
      <c r="E315" s="7" t="str">
        <f t="array" ref="E315">IFERROR(INDEX('Order Planning'!$C$5:$C$204,MATCH(D315,'Order Planning'!$A$5:$A$204,0)),"")</f>
        <v/>
      </c>
      <c r="F315" s="7" t="str">
        <f t="array" ref="F315">IFERROR(INDEX('Order Planning'!$E$5:$E$204,MATCH(D315,'Order Planning'!$A$5:$A$204,0)),"")</f>
        <v/>
      </c>
      <c r="G315" s="7" t="str">
        <f t="array" ref="G315">IFERROR(INDEX('Order Planning'!$F$5:$F$204,MATCH(D315,'Order Planning'!$A$5:$A$204,0)),"")</f>
        <v/>
      </c>
      <c r="H315" s="7"/>
      <c r="I315" s="7"/>
      <c r="J315" s="7"/>
      <c r="O315" s="22">
        <f t="shared" si="1"/>
        <v>0</v>
      </c>
      <c r="R315" s="7"/>
    </row>
    <row r="316" ht="15.75" customHeight="1">
      <c r="A316" s="15"/>
      <c r="B316" s="7"/>
      <c r="C316" s="7"/>
      <c r="D316" s="7"/>
      <c r="E316" s="7" t="str">
        <f t="array" ref="E316">IFERROR(INDEX('Order Planning'!$C$5:$C$204,MATCH(D316,'Order Planning'!$A$5:$A$204,0)),"")</f>
        <v/>
      </c>
      <c r="F316" s="7" t="str">
        <f t="array" ref="F316">IFERROR(INDEX('Order Planning'!$E$5:$E$204,MATCH(D316,'Order Planning'!$A$5:$A$204,0)),"")</f>
        <v/>
      </c>
      <c r="G316" s="7" t="str">
        <f t="array" ref="G316">IFERROR(INDEX('Order Planning'!$F$5:$F$204,MATCH(D316,'Order Planning'!$A$5:$A$204,0)),"")</f>
        <v/>
      </c>
      <c r="H316" s="7"/>
      <c r="I316" s="7"/>
      <c r="J316" s="7"/>
      <c r="O316" s="22">
        <f t="shared" si="1"/>
        <v>0</v>
      </c>
      <c r="R316" s="7"/>
    </row>
    <row r="317" ht="15.75" customHeight="1">
      <c r="A317" s="15"/>
      <c r="B317" s="7"/>
      <c r="C317" s="7"/>
      <c r="D317" s="7"/>
      <c r="E317" s="7" t="str">
        <f t="array" ref="E317">IFERROR(INDEX('Order Planning'!$C$5:$C$204,MATCH(D317,'Order Planning'!$A$5:$A$204,0)),"")</f>
        <v/>
      </c>
      <c r="F317" s="7" t="str">
        <f t="array" ref="F317">IFERROR(INDEX('Order Planning'!$E$5:$E$204,MATCH(D317,'Order Planning'!$A$5:$A$204,0)),"")</f>
        <v/>
      </c>
      <c r="G317" s="7" t="str">
        <f t="array" ref="G317">IFERROR(INDEX('Order Planning'!$F$5:$F$204,MATCH(D317,'Order Planning'!$A$5:$A$204,0)),"")</f>
        <v/>
      </c>
      <c r="H317" s="7"/>
      <c r="I317" s="7"/>
      <c r="J317" s="7"/>
      <c r="O317" s="22">
        <f t="shared" si="1"/>
        <v>0</v>
      </c>
      <c r="R317" s="7"/>
    </row>
    <row r="318" ht="15.75" customHeight="1">
      <c r="A318" s="15"/>
      <c r="B318" s="7"/>
      <c r="C318" s="7"/>
      <c r="D318" s="7"/>
      <c r="E318" s="7" t="str">
        <f t="array" ref="E318">IFERROR(INDEX('Order Planning'!$C$5:$C$204,MATCH(D318,'Order Planning'!$A$5:$A$204,0)),"")</f>
        <v/>
      </c>
      <c r="F318" s="7" t="str">
        <f t="array" ref="F318">IFERROR(INDEX('Order Planning'!$E$5:$E$204,MATCH(D318,'Order Planning'!$A$5:$A$204,0)),"")</f>
        <v/>
      </c>
      <c r="G318" s="7" t="str">
        <f t="array" ref="G318">IFERROR(INDEX('Order Planning'!$F$5:$F$204,MATCH(D318,'Order Planning'!$A$5:$A$204,0)),"")</f>
        <v/>
      </c>
      <c r="H318" s="7"/>
      <c r="I318" s="7"/>
      <c r="J318" s="7"/>
      <c r="O318" s="22">
        <f t="shared" si="1"/>
        <v>0</v>
      </c>
      <c r="R318" s="7"/>
    </row>
    <row r="319" ht="15.75" customHeight="1">
      <c r="A319" s="15"/>
      <c r="B319" s="7"/>
      <c r="C319" s="7"/>
      <c r="D319" s="7"/>
      <c r="E319" s="7" t="str">
        <f t="array" ref="E319">IFERROR(INDEX('Order Planning'!$C$5:$C$204,MATCH(D319,'Order Planning'!$A$5:$A$204,0)),"")</f>
        <v/>
      </c>
      <c r="F319" s="7" t="str">
        <f t="array" ref="F319">IFERROR(INDEX('Order Planning'!$E$5:$E$204,MATCH(D319,'Order Planning'!$A$5:$A$204,0)),"")</f>
        <v/>
      </c>
      <c r="G319" s="7" t="str">
        <f t="array" ref="G319">IFERROR(INDEX('Order Planning'!$F$5:$F$204,MATCH(D319,'Order Planning'!$A$5:$A$204,0)),"")</f>
        <v/>
      </c>
      <c r="H319" s="7"/>
      <c r="I319" s="7"/>
      <c r="J319" s="7"/>
      <c r="O319" s="22">
        <f t="shared" si="1"/>
        <v>0</v>
      </c>
      <c r="R319" s="7"/>
    </row>
    <row r="320" ht="15.75" customHeight="1">
      <c r="A320" s="15"/>
      <c r="B320" s="7"/>
      <c r="C320" s="7"/>
      <c r="D320" s="7"/>
      <c r="E320" s="7" t="str">
        <f t="array" ref="E320">IFERROR(INDEX('Order Planning'!$C$5:$C$204,MATCH(D320,'Order Planning'!$A$5:$A$204,0)),"")</f>
        <v/>
      </c>
      <c r="F320" s="7" t="str">
        <f t="array" ref="F320">IFERROR(INDEX('Order Planning'!$E$5:$E$204,MATCH(D320,'Order Planning'!$A$5:$A$204,0)),"")</f>
        <v/>
      </c>
      <c r="G320" s="7" t="str">
        <f t="array" ref="G320">IFERROR(INDEX('Order Planning'!$F$5:$F$204,MATCH(D320,'Order Planning'!$A$5:$A$204,0)),"")</f>
        <v/>
      </c>
      <c r="H320" s="7"/>
      <c r="I320" s="7"/>
      <c r="J320" s="7"/>
      <c r="O320" s="22">
        <f t="shared" si="1"/>
        <v>0</v>
      </c>
      <c r="R320" s="7"/>
    </row>
    <row r="321" ht="15.75" customHeight="1">
      <c r="A321" s="15"/>
      <c r="B321" s="7"/>
      <c r="C321" s="7"/>
      <c r="D321" s="7"/>
      <c r="E321" s="7" t="str">
        <f t="array" ref="E321">IFERROR(INDEX('Order Planning'!$C$5:$C$204,MATCH(D321,'Order Planning'!$A$5:$A$204,0)),"")</f>
        <v/>
      </c>
      <c r="F321" s="7" t="str">
        <f t="array" ref="F321">IFERROR(INDEX('Order Planning'!$E$5:$E$204,MATCH(D321,'Order Planning'!$A$5:$A$204,0)),"")</f>
        <v/>
      </c>
      <c r="G321" s="7" t="str">
        <f t="array" ref="G321">IFERROR(INDEX('Order Planning'!$F$5:$F$204,MATCH(D321,'Order Planning'!$A$5:$A$204,0)),"")</f>
        <v/>
      </c>
      <c r="H321" s="7"/>
      <c r="I321" s="7"/>
      <c r="J321" s="7"/>
      <c r="O321" s="22">
        <f t="shared" si="1"/>
        <v>0</v>
      </c>
      <c r="R321" s="7"/>
    </row>
    <row r="322" ht="15.75" customHeight="1">
      <c r="A322" s="15"/>
      <c r="B322" s="7"/>
      <c r="C322" s="7"/>
      <c r="D322" s="7"/>
      <c r="E322" s="7" t="str">
        <f t="array" ref="E322">IFERROR(INDEX('Order Planning'!$C$5:$C$204,MATCH(D322,'Order Planning'!$A$5:$A$204,0)),"")</f>
        <v/>
      </c>
      <c r="F322" s="7" t="str">
        <f t="array" ref="F322">IFERROR(INDEX('Order Planning'!$E$5:$E$204,MATCH(D322,'Order Planning'!$A$5:$A$204,0)),"")</f>
        <v/>
      </c>
      <c r="G322" s="7" t="str">
        <f t="array" ref="G322">IFERROR(INDEX('Order Planning'!$F$5:$F$204,MATCH(D322,'Order Planning'!$A$5:$A$204,0)),"")</f>
        <v/>
      </c>
      <c r="H322" s="7"/>
      <c r="I322" s="7"/>
      <c r="J322" s="7"/>
      <c r="O322" s="22">
        <f t="shared" si="1"/>
        <v>0</v>
      </c>
      <c r="R322" s="7"/>
    </row>
    <row r="323" ht="15.75" customHeight="1">
      <c r="A323" s="15"/>
      <c r="B323" s="7"/>
      <c r="C323" s="7"/>
      <c r="D323" s="7"/>
      <c r="E323" s="7" t="str">
        <f t="array" ref="E323">IFERROR(INDEX('Order Planning'!$C$5:$C$204,MATCH(D323,'Order Planning'!$A$5:$A$204,0)),"")</f>
        <v/>
      </c>
      <c r="F323" s="7" t="str">
        <f t="array" ref="F323">IFERROR(INDEX('Order Planning'!$E$5:$E$204,MATCH(D323,'Order Planning'!$A$5:$A$204,0)),"")</f>
        <v/>
      </c>
      <c r="G323" s="7" t="str">
        <f t="array" ref="G323">IFERROR(INDEX('Order Planning'!$F$5:$F$204,MATCH(D323,'Order Planning'!$A$5:$A$204,0)),"")</f>
        <v/>
      </c>
      <c r="H323" s="7"/>
      <c r="I323" s="7"/>
      <c r="J323" s="7"/>
      <c r="O323" s="22">
        <f t="shared" si="1"/>
        <v>0</v>
      </c>
      <c r="R323" s="7"/>
    </row>
    <row r="324" ht="15.75" customHeight="1">
      <c r="A324" s="15"/>
      <c r="B324" s="7"/>
      <c r="C324" s="7"/>
      <c r="D324" s="7"/>
      <c r="E324" s="7" t="str">
        <f t="array" ref="E324">IFERROR(INDEX('Order Planning'!$C$5:$C$204,MATCH(D324,'Order Planning'!$A$5:$A$204,0)),"")</f>
        <v/>
      </c>
      <c r="F324" s="7" t="str">
        <f t="array" ref="F324">IFERROR(INDEX('Order Planning'!$E$5:$E$204,MATCH(D324,'Order Planning'!$A$5:$A$204,0)),"")</f>
        <v/>
      </c>
      <c r="G324" s="7" t="str">
        <f t="array" ref="G324">IFERROR(INDEX('Order Planning'!$F$5:$F$204,MATCH(D324,'Order Planning'!$A$5:$A$204,0)),"")</f>
        <v/>
      </c>
      <c r="H324" s="7"/>
      <c r="I324" s="7"/>
      <c r="J324" s="7"/>
      <c r="O324" s="22">
        <f t="shared" si="1"/>
        <v>0</v>
      </c>
      <c r="R324" s="7"/>
    </row>
    <row r="325" ht="15.75" customHeight="1">
      <c r="A325" s="15"/>
      <c r="B325" s="7"/>
      <c r="C325" s="7"/>
      <c r="D325" s="7"/>
      <c r="E325" s="7" t="str">
        <f t="array" ref="E325">IFERROR(INDEX('Order Planning'!$C$5:$C$204,MATCH(D325,'Order Planning'!$A$5:$A$204,0)),"")</f>
        <v/>
      </c>
      <c r="F325" s="7" t="str">
        <f t="array" ref="F325">IFERROR(INDEX('Order Planning'!$E$5:$E$204,MATCH(D325,'Order Planning'!$A$5:$A$204,0)),"")</f>
        <v/>
      </c>
      <c r="G325" s="7" t="str">
        <f t="array" ref="G325">IFERROR(INDEX('Order Planning'!$F$5:$F$204,MATCH(D325,'Order Planning'!$A$5:$A$204,0)),"")</f>
        <v/>
      </c>
      <c r="H325" s="7"/>
      <c r="I325" s="7"/>
      <c r="J325" s="7"/>
      <c r="O325" s="22">
        <f t="shared" si="1"/>
        <v>0</v>
      </c>
      <c r="R325" s="7"/>
    </row>
    <row r="326" ht="15.75" customHeight="1">
      <c r="A326" s="15"/>
      <c r="B326" s="7"/>
      <c r="C326" s="7"/>
      <c r="D326" s="7"/>
      <c r="E326" s="7" t="str">
        <f t="array" ref="E326">IFERROR(INDEX('Order Planning'!$C$5:$C$204,MATCH(D326,'Order Planning'!$A$5:$A$204,0)),"")</f>
        <v/>
      </c>
      <c r="F326" s="7" t="str">
        <f t="array" ref="F326">IFERROR(INDEX('Order Planning'!$E$5:$E$204,MATCH(D326,'Order Planning'!$A$5:$A$204,0)),"")</f>
        <v/>
      </c>
      <c r="G326" s="7" t="str">
        <f t="array" ref="G326">IFERROR(INDEX('Order Planning'!$F$5:$F$204,MATCH(D326,'Order Planning'!$A$5:$A$204,0)),"")</f>
        <v/>
      </c>
      <c r="H326" s="7"/>
      <c r="I326" s="7"/>
      <c r="J326" s="7"/>
      <c r="O326" s="22">
        <f t="shared" si="1"/>
        <v>0</v>
      </c>
      <c r="R326" s="7"/>
    </row>
    <row r="327" ht="15.75" customHeight="1">
      <c r="A327" s="15"/>
      <c r="B327" s="7"/>
      <c r="C327" s="7"/>
      <c r="D327" s="7"/>
      <c r="E327" s="7" t="str">
        <f t="array" ref="E327">IFERROR(INDEX('Order Planning'!$C$5:$C$204,MATCH(D327,'Order Planning'!$A$5:$A$204,0)),"")</f>
        <v/>
      </c>
      <c r="F327" s="7" t="str">
        <f t="array" ref="F327">IFERROR(INDEX('Order Planning'!$E$5:$E$204,MATCH(D327,'Order Planning'!$A$5:$A$204,0)),"")</f>
        <v/>
      </c>
      <c r="G327" s="7" t="str">
        <f t="array" ref="G327">IFERROR(INDEX('Order Planning'!$F$5:$F$204,MATCH(D327,'Order Planning'!$A$5:$A$204,0)),"")</f>
        <v/>
      </c>
      <c r="H327" s="7"/>
      <c r="I327" s="7"/>
      <c r="J327" s="7"/>
      <c r="O327" s="22">
        <f t="shared" si="1"/>
        <v>0</v>
      </c>
      <c r="R327" s="7"/>
    </row>
    <row r="328" ht="15.75" customHeight="1">
      <c r="A328" s="15"/>
      <c r="B328" s="7"/>
      <c r="C328" s="7"/>
      <c r="D328" s="7"/>
      <c r="E328" s="7" t="str">
        <f t="array" ref="E328">IFERROR(INDEX('Order Planning'!$C$5:$C$204,MATCH(D328,'Order Planning'!$A$5:$A$204,0)),"")</f>
        <v/>
      </c>
      <c r="F328" s="7" t="str">
        <f t="array" ref="F328">IFERROR(INDEX('Order Planning'!$E$5:$E$204,MATCH(D328,'Order Planning'!$A$5:$A$204,0)),"")</f>
        <v/>
      </c>
      <c r="G328" s="7" t="str">
        <f t="array" ref="G328">IFERROR(INDEX('Order Planning'!$F$5:$F$204,MATCH(D328,'Order Planning'!$A$5:$A$204,0)),"")</f>
        <v/>
      </c>
      <c r="H328" s="7"/>
      <c r="I328" s="7"/>
      <c r="J328" s="7"/>
      <c r="O328" s="22">
        <f t="shared" si="1"/>
        <v>0</v>
      </c>
      <c r="R328" s="7"/>
    </row>
    <row r="329" ht="15.75" customHeight="1">
      <c r="A329" s="15"/>
      <c r="B329" s="7"/>
      <c r="C329" s="7"/>
      <c r="D329" s="7"/>
      <c r="E329" s="7" t="str">
        <f t="array" ref="E329">IFERROR(INDEX('Order Planning'!$C$5:$C$204,MATCH(D329,'Order Planning'!$A$5:$A$204,0)),"")</f>
        <v/>
      </c>
      <c r="F329" s="7" t="str">
        <f t="array" ref="F329">IFERROR(INDEX('Order Planning'!$E$5:$E$204,MATCH(D329,'Order Planning'!$A$5:$A$204,0)),"")</f>
        <v/>
      </c>
      <c r="G329" s="7" t="str">
        <f t="array" ref="G329">IFERROR(INDEX('Order Planning'!$F$5:$F$204,MATCH(D329,'Order Planning'!$A$5:$A$204,0)),"")</f>
        <v/>
      </c>
      <c r="H329" s="7"/>
      <c r="I329" s="7"/>
      <c r="J329" s="7"/>
      <c r="O329" s="22">
        <f t="shared" si="1"/>
        <v>0</v>
      </c>
      <c r="R329" s="7"/>
    </row>
    <row r="330" ht="15.75" customHeight="1">
      <c r="A330" s="15"/>
      <c r="B330" s="7"/>
      <c r="C330" s="7"/>
      <c r="D330" s="7"/>
      <c r="E330" s="7" t="str">
        <f t="array" ref="E330">IFERROR(INDEX('Order Planning'!$C$5:$C$204,MATCH(D330,'Order Planning'!$A$5:$A$204,0)),"")</f>
        <v/>
      </c>
      <c r="F330" s="7" t="str">
        <f t="array" ref="F330">IFERROR(INDEX('Order Planning'!$E$5:$E$204,MATCH(D330,'Order Planning'!$A$5:$A$204,0)),"")</f>
        <v/>
      </c>
      <c r="G330" s="7" t="str">
        <f t="array" ref="G330">IFERROR(INDEX('Order Planning'!$F$5:$F$204,MATCH(D330,'Order Planning'!$A$5:$A$204,0)),"")</f>
        <v/>
      </c>
      <c r="H330" s="7"/>
      <c r="I330" s="7"/>
      <c r="J330" s="7"/>
      <c r="O330" s="22">
        <f t="shared" si="1"/>
        <v>0</v>
      </c>
      <c r="R330" s="7"/>
    </row>
    <row r="331" ht="15.75" customHeight="1">
      <c r="A331" s="15"/>
      <c r="B331" s="7"/>
      <c r="C331" s="7"/>
      <c r="D331" s="7"/>
      <c r="E331" s="7" t="str">
        <f t="array" ref="E331">IFERROR(INDEX('Order Planning'!$C$5:$C$204,MATCH(D331,'Order Planning'!$A$5:$A$204,0)),"")</f>
        <v/>
      </c>
      <c r="F331" s="7" t="str">
        <f t="array" ref="F331">IFERROR(INDEX('Order Planning'!$E$5:$E$204,MATCH(D331,'Order Planning'!$A$5:$A$204,0)),"")</f>
        <v/>
      </c>
      <c r="G331" s="7" t="str">
        <f t="array" ref="G331">IFERROR(INDEX('Order Planning'!$F$5:$F$204,MATCH(D331,'Order Planning'!$A$5:$A$204,0)),"")</f>
        <v/>
      </c>
      <c r="H331" s="7"/>
      <c r="I331" s="7"/>
      <c r="J331" s="7"/>
      <c r="O331" s="22">
        <f t="shared" si="1"/>
        <v>0</v>
      </c>
      <c r="R331" s="7"/>
    </row>
    <row r="332" ht="15.75" customHeight="1">
      <c r="A332" s="15"/>
      <c r="B332" s="7"/>
      <c r="C332" s="7"/>
      <c r="D332" s="7"/>
      <c r="E332" s="7" t="str">
        <f t="array" ref="E332">IFERROR(INDEX('Order Planning'!$C$5:$C$204,MATCH(D332,'Order Planning'!$A$5:$A$204,0)),"")</f>
        <v/>
      </c>
      <c r="F332" s="7" t="str">
        <f t="array" ref="F332">IFERROR(INDEX('Order Planning'!$E$5:$E$204,MATCH(D332,'Order Planning'!$A$5:$A$204,0)),"")</f>
        <v/>
      </c>
      <c r="G332" s="7" t="str">
        <f t="array" ref="G332">IFERROR(INDEX('Order Planning'!$F$5:$F$204,MATCH(D332,'Order Planning'!$A$5:$A$204,0)),"")</f>
        <v/>
      </c>
      <c r="H332" s="7"/>
      <c r="I332" s="7"/>
      <c r="J332" s="7"/>
      <c r="O332" s="22">
        <f t="shared" si="1"/>
        <v>0</v>
      </c>
      <c r="R332" s="7"/>
    </row>
    <row r="333" ht="15.75" customHeight="1">
      <c r="A333" s="15"/>
      <c r="B333" s="7"/>
      <c r="C333" s="7"/>
      <c r="D333" s="7"/>
      <c r="E333" s="7" t="str">
        <f t="array" ref="E333">IFERROR(INDEX('Order Planning'!$C$5:$C$204,MATCH(D333,'Order Planning'!$A$5:$A$204,0)),"")</f>
        <v/>
      </c>
      <c r="F333" s="7" t="str">
        <f t="array" ref="F333">IFERROR(INDEX('Order Planning'!$E$5:$E$204,MATCH(D333,'Order Planning'!$A$5:$A$204,0)),"")</f>
        <v/>
      </c>
      <c r="G333" s="7" t="str">
        <f t="array" ref="G333">IFERROR(INDEX('Order Planning'!$F$5:$F$204,MATCH(D333,'Order Planning'!$A$5:$A$204,0)),"")</f>
        <v/>
      </c>
      <c r="H333" s="7"/>
      <c r="I333" s="7"/>
      <c r="J333" s="7"/>
      <c r="O333" s="22">
        <f t="shared" si="1"/>
        <v>0</v>
      </c>
      <c r="R333" s="7"/>
    </row>
    <row r="334" ht="15.75" customHeight="1">
      <c r="A334" s="15"/>
      <c r="B334" s="7"/>
      <c r="C334" s="7"/>
      <c r="D334" s="7"/>
      <c r="E334" s="7" t="str">
        <f t="array" ref="E334">IFERROR(INDEX('Order Planning'!$C$5:$C$204,MATCH(D334,'Order Planning'!$A$5:$A$204,0)),"")</f>
        <v/>
      </c>
      <c r="F334" s="7" t="str">
        <f t="array" ref="F334">IFERROR(INDEX('Order Planning'!$E$5:$E$204,MATCH(D334,'Order Planning'!$A$5:$A$204,0)),"")</f>
        <v/>
      </c>
      <c r="G334" s="7" t="str">
        <f t="array" ref="G334">IFERROR(INDEX('Order Planning'!$F$5:$F$204,MATCH(D334,'Order Planning'!$A$5:$A$204,0)),"")</f>
        <v/>
      </c>
      <c r="H334" s="7"/>
      <c r="I334" s="7"/>
      <c r="J334" s="7"/>
      <c r="O334" s="22">
        <f t="shared" si="1"/>
        <v>0</v>
      </c>
      <c r="R334" s="7"/>
    </row>
    <row r="335" ht="15.75" customHeight="1">
      <c r="A335" s="15"/>
      <c r="B335" s="7"/>
      <c r="C335" s="7"/>
      <c r="D335" s="7"/>
      <c r="E335" s="7" t="str">
        <f t="array" ref="E335">IFERROR(INDEX('Order Planning'!$C$5:$C$204,MATCH(D335,'Order Planning'!$A$5:$A$204,0)),"")</f>
        <v/>
      </c>
      <c r="F335" s="7" t="str">
        <f t="array" ref="F335">IFERROR(INDEX('Order Planning'!$E$5:$E$204,MATCH(D335,'Order Planning'!$A$5:$A$204,0)),"")</f>
        <v/>
      </c>
      <c r="G335" s="7" t="str">
        <f t="array" ref="G335">IFERROR(INDEX('Order Planning'!$F$5:$F$204,MATCH(D335,'Order Planning'!$A$5:$A$204,0)),"")</f>
        <v/>
      </c>
      <c r="H335" s="7"/>
      <c r="I335" s="7"/>
      <c r="J335" s="7"/>
      <c r="O335" s="22">
        <f t="shared" si="1"/>
        <v>0</v>
      </c>
      <c r="R335" s="7"/>
    </row>
    <row r="336" ht="15.75" customHeight="1">
      <c r="A336" s="15"/>
      <c r="B336" s="7"/>
      <c r="C336" s="7"/>
      <c r="D336" s="7"/>
      <c r="E336" s="7" t="str">
        <f t="array" ref="E336">IFERROR(INDEX('Order Planning'!$C$5:$C$204,MATCH(D336,'Order Planning'!$A$5:$A$204,0)),"")</f>
        <v/>
      </c>
      <c r="F336" s="7" t="str">
        <f t="array" ref="F336">IFERROR(INDEX('Order Planning'!$E$5:$E$204,MATCH(D336,'Order Planning'!$A$5:$A$204,0)),"")</f>
        <v/>
      </c>
      <c r="G336" s="7" t="str">
        <f t="array" ref="G336">IFERROR(INDEX('Order Planning'!$F$5:$F$204,MATCH(D336,'Order Planning'!$A$5:$A$204,0)),"")</f>
        <v/>
      </c>
      <c r="H336" s="7"/>
      <c r="I336" s="7"/>
      <c r="J336" s="7"/>
      <c r="O336" s="22">
        <f t="shared" si="1"/>
        <v>0</v>
      </c>
      <c r="R336" s="7"/>
    </row>
    <row r="337" ht="15.75" customHeight="1">
      <c r="A337" s="15"/>
      <c r="B337" s="7"/>
      <c r="C337" s="7"/>
      <c r="D337" s="7"/>
      <c r="E337" s="7" t="str">
        <f t="array" ref="E337">IFERROR(INDEX('Order Planning'!$C$5:$C$204,MATCH(D337,'Order Planning'!$A$5:$A$204,0)),"")</f>
        <v/>
      </c>
      <c r="F337" s="7" t="str">
        <f t="array" ref="F337">IFERROR(INDEX('Order Planning'!$E$5:$E$204,MATCH(D337,'Order Planning'!$A$5:$A$204,0)),"")</f>
        <v/>
      </c>
      <c r="G337" s="7" t="str">
        <f t="array" ref="G337">IFERROR(INDEX('Order Planning'!$F$5:$F$204,MATCH(D337,'Order Planning'!$A$5:$A$204,0)),"")</f>
        <v/>
      </c>
      <c r="H337" s="7"/>
      <c r="I337" s="7"/>
      <c r="J337" s="7"/>
      <c r="O337" s="22">
        <f t="shared" si="1"/>
        <v>0</v>
      </c>
      <c r="R337" s="7"/>
    </row>
    <row r="338" ht="15.75" customHeight="1">
      <c r="A338" s="15"/>
      <c r="B338" s="7"/>
      <c r="C338" s="7"/>
      <c r="D338" s="7"/>
      <c r="E338" s="7" t="str">
        <f t="array" ref="E338">IFERROR(INDEX('Order Planning'!$C$5:$C$204,MATCH(D338,'Order Planning'!$A$5:$A$204,0)),"")</f>
        <v/>
      </c>
      <c r="F338" s="7" t="str">
        <f t="array" ref="F338">IFERROR(INDEX('Order Planning'!$E$5:$E$204,MATCH(D338,'Order Planning'!$A$5:$A$204,0)),"")</f>
        <v/>
      </c>
      <c r="G338" s="7" t="str">
        <f t="array" ref="G338">IFERROR(INDEX('Order Planning'!$F$5:$F$204,MATCH(D338,'Order Planning'!$A$5:$A$204,0)),"")</f>
        <v/>
      </c>
      <c r="H338" s="7"/>
      <c r="I338" s="7"/>
      <c r="J338" s="7"/>
      <c r="O338" s="22">
        <f t="shared" si="1"/>
        <v>0</v>
      </c>
      <c r="R338" s="7"/>
    </row>
    <row r="339" ht="15.75" customHeight="1">
      <c r="A339" s="15"/>
      <c r="B339" s="7"/>
      <c r="C339" s="7"/>
      <c r="D339" s="7"/>
      <c r="E339" s="7" t="str">
        <f t="array" ref="E339">IFERROR(INDEX('Order Planning'!$C$5:$C$204,MATCH(D339,'Order Planning'!$A$5:$A$204,0)),"")</f>
        <v/>
      </c>
      <c r="F339" s="7" t="str">
        <f t="array" ref="F339">IFERROR(INDEX('Order Planning'!$E$5:$E$204,MATCH(D339,'Order Planning'!$A$5:$A$204,0)),"")</f>
        <v/>
      </c>
      <c r="G339" s="7" t="str">
        <f t="array" ref="G339">IFERROR(INDEX('Order Planning'!$F$5:$F$204,MATCH(D339,'Order Planning'!$A$5:$A$204,0)),"")</f>
        <v/>
      </c>
      <c r="H339" s="7"/>
      <c r="I339" s="7"/>
      <c r="J339" s="7"/>
      <c r="O339" s="22">
        <f t="shared" si="1"/>
        <v>0</v>
      </c>
      <c r="R339" s="7"/>
    </row>
    <row r="340" ht="15.75" customHeight="1">
      <c r="A340" s="15"/>
      <c r="B340" s="7"/>
      <c r="C340" s="7"/>
      <c r="D340" s="7"/>
      <c r="E340" s="7" t="str">
        <f t="array" ref="E340">IFERROR(INDEX('Order Planning'!$C$5:$C$204,MATCH(D340,'Order Planning'!$A$5:$A$204,0)),"")</f>
        <v/>
      </c>
      <c r="F340" s="7" t="str">
        <f t="array" ref="F340">IFERROR(INDEX('Order Planning'!$E$5:$E$204,MATCH(D340,'Order Planning'!$A$5:$A$204,0)),"")</f>
        <v/>
      </c>
      <c r="G340" s="7" t="str">
        <f t="array" ref="G340">IFERROR(INDEX('Order Planning'!$F$5:$F$204,MATCH(D340,'Order Planning'!$A$5:$A$204,0)),"")</f>
        <v/>
      </c>
      <c r="H340" s="7"/>
      <c r="I340" s="7"/>
      <c r="J340" s="7"/>
      <c r="O340" s="22">
        <f t="shared" si="1"/>
        <v>0</v>
      </c>
      <c r="R340" s="7"/>
    </row>
    <row r="341" ht="15.75" customHeight="1">
      <c r="A341" s="15"/>
      <c r="B341" s="7"/>
      <c r="C341" s="7"/>
      <c r="D341" s="7"/>
      <c r="E341" s="7" t="str">
        <f t="array" ref="E341">IFERROR(INDEX('Order Planning'!$C$5:$C$204,MATCH(D341,'Order Planning'!$A$5:$A$204,0)),"")</f>
        <v/>
      </c>
      <c r="F341" s="7" t="str">
        <f t="array" ref="F341">IFERROR(INDEX('Order Planning'!$E$5:$E$204,MATCH(D341,'Order Planning'!$A$5:$A$204,0)),"")</f>
        <v/>
      </c>
      <c r="G341" s="7" t="str">
        <f t="array" ref="G341">IFERROR(INDEX('Order Planning'!$F$5:$F$204,MATCH(D341,'Order Planning'!$A$5:$A$204,0)),"")</f>
        <v/>
      </c>
      <c r="H341" s="7"/>
      <c r="I341" s="7"/>
      <c r="J341" s="7"/>
      <c r="O341" s="22">
        <f t="shared" si="1"/>
        <v>0</v>
      </c>
      <c r="R341" s="7"/>
    </row>
    <row r="342" ht="15.75" customHeight="1">
      <c r="A342" s="15"/>
      <c r="B342" s="7"/>
      <c r="C342" s="7"/>
      <c r="D342" s="7"/>
      <c r="E342" s="7" t="str">
        <f t="array" ref="E342">IFERROR(INDEX('Order Planning'!$C$5:$C$204,MATCH(D342,'Order Planning'!$A$5:$A$204,0)),"")</f>
        <v/>
      </c>
      <c r="F342" s="7" t="str">
        <f t="array" ref="F342">IFERROR(INDEX('Order Planning'!$E$5:$E$204,MATCH(D342,'Order Planning'!$A$5:$A$204,0)),"")</f>
        <v/>
      </c>
      <c r="G342" s="7" t="str">
        <f t="array" ref="G342">IFERROR(INDEX('Order Planning'!$F$5:$F$204,MATCH(D342,'Order Planning'!$A$5:$A$204,0)),"")</f>
        <v/>
      </c>
      <c r="H342" s="7"/>
      <c r="I342" s="7"/>
      <c r="J342" s="7"/>
      <c r="O342" s="22">
        <f t="shared" si="1"/>
        <v>0</v>
      </c>
      <c r="R342" s="7"/>
    </row>
    <row r="343" ht="15.75" customHeight="1">
      <c r="A343" s="15"/>
      <c r="B343" s="7"/>
      <c r="C343" s="7"/>
      <c r="D343" s="7"/>
      <c r="E343" s="7" t="str">
        <f t="array" ref="E343">IFERROR(INDEX('Order Planning'!$C$5:$C$204,MATCH(D343,'Order Planning'!$A$5:$A$204,0)),"")</f>
        <v/>
      </c>
      <c r="F343" s="7" t="str">
        <f t="array" ref="F343">IFERROR(INDEX('Order Planning'!$E$5:$E$204,MATCH(D343,'Order Planning'!$A$5:$A$204,0)),"")</f>
        <v/>
      </c>
      <c r="G343" s="7" t="str">
        <f t="array" ref="G343">IFERROR(INDEX('Order Planning'!$F$5:$F$204,MATCH(D343,'Order Planning'!$A$5:$A$204,0)),"")</f>
        <v/>
      </c>
      <c r="H343" s="7"/>
      <c r="I343" s="7"/>
      <c r="J343" s="7"/>
      <c r="O343" s="22">
        <f t="shared" si="1"/>
        <v>0</v>
      </c>
      <c r="R343" s="7"/>
    </row>
    <row r="344" ht="15.75" customHeight="1">
      <c r="A344" s="15"/>
      <c r="B344" s="7"/>
      <c r="C344" s="7"/>
      <c r="D344" s="7"/>
      <c r="E344" s="7" t="str">
        <f t="array" ref="E344">IFERROR(INDEX('Order Planning'!$C$5:$C$204,MATCH(D344,'Order Planning'!$A$5:$A$204,0)),"")</f>
        <v/>
      </c>
      <c r="F344" s="7" t="str">
        <f t="array" ref="F344">IFERROR(INDEX('Order Planning'!$E$5:$E$204,MATCH(D344,'Order Planning'!$A$5:$A$204,0)),"")</f>
        <v/>
      </c>
      <c r="G344" s="7" t="str">
        <f t="array" ref="G344">IFERROR(INDEX('Order Planning'!$F$5:$F$204,MATCH(D344,'Order Planning'!$A$5:$A$204,0)),"")</f>
        <v/>
      </c>
      <c r="H344" s="7"/>
      <c r="I344" s="7"/>
      <c r="J344" s="7"/>
      <c r="O344" s="22">
        <f t="shared" si="1"/>
        <v>0</v>
      </c>
      <c r="R344" s="7"/>
    </row>
    <row r="345" ht="15.75" customHeight="1">
      <c r="A345" s="15"/>
      <c r="B345" s="7"/>
      <c r="C345" s="7"/>
      <c r="D345" s="7"/>
      <c r="E345" s="7" t="str">
        <f t="array" ref="E345">IFERROR(INDEX('Order Planning'!$C$5:$C$204,MATCH(D345,'Order Planning'!$A$5:$A$204,0)),"")</f>
        <v/>
      </c>
      <c r="F345" s="7" t="str">
        <f t="array" ref="F345">IFERROR(INDEX('Order Planning'!$E$5:$E$204,MATCH(D345,'Order Planning'!$A$5:$A$204,0)),"")</f>
        <v/>
      </c>
      <c r="G345" s="7" t="str">
        <f t="array" ref="G345">IFERROR(INDEX('Order Planning'!$F$5:$F$204,MATCH(D345,'Order Planning'!$A$5:$A$204,0)),"")</f>
        <v/>
      </c>
      <c r="H345" s="7"/>
      <c r="I345" s="7"/>
      <c r="J345" s="7"/>
      <c r="O345" s="22">
        <f t="shared" si="1"/>
        <v>0</v>
      </c>
      <c r="R345" s="7"/>
    </row>
    <row r="346" ht="15.75" customHeight="1">
      <c r="A346" s="15"/>
      <c r="B346" s="7"/>
      <c r="C346" s="7"/>
      <c r="D346" s="7"/>
      <c r="E346" s="7" t="str">
        <f t="array" ref="E346">IFERROR(INDEX('Order Planning'!$C$5:$C$204,MATCH(D346,'Order Planning'!$A$5:$A$204,0)),"")</f>
        <v/>
      </c>
      <c r="F346" s="7" t="str">
        <f t="array" ref="F346">IFERROR(INDEX('Order Planning'!$E$5:$E$204,MATCH(D346,'Order Planning'!$A$5:$A$204,0)),"")</f>
        <v/>
      </c>
      <c r="G346" s="7" t="str">
        <f t="array" ref="G346">IFERROR(INDEX('Order Planning'!$F$5:$F$204,MATCH(D346,'Order Planning'!$A$5:$A$204,0)),"")</f>
        <v/>
      </c>
      <c r="H346" s="7"/>
      <c r="I346" s="7"/>
      <c r="J346" s="7"/>
      <c r="O346" s="22">
        <f t="shared" si="1"/>
        <v>0</v>
      </c>
      <c r="R346" s="7"/>
    </row>
    <row r="347" ht="15.75" customHeight="1">
      <c r="A347" s="15"/>
      <c r="B347" s="7"/>
      <c r="C347" s="7"/>
      <c r="D347" s="7"/>
      <c r="E347" s="7" t="str">
        <f t="array" ref="E347">IFERROR(INDEX('Order Planning'!$C$5:$C$204,MATCH(D347,'Order Planning'!$A$5:$A$204,0)),"")</f>
        <v/>
      </c>
      <c r="F347" s="7" t="str">
        <f t="array" ref="F347">IFERROR(INDEX('Order Planning'!$E$5:$E$204,MATCH(D347,'Order Planning'!$A$5:$A$204,0)),"")</f>
        <v/>
      </c>
      <c r="G347" s="7" t="str">
        <f t="array" ref="G347">IFERROR(INDEX('Order Planning'!$F$5:$F$204,MATCH(D347,'Order Planning'!$A$5:$A$204,0)),"")</f>
        <v/>
      </c>
      <c r="H347" s="7"/>
      <c r="I347" s="7"/>
      <c r="J347" s="7"/>
      <c r="O347" s="22">
        <f t="shared" si="1"/>
        <v>0</v>
      </c>
      <c r="R347" s="7"/>
    </row>
    <row r="348" ht="15.75" customHeight="1">
      <c r="A348" s="15"/>
      <c r="B348" s="7"/>
      <c r="C348" s="7"/>
      <c r="D348" s="7"/>
      <c r="E348" s="7" t="str">
        <f t="array" ref="E348">IFERROR(INDEX('Order Planning'!$C$5:$C$204,MATCH(D348,'Order Planning'!$A$5:$A$204,0)),"")</f>
        <v/>
      </c>
      <c r="F348" s="7" t="str">
        <f t="array" ref="F348">IFERROR(INDEX('Order Planning'!$E$5:$E$204,MATCH(D348,'Order Planning'!$A$5:$A$204,0)),"")</f>
        <v/>
      </c>
      <c r="G348" s="7" t="str">
        <f t="array" ref="G348">IFERROR(INDEX('Order Planning'!$F$5:$F$204,MATCH(D348,'Order Planning'!$A$5:$A$204,0)),"")</f>
        <v/>
      </c>
      <c r="H348" s="7"/>
      <c r="I348" s="7"/>
      <c r="J348" s="7"/>
      <c r="O348" s="22">
        <f t="shared" si="1"/>
        <v>0</v>
      </c>
      <c r="R348" s="7"/>
    </row>
    <row r="349" ht="15.75" customHeight="1">
      <c r="A349" s="15"/>
      <c r="B349" s="7"/>
      <c r="C349" s="7"/>
      <c r="D349" s="7"/>
      <c r="E349" s="7" t="str">
        <f t="array" ref="E349">IFERROR(INDEX('Order Planning'!$C$5:$C$204,MATCH(D349,'Order Planning'!$A$5:$A$204,0)),"")</f>
        <v/>
      </c>
      <c r="F349" s="7" t="str">
        <f t="array" ref="F349">IFERROR(INDEX('Order Planning'!$E$5:$E$204,MATCH(D349,'Order Planning'!$A$5:$A$204,0)),"")</f>
        <v/>
      </c>
      <c r="G349" s="7" t="str">
        <f t="array" ref="G349">IFERROR(INDEX('Order Planning'!$F$5:$F$204,MATCH(D349,'Order Planning'!$A$5:$A$204,0)),"")</f>
        <v/>
      </c>
      <c r="H349" s="7"/>
      <c r="I349" s="7"/>
      <c r="J349" s="7"/>
      <c r="O349" s="22">
        <f t="shared" si="1"/>
        <v>0</v>
      </c>
      <c r="R349" s="7"/>
    </row>
    <row r="350" ht="15.75" customHeight="1">
      <c r="A350" s="15"/>
      <c r="B350" s="7"/>
      <c r="C350" s="7"/>
      <c r="D350" s="7"/>
      <c r="E350" s="7" t="str">
        <f t="array" ref="E350">IFERROR(INDEX('Order Planning'!$C$5:$C$204,MATCH(D350,'Order Planning'!$A$5:$A$204,0)),"")</f>
        <v/>
      </c>
      <c r="F350" s="7" t="str">
        <f t="array" ref="F350">IFERROR(INDEX('Order Planning'!$E$5:$E$204,MATCH(D350,'Order Planning'!$A$5:$A$204,0)),"")</f>
        <v/>
      </c>
      <c r="G350" s="7" t="str">
        <f t="array" ref="G350">IFERROR(INDEX('Order Planning'!$F$5:$F$204,MATCH(D350,'Order Planning'!$A$5:$A$204,0)),"")</f>
        <v/>
      </c>
      <c r="H350" s="7"/>
      <c r="I350" s="7"/>
      <c r="J350" s="7"/>
      <c r="O350" s="22">
        <f t="shared" si="1"/>
        <v>0</v>
      </c>
      <c r="R350" s="7"/>
    </row>
    <row r="351" ht="15.75" customHeight="1">
      <c r="A351" s="15"/>
      <c r="B351" s="7"/>
      <c r="C351" s="7"/>
      <c r="D351" s="7"/>
      <c r="E351" s="7" t="str">
        <f t="array" ref="E351">IFERROR(INDEX('Order Planning'!$C$5:$C$204,MATCH(D351,'Order Planning'!$A$5:$A$204,0)),"")</f>
        <v/>
      </c>
      <c r="F351" s="7" t="str">
        <f t="array" ref="F351">IFERROR(INDEX('Order Planning'!$E$5:$E$204,MATCH(D351,'Order Planning'!$A$5:$A$204,0)),"")</f>
        <v/>
      </c>
      <c r="G351" s="7" t="str">
        <f t="array" ref="G351">IFERROR(INDEX('Order Planning'!$F$5:$F$204,MATCH(D351,'Order Planning'!$A$5:$A$204,0)),"")</f>
        <v/>
      </c>
      <c r="H351" s="7"/>
      <c r="I351" s="7"/>
      <c r="J351" s="7"/>
      <c r="O351" s="22">
        <f t="shared" si="1"/>
        <v>0</v>
      </c>
      <c r="R351" s="7"/>
    </row>
    <row r="352" ht="15.75" customHeight="1">
      <c r="A352" s="15"/>
      <c r="B352" s="7"/>
      <c r="C352" s="7"/>
      <c r="D352" s="7"/>
      <c r="E352" s="7" t="str">
        <f t="array" ref="E352">IFERROR(INDEX('Order Planning'!$C$5:$C$204,MATCH(D352,'Order Planning'!$A$5:$A$204,0)),"")</f>
        <v/>
      </c>
      <c r="F352" s="7" t="str">
        <f t="array" ref="F352">IFERROR(INDEX('Order Planning'!$E$5:$E$204,MATCH(D352,'Order Planning'!$A$5:$A$204,0)),"")</f>
        <v/>
      </c>
      <c r="G352" s="7" t="str">
        <f t="array" ref="G352">IFERROR(INDEX('Order Planning'!$F$5:$F$204,MATCH(D352,'Order Planning'!$A$5:$A$204,0)),"")</f>
        <v/>
      </c>
      <c r="H352" s="7"/>
      <c r="I352" s="7"/>
      <c r="J352" s="7"/>
      <c r="O352" s="22">
        <f t="shared" si="1"/>
        <v>0</v>
      </c>
      <c r="R352" s="7"/>
    </row>
    <row r="353" ht="15.75" customHeight="1">
      <c r="A353" s="15"/>
      <c r="B353" s="7"/>
      <c r="C353" s="7"/>
      <c r="D353" s="7"/>
      <c r="E353" s="7" t="str">
        <f t="array" ref="E353">IFERROR(INDEX('Order Planning'!$C$5:$C$204,MATCH(D353,'Order Planning'!$A$5:$A$204,0)),"")</f>
        <v/>
      </c>
      <c r="F353" s="7" t="str">
        <f t="array" ref="F353">IFERROR(INDEX('Order Planning'!$E$5:$E$204,MATCH(D353,'Order Planning'!$A$5:$A$204,0)),"")</f>
        <v/>
      </c>
      <c r="G353" s="7" t="str">
        <f t="array" ref="G353">IFERROR(INDEX('Order Planning'!$F$5:$F$204,MATCH(D353,'Order Planning'!$A$5:$A$204,0)),"")</f>
        <v/>
      </c>
      <c r="H353" s="7"/>
      <c r="I353" s="7"/>
      <c r="J353" s="7"/>
      <c r="O353" s="22">
        <f t="shared" si="1"/>
        <v>0</v>
      </c>
      <c r="R353" s="7"/>
    </row>
    <row r="354" ht="15.75" customHeight="1">
      <c r="A354" s="15"/>
      <c r="B354" s="7"/>
      <c r="C354" s="7"/>
      <c r="D354" s="7"/>
      <c r="E354" s="7" t="str">
        <f t="array" ref="E354">IFERROR(INDEX('Order Planning'!$C$5:$C$204,MATCH(D354,'Order Planning'!$A$5:$A$204,0)),"")</f>
        <v/>
      </c>
      <c r="F354" s="7" t="str">
        <f t="array" ref="F354">IFERROR(INDEX('Order Planning'!$E$5:$E$204,MATCH(D354,'Order Planning'!$A$5:$A$204,0)),"")</f>
        <v/>
      </c>
      <c r="G354" s="7" t="str">
        <f t="array" ref="G354">IFERROR(INDEX('Order Planning'!$F$5:$F$204,MATCH(D354,'Order Planning'!$A$5:$A$204,0)),"")</f>
        <v/>
      </c>
      <c r="H354" s="7"/>
      <c r="I354" s="7"/>
      <c r="J354" s="7"/>
      <c r="O354" s="22">
        <f t="shared" si="1"/>
        <v>0</v>
      </c>
      <c r="R354" s="7"/>
    </row>
    <row r="355" ht="15.75" customHeight="1">
      <c r="A355" s="15"/>
      <c r="B355" s="7"/>
      <c r="C355" s="7"/>
      <c r="D355" s="7"/>
      <c r="E355" s="7" t="str">
        <f t="array" ref="E355">IFERROR(INDEX('Order Planning'!$C$5:$C$204,MATCH(D355,'Order Planning'!$A$5:$A$204,0)),"")</f>
        <v/>
      </c>
      <c r="F355" s="7" t="str">
        <f t="array" ref="F355">IFERROR(INDEX('Order Planning'!$E$5:$E$204,MATCH(D355,'Order Planning'!$A$5:$A$204,0)),"")</f>
        <v/>
      </c>
      <c r="G355" s="7" t="str">
        <f t="array" ref="G355">IFERROR(INDEX('Order Planning'!$F$5:$F$204,MATCH(D355,'Order Planning'!$A$5:$A$204,0)),"")</f>
        <v/>
      </c>
      <c r="H355" s="7"/>
      <c r="I355" s="7"/>
      <c r="J355" s="7"/>
      <c r="O355" s="22">
        <f t="shared" si="1"/>
        <v>0</v>
      </c>
      <c r="R355" s="7"/>
    </row>
    <row r="356" ht="15.75" customHeight="1">
      <c r="A356" s="15"/>
      <c r="B356" s="7"/>
      <c r="C356" s="7"/>
      <c r="D356" s="7"/>
      <c r="E356" s="7" t="str">
        <f t="array" ref="E356">IFERROR(INDEX('Order Planning'!$C$5:$C$204,MATCH(D356,'Order Planning'!$A$5:$A$204,0)),"")</f>
        <v/>
      </c>
      <c r="F356" s="7" t="str">
        <f t="array" ref="F356">IFERROR(INDEX('Order Planning'!$E$5:$E$204,MATCH(D356,'Order Planning'!$A$5:$A$204,0)),"")</f>
        <v/>
      </c>
      <c r="G356" s="7" t="str">
        <f t="array" ref="G356">IFERROR(INDEX('Order Planning'!$F$5:$F$204,MATCH(D356,'Order Planning'!$A$5:$A$204,0)),"")</f>
        <v/>
      </c>
      <c r="H356" s="7"/>
      <c r="I356" s="7"/>
      <c r="J356" s="7"/>
      <c r="O356" s="22">
        <f t="shared" si="1"/>
        <v>0</v>
      </c>
      <c r="R356" s="7"/>
    </row>
    <row r="357" ht="15.75" customHeight="1">
      <c r="A357" s="15"/>
      <c r="B357" s="7"/>
      <c r="C357" s="7"/>
      <c r="D357" s="7"/>
      <c r="E357" s="7" t="str">
        <f t="array" ref="E357">IFERROR(INDEX('Order Planning'!$C$5:$C$204,MATCH(D357,'Order Planning'!$A$5:$A$204,0)),"")</f>
        <v/>
      </c>
      <c r="F357" s="7" t="str">
        <f t="array" ref="F357">IFERROR(INDEX('Order Planning'!$E$5:$E$204,MATCH(D357,'Order Planning'!$A$5:$A$204,0)),"")</f>
        <v/>
      </c>
      <c r="G357" s="7" t="str">
        <f t="array" ref="G357">IFERROR(INDEX('Order Planning'!$F$5:$F$204,MATCH(D357,'Order Planning'!$A$5:$A$204,0)),"")</f>
        <v/>
      </c>
      <c r="H357" s="7"/>
      <c r="I357" s="7"/>
      <c r="J357" s="7"/>
      <c r="O357" s="22">
        <f t="shared" si="1"/>
        <v>0</v>
      </c>
      <c r="R357" s="7"/>
    </row>
    <row r="358" ht="15.75" customHeight="1">
      <c r="A358" s="15"/>
      <c r="B358" s="7"/>
      <c r="C358" s="7"/>
      <c r="D358" s="7"/>
      <c r="E358" s="7" t="str">
        <f t="array" ref="E358">IFERROR(INDEX('Order Planning'!$C$5:$C$204,MATCH(D358,'Order Planning'!$A$5:$A$204,0)),"")</f>
        <v/>
      </c>
      <c r="F358" s="7" t="str">
        <f t="array" ref="F358">IFERROR(INDEX('Order Planning'!$E$5:$E$204,MATCH(D358,'Order Planning'!$A$5:$A$204,0)),"")</f>
        <v/>
      </c>
      <c r="G358" s="7" t="str">
        <f t="array" ref="G358">IFERROR(INDEX('Order Planning'!$F$5:$F$204,MATCH(D358,'Order Planning'!$A$5:$A$204,0)),"")</f>
        <v/>
      </c>
      <c r="H358" s="7"/>
      <c r="I358" s="7"/>
      <c r="J358" s="7"/>
      <c r="O358" s="22">
        <f t="shared" si="1"/>
        <v>0</v>
      </c>
      <c r="R358" s="7"/>
    </row>
    <row r="359" ht="15.75" customHeight="1">
      <c r="A359" s="15"/>
      <c r="B359" s="7"/>
      <c r="C359" s="7"/>
      <c r="D359" s="7"/>
      <c r="E359" s="7" t="str">
        <f t="array" ref="E359">IFERROR(INDEX('Order Planning'!$C$5:$C$204,MATCH(D359,'Order Planning'!$A$5:$A$204,0)),"")</f>
        <v/>
      </c>
      <c r="F359" s="7" t="str">
        <f t="array" ref="F359">IFERROR(INDEX('Order Planning'!$E$5:$E$204,MATCH(D359,'Order Planning'!$A$5:$A$204,0)),"")</f>
        <v/>
      </c>
      <c r="G359" s="7" t="str">
        <f t="array" ref="G359">IFERROR(INDEX('Order Planning'!$F$5:$F$204,MATCH(D359,'Order Planning'!$A$5:$A$204,0)),"")</f>
        <v/>
      </c>
      <c r="H359" s="7"/>
      <c r="I359" s="7"/>
      <c r="J359" s="7"/>
      <c r="O359" s="22">
        <f t="shared" si="1"/>
        <v>0</v>
      </c>
      <c r="R359" s="7"/>
    </row>
    <row r="360" ht="15.75" customHeight="1">
      <c r="A360" s="15"/>
      <c r="B360" s="7"/>
      <c r="C360" s="7"/>
      <c r="D360" s="7"/>
      <c r="E360" s="7" t="str">
        <f t="array" ref="E360">IFERROR(INDEX('Order Planning'!$C$5:$C$204,MATCH(D360,'Order Planning'!$A$5:$A$204,0)),"")</f>
        <v/>
      </c>
      <c r="F360" s="7" t="str">
        <f t="array" ref="F360">IFERROR(INDEX('Order Planning'!$E$5:$E$204,MATCH(D360,'Order Planning'!$A$5:$A$204,0)),"")</f>
        <v/>
      </c>
      <c r="G360" s="7" t="str">
        <f t="array" ref="G360">IFERROR(INDEX('Order Planning'!$F$5:$F$204,MATCH(D360,'Order Planning'!$A$5:$A$204,0)),"")</f>
        <v/>
      </c>
      <c r="H360" s="7"/>
      <c r="I360" s="7"/>
      <c r="J360" s="7"/>
      <c r="O360" s="22">
        <f t="shared" si="1"/>
        <v>0</v>
      </c>
      <c r="R360" s="7"/>
    </row>
    <row r="361" ht="15.75" customHeight="1">
      <c r="A361" s="15"/>
      <c r="B361" s="7"/>
      <c r="C361" s="7"/>
      <c r="D361" s="7"/>
      <c r="E361" s="7" t="str">
        <f t="array" ref="E361">IFERROR(INDEX('Order Planning'!$C$5:$C$204,MATCH(D361,'Order Planning'!$A$5:$A$204,0)),"")</f>
        <v/>
      </c>
      <c r="F361" s="7" t="str">
        <f t="array" ref="F361">IFERROR(INDEX('Order Planning'!$E$5:$E$204,MATCH(D361,'Order Planning'!$A$5:$A$204,0)),"")</f>
        <v/>
      </c>
      <c r="G361" s="7" t="str">
        <f t="array" ref="G361">IFERROR(INDEX('Order Planning'!$F$5:$F$204,MATCH(D361,'Order Planning'!$A$5:$A$204,0)),"")</f>
        <v/>
      </c>
      <c r="H361" s="7"/>
      <c r="I361" s="7"/>
      <c r="J361" s="7"/>
      <c r="O361" s="22">
        <f t="shared" si="1"/>
        <v>0</v>
      </c>
      <c r="R361" s="7"/>
    </row>
    <row r="362" ht="15.75" customHeight="1">
      <c r="A362" s="15"/>
      <c r="B362" s="7"/>
      <c r="C362" s="7"/>
      <c r="D362" s="7"/>
      <c r="E362" s="7" t="str">
        <f t="array" ref="E362">IFERROR(INDEX('Order Planning'!$C$5:$C$204,MATCH(D362,'Order Planning'!$A$5:$A$204,0)),"")</f>
        <v/>
      </c>
      <c r="F362" s="7" t="str">
        <f t="array" ref="F362">IFERROR(INDEX('Order Planning'!$E$5:$E$204,MATCH(D362,'Order Planning'!$A$5:$A$204,0)),"")</f>
        <v/>
      </c>
      <c r="G362" s="7" t="str">
        <f t="array" ref="G362">IFERROR(INDEX('Order Planning'!$F$5:$F$204,MATCH(D362,'Order Planning'!$A$5:$A$204,0)),"")</f>
        <v/>
      </c>
      <c r="H362" s="7"/>
      <c r="I362" s="7"/>
      <c r="J362" s="7"/>
      <c r="O362" s="22">
        <f t="shared" si="1"/>
        <v>0</v>
      </c>
      <c r="R362" s="7"/>
    </row>
    <row r="363" ht="15.75" customHeight="1">
      <c r="A363" s="15"/>
      <c r="B363" s="7"/>
      <c r="C363" s="7"/>
      <c r="D363" s="7"/>
      <c r="E363" s="7" t="str">
        <f t="array" ref="E363">IFERROR(INDEX('Order Planning'!$C$5:$C$204,MATCH(D363,'Order Planning'!$A$5:$A$204,0)),"")</f>
        <v/>
      </c>
      <c r="F363" s="7" t="str">
        <f t="array" ref="F363">IFERROR(INDEX('Order Planning'!$E$5:$E$204,MATCH(D363,'Order Planning'!$A$5:$A$204,0)),"")</f>
        <v/>
      </c>
      <c r="G363" s="7" t="str">
        <f t="array" ref="G363">IFERROR(INDEX('Order Planning'!$F$5:$F$204,MATCH(D363,'Order Planning'!$A$5:$A$204,0)),"")</f>
        <v/>
      </c>
      <c r="H363" s="7"/>
      <c r="I363" s="7"/>
      <c r="J363" s="7"/>
      <c r="O363" s="22">
        <f t="shared" si="1"/>
        <v>0</v>
      </c>
      <c r="R363" s="7"/>
    </row>
    <row r="364" ht="15.75" customHeight="1">
      <c r="A364" s="15"/>
      <c r="B364" s="7"/>
      <c r="C364" s="7"/>
      <c r="D364" s="7"/>
      <c r="E364" s="7" t="str">
        <f t="array" ref="E364">IFERROR(INDEX('Order Planning'!$C$5:$C$204,MATCH(D364,'Order Planning'!$A$5:$A$204,0)),"")</f>
        <v/>
      </c>
      <c r="F364" s="7" t="str">
        <f t="array" ref="F364">IFERROR(INDEX('Order Planning'!$E$5:$E$204,MATCH(D364,'Order Planning'!$A$5:$A$204,0)),"")</f>
        <v/>
      </c>
      <c r="G364" s="7" t="str">
        <f t="array" ref="G364">IFERROR(INDEX('Order Planning'!$F$5:$F$204,MATCH(D364,'Order Planning'!$A$5:$A$204,0)),"")</f>
        <v/>
      </c>
      <c r="H364" s="7"/>
      <c r="I364" s="7"/>
      <c r="J364" s="7"/>
      <c r="O364" s="22">
        <f t="shared" si="1"/>
        <v>0</v>
      </c>
      <c r="R364" s="7"/>
    </row>
    <row r="365" ht="15.75" customHeight="1">
      <c r="A365" s="15"/>
      <c r="B365" s="7"/>
      <c r="C365" s="7"/>
      <c r="D365" s="7"/>
      <c r="E365" s="7" t="str">
        <f t="array" ref="E365">IFERROR(INDEX('Order Planning'!$C$5:$C$204,MATCH(D365,'Order Planning'!$A$5:$A$204,0)),"")</f>
        <v/>
      </c>
      <c r="F365" s="7" t="str">
        <f t="array" ref="F365">IFERROR(INDEX('Order Planning'!$E$5:$E$204,MATCH(D365,'Order Planning'!$A$5:$A$204,0)),"")</f>
        <v/>
      </c>
      <c r="G365" s="7" t="str">
        <f t="array" ref="G365">IFERROR(INDEX('Order Planning'!$F$5:$F$204,MATCH(D365,'Order Planning'!$A$5:$A$204,0)),"")</f>
        <v/>
      </c>
      <c r="H365" s="7"/>
      <c r="I365" s="7"/>
      <c r="J365" s="7"/>
      <c r="O365" s="22">
        <f t="shared" si="1"/>
        <v>0</v>
      </c>
      <c r="R365" s="7"/>
    </row>
    <row r="366" ht="15.75" customHeight="1">
      <c r="A366" s="15"/>
      <c r="B366" s="7"/>
      <c r="C366" s="7"/>
      <c r="D366" s="7"/>
      <c r="E366" s="7" t="str">
        <f t="array" ref="E366">IFERROR(INDEX('Order Planning'!$C$5:$C$204,MATCH(D366,'Order Planning'!$A$5:$A$204,0)),"")</f>
        <v/>
      </c>
      <c r="F366" s="7" t="str">
        <f t="array" ref="F366">IFERROR(INDEX('Order Planning'!$E$5:$E$204,MATCH(D366,'Order Planning'!$A$5:$A$204,0)),"")</f>
        <v/>
      </c>
      <c r="G366" s="7" t="str">
        <f t="array" ref="G366">IFERROR(INDEX('Order Planning'!$F$5:$F$204,MATCH(D366,'Order Planning'!$A$5:$A$204,0)),"")</f>
        <v/>
      </c>
      <c r="H366" s="7"/>
      <c r="I366" s="7"/>
      <c r="J366" s="7"/>
      <c r="O366" s="22">
        <f t="shared" si="1"/>
        <v>0</v>
      </c>
      <c r="R366" s="7"/>
    </row>
    <row r="367" ht="15.75" customHeight="1">
      <c r="A367" s="15"/>
      <c r="B367" s="7"/>
      <c r="C367" s="7"/>
      <c r="D367" s="7"/>
      <c r="E367" s="7" t="str">
        <f t="array" ref="E367">IFERROR(INDEX('Order Planning'!$C$5:$C$204,MATCH(D367,'Order Planning'!$A$5:$A$204,0)),"")</f>
        <v/>
      </c>
      <c r="F367" s="7" t="str">
        <f t="array" ref="F367">IFERROR(INDEX('Order Planning'!$E$5:$E$204,MATCH(D367,'Order Planning'!$A$5:$A$204,0)),"")</f>
        <v/>
      </c>
      <c r="G367" s="7" t="str">
        <f t="array" ref="G367">IFERROR(INDEX('Order Planning'!$F$5:$F$204,MATCH(D367,'Order Planning'!$A$5:$A$204,0)),"")</f>
        <v/>
      </c>
      <c r="H367" s="7"/>
      <c r="I367" s="7"/>
      <c r="J367" s="7"/>
      <c r="O367" s="22">
        <f t="shared" si="1"/>
        <v>0</v>
      </c>
      <c r="R367" s="7"/>
    </row>
    <row r="368" ht="15.75" customHeight="1">
      <c r="A368" s="15"/>
      <c r="B368" s="7"/>
      <c r="C368" s="7"/>
      <c r="D368" s="7"/>
      <c r="E368" s="7" t="str">
        <f t="array" ref="E368">IFERROR(INDEX('Order Planning'!$C$5:$C$204,MATCH(D368,'Order Planning'!$A$5:$A$204,0)),"")</f>
        <v/>
      </c>
      <c r="F368" s="7" t="str">
        <f t="array" ref="F368">IFERROR(INDEX('Order Planning'!$E$5:$E$204,MATCH(D368,'Order Planning'!$A$5:$A$204,0)),"")</f>
        <v/>
      </c>
      <c r="G368" s="7" t="str">
        <f t="array" ref="G368">IFERROR(INDEX('Order Planning'!$F$5:$F$204,MATCH(D368,'Order Planning'!$A$5:$A$204,0)),"")</f>
        <v/>
      </c>
      <c r="H368" s="7"/>
      <c r="I368" s="7"/>
      <c r="J368" s="7"/>
      <c r="O368" s="22">
        <f t="shared" si="1"/>
        <v>0</v>
      </c>
      <c r="R368" s="7"/>
    </row>
    <row r="369" ht="15.75" customHeight="1">
      <c r="A369" s="15"/>
      <c r="B369" s="7"/>
      <c r="C369" s="7"/>
      <c r="D369" s="7"/>
      <c r="E369" s="7" t="str">
        <f t="array" ref="E369">IFERROR(INDEX('Order Planning'!$C$5:$C$204,MATCH(D369,'Order Planning'!$A$5:$A$204,0)),"")</f>
        <v/>
      </c>
      <c r="F369" s="7" t="str">
        <f t="array" ref="F369">IFERROR(INDEX('Order Planning'!$E$5:$E$204,MATCH(D369,'Order Planning'!$A$5:$A$204,0)),"")</f>
        <v/>
      </c>
      <c r="G369" s="7" t="str">
        <f t="array" ref="G369">IFERROR(INDEX('Order Planning'!$F$5:$F$204,MATCH(D369,'Order Planning'!$A$5:$A$204,0)),"")</f>
        <v/>
      </c>
      <c r="H369" s="7"/>
      <c r="I369" s="7"/>
      <c r="J369" s="7"/>
      <c r="O369" s="22">
        <f t="shared" si="1"/>
        <v>0</v>
      </c>
      <c r="R369" s="7"/>
    </row>
    <row r="370" ht="15.75" customHeight="1">
      <c r="A370" s="15"/>
      <c r="B370" s="7"/>
      <c r="C370" s="7"/>
      <c r="D370" s="7"/>
      <c r="E370" s="7" t="str">
        <f t="array" ref="E370">IFERROR(INDEX('Order Planning'!$C$5:$C$204,MATCH(D370,'Order Planning'!$A$5:$A$204,0)),"")</f>
        <v/>
      </c>
      <c r="F370" s="7" t="str">
        <f t="array" ref="F370">IFERROR(INDEX('Order Planning'!$E$5:$E$204,MATCH(D370,'Order Planning'!$A$5:$A$204,0)),"")</f>
        <v/>
      </c>
      <c r="G370" s="7" t="str">
        <f t="array" ref="G370">IFERROR(INDEX('Order Planning'!$F$5:$F$204,MATCH(D370,'Order Planning'!$A$5:$A$204,0)),"")</f>
        <v/>
      </c>
      <c r="H370" s="7"/>
      <c r="I370" s="7"/>
      <c r="J370" s="7"/>
      <c r="O370" s="22">
        <f t="shared" si="1"/>
        <v>0</v>
      </c>
      <c r="R370" s="7"/>
    </row>
    <row r="371" ht="15.75" customHeight="1">
      <c r="A371" s="15"/>
      <c r="B371" s="7"/>
      <c r="C371" s="7"/>
      <c r="D371" s="7"/>
      <c r="E371" s="7" t="str">
        <f t="array" ref="E371">IFERROR(INDEX('Order Planning'!$C$5:$C$204,MATCH(D371,'Order Planning'!$A$5:$A$204,0)),"")</f>
        <v/>
      </c>
      <c r="F371" s="7" t="str">
        <f t="array" ref="F371">IFERROR(INDEX('Order Planning'!$E$5:$E$204,MATCH(D371,'Order Planning'!$A$5:$A$204,0)),"")</f>
        <v/>
      </c>
      <c r="G371" s="7" t="str">
        <f t="array" ref="G371">IFERROR(INDEX('Order Planning'!$F$5:$F$204,MATCH(D371,'Order Planning'!$A$5:$A$204,0)),"")</f>
        <v/>
      </c>
      <c r="H371" s="7"/>
      <c r="I371" s="7"/>
      <c r="J371" s="7"/>
      <c r="O371" s="22">
        <f t="shared" si="1"/>
        <v>0</v>
      </c>
      <c r="R371" s="7"/>
    </row>
    <row r="372" ht="15.75" customHeight="1">
      <c r="A372" s="15"/>
      <c r="B372" s="7"/>
      <c r="C372" s="7"/>
      <c r="D372" s="7"/>
      <c r="E372" s="7" t="str">
        <f t="array" ref="E372">IFERROR(INDEX('Order Planning'!$C$5:$C$204,MATCH(D372,'Order Planning'!$A$5:$A$204,0)),"")</f>
        <v/>
      </c>
      <c r="F372" s="7" t="str">
        <f t="array" ref="F372">IFERROR(INDEX('Order Planning'!$E$5:$E$204,MATCH(D372,'Order Planning'!$A$5:$A$204,0)),"")</f>
        <v/>
      </c>
      <c r="G372" s="7" t="str">
        <f t="array" ref="G372">IFERROR(INDEX('Order Planning'!$F$5:$F$204,MATCH(D372,'Order Planning'!$A$5:$A$204,0)),"")</f>
        <v/>
      </c>
      <c r="H372" s="7"/>
      <c r="I372" s="7"/>
      <c r="J372" s="7"/>
      <c r="O372" s="22">
        <f t="shared" si="1"/>
        <v>0</v>
      </c>
      <c r="R372" s="7"/>
    </row>
    <row r="373" ht="15.75" customHeight="1">
      <c r="A373" s="15"/>
      <c r="B373" s="7"/>
      <c r="C373" s="7"/>
      <c r="D373" s="7"/>
      <c r="E373" s="7" t="str">
        <f t="array" ref="E373">IFERROR(INDEX('Order Planning'!$C$5:$C$204,MATCH(D373,'Order Planning'!$A$5:$A$204,0)),"")</f>
        <v/>
      </c>
      <c r="F373" s="7" t="str">
        <f t="array" ref="F373">IFERROR(INDEX('Order Planning'!$E$5:$E$204,MATCH(D373,'Order Planning'!$A$5:$A$204,0)),"")</f>
        <v/>
      </c>
      <c r="G373" s="7" t="str">
        <f t="array" ref="G373">IFERROR(INDEX('Order Planning'!$F$5:$F$204,MATCH(D373,'Order Planning'!$A$5:$A$204,0)),"")</f>
        <v/>
      </c>
      <c r="H373" s="7"/>
      <c r="I373" s="7"/>
      <c r="J373" s="7"/>
      <c r="O373" s="22">
        <f t="shared" si="1"/>
        <v>0</v>
      </c>
      <c r="R373" s="7"/>
    </row>
    <row r="374" ht="15.75" customHeight="1">
      <c r="A374" s="15"/>
      <c r="B374" s="7"/>
      <c r="C374" s="7"/>
      <c r="D374" s="7"/>
      <c r="E374" s="7" t="str">
        <f t="array" ref="E374">IFERROR(INDEX('Order Planning'!$C$5:$C$204,MATCH(D374,'Order Planning'!$A$5:$A$204,0)),"")</f>
        <v/>
      </c>
      <c r="F374" s="7" t="str">
        <f t="array" ref="F374">IFERROR(INDEX('Order Planning'!$E$5:$E$204,MATCH(D374,'Order Planning'!$A$5:$A$204,0)),"")</f>
        <v/>
      </c>
      <c r="G374" s="7" t="str">
        <f t="array" ref="G374">IFERROR(INDEX('Order Planning'!$F$5:$F$204,MATCH(D374,'Order Planning'!$A$5:$A$204,0)),"")</f>
        <v/>
      </c>
      <c r="H374" s="7"/>
      <c r="I374" s="7"/>
      <c r="J374" s="7"/>
      <c r="O374" s="22">
        <f t="shared" si="1"/>
        <v>0</v>
      </c>
      <c r="R374" s="7"/>
    </row>
    <row r="375" ht="15.75" customHeight="1">
      <c r="A375" s="15"/>
      <c r="B375" s="7"/>
      <c r="C375" s="7"/>
      <c r="D375" s="7"/>
      <c r="E375" s="7" t="str">
        <f t="array" ref="E375">IFERROR(INDEX('Order Planning'!$C$5:$C$204,MATCH(D375,'Order Planning'!$A$5:$A$204,0)),"")</f>
        <v/>
      </c>
      <c r="F375" s="7" t="str">
        <f t="array" ref="F375">IFERROR(INDEX('Order Planning'!$E$5:$E$204,MATCH(D375,'Order Planning'!$A$5:$A$204,0)),"")</f>
        <v/>
      </c>
      <c r="G375" s="7" t="str">
        <f t="array" ref="G375">IFERROR(INDEX('Order Planning'!$F$5:$F$204,MATCH(D375,'Order Planning'!$A$5:$A$204,0)),"")</f>
        <v/>
      </c>
      <c r="H375" s="7"/>
      <c r="I375" s="7"/>
      <c r="J375" s="7"/>
      <c r="O375" s="22">
        <f t="shared" si="1"/>
        <v>0</v>
      </c>
      <c r="R375" s="7"/>
    </row>
    <row r="376" ht="15.75" customHeight="1">
      <c r="A376" s="15"/>
      <c r="B376" s="7"/>
      <c r="C376" s="7"/>
      <c r="D376" s="7"/>
      <c r="E376" s="7" t="str">
        <f t="array" ref="E376">IFERROR(INDEX('Order Planning'!$C$5:$C$204,MATCH(D376,'Order Planning'!$A$5:$A$204,0)),"")</f>
        <v/>
      </c>
      <c r="F376" s="7" t="str">
        <f t="array" ref="F376">IFERROR(INDEX('Order Planning'!$E$5:$E$204,MATCH(D376,'Order Planning'!$A$5:$A$204,0)),"")</f>
        <v/>
      </c>
      <c r="G376" s="7" t="str">
        <f t="array" ref="G376">IFERROR(INDEX('Order Planning'!$F$5:$F$204,MATCH(D376,'Order Planning'!$A$5:$A$204,0)),"")</f>
        <v/>
      </c>
      <c r="H376" s="7"/>
      <c r="I376" s="7"/>
      <c r="J376" s="7"/>
      <c r="O376" s="22">
        <f t="shared" si="1"/>
        <v>0</v>
      </c>
      <c r="R376" s="7"/>
    </row>
    <row r="377" ht="15.75" customHeight="1">
      <c r="A377" s="15"/>
      <c r="B377" s="7"/>
      <c r="C377" s="7"/>
      <c r="D377" s="7"/>
      <c r="E377" s="7" t="str">
        <f t="array" ref="E377">IFERROR(INDEX('Order Planning'!$C$5:$C$204,MATCH(D377,'Order Planning'!$A$5:$A$204,0)),"")</f>
        <v/>
      </c>
      <c r="F377" s="7" t="str">
        <f t="array" ref="F377">IFERROR(INDEX('Order Planning'!$E$5:$E$204,MATCH(D377,'Order Planning'!$A$5:$A$204,0)),"")</f>
        <v/>
      </c>
      <c r="G377" s="7" t="str">
        <f t="array" ref="G377">IFERROR(INDEX('Order Planning'!$F$5:$F$204,MATCH(D377,'Order Planning'!$A$5:$A$204,0)),"")</f>
        <v/>
      </c>
      <c r="H377" s="7"/>
      <c r="I377" s="7"/>
      <c r="J377" s="7"/>
      <c r="O377" s="22">
        <f t="shared" si="1"/>
        <v>0</v>
      </c>
      <c r="R377" s="7"/>
    </row>
    <row r="378" ht="15.75" customHeight="1">
      <c r="A378" s="15"/>
      <c r="B378" s="7"/>
      <c r="C378" s="7"/>
      <c r="D378" s="7"/>
      <c r="E378" s="7" t="str">
        <f t="array" ref="E378">IFERROR(INDEX('Order Planning'!$C$5:$C$204,MATCH(D378,'Order Planning'!$A$5:$A$204,0)),"")</f>
        <v/>
      </c>
      <c r="F378" s="7" t="str">
        <f t="array" ref="F378">IFERROR(INDEX('Order Planning'!$E$5:$E$204,MATCH(D378,'Order Planning'!$A$5:$A$204,0)),"")</f>
        <v/>
      </c>
      <c r="G378" s="7" t="str">
        <f t="array" ref="G378">IFERROR(INDEX('Order Planning'!$F$5:$F$204,MATCH(D378,'Order Planning'!$A$5:$A$204,0)),"")</f>
        <v/>
      </c>
      <c r="H378" s="7"/>
      <c r="I378" s="7"/>
      <c r="J378" s="7"/>
      <c r="O378" s="22">
        <f t="shared" si="1"/>
        <v>0</v>
      </c>
      <c r="R378" s="7"/>
    </row>
    <row r="379" ht="15.75" customHeight="1">
      <c r="A379" s="15"/>
      <c r="B379" s="7"/>
      <c r="C379" s="7"/>
      <c r="D379" s="7"/>
      <c r="E379" s="7" t="str">
        <f t="array" ref="E379">IFERROR(INDEX('Order Planning'!$C$5:$C$204,MATCH(D379,'Order Planning'!$A$5:$A$204,0)),"")</f>
        <v/>
      </c>
      <c r="F379" s="7" t="str">
        <f t="array" ref="F379">IFERROR(INDEX('Order Planning'!$E$5:$E$204,MATCH(D379,'Order Planning'!$A$5:$A$204,0)),"")</f>
        <v/>
      </c>
      <c r="G379" s="7" t="str">
        <f t="array" ref="G379">IFERROR(INDEX('Order Planning'!$F$5:$F$204,MATCH(D379,'Order Planning'!$A$5:$A$204,0)),"")</f>
        <v/>
      </c>
      <c r="H379" s="7"/>
      <c r="I379" s="7"/>
      <c r="J379" s="7"/>
      <c r="O379" s="22">
        <f t="shared" si="1"/>
        <v>0</v>
      </c>
      <c r="R379" s="7"/>
    </row>
    <row r="380" ht="15.75" customHeight="1">
      <c r="A380" s="15"/>
      <c r="B380" s="7"/>
      <c r="C380" s="7"/>
      <c r="D380" s="7"/>
      <c r="E380" s="7" t="str">
        <f t="array" ref="E380">IFERROR(INDEX('Order Planning'!$C$5:$C$204,MATCH(D380,'Order Planning'!$A$5:$A$204,0)),"")</f>
        <v/>
      </c>
      <c r="F380" s="7" t="str">
        <f t="array" ref="F380">IFERROR(INDEX('Order Planning'!$E$5:$E$204,MATCH(D380,'Order Planning'!$A$5:$A$204,0)),"")</f>
        <v/>
      </c>
      <c r="G380" s="7" t="str">
        <f t="array" ref="G380">IFERROR(INDEX('Order Planning'!$F$5:$F$204,MATCH(D380,'Order Planning'!$A$5:$A$204,0)),"")</f>
        <v/>
      </c>
      <c r="H380" s="7"/>
      <c r="I380" s="7"/>
      <c r="J380" s="7"/>
      <c r="O380" s="22">
        <f t="shared" si="1"/>
        <v>0</v>
      </c>
      <c r="R380" s="7"/>
    </row>
    <row r="381" ht="15.75" customHeight="1">
      <c r="A381" s="15"/>
      <c r="B381" s="7"/>
      <c r="C381" s="7"/>
      <c r="D381" s="7"/>
      <c r="E381" s="7" t="str">
        <f t="array" ref="E381">IFERROR(INDEX('Order Planning'!$C$5:$C$204,MATCH(D381,'Order Planning'!$A$5:$A$204,0)),"")</f>
        <v/>
      </c>
      <c r="F381" s="7" t="str">
        <f t="array" ref="F381">IFERROR(INDEX('Order Planning'!$E$5:$E$204,MATCH(D381,'Order Planning'!$A$5:$A$204,0)),"")</f>
        <v/>
      </c>
      <c r="G381" s="7" t="str">
        <f t="array" ref="G381">IFERROR(INDEX('Order Planning'!$F$5:$F$204,MATCH(D381,'Order Planning'!$A$5:$A$204,0)),"")</f>
        <v/>
      </c>
      <c r="H381" s="7"/>
      <c r="I381" s="7"/>
      <c r="J381" s="7"/>
      <c r="O381" s="22">
        <f t="shared" si="1"/>
        <v>0</v>
      </c>
      <c r="R381" s="7"/>
    </row>
    <row r="382" ht="15.75" customHeight="1">
      <c r="A382" s="15"/>
      <c r="B382" s="7"/>
      <c r="C382" s="7"/>
      <c r="D382" s="7"/>
      <c r="E382" s="7" t="str">
        <f t="array" ref="E382">IFERROR(INDEX('Order Planning'!$C$5:$C$204,MATCH(D382,'Order Planning'!$A$5:$A$204,0)),"")</f>
        <v/>
      </c>
      <c r="F382" s="7" t="str">
        <f t="array" ref="F382">IFERROR(INDEX('Order Planning'!$E$5:$E$204,MATCH(D382,'Order Planning'!$A$5:$A$204,0)),"")</f>
        <v/>
      </c>
      <c r="G382" s="7" t="str">
        <f t="array" ref="G382">IFERROR(INDEX('Order Planning'!$F$5:$F$204,MATCH(D382,'Order Planning'!$A$5:$A$204,0)),"")</f>
        <v/>
      </c>
      <c r="H382" s="7"/>
      <c r="I382" s="7"/>
      <c r="J382" s="7"/>
      <c r="O382" s="22">
        <f t="shared" si="1"/>
        <v>0</v>
      </c>
      <c r="R382" s="7"/>
    </row>
    <row r="383" ht="15.75" customHeight="1">
      <c r="A383" s="15"/>
      <c r="B383" s="7"/>
      <c r="C383" s="7"/>
      <c r="D383" s="7"/>
      <c r="E383" s="7" t="str">
        <f t="array" ref="E383">IFERROR(INDEX('Order Planning'!$C$5:$C$204,MATCH(D383,'Order Planning'!$A$5:$A$204,0)),"")</f>
        <v/>
      </c>
      <c r="F383" s="7" t="str">
        <f t="array" ref="F383">IFERROR(INDEX('Order Planning'!$E$5:$E$204,MATCH(D383,'Order Planning'!$A$5:$A$204,0)),"")</f>
        <v/>
      </c>
      <c r="G383" s="7" t="str">
        <f t="array" ref="G383">IFERROR(INDEX('Order Planning'!$F$5:$F$204,MATCH(D383,'Order Planning'!$A$5:$A$204,0)),"")</f>
        <v/>
      </c>
      <c r="H383" s="7"/>
      <c r="I383" s="7"/>
      <c r="J383" s="7"/>
      <c r="O383" s="22">
        <f t="shared" si="1"/>
        <v>0</v>
      </c>
      <c r="R383" s="7"/>
    </row>
    <row r="384" ht="15.75" customHeight="1">
      <c r="A384" s="15"/>
      <c r="B384" s="7"/>
      <c r="C384" s="7"/>
      <c r="D384" s="7"/>
      <c r="E384" s="7" t="str">
        <f t="array" ref="E384">IFERROR(INDEX('Order Planning'!$C$5:$C$204,MATCH(D384,'Order Planning'!$A$5:$A$204,0)),"")</f>
        <v/>
      </c>
      <c r="F384" s="7" t="str">
        <f t="array" ref="F384">IFERROR(INDEX('Order Planning'!$E$5:$E$204,MATCH(D384,'Order Planning'!$A$5:$A$204,0)),"")</f>
        <v/>
      </c>
      <c r="G384" s="7" t="str">
        <f t="array" ref="G384">IFERROR(INDEX('Order Planning'!$F$5:$F$204,MATCH(D384,'Order Planning'!$A$5:$A$204,0)),"")</f>
        <v/>
      </c>
      <c r="H384" s="7"/>
      <c r="I384" s="7"/>
      <c r="J384" s="7"/>
      <c r="O384" s="22">
        <f t="shared" si="1"/>
        <v>0</v>
      </c>
      <c r="R384" s="7"/>
    </row>
    <row r="385" ht="15.75" customHeight="1">
      <c r="A385" s="15"/>
      <c r="B385" s="7"/>
      <c r="C385" s="7"/>
      <c r="D385" s="7"/>
      <c r="E385" s="7" t="str">
        <f t="array" ref="E385">IFERROR(INDEX('Order Planning'!$C$5:$C$204,MATCH(D385,'Order Planning'!$A$5:$A$204,0)),"")</f>
        <v/>
      </c>
      <c r="F385" s="7" t="str">
        <f t="array" ref="F385">IFERROR(INDEX('Order Planning'!$E$5:$E$204,MATCH(D385,'Order Planning'!$A$5:$A$204,0)),"")</f>
        <v/>
      </c>
      <c r="G385" s="7" t="str">
        <f t="array" ref="G385">IFERROR(INDEX('Order Planning'!$F$5:$F$204,MATCH(D385,'Order Planning'!$A$5:$A$204,0)),"")</f>
        <v/>
      </c>
      <c r="H385" s="7"/>
      <c r="I385" s="7"/>
      <c r="J385" s="7"/>
      <c r="O385" s="22">
        <f t="shared" si="1"/>
        <v>0</v>
      </c>
      <c r="R385" s="7"/>
    </row>
    <row r="386" ht="15.75" customHeight="1">
      <c r="A386" s="15"/>
      <c r="B386" s="7"/>
      <c r="C386" s="7"/>
      <c r="D386" s="7"/>
      <c r="E386" s="7" t="str">
        <f t="array" ref="E386">IFERROR(INDEX('Order Planning'!$C$5:$C$204,MATCH(D386,'Order Planning'!$A$5:$A$204,0)),"")</f>
        <v/>
      </c>
      <c r="F386" s="7" t="str">
        <f t="array" ref="F386">IFERROR(INDEX('Order Planning'!$E$5:$E$204,MATCH(D386,'Order Planning'!$A$5:$A$204,0)),"")</f>
        <v/>
      </c>
      <c r="G386" s="7" t="str">
        <f t="array" ref="G386">IFERROR(INDEX('Order Planning'!$F$5:$F$204,MATCH(D386,'Order Planning'!$A$5:$A$204,0)),"")</f>
        <v/>
      </c>
      <c r="H386" s="7"/>
      <c r="I386" s="7"/>
      <c r="J386" s="7"/>
      <c r="O386" s="22">
        <f t="shared" si="1"/>
        <v>0</v>
      </c>
      <c r="R386" s="7"/>
    </row>
    <row r="387" ht="15.75" customHeight="1">
      <c r="A387" s="15"/>
      <c r="B387" s="7"/>
      <c r="C387" s="7"/>
      <c r="D387" s="7"/>
      <c r="E387" s="7" t="str">
        <f t="array" ref="E387">IFERROR(INDEX('Order Planning'!$C$5:$C$204,MATCH(D387,'Order Planning'!$A$5:$A$204,0)),"")</f>
        <v/>
      </c>
      <c r="F387" s="7" t="str">
        <f t="array" ref="F387">IFERROR(INDEX('Order Planning'!$E$5:$E$204,MATCH(D387,'Order Planning'!$A$5:$A$204,0)),"")</f>
        <v/>
      </c>
      <c r="G387" s="7" t="str">
        <f t="array" ref="G387">IFERROR(INDEX('Order Planning'!$F$5:$F$204,MATCH(D387,'Order Planning'!$A$5:$A$204,0)),"")</f>
        <v/>
      </c>
      <c r="H387" s="7"/>
      <c r="I387" s="7"/>
      <c r="J387" s="7"/>
      <c r="O387" s="22">
        <f t="shared" si="1"/>
        <v>0</v>
      </c>
      <c r="R387" s="7"/>
    </row>
    <row r="388" ht="15.75" customHeight="1">
      <c r="A388" s="15"/>
      <c r="B388" s="7"/>
      <c r="C388" s="7"/>
      <c r="D388" s="7"/>
      <c r="E388" s="7" t="str">
        <f t="array" ref="E388">IFERROR(INDEX('Order Planning'!$C$5:$C$204,MATCH(D388,'Order Planning'!$A$5:$A$204,0)),"")</f>
        <v/>
      </c>
      <c r="F388" s="7" t="str">
        <f t="array" ref="F388">IFERROR(INDEX('Order Planning'!$E$5:$E$204,MATCH(D388,'Order Planning'!$A$5:$A$204,0)),"")</f>
        <v/>
      </c>
      <c r="G388" s="7" t="str">
        <f t="array" ref="G388">IFERROR(INDEX('Order Planning'!$F$5:$F$204,MATCH(D388,'Order Planning'!$A$5:$A$204,0)),"")</f>
        <v/>
      </c>
      <c r="H388" s="7"/>
      <c r="I388" s="7"/>
      <c r="J388" s="7"/>
      <c r="O388" s="22">
        <f t="shared" si="1"/>
        <v>0</v>
      </c>
      <c r="R388" s="7"/>
    </row>
    <row r="389" ht="15.75" customHeight="1">
      <c r="A389" s="15"/>
      <c r="B389" s="7"/>
      <c r="C389" s="7"/>
      <c r="D389" s="7"/>
      <c r="E389" s="7" t="str">
        <f t="array" ref="E389">IFERROR(INDEX('Order Planning'!$C$5:$C$204,MATCH(D389,'Order Planning'!$A$5:$A$204,0)),"")</f>
        <v/>
      </c>
      <c r="F389" s="7" t="str">
        <f t="array" ref="F389">IFERROR(INDEX('Order Planning'!$E$5:$E$204,MATCH(D389,'Order Planning'!$A$5:$A$204,0)),"")</f>
        <v/>
      </c>
      <c r="G389" s="7" t="str">
        <f t="array" ref="G389">IFERROR(INDEX('Order Planning'!$F$5:$F$204,MATCH(D389,'Order Planning'!$A$5:$A$204,0)),"")</f>
        <v/>
      </c>
      <c r="H389" s="7"/>
      <c r="I389" s="7"/>
      <c r="J389" s="7"/>
      <c r="O389" s="22">
        <f t="shared" si="1"/>
        <v>0</v>
      </c>
      <c r="R389" s="7"/>
    </row>
    <row r="390" ht="15.75" customHeight="1">
      <c r="A390" s="15"/>
      <c r="B390" s="7"/>
      <c r="C390" s="7"/>
      <c r="D390" s="7"/>
      <c r="E390" s="7" t="str">
        <f t="array" ref="E390">IFERROR(INDEX('Order Planning'!$C$5:$C$204,MATCH(D390,'Order Planning'!$A$5:$A$204,0)),"")</f>
        <v/>
      </c>
      <c r="F390" s="7" t="str">
        <f t="array" ref="F390">IFERROR(INDEX('Order Planning'!$E$5:$E$204,MATCH(D390,'Order Planning'!$A$5:$A$204,0)),"")</f>
        <v/>
      </c>
      <c r="G390" s="7" t="str">
        <f t="array" ref="G390">IFERROR(INDEX('Order Planning'!$F$5:$F$204,MATCH(D390,'Order Planning'!$A$5:$A$204,0)),"")</f>
        <v/>
      </c>
      <c r="H390" s="7"/>
      <c r="I390" s="7"/>
      <c r="J390" s="7"/>
      <c r="O390" s="22">
        <f t="shared" si="1"/>
        <v>0</v>
      </c>
      <c r="R390" s="7"/>
    </row>
    <row r="391" ht="15.75" customHeight="1">
      <c r="A391" s="15"/>
      <c r="B391" s="7"/>
      <c r="C391" s="7"/>
      <c r="D391" s="7"/>
      <c r="E391" s="7" t="str">
        <f t="array" ref="E391">IFERROR(INDEX('Order Planning'!$C$5:$C$204,MATCH(D391,'Order Planning'!$A$5:$A$204,0)),"")</f>
        <v/>
      </c>
      <c r="F391" s="7" t="str">
        <f t="array" ref="F391">IFERROR(INDEX('Order Planning'!$E$5:$E$204,MATCH(D391,'Order Planning'!$A$5:$A$204,0)),"")</f>
        <v/>
      </c>
      <c r="G391" s="7" t="str">
        <f t="array" ref="G391">IFERROR(INDEX('Order Planning'!$F$5:$F$204,MATCH(D391,'Order Planning'!$A$5:$A$204,0)),"")</f>
        <v/>
      </c>
      <c r="H391" s="7"/>
      <c r="I391" s="7"/>
      <c r="J391" s="7"/>
      <c r="O391" s="22">
        <f t="shared" si="1"/>
        <v>0</v>
      </c>
      <c r="R391" s="7"/>
    </row>
    <row r="392" ht="15.75" customHeight="1">
      <c r="A392" s="15"/>
      <c r="B392" s="7"/>
      <c r="C392" s="7"/>
      <c r="D392" s="7"/>
      <c r="E392" s="7" t="str">
        <f t="array" ref="E392">IFERROR(INDEX('Order Planning'!$C$5:$C$204,MATCH(D392,'Order Planning'!$A$5:$A$204,0)),"")</f>
        <v/>
      </c>
      <c r="F392" s="7" t="str">
        <f t="array" ref="F392">IFERROR(INDEX('Order Planning'!$E$5:$E$204,MATCH(D392,'Order Planning'!$A$5:$A$204,0)),"")</f>
        <v/>
      </c>
      <c r="G392" s="7" t="str">
        <f t="array" ref="G392">IFERROR(INDEX('Order Planning'!$F$5:$F$204,MATCH(D392,'Order Planning'!$A$5:$A$204,0)),"")</f>
        <v/>
      </c>
      <c r="H392" s="7"/>
      <c r="I392" s="7"/>
      <c r="J392" s="7"/>
      <c r="O392" s="22">
        <f t="shared" si="1"/>
        <v>0</v>
      </c>
      <c r="R392" s="7"/>
    </row>
    <row r="393" ht="15.75" customHeight="1">
      <c r="A393" s="15"/>
      <c r="B393" s="7"/>
      <c r="C393" s="7"/>
      <c r="D393" s="7"/>
      <c r="E393" s="7" t="str">
        <f t="array" ref="E393">IFERROR(INDEX('Order Planning'!$C$5:$C$204,MATCH(D393,'Order Planning'!$A$5:$A$204,0)),"")</f>
        <v/>
      </c>
      <c r="F393" s="7" t="str">
        <f t="array" ref="F393">IFERROR(INDEX('Order Planning'!$E$5:$E$204,MATCH(D393,'Order Planning'!$A$5:$A$204,0)),"")</f>
        <v/>
      </c>
      <c r="G393" s="7" t="str">
        <f t="array" ref="G393">IFERROR(INDEX('Order Planning'!$F$5:$F$204,MATCH(D393,'Order Planning'!$A$5:$A$204,0)),"")</f>
        <v/>
      </c>
      <c r="H393" s="7"/>
      <c r="I393" s="7"/>
      <c r="J393" s="7"/>
      <c r="O393" s="22">
        <f t="shared" si="1"/>
        <v>0</v>
      </c>
      <c r="R393" s="7"/>
    </row>
    <row r="394" ht="15.75" customHeight="1">
      <c r="A394" s="15"/>
      <c r="B394" s="7"/>
      <c r="C394" s="7"/>
      <c r="D394" s="7"/>
      <c r="E394" s="7" t="str">
        <f t="array" ref="E394">IFERROR(INDEX('Order Planning'!$C$5:$C$204,MATCH(D394,'Order Planning'!$A$5:$A$204,0)),"")</f>
        <v/>
      </c>
      <c r="F394" s="7" t="str">
        <f t="array" ref="F394">IFERROR(INDEX('Order Planning'!$E$5:$E$204,MATCH(D394,'Order Planning'!$A$5:$A$204,0)),"")</f>
        <v/>
      </c>
      <c r="G394" s="7" t="str">
        <f t="array" ref="G394">IFERROR(INDEX('Order Planning'!$F$5:$F$204,MATCH(D394,'Order Planning'!$A$5:$A$204,0)),"")</f>
        <v/>
      </c>
      <c r="H394" s="7"/>
      <c r="I394" s="7"/>
      <c r="J394" s="7"/>
      <c r="O394" s="22">
        <f t="shared" si="1"/>
        <v>0</v>
      </c>
      <c r="R394" s="7"/>
    </row>
    <row r="395" ht="15.75" customHeight="1">
      <c r="A395" s="15"/>
      <c r="B395" s="7"/>
      <c r="C395" s="7"/>
      <c r="D395" s="7"/>
      <c r="E395" s="7" t="str">
        <f t="array" ref="E395">IFERROR(INDEX('Order Planning'!$C$5:$C$204,MATCH(D395,'Order Planning'!$A$5:$A$204,0)),"")</f>
        <v/>
      </c>
      <c r="F395" s="7" t="str">
        <f t="array" ref="F395">IFERROR(INDEX('Order Planning'!$E$5:$E$204,MATCH(D395,'Order Planning'!$A$5:$A$204,0)),"")</f>
        <v/>
      </c>
      <c r="G395" s="7" t="str">
        <f t="array" ref="G395">IFERROR(INDEX('Order Planning'!$F$5:$F$204,MATCH(D395,'Order Planning'!$A$5:$A$204,0)),"")</f>
        <v/>
      </c>
      <c r="H395" s="7"/>
      <c r="I395" s="7"/>
      <c r="J395" s="7"/>
      <c r="O395" s="22">
        <f t="shared" si="1"/>
        <v>0</v>
      </c>
      <c r="R395" s="7"/>
    </row>
    <row r="396" ht="15.75" customHeight="1">
      <c r="A396" s="15"/>
      <c r="B396" s="7"/>
      <c r="C396" s="7"/>
      <c r="D396" s="7"/>
      <c r="E396" s="7" t="str">
        <f t="array" ref="E396">IFERROR(INDEX('Order Planning'!$C$5:$C$204,MATCH(D396,'Order Planning'!$A$5:$A$204,0)),"")</f>
        <v/>
      </c>
      <c r="F396" s="7" t="str">
        <f t="array" ref="F396">IFERROR(INDEX('Order Planning'!$E$5:$E$204,MATCH(D396,'Order Planning'!$A$5:$A$204,0)),"")</f>
        <v/>
      </c>
      <c r="G396" s="7" t="str">
        <f t="array" ref="G396">IFERROR(INDEX('Order Planning'!$F$5:$F$204,MATCH(D396,'Order Planning'!$A$5:$A$204,0)),"")</f>
        <v/>
      </c>
      <c r="H396" s="7"/>
      <c r="I396" s="7"/>
      <c r="J396" s="7"/>
      <c r="O396" s="22">
        <f t="shared" si="1"/>
        <v>0</v>
      </c>
      <c r="R396" s="7"/>
    </row>
    <row r="397" ht="15.75" customHeight="1">
      <c r="A397" s="15"/>
      <c r="B397" s="7"/>
      <c r="C397" s="7"/>
      <c r="D397" s="7"/>
      <c r="E397" s="7" t="str">
        <f t="array" ref="E397">IFERROR(INDEX('Order Planning'!$C$5:$C$204,MATCH(D397,'Order Planning'!$A$5:$A$204,0)),"")</f>
        <v/>
      </c>
      <c r="F397" s="7" t="str">
        <f t="array" ref="F397">IFERROR(INDEX('Order Planning'!$E$5:$E$204,MATCH(D397,'Order Planning'!$A$5:$A$204,0)),"")</f>
        <v/>
      </c>
      <c r="G397" s="7" t="str">
        <f t="array" ref="G397">IFERROR(INDEX('Order Planning'!$F$5:$F$204,MATCH(D397,'Order Planning'!$A$5:$A$204,0)),"")</f>
        <v/>
      </c>
      <c r="H397" s="7"/>
      <c r="I397" s="7"/>
      <c r="J397" s="7"/>
      <c r="O397" s="22">
        <f t="shared" si="1"/>
        <v>0</v>
      </c>
      <c r="R397" s="7"/>
    </row>
    <row r="398" ht="15.75" customHeight="1">
      <c r="A398" s="15"/>
      <c r="B398" s="7"/>
      <c r="C398" s="7"/>
      <c r="D398" s="7"/>
      <c r="E398" s="7" t="str">
        <f t="array" ref="E398">IFERROR(INDEX('Order Planning'!$C$5:$C$204,MATCH(D398,'Order Planning'!$A$5:$A$204,0)),"")</f>
        <v/>
      </c>
      <c r="F398" s="7" t="str">
        <f t="array" ref="F398">IFERROR(INDEX('Order Planning'!$E$5:$E$204,MATCH(D398,'Order Planning'!$A$5:$A$204,0)),"")</f>
        <v/>
      </c>
      <c r="G398" s="7" t="str">
        <f t="array" ref="G398">IFERROR(INDEX('Order Planning'!$F$5:$F$204,MATCH(D398,'Order Planning'!$A$5:$A$204,0)),"")</f>
        <v/>
      </c>
      <c r="H398" s="7"/>
      <c r="I398" s="7"/>
      <c r="J398" s="7"/>
      <c r="O398" s="22">
        <f t="shared" si="1"/>
        <v>0</v>
      </c>
      <c r="R398" s="7"/>
    </row>
    <row r="399" ht="15.75" customHeight="1">
      <c r="A399" s="15"/>
      <c r="B399" s="7"/>
      <c r="C399" s="7"/>
      <c r="D399" s="7"/>
      <c r="E399" s="7" t="str">
        <f t="array" ref="E399">IFERROR(INDEX('Order Planning'!$C$5:$C$204,MATCH(D399,'Order Planning'!$A$5:$A$204,0)),"")</f>
        <v/>
      </c>
      <c r="F399" s="7" t="str">
        <f t="array" ref="F399">IFERROR(INDEX('Order Planning'!$E$5:$E$204,MATCH(D399,'Order Planning'!$A$5:$A$204,0)),"")</f>
        <v/>
      </c>
      <c r="G399" s="7" t="str">
        <f t="array" ref="G399">IFERROR(INDEX('Order Planning'!$F$5:$F$204,MATCH(D399,'Order Planning'!$A$5:$A$204,0)),"")</f>
        <v/>
      </c>
      <c r="H399" s="7"/>
      <c r="I399" s="7"/>
      <c r="J399" s="7"/>
      <c r="O399" s="22">
        <f t="shared" si="1"/>
        <v>0</v>
      </c>
      <c r="R399" s="7"/>
    </row>
    <row r="400" ht="15.75" customHeight="1">
      <c r="A400" s="15"/>
      <c r="B400" s="7"/>
      <c r="C400" s="7"/>
      <c r="D400" s="7"/>
      <c r="E400" s="7" t="str">
        <f t="array" ref="E400">IFERROR(INDEX('Order Planning'!$C$5:$C$204,MATCH(D400,'Order Planning'!$A$5:$A$204,0)),"")</f>
        <v/>
      </c>
      <c r="F400" s="7" t="str">
        <f t="array" ref="F400">IFERROR(INDEX('Order Planning'!$E$5:$E$204,MATCH(D400,'Order Planning'!$A$5:$A$204,0)),"")</f>
        <v/>
      </c>
      <c r="G400" s="7" t="str">
        <f t="array" ref="G400">IFERROR(INDEX('Order Planning'!$F$5:$F$204,MATCH(D400,'Order Planning'!$A$5:$A$204,0)),"")</f>
        <v/>
      </c>
      <c r="H400" s="7"/>
      <c r="I400" s="7"/>
      <c r="J400" s="7"/>
      <c r="O400" s="22">
        <f t="shared" si="1"/>
        <v>0</v>
      </c>
      <c r="R400" s="7"/>
    </row>
    <row r="401" ht="15.75" customHeight="1">
      <c r="A401" s="15"/>
      <c r="B401" s="7"/>
      <c r="C401" s="7"/>
      <c r="D401" s="7"/>
      <c r="E401" s="7" t="str">
        <f t="array" ref="E401">IFERROR(INDEX('Order Planning'!$C$5:$C$204,MATCH(D401,'Order Planning'!$A$5:$A$204,0)),"")</f>
        <v/>
      </c>
      <c r="F401" s="7" t="str">
        <f t="array" ref="F401">IFERROR(INDEX('Order Planning'!$E$5:$E$204,MATCH(D401,'Order Planning'!$A$5:$A$204,0)),"")</f>
        <v/>
      </c>
      <c r="G401" s="7" t="str">
        <f t="array" ref="G401">IFERROR(INDEX('Order Planning'!$F$5:$F$204,MATCH(D401,'Order Planning'!$A$5:$A$204,0)),"")</f>
        <v/>
      </c>
      <c r="H401" s="7"/>
      <c r="I401" s="7"/>
      <c r="J401" s="7"/>
      <c r="O401" s="22">
        <f t="shared" si="1"/>
        <v>0</v>
      </c>
      <c r="R401" s="7"/>
    </row>
    <row r="402" ht="15.75" customHeight="1">
      <c r="A402" s="15"/>
      <c r="B402" s="7"/>
      <c r="C402" s="7"/>
      <c r="D402" s="7"/>
      <c r="E402" s="7" t="str">
        <f t="array" ref="E402">IFERROR(INDEX('Order Planning'!$C$5:$C$204,MATCH(D402,'Order Planning'!$A$5:$A$204,0)),"")</f>
        <v/>
      </c>
      <c r="F402" s="7" t="str">
        <f t="array" ref="F402">IFERROR(INDEX('Order Planning'!$E$5:$E$204,MATCH(D402,'Order Planning'!$A$5:$A$204,0)),"")</f>
        <v/>
      </c>
      <c r="G402" s="7" t="str">
        <f t="array" ref="G402">IFERROR(INDEX('Order Planning'!$F$5:$F$204,MATCH(D402,'Order Planning'!$A$5:$A$204,0)),"")</f>
        <v/>
      </c>
      <c r="H402" s="7"/>
      <c r="I402" s="7"/>
      <c r="J402" s="7"/>
      <c r="O402" s="22">
        <f t="shared" si="1"/>
        <v>0</v>
      </c>
      <c r="R402" s="7"/>
    </row>
    <row r="403" ht="15.75" customHeight="1">
      <c r="A403" s="15"/>
      <c r="B403" s="7"/>
      <c r="C403" s="7"/>
      <c r="D403" s="7"/>
      <c r="E403" s="7" t="str">
        <f t="array" ref="E403">IFERROR(INDEX('Order Planning'!$C$5:$C$204,MATCH(D403,'Order Planning'!$A$5:$A$204,0)),"")</f>
        <v/>
      </c>
      <c r="F403" s="7" t="str">
        <f t="array" ref="F403">IFERROR(INDEX('Order Planning'!$E$5:$E$204,MATCH(D403,'Order Planning'!$A$5:$A$204,0)),"")</f>
        <v/>
      </c>
      <c r="G403" s="7" t="str">
        <f t="array" ref="G403">IFERROR(INDEX('Order Planning'!$F$5:$F$204,MATCH(D403,'Order Planning'!$A$5:$A$204,0)),"")</f>
        <v/>
      </c>
      <c r="H403" s="7"/>
      <c r="I403" s="7"/>
      <c r="J403" s="7"/>
      <c r="O403" s="22">
        <f t="shared" si="1"/>
        <v>0</v>
      </c>
      <c r="R403" s="7"/>
    </row>
    <row r="404" ht="15.75" customHeight="1">
      <c r="A404" s="15"/>
      <c r="B404" s="7"/>
      <c r="C404" s="7"/>
      <c r="D404" s="7"/>
      <c r="E404" s="7" t="str">
        <f t="array" ref="E404">IFERROR(INDEX('Order Planning'!$C$5:$C$204,MATCH(D404,'Order Planning'!$A$5:$A$204,0)),"")</f>
        <v/>
      </c>
      <c r="F404" s="7" t="str">
        <f t="array" ref="F404">IFERROR(INDEX('Order Planning'!$E$5:$E$204,MATCH(D404,'Order Planning'!$A$5:$A$204,0)),"")</f>
        <v/>
      </c>
      <c r="G404" s="7" t="str">
        <f t="array" ref="G404">IFERROR(INDEX('Order Planning'!$F$5:$F$204,MATCH(D404,'Order Planning'!$A$5:$A$204,0)),"")</f>
        <v/>
      </c>
      <c r="H404" s="7"/>
      <c r="I404" s="7"/>
      <c r="J404" s="7"/>
      <c r="O404" s="22">
        <f t="shared" si="1"/>
        <v>0</v>
      </c>
      <c r="R404" s="7"/>
    </row>
    <row r="405" ht="15.75" customHeight="1">
      <c r="A405" s="15"/>
      <c r="B405" s="7"/>
      <c r="C405" s="7"/>
      <c r="D405" s="7"/>
      <c r="E405" s="7" t="str">
        <f t="array" ref="E405">IFERROR(INDEX('Order Planning'!$C$5:$C$204,MATCH(D405,'Order Planning'!$A$5:$A$204,0)),"")</f>
        <v/>
      </c>
      <c r="F405" s="7" t="str">
        <f t="array" ref="F405">IFERROR(INDEX('Order Planning'!$E$5:$E$204,MATCH(D405,'Order Planning'!$A$5:$A$204,0)),"")</f>
        <v/>
      </c>
      <c r="G405" s="7" t="str">
        <f t="array" ref="G405">IFERROR(INDEX('Order Planning'!$F$5:$F$204,MATCH(D405,'Order Planning'!$A$5:$A$204,0)),"")</f>
        <v/>
      </c>
      <c r="H405" s="7"/>
      <c r="I405" s="7"/>
      <c r="J405" s="7"/>
      <c r="O405" s="22">
        <f t="shared" si="1"/>
        <v>0</v>
      </c>
      <c r="R405" s="7"/>
    </row>
    <row r="406" ht="15.75" customHeight="1">
      <c r="A406" s="15"/>
      <c r="B406" s="7"/>
      <c r="C406" s="7"/>
      <c r="D406" s="7"/>
      <c r="E406" s="7" t="str">
        <f t="array" ref="E406">IFERROR(INDEX('Order Planning'!$C$5:$C$204,MATCH(D406,'Order Planning'!$A$5:$A$204,0)),"")</f>
        <v/>
      </c>
      <c r="F406" s="7" t="str">
        <f t="array" ref="F406">IFERROR(INDEX('Order Planning'!$E$5:$E$204,MATCH(D406,'Order Planning'!$A$5:$A$204,0)),"")</f>
        <v/>
      </c>
      <c r="G406" s="7" t="str">
        <f t="array" ref="G406">IFERROR(INDEX('Order Planning'!$F$5:$F$204,MATCH(D406,'Order Planning'!$A$5:$A$204,0)),"")</f>
        <v/>
      </c>
      <c r="H406" s="7"/>
      <c r="I406" s="7"/>
      <c r="J406" s="7"/>
      <c r="O406" s="22">
        <f t="shared" si="1"/>
        <v>0</v>
      </c>
      <c r="R406" s="7"/>
    </row>
    <row r="407" ht="15.75" customHeight="1">
      <c r="A407" s="15"/>
      <c r="B407" s="7"/>
      <c r="C407" s="7"/>
      <c r="D407" s="7"/>
      <c r="E407" s="7" t="str">
        <f t="array" ref="E407">IFERROR(INDEX('Order Planning'!$C$5:$C$204,MATCH(D407,'Order Planning'!$A$5:$A$204,0)),"")</f>
        <v/>
      </c>
      <c r="F407" s="7" t="str">
        <f t="array" ref="F407">IFERROR(INDEX('Order Planning'!$E$5:$E$204,MATCH(D407,'Order Planning'!$A$5:$A$204,0)),"")</f>
        <v/>
      </c>
      <c r="G407" s="7" t="str">
        <f t="array" ref="G407">IFERROR(INDEX('Order Planning'!$F$5:$F$204,MATCH(D407,'Order Planning'!$A$5:$A$204,0)),"")</f>
        <v/>
      </c>
      <c r="H407" s="7"/>
      <c r="I407" s="7"/>
      <c r="J407" s="7"/>
      <c r="O407" s="22">
        <f t="shared" si="1"/>
        <v>0</v>
      </c>
      <c r="R407" s="7"/>
    </row>
    <row r="408" ht="15.75" customHeight="1">
      <c r="A408" s="15"/>
      <c r="B408" s="7"/>
      <c r="C408" s="7"/>
      <c r="D408" s="7"/>
      <c r="E408" s="7" t="str">
        <f t="array" ref="E408">IFERROR(INDEX('Order Planning'!$C$5:$C$204,MATCH(D408,'Order Planning'!$A$5:$A$204,0)),"")</f>
        <v/>
      </c>
      <c r="F408" s="7" t="str">
        <f t="array" ref="F408">IFERROR(INDEX('Order Planning'!$E$5:$E$204,MATCH(D408,'Order Planning'!$A$5:$A$204,0)),"")</f>
        <v/>
      </c>
      <c r="G408" s="7" t="str">
        <f t="array" ref="G408">IFERROR(INDEX('Order Planning'!$F$5:$F$204,MATCH(D408,'Order Planning'!$A$5:$A$204,0)),"")</f>
        <v/>
      </c>
      <c r="H408" s="7"/>
      <c r="I408" s="7"/>
      <c r="J408" s="7"/>
      <c r="O408" s="22">
        <f t="shared" si="1"/>
        <v>0</v>
      </c>
      <c r="R408" s="7"/>
    </row>
    <row r="409" ht="15.75" customHeight="1">
      <c r="A409" s="15"/>
      <c r="B409" s="7"/>
      <c r="C409" s="7"/>
      <c r="D409" s="7"/>
      <c r="E409" s="7" t="str">
        <f t="array" ref="E409">IFERROR(INDEX('Order Planning'!$C$5:$C$204,MATCH(D409,'Order Planning'!$A$5:$A$204,0)),"")</f>
        <v/>
      </c>
      <c r="F409" s="7" t="str">
        <f t="array" ref="F409">IFERROR(INDEX('Order Planning'!$E$5:$E$204,MATCH(D409,'Order Planning'!$A$5:$A$204,0)),"")</f>
        <v/>
      </c>
      <c r="G409" s="7" t="str">
        <f t="array" ref="G409">IFERROR(INDEX('Order Planning'!$F$5:$F$204,MATCH(D409,'Order Planning'!$A$5:$A$204,0)),"")</f>
        <v/>
      </c>
      <c r="H409" s="7"/>
      <c r="I409" s="7"/>
      <c r="J409" s="7"/>
      <c r="O409" s="22">
        <f t="shared" si="1"/>
        <v>0</v>
      </c>
      <c r="R409" s="7"/>
    </row>
    <row r="410" ht="15.75" customHeight="1">
      <c r="A410" s="15"/>
      <c r="B410" s="7"/>
      <c r="C410" s="7"/>
      <c r="D410" s="7"/>
      <c r="E410" s="7" t="str">
        <f t="array" ref="E410">IFERROR(INDEX('Order Planning'!$C$5:$C$204,MATCH(D410,'Order Planning'!$A$5:$A$204,0)),"")</f>
        <v/>
      </c>
      <c r="F410" s="7" t="str">
        <f t="array" ref="F410">IFERROR(INDEX('Order Planning'!$E$5:$E$204,MATCH(D410,'Order Planning'!$A$5:$A$204,0)),"")</f>
        <v/>
      </c>
      <c r="G410" s="7" t="str">
        <f t="array" ref="G410">IFERROR(INDEX('Order Planning'!$F$5:$F$204,MATCH(D410,'Order Planning'!$A$5:$A$204,0)),"")</f>
        <v/>
      </c>
      <c r="H410" s="7"/>
      <c r="I410" s="7"/>
      <c r="J410" s="7"/>
      <c r="O410" s="22">
        <f t="shared" si="1"/>
        <v>0</v>
      </c>
      <c r="R410" s="7"/>
    </row>
    <row r="411" ht="15.75" customHeight="1">
      <c r="A411" s="15"/>
      <c r="B411" s="7"/>
      <c r="C411" s="7"/>
      <c r="D411" s="7"/>
      <c r="E411" s="7" t="str">
        <f t="array" ref="E411">IFERROR(INDEX('Order Planning'!$C$5:$C$204,MATCH(D411,'Order Planning'!$A$5:$A$204,0)),"")</f>
        <v/>
      </c>
      <c r="F411" s="7" t="str">
        <f t="array" ref="F411">IFERROR(INDEX('Order Planning'!$E$5:$E$204,MATCH(D411,'Order Planning'!$A$5:$A$204,0)),"")</f>
        <v/>
      </c>
      <c r="G411" s="7" t="str">
        <f t="array" ref="G411">IFERROR(INDEX('Order Planning'!$F$5:$F$204,MATCH(D411,'Order Planning'!$A$5:$A$204,0)),"")</f>
        <v/>
      </c>
      <c r="H411" s="7"/>
      <c r="I411" s="7"/>
      <c r="J411" s="7"/>
      <c r="O411" s="22">
        <f t="shared" si="1"/>
        <v>0</v>
      </c>
      <c r="R411" s="7"/>
    </row>
    <row r="412" ht="15.75" customHeight="1">
      <c r="A412" s="15"/>
      <c r="B412" s="7"/>
      <c r="C412" s="7"/>
      <c r="D412" s="7"/>
      <c r="E412" s="7" t="str">
        <f t="array" ref="E412">IFERROR(INDEX('Order Planning'!$C$5:$C$204,MATCH(D412,'Order Planning'!$A$5:$A$204,0)),"")</f>
        <v/>
      </c>
      <c r="F412" s="7" t="str">
        <f t="array" ref="F412">IFERROR(INDEX('Order Planning'!$E$5:$E$204,MATCH(D412,'Order Planning'!$A$5:$A$204,0)),"")</f>
        <v/>
      </c>
      <c r="G412" s="7" t="str">
        <f t="array" ref="G412">IFERROR(INDEX('Order Planning'!$F$5:$F$204,MATCH(D412,'Order Planning'!$A$5:$A$204,0)),"")</f>
        <v/>
      </c>
      <c r="H412" s="7"/>
      <c r="I412" s="7"/>
      <c r="J412" s="7"/>
      <c r="O412" s="22">
        <f t="shared" si="1"/>
        <v>0</v>
      </c>
      <c r="R412" s="7"/>
    </row>
    <row r="413" ht="15.75" customHeight="1">
      <c r="A413" s="15"/>
      <c r="B413" s="7"/>
      <c r="C413" s="7"/>
      <c r="D413" s="7"/>
      <c r="E413" s="7" t="str">
        <f t="array" ref="E413">IFERROR(INDEX('Order Planning'!$C$5:$C$204,MATCH(D413,'Order Planning'!$A$5:$A$204,0)),"")</f>
        <v/>
      </c>
      <c r="F413" s="7" t="str">
        <f t="array" ref="F413">IFERROR(INDEX('Order Planning'!$E$5:$E$204,MATCH(D413,'Order Planning'!$A$5:$A$204,0)),"")</f>
        <v/>
      </c>
      <c r="G413" s="7" t="str">
        <f t="array" ref="G413">IFERROR(INDEX('Order Planning'!$F$5:$F$204,MATCH(D413,'Order Planning'!$A$5:$A$204,0)),"")</f>
        <v/>
      </c>
      <c r="H413" s="7"/>
      <c r="I413" s="7"/>
      <c r="J413" s="7"/>
      <c r="O413" s="22">
        <f t="shared" si="1"/>
        <v>0</v>
      </c>
      <c r="R413" s="7"/>
    </row>
    <row r="414" ht="15.75" customHeight="1">
      <c r="A414" s="15"/>
      <c r="B414" s="7"/>
      <c r="C414" s="7"/>
      <c r="D414" s="7"/>
      <c r="E414" s="7" t="str">
        <f t="array" ref="E414">IFERROR(INDEX('Order Planning'!$C$5:$C$204,MATCH(D414,'Order Planning'!$A$5:$A$204,0)),"")</f>
        <v/>
      </c>
      <c r="F414" s="7" t="str">
        <f t="array" ref="F414">IFERROR(INDEX('Order Planning'!$E$5:$E$204,MATCH(D414,'Order Planning'!$A$5:$A$204,0)),"")</f>
        <v/>
      </c>
      <c r="G414" s="7" t="str">
        <f t="array" ref="G414">IFERROR(INDEX('Order Planning'!$F$5:$F$204,MATCH(D414,'Order Planning'!$A$5:$A$204,0)),"")</f>
        <v/>
      </c>
      <c r="H414" s="7"/>
      <c r="I414" s="7"/>
      <c r="J414" s="7"/>
      <c r="O414" s="22">
        <f t="shared" si="1"/>
        <v>0</v>
      </c>
      <c r="R414" s="7"/>
    </row>
    <row r="415" ht="15.75" customHeight="1">
      <c r="A415" s="15"/>
      <c r="B415" s="7"/>
      <c r="C415" s="7"/>
      <c r="D415" s="7"/>
      <c r="E415" s="7" t="str">
        <f t="array" ref="E415">IFERROR(INDEX('Order Planning'!$C$5:$C$204,MATCH(D415,'Order Planning'!$A$5:$A$204,0)),"")</f>
        <v/>
      </c>
      <c r="F415" s="7" t="str">
        <f t="array" ref="F415">IFERROR(INDEX('Order Planning'!$E$5:$E$204,MATCH(D415,'Order Planning'!$A$5:$A$204,0)),"")</f>
        <v/>
      </c>
      <c r="G415" s="7" t="str">
        <f t="array" ref="G415">IFERROR(INDEX('Order Planning'!$F$5:$F$204,MATCH(D415,'Order Planning'!$A$5:$A$204,0)),"")</f>
        <v/>
      </c>
      <c r="H415" s="7"/>
      <c r="I415" s="7"/>
      <c r="J415" s="7"/>
      <c r="O415" s="22">
        <f t="shared" si="1"/>
        <v>0</v>
      </c>
      <c r="R415" s="7"/>
    </row>
    <row r="416" ht="15.75" customHeight="1">
      <c r="A416" s="15"/>
      <c r="B416" s="7"/>
      <c r="C416" s="7"/>
      <c r="D416" s="7"/>
      <c r="E416" s="7" t="str">
        <f t="array" ref="E416">IFERROR(INDEX('Order Planning'!$C$5:$C$204,MATCH(D416,'Order Planning'!$A$5:$A$204,0)),"")</f>
        <v/>
      </c>
      <c r="F416" s="7" t="str">
        <f t="array" ref="F416">IFERROR(INDEX('Order Planning'!$E$5:$E$204,MATCH(D416,'Order Planning'!$A$5:$A$204,0)),"")</f>
        <v/>
      </c>
      <c r="G416" s="7" t="str">
        <f t="array" ref="G416">IFERROR(INDEX('Order Planning'!$F$5:$F$204,MATCH(D416,'Order Planning'!$A$5:$A$204,0)),"")</f>
        <v/>
      </c>
      <c r="H416" s="7"/>
      <c r="I416" s="7"/>
      <c r="J416" s="7"/>
      <c r="O416" s="22">
        <f t="shared" si="1"/>
        <v>0</v>
      </c>
      <c r="R416" s="7"/>
    </row>
    <row r="417" ht="15.75" customHeight="1">
      <c r="A417" s="15"/>
      <c r="B417" s="7"/>
      <c r="C417" s="7"/>
      <c r="D417" s="7"/>
      <c r="E417" s="7" t="str">
        <f t="array" ref="E417">IFERROR(INDEX('Order Planning'!$C$5:$C$204,MATCH(D417,'Order Planning'!$A$5:$A$204,0)),"")</f>
        <v/>
      </c>
      <c r="F417" s="7" t="str">
        <f t="array" ref="F417">IFERROR(INDEX('Order Planning'!$E$5:$E$204,MATCH(D417,'Order Planning'!$A$5:$A$204,0)),"")</f>
        <v/>
      </c>
      <c r="G417" s="7" t="str">
        <f t="array" ref="G417">IFERROR(INDEX('Order Planning'!$F$5:$F$204,MATCH(D417,'Order Planning'!$A$5:$A$204,0)),"")</f>
        <v/>
      </c>
      <c r="H417" s="7"/>
      <c r="I417" s="7"/>
      <c r="J417" s="7"/>
      <c r="O417" s="22">
        <f t="shared" si="1"/>
        <v>0</v>
      </c>
      <c r="R417" s="7"/>
    </row>
    <row r="418" ht="15.75" customHeight="1">
      <c r="A418" s="15"/>
      <c r="B418" s="7"/>
      <c r="C418" s="7"/>
      <c r="D418" s="7"/>
      <c r="E418" s="7" t="str">
        <f t="array" ref="E418">IFERROR(INDEX('Order Planning'!$C$5:$C$204,MATCH(D418,'Order Planning'!$A$5:$A$204,0)),"")</f>
        <v/>
      </c>
      <c r="F418" s="7" t="str">
        <f t="array" ref="F418">IFERROR(INDEX('Order Planning'!$E$5:$E$204,MATCH(D418,'Order Planning'!$A$5:$A$204,0)),"")</f>
        <v/>
      </c>
      <c r="G418" s="7" t="str">
        <f t="array" ref="G418">IFERROR(INDEX('Order Planning'!$F$5:$F$204,MATCH(D418,'Order Planning'!$A$5:$A$204,0)),"")</f>
        <v/>
      </c>
      <c r="H418" s="7"/>
      <c r="I418" s="7"/>
      <c r="J418" s="7"/>
      <c r="O418" s="22">
        <f t="shared" si="1"/>
        <v>0</v>
      </c>
      <c r="R418" s="7"/>
    </row>
    <row r="419" ht="15.75" customHeight="1">
      <c r="A419" s="15"/>
      <c r="B419" s="7"/>
      <c r="C419" s="7"/>
      <c r="D419" s="7"/>
      <c r="E419" s="7" t="str">
        <f t="array" ref="E419">IFERROR(INDEX('Order Planning'!$C$5:$C$204,MATCH(D419,'Order Planning'!$A$5:$A$204,0)),"")</f>
        <v/>
      </c>
      <c r="F419" s="7" t="str">
        <f t="array" ref="F419">IFERROR(INDEX('Order Planning'!$E$5:$E$204,MATCH(D419,'Order Planning'!$A$5:$A$204,0)),"")</f>
        <v/>
      </c>
      <c r="G419" s="7" t="str">
        <f t="array" ref="G419">IFERROR(INDEX('Order Planning'!$F$5:$F$204,MATCH(D419,'Order Planning'!$A$5:$A$204,0)),"")</f>
        <v/>
      </c>
      <c r="H419" s="7"/>
      <c r="I419" s="7"/>
      <c r="J419" s="7"/>
      <c r="O419" s="22">
        <f t="shared" si="1"/>
        <v>0</v>
      </c>
      <c r="R419" s="7"/>
    </row>
    <row r="420" ht="15.75" customHeight="1">
      <c r="A420" s="15"/>
      <c r="B420" s="7"/>
      <c r="C420" s="7"/>
      <c r="D420" s="7"/>
      <c r="E420" s="7" t="str">
        <f t="array" ref="E420">IFERROR(INDEX('Order Planning'!$C$5:$C$204,MATCH(D420,'Order Planning'!$A$5:$A$204,0)),"")</f>
        <v/>
      </c>
      <c r="F420" s="7" t="str">
        <f t="array" ref="F420">IFERROR(INDEX('Order Planning'!$E$5:$E$204,MATCH(D420,'Order Planning'!$A$5:$A$204,0)),"")</f>
        <v/>
      </c>
      <c r="G420" s="7" t="str">
        <f t="array" ref="G420">IFERROR(INDEX('Order Planning'!$F$5:$F$204,MATCH(D420,'Order Planning'!$A$5:$A$204,0)),"")</f>
        <v/>
      </c>
      <c r="H420" s="7"/>
      <c r="I420" s="7"/>
      <c r="J420" s="7"/>
      <c r="O420" s="22">
        <f t="shared" si="1"/>
        <v>0</v>
      </c>
      <c r="R420" s="7"/>
    </row>
    <row r="421" ht="15.75" customHeight="1">
      <c r="A421" s="15"/>
      <c r="B421" s="7"/>
      <c r="C421" s="7"/>
      <c r="D421" s="7"/>
      <c r="E421" s="7" t="str">
        <f t="array" ref="E421">IFERROR(INDEX('Order Planning'!$C$5:$C$204,MATCH(D421,'Order Planning'!$A$5:$A$204,0)),"")</f>
        <v/>
      </c>
      <c r="F421" s="7" t="str">
        <f t="array" ref="F421">IFERROR(INDEX('Order Planning'!$E$5:$E$204,MATCH(D421,'Order Planning'!$A$5:$A$204,0)),"")</f>
        <v/>
      </c>
      <c r="G421" s="7" t="str">
        <f t="array" ref="G421">IFERROR(INDEX('Order Planning'!$F$5:$F$204,MATCH(D421,'Order Planning'!$A$5:$A$204,0)),"")</f>
        <v/>
      </c>
      <c r="H421" s="7"/>
      <c r="I421" s="7"/>
      <c r="J421" s="7"/>
      <c r="O421" s="22">
        <f t="shared" si="1"/>
        <v>0</v>
      </c>
      <c r="R421" s="7"/>
    </row>
    <row r="422" ht="15.75" customHeight="1">
      <c r="A422" s="15"/>
      <c r="B422" s="7"/>
      <c r="C422" s="7"/>
      <c r="D422" s="7"/>
      <c r="E422" s="7" t="str">
        <f t="array" ref="E422">IFERROR(INDEX('Order Planning'!$C$5:$C$204,MATCH(D422,'Order Planning'!$A$5:$A$204,0)),"")</f>
        <v/>
      </c>
      <c r="F422" s="7" t="str">
        <f t="array" ref="F422">IFERROR(INDEX('Order Planning'!$E$5:$E$204,MATCH(D422,'Order Planning'!$A$5:$A$204,0)),"")</f>
        <v/>
      </c>
      <c r="G422" s="7" t="str">
        <f t="array" ref="G422">IFERROR(INDEX('Order Planning'!$F$5:$F$204,MATCH(D422,'Order Planning'!$A$5:$A$204,0)),"")</f>
        <v/>
      </c>
      <c r="H422" s="7"/>
      <c r="I422" s="7"/>
      <c r="J422" s="7"/>
      <c r="O422" s="22">
        <f t="shared" si="1"/>
        <v>0</v>
      </c>
      <c r="R422" s="7"/>
    </row>
    <row r="423" ht="15.75" customHeight="1">
      <c r="A423" s="15"/>
      <c r="B423" s="7"/>
      <c r="C423" s="7"/>
      <c r="D423" s="7"/>
      <c r="E423" s="7" t="str">
        <f t="array" ref="E423">IFERROR(INDEX('Order Planning'!$C$5:$C$204,MATCH(D423,'Order Planning'!$A$5:$A$204,0)),"")</f>
        <v/>
      </c>
      <c r="F423" s="7" t="str">
        <f t="array" ref="F423">IFERROR(INDEX('Order Planning'!$E$5:$E$204,MATCH(D423,'Order Planning'!$A$5:$A$204,0)),"")</f>
        <v/>
      </c>
      <c r="G423" s="7" t="str">
        <f t="array" ref="G423">IFERROR(INDEX('Order Planning'!$F$5:$F$204,MATCH(D423,'Order Planning'!$A$5:$A$204,0)),"")</f>
        <v/>
      </c>
      <c r="H423" s="7"/>
      <c r="I423" s="7"/>
      <c r="J423" s="7"/>
      <c r="O423" s="22">
        <f t="shared" si="1"/>
        <v>0</v>
      </c>
      <c r="R423" s="7"/>
    </row>
    <row r="424" ht="15.75" customHeight="1">
      <c r="A424" s="15"/>
      <c r="B424" s="7"/>
      <c r="C424" s="7"/>
      <c r="D424" s="7"/>
      <c r="E424" s="7" t="str">
        <f t="array" ref="E424">IFERROR(INDEX('Order Planning'!$C$5:$C$204,MATCH(D424,'Order Planning'!$A$5:$A$204,0)),"")</f>
        <v/>
      </c>
      <c r="F424" s="7" t="str">
        <f t="array" ref="F424">IFERROR(INDEX('Order Planning'!$E$5:$E$204,MATCH(D424,'Order Planning'!$A$5:$A$204,0)),"")</f>
        <v/>
      </c>
      <c r="G424" s="7" t="str">
        <f t="array" ref="G424">IFERROR(INDEX('Order Planning'!$F$5:$F$204,MATCH(D424,'Order Planning'!$A$5:$A$204,0)),"")</f>
        <v/>
      </c>
      <c r="H424" s="7"/>
      <c r="I424" s="7"/>
      <c r="J424" s="7"/>
      <c r="O424" s="22">
        <f t="shared" si="1"/>
        <v>0</v>
      </c>
      <c r="R424" s="7"/>
    </row>
    <row r="425" ht="15.75" customHeight="1">
      <c r="A425" s="15"/>
      <c r="B425" s="7"/>
      <c r="C425" s="7"/>
      <c r="D425" s="7"/>
      <c r="E425" s="7" t="str">
        <f t="array" ref="E425">IFERROR(INDEX('Order Planning'!$C$5:$C$204,MATCH(D425,'Order Planning'!$A$5:$A$204,0)),"")</f>
        <v/>
      </c>
      <c r="F425" s="7" t="str">
        <f t="array" ref="F425">IFERROR(INDEX('Order Planning'!$E$5:$E$204,MATCH(D425,'Order Planning'!$A$5:$A$204,0)),"")</f>
        <v/>
      </c>
      <c r="G425" s="7" t="str">
        <f t="array" ref="G425">IFERROR(INDEX('Order Planning'!$F$5:$F$204,MATCH(D425,'Order Planning'!$A$5:$A$204,0)),"")</f>
        <v/>
      </c>
      <c r="H425" s="7"/>
      <c r="I425" s="7"/>
      <c r="J425" s="7"/>
      <c r="O425" s="22">
        <f t="shared" si="1"/>
        <v>0</v>
      </c>
      <c r="R425" s="7"/>
    </row>
    <row r="426" ht="15.75" customHeight="1">
      <c r="A426" s="15"/>
      <c r="B426" s="7"/>
      <c r="C426" s="7"/>
      <c r="D426" s="7"/>
      <c r="E426" s="7" t="str">
        <f t="array" ref="E426">IFERROR(INDEX('Order Planning'!$C$5:$C$204,MATCH(D426,'Order Planning'!$A$5:$A$204,0)),"")</f>
        <v/>
      </c>
      <c r="F426" s="7" t="str">
        <f t="array" ref="F426">IFERROR(INDEX('Order Planning'!$E$5:$E$204,MATCH(D426,'Order Planning'!$A$5:$A$204,0)),"")</f>
        <v/>
      </c>
      <c r="G426" s="7" t="str">
        <f t="array" ref="G426">IFERROR(INDEX('Order Planning'!$F$5:$F$204,MATCH(D426,'Order Planning'!$A$5:$A$204,0)),"")</f>
        <v/>
      </c>
      <c r="H426" s="7"/>
      <c r="I426" s="7"/>
      <c r="J426" s="7"/>
      <c r="O426" s="22">
        <f t="shared" si="1"/>
        <v>0</v>
      </c>
      <c r="R426" s="7"/>
    </row>
    <row r="427" ht="15.75" customHeight="1">
      <c r="A427" s="15"/>
      <c r="B427" s="7"/>
      <c r="C427" s="7"/>
      <c r="D427" s="7"/>
      <c r="E427" s="7" t="str">
        <f t="array" ref="E427">IFERROR(INDEX('Order Planning'!$C$5:$C$204,MATCH(D427,'Order Planning'!$A$5:$A$204,0)),"")</f>
        <v/>
      </c>
      <c r="F427" s="7" t="str">
        <f t="array" ref="F427">IFERROR(INDEX('Order Planning'!$E$5:$E$204,MATCH(D427,'Order Planning'!$A$5:$A$204,0)),"")</f>
        <v/>
      </c>
      <c r="G427" s="7" t="str">
        <f t="array" ref="G427">IFERROR(INDEX('Order Planning'!$F$5:$F$204,MATCH(D427,'Order Planning'!$A$5:$A$204,0)),"")</f>
        <v/>
      </c>
      <c r="H427" s="7"/>
      <c r="I427" s="7"/>
      <c r="J427" s="7"/>
      <c r="O427" s="22">
        <f t="shared" si="1"/>
        <v>0</v>
      </c>
      <c r="R427" s="7"/>
    </row>
    <row r="428" ht="15.75" customHeight="1">
      <c r="A428" s="15"/>
      <c r="B428" s="7"/>
      <c r="C428" s="7"/>
      <c r="D428" s="7"/>
      <c r="E428" s="7" t="str">
        <f t="array" ref="E428">IFERROR(INDEX('Order Planning'!$C$5:$C$204,MATCH(D428,'Order Planning'!$A$5:$A$204,0)),"")</f>
        <v/>
      </c>
      <c r="F428" s="7" t="str">
        <f t="array" ref="F428">IFERROR(INDEX('Order Planning'!$E$5:$E$204,MATCH(D428,'Order Planning'!$A$5:$A$204,0)),"")</f>
        <v/>
      </c>
      <c r="G428" s="7" t="str">
        <f t="array" ref="G428">IFERROR(INDEX('Order Planning'!$F$5:$F$204,MATCH(D428,'Order Planning'!$A$5:$A$204,0)),"")</f>
        <v/>
      </c>
      <c r="H428" s="7"/>
      <c r="I428" s="7"/>
      <c r="J428" s="7"/>
      <c r="O428" s="22">
        <f t="shared" si="1"/>
        <v>0</v>
      </c>
      <c r="R428" s="7"/>
    </row>
    <row r="429" ht="15.75" customHeight="1">
      <c r="A429" s="15"/>
      <c r="B429" s="7"/>
      <c r="C429" s="7"/>
      <c r="D429" s="7"/>
      <c r="E429" s="7" t="str">
        <f t="array" ref="E429">IFERROR(INDEX('Order Planning'!$C$5:$C$204,MATCH(D429,'Order Planning'!$A$5:$A$204,0)),"")</f>
        <v/>
      </c>
      <c r="F429" s="7" t="str">
        <f t="array" ref="F429">IFERROR(INDEX('Order Planning'!$E$5:$E$204,MATCH(D429,'Order Planning'!$A$5:$A$204,0)),"")</f>
        <v/>
      </c>
      <c r="G429" s="7" t="str">
        <f t="array" ref="G429">IFERROR(INDEX('Order Planning'!$F$5:$F$204,MATCH(D429,'Order Planning'!$A$5:$A$204,0)),"")</f>
        <v/>
      </c>
      <c r="H429" s="7"/>
      <c r="I429" s="7"/>
      <c r="J429" s="7"/>
      <c r="O429" s="22">
        <f t="shared" si="1"/>
        <v>0</v>
      </c>
      <c r="R429" s="7"/>
    </row>
    <row r="430" ht="15.75" customHeight="1">
      <c r="A430" s="15"/>
      <c r="B430" s="7"/>
      <c r="C430" s="7"/>
      <c r="D430" s="7"/>
      <c r="E430" s="7" t="str">
        <f t="array" ref="E430">IFERROR(INDEX('Order Planning'!$C$5:$C$204,MATCH(D430,'Order Planning'!$A$5:$A$204,0)),"")</f>
        <v/>
      </c>
      <c r="F430" s="7" t="str">
        <f t="array" ref="F430">IFERROR(INDEX('Order Planning'!$E$5:$E$204,MATCH(D430,'Order Planning'!$A$5:$A$204,0)),"")</f>
        <v/>
      </c>
      <c r="G430" s="7" t="str">
        <f t="array" ref="G430">IFERROR(INDEX('Order Planning'!$F$5:$F$204,MATCH(D430,'Order Planning'!$A$5:$A$204,0)),"")</f>
        <v/>
      </c>
      <c r="H430" s="7"/>
      <c r="I430" s="7"/>
      <c r="J430" s="7"/>
      <c r="O430" s="22">
        <f t="shared" si="1"/>
        <v>0</v>
      </c>
      <c r="R430" s="7"/>
    </row>
    <row r="431" ht="15.75" customHeight="1">
      <c r="A431" s="15"/>
      <c r="B431" s="7"/>
      <c r="C431" s="7"/>
      <c r="D431" s="7"/>
      <c r="E431" s="7" t="str">
        <f t="array" ref="E431">IFERROR(INDEX('Order Planning'!$C$5:$C$204,MATCH(D431,'Order Planning'!$A$5:$A$204,0)),"")</f>
        <v/>
      </c>
      <c r="F431" s="7" t="str">
        <f t="array" ref="F431">IFERROR(INDEX('Order Planning'!$E$5:$E$204,MATCH(D431,'Order Planning'!$A$5:$A$204,0)),"")</f>
        <v/>
      </c>
      <c r="G431" s="7" t="str">
        <f t="array" ref="G431">IFERROR(INDEX('Order Planning'!$F$5:$F$204,MATCH(D431,'Order Planning'!$A$5:$A$204,0)),"")</f>
        <v/>
      </c>
      <c r="H431" s="7"/>
      <c r="I431" s="7"/>
      <c r="J431" s="7"/>
      <c r="O431" s="22">
        <f t="shared" si="1"/>
        <v>0</v>
      </c>
      <c r="R431" s="7"/>
    </row>
    <row r="432" ht="15.75" customHeight="1">
      <c r="A432" s="15"/>
      <c r="B432" s="7"/>
      <c r="C432" s="7"/>
      <c r="D432" s="7"/>
      <c r="E432" s="7" t="str">
        <f t="array" ref="E432">IFERROR(INDEX('Order Planning'!$C$5:$C$204,MATCH(D432,'Order Planning'!$A$5:$A$204,0)),"")</f>
        <v/>
      </c>
      <c r="F432" s="7" t="str">
        <f t="array" ref="F432">IFERROR(INDEX('Order Planning'!$E$5:$E$204,MATCH(D432,'Order Planning'!$A$5:$A$204,0)),"")</f>
        <v/>
      </c>
      <c r="G432" s="7" t="str">
        <f t="array" ref="G432">IFERROR(INDEX('Order Planning'!$F$5:$F$204,MATCH(D432,'Order Planning'!$A$5:$A$204,0)),"")</f>
        <v/>
      </c>
      <c r="H432" s="7"/>
      <c r="I432" s="7"/>
      <c r="J432" s="7"/>
      <c r="O432" s="22">
        <f t="shared" si="1"/>
        <v>0</v>
      </c>
      <c r="R432" s="7"/>
    </row>
    <row r="433" ht="15.75" customHeight="1">
      <c r="A433" s="15"/>
      <c r="B433" s="7"/>
      <c r="C433" s="7"/>
      <c r="D433" s="7"/>
      <c r="E433" s="7" t="str">
        <f t="array" ref="E433">IFERROR(INDEX('Order Planning'!$C$5:$C$204,MATCH(D433,'Order Planning'!$A$5:$A$204,0)),"")</f>
        <v/>
      </c>
      <c r="F433" s="7" t="str">
        <f t="array" ref="F433">IFERROR(INDEX('Order Planning'!$E$5:$E$204,MATCH(D433,'Order Planning'!$A$5:$A$204,0)),"")</f>
        <v/>
      </c>
      <c r="G433" s="7" t="str">
        <f t="array" ref="G433">IFERROR(INDEX('Order Planning'!$F$5:$F$204,MATCH(D433,'Order Planning'!$A$5:$A$204,0)),"")</f>
        <v/>
      </c>
      <c r="H433" s="7"/>
      <c r="I433" s="7"/>
      <c r="J433" s="7"/>
      <c r="O433" s="22">
        <f t="shared" si="1"/>
        <v>0</v>
      </c>
      <c r="R433" s="7"/>
    </row>
    <row r="434" ht="15.75" customHeight="1">
      <c r="A434" s="15"/>
      <c r="B434" s="7"/>
      <c r="C434" s="7"/>
      <c r="D434" s="7"/>
      <c r="E434" s="7" t="str">
        <f t="array" ref="E434">IFERROR(INDEX('Order Planning'!$C$5:$C$204,MATCH(D434,'Order Planning'!$A$5:$A$204,0)),"")</f>
        <v/>
      </c>
      <c r="F434" s="7" t="str">
        <f t="array" ref="F434">IFERROR(INDEX('Order Planning'!$E$5:$E$204,MATCH(D434,'Order Planning'!$A$5:$A$204,0)),"")</f>
        <v/>
      </c>
      <c r="G434" s="7" t="str">
        <f t="array" ref="G434">IFERROR(INDEX('Order Planning'!$F$5:$F$204,MATCH(D434,'Order Planning'!$A$5:$A$204,0)),"")</f>
        <v/>
      </c>
      <c r="H434" s="7"/>
      <c r="I434" s="7"/>
      <c r="J434" s="7"/>
      <c r="O434" s="22">
        <f t="shared" si="1"/>
        <v>0</v>
      </c>
      <c r="R434" s="7"/>
    </row>
    <row r="435" ht="15.75" customHeight="1">
      <c r="A435" s="15"/>
      <c r="B435" s="7"/>
      <c r="C435" s="7"/>
      <c r="D435" s="7"/>
      <c r="E435" s="7" t="str">
        <f t="array" ref="E435">IFERROR(INDEX('Order Planning'!$C$5:$C$204,MATCH(D435,'Order Planning'!$A$5:$A$204,0)),"")</f>
        <v/>
      </c>
      <c r="F435" s="7" t="str">
        <f t="array" ref="F435">IFERROR(INDEX('Order Planning'!$E$5:$E$204,MATCH(D435,'Order Planning'!$A$5:$A$204,0)),"")</f>
        <v/>
      </c>
      <c r="G435" s="7" t="str">
        <f t="array" ref="G435">IFERROR(INDEX('Order Planning'!$F$5:$F$204,MATCH(D435,'Order Planning'!$A$5:$A$204,0)),"")</f>
        <v/>
      </c>
      <c r="H435" s="7"/>
      <c r="I435" s="7"/>
      <c r="J435" s="7"/>
      <c r="O435" s="22">
        <f t="shared" si="1"/>
        <v>0</v>
      </c>
      <c r="R435" s="7"/>
    </row>
    <row r="436" ht="15.75" customHeight="1">
      <c r="A436" s="15"/>
      <c r="B436" s="7"/>
      <c r="C436" s="7"/>
      <c r="D436" s="7"/>
      <c r="E436" s="7" t="str">
        <f t="array" ref="E436">IFERROR(INDEX('Order Planning'!$C$5:$C$204,MATCH(D436,'Order Planning'!$A$5:$A$204,0)),"")</f>
        <v/>
      </c>
      <c r="F436" s="7" t="str">
        <f t="array" ref="F436">IFERROR(INDEX('Order Planning'!$E$5:$E$204,MATCH(D436,'Order Planning'!$A$5:$A$204,0)),"")</f>
        <v/>
      </c>
      <c r="G436" s="7" t="str">
        <f t="array" ref="G436">IFERROR(INDEX('Order Planning'!$F$5:$F$204,MATCH(D436,'Order Planning'!$A$5:$A$204,0)),"")</f>
        <v/>
      </c>
      <c r="H436" s="7"/>
      <c r="I436" s="7"/>
      <c r="J436" s="7"/>
      <c r="O436" s="22">
        <f t="shared" si="1"/>
        <v>0</v>
      </c>
      <c r="R436" s="7"/>
    </row>
    <row r="437" ht="15.75" customHeight="1">
      <c r="A437" s="15"/>
      <c r="B437" s="7"/>
      <c r="C437" s="7"/>
      <c r="D437" s="7"/>
      <c r="E437" s="7" t="str">
        <f t="array" ref="E437">IFERROR(INDEX('Order Planning'!$C$5:$C$204,MATCH(D437,'Order Planning'!$A$5:$A$204,0)),"")</f>
        <v/>
      </c>
      <c r="F437" s="7" t="str">
        <f t="array" ref="F437">IFERROR(INDEX('Order Planning'!$E$5:$E$204,MATCH(D437,'Order Planning'!$A$5:$A$204,0)),"")</f>
        <v/>
      </c>
      <c r="G437" s="7" t="str">
        <f t="array" ref="G437">IFERROR(INDEX('Order Planning'!$F$5:$F$204,MATCH(D437,'Order Planning'!$A$5:$A$204,0)),"")</f>
        <v/>
      </c>
      <c r="H437" s="7"/>
      <c r="I437" s="7"/>
      <c r="J437" s="7"/>
      <c r="O437" s="22">
        <f t="shared" si="1"/>
        <v>0</v>
      </c>
      <c r="R437" s="7"/>
    </row>
    <row r="438" ht="15.75" customHeight="1">
      <c r="A438" s="15"/>
      <c r="B438" s="7"/>
      <c r="C438" s="7"/>
      <c r="D438" s="7"/>
      <c r="E438" s="7" t="str">
        <f t="array" ref="E438">IFERROR(INDEX('Order Planning'!$C$5:$C$204,MATCH(D438,'Order Planning'!$A$5:$A$204,0)),"")</f>
        <v/>
      </c>
      <c r="F438" s="7" t="str">
        <f t="array" ref="F438">IFERROR(INDEX('Order Planning'!$E$5:$E$204,MATCH(D438,'Order Planning'!$A$5:$A$204,0)),"")</f>
        <v/>
      </c>
      <c r="G438" s="7" t="str">
        <f t="array" ref="G438">IFERROR(INDEX('Order Planning'!$F$5:$F$204,MATCH(D438,'Order Planning'!$A$5:$A$204,0)),"")</f>
        <v/>
      </c>
      <c r="H438" s="7"/>
      <c r="I438" s="7"/>
      <c r="J438" s="7"/>
      <c r="O438" s="22">
        <f t="shared" si="1"/>
        <v>0</v>
      </c>
      <c r="R438" s="7"/>
    </row>
    <row r="439" ht="15.75" customHeight="1">
      <c r="A439" s="15"/>
      <c r="B439" s="7"/>
      <c r="C439" s="7"/>
      <c r="D439" s="7"/>
      <c r="E439" s="7" t="str">
        <f t="array" ref="E439">IFERROR(INDEX('Order Planning'!$C$5:$C$204,MATCH(D439,'Order Planning'!$A$5:$A$204,0)),"")</f>
        <v/>
      </c>
      <c r="F439" s="7" t="str">
        <f t="array" ref="F439">IFERROR(INDEX('Order Planning'!$E$5:$E$204,MATCH(D439,'Order Planning'!$A$5:$A$204,0)),"")</f>
        <v/>
      </c>
      <c r="G439" s="7" t="str">
        <f t="array" ref="G439">IFERROR(INDEX('Order Planning'!$F$5:$F$204,MATCH(D439,'Order Planning'!$A$5:$A$204,0)),"")</f>
        <v/>
      </c>
      <c r="H439" s="7"/>
      <c r="I439" s="7"/>
      <c r="J439" s="7"/>
      <c r="O439" s="22">
        <f t="shared" si="1"/>
        <v>0</v>
      </c>
      <c r="R439" s="7"/>
    </row>
    <row r="440" ht="15.75" customHeight="1">
      <c r="A440" s="15"/>
      <c r="B440" s="7"/>
      <c r="C440" s="7"/>
      <c r="D440" s="7"/>
      <c r="E440" s="7" t="str">
        <f t="array" ref="E440">IFERROR(INDEX('Order Planning'!$C$5:$C$204,MATCH(D440,'Order Planning'!$A$5:$A$204,0)),"")</f>
        <v/>
      </c>
      <c r="F440" s="7" t="str">
        <f t="array" ref="F440">IFERROR(INDEX('Order Planning'!$E$5:$E$204,MATCH(D440,'Order Planning'!$A$5:$A$204,0)),"")</f>
        <v/>
      </c>
      <c r="G440" s="7" t="str">
        <f t="array" ref="G440">IFERROR(INDEX('Order Planning'!$F$5:$F$204,MATCH(D440,'Order Planning'!$A$5:$A$204,0)),"")</f>
        <v/>
      </c>
      <c r="H440" s="7"/>
      <c r="I440" s="7"/>
      <c r="J440" s="7"/>
      <c r="O440" s="22">
        <f t="shared" si="1"/>
        <v>0</v>
      </c>
      <c r="R440" s="7"/>
    </row>
    <row r="441" ht="15.75" customHeight="1">
      <c r="A441" s="15"/>
      <c r="B441" s="7"/>
      <c r="C441" s="7"/>
      <c r="D441" s="7"/>
      <c r="E441" s="7" t="str">
        <f t="array" ref="E441">IFERROR(INDEX('Order Planning'!$C$5:$C$204,MATCH(D441,'Order Planning'!$A$5:$A$204,0)),"")</f>
        <v/>
      </c>
      <c r="F441" s="7" t="str">
        <f t="array" ref="F441">IFERROR(INDEX('Order Planning'!$E$5:$E$204,MATCH(D441,'Order Planning'!$A$5:$A$204,0)),"")</f>
        <v/>
      </c>
      <c r="G441" s="7" t="str">
        <f t="array" ref="G441">IFERROR(INDEX('Order Planning'!$F$5:$F$204,MATCH(D441,'Order Planning'!$A$5:$A$204,0)),"")</f>
        <v/>
      </c>
      <c r="H441" s="7"/>
      <c r="I441" s="7"/>
      <c r="J441" s="7"/>
      <c r="O441" s="22">
        <f t="shared" si="1"/>
        <v>0</v>
      </c>
      <c r="R441" s="7"/>
    </row>
    <row r="442" ht="15.75" customHeight="1">
      <c r="A442" s="15"/>
      <c r="B442" s="7"/>
      <c r="C442" s="7"/>
      <c r="D442" s="7"/>
      <c r="E442" s="7" t="str">
        <f t="array" ref="E442">IFERROR(INDEX('Order Planning'!$C$5:$C$204,MATCH(D442,'Order Planning'!$A$5:$A$204,0)),"")</f>
        <v/>
      </c>
      <c r="F442" s="7" t="str">
        <f t="array" ref="F442">IFERROR(INDEX('Order Planning'!$E$5:$E$204,MATCH(D442,'Order Planning'!$A$5:$A$204,0)),"")</f>
        <v/>
      </c>
      <c r="G442" s="7" t="str">
        <f t="array" ref="G442">IFERROR(INDEX('Order Planning'!$F$5:$F$204,MATCH(D442,'Order Planning'!$A$5:$A$204,0)),"")</f>
        <v/>
      </c>
      <c r="H442" s="7"/>
      <c r="I442" s="7"/>
      <c r="J442" s="7"/>
      <c r="O442" s="22">
        <f t="shared" si="1"/>
        <v>0</v>
      </c>
      <c r="R442" s="7"/>
    </row>
    <row r="443" ht="15.75" customHeight="1">
      <c r="A443" s="15"/>
      <c r="B443" s="7"/>
      <c r="C443" s="7"/>
      <c r="D443" s="7"/>
      <c r="E443" s="7" t="str">
        <f t="array" ref="E443">IFERROR(INDEX('Order Planning'!$C$5:$C$204,MATCH(D443,'Order Planning'!$A$5:$A$204,0)),"")</f>
        <v/>
      </c>
      <c r="F443" s="7" t="str">
        <f t="array" ref="F443">IFERROR(INDEX('Order Planning'!$E$5:$E$204,MATCH(D443,'Order Planning'!$A$5:$A$204,0)),"")</f>
        <v/>
      </c>
      <c r="G443" s="7" t="str">
        <f t="array" ref="G443">IFERROR(INDEX('Order Planning'!$F$5:$F$204,MATCH(D443,'Order Planning'!$A$5:$A$204,0)),"")</f>
        <v/>
      </c>
      <c r="H443" s="7"/>
      <c r="I443" s="7"/>
      <c r="J443" s="7"/>
      <c r="O443" s="22">
        <f t="shared" si="1"/>
        <v>0</v>
      </c>
      <c r="R443" s="7"/>
    </row>
    <row r="444" ht="15.75" customHeight="1">
      <c r="A444" s="15"/>
      <c r="B444" s="7"/>
      <c r="C444" s="7"/>
      <c r="D444" s="7"/>
      <c r="E444" s="7" t="str">
        <f t="array" ref="E444">IFERROR(INDEX('Order Planning'!$C$5:$C$204,MATCH(D444,'Order Planning'!$A$5:$A$204,0)),"")</f>
        <v/>
      </c>
      <c r="F444" s="7" t="str">
        <f t="array" ref="F444">IFERROR(INDEX('Order Planning'!$E$5:$E$204,MATCH(D444,'Order Planning'!$A$5:$A$204,0)),"")</f>
        <v/>
      </c>
      <c r="G444" s="7" t="str">
        <f t="array" ref="G444">IFERROR(INDEX('Order Planning'!$F$5:$F$204,MATCH(D444,'Order Planning'!$A$5:$A$204,0)),"")</f>
        <v/>
      </c>
      <c r="H444" s="7"/>
      <c r="I444" s="7"/>
      <c r="J444" s="7"/>
      <c r="O444" s="22">
        <f t="shared" si="1"/>
        <v>0</v>
      </c>
      <c r="R444" s="7"/>
    </row>
    <row r="445" ht="15.75" customHeight="1">
      <c r="A445" s="15"/>
      <c r="B445" s="7"/>
      <c r="C445" s="7"/>
      <c r="D445" s="7"/>
      <c r="E445" s="7" t="str">
        <f t="array" ref="E445">IFERROR(INDEX('Order Planning'!$C$5:$C$204,MATCH(D445,'Order Planning'!$A$5:$A$204,0)),"")</f>
        <v/>
      </c>
      <c r="F445" s="7" t="str">
        <f t="array" ref="F445">IFERROR(INDEX('Order Planning'!$E$5:$E$204,MATCH(D445,'Order Planning'!$A$5:$A$204,0)),"")</f>
        <v/>
      </c>
      <c r="G445" s="7" t="str">
        <f t="array" ref="G445">IFERROR(INDEX('Order Planning'!$F$5:$F$204,MATCH(D445,'Order Planning'!$A$5:$A$204,0)),"")</f>
        <v/>
      </c>
      <c r="H445" s="7"/>
      <c r="I445" s="7"/>
      <c r="J445" s="7"/>
      <c r="O445" s="22">
        <f t="shared" si="1"/>
        <v>0</v>
      </c>
      <c r="R445" s="7"/>
    </row>
    <row r="446" ht="15.75" customHeight="1">
      <c r="A446" s="15"/>
      <c r="B446" s="7"/>
      <c r="C446" s="7"/>
      <c r="D446" s="7"/>
      <c r="E446" s="7" t="str">
        <f t="array" ref="E446">IFERROR(INDEX('Order Planning'!$C$5:$C$204,MATCH(D446,'Order Planning'!$A$5:$A$204,0)),"")</f>
        <v/>
      </c>
      <c r="F446" s="7" t="str">
        <f t="array" ref="F446">IFERROR(INDEX('Order Planning'!$E$5:$E$204,MATCH(D446,'Order Planning'!$A$5:$A$204,0)),"")</f>
        <v/>
      </c>
      <c r="G446" s="7" t="str">
        <f t="array" ref="G446">IFERROR(INDEX('Order Planning'!$F$5:$F$204,MATCH(D446,'Order Planning'!$A$5:$A$204,0)),"")</f>
        <v/>
      </c>
      <c r="H446" s="7"/>
      <c r="I446" s="7"/>
      <c r="J446" s="7"/>
      <c r="O446" s="22">
        <f t="shared" si="1"/>
        <v>0</v>
      </c>
      <c r="R446" s="7"/>
    </row>
    <row r="447" ht="15.75" customHeight="1">
      <c r="A447" s="15"/>
      <c r="B447" s="7"/>
      <c r="C447" s="7"/>
      <c r="D447" s="7"/>
      <c r="E447" s="7" t="str">
        <f t="array" ref="E447">IFERROR(INDEX('Order Planning'!$C$5:$C$204,MATCH(D447,'Order Planning'!$A$5:$A$204,0)),"")</f>
        <v/>
      </c>
      <c r="F447" s="7" t="str">
        <f t="array" ref="F447">IFERROR(INDEX('Order Planning'!$E$5:$E$204,MATCH(D447,'Order Planning'!$A$5:$A$204,0)),"")</f>
        <v/>
      </c>
      <c r="G447" s="7" t="str">
        <f t="array" ref="G447">IFERROR(INDEX('Order Planning'!$F$5:$F$204,MATCH(D447,'Order Planning'!$A$5:$A$204,0)),"")</f>
        <v/>
      </c>
      <c r="H447" s="7"/>
      <c r="I447" s="7"/>
      <c r="J447" s="7"/>
      <c r="O447" s="22">
        <f t="shared" si="1"/>
        <v>0</v>
      </c>
      <c r="R447" s="7"/>
    </row>
    <row r="448" ht="15.75" customHeight="1">
      <c r="A448" s="15"/>
      <c r="B448" s="7"/>
      <c r="C448" s="7"/>
      <c r="D448" s="7"/>
      <c r="E448" s="7" t="str">
        <f t="array" ref="E448">IFERROR(INDEX('Order Planning'!$C$5:$C$204,MATCH(D448,'Order Planning'!$A$5:$A$204,0)),"")</f>
        <v/>
      </c>
      <c r="F448" s="7" t="str">
        <f t="array" ref="F448">IFERROR(INDEX('Order Planning'!$E$5:$E$204,MATCH(D448,'Order Planning'!$A$5:$A$204,0)),"")</f>
        <v/>
      </c>
      <c r="G448" s="7" t="str">
        <f t="array" ref="G448">IFERROR(INDEX('Order Planning'!$F$5:$F$204,MATCH(D448,'Order Planning'!$A$5:$A$204,0)),"")</f>
        <v/>
      </c>
      <c r="H448" s="7"/>
      <c r="I448" s="7"/>
      <c r="J448" s="7"/>
      <c r="O448" s="22">
        <f t="shared" si="1"/>
        <v>0</v>
      </c>
      <c r="R448" s="7"/>
    </row>
    <row r="449" ht="15.75" customHeight="1">
      <c r="A449" s="15"/>
      <c r="B449" s="7"/>
      <c r="C449" s="7"/>
      <c r="D449" s="7"/>
      <c r="E449" s="7" t="str">
        <f t="array" ref="E449">IFERROR(INDEX('Order Planning'!$C$5:$C$204,MATCH(D449,'Order Planning'!$A$5:$A$204,0)),"")</f>
        <v/>
      </c>
      <c r="F449" s="7" t="str">
        <f t="array" ref="F449">IFERROR(INDEX('Order Planning'!$E$5:$E$204,MATCH(D449,'Order Planning'!$A$5:$A$204,0)),"")</f>
        <v/>
      </c>
      <c r="G449" s="7" t="str">
        <f t="array" ref="G449">IFERROR(INDEX('Order Planning'!$F$5:$F$204,MATCH(D449,'Order Planning'!$A$5:$A$204,0)),"")</f>
        <v/>
      </c>
      <c r="H449" s="7"/>
      <c r="I449" s="7"/>
      <c r="J449" s="7"/>
      <c r="O449" s="22">
        <f t="shared" si="1"/>
        <v>0</v>
      </c>
      <c r="R449" s="7"/>
    </row>
    <row r="450" ht="15.75" customHeight="1">
      <c r="A450" s="15"/>
      <c r="B450" s="7"/>
      <c r="C450" s="7"/>
      <c r="D450" s="7"/>
      <c r="E450" s="7" t="str">
        <f t="array" ref="E450">IFERROR(INDEX('Order Planning'!$C$5:$C$204,MATCH(D450,'Order Planning'!$A$5:$A$204,0)),"")</f>
        <v/>
      </c>
      <c r="F450" s="7" t="str">
        <f t="array" ref="F450">IFERROR(INDEX('Order Planning'!$E$5:$E$204,MATCH(D450,'Order Planning'!$A$5:$A$204,0)),"")</f>
        <v/>
      </c>
      <c r="G450" s="7" t="str">
        <f t="array" ref="G450">IFERROR(INDEX('Order Planning'!$F$5:$F$204,MATCH(D450,'Order Planning'!$A$5:$A$204,0)),"")</f>
        <v/>
      </c>
      <c r="H450" s="7"/>
      <c r="I450" s="7"/>
      <c r="J450" s="7"/>
      <c r="O450" s="22">
        <f t="shared" si="1"/>
        <v>0</v>
      </c>
      <c r="R450" s="7"/>
    </row>
    <row r="451" ht="15.75" customHeight="1">
      <c r="A451" s="15"/>
      <c r="B451" s="7"/>
      <c r="C451" s="7"/>
      <c r="D451" s="7"/>
      <c r="E451" s="7" t="str">
        <f t="array" ref="E451">IFERROR(INDEX('Order Planning'!$C$5:$C$204,MATCH(D451,'Order Planning'!$A$5:$A$204,0)),"")</f>
        <v/>
      </c>
      <c r="F451" s="7" t="str">
        <f t="array" ref="F451">IFERROR(INDEX('Order Planning'!$E$5:$E$204,MATCH(D451,'Order Planning'!$A$5:$A$204,0)),"")</f>
        <v/>
      </c>
      <c r="G451" s="7" t="str">
        <f t="array" ref="G451">IFERROR(INDEX('Order Planning'!$F$5:$F$204,MATCH(D451,'Order Planning'!$A$5:$A$204,0)),"")</f>
        <v/>
      </c>
      <c r="H451" s="7"/>
      <c r="I451" s="7"/>
      <c r="J451" s="7"/>
      <c r="O451" s="22">
        <f t="shared" si="1"/>
        <v>0</v>
      </c>
      <c r="R451" s="7"/>
    </row>
    <row r="452" ht="15.75" customHeight="1">
      <c r="A452" s="15"/>
      <c r="B452" s="7"/>
      <c r="C452" s="7"/>
      <c r="D452" s="7"/>
      <c r="E452" s="7" t="str">
        <f t="array" ref="E452">IFERROR(INDEX('Order Planning'!$C$5:$C$204,MATCH(D452,'Order Planning'!$A$5:$A$204,0)),"")</f>
        <v/>
      </c>
      <c r="F452" s="7" t="str">
        <f t="array" ref="F452">IFERROR(INDEX('Order Planning'!$E$5:$E$204,MATCH(D452,'Order Planning'!$A$5:$A$204,0)),"")</f>
        <v/>
      </c>
      <c r="G452" s="7" t="str">
        <f t="array" ref="G452">IFERROR(INDEX('Order Planning'!$F$5:$F$204,MATCH(D452,'Order Planning'!$A$5:$A$204,0)),"")</f>
        <v/>
      </c>
      <c r="H452" s="7"/>
      <c r="I452" s="7"/>
      <c r="J452" s="7"/>
      <c r="O452" s="22">
        <f t="shared" si="1"/>
        <v>0</v>
      </c>
      <c r="R452" s="7"/>
    </row>
    <row r="453" ht="15.75" customHeight="1">
      <c r="A453" s="15"/>
      <c r="B453" s="7"/>
      <c r="C453" s="7"/>
      <c r="D453" s="7"/>
      <c r="E453" s="7" t="str">
        <f t="array" ref="E453">IFERROR(INDEX('Order Planning'!$C$5:$C$204,MATCH(D453,'Order Planning'!$A$5:$A$204,0)),"")</f>
        <v/>
      </c>
      <c r="F453" s="7" t="str">
        <f t="array" ref="F453">IFERROR(INDEX('Order Planning'!$E$5:$E$204,MATCH(D453,'Order Planning'!$A$5:$A$204,0)),"")</f>
        <v/>
      </c>
      <c r="G453" s="7" t="str">
        <f t="array" ref="G453">IFERROR(INDEX('Order Planning'!$F$5:$F$204,MATCH(D453,'Order Planning'!$A$5:$A$204,0)),"")</f>
        <v/>
      </c>
      <c r="H453" s="7"/>
      <c r="I453" s="7"/>
      <c r="J453" s="7"/>
      <c r="O453" s="22">
        <f t="shared" si="1"/>
        <v>0</v>
      </c>
      <c r="R453" s="7"/>
    </row>
    <row r="454" ht="15.75" customHeight="1">
      <c r="A454" s="15"/>
      <c r="B454" s="7"/>
      <c r="C454" s="7"/>
      <c r="D454" s="7"/>
      <c r="E454" s="7" t="str">
        <f t="array" ref="E454">IFERROR(INDEX('Order Planning'!$C$5:$C$204,MATCH(D454,'Order Planning'!$A$5:$A$204,0)),"")</f>
        <v/>
      </c>
      <c r="F454" s="7" t="str">
        <f t="array" ref="F454">IFERROR(INDEX('Order Planning'!$E$5:$E$204,MATCH(D454,'Order Planning'!$A$5:$A$204,0)),"")</f>
        <v/>
      </c>
      <c r="G454" s="7" t="str">
        <f t="array" ref="G454">IFERROR(INDEX('Order Planning'!$F$5:$F$204,MATCH(D454,'Order Planning'!$A$5:$A$204,0)),"")</f>
        <v/>
      </c>
      <c r="H454" s="7"/>
      <c r="I454" s="7"/>
      <c r="J454" s="7"/>
      <c r="O454" s="22">
        <f t="shared" si="1"/>
        <v>0</v>
      </c>
      <c r="R454" s="7"/>
    </row>
    <row r="455" ht="15.75" customHeight="1">
      <c r="A455" s="15"/>
      <c r="B455" s="7"/>
      <c r="C455" s="7"/>
      <c r="D455" s="7"/>
      <c r="E455" s="7" t="str">
        <f t="array" ref="E455">IFERROR(INDEX('Order Planning'!$C$5:$C$204,MATCH(D455,'Order Planning'!$A$5:$A$204,0)),"")</f>
        <v/>
      </c>
      <c r="F455" s="7" t="str">
        <f t="array" ref="F455">IFERROR(INDEX('Order Planning'!$E$5:$E$204,MATCH(D455,'Order Planning'!$A$5:$A$204,0)),"")</f>
        <v/>
      </c>
      <c r="G455" s="7" t="str">
        <f t="array" ref="G455">IFERROR(INDEX('Order Planning'!$F$5:$F$204,MATCH(D455,'Order Planning'!$A$5:$A$204,0)),"")</f>
        <v/>
      </c>
      <c r="H455" s="7"/>
      <c r="I455" s="7"/>
      <c r="J455" s="7"/>
      <c r="O455" s="22">
        <f t="shared" si="1"/>
        <v>0</v>
      </c>
      <c r="R455" s="7"/>
    </row>
    <row r="456" ht="15.75" customHeight="1">
      <c r="A456" s="15"/>
      <c r="B456" s="7"/>
      <c r="C456" s="7"/>
      <c r="D456" s="7"/>
      <c r="E456" s="7" t="str">
        <f t="array" ref="E456">IFERROR(INDEX('Order Planning'!$C$5:$C$204,MATCH(D456,'Order Planning'!$A$5:$A$204,0)),"")</f>
        <v/>
      </c>
      <c r="F456" s="7" t="str">
        <f t="array" ref="F456">IFERROR(INDEX('Order Planning'!$E$5:$E$204,MATCH(D456,'Order Planning'!$A$5:$A$204,0)),"")</f>
        <v/>
      </c>
      <c r="G456" s="7" t="str">
        <f t="array" ref="G456">IFERROR(INDEX('Order Planning'!$F$5:$F$204,MATCH(D456,'Order Planning'!$A$5:$A$204,0)),"")</f>
        <v/>
      </c>
      <c r="H456" s="7"/>
      <c r="I456" s="7"/>
      <c r="J456" s="7"/>
      <c r="O456" s="22">
        <f t="shared" si="1"/>
        <v>0</v>
      </c>
      <c r="R456" s="7"/>
    </row>
    <row r="457" ht="15.75" customHeight="1">
      <c r="A457" s="15"/>
      <c r="B457" s="7"/>
      <c r="C457" s="7"/>
      <c r="D457" s="7"/>
      <c r="E457" s="7" t="str">
        <f t="array" ref="E457">IFERROR(INDEX('Order Planning'!$C$5:$C$204,MATCH(D457,'Order Planning'!$A$5:$A$204,0)),"")</f>
        <v/>
      </c>
      <c r="F457" s="7" t="str">
        <f t="array" ref="F457">IFERROR(INDEX('Order Planning'!$E$5:$E$204,MATCH(D457,'Order Planning'!$A$5:$A$204,0)),"")</f>
        <v/>
      </c>
      <c r="G457" s="7" t="str">
        <f t="array" ref="G457">IFERROR(INDEX('Order Planning'!$F$5:$F$204,MATCH(D457,'Order Planning'!$A$5:$A$204,0)),"")</f>
        <v/>
      </c>
      <c r="H457" s="7"/>
      <c r="I457" s="7"/>
      <c r="J457" s="7"/>
      <c r="O457" s="22">
        <f t="shared" si="1"/>
        <v>0</v>
      </c>
      <c r="R457" s="7"/>
    </row>
    <row r="458" ht="15.75" customHeight="1">
      <c r="A458" s="15"/>
      <c r="B458" s="7"/>
      <c r="C458" s="7"/>
      <c r="D458" s="7"/>
      <c r="E458" s="7" t="str">
        <f t="array" ref="E458">IFERROR(INDEX('Order Planning'!$C$5:$C$204,MATCH(D458,'Order Planning'!$A$5:$A$204,0)),"")</f>
        <v/>
      </c>
      <c r="F458" s="7" t="str">
        <f t="array" ref="F458">IFERROR(INDEX('Order Planning'!$E$5:$E$204,MATCH(D458,'Order Planning'!$A$5:$A$204,0)),"")</f>
        <v/>
      </c>
      <c r="G458" s="7" t="str">
        <f t="array" ref="G458">IFERROR(INDEX('Order Planning'!$F$5:$F$204,MATCH(D458,'Order Planning'!$A$5:$A$204,0)),"")</f>
        <v/>
      </c>
      <c r="H458" s="7"/>
      <c r="I458" s="7"/>
      <c r="J458" s="7"/>
      <c r="O458" s="22">
        <f t="shared" si="1"/>
        <v>0</v>
      </c>
      <c r="R458" s="7"/>
    </row>
    <row r="459" ht="15.75" customHeight="1">
      <c r="A459" s="15"/>
      <c r="B459" s="7"/>
      <c r="C459" s="7"/>
      <c r="D459" s="7"/>
      <c r="E459" s="7" t="str">
        <f t="array" ref="E459">IFERROR(INDEX('Order Planning'!$C$5:$C$204,MATCH(D459,'Order Planning'!$A$5:$A$204,0)),"")</f>
        <v/>
      </c>
      <c r="F459" s="7" t="str">
        <f t="array" ref="F459">IFERROR(INDEX('Order Planning'!$E$5:$E$204,MATCH(D459,'Order Planning'!$A$5:$A$204,0)),"")</f>
        <v/>
      </c>
      <c r="G459" s="7" t="str">
        <f t="array" ref="G459">IFERROR(INDEX('Order Planning'!$F$5:$F$204,MATCH(D459,'Order Planning'!$A$5:$A$204,0)),"")</f>
        <v/>
      </c>
      <c r="H459" s="7"/>
      <c r="I459" s="7"/>
      <c r="J459" s="7"/>
      <c r="O459" s="22">
        <f t="shared" si="1"/>
        <v>0</v>
      </c>
      <c r="R459" s="7"/>
    </row>
    <row r="460" ht="15.75" customHeight="1">
      <c r="A460" s="15"/>
      <c r="B460" s="7"/>
      <c r="C460" s="7"/>
      <c r="D460" s="7"/>
      <c r="E460" s="7" t="str">
        <f t="array" ref="E460">IFERROR(INDEX('Order Planning'!$C$5:$C$204,MATCH(D460,'Order Planning'!$A$5:$A$204,0)),"")</f>
        <v/>
      </c>
      <c r="F460" s="7" t="str">
        <f t="array" ref="F460">IFERROR(INDEX('Order Planning'!$E$5:$E$204,MATCH(D460,'Order Planning'!$A$5:$A$204,0)),"")</f>
        <v/>
      </c>
      <c r="G460" s="7" t="str">
        <f t="array" ref="G460">IFERROR(INDEX('Order Planning'!$F$5:$F$204,MATCH(D460,'Order Planning'!$A$5:$A$204,0)),"")</f>
        <v/>
      </c>
      <c r="H460" s="7"/>
      <c r="I460" s="7"/>
      <c r="J460" s="7"/>
      <c r="O460" s="22">
        <f t="shared" si="1"/>
        <v>0</v>
      </c>
      <c r="R460" s="7"/>
    </row>
    <row r="461" ht="15.75" customHeight="1">
      <c r="A461" s="15"/>
      <c r="B461" s="7"/>
      <c r="C461" s="7"/>
      <c r="D461" s="7"/>
      <c r="E461" s="7" t="str">
        <f t="array" ref="E461">IFERROR(INDEX('Order Planning'!$C$5:$C$204,MATCH(D461,'Order Planning'!$A$5:$A$204,0)),"")</f>
        <v/>
      </c>
      <c r="F461" s="7" t="str">
        <f t="array" ref="F461">IFERROR(INDEX('Order Planning'!$E$5:$E$204,MATCH(D461,'Order Planning'!$A$5:$A$204,0)),"")</f>
        <v/>
      </c>
      <c r="G461" s="7" t="str">
        <f t="array" ref="G461">IFERROR(INDEX('Order Planning'!$F$5:$F$204,MATCH(D461,'Order Planning'!$A$5:$A$204,0)),"")</f>
        <v/>
      </c>
      <c r="H461" s="7"/>
      <c r="I461" s="7"/>
      <c r="J461" s="7"/>
      <c r="O461" s="22">
        <f t="shared" si="1"/>
        <v>0</v>
      </c>
      <c r="R461" s="7"/>
    </row>
    <row r="462" ht="15.75" customHeight="1">
      <c r="A462" s="15"/>
      <c r="B462" s="7"/>
      <c r="C462" s="7"/>
      <c r="D462" s="7"/>
      <c r="E462" s="7" t="str">
        <f t="array" ref="E462">IFERROR(INDEX('Order Planning'!$C$5:$C$204,MATCH(D462,'Order Planning'!$A$5:$A$204,0)),"")</f>
        <v/>
      </c>
      <c r="F462" s="7" t="str">
        <f t="array" ref="F462">IFERROR(INDEX('Order Planning'!$E$5:$E$204,MATCH(D462,'Order Planning'!$A$5:$A$204,0)),"")</f>
        <v/>
      </c>
      <c r="G462" s="7" t="str">
        <f t="array" ref="G462">IFERROR(INDEX('Order Planning'!$F$5:$F$204,MATCH(D462,'Order Planning'!$A$5:$A$204,0)),"")</f>
        <v/>
      </c>
      <c r="H462" s="7"/>
      <c r="I462" s="7"/>
      <c r="J462" s="7"/>
      <c r="O462" s="22">
        <f t="shared" si="1"/>
        <v>0</v>
      </c>
      <c r="R462" s="7"/>
    </row>
    <row r="463" ht="15.75" customHeight="1">
      <c r="A463" s="15"/>
      <c r="B463" s="7"/>
      <c r="C463" s="7"/>
      <c r="D463" s="7"/>
      <c r="E463" s="7" t="str">
        <f t="array" ref="E463">IFERROR(INDEX('Order Planning'!$C$5:$C$204,MATCH(D463,'Order Planning'!$A$5:$A$204,0)),"")</f>
        <v/>
      </c>
      <c r="F463" s="7" t="str">
        <f t="array" ref="F463">IFERROR(INDEX('Order Planning'!$E$5:$E$204,MATCH(D463,'Order Planning'!$A$5:$A$204,0)),"")</f>
        <v/>
      </c>
      <c r="G463" s="7" t="str">
        <f t="array" ref="G463">IFERROR(INDEX('Order Planning'!$F$5:$F$204,MATCH(D463,'Order Planning'!$A$5:$A$204,0)),"")</f>
        <v/>
      </c>
      <c r="H463" s="7"/>
      <c r="I463" s="7"/>
      <c r="J463" s="7"/>
      <c r="O463" s="22">
        <f t="shared" si="1"/>
        <v>0</v>
      </c>
      <c r="R463" s="7"/>
    </row>
    <row r="464" ht="15.75" customHeight="1">
      <c r="A464" s="15"/>
      <c r="B464" s="7"/>
      <c r="C464" s="7"/>
      <c r="D464" s="7"/>
      <c r="E464" s="7" t="str">
        <f t="array" ref="E464">IFERROR(INDEX('Order Planning'!$C$5:$C$204,MATCH(D464,'Order Planning'!$A$5:$A$204,0)),"")</f>
        <v/>
      </c>
      <c r="F464" s="7" t="str">
        <f t="array" ref="F464">IFERROR(INDEX('Order Planning'!$E$5:$E$204,MATCH(D464,'Order Planning'!$A$5:$A$204,0)),"")</f>
        <v/>
      </c>
      <c r="G464" s="7" t="str">
        <f t="array" ref="G464">IFERROR(INDEX('Order Planning'!$F$5:$F$204,MATCH(D464,'Order Planning'!$A$5:$A$204,0)),"")</f>
        <v/>
      </c>
      <c r="H464" s="7"/>
      <c r="I464" s="7"/>
      <c r="J464" s="7"/>
      <c r="O464" s="22">
        <f t="shared" si="1"/>
        <v>0</v>
      </c>
      <c r="R464" s="7"/>
    </row>
    <row r="465" ht="15.75" customHeight="1">
      <c r="A465" s="15"/>
      <c r="B465" s="7"/>
      <c r="C465" s="7"/>
      <c r="D465" s="7"/>
      <c r="E465" s="7" t="str">
        <f t="array" ref="E465">IFERROR(INDEX('Order Planning'!$C$5:$C$204,MATCH(D465,'Order Planning'!$A$5:$A$204,0)),"")</f>
        <v/>
      </c>
      <c r="F465" s="7" t="str">
        <f t="array" ref="F465">IFERROR(INDEX('Order Planning'!$E$5:$E$204,MATCH(D465,'Order Planning'!$A$5:$A$204,0)),"")</f>
        <v/>
      </c>
      <c r="G465" s="7" t="str">
        <f t="array" ref="G465">IFERROR(INDEX('Order Planning'!$F$5:$F$204,MATCH(D465,'Order Planning'!$A$5:$A$204,0)),"")</f>
        <v/>
      </c>
      <c r="H465" s="7"/>
      <c r="I465" s="7"/>
      <c r="J465" s="7"/>
      <c r="O465" s="22">
        <f t="shared" si="1"/>
        <v>0</v>
      </c>
      <c r="R465" s="7"/>
    </row>
    <row r="466" ht="15.75" customHeight="1">
      <c r="A466" s="15"/>
      <c r="B466" s="7"/>
      <c r="C466" s="7"/>
      <c r="D466" s="7"/>
      <c r="E466" s="7" t="str">
        <f t="array" ref="E466">IFERROR(INDEX('Order Planning'!$C$5:$C$204,MATCH(D466,'Order Planning'!$A$5:$A$204,0)),"")</f>
        <v/>
      </c>
      <c r="F466" s="7" t="str">
        <f t="array" ref="F466">IFERROR(INDEX('Order Planning'!$E$5:$E$204,MATCH(D466,'Order Planning'!$A$5:$A$204,0)),"")</f>
        <v/>
      </c>
      <c r="G466" s="7" t="str">
        <f t="array" ref="G466">IFERROR(INDEX('Order Planning'!$F$5:$F$204,MATCH(D466,'Order Planning'!$A$5:$A$204,0)),"")</f>
        <v/>
      </c>
      <c r="H466" s="7"/>
      <c r="I466" s="7"/>
      <c r="J466" s="7"/>
      <c r="O466" s="22">
        <f t="shared" si="1"/>
        <v>0</v>
      </c>
      <c r="R466" s="7"/>
    </row>
    <row r="467" ht="15.75" customHeight="1">
      <c r="A467" s="15"/>
      <c r="B467" s="7"/>
      <c r="C467" s="7"/>
      <c r="D467" s="7"/>
      <c r="E467" s="7" t="str">
        <f t="array" ref="E467">IFERROR(INDEX('Order Planning'!$C$5:$C$204,MATCH(D467,'Order Planning'!$A$5:$A$204,0)),"")</f>
        <v/>
      </c>
      <c r="F467" s="7" t="str">
        <f t="array" ref="F467">IFERROR(INDEX('Order Planning'!$E$5:$E$204,MATCH(D467,'Order Planning'!$A$5:$A$204,0)),"")</f>
        <v/>
      </c>
      <c r="G467" s="7" t="str">
        <f t="array" ref="G467">IFERROR(INDEX('Order Planning'!$F$5:$F$204,MATCH(D467,'Order Planning'!$A$5:$A$204,0)),"")</f>
        <v/>
      </c>
      <c r="H467" s="7"/>
      <c r="I467" s="7"/>
      <c r="J467" s="7"/>
      <c r="O467" s="22">
        <f t="shared" si="1"/>
        <v>0</v>
      </c>
      <c r="R467" s="7"/>
    </row>
    <row r="468" ht="15.75" customHeight="1">
      <c r="A468" s="15"/>
      <c r="B468" s="7"/>
      <c r="C468" s="7"/>
      <c r="D468" s="7"/>
      <c r="E468" s="7" t="str">
        <f t="array" ref="E468">IFERROR(INDEX('Order Planning'!$C$5:$C$204,MATCH(D468,'Order Planning'!$A$5:$A$204,0)),"")</f>
        <v/>
      </c>
      <c r="F468" s="7" t="str">
        <f t="array" ref="F468">IFERROR(INDEX('Order Planning'!$E$5:$E$204,MATCH(D468,'Order Planning'!$A$5:$A$204,0)),"")</f>
        <v/>
      </c>
      <c r="G468" s="7" t="str">
        <f t="array" ref="G468">IFERROR(INDEX('Order Planning'!$F$5:$F$204,MATCH(D468,'Order Planning'!$A$5:$A$204,0)),"")</f>
        <v/>
      </c>
      <c r="H468" s="7"/>
      <c r="I468" s="7"/>
      <c r="J468" s="7"/>
      <c r="O468" s="22">
        <f t="shared" si="1"/>
        <v>0</v>
      </c>
      <c r="R468" s="7"/>
    </row>
    <row r="469" ht="15.75" customHeight="1">
      <c r="A469" s="15"/>
      <c r="B469" s="7"/>
      <c r="C469" s="7"/>
      <c r="D469" s="7"/>
      <c r="E469" s="7" t="str">
        <f t="array" ref="E469">IFERROR(INDEX('Order Planning'!$C$5:$C$204,MATCH(D469,'Order Planning'!$A$5:$A$204,0)),"")</f>
        <v/>
      </c>
      <c r="F469" s="7" t="str">
        <f t="array" ref="F469">IFERROR(INDEX('Order Planning'!$E$5:$E$204,MATCH(D469,'Order Planning'!$A$5:$A$204,0)),"")</f>
        <v/>
      </c>
      <c r="G469" s="7" t="str">
        <f t="array" ref="G469">IFERROR(INDEX('Order Planning'!$F$5:$F$204,MATCH(D469,'Order Planning'!$A$5:$A$204,0)),"")</f>
        <v/>
      </c>
      <c r="H469" s="7"/>
      <c r="I469" s="7"/>
      <c r="J469" s="7"/>
      <c r="O469" s="22">
        <f t="shared" si="1"/>
        <v>0</v>
      </c>
      <c r="R469" s="7"/>
    </row>
    <row r="470" ht="15.75" customHeight="1">
      <c r="A470" s="15"/>
      <c r="B470" s="7"/>
      <c r="C470" s="7"/>
      <c r="D470" s="7"/>
      <c r="E470" s="7" t="str">
        <f t="array" ref="E470">IFERROR(INDEX('Order Planning'!$C$5:$C$204,MATCH(D470,'Order Planning'!$A$5:$A$204,0)),"")</f>
        <v/>
      </c>
      <c r="F470" s="7" t="str">
        <f t="array" ref="F470">IFERROR(INDEX('Order Planning'!$E$5:$E$204,MATCH(D470,'Order Planning'!$A$5:$A$204,0)),"")</f>
        <v/>
      </c>
      <c r="G470" s="7" t="str">
        <f t="array" ref="G470">IFERROR(INDEX('Order Planning'!$F$5:$F$204,MATCH(D470,'Order Planning'!$A$5:$A$204,0)),"")</f>
        <v/>
      </c>
      <c r="H470" s="7"/>
      <c r="I470" s="7"/>
      <c r="J470" s="7"/>
      <c r="O470" s="22">
        <f t="shared" si="1"/>
        <v>0</v>
      </c>
      <c r="R470" s="7"/>
    </row>
    <row r="471" ht="15.75" customHeight="1">
      <c r="A471" s="15"/>
      <c r="B471" s="7"/>
      <c r="C471" s="7"/>
      <c r="D471" s="7"/>
      <c r="E471" s="7" t="str">
        <f t="array" ref="E471">IFERROR(INDEX('Order Planning'!$C$5:$C$204,MATCH(D471,'Order Planning'!$A$5:$A$204,0)),"")</f>
        <v/>
      </c>
      <c r="F471" s="7" t="str">
        <f t="array" ref="F471">IFERROR(INDEX('Order Planning'!$E$5:$E$204,MATCH(D471,'Order Planning'!$A$5:$A$204,0)),"")</f>
        <v/>
      </c>
      <c r="G471" s="7" t="str">
        <f t="array" ref="G471">IFERROR(INDEX('Order Planning'!$F$5:$F$204,MATCH(D471,'Order Planning'!$A$5:$A$204,0)),"")</f>
        <v/>
      </c>
      <c r="H471" s="7"/>
      <c r="I471" s="7"/>
      <c r="J471" s="7"/>
      <c r="O471" s="22">
        <f t="shared" si="1"/>
        <v>0</v>
      </c>
      <c r="R471" s="7"/>
    </row>
    <row r="472" ht="15.75" customHeight="1">
      <c r="A472" s="15"/>
      <c r="B472" s="7"/>
      <c r="C472" s="7"/>
      <c r="D472" s="7"/>
      <c r="E472" s="7" t="str">
        <f t="array" ref="E472">IFERROR(INDEX('Order Planning'!$C$5:$C$204,MATCH(D472,'Order Planning'!$A$5:$A$204,0)),"")</f>
        <v/>
      </c>
      <c r="F472" s="7" t="str">
        <f t="array" ref="F472">IFERROR(INDEX('Order Planning'!$E$5:$E$204,MATCH(D472,'Order Planning'!$A$5:$A$204,0)),"")</f>
        <v/>
      </c>
      <c r="G472" s="7" t="str">
        <f t="array" ref="G472">IFERROR(INDEX('Order Planning'!$F$5:$F$204,MATCH(D472,'Order Planning'!$A$5:$A$204,0)),"")</f>
        <v/>
      </c>
      <c r="H472" s="7"/>
      <c r="I472" s="7"/>
      <c r="J472" s="7"/>
      <c r="O472" s="22">
        <f t="shared" si="1"/>
        <v>0</v>
      </c>
      <c r="R472" s="7"/>
    </row>
    <row r="473" ht="15.75" customHeight="1">
      <c r="A473" s="15"/>
      <c r="B473" s="7"/>
      <c r="C473" s="7"/>
      <c r="D473" s="7"/>
      <c r="E473" s="7" t="str">
        <f t="array" ref="E473">IFERROR(INDEX('Order Planning'!$C$5:$C$204,MATCH(D473,'Order Planning'!$A$5:$A$204,0)),"")</f>
        <v/>
      </c>
      <c r="F473" s="7" t="str">
        <f t="array" ref="F473">IFERROR(INDEX('Order Planning'!$E$5:$E$204,MATCH(D473,'Order Planning'!$A$5:$A$204,0)),"")</f>
        <v/>
      </c>
      <c r="G473" s="7" t="str">
        <f t="array" ref="G473">IFERROR(INDEX('Order Planning'!$F$5:$F$204,MATCH(D473,'Order Planning'!$A$5:$A$204,0)),"")</f>
        <v/>
      </c>
      <c r="H473" s="7"/>
      <c r="I473" s="7"/>
      <c r="J473" s="7"/>
      <c r="O473" s="22">
        <f t="shared" si="1"/>
        <v>0</v>
      </c>
      <c r="R473" s="7"/>
    </row>
    <row r="474" ht="15.75" customHeight="1">
      <c r="A474" s="15"/>
      <c r="B474" s="7"/>
      <c r="C474" s="7"/>
      <c r="D474" s="7"/>
      <c r="E474" s="7" t="str">
        <f t="array" ref="E474">IFERROR(INDEX('Order Planning'!$C$5:$C$204,MATCH(D474,'Order Planning'!$A$5:$A$204,0)),"")</f>
        <v/>
      </c>
      <c r="F474" s="7" t="str">
        <f t="array" ref="F474">IFERROR(INDEX('Order Planning'!$E$5:$E$204,MATCH(D474,'Order Planning'!$A$5:$A$204,0)),"")</f>
        <v/>
      </c>
      <c r="G474" s="7" t="str">
        <f t="array" ref="G474">IFERROR(INDEX('Order Planning'!$F$5:$F$204,MATCH(D474,'Order Planning'!$A$5:$A$204,0)),"")</f>
        <v/>
      </c>
      <c r="H474" s="7"/>
      <c r="I474" s="7"/>
      <c r="J474" s="7"/>
      <c r="O474" s="22">
        <f t="shared" si="1"/>
        <v>0</v>
      </c>
      <c r="R474" s="7"/>
    </row>
    <row r="475" ht="15.75" customHeight="1">
      <c r="A475" s="15"/>
      <c r="B475" s="7"/>
      <c r="C475" s="7"/>
      <c r="D475" s="7"/>
      <c r="E475" s="7" t="str">
        <f t="array" ref="E475">IFERROR(INDEX('Order Planning'!$C$5:$C$204,MATCH(D475,'Order Planning'!$A$5:$A$204,0)),"")</f>
        <v/>
      </c>
      <c r="F475" s="7" t="str">
        <f t="array" ref="F475">IFERROR(INDEX('Order Planning'!$E$5:$E$204,MATCH(D475,'Order Planning'!$A$5:$A$204,0)),"")</f>
        <v/>
      </c>
      <c r="G475" s="7" t="str">
        <f t="array" ref="G475">IFERROR(INDEX('Order Planning'!$F$5:$F$204,MATCH(D475,'Order Planning'!$A$5:$A$204,0)),"")</f>
        <v/>
      </c>
      <c r="H475" s="7"/>
      <c r="I475" s="7"/>
      <c r="J475" s="7"/>
      <c r="O475" s="22">
        <f t="shared" si="1"/>
        <v>0</v>
      </c>
      <c r="R475" s="7"/>
    </row>
    <row r="476" ht="15.75" customHeight="1">
      <c r="A476" s="15"/>
      <c r="B476" s="7"/>
      <c r="C476" s="7"/>
      <c r="D476" s="7"/>
      <c r="E476" s="7" t="str">
        <f t="array" ref="E476">IFERROR(INDEX('Order Planning'!$C$5:$C$204,MATCH(D476,'Order Planning'!$A$5:$A$204,0)),"")</f>
        <v/>
      </c>
      <c r="F476" s="7" t="str">
        <f t="array" ref="F476">IFERROR(INDEX('Order Planning'!$E$5:$E$204,MATCH(D476,'Order Planning'!$A$5:$A$204,0)),"")</f>
        <v/>
      </c>
      <c r="G476" s="7" t="str">
        <f t="array" ref="G476">IFERROR(INDEX('Order Planning'!$F$5:$F$204,MATCH(D476,'Order Planning'!$A$5:$A$204,0)),"")</f>
        <v/>
      </c>
      <c r="H476" s="7"/>
      <c r="I476" s="7"/>
      <c r="J476" s="7"/>
      <c r="O476" s="22">
        <f t="shared" si="1"/>
        <v>0</v>
      </c>
      <c r="R476" s="7"/>
    </row>
    <row r="477" ht="15.75" customHeight="1">
      <c r="A477" s="15"/>
      <c r="B477" s="7"/>
      <c r="C477" s="7"/>
      <c r="D477" s="7"/>
      <c r="E477" s="7" t="str">
        <f t="array" ref="E477">IFERROR(INDEX('Order Planning'!$C$5:$C$204,MATCH(D477,'Order Planning'!$A$5:$A$204,0)),"")</f>
        <v/>
      </c>
      <c r="F477" s="7" t="str">
        <f t="array" ref="F477">IFERROR(INDEX('Order Planning'!$E$5:$E$204,MATCH(D477,'Order Planning'!$A$5:$A$204,0)),"")</f>
        <v/>
      </c>
      <c r="G477" s="7" t="str">
        <f t="array" ref="G477">IFERROR(INDEX('Order Planning'!$F$5:$F$204,MATCH(D477,'Order Planning'!$A$5:$A$204,0)),"")</f>
        <v/>
      </c>
      <c r="H477" s="7"/>
      <c r="I477" s="7"/>
      <c r="J477" s="7"/>
      <c r="O477" s="22">
        <f t="shared" si="1"/>
        <v>0</v>
      </c>
      <c r="R477" s="7"/>
    </row>
    <row r="478" ht="15.75" customHeight="1">
      <c r="A478" s="15"/>
      <c r="B478" s="7"/>
      <c r="C478" s="7"/>
      <c r="D478" s="7"/>
      <c r="E478" s="7" t="str">
        <f t="array" ref="E478">IFERROR(INDEX('Order Planning'!$C$5:$C$204,MATCH(D478,'Order Planning'!$A$5:$A$204,0)),"")</f>
        <v/>
      </c>
      <c r="F478" s="7" t="str">
        <f t="array" ref="F478">IFERROR(INDEX('Order Planning'!$E$5:$E$204,MATCH(D478,'Order Planning'!$A$5:$A$204,0)),"")</f>
        <v/>
      </c>
      <c r="G478" s="7" t="str">
        <f t="array" ref="G478">IFERROR(INDEX('Order Planning'!$F$5:$F$204,MATCH(D478,'Order Planning'!$A$5:$A$204,0)),"")</f>
        <v/>
      </c>
      <c r="H478" s="7"/>
      <c r="I478" s="7"/>
      <c r="J478" s="7"/>
      <c r="O478" s="22">
        <f t="shared" si="1"/>
        <v>0</v>
      </c>
      <c r="R478" s="7"/>
    </row>
    <row r="479" ht="15.75" customHeight="1">
      <c r="A479" s="15"/>
      <c r="B479" s="7"/>
      <c r="C479" s="7"/>
      <c r="D479" s="7"/>
      <c r="E479" s="7" t="str">
        <f t="array" ref="E479">IFERROR(INDEX('Order Planning'!$C$5:$C$204,MATCH(D479,'Order Planning'!$A$5:$A$204,0)),"")</f>
        <v/>
      </c>
      <c r="F479" s="7" t="str">
        <f t="array" ref="F479">IFERROR(INDEX('Order Planning'!$E$5:$E$204,MATCH(D479,'Order Planning'!$A$5:$A$204,0)),"")</f>
        <v/>
      </c>
      <c r="G479" s="7" t="str">
        <f t="array" ref="G479">IFERROR(INDEX('Order Planning'!$F$5:$F$204,MATCH(D479,'Order Planning'!$A$5:$A$204,0)),"")</f>
        <v/>
      </c>
      <c r="H479" s="7"/>
      <c r="I479" s="7"/>
      <c r="J479" s="7"/>
      <c r="O479" s="22">
        <f t="shared" si="1"/>
        <v>0</v>
      </c>
      <c r="R479" s="7"/>
    </row>
    <row r="480" ht="15.75" customHeight="1">
      <c r="A480" s="15"/>
      <c r="B480" s="7"/>
      <c r="C480" s="7"/>
      <c r="D480" s="7"/>
      <c r="E480" s="7" t="str">
        <f t="array" ref="E480">IFERROR(INDEX('Order Planning'!$C$5:$C$204,MATCH(D480,'Order Planning'!$A$5:$A$204,0)),"")</f>
        <v/>
      </c>
      <c r="F480" s="7" t="str">
        <f t="array" ref="F480">IFERROR(INDEX('Order Planning'!$E$5:$E$204,MATCH(D480,'Order Planning'!$A$5:$A$204,0)),"")</f>
        <v/>
      </c>
      <c r="G480" s="7" t="str">
        <f t="array" ref="G480">IFERROR(INDEX('Order Planning'!$F$5:$F$204,MATCH(D480,'Order Planning'!$A$5:$A$204,0)),"")</f>
        <v/>
      </c>
      <c r="H480" s="7"/>
      <c r="I480" s="7"/>
      <c r="J480" s="7"/>
      <c r="O480" s="22">
        <f t="shared" si="1"/>
        <v>0</v>
      </c>
      <c r="R480" s="7"/>
    </row>
    <row r="481" ht="15.75" customHeight="1">
      <c r="A481" s="15"/>
      <c r="B481" s="7"/>
      <c r="C481" s="7"/>
      <c r="D481" s="7"/>
      <c r="E481" s="7" t="str">
        <f t="array" ref="E481">IFERROR(INDEX('Order Planning'!$C$5:$C$204,MATCH(D481,'Order Planning'!$A$5:$A$204,0)),"")</f>
        <v/>
      </c>
      <c r="F481" s="7" t="str">
        <f t="array" ref="F481">IFERROR(INDEX('Order Planning'!$E$5:$E$204,MATCH(D481,'Order Planning'!$A$5:$A$204,0)),"")</f>
        <v/>
      </c>
      <c r="G481" s="7" t="str">
        <f t="array" ref="G481">IFERROR(INDEX('Order Planning'!$F$5:$F$204,MATCH(D481,'Order Planning'!$A$5:$A$204,0)),"")</f>
        <v/>
      </c>
      <c r="H481" s="7"/>
      <c r="I481" s="7"/>
      <c r="J481" s="7"/>
      <c r="O481" s="22">
        <f t="shared" si="1"/>
        <v>0</v>
      </c>
      <c r="R481" s="7"/>
    </row>
    <row r="482" ht="15.75" customHeight="1">
      <c r="A482" s="15"/>
      <c r="B482" s="7"/>
      <c r="C482" s="7"/>
      <c r="D482" s="7"/>
      <c r="E482" s="7" t="str">
        <f t="array" ref="E482">IFERROR(INDEX('Order Planning'!$C$5:$C$204,MATCH(D482,'Order Planning'!$A$5:$A$204,0)),"")</f>
        <v/>
      </c>
      <c r="F482" s="7" t="str">
        <f t="array" ref="F482">IFERROR(INDEX('Order Planning'!$E$5:$E$204,MATCH(D482,'Order Planning'!$A$5:$A$204,0)),"")</f>
        <v/>
      </c>
      <c r="G482" s="7" t="str">
        <f t="array" ref="G482">IFERROR(INDEX('Order Planning'!$F$5:$F$204,MATCH(D482,'Order Planning'!$A$5:$A$204,0)),"")</f>
        <v/>
      </c>
      <c r="H482" s="7"/>
      <c r="I482" s="7"/>
      <c r="J482" s="7"/>
      <c r="O482" s="22">
        <f t="shared" si="1"/>
        <v>0</v>
      </c>
      <c r="R482" s="7"/>
    </row>
    <row r="483" ht="15.75" customHeight="1">
      <c r="A483" s="15"/>
      <c r="B483" s="7"/>
      <c r="C483" s="7"/>
      <c r="D483" s="7"/>
      <c r="E483" s="7" t="str">
        <f t="array" ref="E483">IFERROR(INDEX('Order Planning'!$C$5:$C$204,MATCH(D483,'Order Planning'!$A$5:$A$204,0)),"")</f>
        <v/>
      </c>
      <c r="F483" s="7" t="str">
        <f t="array" ref="F483">IFERROR(INDEX('Order Planning'!$E$5:$E$204,MATCH(D483,'Order Planning'!$A$5:$A$204,0)),"")</f>
        <v/>
      </c>
      <c r="G483" s="7" t="str">
        <f t="array" ref="G483">IFERROR(INDEX('Order Planning'!$F$5:$F$204,MATCH(D483,'Order Planning'!$A$5:$A$204,0)),"")</f>
        <v/>
      </c>
      <c r="H483" s="7"/>
      <c r="I483" s="7"/>
      <c r="J483" s="7"/>
      <c r="O483" s="22">
        <f t="shared" si="1"/>
        <v>0</v>
      </c>
      <c r="R483" s="7"/>
    </row>
    <row r="484" ht="15.75" customHeight="1">
      <c r="A484" s="15"/>
      <c r="B484" s="7"/>
      <c r="C484" s="7"/>
      <c r="D484" s="7"/>
      <c r="E484" s="7" t="str">
        <f t="array" ref="E484">IFERROR(INDEX('Order Planning'!$C$5:$C$204,MATCH(D484,'Order Planning'!$A$5:$A$204,0)),"")</f>
        <v/>
      </c>
      <c r="F484" s="7" t="str">
        <f t="array" ref="F484">IFERROR(INDEX('Order Planning'!$E$5:$E$204,MATCH(D484,'Order Planning'!$A$5:$A$204,0)),"")</f>
        <v/>
      </c>
      <c r="G484" s="7" t="str">
        <f t="array" ref="G484">IFERROR(INDEX('Order Planning'!$F$5:$F$204,MATCH(D484,'Order Planning'!$A$5:$A$204,0)),"")</f>
        <v/>
      </c>
      <c r="H484" s="7"/>
      <c r="I484" s="7"/>
      <c r="J484" s="7"/>
      <c r="O484" s="22">
        <f t="shared" si="1"/>
        <v>0</v>
      </c>
      <c r="R484" s="7"/>
    </row>
    <row r="485" ht="15.75" customHeight="1">
      <c r="A485" s="15"/>
      <c r="B485" s="7"/>
      <c r="C485" s="7"/>
      <c r="D485" s="7"/>
      <c r="E485" s="7" t="str">
        <f t="array" ref="E485">IFERROR(INDEX('Order Planning'!$C$5:$C$204,MATCH(D485,'Order Planning'!$A$5:$A$204,0)),"")</f>
        <v/>
      </c>
      <c r="F485" s="7" t="str">
        <f t="array" ref="F485">IFERROR(INDEX('Order Planning'!$E$5:$E$204,MATCH(D485,'Order Planning'!$A$5:$A$204,0)),"")</f>
        <v/>
      </c>
      <c r="G485" s="7" t="str">
        <f t="array" ref="G485">IFERROR(INDEX('Order Planning'!$F$5:$F$204,MATCH(D485,'Order Planning'!$A$5:$A$204,0)),"")</f>
        <v/>
      </c>
      <c r="H485" s="7"/>
      <c r="I485" s="7"/>
      <c r="J485" s="7"/>
      <c r="O485" s="22">
        <f t="shared" si="1"/>
        <v>0</v>
      </c>
      <c r="R485" s="7"/>
    </row>
    <row r="486" ht="15.75" customHeight="1">
      <c r="A486" s="15"/>
      <c r="B486" s="7"/>
      <c r="C486" s="7"/>
      <c r="D486" s="7"/>
      <c r="E486" s="7" t="str">
        <f t="array" ref="E486">IFERROR(INDEX('Order Planning'!$C$5:$C$204,MATCH(D486,'Order Planning'!$A$5:$A$204,0)),"")</f>
        <v/>
      </c>
      <c r="F486" s="7" t="str">
        <f t="array" ref="F486">IFERROR(INDEX('Order Planning'!$E$5:$E$204,MATCH(D486,'Order Planning'!$A$5:$A$204,0)),"")</f>
        <v/>
      </c>
      <c r="G486" s="7" t="str">
        <f t="array" ref="G486">IFERROR(INDEX('Order Planning'!$F$5:$F$204,MATCH(D486,'Order Planning'!$A$5:$A$204,0)),"")</f>
        <v/>
      </c>
      <c r="H486" s="7"/>
      <c r="I486" s="7"/>
      <c r="J486" s="7"/>
      <c r="O486" s="22">
        <f t="shared" si="1"/>
        <v>0</v>
      </c>
      <c r="R486" s="7"/>
    </row>
    <row r="487" ht="15.75" customHeight="1">
      <c r="A487" s="15"/>
      <c r="B487" s="7"/>
      <c r="C487" s="7"/>
      <c r="D487" s="7"/>
      <c r="E487" s="7" t="str">
        <f t="array" ref="E487">IFERROR(INDEX('Order Planning'!$C$5:$C$204,MATCH(D487,'Order Planning'!$A$5:$A$204,0)),"")</f>
        <v/>
      </c>
      <c r="F487" s="7" t="str">
        <f t="array" ref="F487">IFERROR(INDEX('Order Planning'!$E$5:$E$204,MATCH(D487,'Order Planning'!$A$5:$A$204,0)),"")</f>
        <v/>
      </c>
      <c r="G487" s="7" t="str">
        <f t="array" ref="G487">IFERROR(INDEX('Order Planning'!$F$5:$F$204,MATCH(D487,'Order Planning'!$A$5:$A$204,0)),"")</f>
        <v/>
      </c>
      <c r="H487" s="7"/>
      <c r="I487" s="7"/>
      <c r="J487" s="7"/>
      <c r="O487" s="22">
        <f t="shared" si="1"/>
        <v>0</v>
      </c>
      <c r="R487" s="7"/>
    </row>
    <row r="488" ht="15.75" customHeight="1">
      <c r="A488" s="15"/>
      <c r="B488" s="7"/>
      <c r="C488" s="7"/>
      <c r="D488" s="7"/>
      <c r="E488" s="7" t="str">
        <f t="array" ref="E488">IFERROR(INDEX('Order Planning'!$C$5:$C$204,MATCH(D488,'Order Planning'!$A$5:$A$204,0)),"")</f>
        <v/>
      </c>
      <c r="F488" s="7" t="str">
        <f t="array" ref="F488">IFERROR(INDEX('Order Planning'!$E$5:$E$204,MATCH(D488,'Order Planning'!$A$5:$A$204,0)),"")</f>
        <v/>
      </c>
      <c r="G488" s="7" t="str">
        <f t="array" ref="G488">IFERROR(INDEX('Order Planning'!$F$5:$F$204,MATCH(D488,'Order Planning'!$A$5:$A$204,0)),"")</f>
        <v/>
      </c>
      <c r="H488" s="7"/>
      <c r="I488" s="7"/>
      <c r="J488" s="7"/>
      <c r="O488" s="22">
        <f t="shared" si="1"/>
        <v>0</v>
      </c>
      <c r="R488" s="7"/>
    </row>
    <row r="489" ht="15.75" customHeight="1">
      <c r="A489" s="15"/>
      <c r="B489" s="7"/>
      <c r="C489" s="7"/>
      <c r="D489" s="7"/>
      <c r="E489" s="7" t="str">
        <f t="array" ref="E489">IFERROR(INDEX('Order Planning'!$C$5:$C$204,MATCH(D489,'Order Planning'!$A$5:$A$204,0)),"")</f>
        <v/>
      </c>
      <c r="F489" s="7" t="str">
        <f t="array" ref="F489">IFERROR(INDEX('Order Planning'!$E$5:$E$204,MATCH(D489,'Order Planning'!$A$5:$A$204,0)),"")</f>
        <v/>
      </c>
      <c r="G489" s="7" t="str">
        <f t="array" ref="G489">IFERROR(INDEX('Order Planning'!$F$5:$F$204,MATCH(D489,'Order Planning'!$A$5:$A$204,0)),"")</f>
        <v/>
      </c>
      <c r="H489" s="7"/>
      <c r="I489" s="7"/>
      <c r="J489" s="7"/>
      <c r="O489" s="22">
        <f t="shared" si="1"/>
        <v>0</v>
      </c>
      <c r="R489" s="7"/>
    </row>
    <row r="490" ht="15.75" customHeight="1">
      <c r="A490" s="15"/>
      <c r="B490" s="7"/>
      <c r="C490" s="7"/>
      <c r="D490" s="7"/>
      <c r="E490" s="7" t="str">
        <f t="array" ref="E490">IFERROR(INDEX('Order Planning'!$C$5:$C$204,MATCH(D490,'Order Planning'!$A$5:$A$204,0)),"")</f>
        <v/>
      </c>
      <c r="F490" s="7" t="str">
        <f t="array" ref="F490">IFERROR(INDEX('Order Planning'!$E$5:$E$204,MATCH(D490,'Order Planning'!$A$5:$A$204,0)),"")</f>
        <v/>
      </c>
      <c r="G490" s="7" t="str">
        <f t="array" ref="G490">IFERROR(INDEX('Order Planning'!$F$5:$F$204,MATCH(D490,'Order Planning'!$A$5:$A$204,0)),"")</f>
        <v/>
      </c>
      <c r="H490" s="7"/>
      <c r="I490" s="7"/>
      <c r="J490" s="7"/>
      <c r="O490" s="22">
        <f t="shared" si="1"/>
        <v>0</v>
      </c>
      <c r="R490" s="7"/>
    </row>
    <row r="491" ht="15.75" customHeight="1">
      <c r="A491" s="15"/>
      <c r="B491" s="7"/>
      <c r="C491" s="7"/>
      <c r="D491" s="7"/>
      <c r="E491" s="7" t="str">
        <f t="array" ref="E491">IFERROR(INDEX('Order Planning'!$C$5:$C$204,MATCH(D491,'Order Planning'!$A$5:$A$204,0)),"")</f>
        <v/>
      </c>
      <c r="F491" s="7" t="str">
        <f t="array" ref="F491">IFERROR(INDEX('Order Planning'!$E$5:$E$204,MATCH(D491,'Order Planning'!$A$5:$A$204,0)),"")</f>
        <v/>
      </c>
      <c r="G491" s="7" t="str">
        <f t="array" ref="G491">IFERROR(INDEX('Order Planning'!$F$5:$F$204,MATCH(D491,'Order Planning'!$A$5:$A$204,0)),"")</f>
        <v/>
      </c>
      <c r="H491" s="7"/>
      <c r="I491" s="7"/>
      <c r="J491" s="7"/>
      <c r="O491" s="22">
        <f t="shared" si="1"/>
        <v>0</v>
      </c>
      <c r="R491" s="7"/>
    </row>
    <row r="492" ht="15.75" customHeight="1">
      <c r="A492" s="15"/>
      <c r="B492" s="7"/>
      <c r="C492" s="7"/>
      <c r="D492" s="7"/>
      <c r="E492" s="7" t="str">
        <f t="array" ref="E492">IFERROR(INDEX('Order Planning'!$C$5:$C$204,MATCH(D492,'Order Planning'!$A$5:$A$204,0)),"")</f>
        <v/>
      </c>
      <c r="F492" s="7" t="str">
        <f t="array" ref="F492">IFERROR(INDEX('Order Planning'!$E$5:$E$204,MATCH(D492,'Order Planning'!$A$5:$A$204,0)),"")</f>
        <v/>
      </c>
      <c r="G492" s="7" t="str">
        <f t="array" ref="G492">IFERROR(INDEX('Order Planning'!$F$5:$F$204,MATCH(D492,'Order Planning'!$A$5:$A$204,0)),"")</f>
        <v/>
      </c>
      <c r="H492" s="7"/>
      <c r="I492" s="7"/>
      <c r="J492" s="7"/>
      <c r="O492" s="22">
        <f t="shared" si="1"/>
        <v>0</v>
      </c>
      <c r="R492" s="7"/>
    </row>
    <row r="493" ht="15.75" customHeight="1">
      <c r="A493" s="15"/>
      <c r="B493" s="7"/>
      <c r="C493" s="7"/>
      <c r="D493" s="7"/>
      <c r="E493" s="7" t="str">
        <f t="array" ref="E493">IFERROR(INDEX('Order Planning'!$C$5:$C$204,MATCH(D493,'Order Planning'!$A$5:$A$204,0)),"")</f>
        <v/>
      </c>
      <c r="F493" s="7" t="str">
        <f t="array" ref="F493">IFERROR(INDEX('Order Planning'!$E$5:$E$204,MATCH(D493,'Order Planning'!$A$5:$A$204,0)),"")</f>
        <v/>
      </c>
      <c r="G493" s="7" t="str">
        <f t="array" ref="G493">IFERROR(INDEX('Order Planning'!$F$5:$F$204,MATCH(D493,'Order Planning'!$A$5:$A$204,0)),"")</f>
        <v/>
      </c>
      <c r="H493" s="7"/>
      <c r="I493" s="7"/>
      <c r="J493" s="7"/>
      <c r="O493" s="22">
        <f t="shared" si="1"/>
        <v>0</v>
      </c>
      <c r="R493" s="7"/>
    </row>
    <row r="494" ht="15.75" customHeight="1">
      <c r="A494" s="15"/>
      <c r="B494" s="7"/>
      <c r="C494" s="7"/>
      <c r="D494" s="7"/>
      <c r="E494" s="7" t="str">
        <f t="array" ref="E494">IFERROR(INDEX('Order Planning'!$C$5:$C$204,MATCH(D494,'Order Planning'!$A$5:$A$204,0)),"")</f>
        <v/>
      </c>
      <c r="F494" s="7" t="str">
        <f t="array" ref="F494">IFERROR(INDEX('Order Planning'!$E$5:$E$204,MATCH(D494,'Order Planning'!$A$5:$A$204,0)),"")</f>
        <v/>
      </c>
      <c r="G494" s="7" t="str">
        <f t="array" ref="G494">IFERROR(INDEX('Order Planning'!$F$5:$F$204,MATCH(D494,'Order Planning'!$A$5:$A$204,0)),"")</f>
        <v/>
      </c>
      <c r="H494" s="7"/>
      <c r="I494" s="7"/>
      <c r="J494" s="7"/>
      <c r="O494" s="22">
        <f t="shared" si="1"/>
        <v>0</v>
      </c>
      <c r="R494" s="7"/>
    </row>
    <row r="495" ht="15.75" customHeight="1">
      <c r="A495" s="15"/>
      <c r="B495" s="7"/>
      <c r="C495" s="7"/>
      <c r="D495" s="7"/>
      <c r="E495" s="7" t="str">
        <f t="array" ref="E495">IFERROR(INDEX('Order Planning'!$C$5:$C$204,MATCH(D495,'Order Planning'!$A$5:$A$204,0)),"")</f>
        <v/>
      </c>
      <c r="F495" s="7" t="str">
        <f t="array" ref="F495">IFERROR(INDEX('Order Planning'!$E$5:$E$204,MATCH(D495,'Order Planning'!$A$5:$A$204,0)),"")</f>
        <v/>
      </c>
      <c r="G495" s="7" t="str">
        <f t="array" ref="G495">IFERROR(INDEX('Order Planning'!$F$5:$F$204,MATCH(D495,'Order Planning'!$A$5:$A$204,0)),"")</f>
        <v/>
      </c>
      <c r="H495" s="7"/>
      <c r="I495" s="7"/>
      <c r="J495" s="7"/>
      <c r="O495" s="22">
        <f t="shared" si="1"/>
        <v>0</v>
      </c>
      <c r="R495" s="7"/>
    </row>
    <row r="496" ht="15.75" customHeight="1">
      <c r="A496" s="15"/>
      <c r="B496" s="7"/>
      <c r="C496" s="7"/>
      <c r="D496" s="7"/>
      <c r="E496" s="7" t="str">
        <f t="array" ref="E496">IFERROR(INDEX('Order Planning'!$C$5:$C$204,MATCH(D496,'Order Planning'!$A$5:$A$204,0)),"")</f>
        <v/>
      </c>
      <c r="F496" s="7" t="str">
        <f t="array" ref="F496">IFERROR(INDEX('Order Planning'!$E$5:$E$204,MATCH(D496,'Order Planning'!$A$5:$A$204,0)),"")</f>
        <v/>
      </c>
      <c r="G496" s="7" t="str">
        <f t="array" ref="G496">IFERROR(INDEX('Order Planning'!$F$5:$F$204,MATCH(D496,'Order Planning'!$A$5:$A$204,0)),"")</f>
        <v/>
      </c>
      <c r="H496" s="7"/>
      <c r="I496" s="7"/>
      <c r="J496" s="7"/>
      <c r="O496" s="22">
        <f t="shared" si="1"/>
        <v>0</v>
      </c>
      <c r="R496" s="7"/>
    </row>
    <row r="497" ht="15.75" customHeight="1">
      <c r="A497" s="15"/>
      <c r="B497" s="7"/>
      <c r="C497" s="7"/>
      <c r="D497" s="7"/>
      <c r="E497" s="7" t="str">
        <f t="array" ref="E497">IFERROR(INDEX('Order Planning'!$C$5:$C$204,MATCH(D497,'Order Planning'!$A$5:$A$204,0)),"")</f>
        <v/>
      </c>
      <c r="F497" s="7" t="str">
        <f t="array" ref="F497">IFERROR(INDEX('Order Planning'!$E$5:$E$204,MATCH(D497,'Order Planning'!$A$5:$A$204,0)),"")</f>
        <v/>
      </c>
      <c r="G497" s="7" t="str">
        <f t="array" ref="G497">IFERROR(INDEX('Order Planning'!$F$5:$F$204,MATCH(D497,'Order Planning'!$A$5:$A$204,0)),"")</f>
        <v/>
      </c>
      <c r="H497" s="7"/>
      <c r="I497" s="7"/>
      <c r="J497" s="7"/>
      <c r="O497" s="22">
        <f t="shared" si="1"/>
        <v>0</v>
      </c>
      <c r="R497" s="7"/>
    </row>
    <row r="498" ht="15.75" customHeight="1">
      <c r="A498" s="15"/>
      <c r="B498" s="7"/>
      <c r="C498" s="7"/>
      <c r="D498" s="7"/>
      <c r="E498" s="7" t="str">
        <f t="array" ref="E498">IFERROR(INDEX('Order Planning'!$C$5:$C$204,MATCH(D498,'Order Planning'!$A$5:$A$204,0)),"")</f>
        <v/>
      </c>
      <c r="F498" s="7" t="str">
        <f t="array" ref="F498">IFERROR(INDEX('Order Planning'!$E$5:$E$204,MATCH(D498,'Order Planning'!$A$5:$A$204,0)),"")</f>
        <v/>
      </c>
      <c r="G498" s="7" t="str">
        <f t="array" ref="G498">IFERROR(INDEX('Order Planning'!$F$5:$F$204,MATCH(D498,'Order Planning'!$A$5:$A$204,0)),"")</f>
        <v/>
      </c>
      <c r="H498" s="7"/>
      <c r="I498" s="7"/>
      <c r="J498" s="7"/>
      <c r="O498" s="22">
        <f t="shared" si="1"/>
        <v>0</v>
      </c>
      <c r="R498" s="7"/>
    </row>
    <row r="499" ht="15.75" customHeight="1">
      <c r="A499" s="15"/>
      <c r="B499" s="7"/>
      <c r="C499" s="7"/>
      <c r="D499" s="7"/>
      <c r="E499" s="7" t="str">
        <f t="array" ref="E499">IFERROR(INDEX('Order Planning'!$C$5:$C$204,MATCH(D499,'Order Planning'!$A$5:$A$204,0)),"")</f>
        <v/>
      </c>
      <c r="F499" s="7" t="str">
        <f t="array" ref="F499">IFERROR(INDEX('Order Planning'!$E$5:$E$204,MATCH(D499,'Order Planning'!$A$5:$A$204,0)),"")</f>
        <v/>
      </c>
      <c r="G499" s="7" t="str">
        <f t="array" ref="G499">IFERROR(INDEX('Order Planning'!$F$5:$F$204,MATCH(D499,'Order Planning'!$A$5:$A$204,0)),"")</f>
        <v/>
      </c>
      <c r="H499" s="7"/>
      <c r="I499" s="7"/>
      <c r="J499" s="7"/>
      <c r="O499" s="22">
        <f t="shared" si="1"/>
        <v>0</v>
      </c>
      <c r="R499" s="7"/>
    </row>
    <row r="500" ht="15.75" customHeight="1">
      <c r="A500" s="15"/>
      <c r="B500" s="7"/>
      <c r="C500" s="7"/>
      <c r="D500" s="7"/>
      <c r="E500" s="7" t="str">
        <f t="array" ref="E500">IFERROR(INDEX('Order Planning'!$C$5:$C$204,MATCH(D500,'Order Planning'!$A$5:$A$204,0)),"")</f>
        <v/>
      </c>
      <c r="F500" s="7" t="str">
        <f t="array" ref="F500">IFERROR(INDEX('Order Planning'!$E$5:$E$204,MATCH(D500,'Order Planning'!$A$5:$A$204,0)),"")</f>
        <v/>
      </c>
      <c r="G500" s="7" t="str">
        <f t="array" ref="G500">IFERROR(INDEX('Order Planning'!$F$5:$F$204,MATCH(D500,'Order Planning'!$A$5:$A$204,0)),"")</f>
        <v/>
      </c>
      <c r="H500" s="7"/>
      <c r="I500" s="7"/>
      <c r="J500" s="7"/>
      <c r="O500" s="22">
        <f t="shared" si="1"/>
        <v>0</v>
      </c>
      <c r="R500" s="7"/>
    </row>
    <row r="501" ht="15.75" customHeight="1">
      <c r="A501" s="15"/>
      <c r="B501" s="7"/>
      <c r="C501" s="7"/>
      <c r="D501" s="7"/>
      <c r="E501" s="7" t="str">
        <f t="array" ref="E501">IFERROR(INDEX('Order Planning'!$C$5:$C$204,MATCH(D501,'Order Planning'!$A$5:$A$204,0)),"")</f>
        <v/>
      </c>
      <c r="F501" s="7" t="str">
        <f t="array" ref="F501">IFERROR(INDEX('Order Planning'!$E$5:$E$204,MATCH(D501,'Order Planning'!$A$5:$A$204,0)),"")</f>
        <v/>
      </c>
      <c r="G501" s="7" t="str">
        <f t="array" ref="G501">IFERROR(INDEX('Order Planning'!$F$5:$F$204,MATCH(D501,'Order Planning'!$A$5:$A$204,0)),"")</f>
        <v/>
      </c>
      <c r="H501" s="7"/>
      <c r="I501" s="7"/>
      <c r="J501" s="7"/>
      <c r="O501" s="22">
        <f t="shared" si="1"/>
        <v>0</v>
      </c>
      <c r="R501" s="7"/>
    </row>
    <row r="502" ht="15.75" customHeight="1">
      <c r="A502" s="15"/>
      <c r="B502" s="7"/>
      <c r="C502" s="7"/>
      <c r="D502" s="7"/>
      <c r="E502" s="7" t="str">
        <f t="array" ref="E502">IFERROR(INDEX('Order Planning'!$C$5:$C$204,MATCH(D502,'Order Planning'!$A$5:$A$204,0)),"")</f>
        <v/>
      </c>
      <c r="F502" s="7" t="str">
        <f t="array" ref="F502">IFERROR(INDEX('Order Planning'!$E$5:$E$204,MATCH(D502,'Order Planning'!$A$5:$A$204,0)),"")</f>
        <v/>
      </c>
      <c r="G502" s="7" t="str">
        <f t="array" ref="G502">IFERROR(INDEX('Order Planning'!$F$5:$F$204,MATCH(D502,'Order Planning'!$A$5:$A$204,0)),"")</f>
        <v/>
      </c>
      <c r="H502" s="7"/>
      <c r="I502" s="7"/>
      <c r="J502" s="7"/>
      <c r="O502" s="22">
        <f t="shared" si="1"/>
        <v>0</v>
      </c>
      <c r="R502" s="7"/>
    </row>
    <row r="503" ht="15.75" customHeight="1">
      <c r="A503" s="15"/>
      <c r="B503" s="7"/>
      <c r="C503" s="7"/>
      <c r="D503" s="7"/>
      <c r="E503" s="7" t="str">
        <f t="array" ref="E503">IFERROR(INDEX('Order Planning'!$C$5:$C$204,MATCH(D503,'Order Planning'!$A$5:$A$204,0)),"")</f>
        <v/>
      </c>
      <c r="F503" s="7" t="str">
        <f t="array" ref="F503">IFERROR(INDEX('Order Planning'!$E$5:$E$204,MATCH(D503,'Order Planning'!$A$5:$A$204,0)),"")</f>
        <v/>
      </c>
      <c r="G503" s="7" t="str">
        <f t="array" ref="G503">IFERROR(INDEX('Order Planning'!$F$5:$F$204,MATCH(D503,'Order Planning'!$A$5:$A$204,0)),"")</f>
        <v/>
      </c>
      <c r="H503" s="7"/>
      <c r="I503" s="7"/>
      <c r="J503" s="7"/>
      <c r="O503" s="22">
        <f t="shared" si="1"/>
        <v>0</v>
      </c>
      <c r="R503" s="7"/>
    </row>
    <row r="504" ht="15.75" customHeight="1">
      <c r="A504" s="15"/>
      <c r="B504" s="7"/>
      <c r="C504" s="7"/>
      <c r="D504" s="7"/>
      <c r="E504" s="7" t="str">
        <f t="array" ref="E504">IFERROR(INDEX('Order Planning'!$C$5:$C$204,MATCH(D504,'Order Planning'!$A$5:$A$204,0)),"")</f>
        <v/>
      </c>
      <c r="F504" s="7" t="str">
        <f t="array" ref="F504">IFERROR(INDEX('Order Planning'!$E$5:$E$204,MATCH(D504,'Order Planning'!$A$5:$A$204,0)),"")</f>
        <v/>
      </c>
      <c r="G504" s="7" t="str">
        <f t="array" ref="G504">IFERROR(INDEX('Order Planning'!$F$5:$F$204,MATCH(D504,'Order Planning'!$A$5:$A$204,0)),"")</f>
        <v/>
      </c>
      <c r="H504" s="7"/>
      <c r="I504" s="7"/>
      <c r="J504" s="7"/>
      <c r="O504" s="22">
        <f t="shared" si="1"/>
        <v>0</v>
      </c>
      <c r="R504" s="7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2:R2"/>
  </mergeCells>
  <dataValidations>
    <dataValidation type="list" allowBlank="1" sqref="B5:B504">
      <formula1>"Incoming,In-Process,Packaging,Dispatch"</formula1>
    </dataValidation>
    <dataValidation type="list" allowBlank="1" sqref="J5:J504">
      <formula1>'Master Data'!$I$5:$I$17</formula1>
    </dataValidation>
    <dataValidation type="list" allowBlank="1" sqref="C5:C504">
      <formula1>"Round 1,Round 2,Round 3,Additional"</formula1>
    </dataValidation>
    <dataValidation type="list" allowBlank="1" sqref="H5:H504">
      <formula1>'Master Data'!$E$5:$E$13</formula1>
    </dataValidation>
    <dataValidation type="list" allowBlank="1" sqref="R5:R504">
      <formula1>"Open,Corrected,Closed"</formula1>
    </dataValidation>
    <dataValidation type="list" allowBlank="1" sqref="I5:I504">
      <formula1>'Master Data'!$G$5:$G$13</formula1>
    </dataValidation>
    <dataValidation type="list" allowBlank="1" sqref="D5:D504">
      <formula1>'Order Planning'!$A$5:$A$204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4.0"/>
    <col customWidth="1" min="3" max="3" width="20.0"/>
    <col customWidth="1" min="4" max="4" width="22.0"/>
    <col customWidth="1" min="5" max="5" width="10.0"/>
    <col customWidth="1" min="6" max="6" width="11.0"/>
    <col customWidth="1" min="7" max="7" width="12.0"/>
    <col customWidth="1" min="8" max="8" width="15.0"/>
    <col customWidth="1" min="9" max="9" width="11.0"/>
    <col customWidth="1" min="10" max="10" width="12.0"/>
    <col customWidth="1" min="11" max="11" width="16.0"/>
    <col customWidth="1" min="12" max="12" width="14.0"/>
    <col customWidth="1" min="13" max="13" width="20.0"/>
    <col customWidth="1" min="14" max="14" width="16.0"/>
    <col customWidth="1" min="15" max="15" width="12.0"/>
    <col customWidth="1" min="16" max="16" width="17.0"/>
    <col customWidth="1" min="17" max="17" width="28.0"/>
    <col customWidth="1" min="18" max="26" width="8.63"/>
  </cols>
  <sheetData>
    <row r="1" ht="27.75" customHeight="1">
      <c r="A1" s="2" t="s">
        <v>221</v>
      </c>
    </row>
    <row r="2">
      <c r="A2" s="4" t="s">
        <v>222</v>
      </c>
    </row>
    <row r="4" ht="31.5" customHeight="1">
      <c r="A4" s="5" t="s">
        <v>223</v>
      </c>
      <c r="B4" s="5" t="s">
        <v>172</v>
      </c>
      <c r="C4" s="5" t="s">
        <v>174</v>
      </c>
      <c r="D4" s="5" t="s">
        <v>176</v>
      </c>
      <c r="E4" s="5" t="s">
        <v>177</v>
      </c>
      <c r="F4" s="5" t="s">
        <v>178</v>
      </c>
      <c r="G4" s="5" t="s">
        <v>185</v>
      </c>
      <c r="H4" s="5" t="s">
        <v>224</v>
      </c>
      <c r="I4" s="5" t="s">
        <v>225</v>
      </c>
      <c r="J4" s="5" t="s">
        <v>226</v>
      </c>
      <c r="K4" s="5" t="s">
        <v>227</v>
      </c>
      <c r="L4" s="5" t="s">
        <v>228</v>
      </c>
      <c r="M4" s="5" t="s">
        <v>229</v>
      </c>
      <c r="N4" s="5" t="s">
        <v>230</v>
      </c>
      <c r="O4" s="5" t="s">
        <v>231</v>
      </c>
      <c r="P4" s="5" t="s">
        <v>232</v>
      </c>
      <c r="Q4" s="5" t="s">
        <v>189</v>
      </c>
    </row>
    <row r="5">
      <c r="A5" s="17"/>
      <c r="B5" s="7"/>
      <c r="C5" s="7" t="str">
        <f t="array" ref="C5">IFERROR(INDEX('Order Planning'!$C$5:$C$204,MATCH(B5,'Order Planning'!$A$5:$A$204,0)),"")</f>
        <v/>
      </c>
      <c r="D5" s="7" t="str">
        <f t="array" ref="D5">IFERROR(INDEX('Order Planning'!$E$5:$E$204,MATCH(B5,'Order Planning'!$A$5:$A$204,0)),"")</f>
        <v/>
      </c>
      <c r="E5" s="7" t="str">
        <f t="array" ref="E5">IFERROR(INDEX('Order Planning'!$F$5:$F$204,MATCH(B5,'Order Planning'!$A$5:$A$204,0)),"")</f>
        <v/>
      </c>
      <c r="F5" s="7">
        <f t="array" ref="F5">IFERROR(INDEX('Order Planning'!$G$5:$G$204,MATCH(B5,'Order Planning'!$A$5:$A$204,0)),0)</f>
        <v>0</v>
      </c>
      <c r="H5" s="7">
        <f t="shared" ref="H5:H204" si="1">MAX(0,F5-SUMIF($B$5:B5,B5,$G$5:G5))</f>
        <v>0</v>
      </c>
      <c r="I5" s="7">
        <v>10.0</v>
      </c>
      <c r="J5" s="7">
        <f t="shared" ref="J5:J204" si="2">IF(I5=0,0,ROUNDUP(G5/I5,0))</f>
        <v>0</v>
      </c>
      <c r="N5" s="7"/>
      <c r="O5" s="7"/>
      <c r="P5" s="7"/>
    </row>
    <row r="6">
      <c r="A6" s="15"/>
      <c r="B6" s="7"/>
      <c r="C6" s="7" t="str">
        <f t="array" ref="C6">IFERROR(INDEX('Order Planning'!$C$5:$C$204,MATCH(B6,'Order Planning'!$A$5:$A$204,0)),"")</f>
        <v/>
      </c>
      <c r="D6" s="7" t="str">
        <f t="array" ref="D6">IFERROR(INDEX('Order Planning'!$E$5:$E$204,MATCH(B6,'Order Planning'!$A$5:$A$204,0)),"")</f>
        <v/>
      </c>
      <c r="E6" s="7" t="str">
        <f t="array" ref="E6">IFERROR(INDEX('Order Planning'!$F$5:$F$204,MATCH(B6,'Order Planning'!$A$5:$A$204,0)),"")</f>
        <v/>
      </c>
      <c r="F6" s="7">
        <f t="array" ref="F6">IFERROR(INDEX('Order Planning'!$G$5:$G$204,MATCH(B6,'Order Planning'!$A$5:$A$204,0)),0)</f>
        <v>0</v>
      </c>
      <c r="H6" s="7">
        <f t="shared" si="1"/>
        <v>0</v>
      </c>
      <c r="J6" s="7">
        <f t="shared" si="2"/>
        <v>0</v>
      </c>
      <c r="N6" s="7"/>
      <c r="O6" s="7"/>
      <c r="P6" s="7"/>
    </row>
    <row r="7">
      <c r="A7" s="15"/>
      <c r="B7" s="7"/>
      <c r="C7" s="7" t="str">
        <f t="array" ref="C7">IFERROR(INDEX('Order Planning'!$C$5:$C$204,MATCH(B7,'Order Planning'!$A$5:$A$204,0)),"")</f>
        <v/>
      </c>
      <c r="D7" s="7" t="str">
        <f t="array" ref="D7">IFERROR(INDEX('Order Planning'!$E$5:$E$204,MATCH(B7,'Order Planning'!$A$5:$A$204,0)),"")</f>
        <v/>
      </c>
      <c r="E7" s="7" t="str">
        <f t="array" ref="E7">IFERROR(INDEX('Order Planning'!$F$5:$F$204,MATCH(B7,'Order Planning'!$A$5:$A$204,0)),"")</f>
        <v/>
      </c>
      <c r="F7" s="7">
        <f t="array" ref="F7">IFERROR(INDEX('Order Planning'!$G$5:$G$204,MATCH(B7,'Order Planning'!$A$5:$A$204,0)),0)</f>
        <v>0</v>
      </c>
      <c r="H7" s="7">
        <f t="shared" si="1"/>
        <v>0</v>
      </c>
      <c r="J7" s="7">
        <f t="shared" si="2"/>
        <v>0</v>
      </c>
      <c r="N7" s="7"/>
      <c r="O7" s="7"/>
      <c r="P7" s="7"/>
    </row>
    <row r="8">
      <c r="A8" s="15"/>
      <c r="B8" s="7"/>
      <c r="C8" s="7" t="str">
        <f t="array" ref="C8">IFERROR(INDEX('Order Planning'!$C$5:$C$204,MATCH(B8,'Order Planning'!$A$5:$A$204,0)),"")</f>
        <v/>
      </c>
      <c r="D8" s="7" t="str">
        <f t="array" ref="D8">IFERROR(INDEX('Order Planning'!$E$5:$E$204,MATCH(B8,'Order Planning'!$A$5:$A$204,0)),"")</f>
        <v/>
      </c>
      <c r="E8" s="7" t="str">
        <f t="array" ref="E8">IFERROR(INDEX('Order Planning'!$F$5:$F$204,MATCH(B8,'Order Planning'!$A$5:$A$204,0)),"")</f>
        <v/>
      </c>
      <c r="F8" s="7">
        <f t="array" ref="F8">IFERROR(INDEX('Order Planning'!$G$5:$G$204,MATCH(B8,'Order Planning'!$A$5:$A$204,0)),0)</f>
        <v>0</v>
      </c>
      <c r="H8" s="7">
        <f t="shared" si="1"/>
        <v>0</v>
      </c>
      <c r="J8" s="7">
        <f t="shared" si="2"/>
        <v>0</v>
      </c>
      <c r="N8" s="7"/>
      <c r="O8" s="7"/>
      <c r="P8" s="7"/>
    </row>
    <row r="9">
      <c r="A9" s="15"/>
      <c r="B9" s="7"/>
      <c r="C9" s="7" t="str">
        <f t="array" ref="C9">IFERROR(INDEX('Order Planning'!$C$5:$C$204,MATCH(B9,'Order Planning'!$A$5:$A$204,0)),"")</f>
        <v/>
      </c>
      <c r="D9" s="7" t="str">
        <f t="array" ref="D9">IFERROR(INDEX('Order Planning'!$E$5:$E$204,MATCH(B9,'Order Planning'!$A$5:$A$204,0)),"")</f>
        <v/>
      </c>
      <c r="E9" s="7" t="str">
        <f t="array" ref="E9">IFERROR(INDEX('Order Planning'!$F$5:$F$204,MATCH(B9,'Order Planning'!$A$5:$A$204,0)),"")</f>
        <v/>
      </c>
      <c r="F9" s="7">
        <f t="array" ref="F9">IFERROR(INDEX('Order Planning'!$G$5:$G$204,MATCH(B9,'Order Planning'!$A$5:$A$204,0)),0)</f>
        <v>0</v>
      </c>
      <c r="H9" s="7">
        <f t="shared" si="1"/>
        <v>0</v>
      </c>
      <c r="J9" s="7">
        <f t="shared" si="2"/>
        <v>0</v>
      </c>
      <c r="N9" s="7"/>
      <c r="O9" s="7"/>
      <c r="P9" s="7"/>
    </row>
    <row r="10">
      <c r="A10" s="15"/>
      <c r="B10" s="7"/>
      <c r="C10" s="7" t="str">
        <f t="array" ref="C10">IFERROR(INDEX('Order Planning'!$C$5:$C$204,MATCH(B10,'Order Planning'!$A$5:$A$204,0)),"")</f>
        <v/>
      </c>
      <c r="D10" s="7" t="str">
        <f t="array" ref="D10">IFERROR(INDEX('Order Planning'!$E$5:$E$204,MATCH(B10,'Order Planning'!$A$5:$A$204,0)),"")</f>
        <v/>
      </c>
      <c r="E10" s="7" t="str">
        <f t="array" ref="E10">IFERROR(INDEX('Order Planning'!$F$5:$F$204,MATCH(B10,'Order Planning'!$A$5:$A$204,0)),"")</f>
        <v/>
      </c>
      <c r="F10" s="7">
        <f t="array" ref="F10">IFERROR(INDEX('Order Planning'!$G$5:$G$204,MATCH(B10,'Order Planning'!$A$5:$A$204,0)),0)</f>
        <v>0</v>
      </c>
      <c r="H10" s="7">
        <f t="shared" si="1"/>
        <v>0</v>
      </c>
      <c r="J10" s="7">
        <f t="shared" si="2"/>
        <v>0</v>
      </c>
      <c r="N10" s="7"/>
      <c r="O10" s="7"/>
      <c r="P10" s="7"/>
    </row>
    <row r="11">
      <c r="A11" s="15"/>
      <c r="B11" s="7"/>
      <c r="C11" s="7" t="str">
        <f t="array" ref="C11">IFERROR(INDEX('Order Planning'!$C$5:$C$204,MATCH(B11,'Order Planning'!$A$5:$A$204,0)),"")</f>
        <v/>
      </c>
      <c r="D11" s="7" t="str">
        <f t="array" ref="D11">IFERROR(INDEX('Order Planning'!$E$5:$E$204,MATCH(B11,'Order Planning'!$A$5:$A$204,0)),"")</f>
        <v/>
      </c>
      <c r="E11" s="7" t="str">
        <f t="array" ref="E11">IFERROR(INDEX('Order Planning'!$F$5:$F$204,MATCH(B11,'Order Planning'!$A$5:$A$204,0)),"")</f>
        <v/>
      </c>
      <c r="F11" s="7">
        <f t="array" ref="F11">IFERROR(INDEX('Order Planning'!$G$5:$G$204,MATCH(B11,'Order Planning'!$A$5:$A$204,0)),0)</f>
        <v>0</v>
      </c>
      <c r="H11" s="7">
        <f t="shared" si="1"/>
        <v>0</v>
      </c>
      <c r="J11" s="7">
        <f t="shared" si="2"/>
        <v>0</v>
      </c>
      <c r="N11" s="7"/>
      <c r="O11" s="7"/>
      <c r="P11" s="7"/>
    </row>
    <row r="12">
      <c r="A12" s="15"/>
      <c r="B12" s="7"/>
      <c r="C12" s="7" t="str">
        <f t="array" ref="C12">IFERROR(INDEX('Order Planning'!$C$5:$C$204,MATCH(B12,'Order Planning'!$A$5:$A$204,0)),"")</f>
        <v/>
      </c>
      <c r="D12" s="7" t="str">
        <f t="array" ref="D12">IFERROR(INDEX('Order Planning'!$E$5:$E$204,MATCH(B12,'Order Planning'!$A$5:$A$204,0)),"")</f>
        <v/>
      </c>
      <c r="E12" s="7" t="str">
        <f t="array" ref="E12">IFERROR(INDEX('Order Planning'!$F$5:$F$204,MATCH(B12,'Order Planning'!$A$5:$A$204,0)),"")</f>
        <v/>
      </c>
      <c r="F12" s="7">
        <f t="array" ref="F12">IFERROR(INDEX('Order Planning'!$G$5:$G$204,MATCH(B12,'Order Planning'!$A$5:$A$204,0)),0)</f>
        <v>0</v>
      </c>
      <c r="H12" s="7">
        <f t="shared" si="1"/>
        <v>0</v>
      </c>
      <c r="J12" s="7">
        <f t="shared" si="2"/>
        <v>0</v>
      </c>
      <c r="N12" s="7"/>
      <c r="O12" s="7"/>
      <c r="P12" s="7"/>
    </row>
    <row r="13">
      <c r="A13" s="15"/>
      <c r="B13" s="7"/>
      <c r="C13" s="23"/>
      <c r="D13" s="7" t="str">
        <f t="array" ref="D13">IFERROR(INDEX('Order Planning'!$E$5:$E$204,MATCH(B13,'Order Planning'!$A$5:$A$204,0)),"")</f>
        <v/>
      </c>
      <c r="E13" s="7" t="str">
        <f t="array" ref="E13">IFERROR(INDEX('Order Planning'!$F$5:$F$204,MATCH(B13,'Order Planning'!$A$5:$A$204,0)),"")</f>
        <v/>
      </c>
      <c r="F13" s="7">
        <f t="array" ref="F13">IFERROR(INDEX('Order Planning'!$G$5:$G$204,MATCH(B13,'Order Planning'!$A$5:$A$204,0)),0)</f>
        <v>0</v>
      </c>
      <c r="H13" s="7">
        <f t="shared" si="1"/>
        <v>0</v>
      </c>
      <c r="J13" s="7">
        <f t="shared" si="2"/>
        <v>0</v>
      </c>
      <c r="N13" s="7"/>
      <c r="O13" s="7"/>
      <c r="P13" s="7"/>
    </row>
    <row r="14">
      <c r="A14" s="15"/>
      <c r="B14" s="7"/>
      <c r="C14" s="7" t="str">
        <f t="array" ref="C14">IFERROR(INDEX('Order Planning'!$C$5:$C$204,MATCH(B14,'Order Planning'!$A$5:$A$204,0)),"")</f>
        <v/>
      </c>
      <c r="D14" s="7" t="str">
        <f t="array" ref="D14">IFERROR(INDEX('Order Planning'!$E$5:$E$204,MATCH(B14,'Order Planning'!$A$5:$A$204,0)),"")</f>
        <v/>
      </c>
      <c r="E14" s="7" t="str">
        <f t="array" ref="E14">IFERROR(INDEX('Order Planning'!$F$5:$F$204,MATCH(B14,'Order Planning'!$A$5:$A$204,0)),"")</f>
        <v/>
      </c>
      <c r="F14" s="7">
        <f t="array" ref="F14">IFERROR(INDEX('Order Planning'!$G$5:$G$204,MATCH(B14,'Order Planning'!$A$5:$A$204,0)),0)</f>
        <v>0</v>
      </c>
      <c r="H14" s="7">
        <f t="shared" si="1"/>
        <v>0</v>
      </c>
      <c r="J14" s="7">
        <f t="shared" si="2"/>
        <v>0</v>
      </c>
      <c r="N14" s="7"/>
      <c r="O14" s="7"/>
      <c r="P14" s="7"/>
    </row>
    <row r="15">
      <c r="A15" s="15"/>
      <c r="B15" s="7"/>
      <c r="C15" s="7" t="str">
        <f t="array" ref="C15">IFERROR(INDEX('Order Planning'!$C$5:$C$204,MATCH(B15,'Order Planning'!$A$5:$A$204,0)),"")</f>
        <v/>
      </c>
      <c r="D15" s="7" t="str">
        <f t="array" ref="D15">IFERROR(INDEX('Order Planning'!$E$5:$E$204,MATCH(B15,'Order Planning'!$A$5:$A$204,0)),"")</f>
        <v/>
      </c>
      <c r="E15" s="7" t="str">
        <f t="array" ref="E15">IFERROR(INDEX('Order Planning'!$F$5:$F$204,MATCH(B15,'Order Planning'!$A$5:$A$204,0)),"")</f>
        <v/>
      </c>
      <c r="F15" s="7">
        <f t="array" ref="F15">IFERROR(INDEX('Order Planning'!$G$5:$G$204,MATCH(B15,'Order Planning'!$A$5:$A$204,0)),0)</f>
        <v>0</v>
      </c>
      <c r="H15" s="7">
        <f t="shared" si="1"/>
        <v>0</v>
      </c>
      <c r="J15" s="7">
        <f t="shared" si="2"/>
        <v>0</v>
      </c>
      <c r="N15" s="7"/>
      <c r="O15" s="7"/>
      <c r="P15" s="7"/>
    </row>
    <row r="16">
      <c r="A16" s="15"/>
      <c r="B16" s="7"/>
      <c r="C16" s="7" t="str">
        <f t="array" ref="C16">IFERROR(INDEX('Order Planning'!$C$5:$C$204,MATCH(B16,'Order Planning'!$A$5:$A$204,0)),"")</f>
        <v/>
      </c>
      <c r="D16" s="7" t="str">
        <f t="array" ref="D16">IFERROR(INDEX('Order Planning'!$E$5:$E$204,MATCH(B16,'Order Planning'!$A$5:$A$204,0)),"")</f>
        <v/>
      </c>
      <c r="E16" s="7" t="str">
        <f t="array" ref="E16">IFERROR(INDEX('Order Planning'!$F$5:$F$204,MATCH(B16,'Order Planning'!$A$5:$A$204,0)),"")</f>
        <v/>
      </c>
      <c r="F16" s="7">
        <f t="array" ref="F16">IFERROR(INDEX('Order Planning'!$G$5:$G$204,MATCH(B16,'Order Planning'!$A$5:$A$204,0)),0)</f>
        <v>0</v>
      </c>
      <c r="H16" s="7">
        <f t="shared" si="1"/>
        <v>0</v>
      </c>
      <c r="J16" s="7">
        <f t="shared" si="2"/>
        <v>0</v>
      </c>
      <c r="N16" s="7"/>
      <c r="O16" s="7"/>
      <c r="P16" s="7"/>
    </row>
    <row r="17">
      <c r="A17" s="15"/>
      <c r="B17" s="7"/>
      <c r="C17" s="7" t="str">
        <f t="array" ref="C17">IFERROR(INDEX('Order Planning'!$C$5:$C$204,MATCH(B17,'Order Planning'!$A$5:$A$204,0)),"")</f>
        <v/>
      </c>
      <c r="D17" s="7" t="str">
        <f t="array" ref="D17">IFERROR(INDEX('Order Planning'!$E$5:$E$204,MATCH(B17,'Order Planning'!$A$5:$A$204,0)),"")</f>
        <v/>
      </c>
      <c r="E17" s="7" t="str">
        <f t="array" ref="E17">IFERROR(INDEX('Order Planning'!$F$5:$F$204,MATCH(B17,'Order Planning'!$A$5:$A$204,0)),"")</f>
        <v/>
      </c>
      <c r="F17" s="7">
        <f t="array" ref="F17">IFERROR(INDEX('Order Planning'!$G$5:$G$204,MATCH(B17,'Order Planning'!$A$5:$A$204,0)),0)</f>
        <v>0</v>
      </c>
      <c r="H17" s="7">
        <f t="shared" si="1"/>
        <v>0</v>
      </c>
      <c r="J17" s="7">
        <f t="shared" si="2"/>
        <v>0</v>
      </c>
      <c r="N17" s="7"/>
      <c r="O17" s="7"/>
      <c r="P17" s="7"/>
    </row>
    <row r="18">
      <c r="A18" s="15"/>
      <c r="B18" s="7"/>
      <c r="C18" s="7" t="str">
        <f t="array" ref="C18">IFERROR(INDEX('Order Planning'!$C$5:$C$204,MATCH(B18,'Order Planning'!$A$5:$A$204,0)),"")</f>
        <v/>
      </c>
      <c r="D18" s="7" t="str">
        <f t="array" ref="D18">IFERROR(INDEX('Order Planning'!$E$5:$E$204,MATCH(B18,'Order Planning'!$A$5:$A$204,0)),"")</f>
        <v/>
      </c>
      <c r="E18" s="7" t="str">
        <f t="array" ref="E18">IFERROR(INDEX('Order Planning'!$F$5:$F$204,MATCH(B18,'Order Planning'!$A$5:$A$204,0)),"")</f>
        <v/>
      </c>
      <c r="F18" s="7">
        <f t="array" ref="F18">IFERROR(INDEX('Order Planning'!$G$5:$G$204,MATCH(B18,'Order Planning'!$A$5:$A$204,0)),0)</f>
        <v>0</v>
      </c>
      <c r="H18" s="7">
        <f t="shared" si="1"/>
        <v>0</v>
      </c>
      <c r="J18" s="7">
        <f t="shared" si="2"/>
        <v>0</v>
      </c>
      <c r="N18" s="7"/>
      <c r="O18" s="7"/>
      <c r="P18" s="7"/>
    </row>
    <row r="19">
      <c r="A19" s="15"/>
      <c r="B19" s="7"/>
      <c r="C19" s="7" t="str">
        <f t="array" ref="C19">IFERROR(INDEX('Order Planning'!$C$5:$C$204,MATCH(B19,'Order Planning'!$A$5:$A$204,0)),"")</f>
        <v/>
      </c>
      <c r="D19" s="7" t="str">
        <f t="array" ref="D19">IFERROR(INDEX('Order Planning'!$E$5:$E$204,MATCH(B19,'Order Planning'!$A$5:$A$204,0)),"")</f>
        <v/>
      </c>
      <c r="E19" s="7" t="str">
        <f t="array" ref="E19">IFERROR(INDEX('Order Planning'!$F$5:$F$204,MATCH(B19,'Order Planning'!$A$5:$A$204,0)),"")</f>
        <v/>
      </c>
      <c r="F19" s="7">
        <f t="array" ref="F19">IFERROR(INDEX('Order Planning'!$G$5:$G$204,MATCH(B19,'Order Planning'!$A$5:$A$204,0)),0)</f>
        <v>0</v>
      </c>
      <c r="H19" s="7">
        <f t="shared" si="1"/>
        <v>0</v>
      </c>
      <c r="J19" s="7">
        <f t="shared" si="2"/>
        <v>0</v>
      </c>
      <c r="N19" s="7"/>
      <c r="O19" s="7"/>
      <c r="P19" s="7"/>
    </row>
    <row r="20">
      <c r="A20" s="15"/>
      <c r="B20" s="7"/>
      <c r="C20" s="7" t="str">
        <f t="array" ref="C20">IFERROR(INDEX('Order Planning'!$C$5:$C$204,MATCH(B20,'Order Planning'!$A$5:$A$204,0)),"")</f>
        <v/>
      </c>
      <c r="D20" s="7" t="str">
        <f t="array" ref="D20">IFERROR(INDEX('Order Planning'!$E$5:$E$204,MATCH(B20,'Order Planning'!$A$5:$A$204,0)),"")</f>
        <v/>
      </c>
      <c r="E20" s="7" t="str">
        <f t="array" ref="E20">IFERROR(INDEX('Order Planning'!$F$5:$F$204,MATCH(B20,'Order Planning'!$A$5:$A$204,0)),"")</f>
        <v/>
      </c>
      <c r="F20" s="7">
        <f t="array" ref="F20">IFERROR(INDEX('Order Planning'!$G$5:$G$204,MATCH(B20,'Order Planning'!$A$5:$A$204,0)),0)</f>
        <v>0</v>
      </c>
      <c r="H20" s="7">
        <f t="shared" si="1"/>
        <v>0</v>
      </c>
      <c r="J20" s="7">
        <f t="shared" si="2"/>
        <v>0</v>
      </c>
      <c r="N20" s="7"/>
      <c r="O20" s="7"/>
      <c r="P20" s="7"/>
    </row>
    <row r="21" ht="15.75" customHeight="1">
      <c r="A21" s="15"/>
      <c r="B21" s="7"/>
      <c r="C21" s="7" t="str">
        <f t="array" ref="C21">IFERROR(INDEX('Order Planning'!$C$5:$C$204,MATCH(B21,'Order Planning'!$A$5:$A$204,0)),"")</f>
        <v/>
      </c>
      <c r="D21" s="7" t="str">
        <f t="array" ref="D21">IFERROR(INDEX('Order Planning'!$E$5:$E$204,MATCH(B21,'Order Planning'!$A$5:$A$204,0)),"")</f>
        <v/>
      </c>
      <c r="E21" s="7" t="str">
        <f t="array" ref="E21">IFERROR(INDEX('Order Planning'!$F$5:$F$204,MATCH(B21,'Order Planning'!$A$5:$A$204,0)),"")</f>
        <v/>
      </c>
      <c r="F21" s="7">
        <f t="array" ref="F21">IFERROR(INDEX('Order Planning'!$G$5:$G$204,MATCH(B21,'Order Planning'!$A$5:$A$204,0)),0)</f>
        <v>0</v>
      </c>
      <c r="H21" s="7">
        <f t="shared" si="1"/>
        <v>0</v>
      </c>
      <c r="J21" s="7">
        <f t="shared" si="2"/>
        <v>0</v>
      </c>
      <c r="N21" s="7"/>
      <c r="O21" s="7"/>
      <c r="P21" s="7"/>
    </row>
    <row r="22" ht="15.75" customHeight="1">
      <c r="A22" s="15"/>
      <c r="B22" s="7"/>
      <c r="C22" s="7" t="str">
        <f t="array" ref="C22">IFERROR(INDEX('Order Planning'!$C$5:$C$204,MATCH(B22,'Order Planning'!$A$5:$A$204,0)),"")</f>
        <v/>
      </c>
      <c r="D22" s="7" t="str">
        <f t="array" ref="D22">IFERROR(INDEX('Order Planning'!$E$5:$E$204,MATCH(B22,'Order Planning'!$A$5:$A$204,0)),"")</f>
        <v/>
      </c>
      <c r="E22" s="7" t="str">
        <f t="array" ref="E22">IFERROR(INDEX('Order Planning'!$F$5:$F$204,MATCH(B22,'Order Planning'!$A$5:$A$204,0)),"")</f>
        <v/>
      </c>
      <c r="F22" s="7">
        <f t="array" ref="F22">IFERROR(INDEX('Order Planning'!$G$5:$G$204,MATCH(B22,'Order Planning'!$A$5:$A$204,0)),0)</f>
        <v>0</v>
      </c>
      <c r="H22" s="7">
        <f t="shared" si="1"/>
        <v>0</v>
      </c>
      <c r="J22" s="7">
        <f t="shared" si="2"/>
        <v>0</v>
      </c>
      <c r="N22" s="7"/>
      <c r="O22" s="7"/>
      <c r="P22" s="7"/>
    </row>
    <row r="23" ht="15.75" customHeight="1">
      <c r="A23" s="15"/>
      <c r="B23" s="7"/>
      <c r="C23" s="7" t="str">
        <f t="array" ref="C23">IFERROR(INDEX('Order Planning'!$C$5:$C$204,MATCH(B23,'Order Planning'!$A$5:$A$204,0)),"")</f>
        <v/>
      </c>
      <c r="D23" s="7" t="str">
        <f t="array" ref="D23">IFERROR(INDEX('Order Planning'!$E$5:$E$204,MATCH(B23,'Order Planning'!$A$5:$A$204,0)),"")</f>
        <v/>
      </c>
      <c r="E23" s="7" t="str">
        <f t="array" ref="E23">IFERROR(INDEX('Order Planning'!$F$5:$F$204,MATCH(B23,'Order Planning'!$A$5:$A$204,0)),"")</f>
        <v/>
      </c>
      <c r="F23" s="7">
        <f t="array" ref="F23">IFERROR(INDEX('Order Planning'!$G$5:$G$204,MATCH(B23,'Order Planning'!$A$5:$A$204,0)),0)</f>
        <v>0</v>
      </c>
      <c r="H23" s="7">
        <f t="shared" si="1"/>
        <v>0</v>
      </c>
      <c r="J23" s="7">
        <f t="shared" si="2"/>
        <v>0</v>
      </c>
      <c r="N23" s="7"/>
      <c r="O23" s="7"/>
      <c r="P23" s="7"/>
    </row>
    <row r="24" ht="15.75" customHeight="1">
      <c r="A24" s="15"/>
      <c r="B24" s="7"/>
      <c r="C24" s="7" t="str">
        <f t="array" ref="C24">IFERROR(INDEX('Order Planning'!$C$5:$C$204,MATCH(B24,'Order Planning'!$A$5:$A$204,0)),"")</f>
        <v/>
      </c>
      <c r="D24" s="7" t="str">
        <f t="array" ref="D24">IFERROR(INDEX('Order Planning'!$E$5:$E$204,MATCH(B24,'Order Planning'!$A$5:$A$204,0)),"")</f>
        <v/>
      </c>
      <c r="E24" s="7" t="str">
        <f t="array" ref="E24">IFERROR(INDEX('Order Planning'!$F$5:$F$204,MATCH(B24,'Order Planning'!$A$5:$A$204,0)),"")</f>
        <v/>
      </c>
      <c r="F24" s="7">
        <f t="array" ref="F24">IFERROR(INDEX('Order Planning'!$G$5:$G$204,MATCH(B24,'Order Planning'!$A$5:$A$204,0)),0)</f>
        <v>0</v>
      </c>
      <c r="H24" s="7">
        <f t="shared" si="1"/>
        <v>0</v>
      </c>
      <c r="J24" s="7">
        <f t="shared" si="2"/>
        <v>0</v>
      </c>
      <c r="N24" s="7"/>
      <c r="O24" s="7"/>
      <c r="P24" s="7"/>
    </row>
    <row r="25" ht="15.75" customHeight="1">
      <c r="A25" s="15"/>
      <c r="B25" s="7"/>
      <c r="C25" s="7" t="str">
        <f t="array" ref="C25">IFERROR(INDEX('Order Planning'!$C$5:$C$204,MATCH(B25,'Order Planning'!$A$5:$A$204,0)),"")</f>
        <v/>
      </c>
      <c r="D25" s="7" t="str">
        <f t="array" ref="D25">IFERROR(INDEX('Order Planning'!$E$5:$E$204,MATCH(B25,'Order Planning'!$A$5:$A$204,0)),"")</f>
        <v/>
      </c>
      <c r="E25" s="7" t="str">
        <f t="array" ref="E25">IFERROR(INDEX('Order Planning'!$F$5:$F$204,MATCH(B25,'Order Planning'!$A$5:$A$204,0)),"")</f>
        <v/>
      </c>
      <c r="F25" s="7">
        <f t="array" ref="F25">IFERROR(INDEX('Order Planning'!$G$5:$G$204,MATCH(B25,'Order Planning'!$A$5:$A$204,0)),0)</f>
        <v>0</v>
      </c>
      <c r="H25" s="7">
        <f t="shared" si="1"/>
        <v>0</v>
      </c>
      <c r="J25" s="7">
        <f t="shared" si="2"/>
        <v>0</v>
      </c>
      <c r="N25" s="7"/>
      <c r="O25" s="7"/>
      <c r="P25" s="7"/>
    </row>
    <row r="26" ht="15.75" customHeight="1">
      <c r="A26" s="15"/>
      <c r="B26" s="7"/>
      <c r="C26" s="7" t="str">
        <f t="array" ref="C26">IFERROR(INDEX('Order Planning'!$C$5:$C$204,MATCH(B26,'Order Planning'!$A$5:$A$204,0)),"")</f>
        <v/>
      </c>
      <c r="D26" s="7" t="str">
        <f t="array" ref="D26">IFERROR(INDEX('Order Planning'!$E$5:$E$204,MATCH(B26,'Order Planning'!$A$5:$A$204,0)),"")</f>
        <v/>
      </c>
      <c r="E26" s="7" t="str">
        <f t="array" ref="E26">IFERROR(INDEX('Order Planning'!$F$5:$F$204,MATCH(B26,'Order Planning'!$A$5:$A$204,0)),"")</f>
        <v/>
      </c>
      <c r="F26" s="7">
        <f t="array" ref="F26">IFERROR(INDEX('Order Planning'!$G$5:$G$204,MATCH(B26,'Order Planning'!$A$5:$A$204,0)),0)</f>
        <v>0</v>
      </c>
      <c r="H26" s="7">
        <f t="shared" si="1"/>
        <v>0</v>
      </c>
      <c r="J26" s="7">
        <f t="shared" si="2"/>
        <v>0</v>
      </c>
      <c r="N26" s="7"/>
      <c r="O26" s="7"/>
      <c r="P26" s="7"/>
    </row>
    <row r="27" ht="15.75" customHeight="1">
      <c r="A27" s="15"/>
      <c r="B27" s="7"/>
      <c r="C27" s="7" t="str">
        <f t="array" ref="C27">IFERROR(INDEX('Order Planning'!$C$5:$C$204,MATCH(B27,'Order Planning'!$A$5:$A$204,0)),"")</f>
        <v/>
      </c>
      <c r="D27" s="7" t="str">
        <f t="array" ref="D27">IFERROR(INDEX('Order Planning'!$E$5:$E$204,MATCH(B27,'Order Planning'!$A$5:$A$204,0)),"")</f>
        <v/>
      </c>
      <c r="E27" s="7" t="str">
        <f t="array" ref="E27">IFERROR(INDEX('Order Planning'!$F$5:$F$204,MATCH(B27,'Order Planning'!$A$5:$A$204,0)),"")</f>
        <v/>
      </c>
      <c r="F27" s="7">
        <f t="array" ref="F27">IFERROR(INDEX('Order Planning'!$G$5:$G$204,MATCH(B27,'Order Planning'!$A$5:$A$204,0)),0)</f>
        <v>0</v>
      </c>
      <c r="H27" s="7">
        <f t="shared" si="1"/>
        <v>0</v>
      </c>
      <c r="J27" s="7">
        <f t="shared" si="2"/>
        <v>0</v>
      </c>
      <c r="N27" s="7"/>
      <c r="O27" s="7"/>
      <c r="P27" s="7"/>
    </row>
    <row r="28" ht="15.75" customHeight="1">
      <c r="A28" s="15"/>
      <c r="B28" s="7"/>
      <c r="C28" s="7" t="str">
        <f t="array" ref="C28">IFERROR(INDEX('Order Planning'!$C$5:$C$204,MATCH(B28,'Order Planning'!$A$5:$A$204,0)),"")</f>
        <v/>
      </c>
      <c r="D28" s="7" t="str">
        <f t="array" ref="D28">IFERROR(INDEX('Order Planning'!$E$5:$E$204,MATCH(B28,'Order Planning'!$A$5:$A$204,0)),"")</f>
        <v/>
      </c>
      <c r="E28" s="7" t="str">
        <f t="array" ref="E28">IFERROR(INDEX('Order Planning'!$F$5:$F$204,MATCH(B28,'Order Planning'!$A$5:$A$204,0)),"")</f>
        <v/>
      </c>
      <c r="F28" s="7">
        <f t="array" ref="F28">IFERROR(INDEX('Order Planning'!$G$5:$G$204,MATCH(B28,'Order Planning'!$A$5:$A$204,0)),0)</f>
        <v>0</v>
      </c>
      <c r="H28" s="7">
        <f t="shared" si="1"/>
        <v>0</v>
      </c>
      <c r="J28" s="7">
        <f t="shared" si="2"/>
        <v>0</v>
      </c>
      <c r="N28" s="7"/>
      <c r="O28" s="7"/>
      <c r="P28" s="7"/>
    </row>
    <row r="29" ht="15.75" customHeight="1">
      <c r="A29" s="15"/>
      <c r="B29" s="7"/>
      <c r="C29" s="7" t="str">
        <f t="array" ref="C29">IFERROR(INDEX('Order Planning'!$C$5:$C$204,MATCH(B29,'Order Planning'!$A$5:$A$204,0)),"")</f>
        <v/>
      </c>
      <c r="D29" s="7" t="str">
        <f t="array" ref="D29">IFERROR(INDEX('Order Planning'!$E$5:$E$204,MATCH(B29,'Order Planning'!$A$5:$A$204,0)),"")</f>
        <v/>
      </c>
      <c r="E29" s="7" t="str">
        <f t="array" ref="E29">IFERROR(INDEX('Order Planning'!$F$5:$F$204,MATCH(B29,'Order Planning'!$A$5:$A$204,0)),"")</f>
        <v/>
      </c>
      <c r="F29" s="7">
        <f t="array" ref="F29">IFERROR(INDEX('Order Planning'!$G$5:$G$204,MATCH(B29,'Order Planning'!$A$5:$A$204,0)),0)</f>
        <v>0</v>
      </c>
      <c r="H29" s="7">
        <f t="shared" si="1"/>
        <v>0</v>
      </c>
      <c r="J29" s="7">
        <f t="shared" si="2"/>
        <v>0</v>
      </c>
      <c r="N29" s="7"/>
      <c r="O29" s="7"/>
      <c r="P29" s="7"/>
    </row>
    <row r="30" ht="15.75" customHeight="1">
      <c r="A30" s="15"/>
      <c r="B30" s="7"/>
      <c r="C30" s="7" t="str">
        <f t="array" ref="C30">IFERROR(INDEX('Order Planning'!$C$5:$C$204,MATCH(B30,'Order Planning'!$A$5:$A$204,0)),"")</f>
        <v/>
      </c>
      <c r="D30" s="7" t="str">
        <f t="array" ref="D30">IFERROR(INDEX('Order Planning'!$E$5:$E$204,MATCH(B30,'Order Planning'!$A$5:$A$204,0)),"")</f>
        <v/>
      </c>
      <c r="E30" s="7" t="str">
        <f t="array" ref="E30">IFERROR(INDEX('Order Planning'!$F$5:$F$204,MATCH(B30,'Order Planning'!$A$5:$A$204,0)),"")</f>
        <v/>
      </c>
      <c r="F30" s="7">
        <f t="array" ref="F30">IFERROR(INDEX('Order Planning'!$G$5:$G$204,MATCH(B30,'Order Planning'!$A$5:$A$204,0)),0)</f>
        <v>0</v>
      </c>
      <c r="H30" s="7">
        <f t="shared" si="1"/>
        <v>0</v>
      </c>
      <c r="J30" s="7">
        <f t="shared" si="2"/>
        <v>0</v>
      </c>
      <c r="N30" s="7"/>
      <c r="O30" s="7"/>
      <c r="P30" s="7"/>
    </row>
    <row r="31" ht="15.75" customHeight="1">
      <c r="A31" s="15"/>
      <c r="B31" s="7"/>
      <c r="C31" s="7" t="str">
        <f t="array" ref="C31">IFERROR(INDEX('Order Planning'!$C$5:$C$204,MATCH(B31,'Order Planning'!$A$5:$A$204,0)),"")</f>
        <v/>
      </c>
      <c r="D31" s="7" t="str">
        <f t="array" ref="D31">IFERROR(INDEX('Order Planning'!$E$5:$E$204,MATCH(B31,'Order Planning'!$A$5:$A$204,0)),"")</f>
        <v/>
      </c>
      <c r="E31" s="7" t="str">
        <f t="array" ref="E31">IFERROR(INDEX('Order Planning'!$F$5:$F$204,MATCH(B31,'Order Planning'!$A$5:$A$204,0)),"")</f>
        <v/>
      </c>
      <c r="F31" s="7">
        <f t="array" ref="F31">IFERROR(INDEX('Order Planning'!$G$5:$G$204,MATCH(B31,'Order Planning'!$A$5:$A$204,0)),0)</f>
        <v>0</v>
      </c>
      <c r="H31" s="7">
        <f t="shared" si="1"/>
        <v>0</v>
      </c>
      <c r="J31" s="7">
        <f t="shared" si="2"/>
        <v>0</v>
      </c>
      <c r="N31" s="7"/>
      <c r="O31" s="7"/>
      <c r="P31" s="7"/>
    </row>
    <row r="32" ht="15.75" customHeight="1">
      <c r="A32" s="15"/>
      <c r="B32" s="7"/>
      <c r="C32" s="7" t="str">
        <f t="array" ref="C32">IFERROR(INDEX('Order Planning'!$C$5:$C$204,MATCH(B32,'Order Planning'!$A$5:$A$204,0)),"")</f>
        <v/>
      </c>
      <c r="D32" s="7" t="str">
        <f t="array" ref="D32">IFERROR(INDEX('Order Planning'!$E$5:$E$204,MATCH(B32,'Order Planning'!$A$5:$A$204,0)),"")</f>
        <v/>
      </c>
      <c r="E32" s="7" t="str">
        <f t="array" ref="E32">IFERROR(INDEX('Order Planning'!$F$5:$F$204,MATCH(B32,'Order Planning'!$A$5:$A$204,0)),"")</f>
        <v/>
      </c>
      <c r="F32" s="7">
        <f t="array" ref="F32">IFERROR(INDEX('Order Planning'!$G$5:$G$204,MATCH(B32,'Order Planning'!$A$5:$A$204,0)),0)</f>
        <v>0</v>
      </c>
      <c r="H32" s="7">
        <f t="shared" si="1"/>
        <v>0</v>
      </c>
      <c r="J32" s="7">
        <f t="shared" si="2"/>
        <v>0</v>
      </c>
      <c r="N32" s="7"/>
      <c r="O32" s="7"/>
      <c r="P32" s="7"/>
    </row>
    <row r="33" ht="15.75" customHeight="1">
      <c r="A33" s="15"/>
      <c r="B33" s="7"/>
      <c r="C33" s="7" t="str">
        <f t="array" ref="C33">IFERROR(INDEX('Order Planning'!$C$5:$C$204,MATCH(B33,'Order Planning'!$A$5:$A$204,0)),"")</f>
        <v/>
      </c>
      <c r="D33" s="7" t="str">
        <f t="array" ref="D33">IFERROR(INDEX('Order Planning'!$E$5:$E$204,MATCH(B33,'Order Planning'!$A$5:$A$204,0)),"")</f>
        <v/>
      </c>
      <c r="E33" s="7" t="str">
        <f t="array" ref="E33">IFERROR(INDEX('Order Planning'!$F$5:$F$204,MATCH(B33,'Order Planning'!$A$5:$A$204,0)),"")</f>
        <v/>
      </c>
      <c r="F33" s="7">
        <f t="array" ref="F33">IFERROR(INDEX('Order Planning'!$G$5:$G$204,MATCH(B33,'Order Planning'!$A$5:$A$204,0)),0)</f>
        <v>0</v>
      </c>
      <c r="H33" s="7">
        <f t="shared" si="1"/>
        <v>0</v>
      </c>
      <c r="J33" s="7">
        <f t="shared" si="2"/>
        <v>0</v>
      </c>
      <c r="N33" s="7"/>
      <c r="O33" s="7"/>
      <c r="P33" s="7"/>
    </row>
    <row r="34" ht="15.75" customHeight="1">
      <c r="A34" s="15"/>
      <c r="B34" s="7"/>
      <c r="C34" s="7" t="str">
        <f t="array" ref="C34">IFERROR(INDEX('Order Planning'!$C$5:$C$204,MATCH(B34,'Order Planning'!$A$5:$A$204,0)),"")</f>
        <v/>
      </c>
      <c r="D34" s="7" t="str">
        <f t="array" ref="D34">IFERROR(INDEX('Order Planning'!$E$5:$E$204,MATCH(B34,'Order Planning'!$A$5:$A$204,0)),"")</f>
        <v/>
      </c>
      <c r="E34" s="7" t="str">
        <f t="array" ref="E34">IFERROR(INDEX('Order Planning'!$F$5:$F$204,MATCH(B34,'Order Planning'!$A$5:$A$204,0)),"")</f>
        <v/>
      </c>
      <c r="F34" s="7">
        <f t="array" ref="F34">IFERROR(INDEX('Order Planning'!$G$5:$G$204,MATCH(B34,'Order Planning'!$A$5:$A$204,0)),0)</f>
        <v>0</v>
      </c>
      <c r="H34" s="7">
        <f t="shared" si="1"/>
        <v>0</v>
      </c>
      <c r="J34" s="7">
        <f t="shared" si="2"/>
        <v>0</v>
      </c>
      <c r="N34" s="7"/>
      <c r="O34" s="7"/>
      <c r="P34" s="7"/>
    </row>
    <row r="35" ht="15.75" customHeight="1">
      <c r="A35" s="15"/>
      <c r="B35" s="7"/>
      <c r="C35" s="7" t="str">
        <f t="array" ref="C35">IFERROR(INDEX('Order Planning'!$C$5:$C$204,MATCH(B35,'Order Planning'!$A$5:$A$204,0)),"")</f>
        <v/>
      </c>
      <c r="D35" s="7" t="str">
        <f t="array" ref="D35">IFERROR(INDEX('Order Planning'!$E$5:$E$204,MATCH(B35,'Order Planning'!$A$5:$A$204,0)),"")</f>
        <v/>
      </c>
      <c r="E35" s="7" t="str">
        <f t="array" ref="E35">IFERROR(INDEX('Order Planning'!$F$5:$F$204,MATCH(B35,'Order Planning'!$A$5:$A$204,0)),"")</f>
        <v/>
      </c>
      <c r="F35" s="7">
        <f t="array" ref="F35">IFERROR(INDEX('Order Planning'!$G$5:$G$204,MATCH(B35,'Order Planning'!$A$5:$A$204,0)),0)</f>
        <v>0</v>
      </c>
      <c r="H35" s="7">
        <f t="shared" si="1"/>
        <v>0</v>
      </c>
      <c r="J35" s="7">
        <f t="shared" si="2"/>
        <v>0</v>
      </c>
      <c r="N35" s="7"/>
      <c r="O35" s="7"/>
      <c r="P35" s="7"/>
    </row>
    <row r="36" ht="15.75" customHeight="1">
      <c r="A36" s="15"/>
      <c r="B36" s="7"/>
      <c r="C36" s="7" t="str">
        <f t="array" ref="C36">IFERROR(INDEX('Order Planning'!$C$5:$C$204,MATCH(B36,'Order Planning'!$A$5:$A$204,0)),"")</f>
        <v/>
      </c>
      <c r="D36" s="7" t="str">
        <f t="array" ref="D36">IFERROR(INDEX('Order Planning'!$E$5:$E$204,MATCH(B36,'Order Planning'!$A$5:$A$204,0)),"")</f>
        <v/>
      </c>
      <c r="E36" s="7" t="str">
        <f t="array" ref="E36">IFERROR(INDEX('Order Planning'!$F$5:$F$204,MATCH(B36,'Order Planning'!$A$5:$A$204,0)),"")</f>
        <v/>
      </c>
      <c r="F36" s="7">
        <f t="array" ref="F36">IFERROR(INDEX('Order Planning'!$G$5:$G$204,MATCH(B36,'Order Planning'!$A$5:$A$204,0)),0)</f>
        <v>0</v>
      </c>
      <c r="H36" s="7">
        <f t="shared" si="1"/>
        <v>0</v>
      </c>
      <c r="J36" s="7">
        <f t="shared" si="2"/>
        <v>0</v>
      </c>
      <c r="N36" s="7"/>
      <c r="O36" s="7"/>
      <c r="P36" s="7"/>
    </row>
    <row r="37" ht="15.75" customHeight="1">
      <c r="A37" s="15"/>
      <c r="B37" s="7"/>
      <c r="C37" s="7" t="str">
        <f t="array" ref="C37">IFERROR(INDEX('Order Planning'!$C$5:$C$204,MATCH(B37,'Order Planning'!$A$5:$A$204,0)),"")</f>
        <v/>
      </c>
      <c r="D37" s="7" t="str">
        <f t="array" ref="D37">IFERROR(INDEX('Order Planning'!$E$5:$E$204,MATCH(B37,'Order Planning'!$A$5:$A$204,0)),"")</f>
        <v/>
      </c>
      <c r="E37" s="7" t="str">
        <f t="array" ref="E37">IFERROR(INDEX('Order Planning'!$F$5:$F$204,MATCH(B37,'Order Planning'!$A$5:$A$204,0)),"")</f>
        <v/>
      </c>
      <c r="F37" s="7">
        <f t="array" ref="F37">IFERROR(INDEX('Order Planning'!$G$5:$G$204,MATCH(B37,'Order Planning'!$A$5:$A$204,0)),0)</f>
        <v>0</v>
      </c>
      <c r="H37" s="7">
        <f t="shared" si="1"/>
        <v>0</v>
      </c>
      <c r="J37" s="7">
        <f t="shared" si="2"/>
        <v>0</v>
      </c>
      <c r="N37" s="7"/>
      <c r="O37" s="7"/>
      <c r="P37" s="7"/>
    </row>
    <row r="38" ht="15.75" customHeight="1">
      <c r="A38" s="15"/>
      <c r="B38" s="7"/>
      <c r="C38" s="7" t="str">
        <f t="array" ref="C38">IFERROR(INDEX('Order Planning'!$C$5:$C$204,MATCH(B38,'Order Planning'!$A$5:$A$204,0)),"")</f>
        <v/>
      </c>
      <c r="D38" s="7" t="str">
        <f t="array" ref="D38">IFERROR(INDEX('Order Planning'!$E$5:$E$204,MATCH(B38,'Order Planning'!$A$5:$A$204,0)),"")</f>
        <v/>
      </c>
      <c r="E38" s="7" t="str">
        <f t="array" ref="E38">IFERROR(INDEX('Order Planning'!$F$5:$F$204,MATCH(B38,'Order Planning'!$A$5:$A$204,0)),"")</f>
        <v/>
      </c>
      <c r="F38" s="7">
        <f t="array" ref="F38">IFERROR(INDEX('Order Planning'!$G$5:$G$204,MATCH(B38,'Order Planning'!$A$5:$A$204,0)),0)</f>
        <v>0</v>
      </c>
      <c r="H38" s="7">
        <f t="shared" si="1"/>
        <v>0</v>
      </c>
      <c r="J38" s="7">
        <f t="shared" si="2"/>
        <v>0</v>
      </c>
      <c r="N38" s="7"/>
      <c r="O38" s="7"/>
      <c r="P38" s="7"/>
    </row>
    <row r="39" ht="15.75" customHeight="1">
      <c r="A39" s="15"/>
      <c r="B39" s="7"/>
      <c r="C39" s="7" t="str">
        <f t="array" ref="C39">IFERROR(INDEX('Order Planning'!$C$5:$C$204,MATCH(B39,'Order Planning'!$A$5:$A$204,0)),"")</f>
        <v/>
      </c>
      <c r="D39" s="7" t="str">
        <f t="array" ref="D39">IFERROR(INDEX('Order Planning'!$E$5:$E$204,MATCH(B39,'Order Planning'!$A$5:$A$204,0)),"")</f>
        <v/>
      </c>
      <c r="E39" s="7" t="str">
        <f t="array" ref="E39">IFERROR(INDEX('Order Planning'!$F$5:$F$204,MATCH(B39,'Order Planning'!$A$5:$A$204,0)),"")</f>
        <v/>
      </c>
      <c r="F39" s="7">
        <f t="array" ref="F39">IFERROR(INDEX('Order Planning'!$G$5:$G$204,MATCH(B39,'Order Planning'!$A$5:$A$204,0)),0)</f>
        <v>0</v>
      </c>
      <c r="H39" s="7">
        <f t="shared" si="1"/>
        <v>0</v>
      </c>
      <c r="J39" s="7">
        <f t="shared" si="2"/>
        <v>0</v>
      </c>
      <c r="N39" s="7"/>
      <c r="O39" s="7"/>
      <c r="P39" s="7"/>
    </row>
    <row r="40" ht="15.75" customHeight="1">
      <c r="A40" s="15"/>
      <c r="B40" s="7"/>
      <c r="C40" s="7" t="str">
        <f t="array" ref="C40">IFERROR(INDEX('Order Planning'!$C$5:$C$204,MATCH(B40,'Order Planning'!$A$5:$A$204,0)),"")</f>
        <v/>
      </c>
      <c r="D40" s="7" t="str">
        <f t="array" ref="D40">IFERROR(INDEX('Order Planning'!$E$5:$E$204,MATCH(B40,'Order Planning'!$A$5:$A$204,0)),"")</f>
        <v/>
      </c>
      <c r="E40" s="7" t="str">
        <f t="array" ref="E40">IFERROR(INDEX('Order Planning'!$F$5:$F$204,MATCH(B40,'Order Planning'!$A$5:$A$204,0)),"")</f>
        <v/>
      </c>
      <c r="F40" s="7">
        <f t="array" ref="F40">IFERROR(INDEX('Order Planning'!$G$5:$G$204,MATCH(B40,'Order Planning'!$A$5:$A$204,0)),0)</f>
        <v>0</v>
      </c>
      <c r="H40" s="7">
        <f t="shared" si="1"/>
        <v>0</v>
      </c>
      <c r="J40" s="7">
        <f t="shared" si="2"/>
        <v>0</v>
      </c>
      <c r="N40" s="7"/>
      <c r="O40" s="7"/>
      <c r="P40" s="7"/>
    </row>
    <row r="41" ht="15.75" customHeight="1">
      <c r="A41" s="15"/>
      <c r="B41" s="7"/>
      <c r="C41" s="7" t="str">
        <f t="array" ref="C41">IFERROR(INDEX('Order Planning'!$C$5:$C$204,MATCH(B41,'Order Planning'!$A$5:$A$204,0)),"")</f>
        <v/>
      </c>
      <c r="D41" s="7" t="str">
        <f t="array" ref="D41">IFERROR(INDEX('Order Planning'!$E$5:$E$204,MATCH(B41,'Order Planning'!$A$5:$A$204,0)),"")</f>
        <v/>
      </c>
      <c r="E41" s="7" t="str">
        <f t="array" ref="E41">IFERROR(INDEX('Order Planning'!$F$5:$F$204,MATCH(B41,'Order Planning'!$A$5:$A$204,0)),"")</f>
        <v/>
      </c>
      <c r="F41" s="7">
        <f t="array" ref="F41">IFERROR(INDEX('Order Planning'!$G$5:$G$204,MATCH(B41,'Order Planning'!$A$5:$A$204,0)),0)</f>
        <v>0</v>
      </c>
      <c r="H41" s="7">
        <f t="shared" si="1"/>
        <v>0</v>
      </c>
      <c r="J41" s="7">
        <f t="shared" si="2"/>
        <v>0</v>
      </c>
      <c r="N41" s="7"/>
      <c r="O41" s="7"/>
      <c r="P41" s="7"/>
    </row>
    <row r="42" ht="15.75" customHeight="1">
      <c r="A42" s="15"/>
      <c r="B42" s="7"/>
      <c r="C42" s="7" t="str">
        <f t="array" ref="C42">IFERROR(INDEX('Order Planning'!$C$5:$C$204,MATCH(B42,'Order Planning'!$A$5:$A$204,0)),"")</f>
        <v/>
      </c>
      <c r="D42" s="7" t="str">
        <f t="array" ref="D42">IFERROR(INDEX('Order Planning'!$E$5:$E$204,MATCH(B42,'Order Planning'!$A$5:$A$204,0)),"")</f>
        <v/>
      </c>
      <c r="E42" s="7" t="str">
        <f t="array" ref="E42">IFERROR(INDEX('Order Planning'!$F$5:$F$204,MATCH(B42,'Order Planning'!$A$5:$A$204,0)),"")</f>
        <v/>
      </c>
      <c r="F42" s="7">
        <f t="array" ref="F42">IFERROR(INDEX('Order Planning'!$G$5:$G$204,MATCH(B42,'Order Planning'!$A$5:$A$204,0)),0)</f>
        <v>0</v>
      </c>
      <c r="H42" s="7">
        <f t="shared" si="1"/>
        <v>0</v>
      </c>
      <c r="J42" s="7">
        <f t="shared" si="2"/>
        <v>0</v>
      </c>
      <c r="N42" s="7"/>
      <c r="O42" s="7"/>
      <c r="P42" s="7"/>
    </row>
    <row r="43" ht="15.75" customHeight="1">
      <c r="A43" s="15"/>
      <c r="B43" s="7"/>
      <c r="C43" s="7" t="str">
        <f t="array" ref="C43">IFERROR(INDEX('Order Planning'!$C$5:$C$204,MATCH(B43,'Order Planning'!$A$5:$A$204,0)),"")</f>
        <v/>
      </c>
      <c r="D43" s="7" t="str">
        <f t="array" ref="D43">IFERROR(INDEX('Order Planning'!$E$5:$E$204,MATCH(B43,'Order Planning'!$A$5:$A$204,0)),"")</f>
        <v/>
      </c>
      <c r="E43" s="7" t="str">
        <f t="array" ref="E43">IFERROR(INDEX('Order Planning'!$F$5:$F$204,MATCH(B43,'Order Planning'!$A$5:$A$204,0)),"")</f>
        <v/>
      </c>
      <c r="F43" s="7">
        <f t="array" ref="F43">IFERROR(INDEX('Order Planning'!$G$5:$G$204,MATCH(B43,'Order Planning'!$A$5:$A$204,0)),0)</f>
        <v>0</v>
      </c>
      <c r="H43" s="7">
        <f t="shared" si="1"/>
        <v>0</v>
      </c>
      <c r="J43" s="7">
        <f t="shared" si="2"/>
        <v>0</v>
      </c>
      <c r="N43" s="7"/>
      <c r="O43" s="7"/>
      <c r="P43" s="7"/>
    </row>
    <row r="44" ht="15.75" customHeight="1">
      <c r="A44" s="15"/>
      <c r="B44" s="7"/>
      <c r="C44" s="7" t="str">
        <f t="array" ref="C44">IFERROR(INDEX('Order Planning'!$C$5:$C$204,MATCH(B44,'Order Planning'!$A$5:$A$204,0)),"")</f>
        <v/>
      </c>
      <c r="D44" s="7" t="str">
        <f t="array" ref="D44">IFERROR(INDEX('Order Planning'!$E$5:$E$204,MATCH(B44,'Order Planning'!$A$5:$A$204,0)),"")</f>
        <v/>
      </c>
      <c r="E44" s="7" t="str">
        <f t="array" ref="E44">IFERROR(INDEX('Order Planning'!$F$5:$F$204,MATCH(B44,'Order Planning'!$A$5:$A$204,0)),"")</f>
        <v/>
      </c>
      <c r="F44" s="7">
        <f t="array" ref="F44">IFERROR(INDEX('Order Planning'!$G$5:$G$204,MATCH(B44,'Order Planning'!$A$5:$A$204,0)),0)</f>
        <v>0</v>
      </c>
      <c r="H44" s="7">
        <f t="shared" si="1"/>
        <v>0</v>
      </c>
      <c r="J44" s="7">
        <f t="shared" si="2"/>
        <v>0</v>
      </c>
      <c r="N44" s="7"/>
      <c r="O44" s="7"/>
      <c r="P44" s="7"/>
    </row>
    <row r="45" ht="15.75" customHeight="1">
      <c r="A45" s="15"/>
      <c r="B45" s="7"/>
      <c r="C45" s="7" t="str">
        <f t="array" ref="C45">IFERROR(INDEX('Order Planning'!$C$5:$C$204,MATCH(B45,'Order Planning'!$A$5:$A$204,0)),"")</f>
        <v/>
      </c>
      <c r="D45" s="7" t="str">
        <f t="array" ref="D45">IFERROR(INDEX('Order Planning'!$E$5:$E$204,MATCH(B45,'Order Planning'!$A$5:$A$204,0)),"")</f>
        <v/>
      </c>
      <c r="E45" s="7" t="str">
        <f t="array" ref="E45">IFERROR(INDEX('Order Planning'!$F$5:$F$204,MATCH(B45,'Order Planning'!$A$5:$A$204,0)),"")</f>
        <v/>
      </c>
      <c r="F45" s="7">
        <f t="array" ref="F45">IFERROR(INDEX('Order Planning'!$G$5:$G$204,MATCH(B45,'Order Planning'!$A$5:$A$204,0)),0)</f>
        <v>0</v>
      </c>
      <c r="H45" s="7">
        <f t="shared" si="1"/>
        <v>0</v>
      </c>
      <c r="J45" s="7">
        <f t="shared" si="2"/>
        <v>0</v>
      </c>
      <c r="N45" s="7"/>
      <c r="O45" s="7"/>
      <c r="P45" s="7"/>
    </row>
    <row r="46" ht="15.75" customHeight="1">
      <c r="A46" s="15"/>
      <c r="B46" s="7"/>
      <c r="C46" s="7" t="str">
        <f t="array" ref="C46">IFERROR(INDEX('Order Planning'!$C$5:$C$204,MATCH(B46,'Order Planning'!$A$5:$A$204,0)),"")</f>
        <v/>
      </c>
      <c r="D46" s="7" t="str">
        <f t="array" ref="D46">IFERROR(INDEX('Order Planning'!$E$5:$E$204,MATCH(B46,'Order Planning'!$A$5:$A$204,0)),"")</f>
        <v/>
      </c>
      <c r="E46" s="7" t="str">
        <f t="array" ref="E46">IFERROR(INDEX('Order Planning'!$F$5:$F$204,MATCH(B46,'Order Planning'!$A$5:$A$204,0)),"")</f>
        <v/>
      </c>
      <c r="F46" s="7">
        <f t="array" ref="F46">IFERROR(INDEX('Order Planning'!$G$5:$G$204,MATCH(B46,'Order Planning'!$A$5:$A$204,0)),0)</f>
        <v>0</v>
      </c>
      <c r="H46" s="7">
        <f t="shared" si="1"/>
        <v>0</v>
      </c>
      <c r="J46" s="7">
        <f t="shared" si="2"/>
        <v>0</v>
      </c>
      <c r="N46" s="7"/>
      <c r="O46" s="7"/>
      <c r="P46" s="7"/>
    </row>
    <row r="47" ht="15.75" customHeight="1">
      <c r="A47" s="15"/>
      <c r="B47" s="7"/>
      <c r="C47" s="7" t="str">
        <f t="array" ref="C47">IFERROR(INDEX('Order Planning'!$C$5:$C$204,MATCH(B47,'Order Planning'!$A$5:$A$204,0)),"")</f>
        <v/>
      </c>
      <c r="D47" s="7" t="str">
        <f t="array" ref="D47">IFERROR(INDEX('Order Planning'!$E$5:$E$204,MATCH(B47,'Order Planning'!$A$5:$A$204,0)),"")</f>
        <v/>
      </c>
      <c r="E47" s="7" t="str">
        <f t="array" ref="E47">IFERROR(INDEX('Order Planning'!$F$5:$F$204,MATCH(B47,'Order Planning'!$A$5:$A$204,0)),"")</f>
        <v/>
      </c>
      <c r="F47" s="7">
        <f t="array" ref="F47">IFERROR(INDEX('Order Planning'!$G$5:$G$204,MATCH(B47,'Order Planning'!$A$5:$A$204,0)),0)</f>
        <v>0</v>
      </c>
      <c r="H47" s="7">
        <f t="shared" si="1"/>
        <v>0</v>
      </c>
      <c r="J47" s="7">
        <f t="shared" si="2"/>
        <v>0</v>
      </c>
      <c r="N47" s="7"/>
      <c r="O47" s="7"/>
      <c r="P47" s="7"/>
    </row>
    <row r="48" ht="15.75" customHeight="1">
      <c r="A48" s="15"/>
      <c r="B48" s="7"/>
      <c r="C48" s="7" t="str">
        <f t="array" ref="C48">IFERROR(INDEX('Order Planning'!$C$5:$C$204,MATCH(B48,'Order Planning'!$A$5:$A$204,0)),"")</f>
        <v/>
      </c>
      <c r="D48" s="7" t="str">
        <f t="array" ref="D48">IFERROR(INDEX('Order Planning'!$E$5:$E$204,MATCH(B48,'Order Planning'!$A$5:$A$204,0)),"")</f>
        <v/>
      </c>
      <c r="E48" s="7" t="str">
        <f t="array" ref="E48">IFERROR(INDEX('Order Planning'!$F$5:$F$204,MATCH(B48,'Order Planning'!$A$5:$A$204,0)),"")</f>
        <v/>
      </c>
      <c r="F48" s="7">
        <f t="array" ref="F48">IFERROR(INDEX('Order Planning'!$G$5:$G$204,MATCH(B48,'Order Planning'!$A$5:$A$204,0)),0)</f>
        <v>0</v>
      </c>
      <c r="H48" s="7">
        <f t="shared" si="1"/>
        <v>0</v>
      </c>
      <c r="J48" s="7">
        <f t="shared" si="2"/>
        <v>0</v>
      </c>
      <c r="N48" s="7"/>
      <c r="O48" s="7"/>
      <c r="P48" s="7"/>
    </row>
    <row r="49" ht="15.75" customHeight="1">
      <c r="A49" s="15"/>
      <c r="B49" s="7"/>
      <c r="C49" s="7" t="str">
        <f t="array" ref="C49">IFERROR(INDEX('Order Planning'!$C$5:$C$204,MATCH(B49,'Order Planning'!$A$5:$A$204,0)),"")</f>
        <v/>
      </c>
      <c r="D49" s="7" t="str">
        <f t="array" ref="D49">IFERROR(INDEX('Order Planning'!$E$5:$E$204,MATCH(B49,'Order Planning'!$A$5:$A$204,0)),"")</f>
        <v/>
      </c>
      <c r="E49" s="7" t="str">
        <f t="array" ref="E49">IFERROR(INDEX('Order Planning'!$F$5:$F$204,MATCH(B49,'Order Planning'!$A$5:$A$204,0)),"")</f>
        <v/>
      </c>
      <c r="F49" s="7">
        <f t="array" ref="F49">IFERROR(INDEX('Order Planning'!$G$5:$G$204,MATCH(B49,'Order Planning'!$A$5:$A$204,0)),0)</f>
        <v>0</v>
      </c>
      <c r="H49" s="7">
        <f t="shared" si="1"/>
        <v>0</v>
      </c>
      <c r="J49" s="7">
        <f t="shared" si="2"/>
        <v>0</v>
      </c>
      <c r="N49" s="7"/>
      <c r="O49" s="7"/>
      <c r="P49" s="7"/>
    </row>
    <row r="50" ht="15.75" customHeight="1">
      <c r="A50" s="15"/>
      <c r="B50" s="7"/>
      <c r="C50" s="7" t="str">
        <f t="array" ref="C50">IFERROR(INDEX('Order Planning'!$C$5:$C$204,MATCH(B50,'Order Planning'!$A$5:$A$204,0)),"")</f>
        <v/>
      </c>
      <c r="D50" s="7" t="str">
        <f t="array" ref="D50">IFERROR(INDEX('Order Planning'!$E$5:$E$204,MATCH(B50,'Order Planning'!$A$5:$A$204,0)),"")</f>
        <v/>
      </c>
      <c r="E50" s="7" t="str">
        <f t="array" ref="E50">IFERROR(INDEX('Order Planning'!$F$5:$F$204,MATCH(B50,'Order Planning'!$A$5:$A$204,0)),"")</f>
        <v/>
      </c>
      <c r="F50" s="7">
        <f t="array" ref="F50">IFERROR(INDEX('Order Planning'!$G$5:$G$204,MATCH(B50,'Order Planning'!$A$5:$A$204,0)),0)</f>
        <v>0</v>
      </c>
      <c r="H50" s="7">
        <f t="shared" si="1"/>
        <v>0</v>
      </c>
      <c r="J50" s="7">
        <f t="shared" si="2"/>
        <v>0</v>
      </c>
      <c r="N50" s="7"/>
      <c r="O50" s="7"/>
      <c r="P50" s="7"/>
    </row>
    <row r="51" ht="15.75" customHeight="1">
      <c r="A51" s="15"/>
      <c r="B51" s="7"/>
      <c r="C51" s="7" t="str">
        <f t="array" ref="C51">IFERROR(INDEX('Order Planning'!$C$5:$C$204,MATCH(B51,'Order Planning'!$A$5:$A$204,0)),"")</f>
        <v/>
      </c>
      <c r="D51" s="7" t="str">
        <f t="array" ref="D51">IFERROR(INDEX('Order Planning'!$E$5:$E$204,MATCH(B51,'Order Planning'!$A$5:$A$204,0)),"")</f>
        <v/>
      </c>
      <c r="E51" s="7" t="str">
        <f t="array" ref="E51">IFERROR(INDEX('Order Planning'!$F$5:$F$204,MATCH(B51,'Order Planning'!$A$5:$A$204,0)),"")</f>
        <v/>
      </c>
      <c r="F51" s="7">
        <f t="array" ref="F51">IFERROR(INDEX('Order Planning'!$G$5:$G$204,MATCH(B51,'Order Planning'!$A$5:$A$204,0)),0)</f>
        <v>0</v>
      </c>
      <c r="H51" s="7">
        <f t="shared" si="1"/>
        <v>0</v>
      </c>
      <c r="J51" s="7">
        <f t="shared" si="2"/>
        <v>0</v>
      </c>
      <c r="N51" s="7"/>
      <c r="O51" s="7"/>
      <c r="P51" s="7"/>
    </row>
    <row r="52" ht="15.75" customHeight="1">
      <c r="A52" s="15"/>
      <c r="B52" s="7"/>
      <c r="C52" s="7" t="str">
        <f t="array" ref="C52">IFERROR(INDEX('Order Planning'!$C$5:$C$204,MATCH(B52,'Order Planning'!$A$5:$A$204,0)),"")</f>
        <v/>
      </c>
      <c r="D52" s="7" t="str">
        <f t="array" ref="D52">IFERROR(INDEX('Order Planning'!$E$5:$E$204,MATCH(B52,'Order Planning'!$A$5:$A$204,0)),"")</f>
        <v/>
      </c>
      <c r="E52" s="7" t="str">
        <f t="array" ref="E52">IFERROR(INDEX('Order Planning'!$F$5:$F$204,MATCH(B52,'Order Planning'!$A$5:$A$204,0)),"")</f>
        <v/>
      </c>
      <c r="F52" s="7">
        <f t="array" ref="F52">IFERROR(INDEX('Order Planning'!$G$5:$G$204,MATCH(B52,'Order Planning'!$A$5:$A$204,0)),0)</f>
        <v>0</v>
      </c>
      <c r="H52" s="7">
        <f t="shared" si="1"/>
        <v>0</v>
      </c>
      <c r="J52" s="7">
        <f t="shared" si="2"/>
        <v>0</v>
      </c>
      <c r="N52" s="7"/>
      <c r="O52" s="7"/>
      <c r="P52" s="7"/>
    </row>
    <row r="53" ht="15.75" customHeight="1">
      <c r="A53" s="15"/>
      <c r="B53" s="7"/>
      <c r="C53" s="7" t="str">
        <f t="array" ref="C53">IFERROR(INDEX('Order Planning'!$C$5:$C$204,MATCH(B53,'Order Planning'!$A$5:$A$204,0)),"")</f>
        <v/>
      </c>
      <c r="D53" s="7" t="str">
        <f t="array" ref="D53">IFERROR(INDEX('Order Planning'!$E$5:$E$204,MATCH(B53,'Order Planning'!$A$5:$A$204,0)),"")</f>
        <v/>
      </c>
      <c r="E53" s="7" t="str">
        <f t="array" ref="E53">IFERROR(INDEX('Order Planning'!$F$5:$F$204,MATCH(B53,'Order Planning'!$A$5:$A$204,0)),"")</f>
        <v/>
      </c>
      <c r="F53" s="7">
        <f t="array" ref="F53">IFERROR(INDEX('Order Planning'!$G$5:$G$204,MATCH(B53,'Order Planning'!$A$5:$A$204,0)),0)</f>
        <v>0</v>
      </c>
      <c r="H53" s="7">
        <f t="shared" si="1"/>
        <v>0</v>
      </c>
      <c r="J53" s="7">
        <f t="shared" si="2"/>
        <v>0</v>
      </c>
      <c r="N53" s="7"/>
      <c r="O53" s="7"/>
      <c r="P53" s="7"/>
    </row>
    <row r="54" ht="15.75" customHeight="1">
      <c r="A54" s="15"/>
      <c r="B54" s="7"/>
      <c r="C54" s="7" t="str">
        <f t="array" ref="C54">IFERROR(INDEX('Order Planning'!$C$5:$C$204,MATCH(B54,'Order Planning'!$A$5:$A$204,0)),"")</f>
        <v/>
      </c>
      <c r="D54" s="7" t="str">
        <f t="array" ref="D54">IFERROR(INDEX('Order Planning'!$E$5:$E$204,MATCH(B54,'Order Planning'!$A$5:$A$204,0)),"")</f>
        <v/>
      </c>
      <c r="E54" s="7" t="str">
        <f t="array" ref="E54">IFERROR(INDEX('Order Planning'!$F$5:$F$204,MATCH(B54,'Order Planning'!$A$5:$A$204,0)),"")</f>
        <v/>
      </c>
      <c r="F54" s="7">
        <f t="array" ref="F54">IFERROR(INDEX('Order Planning'!$G$5:$G$204,MATCH(B54,'Order Planning'!$A$5:$A$204,0)),0)</f>
        <v>0</v>
      </c>
      <c r="H54" s="7">
        <f t="shared" si="1"/>
        <v>0</v>
      </c>
      <c r="J54" s="7">
        <f t="shared" si="2"/>
        <v>0</v>
      </c>
      <c r="N54" s="7"/>
      <c r="O54" s="7"/>
      <c r="P54" s="7"/>
    </row>
    <row r="55" ht="15.75" customHeight="1">
      <c r="A55" s="15"/>
      <c r="B55" s="7"/>
      <c r="C55" s="7" t="str">
        <f t="array" ref="C55">IFERROR(INDEX('Order Planning'!$C$5:$C$204,MATCH(B55,'Order Planning'!$A$5:$A$204,0)),"")</f>
        <v/>
      </c>
      <c r="D55" s="7" t="str">
        <f t="array" ref="D55">IFERROR(INDEX('Order Planning'!$E$5:$E$204,MATCH(B55,'Order Planning'!$A$5:$A$204,0)),"")</f>
        <v/>
      </c>
      <c r="E55" s="7" t="str">
        <f t="array" ref="E55">IFERROR(INDEX('Order Planning'!$F$5:$F$204,MATCH(B55,'Order Planning'!$A$5:$A$204,0)),"")</f>
        <v/>
      </c>
      <c r="F55" s="7">
        <f t="array" ref="F55">IFERROR(INDEX('Order Planning'!$G$5:$G$204,MATCH(B55,'Order Planning'!$A$5:$A$204,0)),0)</f>
        <v>0</v>
      </c>
      <c r="H55" s="7">
        <f t="shared" si="1"/>
        <v>0</v>
      </c>
      <c r="J55" s="7">
        <f t="shared" si="2"/>
        <v>0</v>
      </c>
      <c r="N55" s="7"/>
      <c r="O55" s="7"/>
      <c r="P55" s="7"/>
    </row>
    <row r="56" ht="15.75" customHeight="1">
      <c r="A56" s="15"/>
      <c r="B56" s="7"/>
      <c r="C56" s="7" t="str">
        <f t="array" ref="C56">IFERROR(INDEX('Order Planning'!$C$5:$C$204,MATCH(B56,'Order Planning'!$A$5:$A$204,0)),"")</f>
        <v/>
      </c>
      <c r="D56" s="7" t="str">
        <f t="array" ref="D56">IFERROR(INDEX('Order Planning'!$E$5:$E$204,MATCH(B56,'Order Planning'!$A$5:$A$204,0)),"")</f>
        <v/>
      </c>
      <c r="E56" s="7" t="str">
        <f t="array" ref="E56">IFERROR(INDEX('Order Planning'!$F$5:$F$204,MATCH(B56,'Order Planning'!$A$5:$A$204,0)),"")</f>
        <v/>
      </c>
      <c r="F56" s="7">
        <f t="array" ref="F56">IFERROR(INDEX('Order Planning'!$G$5:$G$204,MATCH(B56,'Order Planning'!$A$5:$A$204,0)),0)</f>
        <v>0</v>
      </c>
      <c r="H56" s="7">
        <f t="shared" si="1"/>
        <v>0</v>
      </c>
      <c r="J56" s="7">
        <f t="shared" si="2"/>
        <v>0</v>
      </c>
      <c r="N56" s="7"/>
      <c r="O56" s="7"/>
      <c r="P56" s="7"/>
    </row>
    <row r="57" ht="15.75" customHeight="1">
      <c r="A57" s="15"/>
      <c r="B57" s="7"/>
      <c r="C57" s="7" t="str">
        <f t="array" ref="C57">IFERROR(INDEX('Order Planning'!$C$5:$C$204,MATCH(B57,'Order Planning'!$A$5:$A$204,0)),"")</f>
        <v/>
      </c>
      <c r="D57" s="7" t="str">
        <f t="array" ref="D57">IFERROR(INDEX('Order Planning'!$E$5:$E$204,MATCH(B57,'Order Planning'!$A$5:$A$204,0)),"")</f>
        <v/>
      </c>
      <c r="E57" s="7" t="str">
        <f t="array" ref="E57">IFERROR(INDEX('Order Planning'!$F$5:$F$204,MATCH(B57,'Order Planning'!$A$5:$A$204,0)),"")</f>
        <v/>
      </c>
      <c r="F57" s="7">
        <f t="array" ref="F57">IFERROR(INDEX('Order Planning'!$G$5:$G$204,MATCH(B57,'Order Planning'!$A$5:$A$204,0)),0)</f>
        <v>0</v>
      </c>
      <c r="H57" s="7">
        <f t="shared" si="1"/>
        <v>0</v>
      </c>
      <c r="J57" s="7">
        <f t="shared" si="2"/>
        <v>0</v>
      </c>
      <c r="N57" s="7"/>
      <c r="O57" s="7"/>
      <c r="P57" s="7"/>
    </row>
    <row r="58" ht="15.75" customHeight="1">
      <c r="A58" s="15"/>
      <c r="B58" s="7"/>
      <c r="C58" s="7" t="str">
        <f t="array" ref="C58">IFERROR(INDEX('Order Planning'!$C$5:$C$204,MATCH(B58,'Order Planning'!$A$5:$A$204,0)),"")</f>
        <v/>
      </c>
      <c r="D58" s="7" t="str">
        <f t="array" ref="D58">IFERROR(INDEX('Order Planning'!$E$5:$E$204,MATCH(B58,'Order Planning'!$A$5:$A$204,0)),"")</f>
        <v/>
      </c>
      <c r="E58" s="7" t="str">
        <f t="array" ref="E58">IFERROR(INDEX('Order Planning'!$F$5:$F$204,MATCH(B58,'Order Planning'!$A$5:$A$204,0)),"")</f>
        <v/>
      </c>
      <c r="F58" s="7">
        <f t="array" ref="F58">IFERROR(INDEX('Order Planning'!$G$5:$G$204,MATCH(B58,'Order Planning'!$A$5:$A$204,0)),0)</f>
        <v>0</v>
      </c>
      <c r="H58" s="7">
        <f t="shared" si="1"/>
        <v>0</v>
      </c>
      <c r="J58" s="7">
        <f t="shared" si="2"/>
        <v>0</v>
      </c>
      <c r="N58" s="7"/>
      <c r="O58" s="7"/>
      <c r="P58" s="7"/>
    </row>
    <row r="59" ht="15.75" customHeight="1">
      <c r="A59" s="15"/>
      <c r="B59" s="7"/>
      <c r="C59" s="7" t="str">
        <f t="array" ref="C59">IFERROR(INDEX('Order Planning'!$C$5:$C$204,MATCH(B59,'Order Planning'!$A$5:$A$204,0)),"")</f>
        <v/>
      </c>
      <c r="D59" s="7" t="str">
        <f t="array" ref="D59">IFERROR(INDEX('Order Planning'!$E$5:$E$204,MATCH(B59,'Order Planning'!$A$5:$A$204,0)),"")</f>
        <v/>
      </c>
      <c r="E59" s="7" t="str">
        <f t="array" ref="E59">IFERROR(INDEX('Order Planning'!$F$5:$F$204,MATCH(B59,'Order Planning'!$A$5:$A$204,0)),"")</f>
        <v/>
      </c>
      <c r="F59" s="7">
        <f t="array" ref="F59">IFERROR(INDEX('Order Planning'!$G$5:$G$204,MATCH(B59,'Order Planning'!$A$5:$A$204,0)),0)</f>
        <v>0</v>
      </c>
      <c r="H59" s="7">
        <f t="shared" si="1"/>
        <v>0</v>
      </c>
      <c r="J59" s="7">
        <f t="shared" si="2"/>
        <v>0</v>
      </c>
      <c r="N59" s="7"/>
      <c r="O59" s="7"/>
      <c r="P59" s="7"/>
    </row>
    <row r="60" ht="15.75" customHeight="1">
      <c r="A60" s="15"/>
      <c r="B60" s="7"/>
      <c r="C60" s="7" t="str">
        <f t="array" ref="C60">IFERROR(INDEX('Order Planning'!$C$5:$C$204,MATCH(B60,'Order Planning'!$A$5:$A$204,0)),"")</f>
        <v/>
      </c>
      <c r="D60" s="7" t="str">
        <f t="array" ref="D60">IFERROR(INDEX('Order Planning'!$E$5:$E$204,MATCH(B60,'Order Planning'!$A$5:$A$204,0)),"")</f>
        <v/>
      </c>
      <c r="E60" s="7" t="str">
        <f t="array" ref="E60">IFERROR(INDEX('Order Planning'!$F$5:$F$204,MATCH(B60,'Order Planning'!$A$5:$A$204,0)),"")</f>
        <v/>
      </c>
      <c r="F60" s="7">
        <f t="array" ref="F60">IFERROR(INDEX('Order Planning'!$G$5:$G$204,MATCH(B60,'Order Planning'!$A$5:$A$204,0)),0)</f>
        <v>0</v>
      </c>
      <c r="H60" s="7">
        <f t="shared" si="1"/>
        <v>0</v>
      </c>
      <c r="J60" s="7">
        <f t="shared" si="2"/>
        <v>0</v>
      </c>
      <c r="N60" s="7"/>
      <c r="O60" s="7"/>
      <c r="P60" s="7"/>
    </row>
    <row r="61" ht="15.75" customHeight="1">
      <c r="A61" s="15"/>
      <c r="B61" s="7"/>
      <c r="C61" s="7" t="str">
        <f t="array" ref="C61">IFERROR(INDEX('Order Planning'!$C$5:$C$204,MATCH(B61,'Order Planning'!$A$5:$A$204,0)),"")</f>
        <v/>
      </c>
      <c r="D61" s="7" t="str">
        <f t="array" ref="D61">IFERROR(INDEX('Order Planning'!$E$5:$E$204,MATCH(B61,'Order Planning'!$A$5:$A$204,0)),"")</f>
        <v/>
      </c>
      <c r="E61" s="7" t="str">
        <f t="array" ref="E61">IFERROR(INDEX('Order Planning'!$F$5:$F$204,MATCH(B61,'Order Planning'!$A$5:$A$204,0)),"")</f>
        <v/>
      </c>
      <c r="F61" s="7">
        <f t="array" ref="F61">IFERROR(INDEX('Order Planning'!$G$5:$G$204,MATCH(B61,'Order Planning'!$A$5:$A$204,0)),0)</f>
        <v>0</v>
      </c>
      <c r="H61" s="7">
        <f t="shared" si="1"/>
        <v>0</v>
      </c>
      <c r="J61" s="7">
        <f t="shared" si="2"/>
        <v>0</v>
      </c>
      <c r="N61" s="7"/>
      <c r="O61" s="7"/>
      <c r="P61" s="7"/>
    </row>
    <row r="62" ht="15.75" customHeight="1">
      <c r="A62" s="15"/>
      <c r="B62" s="7"/>
      <c r="C62" s="7" t="str">
        <f t="array" ref="C62">IFERROR(INDEX('Order Planning'!$C$5:$C$204,MATCH(B62,'Order Planning'!$A$5:$A$204,0)),"")</f>
        <v/>
      </c>
      <c r="D62" s="7" t="str">
        <f t="array" ref="D62">IFERROR(INDEX('Order Planning'!$E$5:$E$204,MATCH(B62,'Order Planning'!$A$5:$A$204,0)),"")</f>
        <v/>
      </c>
      <c r="E62" s="7" t="str">
        <f t="array" ref="E62">IFERROR(INDEX('Order Planning'!$F$5:$F$204,MATCH(B62,'Order Planning'!$A$5:$A$204,0)),"")</f>
        <v/>
      </c>
      <c r="F62" s="7">
        <f t="array" ref="F62">IFERROR(INDEX('Order Planning'!$G$5:$G$204,MATCH(B62,'Order Planning'!$A$5:$A$204,0)),0)</f>
        <v>0</v>
      </c>
      <c r="H62" s="7">
        <f t="shared" si="1"/>
        <v>0</v>
      </c>
      <c r="J62" s="7">
        <f t="shared" si="2"/>
        <v>0</v>
      </c>
      <c r="N62" s="7"/>
      <c r="O62" s="7"/>
      <c r="P62" s="7"/>
    </row>
    <row r="63" ht="15.75" customHeight="1">
      <c r="A63" s="15"/>
      <c r="B63" s="7"/>
      <c r="C63" s="7" t="str">
        <f t="array" ref="C63">IFERROR(INDEX('Order Planning'!$C$5:$C$204,MATCH(B63,'Order Planning'!$A$5:$A$204,0)),"")</f>
        <v/>
      </c>
      <c r="D63" s="7" t="str">
        <f t="array" ref="D63">IFERROR(INDEX('Order Planning'!$E$5:$E$204,MATCH(B63,'Order Planning'!$A$5:$A$204,0)),"")</f>
        <v/>
      </c>
      <c r="E63" s="7" t="str">
        <f t="array" ref="E63">IFERROR(INDEX('Order Planning'!$F$5:$F$204,MATCH(B63,'Order Planning'!$A$5:$A$204,0)),"")</f>
        <v/>
      </c>
      <c r="F63" s="7">
        <f t="array" ref="F63">IFERROR(INDEX('Order Planning'!$G$5:$G$204,MATCH(B63,'Order Planning'!$A$5:$A$204,0)),0)</f>
        <v>0</v>
      </c>
      <c r="H63" s="7">
        <f t="shared" si="1"/>
        <v>0</v>
      </c>
      <c r="J63" s="7">
        <f t="shared" si="2"/>
        <v>0</v>
      </c>
      <c r="N63" s="7"/>
      <c r="O63" s="7"/>
      <c r="P63" s="7"/>
    </row>
    <row r="64" ht="15.75" customHeight="1">
      <c r="A64" s="15"/>
      <c r="B64" s="7"/>
      <c r="C64" s="7" t="str">
        <f t="array" ref="C64">IFERROR(INDEX('Order Planning'!$C$5:$C$204,MATCH(B64,'Order Planning'!$A$5:$A$204,0)),"")</f>
        <v/>
      </c>
      <c r="D64" s="7" t="str">
        <f t="array" ref="D64">IFERROR(INDEX('Order Planning'!$E$5:$E$204,MATCH(B64,'Order Planning'!$A$5:$A$204,0)),"")</f>
        <v/>
      </c>
      <c r="E64" s="7" t="str">
        <f t="array" ref="E64">IFERROR(INDEX('Order Planning'!$F$5:$F$204,MATCH(B64,'Order Planning'!$A$5:$A$204,0)),"")</f>
        <v/>
      </c>
      <c r="F64" s="7">
        <f t="array" ref="F64">IFERROR(INDEX('Order Planning'!$G$5:$G$204,MATCH(B64,'Order Planning'!$A$5:$A$204,0)),0)</f>
        <v>0</v>
      </c>
      <c r="H64" s="7">
        <f t="shared" si="1"/>
        <v>0</v>
      </c>
      <c r="J64" s="7">
        <f t="shared" si="2"/>
        <v>0</v>
      </c>
      <c r="N64" s="7"/>
      <c r="O64" s="7"/>
      <c r="P64" s="7"/>
    </row>
    <row r="65" ht="15.75" customHeight="1">
      <c r="A65" s="15"/>
      <c r="B65" s="7"/>
      <c r="C65" s="7" t="str">
        <f t="array" ref="C65">IFERROR(INDEX('Order Planning'!$C$5:$C$204,MATCH(B65,'Order Planning'!$A$5:$A$204,0)),"")</f>
        <v/>
      </c>
      <c r="D65" s="7" t="str">
        <f t="array" ref="D65">IFERROR(INDEX('Order Planning'!$E$5:$E$204,MATCH(B65,'Order Planning'!$A$5:$A$204,0)),"")</f>
        <v/>
      </c>
      <c r="E65" s="7" t="str">
        <f t="array" ref="E65">IFERROR(INDEX('Order Planning'!$F$5:$F$204,MATCH(B65,'Order Planning'!$A$5:$A$204,0)),"")</f>
        <v/>
      </c>
      <c r="F65" s="7">
        <f t="array" ref="F65">IFERROR(INDEX('Order Planning'!$G$5:$G$204,MATCH(B65,'Order Planning'!$A$5:$A$204,0)),0)</f>
        <v>0</v>
      </c>
      <c r="H65" s="7">
        <f t="shared" si="1"/>
        <v>0</v>
      </c>
      <c r="J65" s="7">
        <f t="shared" si="2"/>
        <v>0</v>
      </c>
      <c r="N65" s="7"/>
      <c r="O65" s="7"/>
      <c r="P65" s="7"/>
    </row>
    <row r="66" ht="15.75" customHeight="1">
      <c r="A66" s="15"/>
      <c r="B66" s="7"/>
      <c r="C66" s="7" t="str">
        <f t="array" ref="C66">IFERROR(INDEX('Order Planning'!$C$5:$C$204,MATCH(B66,'Order Planning'!$A$5:$A$204,0)),"")</f>
        <v/>
      </c>
      <c r="D66" s="7" t="str">
        <f t="array" ref="D66">IFERROR(INDEX('Order Planning'!$E$5:$E$204,MATCH(B66,'Order Planning'!$A$5:$A$204,0)),"")</f>
        <v/>
      </c>
      <c r="E66" s="7" t="str">
        <f t="array" ref="E66">IFERROR(INDEX('Order Planning'!$F$5:$F$204,MATCH(B66,'Order Planning'!$A$5:$A$204,0)),"")</f>
        <v/>
      </c>
      <c r="F66" s="7">
        <f t="array" ref="F66">IFERROR(INDEX('Order Planning'!$G$5:$G$204,MATCH(B66,'Order Planning'!$A$5:$A$204,0)),0)</f>
        <v>0</v>
      </c>
      <c r="H66" s="7">
        <f t="shared" si="1"/>
        <v>0</v>
      </c>
      <c r="J66" s="7">
        <f t="shared" si="2"/>
        <v>0</v>
      </c>
      <c r="N66" s="7"/>
      <c r="O66" s="7"/>
      <c r="P66" s="7"/>
    </row>
    <row r="67" ht="15.75" customHeight="1">
      <c r="A67" s="15"/>
      <c r="B67" s="7"/>
      <c r="C67" s="7" t="str">
        <f t="array" ref="C67">IFERROR(INDEX('Order Planning'!$C$5:$C$204,MATCH(B67,'Order Planning'!$A$5:$A$204,0)),"")</f>
        <v/>
      </c>
      <c r="D67" s="7" t="str">
        <f t="array" ref="D67">IFERROR(INDEX('Order Planning'!$E$5:$E$204,MATCH(B67,'Order Planning'!$A$5:$A$204,0)),"")</f>
        <v/>
      </c>
      <c r="E67" s="7" t="str">
        <f t="array" ref="E67">IFERROR(INDEX('Order Planning'!$F$5:$F$204,MATCH(B67,'Order Planning'!$A$5:$A$204,0)),"")</f>
        <v/>
      </c>
      <c r="F67" s="7">
        <f t="array" ref="F67">IFERROR(INDEX('Order Planning'!$G$5:$G$204,MATCH(B67,'Order Planning'!$A$5:$A$204,0)),0)</f>
        <v>0</v>
      </c>
      <c r="H67" s="7">
        <f t="shared" si="1"/>
        <v>0</v>
      </c>
      <c r="J67" s="7">
        <f t="shared" si="2"/>
        <v>0</v>
      </c>
      <c r="N67" s="7"/>
      <c r="O67" s="7"/>
      <c r="P67" s="7"/>
    </row>
    <row r="68" ht="15.75" customHeight="1">
      <c r="A68" s="15"/>
      <c r="B68" s="7"/>
      <c r="C68" s="7" t="str">
        <f t="array" ref="C68">IFERROR(INDEX('Order Planning'!$C$5:$C$204,MATCH(B68,'Order Planning'!$A$5:$A$204,0)),"")</f>
        <v/>
      </c>
      <c r="D68" s="7" t="str">
        <f t="array" ref="D68">IFERROR(INDEX('Order Planning'!$E$5:$E$204,MATCH(B68,'Order Planning'!$A$5:$A$204,0)),"")</f>
        <v/>
      </c>
      <c r="E68" s="7" t="str">
        <f t="array" ref="E68">IFERROR(INDEX('Order Planning'!$F$5:$F$204,MATCH(B68,'Order Planning'!$A$5:$A$204,0)),"")</f>
        <v/>
      </c>
      <c r="F68" s="7">
        <f t="array" ref="F68">IFERROR(INDEX('Order Planning'!$G$5:$G$204,MATCH(B68,'Order Planning'!$A$5:$A$204,0)),0)</f>
        <v>0</v>
      </c>
      <c r="H68" s="7">
        <f t="shared" si="1"/>
        <v>0</v>
      </c>
      <c r="J68" s="7">
        <f t="shared" si="2"/>
        <v>0</v>
      </c>
      <c r="N68" s="7"/>
      <c r="O68" s="7"/>
      <c r="P68" s="7"/>
    </row>
    <row r="69" ht="15.75" customHeight="1">
      <c r="A69" s="15"/>
      <c r="B69" s="7"/>
      <c r="C69" s="7" t="str">
        <f t="array" ref="C69">IFERROR(INDEX('Order Planning'!$C$5:$C$204,MATCH(B69,'Order Planning'!$A$5:$A$204,0)),"")</f>
        <v/>
      </c>
      <c r="D69" s="7" t="str">
        <f t="array" ref="D69">IFERROR(INDEX('Order Planning'!$E$5:$E$204,MATCH(B69,'Order Planning'!$A$5:$A$204,0)),"")</f>
        <v/>
      </c>
      <c r="E69" s="7" t="str">
        <f t="array" ref="E69">IFERROR(INDEX('Order Planning'!$F$5:$F$204,MATCH(B69,'Order Planning'!$A$5:$A$204,0)),"")</f>
        <v/>
      </c>
      <c r="F69" s="7">
        <f t="array" ref="F69">IFERROR(INDEX('Order Planning'!$G$5:$G$204,MATCH(B69,'Order Planning'!$A$5:$A$204,0)),0)</f>
        <v>0</v>
      </c>
      <c r="H69" s="7">
        <f t="shared" si="1"/>
        <v>0</v>
      </c>
      <c r="J69" s="7">
        <f t="shared" si="2"/>
        <v>0</v>
      </c>
      <c r="N69" s="7"/>
      <c r="O69" s="7"/>
      <c r="P69" s="7"/>
    </row>
    <row r="70" ht="15.75" customHeight="1">
      <c r="A70" s="15"/>
      <c r="B70" s="7"/>
      <c r="C70" s="7" t="str">
        <f t="array" ref="C70">IFERROR(INDEX('Order Planning'!$C$5:$C$204,MATCH(B70,'Order Planning'!$A$5:$A$204,0)),"")</f>
        <v/>
      </c>
      <c r="D70" s="7" t="str">
        <f t="array" ref="D70">IFERROR(INDEX('Order Planning'!$E$5:$E$204,MATCH(B70,'Order Planning'!$A$5:$A$204,0)),"")</f>
        <v/>
      </c>
      <c r="E70" s="7" t="str">
        <f t="array" ref="E70">IFERROR(INDEX('Order Planning'!$F$5:$F$204,MATCH(B70,'Order Planning'!$A$5:$A$204,0)),"")</f>
        <v/>
      </c>
      <c r="F70" s="7">
        <f t="array" ref="F70">IFERROR(INDEX('Order Planning'!$G$5:$G$204,MATCH(B70,'Order Planning'!$A$5:$A$204,0)),0)</f>
        <v>0</v>
      </c>
      <c r="H70" s="7">
        <f t="shared" si="1"/>
        <v>0</v>
      </c>
      <c r="J70" s="7">
        <f t="shared" si="2"/>
        <v>0</v>
      </c>
      <c r="N70" s="7"/>
      <c r="O70" s="7"/>
      <c r="P70" s="7"/>
    </row>
    <row r="71" ht="15.75" customHeight="1">
      <c r="A71" s="15"/>
      <c r="B71" s="7"/>
      <c r="C71" s="7" t="str">
        <f t="array" ref="C71">IFERROR(INDEX('Order Planning'!$C$5:$C$204,MATCH(B71,'Order Planning'!$A$5:$A$204,0)),"")</f>
        <v/>
      </c>
      <c r="D71" s="7" t="str">
        <f t="array" ref="D71">IFERROR(INDEX('Order Planning'!$E$5:$E$204,MATCH(B71,'Order Planning'!$A$5:$A$204,0)),"")</f>
        <v/>
      </c>
      <c r="E71" s="7" t="str">
        <f t="array" ref="E71">IFERROR(INDEX('Order Planning'!$F$5:$F$204,MATCH(B71,'Order Planning'!$A$5:$A$204,0)),"")</f>
        <v/>
      </c>
      <c r="F71" s="7">
        <f t="array" ref="F71">IFERROR(INDEX('Order Planning'!$G$5:$G$204,MATCH(B71,'Order Planning'!$A$5:$A$204,0)),0)</f>
        <v>0</v>
      </c>
      <c r="H71" s="7">
        <f t="shared" si="1"/>
        <v>0</v>
      </c>
      <c r="J71" s="7">
        <f t="shared" si="2"/>
        <v>0</v>
      </c>
      <c r="N71" s="7"/>
      <c r="O71" s="7"/>
      <c r="P71" s="7"/>
    </row>
    <row r="72" ht="15.75" customHeight="1">
      <c r="A72" s="15"/>
      <c r="B72" s="7"/>
      <c r="C72" s="7" t="str">
        <f t="array" ref="C72">IFERROR(INDEX('Order Planning'!$C$5:$C$204,MATCH(B72,'Order Planning'!$A$5:$A$204,0)),"")</f>
        <v/>
      </c>
      <c r="D72" s="7" t="str">
        <f t="array" ref="D72">IFERROR(INDEX('Order Planning'!$E$5:$E$204,MATCH(B72,'Order Planning'!$A$5:$A$204,0)),"")</f>
        <v/>
      </c>
      <c r="E72" s="7" t="str">
        <f t="array" ref="E72">IFERROR(INDEX('Order Planning'!$F$5:$F$204,MATCH(B72,'Order Planning'!$A$5:$A$204,0)),"")</f>
        <v/>
      </c>
      <c r="F72" s="7">
        <f t="array" ref="F72">IFERROR(INDEX('Order Planning'!$G$5:$G$204,MATCH(B72,'Order Planning'!$A$5:$A$204,0)),0)</f>
        <v>0</v>
      </c>
      <c r="H72" s="7">
        <f t="shared" si="1"/>
        <v>0</v>
      </c>
      <c r="J72" s="7">
        <f t="shared" si="2"/>
        <v>0</v>
      </c>
      <c r="N72" s="7"/>
      <c r="O72" s="7"/>
      <c r="P72" s="7"/>
    </row>
    <row r="73" ht="15.75" customHeight="1">
      <c r="A73" s="15"/>
      <c r="B73" s="7"/>
      <c r="C73" s="7" t="str">
        <f t="array" ref="C73">IFERROR(INDEX('Order Planning'!$C$5:$C$204,MATCH(B73,'Order Planning'!$A$5:$A$204,0)),"")</f>
        <v/>
      </c>
      <c r="D73" s="7" t="str">
        <f t="array" ref="D73">IFERROR(INDEX('Order Planning'!$E$5:$E$204,MATCH(B73,'Order Planning'!$A$5:$A$204,0)),"")</f>
        <v/>
      </c>
      <c r="E73" s="7" t="str">
        <f t="array" ref="E73">IFERROR(INDEX('Order Planning'!$F$5:$F$204,MATCH(B73,'Order Planning'!$A$5:$A$204,0)),"")</f>
        <v/>
      </c>
      <c r="F73" s="7">
        <f t="array" ref="F73">IFERROR(INDEX('Order Planning'!$G$5:$G$204,MATCH(B73,'Order Planning'!$A$5:$A$204,0)),0)</f>
        <v>0</v>
      </c>
      <c r="H73" s="7">
        <f t="shared" si="1"/>
        <v>0</v>
      </c>
      <c r="J73" s="7">
        <f t="shared" si="2"/>
        <v>0</v>
      </c>
      <c r="N73" s="7"/>
      <c r="O73" s="7"/>
      <c r="P73" s="7"/>
    </row>
    <row r="74" ht="15.75" customHeight="1">
      <c r="A74" s="15"/>
      <c r="B74" s="7"/>
      <c r="C74" s="7" t="str">
        <f t="array" ref="C74">IFERROR(INDEX('Order Planning'!$C$5:$C$204,MATCH(B74,'Order Planning'!$A$5:$A$204,0)),"")</f>
        <v/>
      </c>
      <c r="D74" s="7" t="str">
        <f t="array" ref="D74">IFERROR(INDEX('Order Planning'!$E$5:$E$204,MATCH(B74,'Order Planning'!$A$5:$A$204,0)),"")</f>
        <v/>
      </c>
      <c r="E74" s="7" t="str">
        <f t="array" ref="E74">IFERROR(INDEX('Order Planning'!$F$5:$F$204,MATCH(B74,'Order Planning'!$A$5:$A$204,0)),"")</f>
        <v/>
      </c>
      <c r="F74" s="7">
        <f t="array" ref="F74">IFERROR(INDEX('Order Planning'!$G$5:$G$204,MATCH(B74,'Order Planning'!$A$5:$A$204,0)),0)</f>
        <v>0</v>
      </c>
      <c r="H74" s="7">
        <f t="shared" si="1"/>
        <v>0</v>
      </c>
      <c r="J74" s="7">
        <f t="shared" si="2"/>
        <v>0</v>
      </c>
      <c r="N74" s="7"/>
      <c r="O74" s="7"/>
      <c r="P74" s="7"/>
    </row>
    <row r="75" ht="15.75" customHeight="1">
      <c r="A75" s="15"/>
      <c r="B75" s="7"/>
      <c r="C75" s="7" t="str">
        <f t="array" ref="C75">IFERROR(INDEX('Order Planning'!$C$5:$C$204,MATCH(B75,'Order Planning'!$A$5:$A$204,0)),"")</f>
        <v/>
      </c>
      <c r="D75" s="7" t="str">
        <f t="array" ref="D75">IFERROR(INDEX('Order Planning'!$E$5:$E$204,MATCH(B75,'Order Planning'!$A$5:$A$204,0)),"")</f>
        <v/>
      </c>
      <c r="E75" s="7" t="str">
        <f t="array" ref="E75">IFERROR(INDEX('Order Planning'!$F$5:$F$204,MATCH(B75,'Order Planning'!$A$5:$A$204,0)),"")</f>
        <v/>
      </c>
      <c r="F75" s="7">
        <f t="array" ref="F75">IFERROR(INDEX('Order Planning'!$G$5:$G$204,MATCH(B75,'Order Planning'!$A$5:$A$204,0)),0)</f>
        <v>0</v>
      </c>
      <c r="H75" s="7">
        <f t="shared" si="1"/>
        <v>0</v>
      </c>
      <c r="J75" s="7">
        <f t="shared" si="2"/>
        <v>0</v>
      </c>
      <c r="N75" s="7"/>
      <c r="O75" s="7"/>
      <c r="P75" s="7"/>
    </row>
    <row r="76" ht="15.75" customHeight="1">
      <c r="A76" s="15"/>
      <c r="B76" s="7"/>
      <c r="C76" s="7" t="str">
        <f t="array" ref="C76">IFERROR(INDEX('Order Planning'!$C$5:$C$204,MATCH(B76,'Order Planning'!$A$5:$A$204,0)),"")</f>
        <v/>
      </c>
      <c r="D76" s="7" t="str">
        <f t="array" ref="D76">IFERROR(INDEX('Order Planning'!$E$5:$E$204,MATCH(B76,'Order Planning'!$A$5:$A$204,0)),"")</f>
        <v/>
      </c>
      <c r="E76" s="7" t="str">
        <f t="array" ref="E76">IFERROR(INDEX('Order Planning'!$F$5:$F$204,MATCH(B76,'Order Planning'!$A$5:$A$204,0)),"")</f>
        <v/>
      </c>
      <c r="F76" s="7">
        <f t="array" ref="F76">IFERROR(INDEX('Order Planning'!$G$5:$G$204,MATCH(B76,'Order Planning'!$A$5:$A$204,0)),0)</f>
        <v>0</v>
      </c>
      <c r="H76" s="7">
        <f t="shared" si="1"/>
        <v>0</v>
      </c>
      <c r="J76" s="7">
        <f t="shared" si="2"/>
        <v>0</v>
      </c>
      <c r="N76" s="7"/>
      <c r="O76" s="7"/>
      <c r="P76" s="7"/>
    </row>
    <row r="77" ht="15.75" customHeight="1">
      <c r="A77" s="15"/>
      <c r="B77" s="7"/>
      <c r="C77" s="7" t="str">
        <f t="array" ref="C77">IFERROR(INDEX('Order Planning'!$C$5:$C$204,MATCH(B77,'Order Planning'!$A$5:$A$204,0)),"")</f>
        <v/>
      </c>
      <c r="D77" s="7" t="str">
        <f t="array" ref="D77">IFERROR(INDEX('Order Planning'!$E$5:$E$204,MATCH(B77,'Order Planning'!$A$5:$A$204,0)),"")</f>
        <v/>
      </c>
      <c r="E77" s="7" t="str">
        <f t="array" ref="E77">IFERROR(INDEX('Order Planning'!$F$5:$F$204,MATCH(B77,'Order Planning'!$A$5:$A$204,0)),"")</f>
        <v/>
      </c>
      <c r="F77" s="7">
        <f t="array" ref="F77">IFERROR(INDEX('Order Planning'!$G$5:$G$204,MATCH(B77,'Order Planning'!$A$5:$A$204,0)),0)</f>
        <v>0</v>
      </c>
      <c r="H77" s="7">
        <f t="shared" si="1"/>
        <v>0</v>
      </c>
      <c r="J77" s="7">
        <f t="shared" si="2"/>
        <v>0</v>
      </c>
      <c r="N77" s="7"/>
      <c r="O77" s="7"/>
      <c r="P77" s="7"/>
    </row>
    <row r="78" ht="15.75" customHeight="1">
      <c r="A78" s="15"/>
      <c r="B78" s="7"/>
      <c r="C78" s="7" t="str">
        <f t="array" ref="C78">IFERROR(INDEX('Order Planning'!$C$5:$C$204,MATCH(B78,'Order Planning'!$A$5:$A$204,0)),"")</f>
        <v/>
      </c>
      <c r="D78" s="7" t="str">
        <f t="array" ref="D78">IFERROR(INDEX('Order Planning'!$E$5:$E$204,MATCH(B78,'Order Planning'!$A$5:$A$204,0)),"")</f>
        <v/>
      </c>
      <c r="E78" s="7" t="str">
        <f t="array" ref="E78">IFERROR(INDEX('Order Planning'!$F$5:$F$204,MATCH(B78,'Order Planning'!$A$5:$A$204,0)),"")</f>
        <v/>
      </c>
      <c r="F78" s="7">
        <f t="array" ref="F78">IFERROR(INDEX('Order Planning'!$G$5:$G$204,MATCH(B78,'Order Planning'!$A$5:$A$204,0)),0)</f>
        <v>0</v>
      </c>
      <c r="H78" s="7">
        <f t="shared" si="1"/>
        <v>0</v>
      </c>
      <c r="J78" s="7">
        <f t="shared" si="2"/>
        <v>0</v>
      </c>
      <c r="N78" s="7"/>
      <c r="O78" s="7"/>
      <c r="P78" s="7"/>
    </row>
    <row r="79" ht="15.75" customHeight="1">
      <c r="A79" s="15"/>
      <c r="B79" s="7"/>
      <c r="C79" s="7" t="str">
        <f t="array" ref="C79">IFERROR(INDEX('Order Planning'!$C$5:$C$204,MATCH(B79,'Order Planning'!$A$5:$A$204,0)),"")</f>
        <v/>
      </c>
      <c r="D79" s="7" t="str">
        <f t="array" ref="D79">IFERROR(INDEX('Order Planning'!$E$5:$E$204,MATCH(B79,'Order Planning'!$A$5:$A$204,0)),"")</f>
        <v/>
      </c>
      <c r="E79" s="7" t="str">
        <f t="array" ref="E79">IFERROR(INDEX('Order Planning'!$F$5:$F$204,MATCH(B79,'Order Planning'!$A$5:$A$204,0)),"")</f>
        <v/>
      </c>
      <c r="F79" s="7">
        <f t="array" ref="F79">IFERROR(INDEX('Order Planning'!$G$5:$G$204,MATCH(B79,'Order Planning'!$A$5:$A$204,0)),0)</f>
        <v>0</v>
      </c>
      <c r="H79" s="7">
        <f t="shared" si="1"/>
        <v>0</v>
      </c>
      <c r="J79" s="7">
        <f t="shared" si="2"/>
        <v>0</v>
      </c>
      <c r="N79" s="7"/>
      <c r="O79" s="7"/>
      <c r="P79" s="7"/>
    </row>
    <row r="80" ht="15.75" customHeight="1">
      <c r="A80" s="15"/>
      <c r="B80" s="7"/>
      <c r="C80" s="7" t="str">
        <f t="array" ref="C80">IFERROR(INDEX('Order Planning'!$C$5:$C$204,MATCH(B80,'Order Planning'!$A$5:$A$204,0)),"")</f>
        <v/>
      </c>
      <c r="D80" s="7" t="str">
        <f t="array" ref="D80">IFERROR(INDEX('Order Planning'!$E$5:$E$204,MATCH(B80,'Order Planning'!$A$5:$A$204,0)),"")</f>
        <v/>
      </c>
      <c r="E80" s="7" t="str">
        <f t="array" ref="E80">IFERROR(INDEX('Order Planning'!$F$5:$F$204,MATCH(B80,'Order Planning'!$A$5:$A$204,0)),"")</f>
        <v/>
      </c>
      <c r="F80" s="7">
        <f t="array" ref="F80">IFERROR(INDEX('Order Planning'!$G$5:$G$204,MATCH(B80,'Order Planning'!$A$5:$A$204,0)),0)</f>
        <v>0</v>
      </c>
      <c r="H80" s="7">
        <f t="shared" si="1"/>
        <v>0</v>
      </c>
      <c r="J80" s="7">
        <f t="shared" si="2"/>
        <v>0</v>
      </c>
      <c r="N80" s="7"/>
      <c r="O80" s="7"/>
      <c r="P80" s="7"/>
    </row>
    <row r="81" ht="15.75" customHeight="1">
      <c r="A81" s="15"/>
      <c r="B81" s="7"/>
      <c r="C81" s="7" t="str">
        <f t="array" ref="C81">IFERROR(INDEX('Order Planning'!$C$5:$C$204,MATCH(B81,'Order Planning'!$A$5:$A$204,0)),"")</f>
        <v/>
      </c>
      <c r="D81" s="7" t="str">
        <f t="array" ref="D81">IFERROR(INDEX('Order Planning'!$E$5:$E$204,MATCH(B81,'Order Planning'!$A$5:$A$204,0)),"")</f>
        <v/>
      </c>
      <c r="E81" s="7" t="str">
        <f t="array" ref="E81">IFERROR(INDEX('Order Planning'!$F$5:$F$204,MATCH(B81,'Order Planning'!$A$5:$A$204,0)),"")</f>
        <v/>
      </c>
      <c r="F81" s="7">
        <f t="array" ref="F81">IFERROR(INDEX('Order Planning'!$G$5:$G$204,MATCH(B81,'Order Planning'!$A$5:$A$204,0)),0)</f>
        <v>0</v>
      </c>
      <c r="H81" s="7">
        <f t="shared" si="1"/>
        <v>0</v>
      </c>
      <c r="J81" s="7">
        <f t="shared" si="2"/>
        <v>0</v>
      </c>
      <c r="N81" s="7"/>
      <c r="O81" s="7"/>
      <c r="P81" s="7"/>
    </row>
    <row r="82" ht="15.75" customHeight="1">
      <c r="A82" s="15"/>
      <c r="B82" s="7"/>
      <c r="C82" s="7" t="str">
        <f t="array" ref="C82">IFERROR(INDEX('Order Planning'!$C$5:$C$204,MATCH(B82,'Order Planning'!$A$5:$A$204,0)),"")</f>
        <v/>
      </c>
      <c r="D82" s="7" t="str">
        <f t="array" ref="D82">IFERROR(INDEX('Order Planning'!$E$5:$E$204,MATCH(B82,'Order Planning'!$A$5:$A$204,0)),"")</f>
        <v/>
      </c>
      <c r="E82" s="7" t="str">
        <f t="array" ref="E82">IFERROR(INDEX('Order Planning'!$F$5:$F$204,MATCH(B82,'Order Planning'!$A$5:$A$204,0)),"")</f>
        <v/>
      </c>
      <c r="F82" s="7">
        <f t="array" ref="F82">IFERROR(INDEX('Order Planning'!$G$5:$G$204,MATCH(B82,'Order Planning'!$A$5:$A$204,0)),0)</f>
        <v>0</v>
      </c>
      <c r="H82" s="7">
        <f t="shared" si="1"/>
        <v>0</v>
      </c>
      <c r="J82" s="7">
        <f t="shared" si="2"/>
        <v>0</v>
      </c>
      <c r="N82" s="7"/>
      <c r="O82" s="7"/>
      <c r="P82" s="7"/>
    </row>
    <row r="83" ht="15.75" customHeight="1">
      <c r="A83" s="15"/>
      <c r="B83" s="7"/>
      <c r="C83" s="7" t="str">
        <f t="array" ref="C83">IFERROR(INDEX('Order Planning'!$C$5:$C$204,MATCH(B83,'Order Planning'!$A$5:$A$204,0)),"")</f>
        <v/>
      </c>
      <c r="D83" s="7" t="str">
        <f t="array" ref="D83">IFERROR(INDEX('Order Planning'!$E$5:$E$204,MATCH(B83,'Order Planning'!$A$5:$A$204,0)),"")</f>
        <v/>
      </c>
      <c r="E83" s="7" t="str">
        <f t="array" ref="E83">IFERROR(INDEX('Order Planning'!$F$5:$F$204,MATCH(B83,'Order Planning'!$A$5:$A$204,0)),"")</f>
        <v/>
      </c>
      <c r="F83" s="7">
        <f t="array" ref="F83">IFERROR(INDEX('Order Planning'!$G$5:$G$204,MATCH(B83,'Order Planning'!$A$5:$A$204,0)),0)</f>
        <v>0</v>
      </c>
      <c r="H83" s="7">
        <f t="shared" si="1"/>
        <v>0</v>
      </c>
      <c r="J83" s="7">
        <f t="shared" si="2"/>
        <v>0</v>
      </c>
      <c r="N83" s="7"/>
      <c r="O83" s="7"/>
      <c r="P83" s="7"/>
    </row>
    <row r="84" ht="15.75" customHeight="1">
      <c r="A84" s="15"/>
      <c r="B84" s="7"/>
      <c r="C84" s="7" t="str">
        <f t="array" ref="C84">IFERROR(INDEX('Order Planning'!$C$5:$C$204,MATCH(B84,'Order Planning'!$A$5:$A$204,0)),"")</f>
        <v/>
      </c>
      <c r="D84" s="7" t="str">
        <f t="array" ref="D84">IFERROR(INDEX('Order Planning'!$E$5:$E$204,MATCH(B84,'Order Planning'!$A$5:$A$204,0)),"")</f>
        <v/>
      </c>
      <c r="E84" s="7" t="str">
        <f t="array" ref="E84">IFERROR(INDEX('Order Planning'!$F$5:$F$204,MATCH(B84,'Order Planning'!$A$5:$A$204,0)),"")</f>
        <v/>
      </c>
      <c r="F84" s="7">
        <f t="array" ref="F84">IFERROR(INDEX('Order Planning'!$G$5:$G$204,MATCH(B84,'Order Planning'!$A$5:$A$204,0)),0)</f>
        <v>0</v>
      </c>
      <c r="H84" s="7">
        <f t="shared" si="1"/>
        <v>0</v>
      </c>
      <c r="J84" s="7">
        <f t="shared" si="2"/>
        <v>0</v>
      </c>
      <c r="N84" s="7"/>
      <c r="O84" s="7"/>
      <c r="P84" s="7"/>
    </row>
    <row r="85" ht="15.75" customHeight="1">
      <c r="A85" s="15"/>
      <c r="B85" s="7"/>
      <c r="C85" s="7" t="str">
        <f t="array" ref="C85">IFERROR(INDEX('Order Planning'!$C$5:$C$204,MATCH(B85,'Order Planning'!$A$5:$A$204,0)),"")</f>
        <v/>
      </c>
      <c r="D85" s="7" t="str">
        <f t="array" ref="D85">IFERROR(INDEX('Order Planning'!$E$5:$E$204,MATCH(B85,'Order Planning'!$A$5:$A$204,0)),"")</f>
        <v/>
      </c>
      <c r="E85" s="7" t="str">
        <f t="array" ref="E85">IFERROR(INDEX('Order Planning'!$F$5:$F$204,MATCH(B85,'Order Planning'!$A$5:$A$204,0)),"")</f>
        <v/>
      </c>
      <c r="F85" s="7">
        <f t="array" ref="F85">IFERROR(INDEX('Order Planning'!$G$5:$G$204,MATCH(B85,'Order Planning'!$A$5:$A$204,0)),0)</f>
        <v>0</v>
      </c>
      <c r="H85" s="7">
        <f t="shared" si="1"/>
        <v>0</v>
      </c>
      <c r="J85" s="7">
        <f t="shared" si="2"/>
        <v>0</v>
      </c>
      <c r="N85" s="7"/>
      <c r="O85" s="7"/>
      <c r="P85" s="7"/>
    </row>
    <row r="86" ht="15.75" customHeight="1">
      <c r="A86" s="15"/>
      <c r="B86" s="7"/>
      <c r="C86" s="7" t="str">
        <f t="array" ref="C86">IFERROR(INDEX('Order Planning'!$C$5:$C$204,MATCH(B86,'Order Planning'!$A$5:$A$204,0)),"")</f>
        <v/>
      </c>
      <c r="D86" s="7" t="str">
        <f t="array" ref="D86">IFERROR(INDEX('Order Planning'!$E$5:$E$204,MATCH(B86,'Order Planning'!$A$5:$A$204,0)),"")</f>
        <v/>
      </c>
      <c r="E86" s="7" t="str">
        <f t="array" ref="E86">IFERROR(INDEX('Order Planning'!$F$5:$F$204,MATCH(B86,'Order Planning'!$A$5:$A$204,0)),"")</f>
        <v/>
      </c>
      <c r="F86" s="7">
        <f t="array" ref="F86">IFERROR(INDEX('Order Planning'!$G$5:$G$204,MATCH(B86,'Order Planning'!$A$5:$A$204,0)),0)</f>
        <v>0</v>
      </c>
      <c r="H86" s="7">
        <f t="shared" si="1"/>
        <v>0</v>
      </c>
      <c r="J86" s="7">
        <f t="shared" si="2"/>
        <v>0</v>
      </c>
      <c r="N86" s="7"/>
      <c r="O86" s="7"/>
      <c r="P86" s="7"/>
    </row>
    <row r="87" ht="15.75" customHeight="1">
      <c r="A87" s="15"/>
      <c r="B87" s="7"/>
      <c r="C87" s="7" t="str">
        <f t="array" ref="C87">IFERROR(INDEX('Order Planning'!$C$5:$C$204,MATCH(B87,'Order Planning'!$A$5:$A$204,0)),"")</f>
        <v/>
      </c>
      <c r="D87" s="7" t="str">
        <f t="array" ref="D87">IFERROR(INDEX('Order Planning'!$E$5:$E$204,MATCH(B87,'Order Planning'!$A$5:$A$204,0)),"")</f>
        <v/>
      </c>
      <c r="E87" s="7" t="str">
        <f t="array" ref="E87">IFERROR(INDEX('Order Planning'!$F$5:$F$204,MATCH(B87,'Order Planning'!$A$5:$A$204,0)),"")</f>
        <v/>
      </c>
      <c r="F87" s="7">
        <f t="array" ref="F87">IFERROR(INDEX('Order Planning'!$G$5:$G$204,MATCH(B87,'Order Planning'!$A$5:$A$204,0)),0)</f>
        <v>0</v>
      </c>
      <c r="H87" s="7">
        <f t="shared" si="1"/>
        <v>0</v>
      </c>
      <c r="J87" s="7">
        <f t="shared" si="2"/>
        <v>0</v>
      </c>
      <c r="N87" s="7"/>
      <c r="O87" s="7"/>
      <c r="P87" s="7"/>
    </row>
    <row r="88" ht="15.75" customHeight="1">
      <c r="A88" s="15"/>
      <c r="B88" s="7"/>
      <c r="C88" s="7" t="str">
        <f t="array" ref="C88">IFERROR(INDEX('Order Planning'!$C$5:$C$204,MATCH(B88,'Order Planning'!$A$5:$A$204,0)),"")</f>
        <v/>
      </c>
      <c r="D88" s="7" t="str">
        <f t="array" ref="D88">IFERROR(INDEX('Order Planning'!$E$5:$E$204,MATCH(B88,'Order Planning'!$A$5:$A$204,0)),"")</f>
        <v/>
      </c>
      <c r="E88" s="7" t="str">
        <f t="array" ref="E88">IFERROR(INDEX('Order Planning'!$F$5:$F$204,MATCH(B88,'Order Planning'!$A$5:$A$204,0)),"")</f>
        <v/>
      </c>
      <c r="F88" s="7">
        <f t="array" ref="F88">IFERROR(INDEX('Order Planning'!$G$5:$G$204,MATCH(B88,'Order Planning'!$A$5:$A$204,0)),0)</f>
        <v>0</v>
      </c>
      <c r="H88" s="7">
        <f t="shared" si="1"/>
        <v>0</v>
      </c>
      <c r="J88" s="7">
        <f t="shared" si="2"/>
        <v>0</v>
      </c>
      <c r="N88" s="7"/>
      <c r="O88" s="7"/>
      <c r="P88" s="7"/>
    </row>
    <row r="89" ht="15.75" customHeight="1">
      <c r="A89" s="15"/>
      <c r="B89" s="7"/>
      <c r="C89" s="7" t="str">
        <f t="array" ref="C89">IFERROR(INDEX('Order Planning'!$C$5:$C$204,MATCH(B89,'Order Planning'!$A$5:$A$204,0)),"")</f>
        <v/>
      </c>
      <c r="D89" s="7" t="str">
        <f t="array" ref="D89">IFERROR(INDEX('Order Planning'!$E$5:$E$204,MATCH(B89,'Order Planning'!$A$5:$A$204,0)),"")</f>
        <v/>
      </c>
      <c r="E89" s="7" t="str">
        <f t="array" ref="E89">IFERROR(INDEX('Order Planning'!$F$5:$F$204,MATCH(B89,'Order Planning'!$A$5:$A$204,0)),"")</f>
        <v/>
      </c>
      <c r="F89" s="7">
        <f t="array" ref="F89">IFERROR(INDEX('Order Planning'!$G$5:$G$204,MATCH(B89,'Order Planning'!$A$5:$A$204,0)),0)</f>
        <v>0</v>
      </c>
      <c r="H89" s="7">
        <f t="shared" si="1"/>
        <v>0</v>
      </c>
      <c r="J89" s="7">
        <f t="shared" si="2"/>
        <v>0</v>
      </c>
      <c r="N89" s="7"/>
      <c r="O89" s="7"/>
      <c r="P89" s="7"/>
    </row>
    <row r="90" ht="15.75" customHeight="1">
      <c r="A90" s="15"/>
      <c r="B90" s="7"/>
      <c r="C90" s="7" t="str">
        <f t="array" ref="C90">IFERROR(INDEX('Order Planning'!$C$5:$C$204,MATCH(B90,'Order Planning'!$A$5:$A$204,0)),"")</f>
        <v/>
      </c>
      <c r="D90" s="7" t="str">
        <f t="array" ref="D90">IFERROR(INDEX('Order Planning'!$E$5:$E$204,MATCH(B90,'Order Planning'!$A$5:$A$204,0)),"")</f>
        <v/>
      </c>
      <c r="E90" s="7" t="str">
        <f t="array" ref="E90">IFERROR(INDEX('Order Planning'!$F$5:$F$204,MATCH(B90,'Order Planning'!$A$5:$A$204,0)),"")</f>
        <v/>
      </c>
      <c r="F90" s="7">
        <f t="array" ref="F90">IFERROR(INDEX('Order Planning'!$G$5:$G$204,MATCH(B90,'Order Planning'!$A$5:$A$204,0)),0)</f>
        <v>0</v>
      </c>
      <c r="H90" s="7">
        <f t="shared" si="1"/>
        <v>0</v>
      </c>
      <c r="J90" s="7">
        <f t="shared" si="2"/>
        <v>0</v>
      </c>
      <c r="N90" s="7"/>
      <c r="O90" s="7"/>
      <c r="P90" s="7"/>
    </row>
    <row r="91" ht="15.75" customHeight="1">
      <c r="A91" s="15"/>
      <c r="B91" s="7"/>
      <c r="C91" s="7" t="str">
        <f t="array" ref="C91">IFERROR(INDEX('Order Planning'!$C$5:$C$204,MATCH(B91,'Order Planning'!$A$5:$A$204,0)),"")</f>
        <v/>
      </c>
      <c r="D91" s="7" t="str">
        <f t="array" ref="D91">IFERROR(INDEX('Order Planning'!$E$5:$E$204,MATCH(B91,'Order Planning'!$A$5:$A$204,0)),"")</f>
        <v/>
      </c>
      <c r="E91" s="7" t="str">
        <f t="array" ref="E91">IFERROR(INDEX('Order Planning'!$F$5:$F$204,MATCH(B91,'Order Planning'!$A$5:$A$204,0)),"")</f>
        <v/>
      </c>
      <c r="F91" s="7">
        <f t="array" ref="F91">IFERROR(INDEX('Order Planning'!$G$5:$G$204,MATCH(B91,'Order Planning'!$A$5:$A$204,0)),0)</f>
        <v>0</v>
      </c>
      <c r="H91" s="7">
        <f t="shared" si="1"/>
        <v>0</v>
      </c>
      <c r="J91" s="7">
        <f t="shared" si="2"/>
        <v>0</v>
      </c>
      <c r="N91" s="7"/>
      <c r="O91" s="7"/>
      <c r="P91" s="7"/>
    </row>
    <row r="92" ht="15.75" customHeight="1">
      <c r="A92" s="15"/>
      <c r="B92" s="7"/>
      <c r="C92" s="7" t="str">
        <f t="array" ref="C92">IFERROR(INDEX('Order Planning'!$C$5:$C$204,MATCH(B92,'Order Planning'!$A$5:$A$204,0)),"")</f>
        <v/>
      </c>
      <c r="D92" s="7" t="str">
        <f t="array" ref="D92">IFERROR(INDEX('Order Planning'!$E$5:$E$204,MATCH(B92,'Order Planning'!$A$5:$A$204,0)),"")</f>
        <v/>
      </c>
      <c r="E92" s="7" t="str">
        <f t="array" ref="E92">IFERROR(INDEX('Order Planning'!$F$5:$F$204,MATCH(B92,'Order Planning'!$A$5:$A$204,0)),"")</f>
        <v/>
      </c>
      <c r="F92" s="7">
        <f t="array" ref="F92">IFERROR(INDEX('Order Planning'!$G$5:$G$204,MATCH(B92,'Order Planning'!$A$5:$A$204,0)),0)</f>
        <v>0</v>
      </c>
      <c r="H92" s="7">
        <f t="shared" si="1"/>
        <v>0</v>
      </c>
      <c r="J92" s="7">
        <f t="shared" si="2"/>
        <v>0</v>
      </c>
      <c r="N92" s="7"/>
      <c r="O92" s="7"/>
      <c r="P92" s="7"/>
    </row>
    <row r="93" ht="15.75" customHeight="1">
      <c r="A93" s="15"/>
      <c r="B93" s="7"/>
      <c r="C93" s="7" t="str">
        <f t="array" ref="C93">IFERROR(INDEX('Order Planning'!$C$5:$C$204,MATCH(B93,'Order Planning'!$A$5:$A$204,0)),"")</f>
        <v/>
      </c>
      <c r="D93" s="7" t="str">
        <f t="array" ref="D93">IFERROR(INDEX('Order Planning'!$E$5:$E$204,MATCH(B93,'Order Planning'!$A$5:$A$204,0)),"")</f>
        <v/>
      </c>
      <c r="E93" s="7" t="str">
        <f t="array" ref="E93">IFERROR(INDEX('Order Planning'!$F$5:$F$204,MATCH(B93,'Order Planning'!$A$5:$A$204,0)),"")</f>
        <v/>
      </c>
      <c r="F93" s="7">
        <f t="array" ref="F93">IFERROR(INDEX('Order Planning'!$G$5:$G$204,MATCH(B93,'Order Planning'!$A$5:$A$204,0)),0)</f>
        <v>0</v>
      </c>
      <c r="H93" s="7">
        <f t="shared" si="1"/>
        <v>0</v>
      </c>
      <c r="J93" s="7">
        <f t="shared" si="2"/>
        <v>0</v>
      </c>
      <c r="N93" s="7"/>
      <c r="O93" s="7"/>
      <c r="P93" s="7"/>
    </row>
    <row r="94" ht="15.75" customHeight="1">
      <c r="A94" s="15"/>
      <c r="B94" s="7"/>
      <c r="C94" s="7" t="str">
        <f t="array" ref="C94">IFERROR(INDEX('Order Planning'!$C$5:$C$204,MATCH(B94,'Order Planning'!$A$5:$A$204,0)),"")</f>
        <v/>
      </c>
      <c r="D94" s="7" t="str">
        <f t="array" ref="D94">IFERROR(INDEX('Order Planning'!$E$5:$E$204,MATCH(B94,'Order Planning'!$A$5:$A$204,0)),"")</f>
        <v/>
      </c>
      <c r="E94" s="7" t="str">
        <f t="array" ref="E94">IFERROR(INDEX('Order Planning'!$F$5:$F$204,MATCH(B94,'Order Planning'!$A$5:$A$204,0)),"")</f>
        <v/>
      </c>
      <c r="F94" s="7">
        <f t="array" ref="F94">IFERROR(INDEX('Order Planning'!$G$5:$G$204,MATCH(B94,'Order Planning'!$A$5:$A$204,0)),0)</f>
        <v>0</v>
      </c>
      <c r="H94" s="7">
        <f t="shared" si="1"/>
        <v>0</v>
      </c>
      <c r="J94" s="7">
        <f t="shared" si="2"/>
        <v>0</v>
      </c>
      <c r="N94" s="7"/>
      <c r="O94" s="7"/>
      <c r="P94" s="7"/>
    </row>
    <row r="95" ht="15.75" customHeight="1">
      <c r="A95" s="15"/>
      <c r="B95" s="7"/>
      <c r="C95" s="7" t="str">
        <f t="array" ref="C95">IFERROR(INDEX('Order Planning'!$C$5:$C$204,MATCH(B95,'Order Planning'!$A$5:$A$204,0)),"")</f>
        <v/>
      </c>
      <c r="D95" s="7" t="str">
        <f t="array" ref="D95">IFERROR(INDEX('Order Planning'!$E$5:$E$204,MATCH(B95,'Order Planning'!$A$5:$A$204,0)),"")</f>
        <v/>
      </c>
      <c r="E95" s="7" t="str">
        <f t="array" ref="E95">IFERROR(INDEX('Order Planning'!$F$5:$F$204,MATCH(B95,'Order Planning'!$A$5:$A$204,0)),"")</f>
        <v/>
      </c>
      <c r="F95" s="7">
        <f t="array" ref="F95">IFERROR(INDEX('Order Planning'!$G$5:$G$204,MATCH(B95,'Order Planning'!$A$5:$A$204,0)),0)</f>
        <v>0</v>
      </c>
      <c r="H95" s="7">
        <f t="shared" si="1"/>
        <v>0</v>
      </c>
      <c r="J95" s="7">
        <f t="shared" si="2"/>
        <v>0</v>
      </c>
      <c r="N95" s="7"/>
      <c r="O95" s="7"/>
      <c r="P95" s="7"/>
    </row>
    <row r="96" ht="15.75" customHeight="1">
      <c r="A96" s="15"/>
      <c r="B96" s="7"/>
      <c r="C96" s="7" t="str">
        <f t="array" ref="C96">IFERROR(INDEX('Order Planning'!$C$5:$C$204,MATCH(B96,'Order Planning'!$A$5:$A$204,0)),"")</f>
        <v/>
      </c>
      <c r="D96" s="7" t="str">
        <f t="array" ref="D96">IFERROR(INDEX('Order Planning'!$E$5:$E$204,MATCH(B96,'Order Planning'!$A$5:$A$204,0)),"")</f>
        <v/>
      </c>
      <c r="E96" s="7" t="str">
        <f t="array" ref="E96">IFERROR(INDEX('Order Planning'!$F$5:$F$204,MATCH(B96,'Order Planning'!$A$5:$A$204,0)),"")</f>
        <v/>
      </c>
      <c r="F96" s="7">
        <f t="array" ref="F96">IFERROR(INDEX('Order Planning'!$G$5:$G$204,MATCH(B96,'Order Planning'!$A$5:$A$204,0)),0)</f>
        <v>0</v>
      </c>
      <c r="H96" s="7">
        <f t="shared" si="1"/>
        <v>0</v>
      </c>
      <c r="J96" s="7">
        <f t="shared" si="2"/>
        <v>0</v>
      </c>
      <c r="N96" s="7"/>
      <c r="O96" s="7"/>
      <c r="P96" s="7"/>
    </row>
    <row r="97" ht="15.75" customHeight="1">
      <c r="A97" s="15"/>
      <c r="B97" s="7"/>
      <c r="C97" s="7" t="str">
        <f t="array" ref="C97">IFERROR(INDEX('Order Planning'!$C$5:$C$204,MATCH(B97,'Order Planning'!$A$5:$A$204,0)),"")</f>
        <v/>
      </c>
      <c r="D97" s="7" t="str">
        <f t="array" ref="D97">IFERROR(INDEX('Order Planning'!$E$5:$E$204,MATCH(B97,'Order Planning'!$A$5:$A$204,0)),"")</f>
        <v/>
      </c>
      <c r="E97" s="7" t="str">
        <f t="array" ref="E97">IFERROR(INDEX('Order Planning'!$F$5:$F$204,MATCH(B97,'Order Planning'!$A$5:$A$204,0)),"")</f>
        <v/>
      </c>
      <c r="F97" s="7">
        <f t="array" ref="F97">IFERROR(INDEX('Order Planning'!$G$5:$G$204,MATCH(B97,'Order Planning'!$A$5:$A$204,0)),0)</f>
        <v>0</v>
      </c>
      <c r="H97" s="7">
        <f t="shared" si="1"/>
        <v>0</v>
      </c>
      <c r="J97" s="7">
        <f t="shared" si="2"/>
        <v>0</v>
      </c>
      <c r="N97" s="7"/>
      <c r="O97" s="7"/>
      <c r="P97" s="7"/>
    </row>
    <row r="98" ht="15.75" customHeight="1">
      <c r="A98" s="15"/>
      <c r="B98" s="7"/>
      <c r="C98" s="7" t="str">
        <f t="array" ref="C98">IFERROR(INDEX('Order Planning'!$C$5:$C$204,MATCH(B98,'Order Planning'!$A$5:$A$204,0)),"")</f>
        <v/>
      </c>
      <c r="D98" s="7" t="str">
        <f t="array" ref="D98">IFERROR(INDEX('Order Planning'!$E$5:$E$204,MATCH(B98,'Order Planning'!$A$5:$A$204,0)),"")</f>
        <v/>
      </c>
      <c r="E98" s="7" t="str">
        <f t="array" ref="E98">IFERROR(INDEX('Order Planning'!$F$5:$F$204,MATCH(B98,'Order Planning'!$A$5:$A$204,0)),"")</f>
        <v/>
      </c>
      <c r="F98" s="7">
        <f t="array" ref="F98">IFERROR(INDEX('Order Planning'!$G$5:$G$204,MATCH(B98,'Order Planning'!$A$5:$A$204,0)),0)</f>
        <v>0</v>
      </c>
      <c r="H98" s="7">
        <f t="shared" si="1"/>
        <v>0</v>
      </c>
      <c r="J98" s="7">
        <f t="shared" si="2"/>
        <v>0</v>
      </c>
      <c r="N98" s="7"/>
      <c r="O98" s="7"/>
      <c r="P98" s="7"/>
    </row>
    <row r="99" ht="15.75" customHeight="1">
      <c r="A99" s="15"/>
      <c r="B99" s="7"/>
      <c r="C99" s="7" t="str">
        <f t="array" ref="C99">IFERROR(INDEX('Order Planning'!$C$5:$C$204,MATCH(B99,'Order Planning'!$A$5:$A$204,0)),"")</f>
        <v/>
      </c>
      <c r="D99" s="7" t="str">
        <f t="array" ref="D99">IFERROR(INDEX('Order Planning'!$E$5:$E$204,MATCH(B99,'Order Planning'!$A$5:$A$204,0)),"")</f>
        <v/>
      </c>
      <c r="E99" s="7" t="str">
        <f t="array" ref="E99">IFERROR(INDEX('Order Planning'!$F$5:$F$204,MATCH(B99,'Order Planning'!$A$5:$A$204,0)),"")</f>
        <v/>
      </c>
      <c r="F99" s="7">
        <f t="array" ref="F99">IFERROR(INDEX('Order Planning'!$G$5:$G$204,MATCH(B99,'Order Planning'!$A$5:$A$204,0)),0)</f>
        <v>0</v>
      </c>
      <c r="H99" s="7">
        <f t="shared" si="1"/>
        <v>0</v>
      </c>
      <c r="J99" s="7">
        <f t="shared" si="2"/>
        <v>0</v>
      </c>
      <c r="N99" s="7"/>
      <c r="O99" s="7"/>
      <c r="P99" s="7"/>
    </row>
    <row r="100" ht="15.75" customHeight="1">
      <c r="A100" s="15"/>
      <c r="B100" s="7"/>
      <c r="C100" s="7" t="str">
        <f t="array" ref="C100">IFERROR(INDEX('Order Planning'!$C$5:$C$204,MATCH(B100,'Order Planning'!$A$5:$A$204,0)),"")</f>
        <v/>
      </c>
      <c r="D100" s="7" t="str">
        <f t="array" ref="D100">IFERROR(INDEX('Order Planning'!$E$5:$E$204,MATCH(B100,'Order Planning'!$A$5:$A$204,0)),"")</f>
        <v/>
      </c>
      <c r="E100" s="7" t="str">
        <f t="array" ref="E100">IFERROR(INDEX('Order Planning'!$F$5:$F$204,MATCH(B100,'Order Planning'!$A$5:$A$204,0)),"")</f>
        <v/>
      </c>
      <c r="F100" s="7">
        <f t="array" ref="F100">IFERROR(INDEX('Order Planning'!$G$5:$G$204,MATCH(B100,'Order Planning'!$A$5:$A$204,0)),0)</f>
        <v>0</v>
      </c>
      <c r="H100" s="7">
        <f t="shared" si="1"/>
        <v>0</v>
      </c>
      <c r="J100" s="7">
        <f t="shared" si="2"/>
        <v>0</v>
      </c>
      <c r="N100" s="7"/>
      <c r="O100" s="7"/>
      <c r="P100" s="7"/>
    </row>
    <row r="101" ht="15.75" customHeight="1">
      <c r="A101" s="15"/>
      <c r="B101" s="7"/>
      <c r="C101" s="7" t="str">
        <f t="array" ref="C101">IFERROR(INDEX('Order Planning'!$C$5:$C$204,MATCH(B101,'Order Planning'!$A$5:$A$204,0)),"")</f>
        <v/>
      </c>
      <c r="D101" s="7" t="str">
        <f t="array" ref="D101">IFERROR(INDEX('Order Planning'!$E$5:$E$204,MATCH(B101,'Order Planning'!$A$5:$A$204,0)),"")</f>
        <v/>
      </c>
      <c r="E101" s="7" t="str">
        <f t="array" ref="E101">IFERROR(INDEX('Order Planning'!$F$5:$F$204,MATCH(B101,'Order Planning'!$A$5:$A$204,0)),"")</f>
        <v/>
      </c>
      <c r="F101" s="7">
        <f t="array" ref="F101">IFERROR(INDEX('Order Planning'!$G$5:$G$204,MATCH(B101,'Order Planning'!$A$5:$A$204,0)),0)</f>
        <v>0</v>
      </c>
      <c r="H101" s="7">
        <f t="shared" si="1"/>
        <v>0</v>
      </c>
      <c r="J101" s="7">
        <f t="shared" si="2"/>
        <v>0</v>
      </c>
      <c r="N101" s="7"/>
      <c r="O101" s="7"/>
      <c r="P101" s="7"/>
    </row>
    <row r="102" ht="15.75" customHeight="1">
      <c r="A102" s="15"/>
      <c r="B102" s="7"/>
      <c r="C102" s="7" t="str">
        <f t="array" ref="C102">IFERROR(INDEX('Order Planning'!$C$5:$C$204,MATCH(B102,'Order Planning'!$A$5:$A$204,0)),"")</f>
        <v/>
      </c>
      <c r="D102" s="7" t="str">
        <f t="array" ref="D102">IFERROR(INDEX('Order Planning'!$E$5:$E$204,MATCH(B102,'Order Planning'!$A$5:$A$204,0)),"")</f>
        <v/>
      </c>
      <c r="E102" s="7" t="str">
        <f t="array" ref="E102">IFERROR(INDEX('Order Planning'!$F$5:$F$204,MATCH(B102,'Order Planning'!$A$5:$A$204,0)),"")</f>
        <v/>
      </c>
      <c r="F102" s="7">
        <f t="array" ref="F102">IFERROR(INDEX('Order Planning'!$G$5:$G$204,MATCH(B102,'Order Planning'!$A$5:$A$204,0)),0)</f>
        <v>0</v>
      </c>
      <c r="H102" s="7">
        <f t="shared" si="1"/>
        <v>0</v>
      </c>
      <c r="J102" s="7">
        <f t="shared" si="2"/>
        <v>0</v>
      </c>
      <c r="N102" s="7"/>
      <c r="O102" s="7"/>
      <c r="P102" s="7"/>
    </row>
    <row r="103" ht="15.75" customHeight="1">
      <c r="A103" s="15"/>
      <c r="B103" s="7"/>
      <c r="C103" s="7" t="str">
        <f t="array" ref="C103">IFERROR(INDEX('Order Planning'!$C$5:$C$204,MATCH(B103,'Order Planning'!$A$5:$A$204,0)),"")</f>
        <v/>
      </c>
      <c r="D103" s="7" t="str">
        <f t="array" ref="D103">IFERROR(INDEX('Order Planning'!$E$5:$E$204,MATCH(B103,'Order Planning'!$A$5:$A$204,0)),"")</f>
        <v/>
      </c>
      <c r="E103" s="7" t="str">
        <f t="array" ref="E103">IFERROR(INDEX('Order Planning'!$F$5:$F$204,MATCH(B103,'Order Planning'!$A$5:$A$204,0)),"")</f>
        <v/>
      </c>
      <c r="F103" s="7">
        <f t="array" ref="F103">IFERROR(INDEX('Order Planning'!$G$5:$G$204,MATCH(B103,'Order Planning'!$A$5:$A$204,0)),0)</f>
        <v>0</v>
      </c>
      <c r="H103" s="7">
        <f t="shared" si="1"/>
        <v>0</v>
      </c>
      <c r="J103" s="7">
        <f t="shared" si="2"/>
        <v>0</v>
      </c>
      <c r="N103" s="7"/>
      <c r="O103" s="7"/>
      <c r="P103" s="7"/>
    </row>
    <row r="104" ht="15.75" customHeight="1">
      <c r="A104" s="15"/>
      <c r="B104" s="7"/>
      <c r="C104" s="7" t="str">
        <f t="array" ref="C104">IFERROR(INDEX('Order Planning'!$C$5:$C$204,MATCH(B104,'Order Planning'!$A$5:$A$204,0)),"")</f>
        <v/>
      </c>
      <c r="D104" s="7" t="str">
        <f t="array" ref="D104">IFERROR(INDEX('Order Planning'!$E$5:$E$204,MATCH(B104,'Order Planning'!$A$5:$A$204,0)),"")</f>
        <v/>
      </c>
      <c r="E104" s="7" t="str">
        <f t="array" ref="E104">IFERROR(INDEX('Order Planning'!$F$5:$F$204,MATCH(B104,'Order Planning'!$A$5:$A$204,0)),"")</f>
        <v/>
      </c>
      <c r="F104" s="7">
        <f t="array" ref="F104">IFERROR(INDEX('Order Planning'!$G$5:$G$204,MATCH(B104,'Order Planning'!$A$5:$A$204,0)),0)</f>
        <v>0</v>
      </c>
      <c r="H104" s="7">
        <f t="shared" si="1"/>
        <v>0</v>
      </c>
      <c r="J104" s="7">
        <f t="shared" si="2"/>
        <v>0</v>
      </c>
      <c r="N104" s="7"/>
      <c r="O104" s="7"/>
      <c r="P104" s="7"/>
    </row>
    <row r="105" ht="15.75" customHeight="1">
      <c r="A105" s="15"/>
      <c r="B105" s="7"/>
      <c r="C105" s="7" t="str">
        <f t="array" ref="C105">IFERROR(INDEX('Order Planning'!$C$5:$C$204,MATCH(B105,'Order Planning'!$A$5:$A$204,0)),"")</f>
        <v/>
      </c>
      <c r="D105" s="7" t="str">
        <f t="array" ref="D105">IFERROR(INDEX('Order Planning'!$E$5:$E$204,MATCH(B105,'Order Planning'!$A$5:$A$204,0)),"")</f>
        <v/>
      </c>
      <c r="E105" s="7" t="str">
        <f t="array" ref="E105">IFERROR(INDEX('Order Planning'!$F$5:$F$204,MATCH(B105,'Order Planning'!$A$5:$A$204,0)),"")</f>
        <v/>
      </c>
      <c r="F105" s="7">
        <f t="array" ref="F105">IFERROR(INDEX('Order Planning'!$G$5:$G$204,MATCH(B105,'Order Planning'!$A$5:$A$204,0)),0)</f>
        <v>0</v>
      </c>
      <c r="H105" s="7">
        <f t="shared" si="1"/>
        <v>0</v>
      </c>
      <c r="J105" s="7">
        <f t="shared" si="2"/>
        <v>0</v>
      </c>
      <c r="N105" s="7"/>
      <c r="O105" s="7"/>
      <c r="P105" s="7"/>
    </row>
    <row r="106" ht="15.75" customHeight="1">
      <c r="A106" s="15"/>
      <c r="B106" s="7"/>
      <c r="C106" s="7" t="str">
        <f t="array" ref="C106">IFERROR(INDEX('Order Planning'!$C$5:$C$204,MATCH(B106,'Order Planning'!$A$5:$A$204,0)),"")</f>
        <v/>
      </c>
      <c r="D106" s="7" t="str">
        <f t="array" ref="D106">IFERROR(INDEX('Order Planning'!$E$5:$E$204,MATCH(B106,'Order Planning'!$A$5:$A$204,0)),"")</f>
        <v/>
      </c>
      <c r="E106" s="7" t="str">
        <f t="array" ref="E106">IFERROR(INDEX('Order Planning'!$F$5:$F$204,MATCH(B106,'Order Planning'!$A$5:$A$204,0)),"")</f>
        <v/>
      </c>
      <c r="F106" s="7">
        <f t="array" ref="F106">IFERROR(INDEX('Order Planning'!$G$5:$G$204,MATCH(B106,'Order Planning'!$A$5:$A$204,0)),0)</f>
        <v>0</v>
      </c>
      <c r="H106" s="7">
        <f t="shared" si="1"/>
        <v>0</v>
      </c>
      <c r="J106" s="7">
        <f t="shared" si="2"/>
        <v>0</v>
      </c>
      <c r="N106" s="7"/>
      <c r="O106" s="7"/>
      <c r="P106" s="7"/>
    </row>
    <row r="107" ht="15.75" customHeight="1">
      <c r="A107" s="15"/>
      <c r="B107" s="7"/>
      <c r="C107" s="7" t="str">
        <f t="array" ref="C107">IFERROR(INDEX('Order Planning'!$C$5:$C$204,MATCH(B107,'Order Planning'!$A$5:$A$204,0)),"")</f>
        <v/>
      </c>
      <c r="D107" s="7" t="str">
        <f t="array" ref="D107">IFERROR(INDEX('Order Planning'!$E$5:$E$204,MATCH(B107,'Order Planning'!$A$5:$A$204,0)),"")</f>
        <v/>
      </c>
      <c r="E107" s="7" t="str">
        <f t="array" ref="E107">IFERROR(INDEX('Order Planning'!$F$5:$F$204,MATCH(B107,'Order Planning'!$A$5:$A$204,0)),"")</f>
        <v/>
      </c>
      <c r="F107" s="7">
        <f t="array" ref="F107">IFERROR(INDEX('Order Planning'!$G$5:$G$204,MATCH(B107,'Order Planning'!$A$5:$A$204,0)),0)</f>
        <v>0</v>
      </c>
      <c r="H107" s="7">
        <f t="shared" si="1"/>
        <v>0</v>
      </c>
      <c r="J107" s="7">
        <f t="shared" si="2"/>
        <v>0</v>
      </c>
      <c r="N107" s="7"/>
      <c r="O107" s="7"/>
      <c r="P107" s="7"/>
    </row>
    <row r="108" ht="15.75" customHeight="1">
      <c r="A108" s="15"/>
      <c r="B108" s="7"/>
      <c r="C108" s="7" t="str">
        <f t="array" ref="C108">IFERROR(INDEX('Order Planning'!$C$5:$C$204,MATCH(B108,'Order Planning'!$A$5:$A$204,0)),"")</f>
        <v/>
      </c>
      <c r="D108" s="7" t="str">
        <f t="array" ref="D108">IFERROR(INDEX('Order Planning'!$E$5:$E$204,MATCH(B108,'Order Planning'!$A$5:$A$204,0)),"")</f>
        <v/>
      </c>
      <c r="E108" s="7" t="str">
        <f t="array" ref="E108">IFERROR(INDEX('Order Planning'!$F$5:$F$204,MATCH(B108,'Order Planning'!$A$5:$A$204,0)),"")</f>
        <v/>
      </c>
      <c r="F108" s="7">
        <f t="array" ref="F108">IFERROR(INDEX('Order Planning'!$G$5:$G$204,MATCH(B108,'Order Planning'!$A$5:$A$204,0)),0)</f>
        <v>0</v>
      </c>
      <c r="H108" s="7">
        <f t="shared" si="1"/>
        <v>0</v>
      </c>
      <c r="J108" s="7">
        <f t="shared" si="2"/>
        <v>0</v>
      </c>
      <c r="N108" s="7"/>
      <c r="O108" s="7"/>
      <c r="P108" s="7"/>
    </row>
    <row r="109" ht="15.75" customHeight="1">
      <c r="A109" s="15"/>
      <c r="B109" s="7"/>
      <c r="C109" s="7" t="str">
        <f t="array" ref="C109">IFERROR(INDEX('Order Planning'!$C$5:$C$204,MATCH(B109,'Order Planning'!$A$5:$A$204,0)),"")</f>
        <v/>
      </c>
      <c r="D109" s="7" t="str">
        <f t="array" ref="D109">IFERROR(INDEX('Order Planning'!$E$5:$E$204,MATCH(B109,'Order Planning'!$A$5:$A$204,0)),"")</f>
        <v/>
      </c>
      <c r="E109" s="7" t="str">
        <f t="array" ref="E109">IFERROR(INDEX('Order Planning'!$F$5:$F$204,MATCH(B109,'Order Planning'!$A$5:$A$204,0)),"")</f>
        <v/>
      </c>
      <c r="F109" s="7">
        <f t="array" ref="F109">IFERROR(INDEX('Order Planning'!$G$5:$G$204,MATCH(B109,'Order Planning'!$A$5:$A$204,0)),0)</f>
        <v>0</v>
      </c>
      <c r="H109" s="7">
        <f t="shared" si="1"/>
        <v>0</v>
      </c>
      <c r="J109" s="7">
        <f t="shared" si="2"/>
        <v>0</v>
      </c>
      <c r="N109" s="7"/>
      <c r="O109" s="7"/>
      <c r="P109" s="7"/>
    </row>
    <row r="110" ht="15.75" customHeight="1">
      <c r="A110" s="15"/>
      <c r="B110" s="7"/>
      <c r="C110" s="7" t="str">
        <f t="array" ref="C110">IFERROR(INDEX('Order Planning'!$C$5:$C$204,MATCH(B110,'Order Planning'!$A$5:$A$204,0)),"")</f>
        <v/>
      </c>
      <c r="D110" s="7" t="str">
        <f t="array" ref="D110">IFERROR(INDEX('Order Planning'!$E$5:$E$204,MATCH(B110,'Order Planning'!$A$5:$A$204,0)),"")</f>
        <v/>
      </c>
      <c r="E110" s="7" t="str">
        <f t="array" ref="E110">IFERROR(INDEX('Order Planning'!$F$5:$F$204,MATCH(B110,'Order Planning'!$A$5:$A$204,0)),"")</f>
        <v/>
      </c>
      <c r="F110" s="7">
        <f t="array" ref="F110">IFERROR(INDEX('Order Planning'!$G$5:$G$204,MATCH(B110,'Order Planning'!$A$5:$A$204,0)),0)</f>
        <v>0</v>
      </c>
      <c r="H110" s="7">
        <f t="shared" si="1"/>
        <v>0</v>
      </c>
      <c r="J110" s="7">
        <f t="shared" si="2"/>
        <v>0</v>
      </c>
      <c r="N110" s="7"/>
      <c r="O110" s="7"/>
      <c r="P110" s="7"/>
    </row>
    <row r="111" ht="15.75" customHeight="1">
      <c r="A111" s="15"/>
      <c r="B111" s="7"/>
      <c r="C111" s="7" t="str">
        <f t="array" ref="C111">IFERROR(INDEX('Order Planning'!$C$5:$C$204,MATCH(B111,'Order Planning'!$A$5:$A$204,0)),"")</f>
        <v/>
      </c>
      <c r="D111" s="7" t="str">
        <f t="array" ref="D111">IFERROR(INDEX('Order Planning'!$E$5:$E$204,MATCH(B111,'Order Planning'!$A$5:$A$204,0)),"")</f>
        <v/>
      </c>
      <c r="E111" s="7" t="str">
        <f t="array" ref="E111">IFERROR(INDEX('Order Planning'!$F$5:$F$204,MATCH(B111,'Order Planning'!$A$5:$A$204,0)),"")</f>
        <v/>
      </c>
      <c r="F111" s="7">
        <f t="array" ref="F111">IFERROR(INDEX('Order Planning'!$G$5:$G$204,MATCH(B111,'Order Planning'!$A$5:$A$204,0)),0)</f>
        <v>0</v>
      </c>
      <c r="H111" s="7">
        <f t="shared" si="1"/>
        <v>0</v>
      </c>
      <c r="J111" s="7">
        <f t="shared" si="2"/>
        <v>0</v>
      </c>
      <c r="N111" s="7"/>
      <c r="O111" s="7"/>
      <c r="P111" s="7"/>
    </row>
    <row r="112" ht="15.75" customHeight="1">
      <c r="A112" s="15"/>
      <c r="B112" s="7"/>
      <c r="C112" s="7" t="str">
        <f t="array" ref="C112">IFERROR(INDEX('Order Planning'!$C$5:$C$204,MATCH(B112,'Order Planning'!$A$5:$A$204,0)),"")</f>
        <v/>
      </c>
      <c r="D112" s="7" t="str">
        <f t="array" ref="D112">IFERROR(INDEX('Order Planning'!$E$5:$E$204,MATCH(B112,'Order Planning'!$A$5:$A$204,0)),"")</f>
        <v/>
      </c>
      <c r="E112" s="7" t="str">
        <f t="array" ref="E112">IFERROR(INDEX('Order Planning'!$F$5:$F$204,MATCH(B112,'Order Planning'!$A$5:$A$204,0)),"")</f>
        <v/>
      </c>
      <c r="F112" s="7">
        <f t="array" ref="F112">IFERROR(INDEX('Order Planning'!$G$5:$G$204,MATCH(B112,'Order Planning'!$A$5:$A$204,0)),0)</f>
        <v>0</v>
      </c>
      <c r="H112" s="7">
        <f t="shared" si="1"/>
        <v>0</v>
      </c>
      <c r="J112" s="7">
        <f t="shared" si="2"/>
        <v>0</v>
      </c>
      <c r="N112" s="7"/>
      <c r="O112" s="7"/>
      <c r="P112" s="7"/>
    </row>
    <row r="113" ht="15.75" customHeight="1">
      <c r="A113" s="15"/>
      <c r="B113" s="7"/>
      <c r="C113" s="7" t="str">
        <f t="array" ref="C113">IFERROR(INDEX('Order Planning'!$C$5:$C$204,MATCH(B113,'Order Planning'!$A$5:$A$204,0)),"")</f>
        <v/>
      </c>
      <c r="D113" s="7" t="str">
        <f t="array" ref="D113">IFERROR(INDEX('Order Planning'!$E$5:$E$204,MATCH(B113,'Order Planning'!$A$5:$A$204,0)),"")</f>
        <v/>
      </c>
      <c r="E113" s="7" t="str">
        <f t="array" ref="E113">IFERROR(INDEX('Order Planning'!$F$5:$F$204,MATCH(B113,'Order Planning'!$A$5:$A$204,0)),"")</f>
        <v/>
      </c>
      <c r="F113" s="7">
        <f t="array" ref="F113">IFERROR(INDEX('Order Planning'!$G$5:$G$204,MATCH(B113,'Order Planning'!$A$5:$A$204,0)),0)</f>
        <v>0</v>
      </c>
      <c r="H113" s="7">
        <f t="shared" si="1"/>
        <v>0</v>
      </c>
      <c r="J113" s="7">
        <f t="shared" si="2"/>
        <v>0</v>
      </c>
      <c r="N113" s="7"/>
      <c r="O113" s="7"/>
      <c r="P113" s="7"/>
    </row>
    <row r="114" ht="15.75" customHeight="1">
      <c r="A114" s="15"/>
      <c r="B114" s="7"/>
      <c r="C114" s="7" t="str">
        <f t="array" ref="C114">IFERROR(INDEX('Order Planning'!$C$5:$C$204,MATCH(B114,'Order Planning'!$A$5:$A$204,0)),"")</f>
        <v/>
      </c>
      <c r="D114" s="7" t="str">
        <f t="array" ref="D114">IFERROR(INDEX('Order Planning'!$E$5:$E$204,MATCH(B114,'Order Planning'!$A$5:$A$204,0)),"")</f>
        <v/>
      </c>
      <c r="E114" s="7" t="str">
        <f t="array" ref="E114">IFERROR(INDEX('Order Planning'!$F$5:$F$204,MATCH(B114,'Order Planning'!$A$5:$A$204,0)),"")</f>
        <v/>
      </c>
      <c r="F114" s="7">
        <f t="array" ref="F114">IFERROR(INDEX('Order Planning'!$G$5:$G$204,MATCH(B114,'Order Planning'!$A$5:$A$204,0)),0)</f>
        <v>0</v>
      </c>
      <c r="H114" s="7">
        <f t="shared" si="1"/>
        <v>0</v>
      </c>
      <c r="J114" s="7">
        <f t="shared" si="2"/>
        <v>0</v>
      </c>
      <c r="N114" s="7"/>
      <c r="O114" s="7"/>
      <c r="P114" s="7"/>
    </row>
    <row r="115" ht="15.75" customHeight="1">
      <c r="A115" s="15"/>
      <c r="B115" s="7"/>
      <c r="C115" s="7" t="str">
        <f t="array" ref="C115">IFERROR(INDEX('Order Planning'!$C$5:$C$204,MATCH(B115,'Order Planning'!$A$5:$A$204,0)),"")</f>
        <v/>
      </c>
      <c r="D115" s="7" t="str">
        <f t="array" ref="D115">IFERROR(INDEX('Order Planning'!$E$5:$E$204,MATCH(B115,'Order Planning'!$A$5:$A$204,0)),"")</f>
        <v/>
      </c>
      <c r="E115" s="7" t="str">
        <f t="array" ref="E115">IFERROR(INDEX('Order Planning'!$F$5:$F$204,MATCH(B115,'Order Planning'!$A$5:$A$204,0)),"")</f>
        <v/>
      </c>
      <c r="F115" s="7">
        <f t="array" ref="F115">IFERROR(INDEX('Order Planning'!$G$5:$G$204,MATCH(B115,'Order Planning'!$A$5:$A$204,0)),0)</f>
        <v>0</v>
      </c>
      <c r="H115" s="7">
        <f t="shared" si="1"/>
        <v>0</v>
      </c>
      <c r="J115" s="7">
        <f t="shared" si="2"/>
        <v>0</v>
      </c>
      <c r="N115" s="7"/>
      <c r="O115" s="7"/>
      <c r="P115" s="7"/>
    </row>
    <row r="116" ht="15.75" customHeight="1">
      <c r="A116" s="15"/>
      <c r="B116" s="7"/>
      <c r="C116" s="7" t="str">
        <f t="array" ref="C116">IFERROR(INDEX('Order Planning'!$C$5:$C$204,MATCH(B116,'Order Planning'!$A$5:$A$204,0)),"")</f>
        <v/>
      </c>
      <c r="D116" s="7" t="str">
        <f t="array" ref="D116">IFERROR(INDEX('Order Planning'!$E$5:$E$204,MATCH(B116,'Order Planning'!$A$5:$A$204,0)),"")</f>
        <v/>
      </c>
      <c r="E116" s="7" t="str">
        <f t="array" ref="E116">IFERROR(INDEX('Order Planning'!$F$5:$F$204,MATCH(B116,'Order Planning'!$A$5:$A$204,0)),"")</f>
        <v/>
      </c>
      <c r="F116" s="7">
        <f t="array" ref="F116">IFERROR(INDEX('Order Planning'!$G$5:$G$204,MATCH(B116,'Order Planning'!$A$5:$A$204,0)),0)</f>
        <v>0</v>
      </c>
      <c r="H116" s="7">
        <f t="shared" si="1"/>
        <v>0</v>
      </c>
      <c r="J116" s="7">
        <f t="shared" si="2"/>
        <v>0</v>
      </c>
      <c r="N116" s="7"/>
      <c r="O116" s="7"/>
      <c r="P116" s="7"/>
    </row>
    <row r="117" ht="15.75" customHeight="1">
      <c r="A117" s="15"/>
      <c r="B117" s="7"/>
      <c r="C117" s="7" t="str">
        <f t="array" ref="C117">IFERROR(INDEX('Order Planning'!$C$5:$C$204,MATCH(B117,'Order Planning'!$A$5:$A$204,0)),"")</f>
        <v/>
      </c>
      <c r="D117" s="7" t="str">
        <f t="array" ref="D117">IFERROR(INDEX('Order Planning'!$E$5:$E$204,MATCH(B117,'Order Planning'!$A$5:$A$204,0)),"")</f>
        <v/>
      </c>
      <c r="E117" s="7" t="str">
        <f t="array" ref="E117">IFERROR(INDEX('Order Planning'!$F$5:$F$204,MATCH(B117,'Order Planning'!$A$5:$A$204,0)),"")</f>
        <v/>
      </c>
      <c r="F117" s="7">
        <f t="array" ref="F117">IFERROR(INDEX('Order Planning'!$G$5:$G$204,MATCH(B117,'Order Planning'!$A$5:$A$204,0)),0)</f>
        <v>0</v>
      </c>
      <c r="H117" s="7">
        <f t="shared" si="1"/>
        <v>0</v>
      </c>
      <c r="J117" s="7">
        <f t="shared" si="2"/>
        <v>0</v>
      </c>
      <c r="N117" s="7"/>
      <c r="O117" s="7"/>
      <c r="P117" s="7"/>
    </row>
    <row r="118" ht="15.75" customHeight="1">
      <c r="A118" s="15"/>
      <c r="B118" s="7"/>
      <c r="C118" s="7" t="str">
        <f t="array" ref="C118">IFERROR(INDEX('Order Planning'!$C$5:$C$204,MATCH(B118,'Order Planning'!$A$5:$A$204,0)),"")</f>
        <v/>
      </c>
      <c r="D118" s="7" t="str">
        <f t="array" ref="D118">IFERROR(INDEX('Order Planning'!$E$5:$E$204,MATCH(B118,'Order Planning'!$A$5:$A$204,0)),"")</f>
        <v/>
      </c>
      <c r="E118" s="7" t="str">
        <f t="array" ref="E118">IFERROR(INDEX('Order Planning'!$F$5:$F$204,MATCH(B118,'Order Planning'!$A$5:$A$204,0)),"")</f>
        <v/>
      </c>
      <c r="F118" s="7">
        <f t="array" ref="F118">IFERROR(INDEX('Order Planning'!$G$5:$G$204,MATCH(B118,'Order Planning'!$A$5:$A$204,0)),0)</f>
        <v>0</v>
      </c>
      <c r="H118" s="7">
        <f t="shared" si="1"/>
        <v>0</v>
      </c>
      <c r="J118" s="7">
        <f t="shared" si="2"/>
        <v>0</v>
      </c>
      <c r="N118" s="7"/>
      <c r="O118" s="7"/>
      <c r="P118" s="7"/>
    </row>
    <row r="119" ht="15.75" customHeight="1">
      <c r="A119" s="15"/>
      <c r="B119" s="7"/>
      <c r="C119" s="7" t="str">
        <f t="array" ref="C119">IFERROR(INDEX('Order Planning'!$C$5:$C$204,MATCH(B119,'Order Planning'!$A$5:$A$204,0)),"")</f>
        <v/>
      </c>
      <c r="D119" s="7" t="str">
        <f t="array" ref="D119">IFERROR(INDEX('Order Planning'!$E$5:$E$204,MATCH(B119,'Order Planning'!$A$5:$A$204,0)),"")</f>
        <v/>
      </c>
      <c r="E119" s="7" t="str">
        <f t="array" ref="E119">IFERROR(INDEX('Order Planning'!$F$5:$F$204,MATCH(B119,'Order Planning'!$A$5:$A$204,0)),"")</f>
        <v/>
      </c>
      <c r="F119" s="7">
        <f t="array" ref="F119">IFERROR(INDEX('Order Planning'!$G$5:$G$204,MATCH(B119,'Order Planning'!$A$5:$A$204,0)),0)</f>
        <v>0</v>
      </c>
      <c r="H119" s="7">
        <f t="shared" si="1"/>
        <v>0</v>
      </c>
      <c r="J119" s="7">
        <f t="shared" si="2"/>
        <v>0</v>
      </c>
      <c r="N119" s="7"/>
      <c r="O119" s="7"/>
      <c r="P119" s="7"/>
    </row>
    <row r="120" ht="15.75" customHeight="1">
      <c r="A120" s="15"/>
      <c r="B120" s="7"/>
      <c r="C120" s="7" t="str">
        <f t="array" ref="C120">IFERROR(INDEX('Order Planning'!$C$5:$C$204,MATCH(B120,'Order Planning'!$A$5:$A$204,0)),"")</f>
        <v/>
      </c>
      <c r="D120" s="7" t="str">
        <f t="array" ref="D120">IFERROR(INDEX('Order Planning'!$E$5:$E$204,MATCH(B120,'Order Planning'!$A$5:$A$204,0)),"")</f>
        <v/>
      </c>
      <c r="E120" s="7" t="str">
        <f t="array" ref="E120">IFERROR(INDEX('Order Planning'!$F$5:$F$204,MATCH(B120,'Order Planning'!$A$5:$A$204,0)),"")</f>
        <v/>
      </c>
      <c r="F120" s="7">
        <f t="array" ref="F120">IFERROR(INDEX('Order Planning'!$G$5:$G$204,MATCH(B120,'Order Planning'!$A$5:$A$204,0)),0)</f>
        <v>0</v>
      </c>
      <c r="H120" s="7">
        <f t="shared" si="1"/>
        <v>0</v>
      </c>
      <c r="J120" s="7">
        <f t="shared" si="2"/>
        <v>0</v>
      </c>
      <c r="N120" s="7"/>
      <c r="O120" s="7"/>
      <c r="P120" s="7"/>
    </row>
    <row r="121" ht="15.75" customHeight="1">
      <c r="A121" s="15"/>
      <c r="B121" s="7"/>
      <c r="C121" s="7" t="str">
        <f t="array" ref="C121">IFERROR(INDEX('Order Planning'!$C$5:$C$204,MATCH(B121,'Order Planning'!$A$5:$A$204,0)),"")</f>
        <v/>
      </c>
      <c r="D121" s="7" t="str">
        <f t="array" ref="D121">IFERROR(INDEX('Order Planning'!$E$5:$E$204,MATCH(B121,'Order Planning'!$A$5:$A$204,0)),"")</f>
        <v/>
      </c>
      <c r="E121" s="7" t="str">
        <f t="array" ref="E121">IFERROR(INDEX('Order Planning'!$F$5:$F$204,MATCH(B121,'Order Planning'!$A$5:$A$204,0)),"")</f>
        <v/>
      </c>
      <c r="F121" s="7">
        <f t="array" ref="F121">IFERROR(INDEX('Order Planning'!$G$5:$G$204,MATCH(B121,'Order Planning'!$A$5:$A$204,0)),0)</f>
        <v>0</v>
      </c>
      <c r="H121" s="7">
        <f t="shared" si="1"/>
        <v>0</v>
      </c>
      <c r="J121" s="7">
        <f t="shared" si="2"/>
        <v>0</v>
      </c>
      <c r="N121" s="7"/>
      <c r="O121" s="7"/>
      <c r="P121" s="7"/>
    </row>
    <row r="122" ht="15.75" customHeight="1">
      <c r="A122" s="15"/>
      <c r="B122" s="7"/>
      <c r="C122" s="7" t="str">
        <f t="array" ref="C122">IFERROR(INDEX('Order Planning'!$C$5:$C$204,MATCH(B122,'Order Planning'!$A$5:$A$204,0)),"")</f>
        <v/>
      </c>
      <c r="D122" s="7" t="str">
        <f t="array" ref="D122">IFERROR(INDEX('Order Planning'!$E$5:$E$204,MATCH(B122,'Order Planning'!$A$5:$A$204,0)),"")</f>
        <v/>
      </c>
      <c r="E122" s="7" t="str">
        <f t="array" ref="E122">IFERROR(INDEX('Order Planning'!$F$5:$F$204,MATCH(B122,'Order Planning'!$A$5:$A$204,0)),"")</f>
        <v/>
      </c>
      <c r="F122" s="7">
        <f t="array" ref="F122">IFERROR(INDEX('Order Planning'!$G$5:$G$204,MATCH(B122,'Order Planning'!$A$5:$A$204,0)),0)</f>
        <v>0</v>
      </c>
      <c r="H122" s="7">
        <f t="shared" si="1"/>
        <v>0</v>
      </c>
      <c r="J122" s="7">
        <f t="shared" si="2"/>
        <v>0</v>
      </c>
      <c r="N122" s="7"/>
      <c r="O122" s="7"/>
      <c r="P122" s="7"/>
    </row>
    <row r="123" ht="15.75" customHeight="1">
      <c r="A123" s="15"/>
      <c r="B123" s="7"/>
      <c r="C123" s="7" t="str">
        <f t="array" ref="C123">IFERROR(INDEX('Order Planning'!$C$5:$C$204,MATCH(B123,'Order Planning'!$A$5:$A$204,0)),"")</f>
        <v/>
      </c>
      <c r="D123" s="7" t="str">
        <f t="array" ref="D123">IFERROR(INDEX('Order Planning'!$E$5:$E$204,MATCH(B123,'Order Planning'!$A$5:$A$204,0)),"")</f>
        <v/>
      </c>
      <c r="E123" s="7" t="str">
        <f t="array" ref="E123">IFERROR(INDEX('Order Planning'!$F$5:$F$204,MATCH(B123,'Order Planning'!$A$5:$A$204,0)),"")</f>
        <v/>
      </c>
      <c r="F123" s="7">
        <f t="array" ref="F123">IFERROR(INDEX('Order Planning'!$G$5:$G$204,MATCH(B123,'Order Planning'!$A$5:$A$204,0)),0)</f>
        <v>0</v>
      </c>
      <c r="H123" s="7">
        <f t="shared" si="1"/>
        <v>0</v>
      </c>
      <c r="J123" s="7">
        <f t="shared" si="2"/>
        <v>0</v>
      </c>
      <c r="N123" s="7"/>
      <c r="O123" s="7"/>
      <c r="P123" s="7"/>
    </row>
    <row r="124" ht="15.75" customHeight="1">
      <c r="A124" s="15"/>
      <c r="B124" s="7"/>
      <c r="C124" s="7" t="str">
        <f t="array" ref="C124">IFERROR(INDEX('Order Planning'!$C$5:$C$204,MATCH(B124,'Order Planning'!$A$5:$A$204,0)),"")</f>
        <v/>
      </c>
      <c r="D124" s="7" t="str">
        <f t="array" ref="D124">IFERROR(INDEX('Order Planning'!$E$5:$E$204,MATCH(B124,'Order Planning'!$A$5:$A$204,0)),"")</f>
        <v/>
      </c>
      <c r="E124" s="7" t="str">
        <f t="array" ref="E124">IFERROR(INDEX('Order Planning'!$F$5:$F$204,MATCH(B124,'Order Planning'!$A$5:$A$204,0)),"")</f>
        <v/>
      </c>
      <c r="F124" s="7">
        <f t="array" ref="F124">IFERROR(INDEX('Order Planning'!$G$5:$G$204,MATCH(B124,'Order Planning'!$A$5:$A$204,0)),0)</f>
        <v>0</v>
      </c>
      <c r="H124" s="7">
        <f t="shared" si="1"/>
        <v>0</v>
      </c>
      <c r="J124" s="7">
        <f t="shared" si="2"/>
        <v>0</v>
      </c>
      <c r="N124" s="7"/>
      <c r="O124" s="7"/>
      <c r="P124" s="7"/>
    </row>
    <row r="125" ht="15.75" customHeight="1">
      <c r="A125" s="15"/>
      <c r="B125" s="7"/>
      <c r="C125" s="7" t="str">
        <f t="array" ref="C125">IFERROR(INDEX('Order Planning'!$C$5:$C$204,MATCH(B125,'Order Planning'!$A$5:$A$204,0)),"")</f>
        <v/>
      </c>
      <c r="D125" s="7" t="str">
        <f t="array" ref="D125">IFERROR(INDEX('Order Planning'!$E$5:$E$204,MATCH(B125,'Order Planning'!$A$5:$A$204,0)),"")</f>
        <v/>
      </c>
      <c r="E125" s="7" t="str">
        <f t="array" ref="E125">IFERROR(INDEX('Order Planning'!$F$5:$F$204,MATCH(B125,'Order Planning'!$A$5:$A$204,0)),"")</f>
        <v/>
      </c>
      <c r="F125" s="7">
        <f t="array" ref="F125">IFERROR(INDEX('Order Planning'!$G$5:$G$204,MATCH(B125,'Order Planning'!$A$5:$A$204,0)),0)</f>
        <v>0</v>
      </c>
      <c r="H125" s="7">
        <f t="shared" si="1"/>
        <v>0</v>
      </c>
      <c r="J125" s="7">
        <f t="shared" si="2"/>
        <v>0</v>
      </c>
      <c r="N125" s="7"/>
      <c r="O125" s="7"/>
      <c r="P125" s="7"/>
    </row>
    <row r="126" ht="15.75" customHeight="1">
      <c r="A126" s="15"/>
      <c r="B126" s="7"/>
      <c r="C126" s="7" t="str">
        <f t="array" ref="C126">IFERROR(INDEX('Order Planning'!$C$5:$C$204,MATCH(B126,'Order Planning'!$A$5:$A$204,0)),"")</f>
        <v/>
      </c>
      <c r="D126" s="7" t="str">
        <f t="array" ref="D126">IFERROR(INDEX('Order Planning'!$E$5:$E$204,MATCH(B126,'Order Planning'!$A$5:$A$204,0)),"")</f>
        <v/>
      </c>
      <c r="E126" s="7" t="str">
        <f t="array" ref="E126">IFERROR(INDEX('Order Planning'!$F$5:$F$204,MATCH(B126,'Order Planning'!$A$5:$A$204,0)),"")</f>
        <v/>
      </c>
      <c r="F126" s="7">
        <f t="array" ref="F126">IFERROR(INDEX('Order Planning'!$G$5:$G$204,MATCH(B126,'Order Planning'!$A$5:$A$204,0)),0)</f>
        <v>0</v>
      </c>
      <c r="H126" s="7">
        <f t="shared" si="1"/>
        <v>0</v>
      </c>
      <c r="J126" s="7">
        <f t="shared" si="2"/>
        <v>0</v>
      </c>
      <c r="N126" s="7"/>
      <c r="O126" s="7"/>
      <c r="P126" s="7"/>
    </row>
    <row r="127" ht="15.75" customHeight="1">
      <c r="A127" s="15"/>
      <c r="B127" s="7"/>
      <c r="C127" s="7" t="str">
        <f t="array" ref="C127">IFERROR(INDEX('Order Planning'!$C$5:$C$204,MATCH(B127,'Order Planning'!$A$5:$A$204,0)),"")</f>
        <v/>
      </c>
      <c r="D127" s="7" t="str">
        <f t="array" ref="D127">IFERROR(INDEX('Order Planning'!$E$5:$E$204,MATCH(B127,'Order Planning'!$A$5:$A$204,0)),"")</f>
        <v/>
      </c>
      <c r="E127" s="7" t="str">
        <f t="array" ref="E127">IFERROR(INDEX('Order Planning'!$F$5:$F$204,MATCH(B127,'Order Planning'!$A$5:$A$204,0)),"")</f>
        <v/>
      </c>
      <c r="F127" s="7">
        <f t="array" ref="F127">IFERROR(INDEX('Order Planning'!$G$5:$G$204,MATCH(B127,'Order Planning'!$A$5:$A$204,0)),0)</f>
        <v>0</v>
      </c>
      <c r="H127" s="7">
        <f t="shared" si="1"/>
        <v>0</v>
      </c>
      <c r="J127" s="7">
        <f t="shared" si="2"/>
        <v>0</v>
      </c>
      <c r="N127" s="7"/>
      <c r="O127" s="7"/>
      <c r="P127" s="7"/>
    </row>
    <row r="128" ht="15.75" customHeight="1">
      <c r="A128" s="15"/>
      <c r="B128" s="7"/>
      <c r="C128" s="7" t="str">
        <f t="array" ref="C128">IFERROR(INDEX('Order Planning'!$C$5:$C$204,MATCH(B128,'Order Planning'!$A$5:$A$204,0)),"")</f>
        <v/>
      </c>
      <c r="D128" s="7" t="str">
        <f t="array" ref="D128">IFERROR(INDEX('Order Planning'!$E$5:$E$204,MATCH(B128,'Order Planning'!$A$5:$A$204,0)),"")</f>
        <v/>
      </c>
      <c r="E128" s="7" t="str">
        <f t="array" ref="E128">IFERROR(INDEX('Order Planning'!$F$5:$F$204,MATCH(B128,'Order Planning'!$A$5:$A$204,0)),"")</f>
        <v/>
      </c>
      <c r="F128" s="7">
        <f t="array" ref="F128">IFERROR(INDEX('Order Planning'!$G$5:$G$204,MATCH(B128,'Order Planning'!$A$5:$A$204,0)),0)</f>
        <v>0</v>
      </c>
      <c r="H128" s="7">
        <f t="shared" si="1"/>
        <v>0</v>
      </c>
      <c r="J128" s="7">
        <f t="shared" si="2"/>
        <v>0</v>
      </c>
      <c r="N128" s="7"/>
      <c r="O128" s="7"/>
      <c r="P128" s="7"/>
    </row>
    <row r="129" ht="15.75" customHeight="1">
      <c r="A129" s="15"/>
      <c r="B129" s="7"/>
      <c r="C129" s="7" t="str">
        <f t="array" ref="C129">IFERROR(INDEX('Order Planning'!$C$5:$C$204,MATCH(B129,'Order Planning'!$A$5:$A$204,0)),"")</f>
        <v/>
      </c>
      <c r="D129" s="7" t="str">
        <f t="array" ref="D129">IFERROR(INDEX('Order Planning'!$E$5:$E$204,MATCH(B129,'Order Planning'!$A$5:$A$204,0)),"")</f>
        <v/>
      </c>
      <c r="E129" s="7" t="str">
        <f t="array" ref="E129">IFERROR(INDEX('Order Planning'!$F$5:$F$204,MATCH(B129,'Order Planning'!$A$5:$A$204,0)),"")</f>
        <v/>
      </c>
      <c r="F129" s="7">
        <f t="array" ref="F129">IFERROR(INDEX('Order Planning'!$G$5:$G$204,MATCH(B129,'Order Planning'!$A$5:$A$204,0)),0)</f>
        <v>0</v>
      </c>
      <c r="H129" s="7">
        <f t="shared" si="1"/>
        <v>0</v>
      </c>
      <c r="J129" s="7">
        <f t="shared" si="2"/>
        <v>0</v>
      </c>
      <c r="N129" s="7"/>
      <c r="O129" s="7"/>
      <c r="P129" s="7"/>
    </row>
    <row r="130" ht="15.75" customHeight="1">
      <c r="A130" s="15"/>
      <c r="B130" s="7"/>
      <c r="C130" s="7" t="str">
        <f t="array" ref="C130">IFERROR(INDEX('Order Planning'!$C$5:$C$204,MATCH(B130,'Order Planning'!$A$5:$A$204,0)),"")</f>
        <v/>
      </c>
      <c r="D130" s="7" t="str">
        <f t="array" ref="D130">IFERROR(INDEX('Order Planning'!$E$5:$E$204,MATCH(B130,'Order Planning'!$A$5:$A$204,0)),"")</f>
        <v/>
      </c>
      <c r="E130" s="7" t="str">
        <f t="array" ref="E130">IFERROR(INDEX('Order Planning'!$F$5:$F$204,MATCH(B130,'Order Planning'!$A$5:$A$204,0)),"")</f>
        <v/>
      </c>
      <c r="F130" s="7">
        <f t="array" ref="F130">IFERROR(INDEX('Order Planning'!$G$5:$G$204,MATCH(B130,'Order Planning'!$A$5:$A$204,0)),0)</f>
        <v>0</v>
      </c>
      <c r="H130" s="7">
        <f t="shared" si="1"/>
        <v>0</v>
      </c>
      <c r="J130" s="7">
        <f t="shared" si="2"/>
        <v>0</v>
      </c>
      <c r="N130" s="7"/>
      <c r="O130" s="7"/>
      <c r="P130" s="7"/>
    </row>
    <row r="131" ht="15.75" customHeight="1">
      <c r="A131" s="15"/>
      <c r="B131" s="7"/>
      <c r="C131" s="7" t="str">
        <f t="array" ref="C131">IFERROR(INDEX('Order Planning'!$C$5:$C$204,MATCH(B131,'Order Planning'!$A$5:$A$204,0)),"")</f>
        <v/>
      </c>
      <c r="D131" s="7" t="str">
        <f t="array" ref="D131">IFERROR(INDEX('Order Planning'!$E$5:$E$204,MATCH(B131,'Order Planning'!$A$5:$A$204,0)),"")</f>
        <v/>
      </c>
      <c r="E131" s="7" t="str">
        <f t="array" ref="E131">IFERROR(INDEX('Order Planning'!$F$5:$F$204,MATCH(B131,'Order Planning'!$A$5:$A$204,0)),"")</f>
        <v/>
      </c>
      <c r="F131" s="7">
        <f t="array" ref="F131">IFERROR(INDEX('Order Planning'!$G$5:$G$204,MATCH(B131,'Order Planning'!$A$5:$A$204,0)),0)</f>
        <v>0</v>
      </c>
      <c r="H131" s="7">
        <f t="shared" si="1"/>
        <v>0</v>
      </c>
      <c r="J131" s="7">
        <f t="shared" si="2"/>
        <v>0</v>
      </c>
      <c r="N131" s="7"/>
      <c r="O131" s="7"/>
      <c r="P131" s="7"/>
    </row>
    <row r="132" ht="15.75" customHeight="1">
      <c r="A132" s="15"/>
      <c r="B132" s="7"/>
      <c r="C132" s="7" t="str">
        <f t="array" ref="C132">IFERROR(INDEX('Order Planning'!$C$5:$C$204,MATCH(B132,'Order Planning'!$A$5:$A$204,0)),"")</f>
        <v/>
      </c>
      <c r="D132" s="7" t="str">
        <f t="array" ref="D132">IFERROR(INDEX('Order Planning'!$E$5:$E$204,MATCH(B132,'Order Planning'!$A$5:$A$204,0)),"")</f>
        <v/>
      </c>
      <c r="E132" s="7" t="str">
        <f t="array" ref="E132">IFERROR(INDEX('Order Planning'!$F$5:$F$204,MATCH(B132,'Order Planning'!$A$5:$A$204,0)),"")</f>
        <v/>
      </c>
      <c r="F132" s="7">
        <f t="array" ref="F132">IFERROR(INDEX('Order Planning'!$G$5:$G$204,MATCH(B132,'Order Planning'!$A$5:$A$204,0)),0)</f>
        <v>0</v>
      </c>
      <c r="H132" s="7">
        <f t="shared" si="1"/>
        <v>0</v>
      </c>
      <c r="J132" s="7">
        <f t="shared" si="2"/>
        <v>0</v>
      </c>
      <c r="N132" s="7"/>
      <c r="O132" s="7"/>
      <c r="P132" s="7"/>
    </row>
    <row r="133" ht="15.75" customHeight="1">
      <c r="A133" s="15"/>
      <c r="B133" s="7"/>
      <c r="C133" s="7" t="str">
        <f t="array" ref="C133">IFERROR(INDEX('Order Planning'!$C$5:$C$204,MATCH(B133,'Order Planning'!$A$5:$A$204,0)),"")</f>
        <v/>
      </c>
      <c r="D133" s="7" t="str">
        <f t="array" ref="D133">IFERROR(INDEX('Order Planning'!$E$5:$E$204,MATCH(B133,'Order Planning'!$A$5:$A$204,0)),"")</f>
        <v/>
      </c>
      <c r="E133" s="7" t="str">
        <f t="array" ref="E133">IFERROR(INDEX('Order Planning'!$F$5:$F$204,MATCH(B133,'Order Planning'!$A$5:$A$204,0)),"")</f>
        <v/>
      </c>
      <c r="F133" s="7">
        <f t="array" ref="F133">IFERROR(INDEX('Order Planning'!$G$5:$G$204,MATCH(B133,'Order Planning'!$A$5:$A$204,0)),0)</f>
        <v>0</v>
      </c>
      <c r="H133" s="7">
        <f t="shared" si="1"/>
        <v>0</v>
      </c>
      <c r="J133" s="7">
        <f t="shared" si="2"/>
        <v>0</v>
      </c>
      <c r="N133" s="7"/>
      <c r="O133" s="7"/>
      <c r="P133" s="7"/>
    </row>
    <row r="134" ht="15.75" customHeight="1">
      <c r="A134" s="15"/>
      <c r="B134" s="7"/>
      <c r="C134" s="7" t="str">
        <f t="array" ref="C134">IFERROR(INDEX('Order Planning'!$C$5:$C$204,MATCH(B134,'Order Planning'!$A$5:$A$204,0)),"")</f>
        <v/>
      </c>
      <c r="D134" s="7" t="str">
        <f t="array" ref="D134">IFERROR(INDEX('Order Planning'!$E$5:$E$204,MATCH(B134,'Order Planning'!$A$5:$A$204,0)),"")</f>
        <v/>
      </c>
      <c r="E134" s="7" t="str">
        <f t="array" ref="E134">IFERROR(INDEX('Order Planning'!$F$5:$F$204,MATCH(B134,'Order Planning'!$A$5:$A$204,0)),"")</f>
        <v/>
      </c>
      <c r="F134" s="7">
        <f t="array" ref="F134">IFERROR(INDEX('Order Planning'!$G$5:$G$204,MATCH(B134,'Order Planning'!$A$5:$A$204,0)),0)</f>
        <v>0</v>
      </c>
      <c r="H134" s="7">
        <f t="shared" si="1"/>
        <v>0</v>
      </c>
      <c r="J134" s="7">
        <f t="shared" si="2"/>
        <v>0</v>
      </c>
      <c r="N134" s="7"/>
      <c r="O134" s="7"/>
      <c r="P134" s="7"/>
    </row>
    <row r="135" ht="15.75" customHeight="1">
      <c r="A135" s="15"/>
      <c r="B135" s="7"/>
      <c r="C135" s="7" t="str">
        <f t="array" ref="C135">IFERROR(INDEX('Order Planning'!$C$5:$C$204,MATCH(B135,'Order Planning'!$A$5:$A$204,0)),"")</f>
        <v/>
      </c>
      <c r="D135" s="7" t="str">
        <f t="array" ref="D135">IFERROR(INDEX('Order Planning'!$E$5:$E$204,MATCH(B135,'Order Planning'!$A$5:$A$204,0)),"")</f>
        <v/>
      </c>
      <c r="E135" s="7" t="str">
        <f t="array" ref="E135">IFERROR(INDEX('Order Planning'!$F$5:$F$204,MATCH(B135,'Order Planning'!$A$5:$A$204,0)),"")</f>
        <v/>
      </c>
      <c r="F135" s="7">
        <f t="array" ref="F135">IFERROR(INDEX('Order Planning'!$G$5:$G$204,MATCH(B135,'Order Planning'!$A$5:$A$204,0)),0)</f>
        <v>0</v>
      </c>
      <c r="H135" s="7">
        <f t="shared" si="1"/>
        <v>0</v>
      </c>
      <c r="J135" s="7">
        <f t="shared" si="2"/>
        <v>0</v>
      </c>
      <c r="N135" s="7"/>
      <c r="O135" s="7"/>
      <c r="P135" s="7"/>
    </row>
    <row r="136" ht="15.75" customHeight="1">
      <c r="A136" s="15"/>
      <c r="B136" s="7"/>
      <c r="C136" s="7" t="str">
        <f t="array" ref="C136">IFERROR(INDEX('Order Planning'!$C$5:$C$204,MATCH(B136,'Order Planning'!$A$5:$A$204,0)),"")</f>
        <v/>
      </c>
      <c r="D136" s="7" t="str">
        <f t="array" ref="D136">IFERROR(INDEX('Order Planning'!$E$5:$E$204,MATCH(B136,'Order Planning'!$A$5:$A$204,0)),"")</f>
        <v/>
      </c>
      <c r="E136" s="7" t="str">
        <f t="array" ref="E136">IFERROR(INDEX('Order Planning'!$F$5:$F$204,MATCH(B136,'Order Planning'!$A$5:$A$204,0)),"")</f>
        <v/>
      </c>
      <c r="F136" s="7">
        <f t="array" ref="F136">IFERROR(INDEX('Order Planning'!$G$5:$G$204,MATCH(B136,'Order Planning'!$A$5:$A$204,0)),0)</f>
        <v>0</v>
      </c>
      <c r="H136" s="7">
        <f t="shared" si="1"/>
        <v>0</v>
      </c>
      <c r="J136" s="7">
        <f t="shared" si="2"/>
        <v>0</v>
      </c>
      <c r="N136" s="7"/>
      <c r="O136" s="7"/>
      <c r="P136" s="7"/>
    </row>
    <row r="137" ht="15.75" customHeight="1">
      <c r="A137" s="15"/>
      <c r="B137" s="7"/>
      <c r="C137" s="7" t="str">
        <f t="array" ref="C137">IFERROR(INDEX('Order Planning'!$C$5:$C$204,MATCH(B137,'Order Planning'!$A$5:$A$204,0)),"")</f>
        <v/>
      </c>
      <c r="D137" s="7" t="str">
        <f t="array" ref="D137">IFERROR(INDEX('Order Planning'!$E$5:$E$204,MATCH(B137,'Order Planning'!$A$5:$A$204,0)),"")</f>
        <v/>
      </c>
      <c r="E137" s="7" t="str">
        <f t="array" ref="E137">IFERROR(INDEX('Order Planning'!$F$5:$F$204,MATCH(B137,'Order Planning'!$A$5:$A$204,0)),"")</f>
        <v/>
      </c>
      <c r="F137" s="7">
        <f t="array" ref="F137">IFERROR(INDEX('Order Planning'!$G$5:$G$204,MATCH(B137,'Order Planning'!$A$5:$A$204,0)),0)</f>
        <v>0</v>
      </c>
      <c r="H137" s="7">
        <f t="shared" si="1"/>
        <v>0</v>
      </c>
      <c r="J137" s="7">
        <f t="shared" si="2"/>
        <v>0</v>
      </c>
      <c r="N137" s="7"/>
      <c r="O137" s="7"/>
      <c r="P137" s="7"/>
    </row>
    <row r="138" ht="15.75" customHeight="1">
      <c r="A138" s="15"/>
      <c r="B138" s="7"/>
      <c r="C138" s="7" t="str">
        <f t="array" ref="C138">IFERROR(INDEX('Order Planning'!$C$5:$C$204,MATCH(B138,'Order Planning'!$A$5:$A$204,0)),"")</f>
        <v/>
      </c>
      <c r="D138" s="7" t="str">
        <f t="array" ref="D138">IFERROR(INDEX('Order Planning'!$E$5:$E$204,MATCH(B138,'Order Planning'!$A$5:$A$204,0)),"")</f>
        <v/>
      </c>
      <c r="E138" s="7" t="str">
        <f t="array" ref="E138">IFERROR(INDEX('Order Planning'!$F$5:$F$204,MATCH(B138,'Order Planning'!$A$5:$A$204,0)),"")</f>
        <v/>
      </c>
      <c r="F138" s="7">
        <f t="array" ref="F138">IFERROR(INDEX('Order Planning'!$G$5:$G$204,MATCH(B138,'Order Planning'!$A$5:$A$204,0)),0)</f>
        <v>0</v>
      </c>
      <c r="H138" s="7">
        <f t="shared" si="1"/>
        <v>0</v>
      </c>
      <c r="J138" s="7">
        <f t="shared" si="2"/>
        <v>0</v>
      </c>
      <c r="N138" s="7"/>
      <c r="O138" s="7"/>
      <c r="P138" s="7"/>
    </row>
    <row r="139" ht="15.75" customHeight="1">
      <c r="A139" s="15"/>
      <c r="B139" s="7"/>
      <c r="C139" s="7" t="str">
        <f t="array" ref="C139">IFERROR(INDEX('Order Planning'!$C$5:$C$204,MATCH(B139,'Order Planning'!$A$5:$A$204,0)),"")</f>
        <v/>
      </c>
      <c r="D139" s="7" t="str">
        <f t="array" ref="D139">IFERROR(INDEX('Order Planning'!$E$5:$E$204,MATCH(B139,'Order Planning'!$A$5:$A$204,0)),"")</f>
        <v/>
      </c>
      <c r="E139" s="7" t="str">
        <f t="array" ref="E139">IFERROR(INDEX('Order Planning'!$F$5:$F$204,MATCH(B139,'Order Planning'!$A$5:$A$204,0)),"")</f>
        <v/>
      </c>
      <c r="F139" s="7">
        <f t="array" ref="F139">IFERROR(INDEX('Order Planning'!$G$5:$G$204,MATCH(B139,'Order Planning'!$A$5:$A$204,0)),0)</f>
        <v>0</v>
      </c>
      <c r="H139" s="7">
        <f t="shared" si="1"/>
        <v>0</v>
      </c>
      <c r="J139" s="7">
        <f t="shared" si="2"/>
        <v>0</v>
      </c>
      <c r="N139" s="7"/>
      <c r="O139" s="7"/>
      <c r="P139" s="7"/>
    </row>
    <row r="140" ht="15.75" customHeight="1">
      <c r="A140" s="15"/>
      <c r="B140" s="7"/>
      <c r="C140" s="7" t="str">
        <f t="array" ref="C140">IFERROR(INDEX('Order Planning'!$C$5:$C$204,MATCH(B140,'Order Planning'!$A$5:$A$204,0)),"")</f>
        <v/>
      </c>
      <c r="D140" s="7" t="str">
        <f t="array" ref="D140">IFERROR(INDEX('Order Planning'!$E$5:$E$204,MATCH(B140,'Order Planning'!$A$5:$A$204,0)),"")</f>
        <v/>
      </c>
      <c r="E140" s="7" t="str">
        <f t="array" ref="E140">IFERROR(INDEX('Order Planning'!$F$5:$F$204,MATCH(B140,'Order Planning'!$A$5:$A$204,0)),"")</f>
        <v/>
      </c>
      <c r="F140" s="7">
        <f t="array" ref="F140">IFERROR(INDEX('Order Planning'!$G$5:$G$204,MATCH(B140,'Order Planning'!$A$5:$A$204,0)),0)</f>
        <v>0</v>
      </c>
      <c r="H140" s="7">
        <f t="shared" si="1"/>
        <v>0</v>
      </c>
      <c r="J140" s="7">
        <f t="shared" si="2"/>
        <v>0</v>
      </c>
      <c r="N140" s="7"/>
      <c r="O140" s="7"/>
      <c r="P140" s="7"/>
    </row>
    <row r="141" ht="15.75" customHeight="1">
      <c r="A141" s="15"/>
      <c r="B141" s="7"/>
      <c r="C141" s="7" t="str">
        <f t="array" ref="C141">IFERROR(INDEX('Order Planning'!$C$5:$C$204,MATCH(B141,'Order Planning'!$A$5:$A$204,0)),"")</f>
        <v/>
      </c>
      <c r="D141" s="7" t="str">
        <f t="array" ref="D141">IFERROR(INDEX('Order Planning'!$E$5:$E$204,MATCH(B141,'Order Planning'!$A$5:$A$204,0)),"")</f>
        <v/>
      </c>
      <c r="E141" s="7" t="str">
        <f t="array" ref="E141">IFERROR(INDEX('Order Planning'!$F$5:$F$204,MATCH(B141,'Order Planning'!$A$5:$A$204,0)),"")</f>
        <v/>
      </c>
      <c r="F141" s="7">
        <f t="array" ref="F141">IFERROR(INDEX('Order Planning'!$G$5:$G$204,MATCH(B141,'Order Planning'!$A$5:$A$204,0)),0)</f>
        <v>0</v>
      </c>
      <c r="H141" s="7">
        <f t="shared" si="1"/>
        <v>0</v>
      </c>
      <c r="J141" s="7">
        <f t="shared" si="2"/>
        <v>0</v>
      </c>
      <c r="N141" s="7"/>
      <c r="O141" s="7"/>
      <c r="P141" s="7"/>
    </row>
    <row r="142" ht="15.75" customHeight="1">
      <c r="A142" s="15"/>
      <c r="B142" s="7"/>
      <c r="C142" s="7" t="str">
        <f t="array" ref="C142">IFERROR(INDEX('Order Planning'!$C$5:$C$204,MATCH(B142,'Order Planning'!$A$5:$A$204,0)),"")</f>
        <v/>
      </c>
      <c r="D142" s="7" t="str">
        <f t="array" ref="D142">IFERROR(INDEX('Order Planning'!$E$5:$E$204,MATCH(B142,'Order Planning'!$A$5:$A$204,0)),"")</f>
        <v/>
      </c>
      <c r="E142" s="7" t="str">
        <f t="array" ref="E142">IFERROR(INDEX('Order Planning'!$F$5:$F$204,MATCH(B142,'Order Planning'!$A$5:$A$204,0)),"")</f>
        <v/>
      </c>
      <c r="F142" s="7">
        <f t="array" ref="F142">IFERROR(INDEX('Order Planning'!$G$5:$G$204,MATCH(B142,'Order Planning'!$A$5:$A$204,0)),0)</f>
        <v>0</v>
      </c>
      <c r="H142" s="7">
        <f t="shared" si="1"/>
        <v>0</v>
      </c>
      <c r="J142" s="7">
        <f t="shared" si="2"/>
        <v>0</v>
      </c>
      <c r="N142" s="7"/>
      <c r="O142" s="7"/>
      <c r="P142" s="7"/>
    </row>
    <row r="143" ht="15.75" customHeight="1">
      <c r="A143" s="15"/>
      <c r="B143" s="7"/>
      <c r="C143" s="7" t="str">
        <f t="array" ref="C143">IFERROR(INDEX('Order Planning'!$C$5:$C$204,MATCH(B143,'Order Planning'!$A$5:$A$204,0)),"")</f>
        <v/>
      </c>
      <c r="D143" s="7" t="str">
        <f t="array" ref="D143">IFERROR(INDEX('Order Planning'!$E$5:$E$204,MATCH(B143,'Order Planning'!$A$5:$A$204,0)),"")</f>
        <v/>
      </c>
      <c r="E143" s="7" t="str">
        <f t="array" ref="E143">IFERROR(INDEX('Order Planning'!$F$5:$F$204,MATCH(B143,'Order Planning'!$A$5:$A$204,0)),"")</f>
        <v/>
      </c>
      <c r="F143" s="7">
        <f t="array" ref="F143">IFERROR(INDEX('Order Planning'!$G$5:$G$204,MATCH(B143,'Order Planning'!$A$5:$A$204,0)),0)</f>
        <v>0</v>
      </c>
      <c r="H143" s="7">
        <f t="shared" si="1"/>
        <v>0</v>
      </c>
      <c r="J143" s="7">
        <f t="shared" si="2"/>
        <v>0</v>
      </c>
      <c r="N143" s="7"/>
      <c r="O143" s="7"/>
      <c r="P143" s="7"/>
    </row>
    <row r="144" ht="15.75" customHeight="1">
      <c r="A144" s="15"/>
      <c r="B144" s="7"/>
      <c r="C144" s="7" t="str">
        <f t="array" ref="C144">IFERROR(INDEX('Order Planning'!$C$5:$C$204,MATCH(B144,'Order Planning'!$A$5:$A$204,0)),"")</f>
        <v/>
      </c>
      <c r="D144" s="7" t="str">
        <f t="array" ref="D144">IFERROR(INDEX('Order Planning'!$E$5:$E$204,MATCH(B144,'Order Planning'!$A$5:$A$204,0)),"")</f>
        <v/>
      </c>
      <c r="E144" s="7" t="str">
        <f t="array" ref="E144">IFERROR(INDEX('Order Planning'!$F$5:$F$204,MATCH(B144,'Order Planning'!$A$5:$A$204,0)),"")</f>
        <v/>
      </c>
      <c r="F144" s="7">
        <f t="array" ref="F144">IFERROR(INDEX('Order Planning'!$G$5:$G$204,MATCH(B144,'Order Planning'!$A$5:$A$204,0)),0)</f>
        <v>0</v>
      </c>
      <c r="H144" s="7">
        <f t="shared" si="1"/>
        <v>0</v>
      </c>
      <c r="J144" s="7">
        <f t="shared" si="2"/>
        <v>0</v>
      </c>
      <c r="N144" s="7"/>
      <c r="O144" s="7"/>
      <c r="P144" s="7"/>
    </row>
    <row r="145" ht="15.75" customHeight="1">
      <c r="A145" s="15"/>
      <c r="B145" s="7"/>
      <c r="C145" s="7" t="str">
        <f t="array" ref="C145">IFERROR(INDEX('Order Planning'!$C$5:$C$204,MATCH(B145,'Order Planning'!$A$5:$A$204,0)),"")</f>
        <v/>
      </c>
      <c r="D145" s="7" t="str">
        <f t="array" ref="D145">IFERROR(INDEX('Order Planning'!$E$5:$E$204,MATCH(B145,'Order Planning'!$A$5:$A$204,0)),"")</f>
        <v/>
      </c>
      <c r="E145" s="7" t="str">
        <f t="array" ref="E145">IFERROR(INDEX('Order Planning'!$F$5:$F$204,MATCH(B145,'Order Planning'!$A$5:$A$204,0)),"")</f>
        <v/>
      </c>
      <c r="F145" s="7">
        <f t="array" ref="F145">IFERROR(INDEX('Order Planning'!$G$5:$G$204,MATCH(B145,'Order Planning'!$A$5:$A$204,0)),0)</f>
        <v>0</v>
      </c>
      <c r="H145" s="7">
        <f t="shared" si="1"/>
        <v>0</v>
      </c>
      <c r="J145" s="7">
        <f t="shared" si="2"/>
        <v>0</v>
      </c>
      <c r="N145" s="7"/>
      <c r="O145" s="7"/>
      <c r="P145" s="7"/>
    </row>
    <row r="146" ht="15.75" customHeight="1">
      <c r="A146" s="15"/>
      <c r="B146" s="7"/>
      <c r="C146" s="7" t="str">
        <f t="array" ref="C146">IFERROR(INDEX('Order Planning'!$C$5:$C$204,MATCH(B146,'Order Planning'!$A$5:$A$204,0)),"")</f>
        <v/>
      </c>
      <c r="D146" s="7" t="str">
        <f t="array" ref="D146">IFERROR(INDEX('Order Planning'!$E$5:$E$204,MATCH(B146,'Order Planning'!$A$5:$A$204,0)),"")</f>
        <v/>
      </c>
      <c r="E146" s="7" t="str">
        <f t="array" ref="E146">IFERROR(INDEX('Order Planning'!$F$5:$F$204,MATCH(B146,'Order Planning'!$A$5:$A$204,0)),"")</f>
        <v/>
      </c>
      <c r="F146" s="7">
        <f t="array" ref="F146">IFERROR(INDEX('Order Planning'!$G$5:$G$204,MATCH(B146,'Order Planning'!$A$5:$A$204,0)),0)</f>
        <v>0</v>
      </c>
      <c r="H146" s="7">
        <f t="shared" si="1"/>
        <v>0</v>
      </c>
      <c r="J146" s="7">
        <f t="shared" si="2"/>
        <v>0</v>
      </c>
      <c r="N146" s="7"/>
      <c r="O146" s="7"/>
      <c r="P146" s="7"/>
    </row>
    <row r="147" ht="15.75" customHeight="1">
      <c r="A147" s="15"/>
      <c r="B147" s="7"/>
      <c r="C147" s="7" t="str">
        <f t="array" ref="C147">IFERROR(INDEX('Order Planning'!$C$5:$C$204,MATCH(B147,'Order Planning'!$A$5:$A$204,0)),"")</f>
        <v/>
      </c>
      <c r="D147" s="7" t="str">
        <f t="array" ref="D147">IFERROR(INDEX('Order Planning'!$E$5:$E$204,MATCH(B147,'Order Planning'!$A$5:$A$204,0)),"")</f>
        <v/>
      </c>
      <c r="E147" s="7" t="str">
        <f t="array" ref="E147">IFERROR(INDEX('Order Planning'!$F$5:$F$204,MATCH(B147,'Order Planning'!$A$5:$A$204,0)),"")</f>
        <v/>
      </c>
      <c r="F147" s="7">
        <f t="array" ref="F147">IFERROR(INDEX('Order Planning'!$G$5:$G$204,MATCH(B147,'Order Planning'!$A$5:$A$204,0)),0)</f>
        <v>0</v>
      </c>
      <c r="H147" s="7">
        <f t="shared" si="1"/>
        <v>0</v>
      </c>
      <c r="J147" s="7">
        <f t="shared" si="2"/>
        <v>0</v>
      </c>
      <c r="N147" s="7"/>
      <c r="O147" s="7"/>
      <c r="P147" s="7"/>
    </row>
    <row r="148" ht="15.75" customHeight="1">
      <c r="A148" s="15"/>
      <c r="B148" s="7"/>
      <c r="C148" s="7" t="str">
        <f t="array" ref="C148">IFERROR(INDEX('Order Planning'!$C$5:$C$204,MATCH(B148,'Order Planning'!$A$5:$A$204,0)),"")</f>
        <v/>
      </c>
      <c r="D148" s="7" t="str">
        <f t="array" ref="D148">IFERROR(INDEX('Order Planning'!$E$5:$E$204,MATCH(B148,'Order Planning'!$A$5:$A$204,0)),"")</f>
        <v/>
      </c>
      <c r="E148" s="7" t="str">
        <f t="array" ref="E148">IFERROR(INDEX('Order Planning'!$F$5:$F$204,MATCH(B148,'Order Planning'!$A$5:$A$204,0)),"")</f>
        <v/>
      </c>
      <c r="F148" s="7">
        <f t="array" ref="F148">IFERROR(INDEX('Order Planning'!$G$5:$G$204,MATCH(B148,'Order Planning'!$A$5:$A$204,0)),0)</f>
        <v>0</v>
      </c>
      <c r="H148" s="7">
        <f t="shared" si="1"/>
        <v>0</v>
      </c>
      <c r="J148" s="7">
        <f t="shared" si="2"/>
        <v>0</v>
      </c>
      <c r="N148" s="7"/>
      <c r="O148" s="7"/>
      <c r="P148" s="7"/>
    </row>
    <row r="149" ht="15.75" customHeight="1">
      <c r="A149" s="15"/>
      <c r="B149" s="7"/>
      <c r="C149" s="7" t="str">
        <f t="array" ref="C149">IFERROR(INDEX('Order Planning'!$C$5:$C$204,MATCH(B149,'Order Planning'!$A$5:$A$204,0)),"")</f>
        <v/>
      </c>
      <c r="D149" s="7" t="str">
        <f t="array" ref="D149">IFERROR(INDEX('Order Planning'!$E$5:$E$204,MATCH(B149,'Order Planning'!$A$5:$A$204,0)),"")</f>
        <v/>
      </c>
      <c r="E149" s="7" t="str">
        <f t="array" ref="E149">IFERROR(INDEX('Order Planning'!$F$5:$F$204,MATCH(B149,'Order Planning'!$A$5:$A$204,0)),"")</f>
        <v/>
      </c>
      <c r="F149" s="7">
        <f t="array" ref="F149">IFERROR(INDEX('Order Planning'!$G$5:$G$204,MATCH(B149,'Order Planning'!$A$5:$A$204,0)),0)</f>
        <v>0</v>
      </c>
      <c r="H149" s="7">
        <f t="shared" si="1"/>
        <v>0</v>
      </c>
      <c r="J149" s="7">
        <f t="shared" si="2"/>
        <v>0</v>
      </c>
      <c r="N149" s="7"/>
      <c r="O149" s="7"/>
      <c r="P149" s="7"/>
    </row>
    <row r="150" ht="15.75" customHeight="1">
      <c r="A150" s="15"/>
      <c r="B150" s="7"/>
      <c r="C150" s="7" t="str">
        <f t="array" ref="C150">IFERROR(INDEX('Order Planning'!$C$5:$C$204,MATCH(B150,'Order Planning'!$A$5:$A$204,0)),"")</f>
        <v/>
      </c>
      <c r="D150" s="7" t="str">
        <f t="array" ref="D150">IFERROR(INDEX('Order Planning'!$E$5:$E$204,MATCH(B150,'Order Planning'!$A$5:$A$204,0)),"")</f>
        <v/>
      </c>
      <c r="E150" s="7" t="str">
        <f t="array" ref="E150">IFERROR(INDEX('Order Planning'!$F$5:$F$204,MATCH(B150,'Order Planning'!$A$5:$A$204,0)),"")</f>
        <v/>
      </c>
      <c r="F150" s="7">
        <f t="array" ref="F150">IFERROR(INDEX('Order Planning'!$G$5:$G$204,MATCH(B150,'Order Planning'!$A$5:$A$204,0)),0)</f>
        <v>0</v>
      </c>
      <c r="H150" s="7">
        <f t="shared" si="1"/>
        <v>0</v>
      </c>
      <c r="J150" s="7">
        <f t="shared" si="2"/>
        <v>0</v>
      </c>
      <c r="N150" s="7"/>
      <c r="O150" s="7"/>
      <c r="P150" s="7"/>
    </row>
    <row r="151" ht="15.75" customHeight="1">
      <c r="A151" s="15"/>
      <c r="B151" s="7"/>
      <c r="C151" s="7" t="str">
        <f t="array" ref="C151">IFERROR(INDEX('Order Planning'!$C$5:$C$204,MATCH(B151,'Order Planning'!$A$5:$A$204,0)),"")</f>
        <v/>
      </c>
      <c r="D151" s="7" t="str">
        <f t="array" ref="D151">IFERROR(INDEX('Order Planning'!$E$5:$E$204,MATCH(B151,'Order Planning'!$A$5:$A$204,0)),"")</f>
        <v/>
      </c>
      <c r="E151" s="7" t="str">
        <f t="array" ref="E151">IFERROR(INDEX('Order Planning'!$F$5:$F$204,MATCH(B151,'Order Planning'!$A$5:$A$204,0)),"")</f>
        <v/>
      </c>
      <c r="F151" s="7">
        <f t="array" ref="F151">IFERROR(INDEX('Order Planning'!$G$5:$G$204,MATCH(B151,'Order Planning'!$A$5:$A$204,0)),0)</f>
        <v>0</v>
      </c>
      <c r="H151" s="7">
        <f t="shared" si="1"/>
        <v>0</v>
      </c>
      <c r="J151" s="7">
        <f t="shared" si="2"/>
        <v>0</v>
      </c>
      <c r="N151" s="7"/>
      <c r="O151" s="7"/>
      <c r="P151" s="7"/>
    </row>
    <row r="152" ht="15.75" customHeight="1">
      <c r="A152" s="15"/>
      <c r="B152" s="7"/>
      <c r="C152" s="7" t="str">
        <f t="array" ref="C152">IFERROR(INDEX('Order Planning'!$C$5:$C$204,MATCH(B152,'Order Planning'!$A$5:$A$204,0)),"")</f>
        <v/>
      </c>
      <c r="D152" s="7" t="str">
        <f t="array" ref="D152">IFERROR(INDEX('Order Planning'!$E$5:$E$204,MATCH(B152,'Order Planning'!$A$5:$A$204,0)),"")</f>
        <v/>
      </c>
      <c r="E152" s="7" t="str">
        <f t="array" ref="E152">IFERROR(INDEX('Order Planning'!$F$5:$F$204,MATCH(B152,'Order Planning'!$A$5:$A$204,0)),"")</f>
        <v/>
      </c>
      <c r="F152" s="7">
        <f t="array" ref="F152">IFERROR(INDEX('Order Planning'!$G$5:$G$204,MATCH(B152,'Order Planning'!$A$5:$A$204,0)),0)</f>
        <v>0</v>
      </c>
      <c r="H152" s="7">
        <f t="shared" si="1"/>
        <v>0</v>
      </c>
      <c r="J152" s="7">
        <f t="shared" si="2"/>
        <v>0</v>
      </c>
      <c r="N152" s="7"/>
      <c r="O152" s="7"/>
      <c r="P152" s="7"/>
    </row>
    <row r="153" ht="15.75" customHeight="1">
      <c r="A153" s="15"/>
      <c r="B153" s="7"/>
      <c r="C153" s="7" t="str">
        <f t="array" ref="C153">IFERROR(INDEX('Order Planning'!$C$5:$C$204,MATCH(B153,'Order Planning'!$A$5:$A$204,0)),"")</f>
        <v/>
      </c>
      <c r="D153" s="7" t="str">
        <f t="array" ref="D153">IFERROR(INDEX('Order Planning'!$E$5:$E$204,MATCH(B153,'Order Planning'!$A$5:$A$204,0)),"")</f>
        <v/>
      </c>
      <c r="E153" s="7" t="str">
        <f t="array" ref="E153">IFERROR(INDEX('Order Planning'!$F$5:$F$204,MATCH(B153,'Order Planning'!$A$5:$A$204,0)),"")</f>
        <v/>
      </c>
      <c r="F153" s="7">
        <f t="array" ref="F153">IFERROR(INDEX('Order Planning'!$G$5:$G$204,MATCH(B153,'Order Planning'!$A$5:$A$204,0)),0)</f>
        <v>0</v>
      </c>
      <c r="H153" s="7">
        <f t="shared" si="1"/>
        <v>0</v>
      </c>
      <c r="J153" s="7">
        <f t="shared" si="2"/>
        <v>0</v>
      </c>
      <c r="N153" s="7"/>
      <c r="O153" s="7"/>
      <c r="P153" s="7"/>
    </row>
    <row r="154" ht="15.75" customHeight="1">
      <c r="A154" s="15"/>
      <c r="B154" s="7"/>
      <c r="C154" s="7" t="str">
        <f t="array" ref="C154">IFERROR(INDEX('Order Planning'!$C$5:$C$204,MATCH(B154,'Order Planning'!$A$5:$A$204,0)),"")</f>
        <v/>
      </c>
      <c r="D154" s="7" t="str">
        <f t="array" ref="D154">IFERROR(INDEX('Order Planning'!$E$5:$E$204,MATCH(B154,'Order Planning'!$A$5:$A$204,0)),"")</f>
        <v/>
      </c>
      <c r="E154" s="7" t="str">
        <f t="array" ref="E154">IFERROR(INDEX('Order Planning'!$F$5:$F$204,MATCH(B154,'Order Planning'!$A$5:$A$204,0)),"")</f>
        <v/>
      </c>
      <c r="F154" s="7">
        <f t="array" ref="F154">IFERROR(INDEX('Order Planning'!$G$5:$G$204,MATCH(B154,'Order Planning'!$A$5:$A$204,0)),0)</f>
        <v>0</v>
      </c>
      <c r="H154" s="7">
        <f t="shared" si="1"/>
        <v>0</v>
      </c>
      <c r="J154" s="7">
        <f t="shared" si="2"/>
        <v>0</v>
      </c>
      <c r="N154" s="7"/>
      <c r="O154" s="7"/>
      <c r="P154" s="7"/>
    </row>
    <row r="155" ht="15.75" customHeight="1">
      <c r="A155" s="15"/>
      <c r="B155" s="7"/>
      <c r="C155" s="7" t="str">
        <f t="array" ref="C155">IFERROR(INDEX('Order Planning'!$C$5:$C$204,MATCH(B155,'Order Planning'!$A$5:$A$204,0)),"")</f>
        <v/>
      </c>
      <c r="D155" s="7" t="str">
        <f t="array" ref="D155">IFERROR(INDEX('Order Planning'!$E$5:$E$204,MATCH(B155,'Order Planning'!$A$5:$A$204,0)),"")</f>
        <v/>
      </c>
      <c r="E155" s="7" t="str">
        <f t="array" ref="E155">IFERROR(INDEX('Order Planning'!$F$5:$F$204,MATCH(B155,'Order Planning'!$A$5:$A$204,0)),"")</f>
        <v/>
      </c>
      <c r="F155" s="7">
        <f t="array" ref="F155">IFERROR(INDEX('Order Planning'!$G$5:$G$204,MATCH(B155,'Order Planning'!$A$5:$A$204,0)),0)</f>
        <v>0</v>
      </c>
      <c r="H155" s="7">
        <f t="shared" si="1"/>
        <v>0</v>
      </c>
      <c r="J155" s="7">
        <f t="shared" si="2"/>
        <v>0</v>
      </c>
      <c r="N155" s="7"/>
      <c r="O155" s="7"/>
      <c r="P155" s="7"/>
    </row>
    <row r="156" ht="15.75" customHeight="1">
      <c r="A156" s="15"/>
      <c r="B156" s="7"/>
      <c r="C156" s="7" t="str">
        <f t="array" ref="C156">IFERROR(INDEX('Order Planning'!$C$5:$C$204,MATCH(B156,'Order Planning'!$A$5:$A$204,0)),"")</f>
        <v/>
      </c>
      <c r="D156" s="7" t="str">
        <f t="array" ref="D156">IFERROR(INDEX('Order Planning'!$E$5:$E$204,MATCH(B156,'Order Planning'!$A$5:$A$204,0)),"")</f>
        <v/>
      </c>
      <c r="E156" s="7" t="str">
        <f t="array" ref="E156">IFERROR(INDEX('Order Planning'!$F$5:$F$204,MATCH(B156,'Order Planning'!$A$5:$A$204,0)),"")</f>
        <v/>
      </c>
      <c r="F156" s="7">
        <f t="array" ref="F156">IFERROR(INDEX('Order Planning'!$G$5:$G$204,MATCH(B156,'Order Planning'!$A$5:$A$204,0)),0)</f>
        <v>0</v>
      </c>
      <c r="H156" s="7">
        <f t="shared" si="1"/>
        <v>0</v>
      </c>
      <c r="J156" s="7">
        <f t="shared" si="2"/>
        <v>0</v>
      </c>
      <c r="N156" s="7"/>
      <c r="O156" s="7"/>
      <c r="P156" s="7"/>
    </row>
    <row r="157" ht="15.75" customHeight="1">
      <c r="A157" s="15"/>
      <c r="B157" s="7"/>
      <c r="C157" s="7" t="str">
        <f t="array" ref="C157">IFERROR(INDEX('Order Planning'!$C$5:$C$204,MATCH(B157,'Order Planning'!$A$5:$A$204,0)),"")</f>
        <v/>
      </c>
      <c r="D157" s="7" t="str">
        <f t="array" ref="D157">IFERROR(INDEX('Order Planning'!$E$5:$E$204,MATCH(B157,'Order Planning'!$A$5:$A$204,0)),"")</f>
        <v/>
      </c>
      <c r="E157" s="7" t="str">
        <f t="array" ref="E157">IFERROR(INDEX('Order Planning'!$F$5:$F$204,MATCH(B157,'Order Planning'!$A$5:$A$204,0)),"")</f>
        <v/>
      </c>
      <c r="F157" s="7">
        <f t="array" ref="F157">IFERROR(INDEX('Order Planning'!$G$5:$G$204,MATCH(B157,'Order Planning'!$A$5:$A$204,0)),0)</f>
        <v>0</v>
      </c>
      <c r="H157" s="7">
        <f t="shared" si="1"/>
        <v>0</v>
      </c>
      <c r="J157" s="7">
        <f t="shared" si="2"/>
        <v>0</v>
      </c>
      <c r="N157" s="7"/>
      <c r="O157" s="7"/>
      <c r="P157" s="7"/>
    </row>
    <row r="158" ht="15.75" customHeight="1">
      <c r="A158" s="15"/>
      <c r="B158" s="7"/>
      <c r="C158" s="7" t="str">
        <f t="array" ref="C158">IFERROR(INDEX('Order Planning'!$C$5:$C$204,MATCH(B158,'Order Planning'!$A$5:$A$204,0)),"")</f>
        <v/>
      </c>
      <c r="D158" s="7" t="str">
        <f t="array" ref="D158">IFERROR(INDEX('Order Planning'!$E$5:$E$204,MATCH(B158,'Order Planning'!$A$5:$A$204,0)),"")</f>
        <v/>
      </c>
      <c r="E158" s="7" t="str">
        <f t="array" ref="E158">IFERROR(INDEX('Order Planning'!$F$5:$F$204,MATCH(B158,'Order Planning'!$A$5:$A$204,0)),"")</f>
        <v/>
      </c>
      <c r="F158" s="7">
        <f t="array" ref="F158">IFERROR(INDEX('Order Planning'!$G$5:$G$204,MATCH(B158,'Order Planning'!$A$5:$A$204,0)),0)</f>
        <v>0</v>
      </c>
      <c r="H158" s="7">
        <f t="shared" si="1"/>
        <v>0</v>
      </c>
      <c r="J158" s="7">
        <f t="shared" si="2"/>
        <v>0</v>
      </c>
      <c r="N158" s="7"/>
      <c r="O158" s="7"/>
      <c r="P158" s="7"/>
    </row>
    <row r="159" ht="15.75" customHeight="1">
      <c r="A159" s="15"/>
      <c r="B159" s="7"/>
      <c r="C159" s="7" t="str">
        <f t="array" ref="C159">IFERROR(INDEX('Order Planning'!$C$5:$C$204,MATCH(B159,'Order Planning'!$A$5:$A$204,0)),"")</f>
        <v/>
      </c>
      <c r="D159" s="7" t="str">
        <f t="array" ref="D159">IFERROR(INDEX('Order Planning'!$E$5:$E$204,MATCH(B159,'Order Planning'!$A$5:$A$204,0)),"")</f>
        <v/>
      </c>
      <c r="E159" s="7" t="str">
        <f t="array" ref="E159">IFERROR(INDEX('Order Planning'!$F$5:$F$204,MATCH(B159,'Order Planning'!$A$5:$A$204,0)),"")</f>
        <v/>
      </c>
      <c r="F159" s="7">
        <f t="array" ref="F159">IFERROR(INDEX('Order Planning'!$G$5:$G$204,MATCH(B159,'Order Planning'!$A$5:$A$204,0)),0)</f>
        <v>0</v>
      </c>
      <c r="H159" s="7">
        <f t="shared" si="1"/>
        <v>0</v>
      </c>
      <c r="J159" s="7">
        <f t="shared" si="2"/>
        <v>0</v>
      </c>
      <c r="N159" s="7"/>
      <c r="O159" s="7"/>
      <c r="P159" s="7"/>
    </row>
    <row r="160" ht="15.75" customHeight="1">
      <c r="A160" s="15"/>
      <c r="B160" s="7"/>
      <c r="C160" s="7" t="str">
        <f t="array" ref="C160">IFERROR(INDEX('Order Planning'!$C$5:$C$204,MATCH(B160,'Order Planning'!$A$5:$A$204,0)),"")</f>
        <v/>
      </c>
      <c r="D160" s="7" t="str">
        <f t="array" ref="D160">IFERROR(INDEX('Order Planning'!$E$5:$E$204,MATCH(B160,'Order Planning'!$A$5:$A$204,0)),"")</f>
        <v/>
      </c>
      <c r="E160" s="7" t="str">
        <f t="array" ref="E160">IFERROR(INDEX('Order Planning'!$F$5:$F$204,MATCH(B160,'Order Planning'!$A$5:$A$204,0)),"")</f>
        <v/>
      </c>
      <c r="F160" s="7">
        <f t="array" ref="F160">IFERROR(INDEX('Order Planning'!$G$5:$G$204,MATCH(B160,'Order Planning'!$A$5:$A$204,0)),0)</f>
        <v>0</v>
      </c>
      <c r="H160" s="7">
        <f t="shared" si="1"/>
        <v>0</v>
      </c>
      <c r="J160" s="7">
        <f t="shared" si="2"/>
        <v>0</v>
      </c>
      <c r="N160" s="7"/>
      <c r="O160" s="7"/>
      <c r="P160" s="7"/>
    </row>
    <row r="161" ht="15.75" customHeight="1">
      <c r="A161" s="15"/>
      <c r="B161" s="7"/>
      <c r="C161" s="7" t="str">
        <f t="array" ref="C161">IFERROR(INDEX('Order Planning'!$C$5:$C$204,MATCH(B161,'Order Planning'!$A$5:$A$204,0)),"")</f>
        <v/>
      </c>
      <c r="D161" s="7" t="str">
        <f t="array" ref="D161">IFERROR(INDEX('Order Planning'!$E$5:$E$204,MATCH(B161,'Order Planning'!$A$5:$A$204,0)),"")</f>
        <v/>
      </c>
      <c r="E161" s="7" t="str">
        <f t="array" ref="E161">IFERROR(INDEX('Order Planning'!$F$5:$F$204,MATCH(B161,'Order Planning'!$A$5:$A$204,0)),"")</f>
        <v/>
      </c>
      <c r="F161" s="7">
        <f t="array" ref="F161">IFERROR(INDEX('Order Planning'!$G$5:$G$204,MATCH(B161,'Order Planning'!$A$5:$A$204,0)),0)</f>
        <v>0</v>
      </c>
      <c r="H161" s="7">
        <f t="shared" si="1"/>
        <v>0</v>
      </c>
      <c r="J161" s="7">
        <f t="shared" si="2"/>
        <v>0</v>
      </c>
      <c r="N161" s="7"/>
      <c r="O161" s="7"/>
      <c r="P161" s="7"/>
    </row>
    <row r="162" ht="15.75" customHeight="1">
      <c r="A162" s="15"/>
      <c r="B162" s="7"/>
      <c r="C162" s="7" t="str">
        <f t="array" ref="C162">IFERROR(INDEX('Order Planning'!$C$5:$C$204,MATCH(B162,'Order Planning'!$A$5:$A$204,0)),"")</f>
        <v/>
      </c>
      <c r="D162" s="7" t="str">
        <f t="array" ref="D162">IFERROR(INDEX('Order Planning'!$E$5:$E$204,MATCH(B162,'Order Planning'!$A$5:$A$204,0)),"")</f>
        <v/>
      </c>
      <c r="E162" s="7" t="str">
        <f t="array" ref="E162">IFERROR(INDEX('Order Planning'!$F$5:$F$204,MATCH(B162,'Order Planning'!$A$5:$A$204,0)),"")</f>
        <v/>
      </c>
      <c r="F162" s="7">
        <f t="array" ref="F162">IFERROR(INDEX('Order Planning'!$G$5:$G$204,MATCH(B162,'Order Planning'!$A$5:$A$204,0)),0)</f>
        <v>0</v>
      </c>
      <c r="H162" s="7">
        <f t="shared" si="1"/>
        <v>0</v>
      </c>
      <c r="J162" s="7">
        <f t="shared" si="2"/>
        <v>0</v>
      </c>
      <c r="N162" s="7"/>
      <c r="O162" s="7"/>
      <c r="P162" s="7"/>
    </row>
    <row r="163" ht="15.75" customHeight="1">
      <c r="A163" s="15"/>
      <c r="B163" s="7"/>
      <c r="C163" s="7" t="str">
        <f t="array" ref="C163">IFERROR(INDEX('Order Planning'!$C$5:$C$204,MATCH(B163,'Order Planning'!$A$5:$A$204,0)),"")</f>
        <v/>
      </c>
      <c r="D163" s="7" t="str">
        <f t="array" ref="D163">IFERROR(INDEX('Order Planning'!$E$5:$E$204,MATCH(B163,'Order Planning'!$A$5:$A$204,0)),"")</f>
        <v/>
      </c>
      <c r="E163" s="7" t="str">
        <f t="array" ref="E163">IFERROR(INDEX('Order Planning'!$F$5:$F$204,MATCH(B163,'Order Planning'!$A$5:$A$204,0)),"")</f>
        <v/>
      </c>
      <c r="F163" s="7">
        <f t="array" ref="F163">IFERROR(INDEX('Order Planning'!$G$5:$G$204,MATCH(B163,'Order Planning'!$A$5:$A$204,0)),0)</f>
        <v>0</v>
      </c>
      <c r="H163" s="7">
        <f t="shared" si="1"/>
        <v>0</v>
      </c>
      <c r="J163" s="7">
        <f t="shared" si="2"/>
        <v>0</v>
      </c>
      <c r="N163" s="7"/>
      <c r="O163" s="7"/>
      <c r="P163" s="7"/>
    </row>
    <row r="164" ht="15.75" customHeight="1">
      <c r="A164" s="15"/>
      <c r="B164" s="7"/>
      <c r="C164" s="7" t="str">
        <f t="array" ref="C164">IFERROR(INDEX('Order Planning'!$C$5:$C$204,MATCH(B164,'Order Planning'!$A$5:$A$204,0)),"")</f>
        <v/>
      </c>
      <c r="D164" s="7" t="str">
        <f t="array" ref="D164">IFERROR(INDEX('Order Planning'!$E$5:$E$204,MATCH(B164,'Order Planning'!$A$5:$A$204,0)),"")</f>
        <v/>
      </c>
      <c r="E164" s="7" t="str">
        <f t="array" ref="E164">IFERROR(INDEX('Order Planning'!$F$5:$F$204,MATCH(B164,'Order Planning'!$A$5:$A$204,0)),"")</f>
        <v/>
      </c>
      <c r="F164" s="7">
        <f t="array" ref="F164">IFERROR(INDEX('Order Planning'!$G$5:$G$204,MATCH(B164,'Order Planning'!$A$5:$A$204,0)),0)</f>
        <v>0</v>
      </c>
      <c r="H164" s="7">
        <f t="shared" si="1"/>
        <v>0</v>
      </c>
      <c r="J164" s="7">
        <f t="shared" si="2"/>
        <v>0</v>
      </c>
      <c r="N164" s="7"/>
      <c r="O164" s="7"/>
      <c r="P164" s="7"/>
    </row>
    <row r="165" ht="15.75" customHeight="1">
      <c r="A165" s="15"/>
      <c r="B165" s="7"/>
      <c r="C165" s="7" t="str">
        <f t="array" ref="C165">IFERROR(INDEX('Order Planning'!$C$5:$C$204,MATCH(B165,'Order Planning'!$A$5:$A$204,0)),"")</f>
        <v/>
      </c>
      <c r="D165" s="7" t="str">
        <f t="array" ref="D165">IFERROR(INDEX('Order Planning'!$E$5:$E$204,MATCH(B165,'Order Planning'!$A$5:$A$204,0)),"")</f>
        <v/>
      </c>
      <c r="E165" s="7" t="str">
        <f t="array" ref="E165">IFERROR(INDEX('Order Planning'!$F$5:$F$204,MATCH(B165,'Order Planning'!$A$5:$A$204,0)),"")</f>
        <v/>
      </c>
      <c r="F165" s="7">
        <f t="array" ref="F165">IFERROR(INDEX('Order Planning'!$G$5:$G$204,MATCH(B165,'Order Planning'!$A$5:$A$204,0)),0)</f>
        <v>0</v>
      </c>
      <c r="H165" s="7">
        <f t="shared" si="1"/>
        <v>0</v>
      </c>
      <c r="J165" s="7">
        <f t="shared" si="2"/>
        <v>0</v>
      </c>
      <c r="N165" s="7"/>
      <c r="O165" s="7"/>
      <c r="P165" s="7"/>
    </row>
    <row r="166" ht="15.75" customHeight="1">
      <c r="A166" s="15"/>
      <c r="B166" s="7"/>
      <c r="C166" s="7" t="str">
        <f t="array" ref="C166">IFERROR(INDEX('Order Planning'!$C$5:$C$204,MATCH(B166,'Order Planning'!$A$5:$A$204,0)),"")</f>
        <v/>
      </c>
      <c r="D166" s="7" t="str">
        <f t="array" ref="D166">IFERROR(INDEX('Order Planning'!$E$5:$E$204,MATCH(B166,'Order Planning'!$A$5:$A$204,0)),"")</f>
        <v/>
      </c>
      <c r="E166" s="7" t="str">
        <f t="array" ref="E166">IFERROR(INDEX('Order Planning'!$F$5:$F$204,MATCH(B166,'Order Planning'!$A$5:$A$204,0)),"")</f>
        <v/>
      </c>
      <c r="F166" s="7">
        <f t="array" ref="F166">IFERROR(INDEX('Order Planning'!$G$5:$G$204,MATCH(B166,'Order Planning'!$A$5:$A$204,0)),0)</f>
        <v>0</v>
      </c>
      <c r="H166" s="7">
        <f t="shared" si="1"/>
        <v>0</v>
      </c>
      <c r="J166" s="7">
        <f t="shared" si="2"/>
        <v>0</v>
      </c>
      <c r="N166" s="7"/>
      <c r="O166" s="7"/>
      <c r="P166" s="7"/>
    </row>
    <row r="167" ht="15.75" customHeight="1">
      <c r="A167" s="15"/>
      <c r="B167" s="7"/>
      <c r="C167" s="7" t="str">
        <f t="array" ref="C167">IFERROR(INDEX('Order Planning'!$C$5:$C$204,MATCH(B167,'Order Planning'!$A$5:$A$204,0)),"")</f>
        <v/>
      </c>
      <c r="D167" s="7" t="str">
        <f t="array" ref="D167">IFERROR(INDEX('Order Planning'!$E$5:$E$204,MATCH(B167,'Order Planning'!$A$5:$A$204,0)),"")</f>
        <v/>
      </c>
      <c r="E167" s="7" t="str">
        <f t="array" ref="E167">IFERROR(INDEX('Order Planning'!$F$5:$F$204,MATCH(B167,'Order Planning'!$A$5:$A$204,0)),"")</f>
        <v/>
      </c>
      <c r="F167" s="7">
        <f t="array" ref="F167">IFERROR(INDEX('Order Planning'!$G$5:$G$204,MATCH(B167,'Order Planning'!$A$5:$A$204,0)),0)</f>
        <v>0</v>
      </c>
      <c r="H167" s="7">
        <f t="shared" si="1"/>
        <v>0</v>
      </c>
      <c r="J167" s="7">
        <f t="shared" si="2"/>
        <v>0</v>
      </c>
      <c r="N167" s="7"/>
      <c r="O167" s="7"/>
      <c r="P167" s="7"/>
    </row>
    <row r="168" ht="15.75" customHeight="1">
      <c r="A168" s="15"/>
      <c r="B168" s="7"/>
      <c r="C168" s="7" t="str">
        <f t="array" ref="C168">IFERROR(INDEX('Order Planning'!$C$5:$C$204,MATCH(B168,'Order Planning'!$A$5:$A$204,0)),"")</f>
        <v/>
      </c>
      <c r="D168" s="7" t="str">
        <f t="array" ref="D168">IFERROR(INDEX('Order Planning'!$E$5:$E$204,MATCH(B168,'Order Planning'!$A$5:$A$204,0)),"")</f>
        <v/>
      </c>
      <c r="E168" s="7" t="str">
        <f t="array" ref="E168">IFERROR(INDEX('Order Planning'!$F$5:$F$204,MATCH(B168,'Order Planning'!$A$5:$A$204,0)),"")</f>
        <v/>
      </c>
      <c r="F168" s="7">
        <f t="array" ref="F168">IFERROR(INDEX('Order Planning'!$G$5:$G$204,MATCH(B168,'Order Planning'!$A$5:$A$204,0)),0)</f>
        <v>0</v>
      </c>
      <c r="H168" s="7">
        <f t="shared" si="1"/>
        <v>0</v>
      </c>
      <c r="J168" s="7">
        <f t="shared" si="2"/>
        <v>0</v>
      </c>
      <c r="N168" s="7"/>
      <c r="O168" s="7"/>
      <c r="P168" s="7"/>
    </row>
    <row r="169" ht="15.75" customHeight="1">
      <c r="A169" s="15"/>
      <c r="B169" s="7"/>
      <c r="C169" s="7" t="str">
        <f t="array" ref="C169">IFERROR(INDEX('Order Planning'!$C$5:$C$204,MATCH(B169,'Order Planning'!$A$5:$A$204,0)),"")</f>
        <v/>
      </c>
      <c r="D169" s="7" t="str">
        <f t="array" ref="D169">IFERROR(INDEX('Order Planning'!$E$5:$E$204,MATCH(B169,'Order Planning'!$A$5:$A$204,0)),"")</f>
        <v/>
      </c>
      <c r="E169" s="7" t="str">
        <f t="array" ref="E169">IFERROR(INDEX('Order Planning'!$F$5:$F$204,MATCH(B169,'Order Planning'!$A$5:$A$204,0)),"")</f>
        <v/>
      </c>
      <c r="F169" s="7">
        <f t="array" ref="F169">IFERROR(INDEX('Order Planning'!$G$5:$G$204,MATCH(B169,'Order Planning'!$A$5:$A$204,0)),0)</f>
        <v>0</v>
      </c>
      <c r="H169" s="7">
        <f t="shared" si="1"/>
        <v>0</v>
      </c>
      <c r="J169" s="7">
        <f t="shared" si="2"/>
        <v>0</v>
      </c>
      <c r="N169" s="7"/>
      <c r="O169" s="7"/>
      <c r="P169" s="7"/>
    </row>
    <row r="170" ht="15.75" customHeight="1">
      <c r="A170" s="15"/>
      <c r="B170" s="7"/>
      <c r="C170" s="7" t="str">
        <f t="array" ref="C170">IFERROR(INDEX('Order Planning'!$C$5:$C$204,MATCH(B170,'Order Planning'!$A$5:$A$204,0)),"")</f>
        <v/>
      </c>
      <c r="D170" s="7" t="str">
        <f t="array" ref="D170">IFERROR(INDEX('Order Planning'!$E$5:$E$204,MATCH(B170,'Order Planning'!$A$5:$A$204,0)),"")</f>
        <v/>
      </c>
      <c r="E170" s="7" t="str">
        <f t="array" ref="E170">IFERROR(INDEX('Order Planning'!$F$5:$F$204,MATCH(B170,'Order Planning'!$A$5:$A$204,0)),"")</f>
        <v/>
      </c>
      <c r="F170" s="7">
        <f t="array" ref="F170">IFERROR(INDEX('Order Planning'!$G$5:$G$204,MATCH(B170,'Order Planning'!$A$5:$A$204,0)),0)</f>
        <v>0</v>
      </c>
      <c r="H170" s="7">
        <f t="shared" si="1"/>
        <v>0</v>
      </c>
      <c r="J170" s="7">
        <f t="shared" si="2"/>
        <v>0</v>
      </c>
      <c r="N170" s="7"/>
      <c r="O170" s="7"/>
      <c r="P170" s="7"/>
    </row>
    <row r="171" ht="15.75" customHeight="1">
      <c r="A171" s="15"/>
      <c r="B171" s="7"/>
      <c r="C171" s="7" t="str">
        <f t="array" ref="C171">IFERROR(INDEX('Order Planning'!$C$5:$C$204,MATCH(B171,'Order Planning'!$A$5:$A$204,0)),"")</f>
        <v/>
      </c>
      <c r="D171" s="7" t="str">
        <f t="array" ref="D171">IFERROR(INDEX('Order Planning'!$E$5:$E$204,MATCH(B171,'Order Planning'!$A$5:$A$204,0)),"")</f>
        <v/>
      </c>
      <c r="E171" s="7" t="str">
        <f t="array" ref="E171">IFERROR(INDEX('Order Planning'!$F$5:$F$204,MATCH(B171,'Order Planning'!$A$5:$A$204,0)),"")</f>
        <v/>
      </c>
      <c r="F171" s="7">
        <f t="array" ref="F171">IFERROR(INDEX('Order Planning'!$G$5:$G$204,MATCH(B171,'Order Planning'!$A$5:$A$204,0)),0)</f>
        <v>0</v>
      </c>
      <c r="H171" s="7">
        <f t="shared" si="1"/>
        <v>0</v>
      </c>
      <c r="J171" s="7">
        <f t="shared" si="2"/>
        <v>0</v>
      </c>
      <c r="N171" s="7"/>
      <c r="O171" s="7"/>
      <c r="P171" s="7"/>
    </row>
    <row r="172" ht="15.75" customHeight="1">
      <c r="A172" s="15"/>
      <c r="B172" s="7"/>
      <c r="C172" s="7" t="str">
        <f t="array" ref="C172">IFERROR(INDEX('Order Planning'!$C$5:$C$204,MATCH(B172,'Order Planning'!$A$5:$A$204,0)),"")</f>
        <v/>
      </c>
      <c r="D172" s="7" t="str">
        <f t="array" ref="D172">IFERROR(INDEX('Order Planning'!$E$5:$E$204,MATCH(B172,'Order Planning'!$A$5:$A$204,0)),"")</f>
        <v/>
      </c>
      <c r="E172" s="7" t="str">
        <f t="array" ref="E172">IFERROR(INDEX('Order Planning'!$F$5:$F$204,MATCH(B172,'Order Planning'!$A$5:$A$204,0)),"")</f>
        <v/>
      </c>
      <c r="F172" s="7">
        <f t="array" ref="F172">IFERROR(INDEX('Order Planning'!$G$5:$G$204,MATCH(B172,'Order Planning'!$A$5:$A$204,0)),0)</f>
        <v>0</v>
      </c>
      <c r="H172" s="7">
        <f t="shared" si="1"/>
        <v>0</v>
      </c>
      <c r="J172" s="7">
        <f t="shared" si="2"/>
        <v>0</v>
      </c>
      <c r="N172" s="7"/>
      <c r="O172" s="7"/>
      <c r="P172" s="7"/>
    </row>
    <row r="173" ht="15.75" customHeight="1">
      <c r="A173" s="15"/>
      <c r="B173" s="7"/>
      <c r="C173" s="7" t="str">
        <f t="array" ref="C173">IFERROR(INDEX('Order Planning'!$C$5:$C$204,MATCH(B173,'Order Planning'!$A$5:$A$204,0)),"")</f>
        <v/>
      </c>
      <c r="D173" s="7" t="str">
        <f t="array" ref="D173">IFERROR(INDEX('Order Planning'!$E$5:$E$204,MATCH(B173,'Order Planning'!$A$5:$A$204,0)),"")</f>
        <v/>
      </c>
      <c r="E173" s="7" t="str">
        <f t="array" ref="E173">IFERROR(INDEX('Order Planning'!$F$5:$F$204,MATCH(B173,'Order Planning'!$A$5:$A$204,0)),"")</f>
        <v/>
      </c>
      <c r="F173" s="7">
        <f t="array" ref="F173">IFERROR(INDEX('Order Planning'!$G$5:$G$204,MATCH(B173,'Order Planning'!$A$5:$A$204,0)),0)</f>
        <v>0</v>
      </c>
      <c r="H173" s="7">
        <f t="shared" si="1"/>
        <v>0</v>
      </c>
      <c r="J173" s="7">
        <f t="shared" si="2"/>
        <v>0</v>
      </c>
      <c r="N173" s="7"/>
      <c r="O173" s="7"/>
      <c r="P173" s="7"/>
    </row>
    <row r="174" ht="15.75" customHeight="1">
      <c r="A174" s="15"/>
      <c r="B174" s="7"/>
      <c r="C174" s="7" t="str">
        <f t="array" ref="C174">IFERROR(INDEX('Order Planning'!$C$5:$C$204,MATCH(B174,'Order Planning'!$A$5:$A$204,0)),"")</f>
        <v/>
      </c>
      <c r="D174" s="7" t="str">
        <f t="array" ref="D174">IFERROR(INDEX('Order Planning'!$E$5:$E$204,MATCH(B174,'Order Planning'!$A$5:$A$204,0)),"")</f>
        <v/>
      </c>
      <c r="E174" s="7" t="str">
        <f t="array" ref="E174">IFERROR(INDEX('Order Planning'!$F$5:$F$204,MATCH(B174,'Order Planning'!$A$5:$A$204,0)),"")</f>
        <v/>
      </c>
      <c r="F174" s="7">
        <f t="array" ref="F174">IFERROR(INDEX('Order Planning'!$G$5:$G$204,MATCH(B174,'Order Planning'!$A$5:$A$204,0)),0)</f>
        <v>0</v>
      </c>
      <c r="H174" s="7">
        <f t="shared" si="1"/>
        <v>0</v>
      </c>
      <c r="J174" s="7">
        <f t="shared" si="2"/>
        <v>0</v>
      </c>
      <c r="N174" s="7"/>
      <c r="O174" s="7"/>
      <c r="P174" s="7"/>
    </row>
    <row r="175" ht="15.75" customHeight="1">
      <c r="A175" s="15"/>
      <c r="B175" s="7"/>
      <c r="C175" s="7" t="str">
        <f t="array" ref="C175">IFERROR(INDEX('Order Planning'!$C$5:$C$204,MATCH(B175,'Order Planning'!$A$5:$A$204,0)),"")</f>
        <v/>
      </c>
      <c r="D175" s="7" t="str">
        <f t="array" ref="D175">IFERROR(INDEX('Order Planning'!$E$5:$E$204,MATCH(B175,'Order Planning'!$A$5:$A$204,0)),"")</f>
        <v/>
      </c>
      <c r="E175" s="7" t="str">
        <f t="array" ref="E175">IFERROR(INDEX('Order Planning'!$F$5:$F$204,MATCH(B175,'Order Planning'!$A$5:$A$204,0)),"")</f>
        <v/>
      </c>
      <c r="F175" s="7">
        <f t="array" ref="F175">IFERROR(INDEX('Order Planning'!$G$5:$G$204,MATCH(B175,'Order Planning'!$A$5:$A$204,0)),0)</f>
        <v>0</v>
      </c>
      <c r="H175" s="7">
        <f t="shared" si="1"/>
        <v>0</v>
      </c>
      <c r="J175" s="7">
        <f t="shared" si="2"/>
        <v>0</v>
      </c>
      <c r="N175" s="7"/>
      <c r="O175" s="7"/>
      <c r="P175" s="7"/>
    </row>
    <row r="176" ht="15.75" customHeight="1">
      <c r="A176" s="15"/>
      <c r="B176" s="7"/>
      <c r="C176" s="7" t="str">
        <f t="array" ref="C176">IFERROR(INDEX('Order Planning'!$C$5:$C$204,MATCH(B176,'Order Planning'!$A$5:$A$204,0)),"")</f>
        <v/>
      </c>
      <c r="D176" s="7" t="str">
        <f t="array" ref="D176">IFERROR(INDEX('Order Planning'!$E$5:$E$204,MATCH(B176,'Order Planning'!$A$5:$A$204,0)),"")</f>
        <v/>
      </c>
      <c r="E176" s="7" t="str">
        <f t="array" ref="E176">IFERROR(INDEX('Order Planning'!$F$5:$F$204,MATCH(B176,'Order Planning'!$A$5:$A$204,0)),"")</f>
        <v/>
      </c>
      <c r="F176" s="7">
        <f t="array" ref="F176">IFERROR(INDEX('Order Planning'!$G$5:$G$204,MATCH(B176,'Order Planning'!$A$5:$A$204,0)),0)</f>
        <v>0</v>
      </c>
      <c r="H176" s="7">
        <f t="shared" si="1"/>
        <v>0</v>
      </c>
      <c r="J176" s="7">
        <f t="shared" si="2"/>
        <v>0</v>
      </c>
      <c r="N176" s="7"/>
      <c r="O176" s="7"/>
      <c r="P176" s="7"/>
    </row>
    <row r="177" ht="15.75" customHeight="1">
      <c r="A177" s="15"/>
      <c r="B177" s="7"/>
      <c r="C177" s="7" t="str">
        <f t="array" ref="C177">IFERROR(INDEX('Order Planning'!$C$5:$C$204,MATCH(B177,'Order Planning'!$A$5:$A$204,0)),"")</f>
        <v/>
      </c>
      <c r="D177" s="7" t="str">
        <f t="array" ref="D177">IFERROR(INDEX('Order Planning'!$E$5:$E$204,MATCH(B177,'Order Planning'!$A$5:$A$204,0)),"")</f>
        <v/>
      </c>
      <c r="E177" s="7" t="str">
        <f t="array" ref="E177">IFERROR(INDEX('Order Planning'!$F$5:$F$204,MATCH(B177,'Order Planning'!$A$5:$A$204,0)),"")</f>
        <v/>
      </c>
      <c r="F177" s="7">
        <f t="array" ref="F177">IFERROR(INDEX('Order Planning'!$G$5:$G$204,MATCH(B177,'Order Planning'!$A$5:$A$204,0)),0)</f>
        <v>0</v>
      </c>
      <c r="H177" s="7">
        <f t="shared" si="1"/>
        <v>0</v>
      </c>
      <c r="J177" s="7">
        <f t="shared" si="2"/>
        <v>0</v>
      </c>
      <c r="N177" s="7"/>
      <c r="O177" s="7"/>
      <c r="P177" s="7"/>
    </row>
    <row r="178" ht="15.75" customHeight="1">
      <c r="A178" s="15"/>
      <c r="B178" s="7"/>
      <c r="C178" s="7" t="str">
        <f t="array" ref="C178">IFERROR(INDEX('Order Planning'!$C$5:$C$204,MATCH(B178,'Order Planning'!$A$5:$A$204,0)),"")</f>
        <v/>
      </c>
      <c r="D178" s="7" t="str">
        <f t="array" ref="D178">IFERROR(INDEX('Order Planning'!$E$5:$E$204,MATCH(B178,'Order Planning'!$A$5:$A$204,0)),"")</f>
        <v/>
      </c>
      <c r="E178" s="7" t="str">
        <f t="array" ref="E178">IFERROR(INDEX('Order Planning'!$F$5:$F$204,MATCH(B178,'Order Planning'!$A$5:$A$204,0)),"")</f>
        <v/>
      </c>
      <c r="F178" s="7">
        <f t="array" ref="F178">IFERROR(INDEX('Order Planning'!$G$5:$G$204,MATCH(B178,'Order Planning'!$A$5:$A$204,0)),0)</f>
        <v>0</v>
      </c>
      <c r="H178" s="7">
        <f t="shared" si="1"/>
        <v>0</v>
      </c>
      <c r="J178" s="7">
        <f t="shared" si="2"/>
        <v>0</v>
      </c>
      <c r="N178" s="7"/>
      <c r="O178" s="7"/>
      <c r="P178" s="7"/>
    </row>
    <row r="179" ht="15.75" customHeight="1">
      <c r="A179" s="15"/>
      <c r="B179" s="7"/>
      <c r="C179" s="7" t="str">
        <f t="array" ref="C179">IFERROR(INDEX('Order Planning'!$C$5:$C$204,MATCH(B179,'Order Planning'!$A$5:$A$204,0)),"")</f>
        <v/>
      </c>
      <c r="D179" s="7" t="str">
        <f t="array" ref="D179">IFERROR(INDEX('Order Planning'!$E$5:$E$204,MATCH(B179,'Order Planning'!$A$5:$A$204,0)),"")</f>
        <v/>
      </c>
      <c r="E179" s="7" t="str">
        <f t="array" ref="E179">IFERROR(INDEX('Order Planning'!$F$5:$F$204,MATCH(B179,'Order Planning'!$A$5:$A$204,0)),"")</f>
        <v/>
      </c>
      <c r="F179" s="7">
        <f t="array" ref="F179">IFERROR(INDEX('Order Planning'!$G$5:$G$204,MATCH(B179,'Order Planning'!$A$5:$A$204,0)),0)</f>
        <v>0</v>
      </c>
      <c r="H179" s="7">
        <f t="shared" si="1"/>
        <v>0</v>
      </c>
      <c r="J179" s="7">
        <f t="shared" si="2"/>
        <v>0</v>
      </c>
      <c r="N179" s="7"/>
      <c r="O179" s="7"/>
      <c r="P179" s="7"/>
    </row>
    <row r="180" ht="15.75" customHeight="1">
      <c r="A180" s="15"/>
      <c r="B180" s="7"/>
      <c r="C180" s="7" t="str">
        <f t="array" ref="C180">IFERROR(INDEX('Order Planning'!$C$5:$C$204,MATCH(B180,'Order Planning'!$A$5:$A$204,0)),"")</f>
        <v/>
      </c>
      <c r="D180" s="7" t="str">
        <f t="array" ref="D180">IFERROR(INDEX('Order Planning'!$E$5:$E$204,MATCH(B180,'Order Planning'!$A$5:$A$204,0)),"")</f>
        <v/>
      </c>
      <c r="E180" s="7" t="str">
        <f t="array" ref="E180">IFERROR(INDEX('Order Planning'!$F$5:$F$204,MATCH(B180,'Order Planning'!$A$5:$A$204,0)),"")</f>
        <v/>
      </c>
      <c r="F180" s="7">
        <f t="array" ref="F180">IFERROR(INDEX('Order Planning'!$G$5:$G$204,MATCH(B180,'Order Planning'!$A$5:$A$204,0)),0)</f>
        <v>0</v>
      </c>
      <c r="H180" s="7">
        <f t="shared" si="1"/>
        <v>0</v>
      </c>
      <c r="J180" s="7">
        <f t="shared" si="2"/>
        <v>0</v>
      </c>
      <c r="N180" s="7"/>
      <c r="O180" s="7"/>
      <c r="P180" s="7"/>
    </row>
    <row r="181" ht="15.75" customHeight="1">
      <c r="A181" s="15"/>
      <c r="B181" s="7"/>
      <c r="C181" s="7" t="str">
        <f t="array" ref="C181">IFERROR(INDEX('Order Planning'!$C$5:$C$204,MATCH(B181,'Order Planning'!$A$5:$A$204,0)),"")</f>
        <v/>
      </c>
      <c r="D181" s="7" t="str">
        <f t="array" ref="D181">IFERROR(INDEX('Order Planning'!$E$5:$E$204,MATCH(B181,'Order Planning'!$A$5:$A$204,0)),"")</f>
        <v/>
      </c>
      <c r="E181" s="7" t="str">
        <f t="array" ref="E181">IFERROR(INDEX('Order Planning'!$F$5:$F$204,MATCH(B181,'Order Planning'!$A$5:$A$204,0)),"")</f>
        <v/>
      </c>
      <c r="F181" s="7">
        <f t="array" ref="F181">IFERROR(INDEX('Order Planning'!$G$5:$G$204,MATCH(B181,'Order Planning'!$A$5:$A$204,0)),0)</f>
        <v>0</v>
      </c>
      <c r="H181" s="7">
        <f t="shared" si="1"/>
        <v>0</v>
      </c>
      <c r="J181" s="7">
        <f t="shared" si="2"/>
        <v>0</v>
      </c>
      <c r="N181" s="7"/>
      <c r="O181" s="7"/>
      <c r="P181" s="7"/>
    </row>
    <row r="182" ht="15.75" customHeight="1">
      <c r="A182" s="15"/>
      <c r="B182" s="7"/>
      <c r="C182" s="7" t="str">
        <f t="array" ref="C182">IFERROR(INDEX('Order Planning'!$C$5:$C$204,MATCH(B182,'Order Planning'!$A$5:$A$204,0)),"")</f>
        <v/>
      </c>
      <c r="D182" s="7" t="str">
        <f t="array" ref="D182">IFERROR(INDEX('Order Planning'!$E$5:$E$204,MATCH(B182,'Order Planning'!$A$5:$A$204,0)),"")</f>
        <v/>
      </c>
      <c r="E182" s="7" t="str">
        <f t="array" ref="E182">IFERROR(INDEX('Order Planning'!$F$5:$F$204,MATCH(B182,'Order Planning'!$A$5:$A$204,0)),"")</f>
        <v/>
      </c>
      <c r="F182" s="7">
        <f t="array" ref="F182">IFERROR(INDEX('Order Planning'!$G$5:$G$204,MATCH(B182,'Order Planning'!$A$5:$A$204,0)),0)</f>
        <v>0</v>
      </c>
      <c r="H182" s="7">
        <f t="shared" si="1"/>
        <v>0</v>
      </c>
      <c r="J182" s="7">
        <f t="shared" si="2"/>
        <v>0</v>
      </c>
      <c r="N182" s="7"/>
      <c r="O182" s="7"/>
      <c r="P182" s="7"/>
    </row>
    <row r="183" ht="15.75" customHeight="1">
      <c r="A183" s="15"/>
      <c r="B183" s="7"/>
      <c r="C183" s="7" t="str">
        <f t="array" ref="C183">IFERROR(INDEX('Order Planning'!$C$5:$C$204,MATCH(B183,'Order Planning'!$A$5:$A$204,0)),"")</f>
        <v/>
      </c>
      <c r="D183" s="7" t="str">
        <f t="array" ref="D183">IFERROR(INDEX('Order Planning'!$E$5:$E$204,MATCH(B183,'Order Planning'!$A$5:$A$204,0)),"")</f>
        <v/>
      </c>
      <c r="E183" s="7" t="str">
        <f t="array" ref="E183">IFERROR(INDEX('Order Planning'!$F$5:$F$204,MATCH(B183,'Order Planning'!$A$5:$A$204,0)),"")</f>
        <v/>
      </c>
      <c r="F183" s="7">
        <f t="array" ref="F183">IFERROR(INDEX('Order Planning'!$G$5:$G$204,MATCH(B183,'Order Planning'!$A$5:$A$204,0)),0)</f>
        <v>0</v>
      </c>
      <c r="H183" s="7">
        <f t="shared" si="1"/>
        <v>0</v>
      </c>
      <c r="J183" s="7">
        <f t="shared" si="2"/>
        <v>0</v>
      </c>
      <c r="N183" s="7"/>
      <c r="O183" s="7"/>
      <c r="P183" s="7"/>
    </row>
    <row r="184" ht="15.75" customHeight="1">
      <c r="A184" s="15"/>
      <c r="B184" s="7"/>
      <c r="C184" s="7" t="str">
        <f t="array" ref="C184">IFERROR(INDEX('Order Planning'!$C$5:$C$204,MATCH(B184,'Order Planning'!$A$5:$A$204,0)),"")</f>
        <v/>
      </c>
      <c r="D184" s="7" t="str">
        <f t="array" ref="D184">IFERROR(INDEX('Order Planning'!$E$5:$E$204,MATCH(B184,'Order Planning'!$A$5:$A$204,0)),"")</f>
        <v/>
      </c>
      <c r="E184" s="7" t="str">
        <f t="array" ref="E184">IFERROR(INDEX('Order Planning'!$F$5:$F$204,MATCH(B184,'Order Planning'!$A$5:$A$204,0)),"")</f>
        <v/>
      </c>
      <c r="F184" s="7">
        <f t="array" ref="F184">IFERROR(INDEX('Order Planning'!$G$5:$G$204,MATCH(B184,'Order Planning'!$A$5:$A$204,0)),0)</f>
        <v>0</v>
      </c>
      <c r="H184" s="7">
        <f t="shared" si="1"/>
        <v>0</v>
      </c>
      <c r="J184" s="7">
        <f t="shared" si="2"/>
        <v>0</v>
      </c>
      <c r="N184" s="7"/>
      <c r="O184" s="7"/>
      <c r="P184" s="7"/>
    </row>
    <row r="185" ht="15.75" customHeight="1">
      <c r="A185" s="15"/>
      <c r="B185" s="7"/>
      <c r="C185" s="7" t="str">
        <f t="array" ref="C185">IFERROR(INDEX('Order Planning'!$C$5:$C$204,MATCH(B185,'Order Planning'!$A$5:$A$204,0)),"")</f>
        <v/>
      </c>
      <c r="D185" s="7" t="str">
        <f t="array" ref="D185">IFERROR(INDEX('Order Planning'!$E$5:$E$204,MATCH(B185,'Order Planning'!$A$5:$A$204,0)),"")</f>
        <v/>
      </c>
      <c r="E185" s="7" t="str">
        <f t="array" ref="E185">IFERROR(INDEX('Order Planning'!$F$5:$F$204,MATCH(B185,'Order Planning'!$A$5:$A$204,0)),"")</f>
        <v/>
      </c>
      <c r="F185" s="7">
        <f t="array" ref="F185">IFERROR(INDEX('Order Planning'!$G$5:$G$204,MATCH(B185,'Order Planning'!$A$5:$A$204,0)),0)</f>
        <v>0</v>
      </c>
      <c r="H185" s="7">
        <f t="shared" si="1"/>
        <v>0</v>
      </c>
      <c r="J185" s="7">
        <f t="shared" si="2"/>
        <v>0</v>
      </c>
      <c r="N185" s="7"/>
      <c r="O185" s="7"/>
      <c r="P185" s="7"/>
    </row>
    <row r="186" ht="15.75" customHeight="1">
      <c r="A186" s="15"/>
      <c r="B186" s="7"/>
      <c r="C186" s="7" t="str">
        <f t="array" ref="C186">IFERROR(INDEX('Order Planning'!$C$5:$C$204,MATCH(B186,'Order Planning'!$A$5:$A$204,0)),"")</f>
        <v/>
      </c>
      <c r="D186" s="7" t="str">
        <f t="array" ref="D186">IFERROR(INDEX('Order Planning'!$E$5:$E$204,MATCH(B186,'Order Planning'!$A$5:$A$204,0)),"")</f>
        <v/>
      </c>
      <c r="E186" s="7" t="str">
        <f t="array" ref="E186">IFERROR(INDEX('Order Planning'!$F$5:$F$204,MATCH(B186,'Order Planning'!$A$5:$A$204,0)),"")</f>
        <v/>
      </c>
      <c r="F186" s="7">
        <f t="array" ref="F186">IFERROR(INDEX('Order Planning'!$G$5:$G$204,MATCH(B186,'Order Planning'!$A$5:$A$204,0)),0)</f>
        <v>0</v>
      </c>
      <c r="H186" s="7">
        <f t="shared" si="1"/>
        <v>0</v>
      </c>
      <c r="J186" s="7">
        <f t="shared" si="2"/>
        <v>0</v>
      </c>
      <c r="N186" s="7"/>
      <c r="O186" s="7"/>
      <c r="P186" s="7"/>
    </row>
    <row r="187" ht="15.75" customHeight="1">
      <c r="A187" s="15"/>
      <c r="B187" s="7"/>
      <c r="C187" s="7" t="str">
        <f t="array" ref="C187">IFERROR(INDEX('Order Planning'!$C$5:$C$204,MATCH(B187,'Order Planning'!$A$5:$A$204,0)),"")</f>
        <v/>
      </c>
      <c r="D187" s="7" t="str">
        <f t="array" ref="D187">IFERROR(INDEX('Order Planning'!$E$5:$E$204,MATCH(B187,'Order Planning'!$A$5:$A$204,0)),"")</f>
        <v/>
      </c>
      <c r="E187" s="7" t="str">
        <f t="array" ref="E187">IFERROR(INDEX('Order Planning'!$F$5:$F$204,MATCH(B187,'Order Planning'!$A$5:$A$204,0)),"")</f>
        <v/>
      </c>
      <c r="F187" s="7">
        <f t="array" ref="F187">IFERROR(INDEX('Order Planning'!$G$5:$G$204,MATCH(B187,'Order Planning'!$A$5:$A$204,0)),0)</f>
        <v>0</v>
      </c>
      <c r="H187" s="7">
        <f t="shared" si="1"/>
        <v>0</v>
      </c>
      <c r="J187" s="7">
        <f t="shared" si="2"/>
        <v>0</v>
      </c>
      <c r="N187" s="7"/>
      <c r="O187" s="7"/>
      <c r="P187" s="7"/>
    </row>
    <row r="188" ht="15.75" customHeight="1">
      <c r="A188" s="15"/>
      <c r="B188" s="7"/>
      <c r="C188" s="7" t="str">
        <f t="array" ref="C188">IFERROR(INDEX('Order Planning'!$C$5:$C$204,MATCH(B188,'Order Planning'!$A$5:$A$204,0)),"")</f>
        <v/>
      </c>
      <c r="D188" s="7" t="str">
        <f t="array" ref="D188">IFERROR(INDEX('Order Planning'!$E$5:$E$204,MATCH(B188,'Order Planning'!$A$5:$A$204,0)),"")</f>
        <v/>
      </c>
      <c r="E188" s="7" t="str">
        <f t="array" ref="E188">IFERROR(INDEX('Order Planning'!$F$5:$F$204,MATCH(B188,'Order Planning'!$A$5:$A$204,0)),"")</f>
        <v/>
      </c>
      <c r="F188" s="7">
        <f t="array" ref="F188">IFERROR(INDEX('Order Planning'!$G$5:$G$204,MATCH(B188,'Order Planning'!$A$5:$A$204,0)),0)</f>
        <v>0</v>
      </c>
      <c r="H188" s="7">
        <f t="shared" si="1"/>
        <v>0</v>
      </c>
      <c r="J188" s="7">
        <f t="shared" si="2"/>
        <v>0</v>
      </c>
      <c r="N188" s="7"/>
      <c r="O188" s="7"/>
      <c r="P188" s="7"/>
    </row>
    <row r="189" ht="15.75" customHeight="1">
      <c r="A189" s="15"/>
      <c r="B189" s="7"/>
      <c r="C189" s="7" t="str">
        <f t="array" ref="C189">IFERROR(INDEX('Order Planning'!$C$5:$C$204,MATCH(B189,'Order Planning'!$A$5:$A$204,0)),"")</f>
        <v/>
      </c>
      <c r="D189" s="7" t="str">
        <f t="array" ref="D189">IFERROR(INDEX('Order Planning'!$E$5:$E$204,MATCH(B189,'Order Planning'!$A$5:$A$204,0)),"")</f>
        <v/>
      </c>
      <c r="E189" s="7" t="str">
        <f t="array" ref="E189">IFERROR(INDEX('Order Planning'!$F$5:$F$204,MATCH(B189,'Order Planning'!$A$5:$A$204,0)),"")</f>
        <v/>
      </c>
      <c r="F189" s="7">
        <f t="array" ref="F189">IFERROR(INDEX('Order Planning'!$G$5:$G$204,MATCH(B189,'Order Planning'!$A$5:$A$204,0)),0)</f>
        <v>0</v>
      </c>
      <c r="H189" s="7">
        <f t="shared" si="1"/>
        <v>0</v>
      </c>
      <c r="J189" s="7">
        <f t="shared" si="2"/>
        <v>0</v>
      </c>
      <c r="N189" s="7"/>
      <c r="O189" s="7"/>
      <c r="P189" s="7"/>
    </row>
    <row r="190" ht="15.75" customHeight="1">
      <c r="A190" s="15"/>
      <c r="B190" s="7"/>
      <c r="C190" s="7" t="str">
        <f t="array" ref="C190">IFERROR(INDEX('Order Planning'!$C$5:$C$204,MATCH(B190,'Order Planning'!$A$5:$A$204,0)),"")</f>
        <v/>
      </c>
      <c r="D190" s="7" t="str">
        <f t="array" ref="D190">IFERROR(INDEX('Order Planning'!$E$5:$E$204,MATCH(B190,'Order Planning'!$A$5:$A$204,0)),"")</f>
        <v/>
      </c>
      <c r="E190" s="7" t="str">
        <f t="array" ref="E190">IFERROR(INDEX('Order Planning'!$F$5:$F$204,MATCH(B190,'Order Planning'!$A$5:$A$204,0)),"")</f>
        <v/>
      </c>
      <c r="F190" s="7">
        <f t="array" ref="F190">IFERROR(INDEX('Order Planning'!$G$5:$G$204,MATCH(B190,'Order Planning'!$A$5:$A$204,0)),0)</f>
        <v>0</v>
      </c>
      <c r="H190" s="7">
        <f t="shared" si="1"/>
        <v>0</v>
      </c>
      <c r="J190" s="7">
        <f t="shared" si="2"/>
        <v>0</v>
      </c>
      <c r="N190" s="7"/>
      <c r="O190" s="7"/>
      <c r="P190" s="7"/>
    </row>
    <row r="191" ht="15.75" customHeight="1">
      <c r="A191" s="15"/>
      <c r="B191" s="7"/>
      <c r="C191" s="7" t="str">
        <f t="array" ref="C191">IFERROR(INDEX('Order Planning'!$C$5:$C$204,MATCH(B191,'Order Planning'!$A$5:$A$204,0)),"")</f>
        <v/>
      </c>
      <c r="D191" s="7" t="str">
        <f t="array" ref="D191">IFERROR(INDEX('Order Planning'!$E$5:$E$204,MATCH(B191,'Order Planning'!$A$5:$A$204,0)),"")</f>
        <v/>
      </c>
      <c r="E191" s="7" t="str">
        <f t="array" ref="E191">IFERROR(INDEX('Order Planning'!$F$5:$F$204,MATCH(B191,'Order Planning'!$A$5:$A$204,0)),"")</f>
        <v/>
      </c>
      <c r="F191" s="7">
        <f t="array" ref="F191">IFERROR(INDEX('Order Planning'!$G$5:$G$204,MATCH(B191,'Order Planning'!$A$5:$A$204,0)),0)</f>
        <v>0</v>
      </c>
      <c r="H191" s="7">
        <f t="shared" si="1"/>
        <v>0</v>
      </c>
      <c r="J191" s="7">
        <f t="shared" si="2"/>
        <v>0</v>
      </c>
      <c r="N191" s="7"/>
      <c r="O191" s="7"/>
      <c r="P191" s="7"/>
    </row>
    <row r="192" ht="15.75" customHeight="1">
      <c r="A192" s="15"/>
      <c r="B192" s="7"/>
      <c r="C192" s="7" t="str">
        <f t="array" ref="C192">IFERROR(INDEX('Order Planning'!$C$5:$C$204,MATCH(B192,'Order Planning'!$A$5:$A$204,0)),"")</f>
        <v/>
      </c>
      <c r="D192" s="7" t="str">
        <f t="array" ref="D192">IFERROR(INDEX('Order Planning'!$E$5:$E$204,MATCH(B192,'Order Planning'!$A$5:$A$204,0)),"")</f>
        <v/>
      </c>
      <c r="E192" s="7" t="str">
        <f t="array" ref="E192">IFERROR(INDEX('Order Planning'!$F$5:$F$204,MATCH(B192,'Order Planning'!$A$5:$A$204,0)),"")</f>
        <v/>
      </c>
      <c r="F192" s="7">
        <f t="array" ref="F192">IFERROR(INDEX('Order Planning'!$G$5:$G$204,MATCH(B192,'Order Planning'!$A$5:$A$204,0)),0)</f>
        <v>0</v>
      </c>
      <c r="H192" s="7">
        <f t="shared" si="1"/>
        <v>0</v>
      </c>
      <c r="J192" s="7">
        <f t="shared" si="2"/>
        <v>0</v>
      </c>
      <c r="N192" s="7"/>
      <c r="O192" s="7"/>
      <c r="P192" s="7"/>
    </row>
    <row r="193" ht="15.75" customHeight="1">
      <c r="A193" s="15"/>
      <c r="B193" s="7"/>
      <c r="C193" s="7" t="str">
        <f t="array" ref="C193">IFERROR(INDEX('Order Planning'!$C$5:$C$204,MATCH(B193,'Order Planning'!$A$5:$A$204,0)),"")</f>
        <v/>
      </c>
      <c r="D193" s="7" t="str">
        <f t="array" ref="D193">IFERROR(INDEX('Order Planning'!$E$5:$E$204,MATCH(B193,'Order Planning'!$A$5:$A$204,0)),"")</f>
        <v/>
      </c>
      <c r="E193" s="7" t="str">
        <f t="array" ref="E193">IFERROR(INDEX('Order Planning'!$F$5:$F$204,MATCH(B193,'Order Planning'!$A$5:$A$204,0)),"")</f>
        <v/>
      </c>
      <c r="F193" s="7">
        <f t="array" ref="F193">IFERROR(INDEX('Order Planning'!$G$5:$G$204,MATCH(B193,'Order Planning'!$A$5:$A$204,0)),0)</f>
        <v>0</v>
      </c>
      <c r="H193" s="7">
        <f t="shared" si="1"/>
        <v>0</v>
      </c>
      <c r="J193" s="7">
        <f t="shared" si="2"/>
        <v>0</v>
      </c>
      <c r="N193" s="7"/>
      <c r="O193" s="7"/>
      <c r="P193" s="7"/>
    </row>
    <row r="194" ht="15.75" customHeight="1">
      <c r="A194" s="15"/>
      <c r="B194" s="7"/>
      <c r="C194" s="7" t="str">
        <f t="array" ref="C194">IFERROR(INDEX('Order Planning'!$C$5:$C$204,MATCH(B194,'Order Planning'!$A$5:$A$204,0)),"")</f>
        <v/>
      </c>
      <c r="D194" s="7" t="str">
        <f t="array" ref="D194">IFERROR(INDEX('Order Planning'!$E$5:$E$204,MATCH(B194,'Order Planning'!$A$5:$A$204,0)),"")</f>
        <v/>
      </c>
      <c r="E194" s="7" t="str">
        <f t="array" ref="E194">IFERROR(INDEX('Order Planning'!$F$5:$F$204,MATCH(B194,'Order Planning'!$A$5:$A$204,0)),"")</f>
        <v/>
      </c>
      <c r="F194" s="7">
        <f t="array" ref="F194">IFERROR(INDEX('Order Planning'!$G$5:$G$204,MATCH(B194,'Order Planning'!$A$5:$A$204,0)),0)</f>
        <v>0</v>
      </c>
      <c r="H194" s="7">
        <f t="shared" si="1"/>
        <v>0</v>
      </c>
      <c r="J194" s="7">
        <f t="shared" si="2"/>
        <v>0</v>
      </c>
      <c r="N194" s="7"/>
      <c r="O194" s="7"/>
      <c r="P194" s="7"/>
    </row>
    <row r="195" ht="15.75" customHeight="1">
      <c r="A195" s="15"/>
      <c r="B195" s="7"/>
      <c r="C195" s="7" t="str">
        <f t="array" ref="C195">IFERROR(INDEX('Order Planning'!$C$5:$C$204,MATCH(B195,'Order Planning'!$A$5:$A$204,0)),"")</f>
        <v/>
      </c>
      <c r="D195" s="7" t="str">
        <f t="array" ref="D195">IFERROR(INDEX('Order Planning'!$E$5:$E$204,MATCH(B195,'Order Planning'!$A$5:$A$204,0)),"")</f>
        <v/>
      </c>
      <c r="E195" s="7" t="str">
        <f t="array" ref="E195">IFERROR(INDEX('Order Planning'!$F$5:$F$204,MATCH(B195,'Order Planning'!$A$5:$A$204,0)),"")</f>
        <v/>
      </c>
      <c r="F195" s="7">
        <f t="array" ref="F195">IFERROR(INDEX('Order Planning'!$G$5:$G$204,MATCH(B195,'Order Planning'!$A$5:$A$204,0)),0)</f>
        <v>0</v>
      </c>
      <c r="H195" s="7">
        <f t="shared" si="1"/>
        <v>0</v>
      </c>
      <c r="J195" s="7">
        <f t="shared" si="2"/>
        <v>0</v>
      </c>
      <c r="N195" s="7"/>
      <c r="O195" s="7"/>
      <c r="P195" s="7"/>
    </row>
    <row r="196" ht="15.75" customHeight="1">
      <c r="A196" s="15"/>
      <c r="B196" s="7"/>
      <c r="C196" s="7" t="str">
        <f t="array" ref="C196">IFERROR(INDEX('Order Planning'!$C$5:$C$204,MATCH(B196,'Order Planning'!$A$5:$A$204,0)),"")</f>
        <v/>
      </c>
      <c r="D196" s="7" t="str">
        <f t="array" ref="D196">IFERROR(INDEX('Order Planning'!$E$5:$E$204,MATCH(B196,'Order Planning'!$A$5:$A$204,0)),"")</f>
        <v/>
      </c>
      <c r="E196" s="7" t="str">
        <f t="array" ref="E196">IFERROR(INDEX('Order Planning'!$F$5:$F$204,MATCH(B196,'Order Planning'!$A$5:$A$204,0)),"")</f>
        <v/>
      </c>
      <c r="F196" s="7">
        <f t="array" ref="F196">IFERROR(INDEX('Order Planning'!$G$5:$G$204,MATCH(B196,'Order Planning'!$A$5:$A$204,0)),0)</f>
        <v>0</v>
      </c>
      <c r="H196" s="7">
        <f t="shared" si="1"/>
        <v>0</v>
      </c>
      <c r="J196" s="7">
        <f t="shared" si="2"/>
        <v>0</v>
      </c>
      <c r="N196" s="7"/>
      <c r="O196" s="7"/>
      <c r="P196" s="7"/>
    </row>
    <row r="197" ht="15.75" customHeight="1">
      <c r="A197" s="15"/>
      <c r="B197" s="7"/>
      <c r="C197" s="7" t="str">
        <f t="array" ref="C197">IFERROR(INDEX('Order Planning'!$C$5:$C$204,MATCH(B197,'Order Planning'!$A$5:$A$204,0)),"")</f>
        <v/>
      </c>
      <c r="D197" s="7" t="str">
        <f t="array" ref="D197">IFERROR(INDEX('Order Planning'!$E$5:$E$204,MATCH(B197,'Order Planning'!$A$5:$A$204,0)),"")</f>
        <v/>
      </c>
      <c r="E197" s="7" t="str">
        <f t="array" ref="E197">IFERROR(INDEX('Order Planning'!$F$5:$F$204,MATCH(B197,'Order Planning'!$A$5:$A$204,0)),"")</f>
        <v/>
      </c>
      <c r="F197" s="7">
        <f t="array" ref="F197">IFERROR(INDEX('Order Planning'!$G$5:$G$204,MATCH(B197,'Order Planning'!$A$5:$A$204,0)),0)</f>
        <v>0</v>
      </c>
      <c r="H197" s="7">
        <f t="shared" si="1"/>
        <v>0</v>
      </c>
      <c r="J197" s="7">
        <f t="shared" si="2"/>
        <v>0</v>
      </c>
      <c r="N197" s="7"/>
      <c r="O197" s="7"/>
      <c r="P197" s="7"/>
    </row>
    <row r="198" ht="15.75" customHeight="1">
      <c r="A198" s="15"/>
      <c r="B198" s="7"/>
      <c r="C198" s="7" t="str">
        <f t="array" ref="C198">IFERROR(INDEX('Order Planning'!$C$5:$C$204,MATCH(B198,'Order Planning'!$A$5:$A$204,0)),"")</f>
        <v/>
      </c>
      <c r="D198" s="7" t="str">
        <f t="array" ref="D198">IFERROR(INDEX('Order Planning'!$E$5:$E$204,MATCH(B198,'Order Planning'!$A$5:$A$204,0)),"")</f>
        <v/>
      </c>
      <c r="E198" s="7" t="str">
        <f t="array" ref="E198">IFERROR(INDEX('Order Planning'!$F$5:$F$204,MATCH(B198,'Order Planning'!$A$5:$A$204,0)),"")</f>
        <v/>
      </c>
      <c r="F198" s="7">
        <f t="array" ref="F198">IFERROR(INDEX('Order Planning'!$G$5:$G$204,MATCH(B198,'Order Planning'!$A$5:$A$204,0)),0)</f>
        <v>0</v>
      </c>
      <c r="H198" s="7">
        <f t="shared" si="1"/>
        <v>0</v>
      </c>
      <c r="J198" s="7">
        <f t="shared" si="2"/>
        <v>0</v>
      </c>
      <c r="N198" s="7"/>
      <c r="O198" s="7"/>
      <c r="P198" s="7"/>
    </row>
    <row r="199" ht="15.75" customHeight="1">
      <c r="A199" s="15"/>
      <c r="B199" s="7"/>
      <c r="C199" s="7" t="str">
        <f t="array" ref="C199">IFERROR(INDEX('Order Planning'!$C$5:$C$204,MATCH(B199,'Order Planning'!$A$5:$A$204,0)),"")</f>
        <v/>
      </c>
      <c r="D199" s="7" t="str">
        <f t="array" ref="D199">IFERROR(INDEX('Order Planning'!$E$5:$E$204,MATCH(B199,'Order Planning'!$A$5:$A$204,0)),"")</f>
        <v/>
      </c>
      <c r="E199" s="7" t="str">
        <f t="array" ref="E199">IFERROR(INDEX('Order Planning'!$F$5:$F$204,MATCH(B199,'Order Planning'!$A$5:$A$204,0)),"")</f>
        <v/>
      </c>
      <c r="F199" s="7">
        <f t="array" ref="F199">IFERROR(INDEX('Order Planning'!$G$5:$G$204,MATCH(B199,'Order Planning'!$A$5:$A$204,0)),0)</f>
        <v>0</v>
      </c>
      <c r="H199" s="7">
        <f t="shared" si="1"/>
        <v>0</v>
      </c>
      <c r="J199" s="7">
        <f t="shared" si="2"/>
        <v>0</v>
      </c>
      <c r="N199" s="7"/>
      <c r="O199" s="7"/>
      <c r="P199" s="7"/>
    </row>
    <row r="200" ht="15.75" customHeight="1">
      <c r="A200" s="15"/>
      <c r="B200" s="7"/>
      <c r="C200" s="7" t="str">
        <f t="array" ref="C200">IFERROR(INDEX('Order Planning'!$C$5:$C$204,MATCH(B200,'Order Planning'!$A$5:$A$204,0)),"")</f>
        <v/>
      </c>
      <c r="D200" s="7" t="str">
        <f t="array" ref="D200">IFERROR(INDEX('Order Planning'!$E$5:$E$204,MATCH(B200,'Order Planning'!$A$5:$A$204,0)),"")</f>
        <v/>
      </c>
      <c r="E200" s="7" t="str">
        <f t="array" ref="E200">IFERROR(INDEX('Order Planning'!$F$5:$F$204,MATCH(B200,'Order Planning'!$A$5:$A$204,0)),"")</f>
        <v/>
      </c>
      <c r="F200" s="7">
        <f t="array" ref="F200">IFERROR(INDEX('Order Planning'!$G$5:$G$204,MATCH(B200,'Order Planning'!$A$5:$A$204,0)),0)</f>
        <v>0</v>
      </c>
      <c r="H200" s="7">
        <f t="shared" si="1"/>
        <v>0</v>
      </c>
      <c r="J200" s="7">
        <f t="shared" si="2"/>
        <v>0</v>
      </c>
      <c r="N200" s="7"/>
      <c r="O200" s="7"/>
      <c r="P200" s="7"/>
    </row>
    <row r="201" ht="15.75" customHeight="1">
      <c r="A201" s="15"/>
      <c r="B201" s="7"/>
      <c r="C201" s="7" t="str">
        <f t="array" ref="C201">IFERROR(INDEX('Order Planning'!$C$5:$C$204,MATCH(B201,'Order Planning'!$A$5:$A$204,0)),"")</f>
        <v/>
      </c>
      <c r="D201" s="7" t="str">
        <f t="array" ref="D201">IFERROR(INDEX('Order Planning'!$E$5:$E$204,MATCH(B201,'Order Planning'!$A$5:$A$204,0)),"")</f>
        <v/>
      </c>
      <c r="E201" s="7" t="str">
        <f t="array" ref="E201">IFERROR(INDEX('Order Planning'!$F$5:$F$204,MATCH(B201,'Order Planning'!$A$5:$A$204,0)),"")</f>
        <v/>
      </c>
      <c r="F201" s="7">
        <f t="array" ref="F201">IFERROR(INDEX('Order Planning'!$G$5:$G$204,MATCH(B201,'Order Planning'!$A$5:$A$204,0)),0)</f>
        <v>0</v>
      </c>
      <c r="H201" s="7">
        <f t="shared" si="1"/>
        <v>0</v>
      </c>
      <c r="J201" s="7">
        <f t="shared" si="2"/>
        <v>0</v>
      </c>
      <c r="N201" s="7"/>
      <c r="O201" s="7"/>
      <c r="P201" s="7"/>
    </row>
    <row r="202" ht="15.75" customHeight="1">
      <c r="A202" s="15"/>
      <c r="B202" s="7"/>
      <c r="C202" s="7" t="str">
        <f t="array" ref="C202">IFERROR(INDEX('Order Planning'!$C$5:$C$204,MATCH(B202,'Order Planning'!$A$5:$A$204,0)),"")</f>
        <v/>
      </c>
      <c r="D202" s="7" t="str">
        <f t="array" ref="D202">IFERROR(INDEX('Order Planning'!$E$5:$E$204,MATCH(B202,'Order Planning'!$A$5:$A$204,0)),"")</f>
        <v/>
      </c>
      <c r="E202" s="7" t="str">
        <f t="array" ref="E202">IFERROR(INDEX('Order Planning'!$F$5:$F$204,MATCH(B202,'Order Planning'!$A$5:$A$204,0)),"")</f>
        <v/>
      </c>
      <c r="F202" s="7">
        <f t="array" ref="F202">IFERROR(INDEX('Order Planning'!$G$5:$G$204,MATCH(B202,'Order Planning'!$A$5:$A$204,0)),0)</f>
        <v>0</v>
      </c>
      <c r="H202" s="7">
        <f t="shared" si="1"/>
        <v>0</v>
      </c>
      <c r="J202" s="7">
        <f t="shared" si="2"/>
        <v>0</v>
      </c>
      <c r="N202" s="7"/>
      <c r="O202" s="7"/>
      <c r="P202" s="7"/>
    </row>
    <row r="203" ht="15.75" customHeight="1">
      <c r="A203" s="15"/>
      <c r="B203" s="7"/>
      <c r="C203" s="7" t="str">
        <f t="array" ref="C203">IFERROR(INDEX('Order Planning'!$C$5:$C$204,MATCH(B203,'Order Planning'!$A$5:$A$204,0)),"")</f>
        <v/>
      </c>
      <c r="D203" s="7" t="str">
        <f t="array" ref="D203">IFERROR(INDEX('Order Planning'!$E$5:$E$204,MATCH(B203,'Order Planning'!$A$5:$A$204,0)),"")</f>
        <v/>
      </c>
      <c r="E203" s="7" t="str">
        <f t="array" ref="E203">IFERROR(INDEX('Order Planning'!$F$5:$F$204,MATCH(B203,'Order Planning'!$A$5:$A$204,0)),"")</f>
        <v/>
      </c>
      <c r="F203" s="7">
        <f t="array" ref="F203">IFERROR(INDEX('Order Planning'!$G$5:$G$204,MATCH(B203,'Order Planning'!$A$5:$A$204,0)),0)</f>
        <v>0</v>
      </c>
      <c r="H203" s="7">
        <f t="shared" si="1"/>
        <v>0</v>
      </c>
      <c r="J203" s="7">
        <f t="shared" si="2"/>
        <v>0</v>
      </c>
      <c r="N203" s="7"/>
      <c r="O203" s="7"/>
      <c r="P203" s="7"/>
    </row>
    <row r="204" ht="15.75" customHeight="1">
      <c r="A204" s="15"/>
      <c r="B204" s="7"/>
      <c r="C204" s="7" t="str">
        <f t="array" ref="C204">IFERROR(INDEX('Order Planning'!$C$5:$C$204,MATCH(B204,'Order Planning'!$A$5:$A$204,0)),"")</f>
        <v/>
      </c>
      <c r="D204" s="7" t="str">
        <f t="array" ref="D204">IFERROR(INDEX('Order Planning'!$E$5:$E$204,MATCH(B204,'Order Planning'!$A$5:$A$204,0)),"")</f>
        <v/>
      </c>
      <c r="E204" s="7" t="str">
        <f t="array" ref="E204">IFERROR(INDEX('Order Planning'!$F$5:$F$204,MATCH(B204,'Order Planning'!$A$5:$A$204,0)),"")</f>
        <v/>
      </c>
      <c r="F204" s="7">
        <f t="array" ref="F204">IFERROR(INDEX('Order Planning'!$G$5:$G$204,MATCH(B204,'Order Planning'!$A$5:$A$204,0)),0)</f>
        <v>0</v>
      </c>
      <c r="H204" s="7">
        <f t="shared" si="1"/>
        <v>0</v>
      </c>
      <c r="J204" s="7">
        <f t="shared" si="2"/>
        <v>0</v>
      </c>
      <c r="N204" s="7"/>
      <c r="O204" s="7"/>
      <c r="P204" s="7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2:Q2"/>
  </mergeCells>
  <dataValidations>
    <dataValidation type="list" allowBlank="1" sqref="P5:P204">
      <formula1>"Pending,Approved"</formula1>
    </dataValidation>
    <dataValidation type="list" allowBlank="1" sqref="B5:B204">
      <formula1>'Order Planning'!$A$5:$A$204</formula1>
    </dataValidation>
    <dataValidation type="list" allowBlank="1" sqref="N5:O204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3.0"/>
    <col customWidth="1" min="4" max="4" width="22.0"/>
    <col customWidth="1" min="5" max="7" width="16.0"/>
    <col customWidth="1" min="8" max="8" width="14.0"/>
    <col customWidth="1" min="9" max="10" width="10.0"/>
    <col customWidth="1" min="11" max="11" width="13.0"/>
    <col customWidth="1" min="12" max="12" width="12.0"/>
    <col customWidth="1" min="13" max="13" width="11.0"/>
    <col customWidth="1" min="14" max="14" width="20.0"/>
    <col customWidth="1" min="15" max="15" width="28.0"/>
    <col customWidth="1" min="16" max="26" width="8.63"/>
  </cols>
  <sheetData>
    <row r="1" ht="27.75" customHeight="1">
      <c r="A1" s="2" t="s">
        <v>233</v>
      </c>
    </row>
    <row r="2">
      <c r="A2" s="4" t="s">
        <v>234</v>
      </c>
    </row>
    <row r="4" ht="31.5" customHeight="1">
      <c r="A4" s="5" t="s">
        <v>186</v>
      </c>
      <c r="B4" s="5" t="s">
        <v>235</v>
      </c>
      <c r="C4" s="5" t="s">
        <v>236</v>
      </c>
      <c r="D4" s="5" t="s">
        <v>237</v>
      </c>
      <c r="E4" s="5" t="s">
        <v>238</v>
      </c>
      <c r="F4" s="5" t="s">
        <v>239</v>
      </c>
      <c r="G4" s="5" t="s">
        <v>43</v>
      </c>
      <c r="H4" s="5" t="s">
        <v>172</v>
      </c>
      <c r="I4" s="5" t="s">
        <v>240</v>
      </c>
      <c r="J4" s="5" t="s">
        <v>241</v>
      </c>
      <c r="K4" s="5" t="s">
        <v>242</v>
      </c>
      <c r="L4" s="5" t="s">
        <v>243</v>
      </c>
      <c r="M4" s="5" t="s">
        <v>244</v>
      </c>
      <c r="N4" s="5" t="s">
        <v>245</v>
      </c>
      <c r="O4" s="5" t="s">
        <v>189</v>
      </c>
    </row>
    <row r="5">
      <c r="A5" s="15"/>
      <c r="G5" s="7"/>
      <c r="H5" s="7"/>
      <c r="K5" s="7">
        <f t="shared" ref="K5:K604" si="1">SUMIFS($I$5:I5,$C$5:C5,C5)-SUMIFS($J$5:J5,$C$5:C5,C5)</f>
        <v>0</v>
      </c>
      <c r="M5" s="7" t="str">
        <f t="shared" ref="M5:M604" si="2">IF(OR(C5="",L5=""),"",IF(K5&lt;=L5,"REORDER","OK"))</f>
        <v/>
      </c>
    </row>
    <row r="6">
      <c r="A6" s="15"/>
      <c r="G6" s="7"/>
      <c r="H6" s="7"/>
      <c r="K6" s="7">
        <f t="shared" si="1"/>
        <v>0</v>
      </c>
      <c r="M6" s="7" t="str">
        <f t="shared" si="2"/>
        <v/>
      </c>
    </row>
    <row r="7">
      <c r="A7" s="15"/>
      <c r="G7" s="7"/>
      <c r="H7" s="7"/>
      <c r="K7" s="7">
        <f t="shared" si="1"/>
        <v>0</v>
      </c>
      <c r="M7" s="7" t="str">
        <f t="shared" si="2"/>
        <v/>
      </c>
    </row>
    <row r="8">
      <c r="A8" s="15"/>
      <c r="G8" s="7"/>
      <c r="H8" s="7"/>
      <c r="K8" s="7">
        <f t="shared" si="1"/>
        <v>0</v>
      </c>
      <c r="M8" s="7" t="str">
        <f t="shared" si="2"/>
        <v/>
      </c>
    </row>
    <row r="9">
      <c r="A9" s="15"/>
      <c r="G9" s="7"/>
      <c r="H9" s="7"/>
      <c r="K9" s="7">
        <f t="shared" si="1"/>
        <v>0</v>
      </c>
      <c r="M9" s="7" t="str">
        <f t="shared" si="2"/>
        <v/>
      </c>
    </row>
    <row r="10">
      <c r="A10" s="15"/>
      <c r="G10" s="7"/>
      <c r="H10" s="7"/>
      <c r="K10" s="7">
        <f t="shared" si="1"/>
        <v>0</v>
      </c>
      <c r="M10" s="7" t="str">
        <f t="shared" si="2"/>
        <v/>
      </c>
    </row>
    <row r="11">
      <c r="A11" s="15"/>
      <c r="G11" s="7"/>
      <c r="H11" s="7"/>
      <c r="K11" s="7">
        <f t="shared" si="1"/>
        <v>0</v>
      </c>
      <c r="M11" s="7" t="str">
        <f t="shared" si="2"/>
        <v/>
      </c>
    </row>
    <row r="12">
      <c r="A12" s="15"/>
      <c r="G12" s="7"/>
      <c r="H12" s="7"/>
      <c r="K12" s="7">
        <f t="shared" si="1"/>
        <v>0</v>
      </c>
      <c r="M12" s="7" t="str">
        <f t="shared" si="2"/>
        <v/>
      </c>
    </row>
    <row r="13">
      <c r="A13" s="15"/>
      <c r="G13" s="7"/>
      <c r="H13" s="7"/>
      <c r="K13" s="7">
        <f t="shared" si="1"/>
        <v>0</v>
      </c>
      <c r="M13" s="7" t="str">
        <f t="shared" si="2"/>
        <v/>
      </c>
    </row>
    <row r="14">
      <c r="A14" s="15"/>
      <c r="G14" s="7"/>
      <c r="H14" s="7"/>
      <c r="K14" s="7">
        <f t="shared" si="1"/>
        <v>0</v>
      </c>
      <c r="M14" s="7" t="str">
        <f t="shared" si="2"/>
        <v/>
      </c>
    </row>
    <row r="15">
      <c r="A15" s="15"/>
      <c r="G15" s="7"/>
      <c r="H15" s="7"/>
      <c r="K15" s="7">
        <f t="shared" si="1"/>
        <v>0</v>
      </c>
      <c r="M15" s="7" t="str">
        <f t="shared" si="2"/>
        <v/>
      </c>
    </row>
    <row r="16">
      <c r="A16" s="15"/>
      <c r="G16" s="7"/>
      <c r="H16" s="7"/>
      <c r="K16" s="7">
        <f t="shared" si="1"/>
        <v>0</v>
      </c>
      <c r="M16" s="7" t="str">
        <f t="shared" si="2"/>
        <v/>
      </c>
    </row>
    <row r="17">
      <c r="A17" s="15"/>
      <c r="G17" s="7"/>
      <c r="H17" s="7"/>
      <c r="K17" s="7">
        <f t="shared" si="1"/>
        <v>0</v>
      </c>
      <c r="M17" s="7" t="str">
        <f t="shared" si="2"/>
        <v/>
      </c>
    </row>
    <row r="18">
      <c r="A18" s="15"/>
      <c r="G18" s="7"/>
      <c r="H18" s="7"/>
      <c r="K18" s="7">
        <f t="shared" si="1"/>
        <v>0</v>
      </c>
      <c r="M18" s="7" t="str">
        <f t="shared" si="2"/>
        <v/>
      </c>
    </row>
    <row r="19">
      <c r="A19" s="15"/>
      <c r="G19" s="7"/>
      <c r="H19" s="7"/>
      <c r="K19" s="7">
        <f t="shared" si="1"/>
        <v>0</v>
      </c>
      <c r="M19" s="7" t="str">
        <f t="shared" si="2"/>
        <v/>
      </c>
    </row>
    <row r="20">
      <c r="A20" s="15"/>
      <c r="G20" s="7"/>
      <c r="H20" s="7"/>
      <c r="K20" s="7">
        <f t="shared" si="1"/>
        <v>0</v>
      </c>
      <c r="M20" s="7" t="str">
        <f t="shared" si="2"/>
        <v/>
      </c>
    </row>
    <row r="21" ht="15.75" customHeight="1">
      <c r="A21" s="15"/>
      <c r="G21" s="7"/>
      <c r="H21" s="7"/>
      <c r="K21" s="7">
        <f t="shared" si="1"/>
        <v>0</v>
      </c>
      <c r="M21" s="7" t="str">
        <f t="shared" si="2"/>
        <v/>
      </c>
    </row>
    <row r="22" ht="15.75" customHeight="1">
      <c r="A22" s="15"/>
      <c r="G22" s="7"/>
      <c r="H22" s="7"/>
      <c r="K22" s="7">
        <f t="shared" si="1"/>
        <v>0</v>
      </c>
      <c r="M22" s="7" t="str">
        <f t="shared" si="2"/>
        <v/>
      </c>
    </row>
    <row r="23" ht="15.75" customHeight="1">
      <c r="A23" s="15"/>
      <c r="G23" s="7"/>
      <c r="H23" s="7"/>
      <c r="K23" s="7">
        <f t="shared" si="1"/>
        <v>0</v>
      </c>
      <c r="M23" s="7" t="str">
        <f t="shared" si="2"/>
        <v/>
      </c>
    </row>
    <row r="24" ht="15.75" customHeight="1">
      <c r="A24" s="15"/>
      <c r="G24" s="7"/>
      <c r="H24" s="7"/>
      <c r="K24" s="7">
        <f t="shared" si="1"/>
        <v>0</v>
      </c>
      <c r="M24" s="7" t="str">
        <f t="shared" si="2"/>
        <v/>
      </c>
    </row>
    <row r="25" ht="15.75" customHeight="1">
      <c r="A25" s="15"/>
      <c r="G25" s="7"/>
      <c r="H25" s="7"/>
      <c r="K25" s="7">
        <f t="shared" si="1"/>
        <v>0</v>
      </c>
      <c r="M25" s="7" t="str">
        <f t="shared" si="2"/>
        <v/>
      </c>
    </row>
    <row r="26" ht="15.75" customHeight="1">
      <c r="A26" s="15"/>
      <c r="G26" s="7"/>
      <c r="H26" s="7"/>
      <c r="K26" s="7">
        <f t="shared" si="1"/>
        <v>0</v>
      </c>
      <c r="M26" s="7" t="str">
        <f t="shared" si="2"/>
        <v/>
      </c>
    </row>
    <row r="27" ht="15.75" customHeight="1">
      <c r="A27" s="15"/>
      <c r="G27" s="7"/>
      <c r="H27" s="7"/>
      <c r="K27" s="7">
        <f t="shared" si="1"/>
        <v>0</v>
      </c>
      <c r="M27" s="7" t="str">
        <f t="shared" si="2"/>
        <v/>
      </c>
    </row>
    <row r="28" ht="15.75" customHeight="1">
      <c r="A28" s="15"/>
      <c r="G28" s="7"/>
      <c r="H28" s="7"/>
      <c r="K28" s="7">
        <f t="shared" si="1"/>
        <v>0</v>
      </c>
      <c r="M28" s="7" t="str">
        <f t="shared" si="2"/>
        <v/>
      </c>
    </row>
    <row r="29" ht="15.75" customHeight="1">
      <c r="A29" s="15"/>
      <c r="G29" s="7"/>
      <c r="H29" s="7"/>
      <c r="K29" s="7">
        <f t="shared" si="1"/>
        <v>0</v>
      </c>
      <c r="M29" s="7" t="str">
        <f t="shared" si="2"/>
        <v/>
      </c>
    </row>
    <row r="30" ht="15.75" customHeight="1">
      <c r="A30" s="15"/>
      <c r="G30" s="7"/>
      <c r="H30" s="7"/>
      <c r="K30" s="7">
        <f t="shared" si="1"/>
        <v>0</v>
      </c>
      <c r="M30" s="7" t="str">
        <f t="shared" si="2"/>
        <v/>
      </c>
    </row>
    <row r="31" ht="15.75" customHeight="1">
      <c r="A31" s="15"/>
      <c r="G31" s="7"/>
      <c r="H31" s="7"/>
      <c r="K31" s="7">
        <f t="shared" si="1"/>
        <v>0</v>
      </c>
      <c r="M31" s="7" t="str">
        <f t="shared" si="2"/>
        <v/>
      </c>
    </row>
    <row r="32" ht="15.75" customHeight="1">
      <c r="A32" s="15"/>
      <c r="G32" s="7"/>
      <c r="H32" s="7"/>
      <c r="K32" s="7">
        <f t="shared" si="1"/>
        <v>0</v>
      </c>
      <c r="M32" s="7" t="str">
        <f t="shared" si="2"/>
        <v/>
      </c>
    </row>
    <row r="33" ht="15.75" customHeight="1">
      <c r="A33" s="15"/>
      <c r="G33" s="7"/>
      <c r="H33" s="7"/>
      <c r="K33" s="7">
        <f t="shared" si="1"/>
        <v>0</v>
      </c>
      <c r="M33" s="7" t="str">
        <f t="shared" si="2"/>
        <v/>
      </c>
    </row>
    <row r="34" ht="15.75" customHeight="1">
      <c r="A34" s="15"/>
      <c r="G34" s="7"/>
      <c r="H34" s="7"/>
      <c r="K34" s="7">
        <f t="shared" si="1"/>
        <v>0</v>
      </c>
      <c r="M34" s="7" t="str">
        <f t="shared" si="2"/>
        <v/>
      </c>
    </row>
    <row r="35" ht="15.75" customHeight="1">
      <c r="A35" s="15"/>
      <c r="G35" s="7"/>
      <c r="H35" s="7"/>
      <c r="K35" s="7">
        <f t="shared" si="1"/>
        <v>0</v>
      </c>
      <c r="M35" s="7" t="str">
        <f t="shared" si="2"/>
        <v/>
      </c>
    </row>
    <row r="36" ht="15.75" customHeight="1">
      <c r="A36" s="15"/>
      <c r="G36" s="7"/>
      <c r="H36" s="7"/>
      <c r="K36" s="7">
        <f t="shared" si="1"/>
        <v>0</v>
      </c>
      <c r="M36" s="7" t="str">
        <f t="shared" si="2"/>
        <v/>
      </c>
    </row>
    <row r="37" ht="15.75" customHeight="1">
      <c r="A37" s="15"/>
      <c r="G37" s="7"/>
      <c r="H37" s="7"/>
      <c r="K37" s="7">
        <f t="shared" si="1"/>
        <v>0</v>
      </c>
      <c r="M37" s="7" t="str">
        <f t="shared" si="2"/>
        <v/>
      </c>
    </row>
    <row r="38" ht="15.75" customHeight="1">
      <c r="A38" s="15"/>
      <c r="G38" s="7"/>
      <c r="H38" s="7"/>
      <c r="K38" s="7">
        <f t="shared" si="1"/>
        <v>0</v>
      </c>
      <c r="M38" s="7" t="str">
        <f t="shared" si="2"/>
        <v/>
      </c>
    </row>
    <row r="39" ht="15.75" customHeight="1">
      <c r="A39" s="15"/>
      <c r="G39" s="7"/>
      <c r="H39" s="7"/>
      <c r="K39" s="7">
        <f t="shared" si="1"/>
        <v>0</v>
      </c>
      <c r="M39" s="7" t="str">
        <f t="shared" si="2"/>
        <v/>
      </c>
    </row>
    <row r="40" ht="15.75" customHeight="1">
      <c r="A40" s="15"/>
      <c r="G40" s="7"/>
      <c r="H40" s="7"/>
      <c r="K40" s="7">
        <f t="shared" si="1"/>
        <v>0</v>
      </c>
      <c r="M40" s="7" t="str">
        <f t="shared" si="2"/>
        <v/>
      </c>
    </row>
    <row r="41" ht="15.75" customHeight="1">
      <c r="A41" s="15"/>
      <c r="G41" s="7"/>
      <c r="H41" s="7"/>
      <c r="K41" s="7">
        <f t="shared" si="1"/>
        <v>0</v>
      </c>
      <c r="M41" s="7" t="str">
        <f t="shared" si="2"/>
        <v/>
      </c>
    </row>
    <row r="42" ht="15.75" customHeight="1">
      <c r="A42" s="15"/>
      <c r="G42" s="7"/>
      <c r="H42" s="7"/>
      <c r="K42" s="7">
        <f t="shared" si="1"/>
        <v>0</v>
      </c>
      <c r="M42" s="7" t="str">
        <f t="shared" si="2"/>
        <v/>
      </c>
    </row>
    <row r="43" ht="15.75" customHeight="1">
      <c r="A43" s="15"/>
      <c r="G43" s="7"/>
      <c r="H43" s="7"/>
      <c r="K43" s="7">
        <f t="shared" si="1"/>
        <v>0</v>
      </c>
      <c r="M43" s="7" t="str">
        <f t="shared" si="2"/>
        <v/>
      </c>
    </row>
    <row r="44" ht="15.75" customHeight="1">
      <c r="A44" s="15"/>
      <c r="G44" s="7"/>
      <c r="H44" s="7"/>
      <c r="K44" s="7">
        <f t="shared" si="1"/>
        <v>0</v>
      </c>
      <c r="M44" s="7" t="str">
        <f t="shared" si="2"/>
        <v/>
      </c>
    </row>
    <row r="45" ht="15.75" customHeight="1">
      <c r="A45" s="15"/>
      <c r="G45" s="7"/>
      <c r="H45" s="7"/>
      <c r="K45" s="7">
        <f t="shared" si="1"/>
        <v>0</v>
      </c>
      <c r="M45" s="7" t="str">
        <f t="shared" si="2"/>
        <v/>
      </c>
    </row>
    <row r="46" ht="15.75" customHeight="1">
      <c r="A46" s="15"/>
      <c r="G46" s="7"/>
      <c r="H46" s="7"/>
      <c r="K46" s="7">
        <f t="shared" si="1"/>
        <v>0</v>
      </c>
      <c r="M46" s="7" t="str">
        <f t="shared" si="2"/>
        <v/>
      </c>
    </row>
    <row r="47" ht="15.75" customHeight="1">
      <c r="A47" s="15"/>
      <c r="G47" s="7"/>
      <c r="H47" s="7"/>
      <c r="K47" s="7">
        <f t="shared" si="1"/>
        <v>0</v>
      </c>
      <c r="M47" s="7" t="str">
        <f t="shared" si="2"/>
        <v/>
      </c>
    </row>
    <row r="48" ht="15.75" customHeight="1">
      <c r="A48" s="15"/>
      <c r="G48" s="7"/>
      <c r="H48" s="7"/>
      <c r="K48" s="7">
        <f t="shared" si="1"/>
        <v>0</v>
      </c>
      <c r="M48" s="7" t="str">
        <f t="shared" si="2"/>
        <v/>
      </c>
    </row>
    <row r="49" ht="15.75" customHeight="1">
      <c r="A49" s="15"/>
      <c r="G49" s="7"/>
      <c r="H49" s="7"/>
      <c r="K49" s="7">
        <f t="shared" si="1"/>
        <v>0</v>
      </c>
      <c r="M49" s="7" t="str">
        <f t="shared" si="2"/>
        <v/>
      </c>
    </row>
    <row r="50" ht="15.75" customHeight="1">
      <c r="A50" s="15"/>
      <c r="G50" s="7"/>
      <c r="H50" s="7"/>
      <c r="K50" s="7">
        <f t="shared" si="1"/>
        <v>0</v>
      </c>
      <c r="M50" s="7" t="str">
        <f t="shared" si="2"/>
        <v/>
      </c>
    </row>
    <row r="51" ht="15.75" customHeight="1">
      <c r="A51" s="15"/>
      <c r="G51" s="7"/>
      <c r="H51" s="7"/>
      <c r="K51" s="7">
        <f t="shared" si="1"/>
        <v>0</v>
      </c>
      <c r="M51" s="7" t="str">
        <f t="shared" si="2"/>
        <v/>
      </c>
    </row>
    <row r="52" ht="15.75" customHeight="1">
      <c r="A52" s="15"/>
      <c r="G52" s="7"/>
      <c r="H52" s="7"/>
      <c r="K52" s="7">
        <f t="shared" si="1"/>
        <v>0</v>
      </c>
      <c r="M52" s="7" t="str">
        <f t="shared" si="2"/>
        <v/>
      </c>
    </row>
    <row r="53" ht="15.75" customHeight="1">
      <c r="A53" s="15"/>
      <c r="G53" s="7"/>
      <c r="H53" s="7"/>
      <c r="K53" s="7">
        <f t="shared" si="1"/>
        <v>0</v>
      </c>
      <c r="M53" s="7" t="str">
        <f t="shared" si="2"/>
        <v/>
      </c>
    </row>
    <row r="54" ht="15.75" customHeight="1">
      <c r="A54" s="15"/>
      <c r="G54" s="7"/>
      <c r="H54" s="7"/>
      <c r="K54" s="7">
        <f t="shared" si="1"/>
        <v>0</v>
      </c>
      <c r="M54" s="7" t="str">
        <f t="shared" si="2"/>
        <v/>
      </c>
    </row>
    <row r="55" ht="15.75" customHeight="1">
      <c r="A55" s="15"/>
      <c r="G55" s="7"/>
      <c r="H55" s="7"/>
      <c r="K55" s="7">
        <f t="shared" si="1"/>
        <v>0</v>
      </c>
      <c r="M55" s="7" t="str">
        <f t="shared" si="2"/>
        <v/>
      </c>
    </row>
    <row r="56" ht="15.75" customHeight="1">
      <c r="A56" s="15"/>
      <c r="G56" s="7"/>
      <c r="H56" s="7"/>
      <c r="K56" s="7">
        <f t="shared" si="1"/>
        <v>0</v>
      </c>
      <c r="M56" s="7" t="str">
        <f t="shared" si="2"/>
        <v/>
      </c>
    </row>
    <row r="57" ht="15.75" customHeight="1">
      <c r="A57" s="15"/>
      <c r="G57" s="7"/>
      <c r="H57" s="7"/>
      <c r="K57" s="7">
        <f t="shared" si="1"/>
        <v>0</v>
      </c>
      <c r="M57" s="7" t="str">
        <f t="shared" si="2"/>
        <v/>
      </c>
    </row>
    <row r="58" ht="15.75" customHeight="1">
      <c r="A58" s="15"/>
      <c r="G58" s="7"/>
      <c r="H58" s="7"/>
      <c r="K58" s="7">
        <f t="shared" si="1"/>
        <v>0</v>
      </c>
      <c r="M58" s="7" t="str">
        <f t="shared" si="2"/>
        <v/>
      </c>
    </row>
    <row r="59" ht="15.75" customHeight="1">
      <c r="A59" s="15"/>
      <c r="G59" s="7"/>
      <c r="H59" s="7"/>
      <c r="K59" s="7">
        <f t="shared" si="1"/>
        <v>0</v>
      </c>
      <c r="M59" s="7" t="str">
        <f t="shared" si="2"/>
        <v/>
      </c>
    </row>
    <row r="60" ht="15.75" customHeight="1">
      <c r="A60" s="15"/>
      <c r="G60" s="7"/>
      <c r="H60" s="7"/>
      <c r="K60" s="7">
        <f t="shared" si="1"/>
        <v>0</v>
      </c>
      <c r="M60" s="7" t="str">
        <f t="shared" si="2"/>
        <v/>
      </c>
    </row>
    <row r="61" ht="15.75" customHeight="1">
      <c r="A61" s="15"/>
      <c r="G61" s="7"/>
      <c r="H61" s="7"/>
      <c r="K61" s="7">
        <f t="shared" si="1"/>
        <v>0</v>
      </c>
      <c r="M61" s="7" t="str">
        <f t="shared" si="2"/>
        <v/>
      </c>
    </row>
    <row r="62" ht="15.75" customHeight="1">
      <c r="A62" s="15"/>
      <c r="G62" s="7"/>
      <c r="H62" s="7"/>
      <c r="K62" s="7">
        <f t="shared" si="1"/>
        <v>0</v>
      </c>
      <c r="M62" s="7" t="str">
        <f t="shared" si="2"/>
        <v/>
      </c>
    </row>
    <row r="63" ht="15.75" customHeight="1">
      <c r="A63" s="15"/>
      <c r="G63" s="7"/>
      <c r="H63" s="7"/>
      <c r="K63" s="7">
        <f t="shared" si="1"/>
        <v>0</v>
      </c>
      <c r="M63" s="7" t="str">
        <f t="shared" si="2"/>
        <v/>
      </c>
    </row>
    <row r="64" ht="15.75" customHeight="1">
      <c r="A64" s="15"/>
      <c r="G64" s="7"/>
      <c r="H64" s="7"/>
      <c r="K64" s="7">
        <f t="shared" si="1"/>
        <v>0</v>
      </c>
      <c r="M64" s="7" t="str">
        <f t="shared" si="2"/>
        <v/>
      </c>
    </row>
    <row r="65" ht="15.75" customHeight="1">
      <c r="A65" s="15"/>
      <c r="G65" s="7"/>
      <c r="H65" s="7"/>
      <c r="K65" s="7">
        <f t="shared" si="1"/>
        <v>0</v>
      </c>
      <c r="M65" s="7" t="str">
        <f t="shared" si="2"/>
        <v/>
      </c>
    </row>
    <row r="66" ht="15.75" customHeight="1">
      <c r="A66" s="15"/>
      <c r="G66" s="7"/>
      <c r="H66" s="7"/>
      <c r="K66" s="7">
        <f t="shared" si="1"/>
        <v>0</v>
      </c>
      <c r="M66" s="7" t="str">
        <f t="shared" si="2"/>
        <v/>
      </c>
    </row>
    <row r="67" ht="15.75" customHeight="1">
      <c r="A67" s="15"/>
      <c r="G67" s="7"/>
      <c r="H67" s="7"/>
      <c r="K67" s="7">
        <f t="shared" si="1"/>
        <v>0</v>
      </c>
      <c r="M67" s="7" t="str">
        <f t="shared" si="2"/>
        <v/>
      </c>
    </row>
    <row r="68" ht="15.75" customHeight="1">
      <c r="A68" s="15"/>
      <c r="G68" s="7"/>
      <c r="H68" s="7"/>
      <c r="K68" s="7">
        <f t="shared" si="1"/>
        <v>0</v>
      </c>
      <c r="M68" s="7" t="str">
        <f t="shared" si="2"/>
        <v/>
      </c>
    </row>
    <row r="69" ht="15.75" customHeight="1">
      <c r="A69" s="15"/>
      <c r="G69" s="7"/>
      <c r="H69" s="7"/>
      <c r="K69" s="7">
        <f t="shared" si="1"/>
        <v>0</v>
      </c>
      <c r="M69" s="7" t="str">
        <f t="shared" si="2"/>
        <v/>
      </c>
    </row>
    <row r="70" ht="15.75" customHeight="1">
      <c r="A70" s="15"/>
      <c r="G70" s="7"/>
      <c r="H70" s="7"/>
      <c r="K70" s="7">
        <f t="shared" si="1"/>
        <v>0</v>
      </c>
      <c r="M70" s="7" t="str">
        <f t="shared" si="2"/>
        <v/>
      </c>
    </row>
    <row r="71" ht="15.75" customHeight="1">
      <c r="A71" s="15"/>
      <c r="G71" s="7"/>
      <c r="H71" s="7"/>
      <c r="K71" s="7">
        <f t="shared" si="1"/>
        <v>0</v>
      </c>
      <c r="M71" s="7" t="str">
        <f t="shared" si="2"/>
        <v/>
      </c>
    </row>
    <row r="72" ht="15.75" customHeight="1">
      <c r="A72" s="15"/>
      <c r="G72" s="7"/>
      <c r="H72" s="7"/>
      <c r="K72" s="7">
        <f t="shared" si="1"/>
        <v>0</v>
      </c>
      <c r="M72" s="7" t="str">
        <f t="shared" si="2"/>
        <v/>
      </c>
    </row>
    <row r="73" ht="15.75" customHeight="1">
      <c r="A73" s="15"/>
      <c r="G73" s="7"/>
      <c r="H73" s="7"/>
      <c r="K73" s="7">
        <f t="shared" si="1"/>
        <v>0</v>
      </c>
      <c r="M73" s="7" t="str">
        <f t="shared" si="2"/>
        <v/>
      </c>
    </row>
    <row r="74" ht="15.75" customHeight="1">
      <c r="A74" s="15"/>
      <c r="G74" s="7"/>
      <c r="H74" s="7"/>
      <c r="K74" s="7">
        <f t="shared" si="1"/>
        <v>0</v>
      </c>
      <c r="M74" s="7" t="str">
        <f t="shared" si="2"/>
        <v/>
      </c>
    </row>
    <row r="75" ht="15.75" customHeight="1">
      <c r="A75" s="15"/>
      <c r="G75" s="7"/>
      <c r="H75" s="7"/>
      <c r="K75" s="7">
        <f t="shared" si="1"/>
        <v>0</v>
      </c>
      <c r="M75" s="7" t="str">
        <f t="shared" si="2"/>
        <v/>
      </c>
    </row>
    <row r="76" ht="15.75" customHeight="1">
      <c r="A76" s="15"/>
      <c r="G76" s="7"/>
      <c r="H76" s="7"/>
      <c r="K76" s="7">
        <f t="shared" si="1"/>
        <v>0</v>
      </c>
      <c r="M76" s="7" t="str">
        <f t="shared" si="2"/>
        <v/>
      </c>
    </row>
    <row r="77" ht="15.75" customHeight="1">
      <c r="A77" s="15"/>
      <c r="G77" s="7"/>
      <c r="H77" s="7"/>
      <c r="K77" s="7">
        <f t="shared" si="1"/>
        <v>0</v>
      </c>
      <c r="M77" s="7" t="str">
        <f t="shared" si="2"/>
        <v/>
      </c>
    </row>
    <row r="78" ht="15.75" customHeight="1">
      <c r="A78" s="15"/>
      <c r="G78" s="7"/>
      <c r="H78" s="7"/>
      <c r="K78" s="7">
        <f t="shared" si="1"/>
        <v>0</v>
      </c>
      <c r="M78" s="7" t="str">
        <f t="shared" si="2"/>
        <v/>
      </c>
    </row>
    <row r="79" ht="15.75" customHeight="1">
      <c r="A79" s="15"/>
      <c r="G79" s="7"/>
      <c r="H79" s="7"/>
      <c r="K79" s="7">
        <f t="shared" si="1"/>
        <v>0</v>
      </c>
      <c r="M79" s="7" t="str">
        <f t="shared" si="2"/>
        <v/>
      </c>
    </row>
    <row r="80" ht="15.75" customHeight="1">
      <c r="A80" s="15"/>
      <c r="G80" s="7"/>
      <c r="H80" s="7"/>
      <c r="K80" s="7">
        <f t="shared" si="1"/>
        <v>0</v>
      </c>
      <c r="M80" s="7" t="str">
        <f t="shared" si="2"/>
        <v/>
      </c>
    </row>
    <row r="81" ht="15.75" customHeight="1">
      <c r="A81" s="15"/>
      <c r="G81" s="7"/>
      <c r="H81" s="7"/>
      <c r="K81" s="7">
        <f t="shared" si="1"/>
        <v>0</v>
      </c>
      <c r="M81" s="7" t="str">
        <f t="shared" si="2"/>
        <v/>
      </c>
    </row>
    <row r="82" ht="15.75" customHeight="1">
      <c r="A82" s="15"/>
      <c r="G82" s="7"/>
      <c r="H82" s="7"/>
      <c r="K82" s="7">
        <f t="shared" si="1"/>
        <v>0</v>
      </c>
      <c r="M82" s="7" t="str">
        <f t="shared" si="2"/>
        <v/>
      </c>
    </row>
    <row r="83" ht="15.75" customHeight="1">
      <c r="A83" s="15"/>
      <c r="G83" s="7"/>
      <c r="H83" s="7"/>
      <c r="K83" s="7">
        <f t="shared" si="1"/>
        <v>0</v>
      </c>
      <c r="M83" s="7" t="str">
        <f t="shared" si="2"/>
        <v/>
      </c>
    </row>
    <row r="84" ht="15.75" customHeight="1">
      <c r="A84" s="15"/>
      <c r="G84" s="7"/>
      <c r="H84" s="7"/>
      <c r="K84" s="7">
        <f t="shared" si="1"/>
        <v>0</v>
      </c>
      <c r="M84" s="7" t="str">
        <f t="shared" si="2"/>
        <v/>
      </c>
    </row>
    <row r="85" ht="15.75" customHeight="1">
      <c r="A85" s="15"/>
      <c r="G85" s="7"/>
      <c r="H85" s="7"/>
      <c r="K85" s="7">
        <f t="shared" si="1"/>
        <v>0</v>
      </c>
      <c r="M85" s="7" t="str">
        <f t="shared" si="2"/>
        <v/>
      </c>
    </row>
    <row r="86" ht="15.75" customHeight="1">
      <c r="A86" s="15"/>
      <c r="G86" s="7"/>
      <c r="H86" s="7"/>
      <c r="K86" s="7">
        <f t="shared" si="1"/>
        <v>0</v>
      </c>
      <c r="M86" s="7" t="str">
        <f t="shared" si="2"/>
        <v/>
      </c>
    </row>
    <row r="87" ht="15.75" customHeight="1">
      <c r="A87" s="15"/>
      <c r="G87" s="7"/>
      <c r="H87" s="7"/>
      <c r="K87" s="7">
        <f t="shared" si="1"/>
        <v>0</v>
      </c>
      <c r="M87" s="7" t="str">
        <f t="shared" si="2"/>
        <v/>
      </c>
    </row>
    <row r="88" ht="15.75" customHeight="1">
      <c r="A88" s="15"/>
      <c r="G88" s="7"/>
      <c r="H88" s="7"/>
      <c r="K88" s="7">
        <f t="shared" si="1"/>
        <v>0</v>
      </c>
      <c r="M88" s="7" t="str">
        <f t="shared" si="2"/>
        <v/>
      </c>
    </row>
    <row r="89" ht="15.75" customHeight="1">
      <c r="A89" s="15"/>
      <c r="G89" s="7"/>
      <c r="H89" s="7"/>
      <c r="K89" s="7">
        <f t="shared" si="1"/>
        <v>0</v>
      </c>
      <c r="M89" s="7" t="str">
        <f t="shared" si="2"/>
        <v/>
      </c>
    </row>
    <row r="90" ht="15.75" customHeight="1">
      <c r="A90" s="15"/>
      <c r="G90" s="7"/>
      <c r="H90" s="7"/>
      <c r="K90" s="7">
        <f t="shared" si="1"/>
        <v>0</v>
      </c>
      <c r="M90" s="7" t="str">
        <f t="shared" si="2"/>
        <v/>
      </c>
    </row>
    <row r="91" ht="15.75" customHeight="1">
      <c r="A91" s="15"/>
      <c r="G91" s="7"/>
      <c r="H91" s="7"/>
      <c r="K91" s="7">
        <f t="shared" si="1"/>
        <v>0</v>
      </c>
      <c r="M91" s="7" t="str">
        <f t="shared" si="2"/>
        <v/>
      </c>
    </row>
    <row r="92" ht="15.75" customHeight="1">
      <c r="A92" s="15"/>
      <c r="G92" s="7"/>
      <c r="H92" s="7"/>
      <c r="K92" s="7">
        <f t="shared" si="1"/>
        <v>0</v>
      </c>
      <c r="M92" s="7" t="str">
        <f t="shared" si="2"/>
        <v/>
      </c>
    </row>
    <row r="93" ht="15.75" customHeight="1">
      <c r="A93" s="15"/>
      <c r="G93" s="7"/>
      <c r="H93" s="7"/>
      <c r="K93" s="7">
        <f t="shared" si="1"/>
        <v>0</v>
      </c>
      <c r="M93" s="7" t="str">
        <f t="shared" si="2"/>
        <v/>
      </c>
    </row>
    <row r="94" ht="15.75" customHeight="1">
      <c r="A94" s="15"/>
      <c r="G94" s="7"/>
      <c r="H94" s="7"/>
      <c r="K94" s="7">
        <f t="shared" si="1"/>
        <v>0</v>
      </c>
      <c r="M94" s="7" t="str">
        <f t="shared" si="2"/>
        <v/>
      </c>
    </row>
    <row r="95" ht="15.75" customHeight="1">
      <c r="A95" s="15"/>
      <c r="G95" s="7"/>
      <c r="H95" s="7"/>
      <c r="K95" s="7">
        <f t="shared" si="1"/>
        <v>0</v>
      </c>
      <c r="M95" s="7" t="str">
        <f t="shared" si="2"/>
        <v/>
      </c>
    </row>
    <row r="96" ht="15.75" customHeight="1">
      <c r="A96" s="15"/>
      <c r="G96" s="7"/>
      <c r="H96" s="7"/>
      <c r="K96" s="7">
        <f t="shared" si="1"/>
        <v>0</v>
      </c>
      <c r="M96" s="7" t="str">
        <f t="shared" si="2"/>
        <v/>
      </c>
    </row>
    <row r="97" ht="15.75" customHeight="1">
      <c r="A97" s="15"/>
      <c r="G97" s="7"/>
      <c r="H97" s="7"/>
      <c r="K97" s="7">
        <f t="shared" si="1"/>
        <v>0</v>
      </c>
      <c r="M97" s="7" t="str">
        <f t="shared" si="2"/>
        <v/>
      </c>
    </row>
    <row r="98" ht="15.75" customHeight="1">
      <c r="A98" s="15"/>
      <c r="G98" s="7"/>
      <c r="H98" s="7"/>
      <c r="K98" s="7">
        <f t="shared" si="1"/>
        <v>0</v>
      </c>
      <c r="M98" s="7" t="str">
        <f t="shared" si="2"/>
        <v/>
      </c>
    </row>
    <row r="99" ht="15.75" customHeight="1">
      <c r="A99" s="15"/>
      <c r="G99" s="7"/>
      <c r="H99" s="7"/>
      <c r="K99" s="7">
        <f t="shared" si="1"/>
        <v>0</v>
      </c>
      <c r="M99" s="7" t="str">
        <f t="shared" si="2"/>
        <v/>
      </c>
    </row>
    <row r="100" ht="15.75" customHeight="1">
      <c r="A100" s="15"/>
      <c r="G100" s="7"/>
      <c r="H100" s="7"/>
      <c r="K100" s="7">
        <f t="shared" si="1"/>
        <v>0</v>
      </c>
      <c r="M100" s="7" t="str">
        <f t="shared" si="2"/>
        <v/>
      </c>
    </row>
    <row r="101" ht="15.75" customHeight="1">
      <c r="A101" s="15"/>
      <c r="G101" s="7"/>
      <c r="H101" s="7"/>
      <c r="K101" s="7">
        <f t="shared" si="1"/>
        <v>0</v>
      </c>
      <c r="M101" s="7" t="str">
        <f t="shared" si="2"/>
        <v/>
      </c>
    </row>
    <row r="102" ht="15.75" customHeight="1">
      <c r="A102" s="15"/>
      <c r="G102" s="7"/>
      <c r="H102" s="7"/>
      <c r="K102" s="7">
        <f t="shared" si="1"/>
        <v>0</v>
      </c>
      <c r="M102" s="7" t="str">
        <f t="shared" si="2"/>
        <v/>
      </c>
    </row>
    <row r="103" ht="15.75" customHeight="1">
      <c r="A103" s="15"/>
      <c r="G103" s="7"/>
      <c r="H103" s="7"/>
      <c r="K103" s="7">
        <f t="shared" si="1"/>
        <v>0</v>
      </c>
      <c r="M103" s="7" t="str">
        <f t="shared" si="2"/>
        <v/>
      </c>
    </row>
    <row r="104" ht="15.75" customHeight="1">
      <c r="A104" s="15"/>
      <c r="G104" s="7"/>
      <c r="H104" s="7"/>
      <c r="K104" s="7">
        <f t="shared" si="1"/>
        <v>0</v>
      </c>
      <c r="M104" s="7" t="str">
        <f t="shared" si="2"/>
        <v/>
      </c>
    </row>
    <row r="105" ht="15.75" customHeight="1">
      <c r="A105" s="15"/>
      <c r="G105" s="7"/>
      <c r="H105" s="7"/>
      <c r="K105" s="7">
        <f t="shared" si="1"/>
        <v>0</v>
      </c>
      <c r="M105" s="7" t="str">
        <f t="shared" si="2"/>
        <v/>
      </c>
    </row>
    <row r="106" ht="15.75" customHeight="1">
      <c r="A106" s="15"/>
      <c r="G106" s="7"/>
      <c r="H106" s="7"/>
      <c r="K106" s="7">
        <f t="shared" si="1"/>
        <v>0</v>
      </c>
      <c r="M106" s="7" t="str">
        <f t="shared" si="2"/>
        <v/>
      </c>
    </row>
    <row r="107" ht="15.75" customHeight="1">
      <c r="A107" s="15"/>
      <c r="G107" s="7"/>
      <c r="H107" s="7"/>
      <c r="K107" s="7">
        <f t="shared" si="1"/>
        <v>0</v>
      </c>
      <c r="M107" s="7" t="str">
        <f t="shared" si="2"/>
        <v/>
      </c>
    </row>
    <row r="108" ht="15.75" customHeight="1">
      <c r="A108" s="15"/>
      <c r="G108" s="7"/>
      <c r="H108" s="7"/>
      <c r="K108" s="7">
        <f t="shared" si="1"/>
        <v>0</v>
      </c>
      <c r="M108" s="7" t="str">
        <f t="shared" si="2"/>
        <v/>
      </c>
    </row>
    <row r="109" ht="15.75" customHeight="1">
      <c r="A109" s="15"/>
      <c r="G109" s="7"/>
      <c r="H109" s="7"/>
      <c r="K109" s="7">
        <f t="shared" si="1"/>
        <v>0</v>
      </c>
      <c r="M109" s="7" t="str">
        <f t="shared" si="2"/>
        <v/>
      </c>
    </row>
    <row r="110" ht="15.75" customHeight="1">
      <c r="A110" s="15"/>
      <c r="G110" s="7"/>
      <c r="H110" s="7"/>
      <c r="K110" s="7">
        <f t="shared" si="1"/>
        <v>0</v>
      </c>
      <c r="M110" s="7" t="str">
        <f t="shared" si="2"/>
        <v/>
      </c>
    </row>
    <row r="111" ht="15.75" customHeight="1">
      <c r="A111" s="15"/>
      <c r="G111" s="7"/>
      <c r="H111" s="7"/>
      <c r="K111" s="7">
        <f t="shared" si="1"/>
        <v>0</v>
      </c>
      <c r="M111" s="7" t="str">
        <f t="shared" si="2"/>
        <v/>
      </c>
    </row>
    <row r="112" ht="15.75" customHeight="1">
      <c r="A112" s="15"/>
      <c r="G112" s="7"/>
      <c r="H112" s="7"/>
      <c r="K112" s="7">
        <f t="shared" si="1"/>
        <v>0</v>
      </c>
      <c r="M112" s="7" t="str">
        <f t="shared" si="2"/>
        <v/>
      </c>
    </row>
    <row r="113" ht="15.75" customHeight="1">
      <c r="A113" s="15"/>
      <c r="G113" s="7"/>
      <c r="H113" s="7"/>
      <c r="K113" s="7">
        <f t="shared" si="1"/>
        <v>0</v>
      </c>
      <c r="M113" s="7" t="str">
        <f t="shared" si="2"/>
        <v/>
      </c>
    </row>
    <row r="114" ht="15.75" customHeight="1">
      <c r="A114" s="15"/>
      <c r="G114" s="7"/>
      <c r="H114" s="7"/>
      <c r="K114" s="7">
        <f t="shared" si="1"/>
        <v>0</v>
      </c>
      <c r="M114" s="7" t="str">
        <f t="shared" si="2"/>
        <v/>
      </c>
    </row>
    <row r="115" ht="15.75" customHeight="1">
      <c r="A115" s="15"/>
      <c r="G115" s="7"/>
      <c r="H115" s="7"/>
      <c r="K115" s="7">
        <f t="shared" si="1"/>
        <v>0</v>
      </c>
      <c r="M115" s="7" t="str">
        <f t="shared" si="2"/>
        <v/>
      </c>
    </row>
    <row r="116" ht="15.75" customHeight="1">
      <c r="A116" s="15"/>
      <c r="G116" s="7"/>
      <c r="H116" s="7"/>
      <c r="K116" s="7">
        <f t="shared" si="1"/>
        <v>0</v>
      </c>
      <c r="M116" s="7" t="str">
        <f t="shared" si="2"/>
        <v/>
      </c>
    </row>
    <row r="117" ht="15.75" customHeight="1">
      <c r="A117" s="15"/>
      <c r="G117" s="7"/>
      <c r="H117" s="7"/>
      <c r="K117" s="7">
        <f t="shared" si="1"/>
        <v>0</v>
      </c>
      <c r="M117" s="7" t="str">
        <f t="shared" si="2"/>
        <v/>
      </c>
    </row>
    <row r="118" ht="15.75" customHeight="1">
      <c r="A118" s="15"/>
      <c r="G118" s="7"/>
      <c r="H118" s="7"/>
      <c r="K118" s="7">
        <f t="shared" si="1"/>
        <v>0</v>
      </c>
      <c r="M118" s="7" t="str">
        <f t="shared" si="2"/>
        <v/>
      </c>
    </row>
    <row r="119" ht="15.75" customHeight="1">
      <c r="A119" s="15"/>
      <c r="G119" s="7"/>
      <c r="H119" s="7"/>
      <c r="K119" s="7">
        <f t="shared" si="1"/>
        <v>0</v>
      </c>
      <c r="M119" s="7" t="str">
        <f t="shared" si="2"/>
        <v/>
      </c>
    </row>
    <row r="120" ht="15.75" customHeight="1">
      <c r="A120" s="15"/>
      <c r="G120" s="7"/>
      <c r="H120" s="7"/>
      <c r="K120" s="7">
        <f t="shared" si="1"/>
        <v>0</v>
      </c>
      <c r="M120" s="7" t="str">
        <f t="shared" si="2"/>
        <v/>
      </c>
    </row>
    <row r="121" ht="15.75" customHeight="1">
      <c r="A121" s="15"/>
      <c r="G121" s="7"/>
      <c r="H121" s="7"/>
      <c r="K121" s="7">
        <f t="shared" si="1"/>
        <v>0</v>
      </c>
      <c r="M121" s="7" t="str">
        <f t="shared" si="2"/>
        <v/>
      </c>
    </row>
    <row r="122" ht="15.75" customHeight="1">
      <c r="A122" s="15"/>
      <c r="G122" s="7"/>
      <c r="H122" s="7"/>
      <c r="K122" s="7">
        <f t="shared" si="1"/>
        <v>0</v>
      </c>
      <c r="M122" s="7" t="str">
        <f t="shared" si="2"/>
        <v/>
      </c>
    </row>
    <row r="123" ht="15.75" customHeight="1">
      <c r="A123" s="15"/>
      <c r="G123" s="7"/>
      <c r="H123" s="7"/>
      <c r="K123" s="7">
        <f t="shared" si="1"/>
        <v>0</v>
      </c>
      <c r="M123" s="7" t="str">
        <f t="shared" si="2"/>
        <v/>
      </c>
    </row>
    <row r="124" ht="15.75" customHeight="1">
      <c r="A124" s="15"/>
      <c r="G124" s="7"/>
      <c r="H124" s="7"/>
      <c r="K124" s="7">
        <f t="shared" si="1"/>
        <v>0</v>
      </c>
      <c r="M124" s="7" t="str">
        <f t="shared" si="2"/>
        <v/>
      </c>
    </row>
    <row r="125" ht="15.75" customHeight="1">
      <c r="A125" s="15"/>
      <c r="G125" s="7"/>
      <c r="H125" s="7"/>
      <c r="K125" s="7">
        <f t="shared" si="1"/>
        <v>0</v>
      </c>
      <c r="M125" s="7" t="str">
        <f t="shared" si="2"/>
        <v/>
      </c>
    </row>
    <row r="126" ht="15.75" customHeight="1">
      <c r="A126" s="15"/>
      <c r="G126" s="7"/>
      <c r="H126" s="7"/>
      <c r="K126" s="7">
        <f t="shared" si="1"/>
        <v>0</v>
      </c>
      <c r="M126" s="7" t="str">
        <f t="shared" si="2"/>
        <v/>
      </c>
    </row>
    <row r="127" ht="15.75" customHeight="1">
      <c r="A127" s="15"/>
      <c r="G127" s="7"/>
      <c r="H127" s="7"/>
      <c r="K127" s="7">
        <f t="shared" si="1"/>
        <v>0</v>
      </c>
      <c r="M127" s="7" t="str">
        <f t="shared" si="2"/>
        <v/>
      </c>
    </row>
    <row r="128" ht="15.75" customHeight="1">
      <c r="A128" s="15"/>
      <c r="G128" s="7"/>
      <c r="H128" s="7"/>
      <c r="K128" s="7">
        <f t="shared" si="1"/>
        <v>0</v>
      </c>
      <c r="M128" s="7" t="str">
        <f t="shared" si="2"/>
        <v/>
      </c>
    </row>
    <row r="129" ht="15.75" customHeight="1">
      <c r="A129" s="15"/>
      <c r="G129" s="7"/>
      <c r="H129" s="7"/>
      <c r="K129" s="7">
        <f t="shared" si="1"/>
        <v>0</v>
      </c>
      <c r="M129" s="7" t="str">
        <f t="shared" si="2"/>
        <v/>
      </c>
    </row>
    <row r="130" ht="15.75" customHeight="1">
      <c r="A130" s="15"/>
      <c r="G130" s="7"/>
      <c r="H130" s="7"/>
      <c r="K130" s="7">
        <f t="shared" si="1"/>
        <v>0</v>
      </c>
      <c r="M130" s="7" t="str">
        <f t="shared" si="2"/>
        <v/>
      </c>
    </row>
    <row r="131" ht="15.75" customHeight="1">
      <c r="A131" s="15"/>
      <c r="G131" s="7"/>
      <c r="H131" s="7"/>
      <c r="K131" s="7">
        <f t="shared" si="1"/>
        <v>0</v>
      </c>
      <c r="M131" s="7" t="str">
        <f t="shared" si="2"/>
        <v/>
      </c>
    </row>
    <row r="132" ht="15.75" customHeight="1">
      <c r="A132" s="15"/>
      <c r="G132" s="7"/>
      <c r="H132" s="7"/>
      <c r="K132" s="7">
        <f t="shared" si="1"/>
        <v>0</v>
      </c>
      <c r="M132" s="7" t="str">
        <f t="shared" si="2"/>
        <v/>
      </c>
    </row>
    <row r="133" ht="15.75" customHeight="1">
      <c r="A133" s="15"/>
      <c r="G133" s="7"/>
      <c r="H133" s="7"/>
      <c r="K133" s="7">
        <f t="shared" si="1"/>
        <v>0</v>
      </c>
      <c r="M133" s="7" t="str">
        <f t="shared" si="2"/>
        <v/>
      </c>
    </row>
    <row r="134" ht="15.75" customHeight="1">
      <c r="A134" s="15"/>
      <c r="G134" s="7"/>
      <c r="H134" s="7"/>
      <c r="K134" s="7">
        <f t="shared" si="1"/>
        <v>0</v>
      </c>
      <c r="M134" s="7" t="str">
        <f t="shared" si="2"/>
        <v/>
      </c>
    </row>
    <row r="135" ht="15.75" customHeight="1">
      <c r="A135" s="15"/>
      <c r="G135" s="7"/>
      <c r="H135" s="7"/>
      <c r="K135" s="7">
        <f t="shared" si="1"/>
        <v>0</v>
      </c>
      <c r="M135" s="7" t="str">
        <f t="shared" si="2"/>
        <v/>
      </c>
    </row>
    <row r="136" ht="15.75" customHeight="1">
      <c r="A136" s="15"/>
      <c r="G136" s="7"/>
      <c r="H136" s="7"/>
      <c r="K136" s="7">
        <f t="shared" si="1"/>
        <v>0</v>
      </c>
      <c r="M136" s="7" t="str">
        <f t="shared" si="2"/>
        <v/>
      </c>
    </row>
    <row r="137" ht="15.75" customHeight="1">
      <c r="A137" s="15"/>
      <c r="G137" s="7"/>
      <c r="H137" s="7"/>
      <c r="K137" s="7">
        <f t="shared" si="1"/>
        <v>0</v>
      </c>
      <c r="M137" s="7" t="str">
        <f t="shared" si="2"/>
        <v/>
      </c>
    </row>
    <row r="138" ht="15.75" customHeight="1">
      <c r="A138" s="15"/>
      <c r="G138" s="7"/>
      <c r="H138" s="7"/>
      <c r="K138" s="7">
        <f t="shared" si="1"/>
        <v>0</v>
      </c>
      <c r="M138" s="7" t="str">
        <f t="shared" si="2"/>
        <v/>
      </c>
    </row>
    <row r="139" ht="15.75" customHeight="1">
      <c r="A139" s="15"/>
      <c r="G139" s="7"/>
      <c r="H139" s="7"/>
      <c r="K139" s="7">
        <f t="shared" si="1"/>
        <v>0</v>
      </c>
      <c r="M139" s="7" t="str">
        <f t="shared" si="2"/>
        <v/>
      </c>
    </row>
    <row r="140" ht="15.75" customHeight="1">
      <c r="A140" s="15"/>
      <c r="G140" s="7"/>
      <c r="H140" s="7"/>
      <c r="K140" s="7">
        <f t="shared" si="1"/>
        <v>0</v>
      </c>
      <c r="M140" s="7" t="str">
        <f t="shared" si="2"/>
        <v/>
      </c>
    </row>
    <row r="141" ht="15.75" customHeight="1">
      <c r="A141" s="15"/>
      <c r="G141" s="7"/>
      <c r="H141" s="7"/>
      <c r="K141" s="7">
        <f t="shared" si="1"/>
        <v>0</v>
      </c>
      <c r="M141" s="7" t="str">
        <f t="shared" si="2"/>
        <v/>
      </c>
    </row>
    <row r="142" ht="15.75" customHeight="1">
      <c r="A142" s="15"/>
      <c r="G142" s="7"/>
      <c r="H142" s="7"/>
      <c r="K142" s="7">
        <f t="shared" si="1"/>
        <v>0</v>
      </c>
      <c r="M142" s="7" t="str">
        <f t="shared" si="2"/>
        <v/>
      </c>
    </row>
    <row r="143" ht="15.75" customHeight="1">
      <c r="A143" s="15"/>
      <c r="G143" s="7"/>
      <c r="H143" s="7"/>
      <c r="K143" s="7">
        <f t="shared" si="1"/>
        <v>0</v>
      </c>
      <c r="M143" s="7" t="str">
        <f t="shared" si="2"/>
        <v/>
      </c>
    </row>
    <row r="144" ht="15.75" customHeight="1">
      <c r="A144" s="15"/>
      <c r="G144" s="7"/>
      <c r="H144" s="7"/>
      <c r="K144" s="7">
        <f t="shared" si="1"/>
        <v>0</v>
      </c>
      <c r="M144" s="7" t="str">
        <f t="shared" si="2"/>
        <v/>
      </c>
    </row>
    <row r="145" ht="15.75" customHeight="1">
      <c r="A145" s="15"/>
      <c r="G145" s="7"/>
      <c r="H145" s="7"/>
      <c r="K145" s="7">
        <f t="shared" si="1"/>
        <v>0</v>
      </c>
      <c r="M145" s="7" t="str">
        <f t="shared" si="2"/>
        <v/>
      </c>
    </row>
    <row r="146" ht="15.75" customHeight="1">
      <c r="A146" s="15"/>
      <c r="G146" s="7"/>
      <c r="H146" s="7"/>
      <c r="K146" s="7">
        <f t="shared" si="1"/>
        <v>0</v>
      </c>
      <c r="M146" s="7" t="str">
        <f t="shared" si="2"/>
        <v/>
      </c>
    </row>
    <row r="147" ht="15.75" customHeight="1">
      <c r="A147" s="15"/>
      <c r="G147" s="7"/>
      <c r="H147" s="7"/>
      <c r="K147" s="7">
        <f t="shared" si="1"/>
        <v>0</v>
      </c>
      <c r="M147" s="7" t="str">
        <f t="shared" si="2"/>
        <v/>
      </c>
    </row>
    <row r="148" ht="15.75" customHeight="1">
      <c r="A148" s="15"/>
      <c r="G148" s="7"/>
      <c r="H148" s="7"/>
      <c r="K148" s="7">
        <f t="shared" si="1"/>
        <v>0</v>
      </c>
      <c r="M148" s="7" t="str">
        <f t="shared" si="2"/>
        <v/>
      </c>
    </row>
    <row r="149" ht="15.75" customHeight="1">
      <c r="A149" s="15"/>
      <c r="G149" s="7"/>
      <c r="H149" s="7"/>
      <c r="K149" s="7">
        <f t="shared" si="1"/>
        <v>0</v>
      </c>
      <c r="M149" s="7" t="str">
        <f t="shared" si="2"/>
        <v/>
      </c>
    </row>
    <row r="150" ht="15.75" customHeight="1">
      <c r="A150" s="15"/>
      <c r="G150" s="7"/>
      <c r="H150" s="7"/>
      <c r="K150" s="7">
        <f t="shared" si="1"/>
        <v>0</v>
      </c>
      <c r="M150" s="7" t="str">
        <f t="shared" si="2"/>
        <v/>
      </c>
    </row>
    <row r="151" ht="15.75" customHeight="1">
      <c r="A151" s="15"/>
      <c r="G151" s="7"/>
      <c r="H151" s="7"/>
      <c r="K151" s="7">
        <f t="shared" si="1"/>
        <v>0</v>
      </c>
      <c r="M151" s="7" t="str">
        <f t="shared" si="2"/>
        <v/>
      </c>
    </row>
    <row r="152" ht="15.75" customHeight="1">
      <c r="A152" s="15"/>
      <c r="G152" s="7"/>
      <c r="H152" s="7"/>
      <c r="K152" s="7">
        <f t="shared" si="1"/>
        <v>0</v>
      </c>
      <c r="M152" s="7" t="str">
        <f t="shared" si="2"/>
        <v/>
      </c>
    </row>
    <row r="153" ht="15.75" customHeight="1">
      <c r="A153" s="15"/>
      <c r="G153" s="7"/>
      <c r="H153" s="7"/>
      <c r="K153" s="7">
        <f t="shared" si="1"/>
        <v>0</v>
      </c>
      <c r="M153" s="7" t="str">
        <f t="shared" si="2"/>
        <v/>
      </c>
    </row>
    <row r="154" ht="15.75" customHeight="1">
      <c r="A154" s="15"/>
      <c r="G154" s="7"/>
      <c r="H154" s="7"/>
      <c r="K154" s="7">
        <f t="shared" si="1"/>
        <v>0</v>
      </c>
      <c r="M154" s="7" t="str">
        <f t="shared" si="2"/>
        <v/>
      </c>
    </row>
    <row r="155" ht="15.75" customHeight="1">
      <c r="A155" s="15"/>
      <c r="G155" s="7"/>
      <c r="H155" s="7"/>
      <c r="K155" s="7">
        <f t="shared" si="1"/>
        <v>0</v>
      </c>
      <c r="M155" s="7" t="str">
        <f t="shared" si="2"/>
        <v/>
      </c>
    </row>
    <row r="156" ht="15.75" customHeight="1">
      <c r="A156" s="15"/>
      <c r="G156" s="7"/>
      <c r="H156" s="7"/>
      <c r="K156" s="7">
        <f t="shared" si="1"/>
        <v>0</v>
      </c>
      <c r="M156" s="7" t="str">
        <f t="shared" si="2"/>
        <v/>
      </c>
    </row>
    <row r="157" ht="15.75" customHeight="1">
      <c r="A157" s="15"/>
      <c r="G157" s="7"/>
      <c r="H157" s="7"/>
      <c r="K157" s="7">
        <f t="shared" si="1"/>
        <v>0</v>
      </c>
      <c r="M157" s="7" t="str">
        <f t="shared" si="2"/>
        <v/>
      </c>
    </row>
    <row r="158" ht="15.75" customHeight="1">
      <c r="A158" s="15"/>
      <c r="G158" s="7"/>
      <c r="H158" s="7"/>
      <c r="K158" s="7">
        <f t="shared" si="1"/>
        <v>0</v>
      </c>
      <c r="M158" s="7" t="str">
        <f t="shared" si="2"/>
        <v/>
      </c>
    </row>
    <row r="159" ht="15.75" customHeight="1">
      <c r="A159" s="15"/>
      <c r="G159" s="7"/>
      <c r="H159" s="7"/>
      <c r="K159" s="7">
        <f t="shared" si="1"/>
        <v>0</v>
      </c>
      <c r="M159" s="7" t="str">
        <f t="shared" si="2"/>
        <v/>
      </c>
    </row>
    <row r="160" ht="15.75" customHeight="1">
      <c r="A160" s="15"/>
      <c r="G160" s="7"/>
      <c r="H160" s="7"/>
      <c r="K160" s="7">
        <f t="shared" si="1"/>
        <v>0</v>
      </c>
      <c r="M160" s="7" t="str">
        <f t="shared" si="2"/>
        <v/>
      </c>
    </row>
    <row r="161" ht="15.75" customHeight="1">
      <c r="A161" s="15"/>
      <c r="G161" s="7"/>
      <c r="H161" s="7"/>
      <c r="K161" s="7">
        <f t="shared" si="1"/>
        <v>0</v>
      </c>
      <c r="M161" s="7" t="str">
        <f t="shared" si="2"/>
        <v/>
      </c>
    </row>
    <row r="162" ht="15.75" customHeight="1">
      <c r="A162" s="15"/>
      <c r="G162" s="7"/>
      <c r="H162" s="7"/>
      <c r="K162" s="7">
        <f t="shared" si="1"/>
        <v>0</v>
      </c>
      <c r="M162" s="7" t="str">
        <f t="shared" si="2"/>
        <v/>
      </c>
    </row>
    <row r="163" ht="15.75" customHeight="1">
      <c r="A163" s="15"/>
      <c r="G163" s="7"/>
      <c r="H163" s="7"/>
      <c r="K163" s="7">
        <f t="shared" si="1"/>
        <v>0</v>
      </c>
      <c r="M163" s="7" t="str">
        <f t="shared" si="2"/>
        <v/>
      </c>
    </row>
    <row r="164" ht="15.75" customHeight="1">
      <c r="A164" s="15"/>
      <c r="G164" s="7"/>
      <c r="H164" s="7"/>
      <c r="K164" s="7">
        <f t="shared" si="1"/>
        <v>0</v>
      </c>
      <c r="M164" s="7" t="str">
        <f t="shared" si="2"/>
        <v/>
      </c>
    </row>
    <row r="165" ht="15.75" customHeight="1">
      <c r="A165" s="15"/>
      <c r="G165" s="7"/>
      <c r="H165" s="7"/>
      <c r="K165" s="7">
        <f t="shared" si="1"/>
        <v>0</v>
      </c>
      <c r="M165" s="7" t="str">
        <f t="shared" si="2"/>
        <v/>
      </c>
    </row>
    <row r="166" ht="15.75" customHeight="1">
      <c r="A166" s="15"/>
      <c r="G166" s="7"/>
      <c r="H166" s="7"/>
      <c r="K166" s="7">
        <f t="shared" si="1"/>
        <v>0</v>
      </c>
      <c r="M166" s="7" t="str">
        <f t="shared" si="2"/>
        <v/>
      </c>
    </row>
    <row r="167" ht="15.75" customHeight="1">
      <c r="A167" s="15"/>
      <c r="G167" s="7"/>
      <c r="H167" s="7"/>
      <c r="K167" s="7">
        <f t="shared" si="1"/>
        <v>0</v>
      </c>
      <c r="M167" s="7" t="str">
        <f t="shared" si="2"/>
        <v/>
      </c>
    </row>
    <row r="168" ht="15.75" customHeight="1">
      <c r="A168" s="15"/>
      <c r="G168" s="7"/>
      <c r="H168" s="7"/>
      <c r="K168" s="7">
        <f t="shared" si="1"/>
        <v>0</v>
      </c>
      <c r="M168" s="7" t="str">
        <f t="shared" si="2"/>
        <v/>
      </c>
    </row>
    <row r="169" ht="15.75" customHeight="1">
      <c r="A169" s="15"/>
      <c r="G169" s="7"/>
      <c r="H169" s="7"/>
      <c r="K169" s="7">
        <f t="shared" si="1"/>
        <v>0</v>
      </c>
      <c r="M169" s="7" t="str">
        <f t="shared" si="2"/>
        <v/>
      </c>
    </row>
    <row r="170" ht="15.75" customHeight="1">
      <c r="A170" s="15"/>
      <c r="G170" s="7"/>
      <c r="H170" s="7"/>
      <c r="K170" s="7">
        <f t="shared" si="1"/>
        <v>0</v>
      </c>
      <c r="M170" s="7" t="str">
        <f t="shared" si="2"/>
        <v/>
      </c>
    </row>
    <row r="171" ht="15.75" customHeight="1">
      <c r="A171" s="15"/>
      <c r="G171" s="7"/>
      <c r="H171" s="7"/>
      <c r="K171" s="7">
        <f t="shared" si="1"/>
        <v>0</v>
      </c>
      <c r="M171" s="7" t="str">
        <f t="shared" si="2"/>
        <v/>
      </c>
    </row>
    <row r="172" ht="15.75" customHeight="1">
      <c r="A172" s="15"/>
      <c r="G172" s="7"/>
      <c r="H172" s="7"/>
      <c r="K172" s="7">
        <f t="shared" si="1"/>
        <v>0</v>
      </c>
      <c r="M172" s="7" t="str">
        <f t="shared" si="2"/>
        <v/>
      </c>
    </row>
    <row r="173" ht="15.75" customHeight="1">
      <c r="A173" s="15"/>
      <c r="G173" s="7"/>
      <c r="H173" s="7"/>
      <c r="K173" s="7">
        <f t="shared" si="1"/>
        <v>0</v>
      </c>
      <c r="M173" s="7" t="str">
        <f t="shared" si="2"/>
        <v/>
      </c>
    </row>
    <row r="174" ht="15.75" customHeight="1">
      <c r="A174" s="15"/>
      <c r="G174" s="7"/>
      <c r="H174" s="7"/>
      <c r="K174" s="7">
        <f t="shared" si="1"/>
        <v>0</v>
      </c>
      <c r="M174" s="7" t="str">
        <f t="shared" si="2"/>
        <v/>
      </c>
    </row>
    <row r="175" ht="15.75" customHeight="1">
      <c r="A175" s="15"/>
      <c r="G175" s="7"/>
      <c r="H175" s="7"/>
      <c r="K175" s="7">
        <f t="shared" si="1"/>
        <v>0</v>
      </c>
      <c r="M175" s="7" t="str">
        <f t="shared" si="2"/>
        <v/>
      </c>
    </row>
    <row r="176" ht="15.75" customHeight="1">
      <c r="A176" s="15"/>
      <c r="G176" s="7"/>
      <c r="H176" s="7"/>
      <c r="K176" s="7">
        <f t="shared" si="1"/>
        <v>0</v>
      </c>
      <c r="M176" s="7" t="str">
        <f t="shared" si="2"/>
        <v/>
      </c>
    </row>
    <row r="177" ht="15.75" customHeight="1">
      <c r="A177" s="15"/>
      <c r="G177" s="7"/>
      <c r="H177" s="7"/>
      <c r="K177" s="7">
        <f t="shared" si="1"/>
        <v>0</v>
      </c>
      <c r="M177" s="7" t="str">
        <f t="shared" si="2"/>
        <v/>
      </c>
    </row>
    <row r="178" ht="15.75" customHeight="1">
      <c r="A178" s="15"/>
      <c r="G178" s="7"/>
      <c r="H178" s="7"/>
      <c r="K178" s="7">
        <f t="shared" si="1"/>
        <v>0</v>
      </c>
      <c r="M178" s="7" t="str">
        <f t="shared" si="2"/>
        <v/>
      </c>
    </row>
    <row r="179" ht="15.75" customHeight="1">
      <c r="A179" s="15"/>
      <c r="G179" s="7"/>
      <c r="H179" s="7"/>
      <c r="K179" s="7">
        <f t="shared" si="1"/>
        <v>0</v>
      </c>
      <c r="M179" s="7" t="str">
        <f t="shared" si="2"/>
        <v/>
      </c>
    </row>
    <row r="180" ht="15.75" customHeight="1">
      <c r="A180" s="15"/>
      <c r="G180" s="7"/>
      <c r="H180" s="7"/>
      <c r="K180" s="7">
        <f t="shared" si="1"/>
        <v>0</v>
      </c>
      <c r="M180" s="7" t="str">
        <f t="shared" si="2"/>
        <v/>
      </c>
    </row>
    <row r="181" ht="15.75" customHeight="1">
      <c r="A181" s="15"/>
      <c r="G181" s="7"/>
      <c r="H181" s="7"/>
      <c r="K181" s="7">
        <f t="shared" si="1"/>
        <v>0</v>
      </c>
      <c r="M181" s="7" t="str">
        <f t="shared" si="2"/>
        <v/>
      </c>
    </row>
    <row r="182" ht="15.75" customHeight="1">
      <c r="A182" s="15"/>
      <c r="G182" s="7"/>
      <c r="H182" s="7"/>
      <c r="K182" s="7">
        <f t="shared" si="1"/>
        <v>0</v>
      </c>
      <c r="M182" s="7" t="str">
        <f t="shared" si="2"/>
        <v/>
      </c>
    </row>
    <row r="183" ht="15.75" customHeight="1">
      <c r="A183" s="15"/>
      <c r="G183" s="7"/>
      <c r="H183" s="7"/>
      <c r="K183" s="7">
        <f t="shared" si="1"/>
        <v>0</v>
      </c>
      <c r="M183" s="7" t="str">
        <f t="shared" si="2"/>
        <v/>
      </c>
    </row>
    <row r="184" ht="15.75" customHeight="1">
      <c r="A184" s="15"/>
      <c r="G184" s="7"/>
      <c r="H184" s="7"/>
      <c r="K184" s="7">
        <f t="shared" si="1"/>
        <v>0</v>
      </c>
      <c r="M184" s="7" t="str">
        <f t="shared" si="2"/>
        <v/>
      </c>
    </row>
    <row r="185" ht="15.75" customHeight="1">
      <c r="A185" s="15"/>
      <c r="G185" s="7"/>
      <c r="H185" s="7"/>
      <c r="K185" s="7">
        <f t="shared" si="1"/>
        <v>0</v>
      </c>
      <c r="M185" s="7" t="str">
        <f t="shared" si="2"/>
        <v/>
      </c>
    </row>
    <row r="186" ht="15.75" customHeight="1">
      <c r="A186" s="15"/>
      <c r="G186" s="7"/>
      <c r="H186" s="7"/>
      <c r="K186" s="7">
        <f t="shared" si="1"/>
        <v>0</v>
      </c>
      <c r="M186" s="7" t="str">
        <f t="shared" si="2"/>
        <v/>
      </c>
    </row>
    <row r="187" ht="15.75" customHeight="1">
      <c r="A187" s="15"/>
      <c r="G187" s="7"/>
      <c r="H187" s="7"/>
      <c r="K187" s="7">
        <f t="shared" si="1"/>
        <v>0</v>
      </c>
      <c r="M187" s="7" t="str">
        <f t="shared" si="2"/>
        <v/>
      </c>
    </row>
    <row r="188" ht="15.75" customHeight="1">
      <c r="A188" s="15"/>
      <c r="G188" s="7"/>
      <c r="H188" s="7"/>
      <c r="K188" s="7">
        <f t="shared" si="1"/>
        <v>0</v>
      </c>
      <c r="M188" s="7" t="str">
        <f t="shared" si="2"/>
        <v/>
      </c>
    </row>
    <row r="189" ht="15.75" customHeight="1">
      <c r="A189" s="15"/>
      <c r="G189" s="7"/>
      <c r="H189" s="7"/>
      <c r="K189" s="7">
        <f t="shared" si="1"/>
        <v>0</v>
      </c>
      <c r="M189" s="7" t="str">
        <f t="shared" si="2"/>
        <v/>
      </c>
    </row>
    <row r="190" ht="15.75" customHeight="1">
      <c r="A190" s="15"/>
      <c r="G190" s="7"/>
      <c r="H190" s="7"/>
      <c r="K190" s="7">
        <f t="shared" si="1"/>
        <v>0</v>
      </c>
      <c r="M190" s="7" t="str">
        <f t="shared" si="2"/>
        <v/>
      </c>
    </row>
    <row r="191" ht="15.75" customHeight="1">
      <c r="A191" s="15"/>
      <c r="G191" s="7"/>
      <c r="H191" s="7"/>
      <c r="K191" s="7">
        <f t="shared" si="1"/>
        <v>0</v>
      </c>
      <c r="M191" s="7" t="str">
        <f t="shared" si="2"/>
        <v/>
      </c>
    </row>
    <row r="192" ht="15.75" customHeight="1">
      <c r="A192" s="15"/>
      <c r="G192" s="7"/>
      <c r="H192" s="7"/>
      <c r="K192" s="7">
        <f t="shared" si="1"/>
        <v>0</v>
      </c>
      <c r="M192" s="7" t="str">
        <f t="shared" si="2"/>
        <v/>
      </c>
    </row>
    <row r="193" ht="15.75" customHeight="1">
      <c r="A193" s="15"/>
      <c r="G193" s="7"/>
      <c r="H193" s="7"/>
      <c r="K193" s="7">
        <f t="shared" si="1"/>
        <v>0</v>
      </c>
      <c r="M193" s="7" t="str">
        <f t="shared" si="2"/>
        <v/>
      </c>
    </row>
    <row r="194" ht="15.75" customHeight="1">
      <c r="A194" s="15"/>
      <c r="G194" s="7"/>
      <c r="H194" s="7"/>
      <c r="K194" s="7">
        <f t="shared" si="1"/>
        <v>0</v>
      </c>
      <c r="M194" s="7" t="str">
        <f t="shared" si="2"/>
        <v/>
      </c>
    </row>
    <row r="195" ht="15.75" customHeight="1">
      <c r="A195" s="15"/>
      <c r="G195" s="7"/>
      <c r="H195" s="7"/>
      <c r="K195" s="7">
        <f t="shared" si="1"/>
        <v>0</v>
      </c>
      <c r="M195" s="7" t="str">
        <f t="shared" si="2"/>
        <v/>
      </c>
    </row>
    <row r="196" ht="15.75" customHeight="1">
      <c r="A196" s="15"/>
      <c r="G196" s="7"/>
      <c r="H196" s="7"/>
      <c r="K196" s="7">
        <f t="shared" si="1"/>
        <v>0</v>
      </c>
      <c r="M196" s="7" t="str">
        <f t="shared" si="2"/>
        <v/>
      </c>
    </row>
    <row r="197" ht="15.75" customHeight="1">
      <c r="A197" s="15"/>
      <c r="G197" s="7"/>
      <c r="H197" s="7"/>
      <c r="K197" s="7">
        <f t="shared" si="1"/>
        <v>0</v>
      </c>
      <c r="M197" s="7" t="str">
        <f t="shared" si="2"/>
        <v/>
      </c>
    </row>
    <row r="198" ht="15.75" customHeight="1">
      <c r="A198" s="15"/>
      <c r="G198" s="7"/>
      <c r="H198" s="7"/>
      <c r="K198" s="7">
        <f t="shared" si="1"/>
        <v>0</v>
      </c>
      <c r="M198" s="7" t="str">
        <f t="shared" si="2"/>
        <v/>
      </c>
    </row>
    <row r="199" ht="15.75" customHeight="1">
      <c r="A199" s="15"/>
      <c r="G199" s="7"/>
      <c r="H199" s="7"/>
      <c r="K199" s="7">
        <f t="shared" si="1"/>
        <v>0</v>
      </c>
      <c r="M199" s="7" t="str">
        <f t="shared" si="2"/>
        <v/>
      </c>
    </row>
    <row r="200" ht="15.75" customHeight="1">
      <c r="A200" s="15"/>
      <c r="G200" s="7"/>
      <c r="H200" s="7"/>
      <c r="K200" s="7">
        <f t="shared" si="1"/>
        <v>0</v>
      </c>
      <c r="M200" s="7" t="str">
        <f t="shared" si="2"/>
        <v/>
      </c>
    </row>
    <row r="201" ht="15.75" customHeight="1">
      <c r="A201" s="15"/>
      <c r="G201" s="7"/>
      <c r="H201" s="7"/>
      <c r="K201" s="7">
        <f t="shared" si="1"/>
        <v>0</v>
      </c>
      <c r="M201" s="7" t="str">
        <f t="shared" si="2"/>
        <v/>
      </c>
    </row>
    <row r="202" ht="15.75" customHeight="1">
      <c r="A202" s="15"/>
      <c r="G202" s="7"/>
      <c r="H202" s="7"/>
      <c r="K202" s="7">
        <f t="shared" si="1"/>
        <v>0</v>
      </c>
      <c r="M202" s="7" t="str">
        <f t="shared" si="2"/>
        <v/>
      </c>
    </row>
    <row r="203" ht="15.75" customHeight="1">
      <c r="A203" s="15"/>
      <c r="G203" s="7"/>
      <c r="H203" s="7"/>
      <c r="K203" s="7">
        <f t="shared" si="1"/>
        <v>0</v>
      </c>
      <c r="M203" s="7" t="str">
        <f t="shared" si="2"/>
        <v/>
      </c>
    </row>
    <row r="204" ht="15.75" customHeight="1">
      <c r="A204" s="15"/>
      <c r="G204" s="7"/>
      <c r="H204" s="7"/>
      <c r="K204" s="7">
        <f t="shared" si="1"/>
        <v>0</v>
      </c>
      <c r="M204" s="7" t="str">
        <f t="shared" si="2"/>
        <v/>
      </c>
    </row>
    <row r="205" ht="15.75" customHeight="1">
      <c r="A205" s="15"/>
      <c r="G205" s="7"/>
      <c r="H205" s="7"/>
      <c r="K205" s="7">
        <f t="shared" si="1"/>
        <v>0</v>
      </c>
      <c r="M205" s="7" t="str">
        <f t="shared" si="2"/>
        <v/>
      </c>
    </row>
    <row r="206" ht="15.75" customHeight="1">
      <c r="A206" s="15"/>
      <c r="G206" s="7"/>
      <c r="H206" s="7"/>
      <c r="K206" s="7">
        <f t="shared" si="1"/>
        <v>0</v>
      </c>
      <c r="M206" s="7" t="str">
        <f t="shared" si="2"/>
        <v/>
      </c>
    </row>
    <row r="207" ht="15.75" customHeight="1">
      <c r="A207" s="15"/>
      <c r="G207" s="7"/>
      <c r="H207" s="7"/>
      <c r="K207" s="7">
        <f t="shared" si="1"/>
        <v>0</v>
      </c>
      <c r="M207" s="7" t="str">
        <f t="shared" si="2"/>
        <v/>
      </c>
    </row>
    <row r="208" ht="15.75" customHeight="1">
      <c r="A208" s="15"/>
      <c r="G208" s="7"/>
      <c r="H208" s="7"/>
      <c r="K208" s="7">
        <f t="shared" si="1"/>
        <v>0</v>
      </c>
      <c r="M208" s="7" t="str">
        <f t="shared" si="2"/>
        <v/>
      </c>
    </row>
    <row r="209" ht="15.75" customHeight="1">
      <c r="A209" s="15"/>
      <c r="G209" s="7"/>
      <c r="H209" s="7"/>
      <c r="K209" s="7">
        <f t="shared" si="1"/>
        <v>0</v>
      </c>
      <c r="M209" s="7" t="str">
        <f t="shared" si="2"/>
        <v/>
      </c>
    </row>
    <row r="210" ht="15.75" customHeight="1">
      <c r="A210" s="15"/>
      <c r="G210" s="7"/>
      <c r="H210" s="7"/>
      <c r="K210" s="7">
        <f t="shared" si="1"/>
        <v>0</v>
      </c>
      <c r="M210" s="7" t="str">
        <f t="shared" si="2"/>
        <v/>
      </c>
    </row>
    <row r="211" ht="15.75" customHeight="1">
      <c r="A211" s="15"/>
      <c r="G211" s="7"/>
      <c r="H211" s="7"/>
      <c r="K211" s="7">
        <f t="shared" si="1"/>
        <v>0</v>
      </c>
      <c r="M211" s="7" t="str">
        <f t="shared" si="2"/>
        <v/>
      </c>
    </row>
    <row r="212" ht="15.75" customHeight="1">
      <c r="A212" s="15"/>
      <c r="G212" s="7"/>
      <c r="H212" s="7"/>
      <c r="K212" s="7">
        <f t="shared" si="1"/>
        <v>0</v>
      </c>
      <c r="M212" s="7" t="str">
        <f t="shared" si="2"/>
        <v/>
      </c>
    </row>
    <row r="213" ht="15.75" customHeight="1">
      <c r="A213" s="15"/>
      <c r="G213" s="7"/>
      <c r="H213" s="7"/>
      <c r="K213" s="7">
        <f t="shared" si="1"/>
        <v>0</v>
      </c>
      <c r="M213" s="7" t="str">
        <f t="shared" si="2"/>
        <v/>
      </c>
    </row>
    <row r="214" ht="15.75" customHeight="1">
      <c r="A214" s="15"/>
      <c r="G214" s="7"/>
      <c r="H214" s="7"/>
      <c r="K214" s="7">
        <f t="shared" si="1"/>
        <v>0</v>
      </c>
      <c r="M214" s="7" t="str">
        <f t="shared" si="2"/>
        <v/>
      </c>
    </row>
    <row r="215" ht="15.75" customHeight="1">
      <c r="A215" s="15"/>
      <c r="G215" s="7"/>
      <c r="H215" s="7"/>
      <c r="K215" s="7">
        <f t="shared" si="1"/>
        <v>0</v>
      </c>
      <c r="M215" s="7" t="str">
        <f t="shared" si="2"/>
        <v/>
      </c>
    </row>
    <row r="216" ht="15.75" customHeight="1">
      <c r="A216" s="15"/>
      <c r="G216" s="7"/>
      <c r="H216" s="7"/>
      <c r="K216" s="7">
        <f t="shared" si="1"/>
        <v>0</v>
      </c>
      <c r="M216" s="7" t="str">
        <f t="shared" si="2"/>
        <v/>
      </c>
    </row>
    <row r="217" ht="15.75" customHeight="1">
      <c r="A217" s="15"/>
      <c r="G217" s="7"/>
      <c r="H217" s="7"/>
      <c r="K217" s="7">
        <f t="shared" si="1"/>
        <v>0</v>
      </c>
      <c r="M217" s="7" t="str">
        <f t="shared" si="2"/>
        <v/>
      </c>
    </row>
    <row r="218" ht="15.75" customHeight="1">
      <c r="A218" s="15"/>
      <c r="G218" s="7"/>
      <c r="H218" s="7"/>
      <c r="K218" s="7">
        <f t="shared" si="1"/>
        <v>0</v>
      </c>
      <c r="M218" s="7" t="str">
        <f t="shared" si="2"/>
        <v/>
      </c>
    </row>
    <row r="219" ht="15.75" customHeight="1">
      <c r="A219" s="15"/>
      <c r="G219" s="7"/>
      <c r="H219" s="7"/>
      <c r="K219" s="7">
        <f t="shared" si="1"/>
        <v>0</v>
      </c>
      <c r="M219" s="7" t="str">
        <f t="shared" si="2"/>
        <v/>
      </c>
    </row>
    <row r="220" ht="15.75" customHeight="1">
      <c r="A220" s="15"/>
      <c r="G220" s="7"/>
      <c r="H220" s="7"/>
      <c r="K220" s="7">
        <f t="shared" si="1"/>
        <v>0</v>
      </c>
      <c r="M220" s="7" t="str">
        <f t="shared" si="2"/>
        <v/>
      </c>
    </row>
    <row r="221" ht="15.75" customHeight="1">
      <c r="A221" s="15"/>
      <c r="G221" s="7"/>
      <c r="H221" s="7"/>
      <c r="K221" s="7">
        <f t="shared" si="1"/>
        <v>0</v>
      </c>
      <c r="M221" s="7" t="str">
        <f t="shared" si="2"/>
        <v/>
      </c>
    </row>
    <row r="222" ht="15.75" customHeight="1">
      <c r="A222" s="15"/>
      <c r="G222" s="7"/>
      <c r="H222" s="7"/>
      <c r="K222" s="7">
        <f t="shared" si="1"/>
        <v>0</v>
      </c>
      <c r="M222" s="7" t="str">
        <f t="shared" si="2"/>
        <v/>
      </c>
    </row>
    <row r="223" ht="15.75" customHeight="1">
      <c r="A223" s="15"/>
      <c r="G223" s="7"/>
      <c r="H223" s="7"/>
      <c r="K223" s="7">
        <f t="shared" si="1"/>
        <v>0</v>
      </c>
      <c r="M223" s="7" t="str">
        <f t="shared" si="2"/>
        <v/>
      </c>
    </row>
    <row r="224" ht="15.75" customHeight="1">
      <c r="A224" s="15"/>
      <c r="G224" s="7"/>
      <c r="H224" s="7"/>
      <c r="K224" s="7">
        <f t="shared" si="1"/>
        <v>0</v>
      </c>
      <c r="M224" s="7" t="str">
        <f t="shared" si="2"/>
        <v/>
      </c>
    </row>
    <row r="225" ht="15.75" customHeight="1">
      <c r="A225" s="15"/>
      <c r="G225" s="7"/>
      <c r="H225" s="7"/>
      <c r="K225" s="7">
        <f t="shared" si="1"/>
        <v>0</v>
      </c>
      <c r="M225" s="7" t="str">
        <f t="shared" si="2"/>
        <v/>
      </c>
    </row>
    <row r="226" ht="15.75" customHeight="1">
      <c r="A226" s="15"/>
      <c r="G226" s="7"/>
      <c r="H226" s="7"/>
      <c r="K226" s="7">
        <f t="shared" si="1"/>
        <v>0</v>
      </c>
      <c r="M226" s="7" t="str">
        <f t="shared" si="2"/>
        <v/>
      </c>
    </row>
    <row r="227" ht="15.75" customHeight="1">
      <c r="A227" s="15"/>
      <c r="G227" s="7"/>
      <c r="H227" s="7"/>
      <c r="K227" s="7">
        <f t="shared" si="1"/>
        <v>0</v>
      </c>
      <c r="M227" s="7" t="str">
        <f t="shared" si="2"/>
        <v/>
      </c>
    </row>
    <row r="228" ht="15.75" customHeight="1">
      <c r="A228" s="15"/>
      <c r="G228" s="7"/>
      <c r="H228" s="7"/>
      <c r="K228" s="7">
        <f t="shared" si="1"/>
        <v>0</v>
      </c>
      <c r="M228" s="7" t="str">
        <f t="shared" si="2"/>
        <v/>
      </c>
    </row>
    <row r="229" ht="15.75" customHeight="1">
      <c r="A229" s="15"/>
      <c r="G229" s="7"/>
      <c r="H229" s="7"/>
      <c r="K229" s="7">
        <f t="shared" si="1"/>
        <v>0</v>
      </c>
      <c r="M229" s="7" t="str">
        <f t="shared" si="2"/>
        <v/>
      </c>
    </row>
    <row r="230" ht="15.75" customHeight="1">
      <c r="A230" s="15"/>
      <c r="G230" s="7"/>
      <c r="H230" s="7"/>
      <c r="K230" s="7">
        <f t="shared" si="1"/>
        <v>0</v>
      </c>
      <c r="M230" s="7" t="str">
        <f t="shared" si="2"/>
        <v/>
      </c>
    </row>
    <row r="231" ht="15.75" customHeight="1">
      <c r="A231" s="15"/>
      <c r="G231" s="7"/>
      <c r="H231" s="7"/>
      <c r="K231" s="7">
        <f t="shared" si="1"/>
        <v>0</v>
      </c>
      <c r="M231" s="7" t="str">
        <f t="shared" si="2"/>
        <v/>
      </c>
    </row>
    <row r="232" ht="15.75" customHeight="1">
      <c r="A232" s="15"/>
      <c r="G232" s="7"/>
      <c r="H232" s="7"/>
      <c r="K232" s="7">
        <f t="shared" si="1"/>
        <v>0</v>
      </c>
      <c r="M232" s="7" t="str">
        <f t="shared" si="2"/>
        <v/>
      </c>
    </row>
    <row r="233" ht="15.75" customHeight="1">
      <c r="A233" s="15"/>
      <c r="G233" s="7"/>
      <c r="H233" s="7"/>
      <c r="K233" s="7">
        <f t="shared" si="1"/>
        <v>0</v>
      </c>
      <c r="M233" s="7" t="str">
        <f t="shared" si="2"/>
        <v/>
      </c>
    </row>
    <row r="234" ht="15.75" customHeight="1">
      <c r="A234" s="15"/>
      <c r="G234" s="7"/>
      <c r="H234" s="7"/>
      <c r="K234" s="7">
        <f t="shared" si="1"/>
        <v>0</v>
      </c>
      <c r="M234" s="7" t="str">
        <f t="shared" si="2"/>
        <v/>
      </c>
    </row>
    <row r="235" ht="15.75" customHeight="1">
      <c r="A235" s="15"/>
      <c r="G235" s="7"/>
      <c r="H235" s="7"/>
      <c r="K235" s="7">
        <f t="shared" si="1"/>
        <v>0</v>
      </c>
      <c r="M235" s="7" t="str">
        <f t="shared" si="2"/>
        <v/>
      </c>
    </row>
    <row r="236" ht="15.75" customHeight="1">
      <c r="A236" s="15"/>
      <c r="G236" s="7"/>
      <c r="H236" s="7"/>
      <c r="K236" s="7">
        <f t="shared" si="1"/>
        <v>0</v>
      </c>
      <c r="M236" s="7" t="str">
        <f t="shared" si="2"/>
        <v/>
      </c>
    </row>
    <row r="237" ht="15.75" customHeight="1">
      <c r="A237" s="15"/>
      <c r="G237" s="7"/>
      <c r="H237" s="7"/>
      <c r="K237" s="7">
        <f t="shared" si="1"/>
        <v>0</v>
      </c>
      <c r="M237" s="7" t="str">
        <f t="shared" si="2"/>
        <v/>
      </c>
    </row>
    <row r="238" ht="15.75" customHeight="1">
      <c r="A238" s="15"/>
      <c r="G238" s="7"/>
      <c r="H238" s="7"/>
      <c r="K238" s="7">
        <f t="shared" si="1"/>
        <v>0</v>
      </c>
      <c r="M238" s="7" t="str">
        <f t="shared" si="2"/>
        <v/>
      </c>
    </row>
    <row r="239" ht="15.75" customHeight="1">
      <c r="A239" s="15"/>
      <c r="G239" s="7"/>
      <c r="H239" s="7"/>
      <c r="K239" s="7">
        <f t="shared" si="1"/>
        <v>0</v>
      </c>
      <c r="M239" s="7" t="str">
        <f t="shared" si="2"/>
        <v/>
      </c>
    </row>
    <row r="240" ht="15.75" customHeight="1">
      <c r="A240" s="15"/>
      <c r="G240" s="7"/>
      <c r="H240" s="7"/>
      <c r="K240" s="7">
        <f t="shared" si="1"/>
        <v>0</v>
      </c>
      <c r="M240" s="7" t="str">
        <f t="shared" si="2"/>
        <v/>
      </c>
    </row>
    <row r="241" ht="15.75" customHeight="1">
      <c r="A241" s="15"/>
      <c r="G241" s="7"/>
      <c r="H241" s="7"/>
      <c r="K241" s="7">
        <f t="shared" si="1"/>
        <v>0</v>
      </c>
      <c r="M241" s="7" t="str">
        <f t="shared" si="2"/>
        <v/>
      </c>
    </row>
    <row r="242" ht="15.75" customHeight="1">
      <c r="A242" s="15"/>
      <c r="G242" s="7"/>
      <c r="H242" s="7"/>
      <c r="K242" s="7">
        <f t="shared" si="1"/>
        <v>0</v>
      </c>
      <c r="M242" s="7" t="str">
        <f t="shared" si="2"/>
        <v/>
      </c>
    </row>
    <row r="243" ht="15.75" customHeight="1">
      <c r="A243" s="15"/>
      <c r="G243" s="7"/>
      <c r="H243" s="7"/>
      <c r="K243" s="7">
        <f t="shared" si="1"/>
        <v>0</v>
      </c>
      <c r="M243" s="7" t="str">
        <f t="shared" si="2"/>
        <v/>
      </c>
    </row>
    <row r="244" ht="15.75" customHeight="1">
      <c r="A244" s="15"/>
      <c r="G244" s="7"/>
      <c r="H244" s="7"/>
      <c r="K244" s="7">
        <f t="shared" si="1"/>
        <v>0</v>
      </c>
      <c r="M244" s="7" t="str">
        <f t="shared" si="2"/>
        <v/>
      </c>
    </row>
    <row r="245" ht="15.75" customHeight="1">
      <c r="A245" s="15"/>
      <c r="G245" s="7"/>
      <c r="H245" s="7"/>
      <c r="K245" s="7">
        <f t="shared" si="1"/>
        <v>0</v>
      </c>
      <c r="M245" s="7" t="str">
        <f t="shared" si="2"/>
        <v/>
      </c>
    </row>
    <row r="246" ht="15.75" customHeight="1">
      <c r="A246" s="15"/>
      <c r="G246" s="7"/>
      <c r="H246" s="7"/>
      <c r="K246" s="7">
        <f t="shared" si="1"/>
        <v>0</v>
      </c>
      <c r="M246" s="7" t="str">
        <f t="shared" si="2"/>
        <v/>
      </c>
    </row>
    <row r="247" ht="15.75" customHeight="1">
      <c r="A247" s="15"/>
      <c r="G247" s="7"/>
      <c r="H247" s="7"/>
      <c r="K247" s="7">
        <f t="shared" si="1"/>
        <v>0</v>
      </c>
      <c r="M247" s="7" t="str">
        <f t="shared" si="2"/>
        <v/>
      </c>
    </row>
    <row r="248" ht="15.75" customHeight="1">
      <c r="A248" s="15"/>
      <c r="G248" s="7"/>
      <c r="H248" s="7"/>
      <c r="K248" s="7">
        <f t="shared" si="1"/>
        <v>0</v>
      </c>
      <c r="M248" s="7" t="str">
        <f t="shared" si="2"/>
        <v/>
      </c>
    </row>
    <row r="249" ht="15.75" customHeight="1">
      <c r="A249" s="15"/>
      <c r="G249" s="7"/>
      <c r="H249" s="7"/>
      <c r="K249" s="7">
        <f t="shared" si="1"/>
        <v>0</v>
      </c>
      <c r="M249" s="7" t="str">
        <f t="shared" si="2"/>
        <v/>
      </c>
    </row>
    <row r="250" ht="15.75" customHeight="1">
      <c r="A250" s="15"/>
      <c r="G250" s="7"/>
      <c r="H250" s="7"/>
      <c r="K250" s="7">
        <f t="shared" si="1"/>
        <v>0</v>
      </c>
      <c r="M250" s="7" t="str">
        <f t="shared" si="2"/>
        <v/>
      </c>
    </row>
    <row r="251" ht="15.75" customHeight="1">
      <c r="A251" s="15"/>
      <c r="G251" s="7"/>
      <c r="H251" s="7"/>
      <c r="K251" s="7">
        <f t="shared" si="1"/>
        <v>0</v>
      </c>
      <c r="M251" s="7" t="str">
        <f t="shared" si="2"/>
        <v/>
      </c>
    </row>
    <row r="252" ht="15.75" customHeight="1">
      <c r="A252" s="15"/>
      <c r="G252" s="7"/>
      <c r="H252" s="7"/>
      <c r="K252" s="7">
        <f t="shared" si="1"/>
        <v>0</v>
      </c>
      <c r="M252" s="7" t="str">
        <f t="shared" si="2"/>
        <v/>
      </c>
    </row>
    <row r="253" ht="15.75" customHeight="1">
      <c r="A253" s="15"/>
      <c r="G253" s="7"/>
      <c r="H253" s="7"/>
      <c r="K253" s="7">
        <f t="shared" si="1"/>
        <v>0</v>
      </c>
      <c r="M253" s="7" t="str">
        <f t="shared" si="2"/>
        <v/>
      </c>
    </row>
    <row r="254" ht="15.75" customHeight="1">
      <c r="A254" s="15"/>
      <c r="G254" s="7"/>
      <c r="H254" s="7"/>
      <c r="K254" s="7">
        <f t="shared" si="1"/>
        <v>0</v>
      </c>
      <c r="M254" s="7" t="str">
        <f t="shared" si="2"/>
        <v/>
      </c>
    </row>
    <row r="255" ht="15.75" customHeight="1">
      <c r="A255" s="15"/>
      <c r="G255" s="7"/>
      <c r="H255" s="7"/>
      <c r="K255" s="7">
        <f t="shared" si="1"/>
        <v>0</v>
      </c>
      <c r="M255" s="7" t="str">
        <f t="shared" si="2"/>
        <v/>
      </c>
    </row>
    <row r="256" ht="15.75" customHeight="1">
      <c r="A256" s="15"/>
      <c r="G256" s="7"/>
      <c r="H256" s="7"/>
      <c r="K256" s="7">
        <f t="shared" si="1"/>
        <v>0</v>
      </c>
      <c r="M256" s="7" t="str">
        <f t="shared" si="2"/>
        <v/>
      </c>
    </row>
    <row r="257" ht="15.75" customHeight="1">
      <c r="A257" s="15"/>
      <c r="G257" s="7"/>
      <c r="H257" s="7"/>
      <c r="K257" s="7">
        <f t="shared" si="1"/>
        <v>0</v>
      </c>
      <c r="M257" s="7" t="str">
        <f t="shared" si="2"/>
        <v/>
      </c>
    </row>
    <row r="258" ht="15.75" customHeight="1">
      <c r="A258" s="15"/>
      <c r="G258" s="7"/>
      <c r="H258" s="7"/>
      <c r="K258" s="7">
        <f t="shared" si="1"/>
        <v>0</v>
      </c>
      <c r="M258" s="7" t="str">
        <f t="shared" si="2"/>
        <v/>
      </c>
    </row>
    <row r="259" ht="15.75" customHeight="1">
      <c r="A259" s="15"/>
      <c r="G259" s="7"/>
      <c r="H259" s="7"/>
      <c r="K259" s="7">
        <f t="shared" si="1"/>
        <v>0</v>
      </c>
      <c r="M259" s="7" t="str">
        <f t="shared" si="2"/>
        <v/>
      </c>
    </row>
    <row r="260" ht="15.75" customHeight="1">
      <c r="A260" s="15"/>
      <c r="G260" s="7"/>
      <c r="H260" s="7"/>
      <c r="K260" s="7">
        <f t="shared" si="1"/>
        <v>0</v>
      </c>
      <c r="M260" s="7" t="str">
        <f t="shared" si="2"/>
        <v/>
      </c>
    </row>
    <row r="261" ht="15.75" customHeight="1">
      <c r="A261" s="15"/>
      <c r="G261" s="7"/>
      <c r="H261" s="7"/>
      <c r="K261" s="7">
        <f t="shared" si="1"/>
        <v>0</v>
      </c>
      <c r="M261" s="7" t="str">
        <f t="shared" si="2"/>
        <v/>
      </c>
    </row>
    <row r="262" ht="15.75" customHeight="1">
      <c r="A262" s="15"/>
      <c r="G262" s="7"/>
      <c r="H262" s="7"/>
      <c r="K262" s="7">
        <f t="shared" si="1"/>
        <v>0</v>
      </c>
      <c r="M262" s="7" t="str">
        <f t="shared" si="2"/>
        <v/>
      </c>
    </row>
    <row r="263" ht="15.75" customHeight="1">
      <c r="A263" s="15"/>
      <c r="G263" s="7"/>
      <c r="H263" s="7"/>
      <c r="K263" s="7">
        <f t="shared" si="1"/>
        <v>0</v>
      </c>
      <c r="M263" s="7" t="str">
        <f t="shared" si="2"/>
        <v/>
      </c>
    </row>
    <row r="264" ht="15.75" customHeight="1">
      <c r="A264" s="15"/>
      <c r="G264" s="7"/>
      <c r="H264" s="7"/>
      <c r="K264" s="7">
        <f t="shared" si="1"/>
        <v>0</v>
      </c>
      <c r="M264" s="7" t="str">
        <f t="shared" si="2"/>
        <v/>
      </c>
    </row>
    <row r="265" ht="15.75" customHeight="1">
      <c r="A265" s="15"/>
      <c r="G265" s="7"/>
      <c r="H265" s="7"/>
      <c r="K265" s="7">
        <f t="shared" si="1"/>
        <v>0</v>
      </c>
      <c r="M265" s="7" t="str">
        <f t="shared" si="2"/>
        <v/>
      </c>
    </row>
    <row r="266" ht="15.75" customHeight="1">
      <c r="A266" s="15"/>
      <c r="G266" s="7"/>
      <c r="H266" s="7"/>
      <c r="K266" s="7">
        <f t="shared" si="1"/>
        <v>0</v>
      </c>
      <c r="M266" s="7" t="str">
        <f t="shared" si="2"/>
        <v/>
      </c>
    </row>
    <row r="267" ht="15.75" customHeight="1">
      <c r="A267" s="15"/>
      <c r="G267" s="7"/>
      <c r="H267" s="7"/>
      <c r="K267" s="7">
        <f t="shared" si="1"/>
        <v>0</v>
      </c>
      <c r="M267" s="7" t="str">
        <f t="shared" si="2"/>
        <v/>
      </c>
    </row>
    <row r="268" ht="15.75" customHeight="1">
      <c r="A268" s="15"/>
      <c r="G268" s="7"/>
      <c r="H268" s="7"/>
      <c r="K268" s="7">
        <f t="shared" si="1"/>
        <v>0</v>
      </c>
      <c r="M268" s="7" t="str">
        <f t="shared" si="2"/>
        <v/>
      </c>
    </row>
    <row r="269" ht="15.75" customHeight="1">
      <c r="A269" s="15"/>
      <c r="G269" s="7"/>
      <c r="H269" s="7"/>
      <c r="K269" s="7">
        <f t="shared" si="1"/>
        <v>0</v>
      </c>
      <c r="M269" s="7" t="str">
        <f t="shared" si="2"/>
        <v/>
      </c>
    </row>
    <row r="270" ht="15.75" customHeight="1">
      <c r="A270" s="15"/>
      <c r="G270" s="7"/>
      <c r="H270" s="7"/>
      <c r="K270" s="7">
        <f t="shared" si="1"/>
        <v>0</v>
      </c>
      <c r="M270" s="7" t="str">
        <f t="shared" si="2"/>
        <v/>
      </c>
    </row>
    <row r="271" ht="15.75" customHeight="1">
      <c r="A271" s="15"/>
      <c r="G271" s="7"/>
      <c r="H271" s="7"/>
      <c r="K271" s="7">
        <f t="shared" si="1"/>
        <v>0</v>
      </c>
      <c r="M271" s="7" t="str">
        <f t="shared" si="2"/>
        <v/>
      </c>
    </row>
    <row r="272" ht="15.75" customHeight="1">
      <c r="A272" s="15"/>
      <c r="G272" s="7"/>
      <c r="H272" s="7"/>
      <c r="K272" s="7">
        <f t="shared" si="1"/>
        <v>0</v>
      </c>
      <c r="M272" s="7" t="str">
        <f t="shared" si="2"/>
        <v/>
      </c>
    </row>
    <row r="273" ht="15.75" customHeight="1">
      <c r="A273" s="15"/>
      <c r="G273" s="7"/>
      <c r="H273" s="7"/>
      <c r="K273" s="7">
        <f t="shared" si="1"/>
        <v>0</v>
      </c>
      <c r="M273" s="7" t="str">
        <f t="shared" si="2"/>
        <v/>
      </c>
    </row>
    <row r="274" ht="15.75" customHeight="1">
      <c r="A274" s="15"/>
      <c r="G274" s="7"/>
      <c r="H274" s="7"/>
      <c r="K274" s="7">
        <f t="shared" si="1"/>
        <v>0</v>
      </c>
      <c r="M274" s="7" t="str">
        <f t="shared" si="2"/>
        <v/>
      </c>
    </row>
    <row r="275" ht="15.75" customHeight="1">
      <c r="A275" s="15"/>
      <c r="G275" s="7"/>
      <c r="H275" s="7"/>
      <c r="K275" s="7">
        <f t="shared" si="1"/>
        <v>0</v>
      </c>
      <c r="M275" s="7" t="str">
        <f t="shared" si="2"/>
        <v/>
      </c>
    </row>
    <row r="276" ht="15.75" customHeight="1">
      <c r="A276" s="15"/>
      <c r="G276" s="7"/>
      <c r="H276" s="7"/>
      <c r="K276" s="7">
        <f t="shared" si="1"/>
        <v>0</v>
      </c>
      <c r="M276" s="7" t="str">
        <f t="shared" si="2"/>
        <v/>
      </c>
    </row>
    <row r="277" ht="15.75" customHeight="1">
      <c r="A277" s="15"/>
      <c r="G277" s="7"/>
      <c r="H277" s="7"/>
      <c r="K277" s="7">
        <f t="shared" si="1"/>
        <v>0</v>
      </c>
      <c r="M277" s="7" t="str">
        <f t="shared" si="2"/>
        <v/>
      </c>
    </row>
    <row r="278" ht="15.75" customHeight="1">
      <c r="A278" s="15"/>
      <c r="G278" s="7"/>
      <c r="H278" s="7"/>
      <c r="K278" s="7">
        <f t="shared" si="1"/>
        <v>0</v>
      </c>
      <c r="M278" s="7" t="str">
        <f t="shared" si="2"/>
        <v/>
      </c>
    </row>
    <row r="279" ht="15.75" customHeight="1">
      <c r="A279" s="15"/>
      <c r="G279" s="7"/>
      <c r="H279" s="7"/>
      <c r="K279" s="7">
        <f t="shared" si="1"/>
        <v>0</v>
      </c>
      <c r="M279" s="7" t="str">
        <f t="shared" si="2"/>
        <v/>
      </c>
    </row>
    <row r="280" ht="15.75" customHeight="1">
      <c r="A280" s="15"/>
      <c r="G280" s="7"/>
      <c r="H280" s="7"/>
      <c r="K280" s="7">
        <f t="shared" si="1"/>
        <v>0</v>
      </c>
      <c r="M280" s="7" t="str">
        <f t="shared" si="2"/>
        <v/>
      </c>
    </row>
    <row r="281" ht="15.75" customHeight="1">
      <c r="A281" s="15"/>
      <c r="G281" s="7"/>
      <c r="H281" s="7"/>
      <c r="K281" s="7">
        <f t="shared" si="1"/>
        <v>0</v>
      </c>
      <c r="M281" s="7" t="str">
        <f t="shared" si="2"/>
        <v/>
      </c>
    </row>
    <row r="282" ht="15.75" customHeight="1">
      <c r="A282" s="15"/>
      <c r="G282" s="7"/>
      <c r="H282" s="7"/>
      <c r="K282" s="7">
        <f t="shared" si="1"/>
        <v>0</v>
      </c>
      <c r="M282" s="7" t="str">
        <f t="shared" si="2"/>
        <v/>
      </c>
    </row>
    <row r="283" ht="15.75" customHeight="1">
      <c r="A283" s="15"/>
      <c r="G283" s="7"/>
      <c r="H283" s="7"/>
      <c r="K283" s="7">
        <f t="shared" si="1"/>
        <v>0</v>
      </c>
      <c r="M283" s="7" t="str">
        <f t="shared" si="2"/>
        <v/>
      </c>
    </row>
    <row r="284" ht="15.75" customHeight="1">
      <c r="A284" s="15"/>
      <c r="G284" s="7"/>
      <c r="H284" s="7"/>
      <c r="K284" s="7">
        <f t="shared" si="1"/>
        <v>0</v>
      </c>
      <c r="M284" s="7" t="str">
        <f t="shared" si="2"/>
        <v/>
      </c>
    </row>
    <row r="285" ht="15.75" customHeight="1">
      <c r="A285" s="15"/>
      <c r="G285" s="7"/>
      <c r="H285" s="7"/>
      <c r="K285" s="7">
        <f t="shared" si="1"/>
        <v>0</v>
      </c>
      <c r="M285" s="7" t="str">
        <f t="shared" si="2"/>
        <v/>
      </c>
    </row>
    <row r="286" ht="15.75" customHeight="1">
      <c r="A286" s="15"/>
      <c r="G286" s="7"/>
      <c r="H286" s="7"/>
      <c r="K286" s="7">
        <f t="shared" si="1"/>
        <v>0</v>
      </c>
      <c r="M286" s="7" t="str">
        <f t="shared" si="2"/>
        <v/>
      </c>
    </row>
    <row r="287" ht="15.75" customHeight="1">
      <c r="A287" s="15"/>
      <c r="G287" s="7"/>
      <c r="H287" s="7"/>
      <c r="K287" s="7">
        <f t="shared" si="1"/>
        <v>0</v>
      </c>
      <c r="M287" s="7" t="str">
        <f t="shared" si="2"/>
        <v/>
      </c>
    </row>
    <row r="288" ht="15.75" customHeight="1">
      <c r="A288" s="15"/>
      <c r="G288" s="7"/>
      <c r="H288" s="7"/>
      <c r="K288" s="7">
        <f t="shared" si="1"/>
        <v>0</v>
      </c>
      <c r="M288" s="7" t="str">
        <f t="shared" si="2"/>
        <v/>
      </c>
    </row>
    <row r="289" ht="15.75" customHeight="1">
      <c r="A289" s="15"/>
      <c r="G289" s="7"/>
      <c r="H289" s="7"/>
      <c r="K289" s="7">
        <f t="shared" si="1"/>
        <v>0</v>
      </c>
      <c r="M289" s="7" t="str">
        <f t="shared" si="2"/>
        <v/>
      </c>
    </row>
    <row r="290" ht="15.75" customHeight="1">
      <c r="A290" s="15"/>
      <c r="G290" s="7"/>
      <c r="H290" s="7"/>
      <c r="K290" s="7">
        <f t="shared" si="1"/>
        <v>0</v>
      </c>
      <c r="M290" s="7" t="str">
        <f t="shared" si="2"/>
        <v/>
      </c>
    </row>
    <row r="291" ht="15.75" customHeight="1">
      <c r="A291" s="15"/>
      <c r="G291" s="7"/>
      <c r="H291" s="7"/>
      <c r="K291" s="7">
        <f t="shared" si="1"/>
        <v>0</v>
      </c>
      <c r="M291" s="7" t="str">
        <f t="shared" si="2"/>
        <v/>
      </c>
    </row>
    <row r="292" ht="15.75" customHeight="1">
      <c r="A292" s="15"/>
      <c r="G292" s="7"/>
      <c r="H292" s="7"/>
      <c r="K292" s="7">
        <f t="shared" si="1"/>
        <v>0</v>
      </c>
      <c r="M292" s="7" t="str">
        <f t="shared" si="2"/>
        <v/>
      </c>
    </row>
    <row r="293" ht="15.75" customHeight="1">
      <c r="A293" s="15"/>
      <c r="G293" s="7"/>
      <c r="H293" s="7"/>
      <c r="K293" s="7">
        <f t="shared" si="1"/>
        <v>0</v>
      </c>
      <c r="M293" s="7" t="str">
        <f t="shared" si="2"/>
        <v/>
      </c>
    </row>
    <row r="294" ht="15.75" customHeight="1">
      <c r="A294" s="15"/>
      <c r="G294" s="7"/>
      <c r="H294" s="7"/>
      <c r="K294" s="7">
        <f t="shared" si="1"/>
        <v>0</v>
      </c>
      <c r="M294" s="7" t="str">
        <f t="shared" si="2"/>
        <v/>
      </c>
    </row>
    <row r="295" ht="15.75" customHeight="1">
      <c r="A295" s="15"/>
      <c r="G295" s="7"/>
      <c r="H295" s="7"/>
      <c r="K295" s="7">
        <f t="shared" si="1"/>
        <v>0</v>
      </c>
      <c r="M295" s="7" t="str">
        <f t="shared" si="2"/>
        <v/>
      </c>
    </row>
    <row r="296" ht="15.75" customHeight="1">
      <c r="A296" s="15"/>
      <c r="G296" s="7"/>
      <c r="H296" s="7"/>
      <c r="K296" s="7">
        <f t="shared" si="1"/>
        <v>0</v>
      </c>
      <c r="M296" s="7" t="str">
        <f t="shared" si="2"/>
        <v/>
      </c>
    </row>
    <row r="297" ht="15.75" customHeight="1">
      <c r="A297" s="15"/>
      <c r="G297" s="7"/>
      <c r="H297" s="7"/>
      <c r="K297" s="7">
        <f t="shared" si="1"/>
        <v>0</v>
      </c>
      <c r="M297" s="7" t="str">
        <f t="shared" si="2"/>
        <v/>
      </c>
    </row>
    <row r="298" ht="15.75" customHeight="1">
      <c r="A298" s="15"/>
      <c r="G298" s="7"/>
      <c r="H298" s="7"/>
      <c r="K298" s="7">
        <f t="shared" si="1"/>
        <v>0</v>
      </c>
      <c r="M298" s="7" t="str">
        <f t="shared" si="2"/>
        <v/>
      </c>
    </row>
    <row r="299" ht="15.75" customHeight="1">
      <c r="A299" s="15"/>
      <c r="G299" s="7"/>
      <c r="H299" s="7"/>
      <c r="K299" s="7">
        <f t="shared" si="1"/>
        <v>0</v>
      </c>
      <c r="M299" s="7" t="str">
        <f t="shared" si="2"/>
        <v/>
      </c>
    </row>
    <row r="300" ht="15.75" customHeight="1">
      <c r="A300" s="15"/>
      <c r="G300" s="7"/>
      <c r="H300" s="7"/>
      <c r="K300" s="7">
        <f t="shared" si="1"/>
        <v>0</v>
      </c>
      <c r="M300" s="7" t="str">
        <f t="shared" si="2"/>
        <v/>
      </c>
    </row>
    <row r="301" ht="15.75" customHeight="1">
      <c r="A301" s="15"/>
      <c r="G301" s="7"/>
      <c r="H301" s="7"/>
      <c r="K301" s="7">
        <f t="shared" si="1"/>
        <v>0</v>
      </c>
      <c r="M301" s="7" t="str">
        <f t="shared" si="2"/>
        <v/>
      </c>
    </row>
    <row r="302" ht="15.75" customHeight="1">
      <c r="A302" s="15"/>
      <c r="G302" s="7"/>
      <c r="H302" s="7"/>
      <c r="K302" s="7">
        <f t="shared" si="1"/>
        <v>0</v>
      </c>
      <c r="M302" s="7" t="str">
        <f t="shared" si="2"/>
        <v/>
      </c>
    </row>
    <row r="303" ht="15.75" customHeight="1">
      <c r="A303" s="15"/>
      <c r="G303" s="7"/>
      <c r="H303" s="7"/>
      <c r="K303" s="7">
        <f t="shared" si="1"/>
        <v>0</v>
      </c>
      <c r="M303" s="7" t="str">
        <f t="shared" si="2"/>
        <v/>
      </c>
    </row>
    <row r="304" ht="15.75" customHeight="1">
      <c r="A304" s="15"/>
      <c r="G304" s="7"/>
      <c r="H304" s="7"/>
      <c r="K304" s="7">
        <f t="shared" si="1"/>
        <v>0</v>
      </c>
      <c r="M304" s="7" t="str">
        <f t="shared" si="2"/>
        <v/>
      </c>
    </row>
    <row r="305" ht="15.75" customHeight="1">
      <c r="A305" s="15"/>
      <c r="G305" s="7"/>
      <c r="H305" s="7"/>
      <c r="K305" s="7">
        <f t="shared" si="1"/>
        <v>0</v>
      </c>
      <c r="M305" s="7" t="str">
        <f t="shared" si="2"/>
        <v/>
      </c>
    </row>
    <row r="306" ht="15.75" customHeight="1">
      <c r="A306" s="15"/>
      <c r="G306" s="7"/>
      <c r="H306" s="7"/>
      <c r="K306" s="7">
        <f t="shared" si="1"/>
        <v>0</v>
      </c>
      <c r="M306" s="7" t="str">
        <f t="shared" si="2"/>
        <v/>
      </c>
    </row>
    <row r="307" ht="15.75" customHeight="1">
      <c r="A307" s="15"/>
      <c r="G307" s="7"/>
      <c r="H307" s="7"/>
      <c r="K307" s="7">
        <f t="shared" si="1"/>
        <v>0</v>
      </c>
      <c r="M307" s="7" t="str">
        <f t="shared" si="2"/>
        <v/>
      </c>
    </row>
    <row r="308" ht="15.75" customHeight="1">
      <c r="A308" s="15"/>
      <c r="G308" s="7"/>
      <c r="H308" s="7"/>
      <c r="K308" s="7">
        <f t="shared" si="1"/>
        <v>0</v>
      </c>
      <c r="M308" s="7" t="str">
        <f t="shared" si="2"/>
        <v/>
      </c>
    </row>
    <row r="309" ht="15.75" customHeight="1">
      <c r="A309" s="15"/>
      <c r="G309" s="7"/>
      <c r="H309" s="7"/>
      <c r="K309" s="7">
        <f t="shared" si="1"/>
        <v>0</v>
      </c>
      <c r="M309" s="7" t="str">
        <f t="shared" si="2"/>
        <v/>
      </c>
    </row>
    <row r="310" ht="15.75" customHeight="1">
      <c r="A310" s="15"/>
      <c r="G310" s="7"/>
      <c r="H310" s="7"/>
      <c r="K310" s="7">
        <f t="shared" si="1"/>
        <v>0</v>
      </c>
      <c r="M310" s="7" t="str">
        <f t="shared" si="2"/>
        <v/>
      </c>
    </row>
    <row r="311" ht="15.75" customHeight="1">
      <c r="A311" s="15"/>
      <c r="G311" s="7"/>
      <c r="H311" s="7"/>
      <c r="K311" s="7">
        <f t="shared" si="1"/>
        <v>0</v>
      </c>
      <c r="M311" s="7" t="str">
        <f t="shared" si="2"/>
        <v/>
      </c>
    </row>
    <row r="312" ht="15.75" customHeight="1">
      <c r="A312" s="15"/>
      <c r="G312" s="7"/>
      <c r="H312" s="7"/>
      <c r="K312" s="7">
        <f t="shared" si="1"/>
        <v>0</v>
      </c>
      <c r="M312" s="7" t="str">
        <f t="shared" si="2"/>
        <v/>
      </c>
    </row>
    <row r="313" ht="15.75" customHeight="1">
      <c r="A313" s="15"/>
      <c r="G313" s="7"/>
      <c r="H313" s="7"/>
      <c r="K313" s="7">
        <f t="shared" si="1"/>
        <v>0</v>
      </c>
      <c r="M313" s="7" t="str">
        <f t="shared" si="2"/>
        <v/>
      </c>
    </row>
    <row r="314" ht="15.75" customHeight="1">
      <c r="A314" s="15"/>
      <c r="G314" s="7"/>
      <c r="H314" s="7"/>
      <c r="K314" s="7">
        <f t="shared" si="1"/>
        <v>0</v>
      </c>
      <c r="M314" s="7" t="str">
        <f t="shared" si="2"/>
        <v/>
      </c>
    </row>
    <row r="315" ht="15.75" customHeight="1">
      <c r="A315" s="15"/>
      <c r="G315" s="7"/>
      <c r="H315" s="7"/>
      <c r="K315" s="7">
        <f t="shared" si="1"/>
        <v>0</v>
      </c>
      <c r="M315" s="7" t="str">
        <f t="shared" si="2"/>
        <v/>
      </c>
    </row>
    <row r="316" ht="15.75" customHeight="1">
      <c r="A316" s="15"/>
      <c r="G316" s="7"/>
      <c r="H316" s="7"/>
      <c r="K316" s="7">
        <f t="shared" si="1"/>
        <v>0</v>
      </c>
      <c r="M316" s="7" t="str">
        <f t="shared" si="2"/>
        <v/>
      </c>
    </row>
    <row r="317" ht="15.75" customHeight="1">
      <c r="A317" s="15"/>
      <c r="G317" s="7"/>
      <c r="H317" s="7"/>
      <c r="K317" s="7">
        <f t="shared" si="1"/>
        <v>0</v>
      </c>
      <c r="M317" s="7" t="str">
        <f t="shared" si="2"/>
        <v/>
      </c>
    </row>
    <row r="318" ht="15.75" customHeight="1">
      <c r="A318" s="15"/>
      <c r="G318" s="7"/>
      <c r="H318" s="7"/>
      <c r="K318" s="7">
        <f t="shared" si="1"/>
        <v>0</v>
      </c>
      <c r="M318" s="7" t="str">
        <f t="shared" si="2"/>
        <v/>
      </c>
    </row>
    <row r="319" ht="15.75" customHeight="1">
      <c r="A319" s="15"/>
      <c r="G319" s="7"/>
      <c r="H319" s="7"/>
      <c r="K319" s="7">
        <f t="shared" si="1"/>
        <v>0</v>
      </c>
      <c r="M319" s="7" t="str">
        <f t="shared" si="2"/>
        <v/>
      </c>
    </row>
    <row r="320" ht="15.75" customHeight="1">
      <c r="A320" s="15"/>
      <c r="G320" s="7"/>
      <c r="H320" s="7"/>
      <c r="K320" s="7">
        <f t="shared" si="1"/>
        <v>0</v>
      </c>
      <c r="M320" s="7" t="str">
        <f t="shared" si="2"/>
        <v/>
      </c>
    </row>
    <row r="321" ht="15.75" customHeight="1">
      <c r="A321" s="15"/>
      <c r="G321" s="7"/>
      <c r="H321" s="7"/>
      <c r="K321" s="7">
        <f t="shared" si="1"/>
        <v>0</v>
      </c>
      <c r="M321" s="7" t="str">
        <f t="shared" si="2"/>
        <v/>
      </c>
    </row>
    <row r="322" ht="15.75" customHeight="1">
      <c r="A322" s="15"/>
      <c r="G322" s="7"/>
      <c r="H322" s="7"/>
      <c r="K322" s="7">
        <f t="shared" si="1"/>
        <v>0</v>
      </c>
      <c r="M322" s="7" t="str">
        <f t="shared" si="2"/>
        <v/>
      </c>
    </row>
    <row r="323" ht="15.75" customHeight="1">
      <c r="A323" s="15"/>
      <c r="G323" s="7"/>
      <c r="H323" s="7"/>
      <c r="K323" s="7">
        <f t="shared" si="1"/>
        <v>0</v>
      </c>
      <c r="M323" s="7" t="str">
        <f t="shared" si="2"/>
        <v/>
      </c>
    </row>
    <row r="324" ht="15.75" customHeight="1">
      <c r="A324" s="15"/>
      <c r="G324" s="7"/>
      <c r="H324" s="7"/>
      <c r="K324" s="7">
        <f t="shared" si="1"/>
        <v>0</v>
      </c>
      <c r="M324" s="7" t="str">
        <f t="shared" si="2"/>
        <v/>
      </c>
    </row>
    <row r="325" ht="15.75" customHeight="1">
      <c r="A325" s="15"/>
      <c r="G325" s="7"/>
      <c r="H325" s="7"/>
      <c r="K325" s="7">
        <f t="shared" si="1"/>
        <v>0</v>
      </c>
      <c r="M325" s="7" t="str">
        <f t="shared" si="2"/>
        <v/>
      </c>
    </row>
    <row r="326" ht="15.75" customHeight="1">
      <c r="A326" s="15"/>
      <c r="G326" s="7"/>
      <c r="H326" s="7"/>
      <c r="K326" s="7">
        <f t="shared" si="1"/>
        <v>0</v>
      </c>
      <c r="M326" s="7" t="str">
        <f t="shared" si="2"/>
        <v/>
      </c>
    </row>
    <row r="327" ht="15.75" customHeight="1">
      <c r="A327" s="15"/>
      <c r="G327" s="7"/>
      <c r="H327" s="7"/>
      <c r="K327" s="7">
        <f t="shared" si="1"/>
        <v>0</v>
      </c>
      <c r="M327" s="7" t="str">
        <f t="shared" si="2"/>
        <v/>
      </c>
    </row>
    <row r="328" ht="15.75" customHeight="1">
      <c r="A328" s="15"/>
      <c r="G328" s="7"/>
      <c r="H328" s="7"/>
      <c r="K328" s="7">
        <f t="shared" si="1"/>
        <v>0</v>
      </c>
      <c r="M328" s="7" t="str">
        <f t="shared" si="2"/>
        <v/>
      </c>
    </row>
    <row r="329" ht="15.75" customHeight="1">
      <c r="A329" s="15"/>
      <c r="G329" s="7"/>
      <c r="H329" s="7"/>
      <c r="K329" s="7">
        <f t="shared" si="1"/>
        <v>0</v>
      </c>
      <c r="M329" s="7" t="str">
        <f t="shared" si="2"/>
        <v/>
      </c>
    </row>
    <row r="330" ht="15.75" customHeight="1">
      <c r="A330" s="15"/>
      <c r="G330" s="7"/>
      <c r="H330" s="7"/>
      <c r="K330" s="7">
        <f t="shared" si="1"/>
        <v>0</v>
      </c>
      <c r="M330" s="7" t="str">
        <f t="shared" si="2"/>
        <v/>
      </c>
    </row>
    <row r="331" ht="15.75" customHeight="1">
      <c r="A331" s="15"/>
      <c r="G331" s="7"/>
      <c r="H331" s="7"/>
      <c r="K331" s="7">
        <f t="shared" si="1"/>
        <v>0</v>
      </c>
      <c r="M331" s="7" t="str">
        <f t="shared" si="2"/>
        <v/>
      </c>
    </row>
    <row r="332" ht="15.75" customHeight="1">
      <c r="A332" s="15"/>
      <c r="G332" s="7"/>
      <c r="H332" s="7"/>
      <c r="K332" s="7">
        <f t="shared" si="1"/>
        <v>0</v>
      </c>
      <c r="M332" s="7" t="str">
        <f t="shared" si="2"/>
        <v/>
      </c>
    </row>
    <row r="333" ht="15.75" customHeight="1">
      <c r="A333" s="15"/>
      <c r="G333" s="7"/>
      <c r="H333" s="7"/>
      <c r="K333" s="7">
        <f t="shared" si="1"/>
        <v>0</v>
      </c>
      <c r="M333" s="7" t="str">
        <f t="shared" si="2"/>
        <v/>
      </c>
    </row>
    <row r="334" ht="15.75" customHeight="1">
      <c r="A334" s="15"/>
      <c r="G334" s="7"/>
      <c r="H334" s="7"/>
      <c r="K334" s="7">
        <f t="shared" si="1"/>
        <v>0</v>
      </c>
      <c r="M334" s="7" t="str">
        <f t="shared" si="2"/>
        <v/>
      </c>
    </row>
    <row r="335" ht="15.75" customHeight="1">
      <c r="A335" s="15"/>
      <c r="G335" s="7"/>
      <c r="H335" s="7"/>
      <c r="K335" s="7">
        <f t="shared" si="1"/>
        <v>0</v>
      </c>
      <c r="M335" s="7" t="str">
        <f t="shared" si="2"/>
        <v/>
      </c>
    </row>
    <row r="336" ht="15.75" customHeight="1">
      <c r="A336" s="15"/>
      <c r="G336" s="7"/>
      <c r="H336" s="7"/>
      <c r="K336" s="7">
        <f t="shared" si="1"/>
        <v>0</v>
      </c>
      <c r="M336" s="7" t="str">
        <f t="shared" si="2"/>
        <v/>
      </c>
    </row>
    <row r="337" ht="15.75" customHeight="1">
      <c r="A337" s="15"/>
      <c r="G337" s="7"/>
      <c r="H337" s="7"/>
      <c r="K337" s="7">
        <f t="shared" si="1"/>
        <v>0</v>
      </c>
      <c r="M337" s="7" t="str">
        <f t="shared" si="2"/>
        <v/>
      </c>
    </row>
    <row r="338" ht="15.75" customHeight="1">
      <c r="A338" s="15"/>
      <c r="G338" s="7"/>
      <c r="H338" s="7"/>
      <c r="K338" s="7">
        <f t="shared" si="1"/>
        <v>0</v>
      </c>
      <c r="M338" s="7" t="str">
        <f t="shared" si="2"/>
        <v/>
      </c>
    </row>
    <row r="339" ht="15.75" customHeight="1">
      <c r="A339" s="15"/>
      <c r="G339" s="7"/>
      <c r="H339" s="7"/>
      <c r="K339" s="7">
        <f t="shared" si="1"/>
        <v>0</v>
      </c>
      <c r="M339" s="7" t="str">
        <f t="shared" si="2"/>
        <v/>
      </c>
    </row>
    <row r="340" ht="15.75" customHeight="1">
      <c r="A340" s="15"/>
      <c r="G340" s="7"/>
      <c r="H340" s="7"/>
      <c r="K340" s="7">
        <f t="shared" si="1"/>
        <v>0</v>
      </c>
      <c r="M340" s="7" t="str">
        <f t="shared" si="2"/>
        <v/>
      </c>
    </row>
    <row r="341" ht="15.75" customHeight="1">
      <c r="A341" s="15"/>
      <c r="G341" s="7"/>
      <c r="H341" s="7"/>
      <c r="K341" s="7">
        <f t="shared" si="1"/>
        <v>0</v>
      </c>
      <c r="M341" s="7" t="str">
        <f t="shared" si="2"/>
        <v/>
      </c>
    </row>
    <row r="342" ht="15.75" customHeight="1">
      <c r="A342" s="15"/>
      <c r="G342" s="7"/>
      <c r="H342" s="7"/>
      <c r="K342" s="7">
        <f t="shared" si="1"/>
        <v>0</v>
      </c>
      <c r="M342" s="7" t="str">
        <f t="shared" si="2"/>
        <v/>
      </c>
    </row>
    <row r="343" ht="15.75" customHeight="1">
      <c r="A343" s="15"/>
      <c r="G343" s="7"/>
      <c r="H343" s="7"/>
      <c r="K343" s="7">
        <f t="shared" si="1"/>
        <v>0</v>
      </c>
      <c r="M343" s="7" t="str">
        <f t="shared" si="2"/>
        <v/>
      </c>
    </row>
    <row r="344" ht="15.75" customHeight="1">
      <c r="A344" s="15"/>
      <c r="G344" s="7"/>
      <c r="H344" s="7"/>
      <c r="K344" s="7">
        <f t="shared" si="1"/>
        <v>0</v>
      </c>
      <c r="M344" s="7" t="str">
        <f t="shared" si="2"/>
        <v/>
      </c>
    </row>
    <row r="345" ht="15.75" customHeight="1">
      <c r="A345" s="15"/>
      <c r="G345" s="7"/>
      <c r="H345" s="7"/>
      <c r="K345" s="7">
        <f t="shared" si="1"/>
        <v>0</v>
      </c>
      <c r="M345" s="7" t="str">
        <f t="shared" si="2"/>
        <v/>
      </c>
    </row>
    <row r="346" ht="15.75" customHeight="1">
      <c r="A346" s="15"/>
      <c r="G346" s="7"/>
      <c r="H346" s="7"/>
      <c r="K346" s="7">
        <f t="shared" si="1"/>
        <v>0</v>
      </c>
      <c r="M346" s="7" t="str">
        <f t="shared" si="2"/>
        <v/>
      </c>
    </row>
    <row r="347" ht="15.75" customHeight="1">
      <c r="A347" s="15"/>
      <c r="G347" s="7"/>
      <c r="H347" s="7"/>
      <c r="K347" s="7">
        <f t="shared" si="1"/>
        <v>0</v>
      </c>
      <c r="M347" s="7" t="str">
        <f t="shared" si="2"/>
        <v/>
      </c>
    </row>
    <row r="348" ht="15.75" customHeight="1">
      <c r="A348" s="15"/>
      <c r="G348" s="7"/>
      <c r="H348" s="7"/>
      <c r="K348" s="7">
        <f t="shared" si="1"/>
        <v>0</v>
      </c>
      <c r="M348" s="7" t="str">
        <f t="shared" si="2"/>
        <v/>
      </c>
    </row>
    <row r="349" ht="15.75" customHeight="1">
      <c r="A349" s="15"/>
      <c r="G349" s="7"/>
      <c r="H349" s="7"/>
      <c r="K349" s="7">
        <f t="shared" si="1"/>
        <v>0</v>
      </c>
      <c r="M349" s="7" t="str">
        <f t="shared" si="2"/>
        <v/>
      </c>
    </row>
    <row r="350" ht="15.75" customHeight="1">
      <c r="A350" s="15"/>
      <c r="G350" s="7"/>
      <c r="H350" s="7"/>
      <c r="K350" s="7">
        <f t="shared" si="1"/>
        <v>0</v>
      </c>
      <c r="M350" s="7" t="str">
        <f t="shared" si="2"/>
        <v/>
      </c>
    </row>
    <row r="351" ht="15.75" customHeight="1">
      <c r="A351" s="15"/>
      <c r="G351" s="7"/>
      <c r="H351" s="7"/>
      <c r="K351" s="7">
        <f t="shared" si="1"/>
        <v>0</v>
      </c>
      <c r="M351" s="7" t="str">
        <f t="shared" si="2"/>
        <v/>
      </c>
    </row>
    <row r="352" ht="15.75" customHeight="1">
      <c r="A352" s="15"/>
      <c r="G352" s="7"/>
      <c r="H352" s="7"/>
      <c r="K352" s="7">
        <f t="shared" si="1"/>
        <v>0</v>
      </c>
      <c r="M352" s="7" t="str">
        <f t="shared" si="2"/>
        <v/>
      </c>
    </row>
    <row r="353" ht="15.75" customHeight="1">
      <c r="A353" s="15"/>
      <c r="G353" s="7"/>
      <c r="H353" s="7"/>
      <c r="K353" s="7">
        <f t="shared" si="1"/>
        <v>0</v>
      </c>
      <c r="M353" s="7" t="str">
        <f t="shared" si="2"/>
        <v/>
      </c>
    </row>
    <row r="354" ht="15.75" customHeight="1">
      <c r="A354" s="15"/>
      <c r="G354" s="7"/>
      <c r="H354" s="7"/>
      <c r="K354" s="7">
        <f t="shared" si="1"/>
        <v>0</v>
      </c>
      <c r="M354" s="7" t="str">
        <f t="shared" si="2"/>
        <v/>
      </c>
    </row>
    <row r="355" ht="15.75" customHeight="1">
      <c r="A355" s="15"/>
      <c r="G355" s="7"/>
      <c r="H355" s="7"/>
      <c r="K355" s="7">
        <f t="shared" si="1"/>
        <v>0</v>
      </c>
      <c r="M355" s="7" t="str">
        <f t="shared" si="2"/>
        <v/>
      </c>
    </row>
    <row r="356" ht="15.75" customHeight="1">
      <c r="A356" s="15"/>
      <c r="G356" s="7"/>
      <c r="H356" s="7"/>
      <c r="K356" s="7">
        <f t="shared" si="1"/>
        <v>0</v>
      </c>
      <c r="M356" s="7" t="str">
        <f t="shared" si="2"/>
        <v/>
      </c>
    </row>
    <row r="357" ht="15.75" customHeight="1">
      <c r="A357" s="15"/>
      <c r="G357" s="7"/>
      <c r="H357" s="7"/>
      <c r="K357" s="7">
        <f t="shared" si="1"/>
        <v>0</v>
      </c>
      <c r="M357" s="7" t="str">
        <f t="shared" si="2"/>
        <v/>
      </c>
    </row>
    <row r="358" ht="15.75" customHeight="1">
      <c r="A358" s="15"/>
      <c r="G358" s="7"/>
      <c r="H358" s="7"/>
      <c r="K358" s="7">
        <f t="shared" si="1"/>
        <v>0</v>
      </c>
      <c r="M358" s="7" t="str">
        <f t="shared" si="2"/>
        <v/>
      </c>
    </row>
    <row r="359" ht="15.75" customHeight="1">
      <c r="A359" s="15"/>
      <c r="G359" s="7"/>
      <c r="H359" s="7"/>
      <c r="K359" s="7">
        <f t="shared" si="1"/>
        <v>0</v>
      </c>
      <c r="M359" s="7" t="str">
        <f t="shared" si="2"/>
        <v/>
      </c>
    </row>
    <row r="360" ht="15.75" customHeight="1">
      <c r="A360" s="15"/>
      <c r="G360" s="7"/>
      <c r="H360" s="7"/>
      <c r="K360" s="7">
        <f t="shared" si="1"/>
        <v>0</v>
      </c>
      <c r="M360" s="7" t="str">
        <f t="shared" si="2"/>
        <v/>
      </c>
    </row>
    <row r="361" ht="15.75" customHeight="1">
      <c r="A361" s="15"/>
      <c r="G361" s="7"/>
      <c r="H361" s="7"/>
      <c r="K361" s="7">
        <f t="shared" si="1"/>
        <v>0</v>
      </c>
      <c r="M361" s="7" t="str">
        <f t="shared" si="2"/>
        <v/>
      </c>
    </row>
    <row r="362" ht="15.75" customHeight="1">
      <c r="A362" s="15"/>
      <c r="G362" s="7"/>
      <c r="H362" s="7"/>
      <c r="K362" s="7">
        <f t="shared" si="1"/>
        <v>0</v>
      </c>
      <c r="M362" s="7" t="str">
        <f t="shared" si="2"/>
        <v/>
      </c>
    </row>
    <row r="363" ht="15.75" customHeight="1">
      <c r="A363" s="15"/>
      <c r="G363" s="7"/>
      <c r="H363" s="7"/>
      <c r="K363" s="7">
        <f t="shared" si="1"/>
        <v>0</v>
      </c>
      <c r="M363" s="7" t="str">
        <f t="shared" si="2"/>
        <v/>
      </c>
    </row>
    <row r="364" ht="15.75" customHeight="1">
      <c r="A364" s="15"/>
      <c r="G364" s="7"/>
      <c r="H364" s="7"/>
      <c r="K364" s="7">
        <f t="shared" si="1"/>
        <v>0</v>
      </c>
      <c r="M364" s="7" t="str">
        <f t="shared" si="2"/>
        <v/>
      </c>
    </row>
    <row r="365" ht="15.75" customHeight="1">
      <c r="A365" s="15"/>
      <c r="G365" s="7"/>
      <c r="H365" s="7"/>
      <c r="K365" s="7">
        <f t="shared" si="1"/>
        <v>0</v>
      </c>
      <c r="M365" s="7" t="str">
        <f t="shared" si="2"/>
        <v/>
      </c>
    </row>
    <row r="366" ht="15.75" customHeight="1">
      <c r="A366" s="15"/>
      <c r="G366" s="7"/>
      <c r="H366" s="7"/>
      <c r="K366" s="7">
        <f t="shared" si="1"/>
        <v>0</v>
      </c>
      <c r="M366" s="7" t="str">
        <f t="shared" si="2"/>
        <v/>
      </c>
    </row>
    <row r="367" ht="15.75" customHeight="1">
      <c r="A367" s="15"/>
      <c r="G367" s="7"/>
      <c r="H367" s="7"/>
      <c r="K367" s="7">
        <f t="shared" si="1"/>
        <v>0</v>
      </c>
      <c r="M367" s="7" t="str">
        <f t="shared" si="2"/>
        <v/>
      </c>
    </row>
    <row r="368" ht="15.75" customHeight="1">
      <c r="A368" s="15"/>
      <c r="G368" s="7"/>
      <c r="H368" s="7"/>
      <c r="K368" s="7">
        <f t="shared" si="1"/>
        <v>0</v>
      </c>
      <c r="M368" s="7" t="str">
        <f t="shared" si="2"/>
        <v/>
      </c>
    </row>
    <row r="369" ht="15.75" customHeight="1">
      <c r="A369" s="15"/>
      <c r="G369" s="7"/>
      <c r="H369" s="7"/>
      <c r="K369" s="7">
        <f t="shared" si="1"/>
        <v>0</v>
      </c>
      <c r="M369" s="7" t="str">
        <f t="shared" si="2"/>
        <v/>
      </c>
    </row>
    <row r="370" ht="15.75" customHeight="1">
      <c r="A370" s="15"/>
      <c r="G370" s="7"/>
      <c r="H370" s="7"/>
      <c r="K370" s="7">
        <f t="shared" si="1"/>
        <v>0</v>
      </c>
      <c r="M370" s="7" t="str">
        <f t="shared" si="2"/>
        <v/>
      </c>
    </row>
    <row r="371" ht="15.75" customHeight="1">
      <c r="A371" s="15"/>
      <c r="G371" s="7"/>
      <c r="H371" s="7"/>
      <c r="K371" s="7">
        <f t="shared" si="1"/>
        <v>0</v>
      </c>
      <c r="M371" s="7" t="str">
        <f t="shared" si="2"/>
        <v/>
      </c>
    </row>
    <row r="372" ht="15.75" customHeight="1">
      <c r="A372" s="15"/>
      <c r="G372" s="7"/>
      <c r="H372" s="7"/>
      <c r="K372" s="7">
        <f t="shared" si="1"/>
        <v>0</v>
      </c>
      <c r="M372" s="7" t="str">
        <f t="shared" si="2"/>
        <v/>
      </c>
    </row>
    <row r="373" ht="15.75" customHeight="1">
      <c r="A373" s="15"/>
      <c r="G373" s="7"/>
      <c r="H373" s="7"/>
      <c r="K373" s="7">
        <f t="shared" si="1"/>
        <v>0</v>
      </c>
      <c r="M373" s="7" t="str">
        <f t="shared" si="2"/>
        <v/>
      </c>
    </row>
    <row r="374" ht="15.75" customHeight="1">
      <c r="A374" s="15"/>
      <c r="G374" s="7"/>
      <c r="H374" s="7"/>
      <c r="K374" s="7">
        <f t="shared" si="1"/>
        <v>0</v>
      </c>
      <c r="M374" s="7" t="str">
        <f t="shared" si="2"/>
        <v/>
      </c>
    </row>
    <row r="375" ht="15.75" customHeight="1">
      <c r="A375" s="15"/>
      <c r="G375" s="7"/>
      <c r="H375" s="7"/>
      <c r="K375" s="7">
        <f t="shared" si="1"/>
        <v>0</v>
      </c>
      <c r="M375" s="7" t="str">
        <f t="shared" si="2"/>
        <v/>
      </c>
    </row>
    <row r="376" ht="15.75" customHeight="1">
      <c r="A376" s="15"/>
      <c r="G376" s="7"/>
      <c r="H376" s="7"/>
      <c r="K376" s="7">
        <f t="shared" si="1"/>
        <v>0</v>
      </c>
      <c r="M376" s="7" t="str">
        <f t="shared" si="2"/>
        <v/>
      </c>
    </row>
    <row r="377" ht="15.75" customHeight="1">
      <c r="A377" s="15"/>
      <c r="G377" s="7"/>
      <c r="H377" s="7"/>
      <c r="K377" s="7">
        <f t="shared" si="1"/>
        <v>0</v>
      </c>
      <c r="M377" s="7" t="str">
        <f t="shared" si="2"/>
        <v/>
      </c>
    </row>
    <row r="378" ht="15.75" customHeight="1">
      <c r="A378" s="15"/>
      <c r="G378" s="7"/>
      <c r="H378" s="7"/>
      <c r="K378" s="7">
        <f t="shared" si="1"/>
        <v>0</v>
      </c>
      <c r="M378" s="7" t="str">
        <f t="shared" si="2"/>
        <v/>
      </c>
    </row>
    <row r="379" ht="15.75" customHeight="1">
      <c r="A379" s="15"/>
      <c r="G379" s="7"/>
      <c r="H379" s="7"/>
      <c r="K379" s="7">
        <f t="shared" si="1"/>
        <v>0</v>
      </c>
      <c r="M379" s="7" t="str">
        <f t="shared" si="2"/>
        <v/>
      </c>
    </row>
    <row r="380" ht="15.75" customHeight="1">
      <c r="A380" s="15"/>
      <c r="G380" s="7"/>
      <c r="H380" s="7"/>
      <c r="K380" s="7">
        <f t="shared" si="1"/>
        <v>0</v>
      </c>
      <c r="M380" s="7" t="str">
        <f t="shared" si="2"/>
        <v/>
      </c>
    </row>
    <row r="381" ht="15.75" customHeight="1">
      <c r="A381" s="15"/>
      <c r="G381" s="7"/>
      <c r="H381" s="7"/>
      <c r="K381" s="7">
        <f t="shared" si="1"/>
        <v>0</v>
      </c>
      <c r="M381" s="7" t="str">
        <f t="shared" si="2"/>
        <v/>
      </c>
    </row>
    <row r="382" ht="15.75" customHeight="1">
      <c r="A382" s="15"/>
      <c r="G382" s="7"/>
      <c r="H382" s="7"/>
      <c r="K382" s="7">
        <f t="shared" si="1"/>
        <v>0</v>
      </c>
      <c r="M382" s="7" t="str">
        <f t="shared" si="2"/>
        <v/>
      </c>
    </row>
    <row r="383" ht="15.75" customHeight="1">
      <c r="A383" s="15"/>
      <c r="G383" s="7"/>
      <c r="H383" s="7"/>
      <c r="K383" s="7">
        <f t="shared" si="1"/>
        <v>0</v>
      </c>
      <c r="M383" s="7" t="str">
        <f t="shared" si="2"/>
        <v/>
      </c>
    </row>
    <row r="384" ht="15.75" customHeight="1">
      <c r="A384" s="15"/>
      <c r="G384" s="7"/>
      <c r="H384" s="7"/>
      <c r="K384" s="7">
        <f t="shared" si="1"/>
        <v>0</v>
      </c>
      <c r="M384" s="7" t="str">
        <f t="shared" si="2"/>
        <v/>
      </c>
    </row>
    <row r="385" ht="15.75" customHeight="1">
      <c r="A385" s="15"/>
      <c r="G385" s="7"/>
      <c r="H385" s="7"/>
      <c r="K385" s="7">
        <f t="shared" si="1"/>
        <v>0</v>
      </c>
      <c r="M385" s="7" t="str">
        <f t="shared" si="2"/>
        <v/>
      </c>
    </row>
    <row r="386" ht="15.75" customHeight="1">
      <c r="A386" s="15"/>
      <c r="G386" s="7"/>
      <c r="H386" s="7"/>
      <c r="K386" s="7">
        <f t="shared" si="1"/>
        <v>0</v>
      </c>
      <c r="M386" s="7" t="str">
        <f t="shared" si="2"/>
        <v/>
      </c>
    </row>
    <row r="387" ht="15.75" customHeight="1">
      <c r="A387" s="15"/>
      <c r="G387" s="7"/>
      <c r="H387" s="7"/>
      <c r="K387" s="7">
        <f t="shared" si="1"/>
        <v>0</v>
      </c>
      <c r="M387" s="7" t="str">
        <f t="shared" si="2"/>
        <v/>
      </c>
    </row>
    <row r="388" ht="15.75" customHeight="1">
      <c r="A388" s="15"/>
      <c r="G388" s="7"/>
      <c r="H388" s="7"/>
      <c r="K388" s="7">
        <f t="shared" si="1"/>
        <v>0</v>
      </c>
      <c r="M388" s="7" t="str">
        <f t="shared" si="2"/>
        <v/>
      </c>
    </row>
    <row r="389" ht="15.75" customHeight="1">
      <c r="A389" s="15"/>
      <c r="G389" s="7"/>
      <c r="H389" s="7"/>
      <c r="K389" s="7">
        <f t="shared" si="1"/>
        <v>0</v>
      </c>
      <c r="M389" s="7" t="str">
        <f t="shared" si="2"/>
        <v/>
      </c>
    </row>
    <row r="390" ht="15.75" customHeight="1">
      <c r="A390" s="15"/>
      <c r="G390" s="7"/>
      <c r="H390" s="7"/>
      <c r="K390" s="7">
        <f t="shared" si="1"/>
        <v>0</v>
      </c>
      <c r="M390" s="7" t="str">
        <f t="shared" si="2"/>
        <v/>
      </c>
    </row>
    <row r="391" ht="15.75" customHeight="1">
      <c r="A391" s="15"/>
      <c r="G391" s="7"/>
      <c r="H391" s="7"/>
      <c r="K391" s="7">
        <f t="shared" si="1"/>
        <v>0</v>
      </c>
      <c r="M391" s="7" t="str">
        <f t="shared" si="2"/>
        <v/>
      </c>
    </row>
    <row r="392" ht="15.75" customHeight="1">
      <c r="A392" s="15"/>
      <c r="G392" s="7"/>
      <c r="H392" s="7"/>
      <c r="K392" s="7">
        <f t="shared" si="1"/>
        <v>0</v>
      </c>
      <c r="M392" s="7" t="str">
        <f t="shared" si="2"/>
        <v/>
      </c>
    </row>
    <row r="393" ht="15.75" customHeight="1">
      <c r="A393" s="15"/>
      <c r="G393" s="7"/>
      <c r="H393" s="7"/>
      <c r="K393" s="7">
        <f t="shared" si="1"/>
        <v>0</v>
      </c>
      <c r="M393" s="7" t="str">
        <f t="shared" si="2"/>
        <v/>
      </c>
    </row>
    <row r="394" ht="15.75" customHeight="1">
      <c r="A394" s="15"/>
      <c r="G394" s="7"/>
      <c r="H394" s="7"/>
      <c r="K394" s="7">
        <f t="shared" si="1"/>
        <v>0</v>
      </c>
      <c r="M394" s="7" t="str">
        <f t="shared" si="2"/>
        <v/>
      </c>
    </row>
    <row r="395" ht="15.75" customHeight="1">
      <c r="A395" s="15"/>
      <c r="G395" s="7"/>
      <c r="H395" s="7"/>
      <c r="K395" s="7">
        <f t="shared" si="1"/>
        <v>0</v>
      </c>
      <c r="M395" s="7" t="str">
        <f t="shared" si="2"/>
        <v/>
      </c>
    </row>
    <row r="396" ht="15.75" customHeight="1">
      <c r="A396" s="15"/>
      <c r="G396" s="7"/>
      <c r="H396" s="7"/>
      <c r="K396" s="7">
        <f t="shared" si="1"/>
        <v>0</v>
      </c>
      <c r="M396" s="7" t="str">
        <f t="shared" si="2"/>
        <v/>
      </c>
    </row>
    <row r="397" ht="15.75" customHeight="1">
      <c r="A397" s="15"/>
      <c r="G397" s="7"/>
      <c r="H397" s="7"/>
      <c r="K397" s="7">
        <f t="shared" si="1"/>
        <v>0</v>
      </c>
      <c r="M397" s="7" t="str">
        <f t="shared" si="2"/>
        <v/>
      </c>
    </row>
    <row r="398" ht="15.75" customHeight="1">
      <c r="A398" s="15"/>
      <c r="G398" s="7"/>
      <c r="H398" s="7"/>
      <c r="K398" s="7">
        <f t="shared" si="1"/>
        <v>0</v>
      </c>
      <c r="M398" s="7" t="str">
        <f t="shared" si="2"/>
        <v/>
      </c>
    </row>
    <row r="399" ht="15.75" customHeight="1">
      <c r="A399" s="15"/>
      <c r="G399" s="7"/>
      <c r="H399" s="7"/>
      <c r="K399" s="7">
        <f t="shared" si="1"/>
        <v>0</v>
      </c>
      <c r="M399" s="7" t="str">
        <f t="shared" si="2"/>
        <v/>
      </c>
    </row>
    <row r="400" ht="15.75" customHeight="1">
      <c r="A400" s="15"/>
      <c r="G400" s="7"/>
      <c r="H400" s="7"/>
      <c r="K400" s="7">
        <f t="shared" si="1"/>
        <v>0</v>
      </c>
      <c r="M400" s="7" t="str">
        <f t="shared" si="2"/>
        <v/>
      </c>
    </row>
    <row r="401" ht="15.75" customHeight="1">
      <c r="A401" s="15"/>
      <c r="G401" s="7"/>
      <c r="H401" s="7"/>
      <c r="K401" s="7">
        <f t="shared" si="1"/>
        <v>0</v>
      </c>
      <c r="M401" s="7" t="str">
        <f t="shared" si="2"/>
        <v/>
      </c>
    </row>
    <row r="402" ht="15.75" customHeight="1">
      <c r="A402" s="15"/>
      <c r="G402" s="7"/>
      <c r="H402" s="7"/>
      <c r="K402" s="7">
        <f t="shared" si="1"/>
        <v>0</v>
      </c>
      <c r="M402" s="7" t="str">
        <f t="shared" si="2"/>
        <v/>
      </c>
    </row>
    <row r="403" ht="15.75" customHeight="1">
      <c r="A403" s="15"/>
      <c r="G403" s="7"/>
      <c r="H403" s="7"/>
      <c r="K403" s="7">
        <f t="shared" si="1"/>
        <v>0</v>
      </c>
      <c r="M403" s="7" t="str">
        <f t="shared" si="2"/>
        <v/>
      </c>
    </row>
    <row r="404" ht="15.75" customHeight="1">
      <c r="A404" s="15"/>
      <c r="G404" s="7"/>
      <c r="H404" s="7"/>
      <c r="K404" s="7">
        <f t="shared" si="1"/>
        <v>0</v>
      </c>
      <c r="M404" s="7" t="str">
        <f t="shared" si="2"/>
        <v/>
      </c>
    </row>
    <row r="405" ht="15.75" customHeight="1">
      <c r="A405" s="15"/>
      <c r="G405" s="7"/>
      <c r="H405" s="7"/>
      <c r="K405" s="7">
        <f t="shared" si="1"/>
        <v>0</v>
      </c>
      <c r="M405" s="7" t="str">
        <f t="shared" si="2"/>
        <v/>
      </c>
    </row>
    <row r="406" ht="15.75" customHeight="1">
      <c r="A406" s="15"/>
      <c r="G406" s="7"/>
      <c r="H406" s="7"/>
      <c r="K406" s="7">
        <f t="shared" si="1"/>
        <v>0</v>
      </c>
      <c r="M406" s="7" t="str">
        <f t="shared" si="2"/>
        <v/>
      </c>
    </row>
    <row r="407" ht="15.75" customHeight="1">
      <c r="A407" s="15"/>
      <c r="G407" s="7"/>
      <c r="H407" s="7"/>
      <c r="K407" s="7">
        <f t="shared" si="1"/>
        <v>0</v>
      </c>
      <c r="M407" s="7" t="str">
        <f t="shared" si="2"/>
        <v/>
      </c>
    </row>
    <row r="408" ht="15.75" customHeight="1">
      <c r="A408" s="15"/>
      <c r="G408" s="7"/>
      <c r="H408" s="7"/>
      <c r="K408" s="7">
        <f t="shared" si="1"/>
        <v>0</v>
      </c>
      <c r="M408" s="7" t="str">
        <f t="shared" si="2"/>
        <v/>
      </c>
    </row>
    <row r="409" ht="15.75" customHeight="1">
      <c r="A409" s="15"/>
      <c r="G409" s="7"/>
      <c r="H409" s="7"/>
      <c r="K409" s="7">
        <f t="shared" si="1"/>
        <v>0</v>
      </c>
      <c r="M409" s="7" t="str">
        <f t="shared" si="2"/>
        <v/>
      </c>
    </row>
    <row r="410" ht="15.75" customHeight="1">
      <c r="A410" s="15"/>
      <c r="G410" s="7"/>
      <c r="H410" s="7"/>
      <c r="K410" s="7">
        <f t="shared" si="1"/>
        <v>0</v>
      </c>
      <c r="M410" s="7" t="str">
        <f t="shared" si="2"/>
        <v/>
      </c>
    </row>
    <row r="411" ht="15.75" customHeight="1">
      <c r="A411" s="15"/>
      <c r="G411" s="7"/>
      <c r="H411" s="7"/>
      <c r="K411" s="7">
        <f t="shared" si="1"/>
        <v>0</v>
      </c>
      <c r="M411" s="7" t="str">
        <f t="shared" si="2"/>
        <v/>
      </c>
    </row>
    <row r="412" ht="15.75" customHeight="1">
      <c r="A412" s="15"/>
      <c r="G412" s="7"/>
      <c r="H412" s="7"/>
      <c r="K412" s="7">
        <f t="shared" si="1"/>
        <v>0</v>
      </c>
      <c r="M412" s="7" t="str">
        <f t="shared" si="2"/>
        <v/>
      </c>
    </row>
    <row r="413" ht="15.75" customHeight="1">
      <c r="A413" s="15"/>
      <c r="G413" s="7"/>
      <c r="H413" s="7"/>
      <c r="K413" s="7">
        <f t="shared" si="1"/>
        <v>0</v>
      </c>
      <c r="M413" s="7" t="str">
        <f t="shared" si="2"/>
        <v/>
      </c>
    </row>
    <row r="414" ht="15.75" customHeight="1">
      <c r="A414" s="15"/>
      <c r="G414" s="7"/>
      <c r="H414" s="7"/>
      <c r="K414" s="7">
        <f t="shared" si="1"/>
        <v>0</v>
      </c>
      <c r="M414" s="7" t="str">
        <f t="shared" si="2"/>
        <v/>
      </c>
    </row>
    <row r="415" ht="15.75" customHeight="1">
      <c r="A415" s="15"/>
      <c r="G415" s="7"/>
      <c r="H415" s="7"/>
      <c r="K415" s="7">
        <f t="shared" si="1"/>
        <v>0</v>
      </c>
      <c r="M415" s="7" t="str">
        <f t="shared" si="2"/>
        <v/>
      </c>
    </row>
    <row r="416" ht="15.75" customHeight="1">
      <c r="A416" s="15"/>
      <c r="G416" s="7"/>
      <c r="H416" s="7"/>
      <c r="K416" s="7">
        <f t="shared" si="1"/>
        <v>0</v>
      </c>
      <c r="M416" s="7" t="str">
        <f t="shared" si="2"/>
        <v/>
      </c>
    </row>
    <row r="417" ht="15.75" customHeight="1">
      <c r="A417" s="15"/>
      <c r="G417" s="7"/>
      <c r="H417" s="7"/>
      <c r="K417" s="7">
        <f t="shared" si="1"/>
        <v>0</v>
      </c>
      <c r="M417" s="7" t="str">
        <f t="shared" si="2"/>
        <v/>
      </c>
    </row>
    <row r="418" ht="15.75" customHeight="1">
      <c r="A418" s="15"/>
      <c r="G418" s="7"/>
      <c r="H418" s="7"/>
      <c r="K418" s="7">
        <f t="shared" si="1"/>
        <v>0</v>
      </c>
      <c r="M418" s="7" t="str">
        <f t="shared" si="2"/>
        <v/>
      </c>
    </row>
    <row r="419" ht="15.75" customHeight="1">
      <c r="A419" s="15"/>
      <c r="G419" s="7"/>
      <c r="H419" s="7"/>
      <c r="K419" s="7">
        <f t="shared" si="1"/>
        <v>0</v>
      </c>
      <c r="M419" s="7" t="str">
        <f t="shared" si="2"/>
        <v/>
      </c>
    </row>
    <row r="420" ht="15.75" customHeight="1">
      <c r="A420" s="15"/>
      <c r="G420" s="7"/>
      <c r="H420" s="7"/>
      <c r="K420" s="7">
        <f t="shared" si="1"/>
        <v>0</v>
      </c>
      <c r="M420" s="7" t="str">
        <f t="shared" si="2"/>
        <v/>
      </c>
    </row>
    <row r="421" ht="15.75" customHeight="1">
      <c r="A421" s="15"/>
      <c r="G421" s="7"/>
      <c r="H421" s="7"/>
      <c r="K421" s="7">
        <f t="shared" si="1"/>
        <v>0</v>
      </c>
      <c r="M421" s="7" t="str">
        <f t="shared" si="2"/>
        <v/>
      </c>
    </row>
    <row r="422" ht="15.75" customHeight="1">
      <c r="A422" s="15"/>
      <c r="G422" s="7"/>
      <c r="H422" s="7"/>
      <c r="K422" s="7">
        <f t="shared" si="1"/>
        <v>0</v>
      </c>
      <c r="M422" s="7" t="str">
        <f t="shared" si="2"/>
        <v/>
      </c>
    </row>
    <row r="423" ht="15.75" customHeight="1">
      <c r="A423" s="15"/>
      <c r="G423" s="7"/>
      <c r="H423" s="7"/>
      <c r="K423" s="7">
        <f t="shared" si="1"/>
        <v>0</v>
      </c>
      <c r="M423" s="7" t="str">
        <f t="shared" si="2"/>
        <v/>
      </c>
    </row>
    <row r="424" ht="15.75" customHeight="1">
      <c r="A424" s="15"/>
      <c r="G424" s="7"/>
      <c r="H424" s="7"/>
      <c r="K424" s="7">
        <f t="shared" si="1"/>
        <v>0</v>
      </c>
      <c r="M424" s="7" t="str">
        <f t="shared" si="2"/>
        <v/>
      </c>
    </row>
    <row r="425" ht="15.75" customHeight="1">
      <c r="A425" s="15"/>
      <c r="G425" s="7"/>
      <c r="H425" s="7"/>
      <c r="K425" s="7">
        <f t="shared" si="1"/>
        <v>0</v>
      </c>
      <c r="M425" s="7" t="str">
        <f t="shared" si="2"/>
        <v/>
      </c>
    </row>
    <row r="426" ht="15.75" customHeight="1">
      <c r="A426" s="15"/>
      <c r="G426" s="7"/>
      <c r="H426" s="7"/>
      <c r="K426" s="7">
        <f t="shared" si="1"/>
        <v>0</v>
      </c>
      <c r="M426" s="7" t="str">
        <f t="shared" si="2"/>
        <v/>
      </c>
    </row>
    <row r="427" ht="15.75" customHeight="1">
      <c r="A427" s="15"/>
      <c r="G427" s="7"/>
      <c r="H427" s="7"/>
      <c r="K427" s="7">
        <f t="shared" si="1"/>
        <v>0</v>
      </c>
      <c r="M427" s="7" t="str">
        <f t="shared" si="2"/>
        <v/>
      </c>
    </row>
    <row r="428" ht="15.75" customHeight="1">
      <c r="A428" s="15"/>
      <c r="G428" s="7"/>
      <c r="H428" s="7"/>
      <c r="K428" s="7">
        <f t="shared" si="1"/>
        <v>0</v>
      </c>
      <c r="M428" s="7" t="str">
        <f t="shared" si="2"/>
        <v/>
      </c>
    </row>
    <row r="429" ht="15.75" customHeight="1">
      <c r="A429" s="15"/>
      <c r="G429" s="7"/>
      <c r="H429" s="7"/>
      <c r="K429" s="7">
        <f t="shared" si="1"/>
        <v>0</v>
      </c>
      <c r="M429" s="7" t="str">
        <f t="shared" si="2"/>
        <v/>
      </c>
    </row>
    <row r="430" ht="15.75" customHeight="1">
      <c r="A430" s="15"/>
      <c r="G430" s="7"/>
      <c r="H430" s="7"/>
      <c r="K430" s="7">
        <f t="shared" si="1"/>
        <v>0</v>
      </c>
      <c r="M430" s="7" t="str">
        <f t="shared" si="2"/>
        <v/>
      </c>
    </row>
    <row r="431" ht="15.75" customHeight="1">
      <c r="A431" s="15"/>
      <c r="G431" s="7"/>
      <c r="H431" s="7"/>
      <c r="K431" s="7">
        <f t="shared" si="1"/>
        <v>0</v>
      </c>
      <c r="M431" s="7" t="str">
        <f t="shared" si="2"/>
        <v/>
      </c>
    </row>
    <row r="432" ht="15.75" customHeight="1">
      <c r="A432" s="15"/>
      <c r="G432" s="7"/>
      <c r="H432" s="7"/>
      <c r="K432" s="7">
        <f t="shared" si="1"/>
        <v>0</v>
      </c>
      <c r="M432" s="7" t="str">
        <f t="shared" si="2"/>
        <v/>
      </c>
    </row>
    <row r="433" ht="15.75" customHeight="1">
      <c r="A433" s="15"/>
      <c r="G433" s="7"/>
      <c r="H433" s="7"/>
      <c r="K433" s="7">
        <f t="shared" si="1"/>
        <v>0</v>
      </c>
      <c r="M433" s="7" t="str">
        <f t="shared" si="2"/>
        <v/>
      </c>
    </row>
    <row r="434" ht="15.75" customHeight="1">
      <c r="A434" s="15"/>
      <c r="G434" s="7"/>
      <c r="H434" s="7"/>
      <c r="K434" s="7">
        <f t="shared" si="1"/>
        <v>0</v>
      </c>
      <c r="M434" s="7" t="str">
        <f t="shared" si="2"/>
        <v/>
      </c>
    </row>
    <row r="435" ht="15.75" customHeight="1">
      <c r="A435" s="15"/>
      <c r="G435" s="7"/>
      <c r="H435" s="7"/>
      <c r="K435" s="7">
        <f t="shared" si="1"/>
        <v>0</v>
      </c>
      <c r="M435" s="7" t="str">
        <f t="shared" si="2"/>
        <v/>
      </c>
    </row>
    <row r="436" ht="15.75" customHeight="1">
      <c r="A436" s="15"/>
      <c r="G436" s="7"/>
      <c r="H436" s="7"/>
      <c r="K436" s="7">
        <f t="shared" si="1"/>
        <v>0</v>
      </c>
      <c r="M436" s="7" t="str">
        <f t="shared" si="2"/>
        <v/>
      </c>
    </row>
    <row r="437" ht="15.75" customHeight="1">
      <c r="A437" s="15"/>
      <c r="G437" s="7"/>
      <c r="H437" s="7"/>
      <c r="K437" s="7">
        <f t="shared" si="1"/>
        <v>0</v>
      </c>
      <c r="M437" s="7" t="str">
        <f t="shared" si="2"/>
        <v/>
      </c>
    </row>
    <row r="438" ht="15.75" customHeight="1">
      <c r="A438" s="15"/>
      <c r="G438" s="7"/>
      <c r="H438" s="7"/>
      <c r="K438" s="7">
        <f t="shared" si="1"/>
        <v>0</v>
      </c>
      <c r="M438" s="7" t="str">
        <f t="shared" si="2"/>
        <v/>
      </c>
    </row>
    <row r="439" ht="15.75" customHeight="1">
      <c r="A439" s="15"/>
      <c r="G439" s="7"/>
      <c r="H439" s="7"/>
      <c r="K439" s="7">
        <f t="shared" si="1"/>
        <v>0</v>
      </c>
      <c r="M439" s="7" t="str">
        <f t="shared" si="2"/>
        <v/>
      </c>
    </row>
    <row r="440" ht="15.75" customHeight="1">
      <c r="A440" s="15"/>
      <c r="G440" s="7"/>
      <c r="H440" s="7"/>
      <c r="K440" s="7">
        <f t="shared" si="1"/>
        <v>0</v>
      </c>
      <c r="M440" s="7" t="str">
        <f t="shared" si="2"/>
        <v/>
      </c>
    </row>
    <row r="441" ht="15.75" customHeight="1">
      <c r="A441" s="15"/>
      <c r="G441" s="7"/>
      <c r="H441" s="7"/>
      <c r="K441" s="7">
        <f t="shared" si="1"/>
        <v>0</v>
      </c>
      <c r="M441" s="7" t="str">
        <f t="shared" si="2"/>
        <v/>
      </c>
    </row>
    <row r="442" ht="15.75" customHeight="1">
      <c r="A442" s="15"/>
      <c r="G442" s="7"/>
      <c r="H442" s="7"/>
      <c r="K442" s="7">
        <f t="shared" si="1"/>
        <v>0</v>
      </c>
      <c r="M442" s="7" t="str">
        <f t="shared" si="2"/>
        <v/>
      </c>
    </row>
    <row r="443" ht="15.75" customHeight="1">
      <c r="A443" s="15"/>
      <c r="G443" s="7"/>
      <c r="H443" s="7"/>
      <c r="K443" s="7">
        <f t="shared" si="1"/>
        <v>0</v>
      </c>
      <c r="M443" s="7" t="str">
        <f t="shared" si="2"/>
        <v/>
      </c>
    </row>
    <row r="444" ht="15.75" customHeight="1">
      <c r="A444" s="15"/>
      <c r="G444" s="7"/>
      <c r="H444" s="7"/>
      <c r="K444" s="7">
        <f t="shared" si="1"/>
        <v>0</v>
      </c>
      <c r="M444" s="7" t="str">
        <f t="shared" si="2"/>
        <v/>
      </c>
    </row>
    <row r="445" ht="15.75" customHeight="1">
      <c r="A445" s="15"/>
      <c r="G445" s="7"/>
      <c r="H445" s="7"/>
      <c r="K445" s="7">
        <f t="shared" si="1"/>
        <v>0</v>
      </c>
      <c r="M445" s="7" t="str">
        <f t="shared" si="2"/>
        <v/>
      </c>
    </row>
    <row r="446" ht="15.75" customHeight="1">
      <c r="A446" s="15"/>
      <c r="G446" s="7"/>
      <c r="H446" s="7"/>
      <c r="K446" s="7">
        <f t="shared" si="1"/>
        <v>0</v>
      </c>
      <c r="M446" s="7" t="str">
        <f t="shared" si="2"/>
        <v/>
      </c>
    </row>
    <row r="447" ht="15.75" customHeight="1">
      <c r="A447" s="15"/>
      <c r="G447" s="7"/>
      <c r="H447" s="7"/>
      <c r="K447" s="7">
        <f t="shared" si="1"/>
        <v>0</v>
      </c>
      <c r="M447" s="7" t="str">
        <f t="shared" si="2"/>
        <v/>
      </c>
    </row>
    <row r="448" ht="15.75" customHeight="1">
      <c r="A448" s="15"/>
      <c r="G448" s="7"/>
      <c r="H448" s="7"/>
      <c r="K448" s="7">
        <f t="shared" si="1"/>
        <v>0</v>
      </c>
      <c r="M448" s="7" t="str">
        <f t="shared" si="2"/>
        <v/>
      </c>
    </row>
    <row r="449" ht="15.75" customHeight="1">
      <c r="A449" s="15"/>
      <c r="G449" s="7"/>
      <c r="H449" s="7"/>
      <c r="K449" s="7">
        <f t="shared" si="1"/>
        <v>0</v>
      </c>
      <c r="M449" s="7" t="str">
        <f t="shared" si="2"/>
        <v/>
      </c>
    </row>
    <row r="450" ht="15.75" customHeight="1">
      <c r="A450" s="15"/>
      <c r="G450" s="7"/>
      <c r="H450" s="7"/>
      <c r="K450" s="7">
        <f t="shared" si="1"/>
        <v>0</v>
      </c>
      <c r="M450" s="7" t="str">
        <f t="shared" si="2"/>
        <v/>
      </c>
    </row>
    <row r="451" ht="15.75" customHeight="1">
      <c r="A451" s="15"/>
      <c r="G451" s="7"/>
      <c r="H451" s="7"/>
      <c r="K451" s="7">
        <f t="shared" si="1"/>
        <v>0</v>
      </c>
      <c r="M451" s="7" t="str">
        <f t="shared" si="2"/>
        <v/>
      </c>
    </row>
    <row r="452" ht="15.75" customHeight="1">
      <c r="A452" s="15"/>
      <c r="G452" s="7"/>
      <c r="H452" s="7"/>
      <c r="K452" s="7">
        <f t="shared" si="1"/>
        <v>0</v>
      </c>
      <c r="M452" s="7" t="str">
        <f t="shared" si="2"/>
        <v/>
      </c>
    </row>
    <row r="453" ht="15.75" customHeight="1">
      <c r="A453" s="15"/>
      <c r="G453" s="7"/>
      <c r="H453" s="7"/>
      <c r="K453" s="7">
        <f t="shared" si="1"/>
        <v>0</v>
      </c>
      <c r="M453" s="7" t="str">
        <f t="shared" si="2"/>
        <v/>
      </c>
    </row>
    <row r="454" ht="15.75" customHeight="1">
      <c r="A454" s="15"/>
      <c r="G454" s="7"/>
      <c r="H454" s="7"/>
      <c r="K454" s="7">
        <f t="shared" si="1"/>
        <v>0</v>
      </c>
      <c r="M454" s="7" t="str">
        <f t="shared" si="2"/>
        <v/>
      </c>
    </row>
    <row r="455" ht="15.75" customHeight="1">
      <c r="A455" s="15"/>
      <c r="G455" s="7"/>
      <c r="H455" s="7"/>
      <c r="K455" s="7">
        <f t="shared" si="1"/>
        <v>0</v>
      </c>
      <c r="M455" s="7" t="str">
        <f t="shared" si="2"/>
        <v/>
      </c>
    </row>
    <row r="456" ht="15.75" customHeight="1">
      <c r="A456" s="15"/>
      <c r="G456" s="7"/>
      <c r="H456" s="7"/>
      <c r="K456" s="7">
        <f t="shared" si="1"/>
        <v>0</v>
      </c>
      <c r="M456" s="7" t="str">
        <f t="shared" si="2"/>
        <v/>
      </c>
    </row>
    <row r="457" ht="15.75" customHeight="1">
      <c r="A457" s="15"/>
      <c r="G457" s="7"/>
      <c r="H457" s="7"/>
      <c r="K457" s="7">
        <f t="shared" si="1"/>
        <v>0</v>
      </c>
      <c r="M457" s="7" t="str">
        <f t="shared" si="2"/>
        <v/>
      </c>
    </row>
    <row r="458" ht="15.75" customHeight="1">
      <c r="A458" s="15"/>
      <c r="G458" s="7"/>
      <c r="H458" s="7"/>
      <c r="K458" s="7">
        <f t="shared" si="1"/>
        <v>0</v>
      </c>
      <c r="M458" s="7" t="str">
        <f t="shared" si="2"/>
        <v/>
      </c>
    </row>
    <row r="459" ht="15.75" customHeight="1">
      <c r="A459" s="15"/>
      <c r="G459" s="7"/>
      <c r="H459" s="7"/>
      <c r="K459" s="7">
        <f t="shared" si="1"/>
        <v>0</v>
      </c>
      <c r="M459" s="7" t="str">
        <f t="shared" si="2"/>
        <v/>
      </c>
    </row>
    <row r="460" ht="15.75" customHeight="1">
      <c r="A460" s="15"/>
      <c r="G460" s="7"/>
      <c r="H460" s="7"/>
      <c r="K460" s="7">
        <f t="shared" si="1"/>
        <v>0</v>
      </c>
      <c r="M460" s="7" t="str">
        <f t="shared" si="2"/>
        <v/>
      </c>
    </row>
    <row r="461" ht="15.75" customHeight="1">
      <c r="A461" s="15"/>
      <c r="G461" s="7"/>
      <c r="H461" s="7"/>
      <c r="K461" s="7">
        <f t="shared" si="1"/>
        <v>0</v>
      </c>
      <c r="M461" s="7" t="str">
        <f t="shared" si="2"/>
        <v/>
      </c>
    </row>
    <row r="462" ht="15.75" customHeight="1">
      <c r="A462" s="15"/>
      <c r="G462" s="7"/>
      <c r="H462" s="7"/>
      <c r="K462" s="7">
        <f t="shared" si="1"/>
        <v>0</v>
      </c>
      <c r="M462" s="7" t="str">
        <f t="shared" si="2"/>
        <v/>
      </c>
    </row>
    <row r="463" ht="15.75" customHeight="1">
      <c r="A463" s="15"/>
      <c r="G463" s="7"/>
      <c r="H463" s="7"/>
      <c r="K463" s="7">
        <f t="shared" si="1"/>
        <v>0</v>
      </c>
      <c r="M463" s="7" t="str">
        <f t="shared" si="2"/>
        <v/>
      </c>
    </row>
    <row r="464" ht="15.75" customHeight="1">
      <c r="A464" s="15"/>
      <c r="G464" s="7"/>
      <c r="H464" s="7"/>
      <c r="K464" s="7">
        <f t="shared" si="1"/>
        <v>0</v>
      </c>
      <c r="M464" s="7" t="str">
        <f t="shared" si="2"/>
        <v/>
      </c>
    </row>
    <row r="465" ht="15.75" customHeight="1">
      <c r="A465" s="15"/>
      <c r="G465" s="7"/>
      <c r="H465" s="7"/>
      <c r="K465" s="7">
        <f t="shared" si="1"/>
        <v>0</v>
      </c>
      <c r="M465" s="7" t="str">
        <f t="shared" si="2"/>
        <v/>
      </c>
    </row>
    <row r="466" ht="15.75" customHeight="1">
      <c r="A466" s="15"/>
      <c r="G466" s="7"/>
      <c r="H466" s="7"/>
      <c r="K466" s="7">
        <f t="shared" si="1"/>
        <v>0</v>
      </c>
      <c r="M466" s="7" t="str">
        <f t="shared" si="2"/>
        <v/>
      </c>
    </row>
    <row r="467" ht="15.75" customHeight="1">
      <c r="A467" s="15"/>
      <c r="G467" s="7"/>
      <c r="H467" s="7"/>
      <c r="K467" s="7">
        <f t="shared" si="1"/>
        <v>0</v>
      </c>
      <c r="M467" s="7" t="str">
        <f t="shared" si="2"/>
        <v/>
      </c>
    </row>
    <row r="468" ht="15.75" customHeight="1">
      <c r="A468" s="15"/>
      <c r="G468" s="7"/>
      <c r="H468" s="7"/>
      <c r="K468" s="7">
        <f t="shared" si="1"/>
        <v>0</v>
      </c>
      <c r="M468" s="7" t="str">
        <f t="shared" si="2"/>
        <v/>
      </c>
    </row>
    <row r="469" ht="15.75" customHeight="1">
      <c r="A469" s="15"/>
      <c r="G469" s="7"/>
      <c r="H469" s="7"/>
      <c r="K469" s="7">
        <f t="shared" si="1"/>
        <v>0</v>
      </c>
      <c r="M469" s="7" t="str">
        <f t="shared" si="2"/>
        <v/>
      </c>
    </row>
    <row r="470" ht="15.75" customHeight="1">
      <c r="A470" s="15"/>
      <c r="G470" s="7"/>
      <c r="H470" s="7"/>
      <c r="K470" s="7">
        <f t="shared" si="1"/>
        <v>0</v>
      </c>
      <c r="M470" s="7" t="str">
        <f t="shared" si="2"/>
        <v/>
      </c>
    </row>
    <row r="471" ht="15.75" customHeight="1">
      <c r="A471" s="15"/>
      <c r="G471" s="7"/>
      <c r="H471" s="7"/>
      <c r="K471" s="7">
        <f t="shared" si="1"/>
        <v>0</v>
      </c>
      <c r="M471" s="7" t="str">
        <f t="shared" si="2"/>
        <v/>
      </c>
    </row>
    <row r="472" ht="15.75" customHeight="1">
      <c r="A472" s="15"/>
      <c r="G472" s="7"/>
      <c r="H472" s="7"/>
      <c r="K472" s="7">
        <f t="shared" si="1"/>
        <v>0</v>
      </c>
      <c r="M472" s="7" t="str">
        <f t="shared" si="2"/>
        <v/>
      </c>
    </row>
    <row r="473" ht="15.75" customHeight="1">
      <c r="A473" s="15"/>
      <c r="G473" s="7"/>
      <c r="H473" s="7"/>
      <c r="K473" s="7">
        <f t="shared" si="1"/>
        <v>0</v>
      </c>
      <c r="M473" s="7" t="str">
        <f t="shared" si="2"/>
        <v/>
      </c>
    </row>
    <row r="474" ht="15.75" customHeight="1">
      <c r="A474" s="15"/>
      <c r="G474" s="7"/>
      <c r="H474" s="7"/>
      <c r="K474" s="7">
        <f t="shared" si="1"/>
        <v>0</v>
      </c>
      <c r="M474" s="7" t="str">
        <f t="shared" si="2"/>
        <v/>
      </c>
    </row>
    <row r="475" ht="15.75" customHeight="1">
      <c r="A475" s="15"/>
      <c r="G475" s="7"/>
      <c r="H475" s="7"/>
      <c r="K475" s="7">
        <f t="shared" si="1"/>
        <v>0</v>
      </c>
      <c r="M475" s="7" t="str">
        <f t="shared" si="2"/>
        <v/>
      </c>
    </row>
    <row r="476" ht="15.75" customHeight="1">
      <c r="A476" s="15"/>
      <c r="G476" s="7"/>
      <c r="H476" s="7"/>
      <c r="K476" s="7">
        <f t="shared" si="1"/>
        <v>0</v>
      </c>
      <c r="M476" s="7" t="str">
        <f t="shared" si="2"/>
        <v/>
      </c>
    </row>
    <row r="477" ht="15.75" customHeight="1">
      <c r="A477" s="15"/>
      <c r="G477" s="7"/>
      <c r="H477" s="7"/>
      <c r="K477" s="7">
        <f t="shared" si="1"/>
        <v>0</v>
      </c>
      <c r="M477" s="7" t="str">
        <f t="shared" si="2"/>
        <v/>
      </c>
    </row>
    <row r="478" ht="15.75" customHeight="1">
      <c r="A478" s="15"/>
      <c r="G478" s="7"/>
      <c r="H478" s="7"/>
      <c r="K478" s="7">
        <f t="shared" si="1"/>
        <v>0</v>
      </c>
      <c r="M478" s="7" t="str">
        <f t="shared" si="2"/>
        <v/>
      </c>
    </row>
    <row r="479" ht="15.75" customHeight="1">
      <c r="A479" s="15"/>
      <c r="G479" s="7"/>
      <c r="H479" s="7"/>
      <c r="K479" s="7">
        <f t="shared" si="1"/>
        <v>0</v>
      </c>
      <c r="M479" s="7" t="str">
        <f t="shared" si="2"/>
        <v/>
      </c>
    </row>
    <row r="480" ht="15.75" customHeight="1">
      <c r="A480" s="15"/>
      <c r="G480" s="7"/>
      <c r="H480" s="7"/>
      <c r="K480" s="7">
        <f t="shared" si="1"/>
        <v>0</v>
      </c>
      <c r="M480" s="7" t="str">
        <f t="shared" si="2"/>
        <v/>
      </c>
    </row>
    <row r="481" ht="15.75" customHeight="1">
      <c r="A481" s="15"/>
      <c r="G481" s="7"/>
      <c r="H481" s="7"/>
      <c r="K481" s="7">
        <f t="shared" si="1"/>
        <v>0</v>
      </c>
      <c r="M481" s="7" t="str">
        <f t="shared" si="2"/>
        <v/>
      </c>
    </row>
    <row r="482" ht="15.75" customHeight="1">
      <c r="A482" s="15"/>
      <c r="G482" s="7"/>
      <c r="H482" s="7"/>
      <c r="K482" s="7">
        <f t="shared" si="1"/>
        <v>0</v>
      </c>
      <c r="M482" s="7" t="str">
        <f t="shared" si="2"/>
        <v/>
      </c>
    </row>
    <row r="483" ht="15.75" customHeight="1">
      <c r="A483" s="15"/>
      <c r="G483" s="7"/>
      <c r="H483" s="7"/>
      <c r="K483" s="7">
        <f t="shared" si="1"/>
        <v>0</v>
      </c>
      <c r="M483" s="7" t="str">
        <f t="shared" si="2"/>
        <v/>
      </c>
    </row>
    <row r="484" ht="15.75" customHeight="1">
      <c r="A484" s="15"/>
      <c r="G484" s="7"/>
      <c r="H484" s="7"/>
      <c r="K484" s="7">
        <f t="shared" si="1"/>
        <v>0</v>
      </c>
      <c r="M484" s="7" t="str">
        <f t="shared" si="2"/>
        <v/>
      </c>
    </row>
    <row r="485" ht="15.75" customHeight="1">
      <c r="A485" s="15"/>
      <c r="G485" s="7"/>
      <c r="H485" s="7"/>
      <c r="K485" s="7">
        <f t="shared" si="1"/>
        <v>0</v>
      </c>
      <c r="M485" s="7" t="str">
        <f t="shared" si="2"/>
        <v/>
      </c>
    </row>
    <row r="486" ht="15.75" customHeight="1">
      <c r="A486" s="15"/>
      <c r="G486" s="7"/>
      <c r="H486" s="7"/>
      <c r="K486" s="7">
        <f t="shared" si="1"/>
        <v>0</v>
      </c>
      <c r="M486" s="7" t="str">
        <f t="shared" si="2"/>
        <v/>
      </c>
    </row>
    <row r="487" ht="15.75" customHeight="1">
      <c r="A487" s="15"/>
      <c r="G487" s="7"/>
      <c r="H487" s="7"/>
      <c r="K487" s="7">
        <f t="shared" si="1"/>
        <v>0</v>
      </c>
      <c r="M487" s="7" t="str">
        <f t="shared" si="2"/>
        <v/>
      </c>
    </row>
    <row r="488" ht="15.75" customHeight="1">
      <c r="A488" s="15"/>
      <c r="G488" s="7"/>
      <c r="H488" s="7"/>
      <c r="K488" s="7">
        <f t="shared" si="1"/>
        <v>0</v>
      </c>
      <c r="M488" s="7" t="str">
        <f t="shared" si="2"/>
        <v/>
      </c>
    </row>
    <row r="489" ht="15.75" customHeight="1">
      <c r="A489" s="15"/>
      <c r="G489" s="7"/>
      <c r="H489" s="7"/>
      <c r="K489" s="7">
        <f t="shared" si="1"/>
        <v>0</v>
      </c>
      <c r="M489" s="7" t="str">
        <f t="shared" si="2"/>
        <v/>
      </c>
    </row>
    <row r="490" ht="15.75" customHeight="1">
      <c r="A490" s="15"/>
      <c r="G490" s="7"/>
      <c r="H490" s="7"/>
      <c r="K490" s="7">
        <f t="shared" si="1"/>
        <v>0</v>
      </c>
      <c r="M490" s="7" t="str">
        <f t="shared" si="2"/>
        <v/>
      </c>
    </row>
    <row r="491" ht="15.75" customHeight="1">
      <c r="A491" s="15"/>
      <c r="G491" s="7"/>
      <c r="H491" s="7"/>
      <c r="K491" s="7">
        <f t="shared" si="1"/>
        <v>0</v>
      </c>
      <c r="M491" s="7" t="str">
        <f t="shared" si="2"/>
        <v/>
      </c>
    </row>
    <row r="492" ht="15.75" customHeight="1">
      <c r="A492" s="15"/>
      <c r="G492" s="7"/>
      <c r="H492" s="7"/>
      <c r="K492" s="7">
        <f t="shared" si="1"/>
        <v>0</v>
      </c>
      <c r="M492" s="7" t="str">
        <f t="shared" si="2"/>
        <v/>
      </c>
    </row>
    <row r="493" ht="15.75" customHeight="1">
      <c r="A493" s="15"/>
      <c r="G493" s="7"/>
      <c r="H493" s="7"/>
      <c r="K493" s="7">
        <f t="shared" si="1"/>
        <v>0</v>
      </c>
      <c r="M493" s="7" t="str">
        <f t="shared" si="2"/>
        <v/>
      </c>
    </row>
    <row r="494" ht="15.75" customHeight="1">
      <c r="A494" s="15"/>
      <c r="G494" s="7"/>
      <c r="H494" s="7"/>
      <c r="K494" s="7">
        <f t="shared" si="1"/>
        <v>0</v>
      </c>
      <c r="M494" s="7" t="str">
        <f t="shared" si="2"/>
        <v/>
      </c>
    </row>
    <row r="495" ht="15.75" customHeight="1">
      <c r="A495" s="15"/>
      <c r="G495" s="7"/>
      <c r="H495" s="7"/>
      <c r="K495" s="7">
        <f t="shared" si="1"/>
        <v>0</v>
      </c>
      <c r="M495" s="7" t="str">
        <f t="shared" si="2"/>
        <v/>
      </c>
    </row>
    <row r="496" ht="15.75" customHeight="1">
      <c r="A496" s="15"/>
      <c r="G496" s="7"/>
      <c r="H496" s="7"/>
      <c r="K496" s="7">
        <f t="shared" si="1"/>
        <v>0</v>
      </c>
      <c r="M496" s="7" t="str">
        <f t="shared" si="2"/>
        <v/>
      </c>
    </row>
    <row r="497" ht="15.75" customHeight="1">
      <c r="A497" s="15"/>
      <c r="G497" s="7"/>
      <c r="H497" s="7"/>
      <c r="K497" s="7">
        <f t="shared" si="1"/>
        <v>0</v>
      </c>
      <c r="M497" s="7" t="str">
        <f t="shared" si="2"/>
        <v/>
      </c>
    </row>
    <row r="498" ht="15.75" customHeight="1">
      <c r="A498" s="15"/>
      <c r="G498" s="7"/>
      <c r="H498" s="7"/>
      <c r="K498" s="7">
        <f t="shared" si="1"/>
        <v>0</v>
      </c>
      <c r="M498" s="7" t="str">
        <f t="shared" si="2"/>
        <v/>
      </c>
    </row>
    <row r="499" ht="15.75" customHeight="1">
      <c r="A499" s="15"/>
      <c r="G499" s="7"/>
      <c r="H499" s="7"/>
      <c r="K499" s="7">
        <f t="shared" si="1"/>
        <v>0</v>
      </c>
      <c r="M499" s="7" t="str">
        <f t="shared" si="2"/>
        <v/>
      </c>
    </row>
    <row r="500" ht="15.75" customHeight="1">
      <c r="A500" s="15"/>
      <c r="G500" s="7"/>
      <c r="H500" s="7"/>
      <c r="K500" s="7">
        <f t="shared" si="1"/>
        <v>0</v>
      </c>
      <c r="M500" s="7" t="str">
        <f t="shared" si="2"/>
        <v/>
      </c>
    </row>
    <row r="501" ht="15.75" customHeight="1">
      <c r="A501" s="15"/>
      <c r="G501" s="7"/>
      <c r="H501" s="7"/>
      <c r="K501" s="7">
        <f t="shared" si="1"/>
        <v>0</v>
      </c>
      <c r="M501" s="7" t="str">
        <f t="shared" si="2"/>
        <v/>
      </c>
    </row>
    <row r="502" ht="15.75" customHeight="1">
      <c r="A502" s="15"/>
      <c r="G502" s="7"/>
      <c r="H502" s="7"/>
      <c r="K502" s="7">
        <f t="shared" si="1"/>
        <v>0</v>
      </c>
      <c r="M502" s="7" t="str">
        <f t="shared" si="2"/>
        <v/>
      </c>
    </row>
    <row r="503" ht="15.75" customHeight="1">
      <c r="A503" s="15"/>
      <c r="G503" s="7"/>
      <c r="H503" s="7"/>
      <c r="K503" s="7">
        <f t="shared" si="1"/>
        <v>0</v>
      </c>
      <c r="M503" s="7" t="str">
        <f t="shared" si="2"/>
        <v/>
      </c>
    </row>
    <row r="504" ht="15.75" customHeight="1">
      <c r="A504" s="15"/>
      <c r="G504" s="7"/>
      <c r="H504" s="7"/>
      <c r="K504" s="7">
        <f t="shared" si="1"/>
        <v>0</v>
      </c>
      <c r="M504" s="7" t="str">
        <f t="shared" si="2"/>
        <v/>
      </c>
    </row>
    <row r="505" ht="15.75" customHeight="1">
      <c r="A505" s="15"/>
      <c r="G505" s="7"/>
      <c r="H505" s="7"/>
      <c r="K505" s="7">
        <f t="shared" si="1"/>
        <v>0</v>
      </c>
      <c r="M505" s="7" t="str">
        <f t="shared" si="2"/>
        <v/>
      </c>
    </row>
    <row r="506" ht="15.75" customHeight="1">
      <c r="A506" s="15"/>
      <c r="G506" s="7"/>
      <c r="H506" s="7"/>
      <c r="K506" s="7">
        <f t="shared" si="1"/>
        <v>0</v>
      </c>
      <c r="M506" s="7" t="str">
        <f t="shared" si="2"/>
        <v/>
      </c>
    </row>
    <row r="507" ht="15.75" customHeight="1">
      <c r="A507" s="15"/>
      <c r="G507" s="7"/>
      <c r="H507" s="7"/>
      <c r="K507" s="7">
        <f t="shared" si="1"/>
        <v>0</v>
      </c>
      <c r="M507" s="7" t="str">
        <f t="shared" si="2"/>
        <v/>
      </c>
    </row>
    <row r="508" ht="15.75" customHeight="1">
      <c r="A508" s="15"/>
      <c r="G508" s="7"/>
      <c r="H508" s="7"/>
      <c r="K508" s="7">
        <f t="shared" si="1"/>
        <v>0</v>
      </c>
      <c r="M508" s="7" t="str">
        <f t="shared" si="2"/>
        <v/>
      </c>
    </row>
    <row r="509" ht="15.75" customHeight="1">
      <c r="A509" s="15"/>
      <c r="G509" s="7"/>
      <c r="H509" s="7"/>
      <c r="K509" s="7">
        <f t="shared" si="1"/>
        <v>0</v>
      </c>
      <c r="M509" s="7" t="str">
        <f t="shared" si="2"/>
        <v/>
      </c>
    </row>
    <row r="510" ht="15.75" customHeight="1">
      <c r="A510" s="15"/>
      <c r="G510" s="7"/>
      <c r="H510" s="7"/>
      <c r="K510" s="7">
        <f t="shared" si="1"/>
        <v>0</v>
      </c>
      <c r="M510" s="7" t="str">
        <f t="shared" si="2"/>
        <v/>
      </c>
    </row>
    <row r="511" ht="15.75" customHeight="1">
      <c r="A511" s="15"/>
      <c r="G511" s="7"/>
      <c r="H511" s="7"/>
      <c r="K511" s="7">
        <f t="shared" si="1"/>
        <v>0</v>
      </c>
      <c r="M511" s="7" t="str">
        <f t="shared" si="2"/>
        <v/>
      </c>
    </row>
    <row r="512" ht="15.75" customHeight="1">
      <c r="A512" s="15"/>
      <c r="G512" s="7"/>
      <c r="H512" s="7"/>
      <c r="K512" s="7">
        <f t="shared" si="1"/>
        <v>0</v>
      </c>
      <c r="M512" s="7" t="str">
        <f t="shared" si="2"/>
        <v/>
      </c>
    </row>
    <row r="513" ht="15.75" customHeight="1">
      <c r="A513" s="15"/>
      <c r="G513" s="7"/>
      <c r="H513" s="7"/>
      <c r="K513" s="7">
        <f t="shared" si="1"/>
        <v>0</v>
      </c>
      <c r="M513" s="7" t="str">
        <f t="shared" si="2"/>
        <v/>
      </c>
    </row>
    <row r="514" ht="15.75" customHeight="1">
      <c r="A514" s="15"/>
      <c r="G514" s="7"/>
      <c r="H514" s="7"/>
      <c r="K514" s="7">
        <f t="shared" si="1"/>
        <v>0</v>
      </c>
      <c r="M514" s="7" t="str">
        <f t="shared" si="2"/>
        <v/>
      </c>
    </row>
    <row r="515" ht="15.75" customHeight="1">
      <c r="A515" s="15"/>
      <c r="G515" s="7"/>
      <c r="H515" s="7"/>
      <c r="K515" s="7">
        <f t="shared" si="1"/>
        <v>0</v>
      </c>
      <c r="M515" s="7" t="str">
        <f t="shared" si="2"/>
        <v/>
      </c>
    </row>
    <row r="516" ht="15.75" customHeight="1">
      <c r="A516" s="15"/>
      <c r="G516" s="7"/>
      <c r="H516" s="7"/>
      <c r="K516" s="7">
        <f t="shared" si="1"/>
        <v>0</v>
      </c>
      <c r="M516" s="7" t="str">
        <f t="shared" si="2"/>
        <v/>
      </c>
    </row>
    <row r="517" ht="15.75" customHeight="1">
      <c r="A517" s="15"/>
      <c r="G517" s="7"/>
      <c r="H517" s="7"/>
      <c r="K517" s="7">
        <f t="shared" si="1"/>
        <v>0</v>
      </c>
      <c r="M517" s="7" t="str">
        <f t="shared" si="2"/>
        <v/>
      </c>
    </row>
    <row r="518" ht="15.75" customHeight="1">
      <c r="A518" s="15"/>
      <c r="G518" s="7"/>
      <c r="H518" s="7"/>
      <c r="K518" s="7">
        <f t="shared" si="1"/>
        <v>0</v>
      </c>
      <c r="M518" s="7" t="str">
        <f t="shared" si="2"/>
        <v/>
      </c>
    </row>
    <row r="519" ht="15.75" customHeight="1">
      <c r="A519" s="15"/>
      <c r="G519" s="7"/>
      <c r="H519" s="7"/>
      <c r="K519" s="7">
        <f t="shared" si="1"/>
        <v>0</v>
      </c>
      <c r="M519" s="7" t="str">
        <f t="shared" si="2"/>
        <v/>
      </c>
    </row>
    <row r="520" ht="15.75" customHeight="1">
      <c r="A520" s="15"/>
      <c r="G520" s="7"/>
      <c r="H520" s="7"/>
      <c r="K520" s="7">
        <f t="shared" si="1"/>
        <v>0</v>
      </c>
      <c r="M520" s="7" t="str">
        <f t="shared" si="2"/>
        <v/>
      </c>
    </row>
    <row r="521" ht="15.75" customHeight="1">
      <c r="A521" s="15"/>
      <c r="G521" s="7"/>
      <c r="H521" s="7"/>
      <c r="K521" s="7">
        <f t="shared" si="1"/>
        <v>0</v>
      </c>
      <c r="M521" s="7" t="str">
        <f t="shared" si="2"/>
        <v/>
      </c>
    </row>
    <row r="522" ht="15.75" customHeight="1">
      <c r="A522" s="15"/>
      <c r="G522" s="7"/>
      <c r="H522" s="7"/>
      <c r="K522" s="7">
        <f t="shared" si="1"/>
        <v>0</v>
      </c>
      <c r="M522" s="7" t="str">
        <f t="shared" si="2"/>
        <v/>
      </c>
    </row>
    <row r="523" ht="15.75" customHeight="1">
      <c r="A523" s="15"/>
      <c r="G523" s="7"/>
      <c r="H523" s="7"/>
      <c r="K523" s="7">
        <f t="shared" si="1"/>
        <v>0</v>
      </c>
      <c r="M523" s="7" t="str">
        <f t="shared" si="2"/>
        <v/>
      </c>
    </row>
    <row r="524" ht="15.75" customHeight="1">
      <c r="A524" s="15"/>
      <c r="G524" s="7"/>
      <c r="H524" s="7"/>
      <c r="K524" s="7">
        <f t="shared" si="1"/>
        <v>0</v>
      </c>
      <c r="M524" s="7" t="str">
        <f t="shared" si="2"/>
        <v/>
      </c>
    </row>
    <row r="525" ht="15.75" customHeight="1">
      <c r="A525" s="15"/>
      <c r="G525" s="7"/>
      <c r="H525" s="7"/>
      <c r="K525" s="7">
        <f t="shared" si="1"/>
        <v>0</v>
      </c>
      <c r="M525" s="7" t="str">
        <f t="shared" si="2"/>
        <v/>
      </c>
    </row>
    <row r="526" ht="15.75" customHeight="1">
      <c r="A526" s="15"/>
      <c r="G526" s="7"/>
      <c r="H526" s="7"/>
      <c r="K526" s="7">
        <f t="shared" si="1"/>
        <v>0</v>
      </c>
      <c r="M526" s="7" t="str">
        <f t="shared" si="2"/>
        <v/>
      </c>
    </row>
    <row r="527" ht="15.75" customHeight="1">
      <c r="A527" s="15"/>
      <c r="G527" s="7"/>
      <c r="H527" s="7"/>
      <c r="K527" s="7">
        <f t="shared" si="1"/>
        <v>0</v>
      </c>
      <c r="M527" s="7" t="str">
        <f t="shared" si="2"/>
        <v/>
      </c>
    </row>
    <row r="528" ht="15.75" customHeight="1">
      <c r="A528" s="15"/>
      <c r="G528" s="7"/>
      <c r="H528" s="7"/>
      <c r="K528" s="7">
        <f t="shared" si="1"/>
        <v>0</v>
      </c>
      <c r="M528" s="7" t="str">
        <f t="shared" si="2"/>
        <v/>
      </c>
    </row>
    <row r="529" ht="15.75" customHeight="1">
      <c r="A529" s="15"/>
      <c r="G529" s="7"/>
      <c r="H529" s="7"/>
      <c r="K529" s="7">
        <f t="shared" si="1"/>
        <v>0</v>
      </c>
      <c r="M529" s="7" t="str">
        <f t="shared" si="2"/>
        <v/>
      </c>
    </row>
    <row r="530" ht="15.75" customHeight="1">
      <c r="A530" s="15"/>
      <c r="G530" s="7"/>
      <c r="H530" s="7"/>
      <c r="K530" s="7">
        <f t="shared" si="1"/>
        <v>0</v>
      </c>
      <c r="M530" s="7" t="str">
        <f t="shared" si="2"/>
        <v/>
      </c>
    </row>
    <row r="531" ht="15.75" customHeight="1">
      <c r="A531" s="15"/>
      <c r="G531" s="7"/>
      <c r="H531" s="7"/>
      <c r="K531" s="7">
        <f t="shared" si="1"/>
        <v>0</v>
      </c>
      <c r="M531" s="7" t="str">
        <f t="shared" si="2"/>
        <v/>
      </c>
    </row>
    <row r="532" ht="15.75" customHeight="1">
      <c r="A532" s="15"/>
      <c r="G532" s="7"/>
      <c r="H532" s="7"/>
      <c r="K532" s="7">
        <f t="shared" si="1"/>
        <v>0</v>
      </c>
      <c r="M532" s="7" t="str">
        <f t="shared" si="2"/>
        <v/>
      </c>
    </row>
    <row r="533" ht="15.75" customHeight="1">
      <c r="A533" s="15"/>
      <c r="G533" s="7"/>
      <c r="H533" s="7"/>
      <c r="K533" s="7">
        <f t="shared" si="1"/>
        <v>0</v>
      </c>
      <c r="M533" s="7" t="str">
        <f t="shared" si="2"/>
        <v/>
      </c>
    </row>
    <row r="534" ht="15.75" customHeight="1">
      <c r="A534" s="15"/>
      <c r="G534" s="7"/>
      <c r="H534" s="7"/>
      <c r="K534" s="7">
        <f t="shared" si="1"/>
        <v>0</v>
      </c>
      <c r="M534" s="7" t="str">
        <f t="shared" si="2"/>
        <v/>
      </c>
    </row>
    <row r="535" ht="15.75" customHeight="1">
      <c r="A535" s="15"/>
      <c r="G535" s="7"/>
      <c r="H535" s="7"/>
      <c r="K535" s="7">
        <f t="shared" si="1"/>
        <v>0</v>
      </c>
      <c r="M535" s="7" t="str">
        <f t="shared" si="2"/>
        <v/>
      </c>
    </row>
    <row r="536" ht="15.75" customHeight="1">
      <c r="A536" s="15"/>
      <c r="G536" s="7"/>
      <c r="H536" s="7"/>
      <c r="K536" s="7">
        <f t="shared" si="1"/>
        <v>0</v>
      </c>
      <c r="M536" s="7" t="str">
        <f t="shared" si="2"/>
        <v/>
      </c>
    </row>
    <row r="537" ht="15.75" customHeight="1">
      <c r="A537" s="15"/>
      <c r="G537" s="7"/>
      <c r="H537" s="7"/>
      <c r="K537" s="7">
        <f t="shared" si="1"/>
        <v>0</v>
      </c>
      <c r="M537" s="7" t="str">
        <f t="shared" si="2"/>
        <v/>
      </c>
    </row>
    <row r="538" ht="15.75" customHeight="1">
      <c r="A538" s="15"/>
      <c r="G538" s="7"/>
      <c r="H538" s="7"/>
      <c r="K538" s="7">
        <f t="shared" si="1"/>
        <v>0</v>
      </c>
      <c r="M538" s="7" t="str">
        <f t="shared" si="2"/>
        <v/>
      </c>
    </row>
    <row r="539" ht="15.75" customHeight="1">
      <c r="A539" s="15"/>
      <c r="G539" s="7"/>
      <c r="H539" s="7"/>
      <c r="K539" s="7">
        <f t="shared" si="1"/>
        <v>0</v>
      </c>
      <c r="M539" s="7" t="str">
        <f t="shared" si="2"/>
        <v/>
      </c>
    </row>
    <row r="540" ht="15.75" customHeight="1">
      <c r="A540" s="15"/>
      <c r="G540" s="7"/>
      <c r="H540" s="7"/>
      <c r="K540" s="7">
        <f t="shared" si="1"/>
        <v>0</v>
      </c>
      <c r="M540" s="7" t="str">
        <f t="shared" si="2"/>
        <v/>
      </c>
    </row>
    <row r="541" ht="15.75" customHeight="1">
      <c r="A541" s="15"/>
      <c r="G541" s="7"/>
      <c r="H541" s="7"/>
      <c r="K541" s="7">
        <f t="shared" si="1"/>
        <v>0</v>
      </c>
      <c r="M541" s="7" t="str">
        <f t="shared" si="2"/>
        <v/>
      </c>
    </row>
    <row r="542" ht="15.75" customHeight="1">
      <c r="A542" s="15"/>
      <c r="G542" s="7"/>
      <c r="H542" s="7"/>
      <c r="K542" s="7">
        <f t="shared" si="1"/>
        <v>0</v>
      </c>
      <c r="M542" s="7" t="str">
        <f t="shared" si="2"/>
        <v/>
      </c>
    </row>
    <row r="543" ht="15.75" customHeight="1">
      <c r="A543" s="15"/>
      <c r="G543" s="7"/>
      <c r="H543" s="7"/>
      <c r="K543" s="7">
        <f t="shared" si="1"/>
        <v>0</v>
      </c>
      <c r="M543" s="7" t="str">
        <f t="shared" si="2"/>
        <v/>
      </c>
    </row>
    <row r="544" ht="15.75" customHeight="1">
      <c r="A544" s="15"/>
      <c r="G544" s="7"/>
      <c r="H544" s="7"/>
      <c r="K544" s="7">
        <f t="shared" si="1"/>
        <v>0</v>
      </c>
      <c r="M544" s="7" t="str">
        <f t="shared" si="2"/>
        <v/>
      </c>
    </row>
    <row r="545" ht="15.75" customHeight="1">
      <c r="A545" s="15"/>
      <c r="G545" s="7"/>
      <c r="H545" s="7"/>
      <c r="K545" s="7">
        <f t="shared" si="1"/>
        <v>0</v>
      </c>
      <c r="M545" s="7" t="str">
        <f t="shared" si="2"/>
        <v/>
      </c>
    </row>
    <row r="546" ht="15.75" customHeight="1">
      <c r="A546" s="15"/>
      <c r="G546" s="7"/>
      <c r="H546" s="7"/>
      <c r="K546" s="7">
        <f t="shared" si="1"/>
        <v>0</v>
      </c>
      <c r="M546" s="7" t="str">
        <f t="shared" si="2"/>
        <v/>
      </c>
    </row>
    <row r="547" ht="15.75" customHeight="1">
      <c r="A547" s="15"/>
      <c r="G547" s="7"/>
      <c r="H547" s="7"/>
      <c r="K547" s="7">
        <f t="shared" si="1"/>
        <v>0</v>
      </c>
      <c r="M547" s="7" t="str">
        <f t="shared" si="2"/>
        <v/>
      </c>
    </row>
    <row r="548" ht="15.75" customHeight="1">
      <c r="A548" s="15"/>
      <c r="G548" s="7"/>
      <c r="H548" s="7"/>
      <c r="K548" s="7">
        <f t="shared" si="1"/>
        <v>0</v>
      </c>
      <c r="M548" s="7" t="str">
        <f t="shared" si="2"/>
        <v/>
      </c>
    </row>
    <row r="549" ht="15.75" customHeight="1">
      <c r="A549" s="15"/>
      <c r="G549" s="7"/>
      <c r="H549" s="7"/>
      <c r="K549" s="7">
        <f t="shared" si="1"/>
        <v>0</v>
      </c>
      <c r="M549" s="7" t="str">
        <f t="shared" si="2"/>
        <v/>
      </c>
    </row>
    <row r="550" ht="15.75" customHeight="1">
      <c r="A550" s="15"/>
      <c r="G550" s="7"/>
      <c r="H550" s="7"/>
      <c r="K550" s="7">
        <f t="shared" si="1"/>
        <v>0</v>
      </c>
      <c r="M550" s="7" t="str">
        <f t="shared" si="2"/>
        <v/>
      </c>
    </row>
    <row r="551" ht="15.75" customHeight="1">
      <c r="A551" s="15"/>
      <c r="G551" s="7"/>
      <c r="H551" s="7"/>
      <c r="K551" s="7">
        <f t="shared" si="1"/>
        <v>0</v>
      </c>
      <c r="M551" s="7" t="str">
        <f t="shared" si="2"/>
        <v/>
      </c>
    </row>
    <row r="552" ht="15.75" customHeight="1">
      <c r="A552" s="15"/>
      <c r="G552" s="7"/>
      <c r="H552" s="7"/>
      <c r="K552" s="7">
        <f t="shared" si="1"/>
        <v>0</v>
      </c>
      <c r="M552" s="7" t="str">
        <f t="shared" si="2"/>
        <v/>
      </c>
    </row>
    <row r="553" ht="15.75" customHeight="1">
      <c r="A553" s="15"/>
      <c r="G553" s="7"/>
      <c r="H553" s="7"/>
      <c r="K553" s="7">
        <f t="shared" si="1"/>
        <v>0</v>
      </c>
      <c r="M553" s="7" t="str">
        <f t="shared" si="2"/>
        <v/>
      </c>
    </row>
    <row r="554" ht="15.75" customHeight="1">
      <c r="A554" s="15"/>
      <c r="G554" s="7"/>
      <c r="H554" s="7"/>
      <c r="K554" s="7">
        <f t="shared" si="1"/>
        <v>0</v>
      </c>
      <c r="M554" s="7" t="str">
        <f t="shared" si="2"/>
        <v/>
      </c>
    </row>
    <row r="555" ht="15.75" customHeight="1">
      <c r="A555" s="15"/>
      <c r="G555" s="7"/>
      <c r="H555" s="7"/>
      <c r="K555" s="7">
        <f t="shared" si="1"/>
        <v>0</v>
      </c>
      <c r="M555" s="7" t="str">
        <f t="shared" si="2"/>
        <v/>
      </c>
    </row>
    <row r="556" ht="15.75" customHeight="1">
      <c r="A556" s="15"/>
      <c r="G556" s="7"/>
      <c r="H556" s="7"/>
      <c r="K556" s="7">
        <f t="shared" si="1"/>
        <v>0</v>
      </c>
      <c r="M556" s="7" t="str">
        <f t="shared" si="2"/>
        <v/>
      </c>
    </row>
    <row r="557" ht="15.75" customHeight="1">
      <c r="A557" s="15"/>
      <c r="G557" s="7"/>
      <c r="H557" s="7"/>
      <c r="K557" s="7">
        <f t="shared" si="1"/>
        <v>0</v>
      </c>
      <c r="M557" s="7" t="str">
        <f t="shared" si="2"/>
        <v/>
      </c>
    </row>
    <row r="558" ht="15.75" customHeight="1">
      <c r="A558" s="15"/>
      <c r="G558" s="7"/>
      <c r="H558" s="7"/>
      <c r="K558" s="7">
        <f t="shared" si="1"/>
        <v>0</v>
      </c>
      <c r="M558" s="7" t="str">
        <f t="shared" si="2"/>
        <v/>
      </c>
    </row>
    <row r="559" ht="15.75" customHeight="1">
      <c r="A559" s="15"/>
      <c r="G559" s="7"/>
      <c r="H559" s="7"/>
      <c r="K559" s="7">
        <f t="shared" si="1"/>
        <v>0</v>
      </c>
      <c r="M559" s="7" t="str">
        <f t="shared" si="2"/>
        <v/>
      </c>
    </row>
    <row r="560" ht="15.75" customHeight="1">
      <c r="A560" s="15"/>
      <c r="G560" s="7"/>
      <c r="H560" s="7"/>
      <c r="K560" s="7">
        <f t="shared" si="1"/>
        <v>0</v>
      </c>
      <c r="M560" s="7" t="str">
        <f t="shared" si="2"/>
        <v/>
      </c>
    </row>
    <row r="561" ht="15.75" customHeight="1">
      <c r="A561" s="15"/>
      <c r="G561" s="7"/>
      <c r="H561" s="7"/>
      <c r="K561" s="7">
        <f t="shared" si="1"/>
        <v>0</v>
      </c>
      <c r="M561" s="7" t="str">
        <f t="shared" si="2"/>
        <v/>
      </c>
    </row>
    <row r="562" ht="15.75" customHeight="1">
      <c r="A562" s="15"/>
      <c r="G562" s="7"/>
      <c r="H562" s="7"/>
      <c r="K562" s="7">
        <f t="shared" si="1"/>
        <v>0</v>
      </c>
      <c r="M562" s="7" t="str">
        <f t="shared" si="2"/>
        <v/>
      </c>
    </row>
    <row r="563" ht="15.75" customHeight="1">
      <c r="A563" s="15"/>
      <c r="G563" s="7"/>
      <c r="H563" s="7"/>
      <c r="K563" s="7">
        <f t="shared" si="1"/>
        <v>0</v>
      </c>
      <c r="M563" s="7" t="str">
        <f t="shared" si="2"/>
        <v/>
      </c>
    </row>
    <row r="564" ht="15.75" customHeight="1">
      <c r="A564" s="15"/>
      <c r="G564" s="7"/>
      <c r="H564" s="7"/>
      <c r="K564" s="7">
        <f t="shared" si="1"/>
        <v>0</v>
      </c>
      <c r="M564" s="7" t="str">
        <f t="shared" si="2"/>
        <v/>
      </c>
    </row>
    <row r="565" ht="15.75" customHeight="1">
      <c r="A565" s="15"/>
      <c r="G565" s="7"/>
      <c r="H565" s="7"/>
      <c r="K565" s="7">
        <f t="shared" si="1"/>
        <v>0</v>
      </c>
      <c r="M565" s="7" t="str">
        <f t="shared" si="2"/>
        <v/>
      </c>
    </row>
    <row r="566" ht="15.75" customHeight="1">
      <c r="A566" s="15"/>
      <c r="G566" s="7"/>
      <c r="H566" s="7"/>
      <c r="K566" s="7">
        <f t="shared" si="1"/>
        <v>0</v>
      </c>
      <c r="M566" s="7" t="str">
        <f t="shared" si="2"/>
        <v/>
      </c>
    </row>
    <row r="567" ht="15.75" customHeight="1">
      <c r="A567" s="15"/>
      <c r="G567" s="7"/>
      <c r="H567" s="7"/>
      <c r="K567" s="7">
        <f t="shared" si="1"/>
        <v>0</v>
      </c>
      <c r="M567" s="7" t="str">
        <f t="shared" si="2"/>
        <v/>
      </c>
    </row>
    <row r="568" ht="15.75" customHeight="1">
      <c r="A568" s="15"/>
      <c r="G568" s="7"/>
      <c r="H568" s="7"/>
      <c r="K568" s="7">
        <f t="shared" si="1"/>
        <v>0</v>
      </c>
      <c r="M568" s="7" t="str">
        <f t="shared" si="2"/>
        <v/>
      </c>
    </row>
    <row r="569" ht="15.75" customHeight="1">
      <c r="A569" s="15"/>
      <c r="G569" s="7"/>
      <c r="H569" s="7"/>
      <c r="K569" s="7">
        <f t="shared" si="1"/>
        <v>0</v>
      </c>
      <c r="M569" s="7" t="str">
        <f t="shared" si="2"/>
        <v/>
      </c>
    </row>
    <row r="570" ht="15.75" customHeight="1">
      <c r="A570" s="15"/>
      <c r="G570" s="7"/>
      <c r="H570" s="7"/>
      <c r="K570" s="7">
        <f t="shared" si="1"/>
        <v>0</v>
      </c>
      <c r="M570" s="7" t="str">
        <f t="shared" si="2"/>
        <v/>
      </c>
    </row>
    <row r="571" ht="15.75" customHeight="1">
      <c r="A571" s="15"/>
      <c r="G571" s="7"/>
      <c r="H571" s="7"/>
      <c r="K571" s="7">
        <f t="shared" si="1"/>
        <v>0</v>
      </c>
      <c r="M571" s="7" t="str">
        <f t="shared" si="2"/>
        <v/>
      </c>
    </row>
    <row r="572" ht="15.75" customHeight="1">
      <c r="A572" s="15"/>
      <c r="G572" s="7"/>
      <c r="H572" s="7"/>
      <c r="K572" s="7">
        <f t="shared" si="1"/>
        <v>0</v>
      </c>
      <c r="M572" s="7" t="str">
        <f t="shared" si="2"/>
        <v/>
      </c>
    </row>
    <row r="573" ht="15.75" customHeight="1">
      <c r="A573" s="15"/>
      <c r="G573" s="7"/>
      <c r="H573" s="7"/>
      <c r="K573" s="7">
        <f t="shared" si="1"/>
        <v>0</v>
      </c>
      <c r="M573" s="7" t="str">
        <f t="shared" si="2"/>
        <v/>
      </c>
    </row>
    <row r="574" ht="15.75" customHeight="1">
      <c r="A574" s="15"/>
      <c r="G574" s="7"/>
      <c r="H574" s="7"/>
      <c r="K574" s="7">
        <f t="shared" si="1"/>
        <v>0</v>
      </c>
      <c r="M574" s="7" t="str">
        <f t="shared" si="2"/>
        <v/>
      </c>
    </row>
    <row r="575" ht="15.75" customHeight="1">
      <c r="A575" s="15"/>
      <c r="G575" s="7"/>
      <c r="H575" s="7"/>
      <c r="K575" s="7">
        <f t="shared" si="1"/>
        <v>0</v>
      </c>
      <c r="M575" s="7" t="str">
        <f t="shared" si="2"/>
        <v/>
      </c>
    </row>
    <row r="576" ht="15.75" customHeight="1">
      <c r="A576" s="15"/>
      <c r="G576" s="7"/>
      <c r="H576" s="7"/>
      <c r="K576" s="7">
        <f t="shared" si="1"/>
        <v>0</v>
      </c>
      <c r="M576" s="7" t="str">
        <f t="shared" si="2"/>
        <v/>
      </c>
    </row>
    <row r="577" ht="15.75" customHeight="1">
      <c r="A577" s="15"/>
      <c r="G577" s="7"/>
      <c r="H577" s="7"/>
      <c r="K577" s="7">
        <f t="shared" si="1"/>
        <v>0</v>
      </c>
      <c r="M577" s="7" t="str">
        <f t="shared" si="2"/>
        <v/>
      </c>
    </row>
    <row r="578" ht="15.75" customHeight="1">
      <c r="A578" s="15"/>
      <c r="G578" s="7"/>
      <c r="H578" s="7"/>
      <c r="K578" s="7">
        <f t="shared" si="1"/>
        <v>0</v>
      </c>
      <c r="M578" s="7" t="str">
        <f t="shared" si="2"/>
        <v/>
      </c>
    </row>
    <row r="579" ht="15.75" customHeight="1">
      <c r="A579" s="15"/>
      <c r="G579" s="7"/>
      <c r="H579" s="7"/>
      <c r="K579" s="7">
        <f t="shared" si="1"/>
        <v>0</v>
      </c>
      <c r="M579" s="7" t="str">
        <f t="shared" si="2"/>
        <v/>
      </c>
    </row>
    <row r="580" ht="15.75" customHeight="1">
      <c r="A580" s="15"/>
      <c r="G580" s="7"/>
      <c r="H580" s="7"/>
      <c r="K580" s="7">
        <f t="shared" si="1"/>
        <v>0</v>
      </c>
      <c r="M580" s="7" t="str">
        <f t="shared" si="2"/>
        <v/>
      </c>
    </row>
    <row r="581" ht="15.75" customHeight="1">
      <c r="A581" s="15"/>
      <c r="G581" s="7"/>
      <c r="H581" s="7"/>
      <c r="K581" s="7">
        <f t="shared" si="1"/>
        <v>0</v>
      </c>
      <c r="M581" s="7" t="str">
        <f t="shared" si="2"/>
        <v/>
      </c>
    </row>
    <row r="582" ht="15.75" customHeight="1">
      <c r="A582" s="15"/>
      <c r="G582" s="7"/>
      <c r="H582" s="7"/>
      <c r="K582" s="7">
        <f t="shared" si="1"/>
        <v>0</v>
      </c>
      <c r="M582" s="7" t="str">
        <f t="shared" si="2"/>
        <v/>
      </c>
    </row>
    <row r="583" ht="15.75" customHeight="1">
      <c r="A583" s="15"/>
      <c r="G583" s="7"/>
      <c r="H583" s="7"/>
      <c r="K583" s="7">
        <f t="shared" si="1"/>
        <v>0</v>
      </c>
      <c r="M583" s="7" t="str">
        <f t="shared" si="2"/>
        <v/>
      </c>
    </row>
    <row r="584" ht="15.75" customHeight="1">
      <c r="A584" s="15"/>
      <c r="G584" s="7"/>
      <c r="H584" s="7"/>
      <c r="K584" s="7">
        <f t="shared" si="1"/>
        <v>0</v>
      </c>
      <c r="M584" s="7" t="str">
        <f t="shared" si="2"/>
        <v/>
      </c>
    </row>
    <row r="585" ht="15.75" customHeight="1">
      <c r="A585" s="15"/>
      <c r="G585" s="7"/>
      <c r="H585" s="7"/>
      <c r="K585" s="7">
        <f t="shared" si="1"/>
        <v>0</v>
      </c>
      <c r="M585" s="7" t="str">
        <f t="shared" si="2"/>
        <v/>
      </c>
    </row>
    <row r="586" ht="15.75" customHeight="1">
      <c r="A586" s="15"/>
      <c r="G586" s="7"/>
      <c r="H586" s="7"/>
      <c r="K586" s="7">
        <f t="shared" si="1"/>
        <v>0</v>
      </c>
      <c r="M586" s="7" t="str">
        <f t="shared" si="2"/>
        <v/>
      </c>
    </row>
    <row r="587" ht="15.75" customHeight="1">
      <c r="A587" s="15"/>
      <c r="G587" s="7"/>
      <c r="H587" s="7"/>
      <c r="K587" s="7">
        <f t="shared" si="1"/>
        <v>0</v>
      </c>
      <c r="M587" s="7" t="str">
        <f t="shared" si="2"/>
        <v/>
      </c>
    </row>
    <row r="588" ht="15.75" customHeight="1">
      <c r="A588" s="15"/>
      <c r="G588" s="7"/>
      <c r="H588" s="7"/>
      <c r="K588" s="7">
        <f t="shared" si="1"/>
        <v>0</v>
      </c>
      <c r="M588" s="7" t="str">
        <f t="shared" si="2"/>
        <v/>
      </c>
    </row>
    <row r="589" ht="15.75" customHeight="1">
      <c r="A589" s="15"/>
      <c r="G589" s="7"/>
      <c r="H589" s="7"/>
      <c r="K589" s="7">
        <f t="shared" si="1"/>
        <v>0</v>
      </c>
      <c r="M589" s="7" t="str">
        <f t="shared" si="2"/>
        <v/>
      </c>
    </row>
    <row r="590" ht="15.75" customHeight="1">
      <c r="A590" s="15"/>
      <c r="G590" s="7"/>
      <c r="H590" s="7"/>
      <c r="K590" s="7">
        <f t="shared" si="1"/>
        <v>0</v>
      </c>
      <c r="M590" s="7" t="str">
        <f t="shared" si="2"/>
        <v/>
      </c>
    </row>
    <row r="591" ht="15.75" customHeight="1">
      <c r="A591" s="15"/>
      <c r="G591" s="7"/>
      <c r="H591" s="7"/>
      <c r="K591" s="7">
        <f t="shared" si="1"/>
        <v>0</v>
      </c>
      <c r="M591" s="7" t="str">
        <f t="shared" si="2"/>
        <v/>
      </c>
    </row>
    <row r="592" ht="15.75" customHeight="1">
      <c r="A592" s="15"/>
      <c r="G592" s="7"/>
      <c r="H592" s="7"/>
      <c r="K592" s="7">
        <f t="shared" si="1"/>
        <v>0</v>
      </c>
      <c r="M592" s="7" t="str">
        <f t="shared" si="2"/>
        <v/>
      </c>
    </row>
    <row r="593" ht="15.75" customHeight="1">
      <c r="A593" s="15"/>
      <c r="G593" s="7"/>
      <c r="H593" s="7"/>
      <c r="K593" s="7">
        <f t="shared" si="1"/>
        <v>0</v>
      </c>
      <c r="M593" s="7" t="str">
        <f t="shared" si="2"/>
        <v/>
      </c>
    </row>
    <row r="594" ht="15.75" customHeight="1">
      <c r="A594" s="15"/>
      <c r="G594" s="7"/>
      <c r="H594" s="7"/>
      <c r="K594" s="7">
        <f t="shared" si="1"/>
        <v>0</v>
      </c>
      <c r="M594" s="7" t="str">
        <f t="shared" si="2"/>
        <v/>
      </c>
    </row>
    <row r="595" ht="15.75" customHeight="1">
      <c r="A595" s="15"/>
      <c r="G595" s="7"/>
      <c r="H595" s="7"/>
      <c r="K595" s="7">
        <f t="shared" si="1"/>
        <v>0</v>
      </c>
      <c r="M595" s="7" t="str">
        <f t="shared" si="2"/>
        <v/>
      </c>
    </row>
    <row r="596" ht="15.75" customHeight="1">
      <c r="A596" s="15"/>
      <c r="G596" s="7"/>
      <c r="H596" s="7"/>
      <c r="K596" s="7">
        <f t="shared" si="1"/>
        <v>0</v>
      </c>
      <c r="M596" s="7" t="str">
        <f t="shared" si="2"/>
        <v/>
      </c>
    </row>
    <row r="597" ht="15.75" customHeight="1">
      <c r="A597" s="15"/>
      <c r="G597" s="7"/>
      <c r="H597" s="7"/>
      <c r="K597" s="7">
        <f t="shared" si="1"/>
        <v>0</v>
      </c>
      <c r="M597" s="7" t="str">
        <f t="shared" si="2"/>
        <v/>
      </c>
    </row>
    <row r="598" ht="15.75" customHeight="1">
      <c r="A598" s="15"/>
      <c r="G598" s="7"/>
      <c r="H598" s="7"/>
      <c r="K598" s="7">
        <f t="shared" si="1"/>
        <v>0</v>
      </c>
      <c r="M598" s="7" t="str">
        <f t="shared" si="2"/>
        <v/>
      </c>
    </row>
    <row r="599" ht="15.75" customHeight="1">
      <c r="A599" s="15"/>
      <c r="G599" s="7"/>
      <c r="H599" s="7"/>
      <c r="K599" s="7">
        <f t="shared" si="1"/>
        <v>0</v>
      </c>
      <c r="M599" s="7" t="str">
        <f t="shared" si="2"/>
        <v/>
      </c>
    </row>
    <row r="600" ht="15.75" customHeight="1">
      <c r="A600" s="15"/>
      <c r="G600" s="7"/>
      <c r="H600" s="7"/>
      <c r="K600" s="7">
        <f t="shared" si="1"/>
        <v>0</v>
      </c>
      <c r="M600" s="7" t="str">
        <f t="shared" si="2"/>
        <v/>
      </c>
    </row>
    <row r="601" ht="15.75" customHeight="1">
      <c r="A601" s="15"/>
      <c r="G601" s="7"/>
      <c r="H601" s="7"/>
      <c r="K601" s="7">
        <f t="shared" si="1"/>
        <v>0</v>
      </c>
      <c r="M601" s="7" t="str">
        <f t="shared" si="2"/>
        <v/>
      </c>
    </row>
    <row r="602" ht="15.75" customHeight="1">
      <c r="A602" s="15"/>
      <c r="G602" s="7"/>
      <c r="H602" s="7"/>
      <c r="K602" s="7">
        <f t="shared" si="1"/>
        <v>0</v>
      </c>
      <c r="M602" s="7" t="str">
        <f t="shared" si="2"/>
        <v/>
      </c>
    </row>
    <row r="603" ht="15.75" customHeight="1">
      <c r="A603" s="15"/>
      <c r="G603" s="7"/>
      <c r="H603" s="7"/>
      <c r="K603" s="7">
        <f t="shared" si="1"/>
        <v>0</v>
      </c>
      <c r="M603" s="7" t="str">
        <f t="shared" si="2"/>
        <v/>
      </c>
    </row>
    <row r="604" ht="15.75" customHeight="1">
      <c r="A604" s="15"/>
      <c r="G604" s="7"/>
      <c r="H604" s="7"/>
      <c r="K604" s="7">
        <f t="shared" si="1"/>
        <v>0</v>
      </c>
      <c r="M604" s="7" t="str">
        <f t="shared" si="2"/>
        <v/>
      </c>
    </row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dataValidations>
    <dataValidation type="list" allowBlank="1" sqref="G5:G604">
      <formula1>'Master Data'!$O$5:$O$10</formula1>
    </dataValidation>
    <dataValidation type="list" allowBlank="1" sqref="H5:H604">
      <formula1>'Order Planning'!$A$5:$A$204</formula1>
    </dataValidation>
  </dataValidations>
  <printOptions/>
  <pageMargins bottom="0.75" footer="0.0" header="0.0" left="0.7" right="0.7" top="0.75"/>
  <pageSetup orientation="landscape"/>
  <drawing r:id="rId1"/>
</worksheet>
</file>