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Tracking" sheetId="1" r:id="rId5"/>
    <sheet state="visible" name="Monthly Summary" sheetId="2" r:id="rId6"/>
    <sheet state="visible" name="Control print count" sheetId="3" r:id="rId7"/>
  </sheets>
  <definedNames/>
  <calcPr/>
</workbook>
</file>

<file path=xl/sharedStrings.xml><?xml version="1.0" encoding="utf-8"?>
<sst xmlns="http://schemas.openxmlformats.org/spreadsheetml/2006/main" count="106" uniqueCount="52">
  <si>
    <t>Date</t>
  </si>
  <si>
    <t>Month</t>
  </si>
  <si>
    <t>Tubing pipe
inch/mtr</t>
  </si>
  <si>
    <t>Product Type</t>
  </si>
  <si>
    <t>Pcs / Min</t>
  </si>
  <si>
    <t>Pcs / hr</t>
  </si>
  <si>
    <t>Pcs / 11 hr</t>
  </si>
  <si>
    <t>Rolls/Min</t>
  </si>
  <si>
    <t>Total Production (kg)</t>
  </si>
  <si>
    <t>Total Solvent Used (g)</t>
  </si>
  <si>
    <t>Average Solvent / kg</t>
  </si>
  <si>
    <t>Total Ink Used (g)</t>
  </si>
  <si>
    <t>Average Ink / kg</t>
  </si>
  <si>
    <t>August</t>
  </si>
  <si>
    <t>Solvent Before (g)</t>
  </si>
  <si>
    <t>Solvent After (g)</t>
  </si>
  <si>
    <t>Solvent Used (g)</t>
  </si>
  <si>
    <t>Solvent / kg (MG)</t>
  </si>
  <si>
    <t>18 Inch</t>
  </si>
  <si>
    <t>Ink Before (g)</t>
  </si>
  <si>
    <t>Ink After (g)</t>
  </si>
  <si>
    <t>Ink Used (g)</t>
  </si>
  <si>
    <t>Ink / kg (MG)</t>
  </si>
  <si>
    <t>Remarks</t>
  </si>
  <si>
    <t>06-Aug-2026</t>
  </si>
  <si>
    <t>Braider</t>
  </si>
  <si>
    <t>23 Inch</t>
  </si>
  <si>
    <t xml:space="preserve"> </t>
  </si>
  <si>
    <t>36 Inch</t>
  </si>
  <si>
    <t>1 mtr</t>
  </si>
  <si>
    <t>1.5 mtr</t>
  </si>
  <si>
    <t xml:space="preserve">2 mtr </t>
  </si>
  <si>
    <t>Braider 
inch/mtr</t>
  </si>
  <si>
    <t>September</t>
  </si>
  <si>
    <t>Pcs / 11hr</t>
  </si>
  <si>
    <t>17 Inch</t>
  </si>
  <si>
    <t>07-Aug-2026</t>
  </si>
  <si>
    <t>2 mtr</t>
  </si>
  <si>
    <t>Tubing</t>
  </si>
  <si>
    <t>October</t>
  </si>
  <si>
    <t xml:space="preserve">   </t>
  </si>
  <si>
    <t>New bottel solvent</t>
  </si>
  <si>
    <t xml:space="preserve">New solvent bottel </t>
  </si>
  <si>
    <t>New solvent bottel</t>
  </si>
  <si>
    <t>Braided</t>
  </si>
  <si>
    <t>New solvent bottel (12)</t>
  </si>
  <si>
    <t>New solvent bottel (11)</t>
  </si>
  <si>
    <t>New solvent bottel (10)</t>
  </si>
  <si>
    <t>Braided &amp; Tubing</t>
  </si>
  <si>
    <t>1-hour delay for emergency change
 from braided to tubing</t>
  </si>
  <si>
    <t>Due to Raw Material issue shift end at 5:50</t>
  </si>
  <si>
    <t>The machine started at 3:00 PM  due to the 
late arrival of resin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</si>
</sst>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yy"/>
    <numFmt numFmtId="165" formatCode="0.0"/>
    <numFmt numFmtId="166" formatCode="0.000"/>
    <numFmt numFmtId="167" formatCode="mmmm d"/>
  </numFmts>
  <fonts count="10">
    <font>
      <sz val="10.0"/>
      <color rgb="FF000000"/>
      <name val="Calibri"/>
      <scheme val="minor"/>
    </font>
    <font>
      <b/>
      <color theme="1"/>
      <name val="Calibri"/>
      <scheme val="minor"/>
    </font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color rgb="FF434343"/>
      <name val="Arial"/>
    </font>
    <font>
      <b/>
      <sz val="9.0"/>
      <color theme="1"/>
      <name val="Calibri"/>
      <scheme val="minor"/>
    </font>
    <font>
      <b/>
      <sz val="9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Font="1"/>
    <xf borderId="0" fillId="0" fontId="3" numFmtId="0" xfId="0" applyAlignment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vertical="center"/>
    </xf>
    <xf borderId="1" fillId="2" fontId="1" numFmtId="1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1" fillId="2" fontId="1" numFmtId="2" xfId="0" applyAlignment="1" applyBorder="1" applyFill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center"/>
    </xf>
    <xf borderId="1" fillId="0" fontId="4" numFmtId="2" xfId="0" applyAlignment="1" applyBorder="1" applyFont="1" applyNumberFormat="1">
      <alignment horizontal="center" readingOrder="0" vertical="center"/>
    </xf>
    <xf borderId="1" fillId="0" fontId="4" numFmtId="2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4" numFmtId="165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readingOrder="0"/>
    </xf>
    <xf borderId="1" fillId="0" fontId="4" numFmtId="1" xfId="0" applyAlignment="1" applyBorder="1" applyFont="1" applyNumberFormat="1">
      <alignment horizontal="center" vertical="center"/>
    </xf>
    <xf borderId="1" fillId="0" fontId="4" numFmtId="165" xfId="0" applyAlignment="1" applyBorder="1" applyFont="1" applyNumberFormat="1">
      <alignment horizontal="center"/>
    </xf>
    <xf borderId="1" fillId="0" fontId="4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1" fillId="0" fontId="4" numFmtId="2" xfId="0" applyAlignment="1" applyBorder="1" applyFont="1" applyNumberFormat="1">
      <alignment horizontal="center"/>
    </xf>
    <xf borderId="1" fillId="0" fontId="4" numFmtId="166" xfId="0" applyAlignment="1" applyBorder="1" applyFont="1" applyNumberFormat="1">
      <alignment horizontal="center"/>
    </xf>
    <xf borderId="1" fillId="0" fontId="4" numFmtId="166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readingOrder="0" vertical="bottom"/>
    </xf>
    <xf borderId="0" fillId="4" fontId="2" numFmtId="0" xfId="0" applyAlignment="1" applyFill="1" applyFont="1">
      <alignment horizontal="center" readingOrder="0" vertical="center"/>
    </xf>
    <xf borderId="1" fillId="0" fontId="2" numFmtId="165" xfId="0" applyAlignment="1" applyBorder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1" fillId="0" fontId="2" numFmtId="2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vertical="center"/>
    </xf>
    <xf borderId="0" fillId="0" fontId="2" numFmtId="2" xfId="0" applyAlignment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readingOrder="0"/>
    </xf>
    <xf borderId="1" fillId="0" fontId="4" numFmtId="1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0" fillId="0" fontId="5" numFmtId="167" xfId="0" applyAlignment="1" applyFont="1" applyNumberFormat="1">
      <alignment readingOrder="0"/>
    </xf>
    <xf borderId="1" fillId="0" fontId="5" numFmtId="0" xfId="0" applyBorder="1" applyFont="1"/>
    <xf borderId="0" fillId="0" fontId="2" numFmtId="2" xfId="0" applyAlignment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2" numFmtId="2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1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4" fontId="7" numFmtId="4" xfId="0" applyAlignment="1" applyBorder="1" applyFill="1" applyFont="1" applyNumberFormat="1">
      <alignment horizontal="center" readingOrder="0" shrinkToFit="0" vertical="bottom" wrapText="0"/>
    </xf>
    <xf borderId="1" fillId="4" fontId="7" numFmtId="4" xfId="0" applyAlignment="1" applyBorder="1" applyFill="1" applyFont="1" applyNumberFormat="1">
      <alignment horizontal="center" readingOrder="0" shrinkToFit="0" vertical="center" wrapText="0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 vertical="center"/>
    </xf>
    <xf borderId="0" fillId="0" fontId="5" numFmtId="1" xfId="0" applyFont="1" applyNumberFormat="1"/>
    <xf borderId="0" fillId="0" fontId="5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5.0"/>
    <col customWidth="1" min="2" max="5" width="20.0"/>
    <col customWidth="1" min="6" max="6" width="18.0"/>
    <col customWidth="1" min="7" max="7" width="15.0"/>
    <col customWidth="1" min="8" max="9" width="18.0"/>
    <col customWidth="1" min="10" max="10" width="15.0"/>
    <col customWidth="1" min="11" max="11" width="12.0"/>
    <col customWidth="1" min="12" max="12" width="32.29"/>
    <col customWidth="1" min="13" max="27" width="8.71"/>
  </cols>
  <sheetData>
    <row r="1">
      <c r="A1" s="1" t="s">
        <v>0</v>
      </c>
      <c r="B1" s="6" t="s">
        <v>3</v>
      </c>
      <c r="C1" s="1" t="s">
        <v>8</v>
      </c>
      <c r="D1" s="1" t="s">
        <v>14</v>
      </c>
      <c r="E1" s="8" t="s">
        <v>15</v>
      </c>
      <c r="F1" s="1" t="s">
        <v>16</v>
      </c>
      <c r="G1" s="10" t="s">
        <v>17</v>
      </c>
      <c r="H1" s="1" t="s">
        <v>19</v>
      </c>
      <c r="I1" s="1" t="s">
        <v>20</v>
      </c>
      <c r="J1" s="1" t="s">
        <v>21</v>
      </c>
      <c r="K1" s="6" t="s">
        <v>22</v>
      </c>
      <c r="L1" s="1" t="s">
        <v>23</v>
      </c>
    </row>
    <row r="2">
      <c r="A2" s="12" t="s">
        <v>24</v>
      </c>
      <c r="B2" s="13" t="s">
        <v>25</v>
      </c>
      <c r="C2" s="14">
        <v>418.4</v>
      </c>
      <c r="D2" s="16">
        <v>217.2</v>
      </c>
      <c r="E2" s="18">
        <v>161.9</v>
      </c>
      <c r="F2" s="16">
        <f t="shared" ref="F2:F101" si="1">IF(OR(D2="",E2=""),"",D2-E2)</f>
        <v>55.3</v>
      </c>
      <c r="G2" s="14">
        <f t="shared" ref="G2:G43" si="2">IF(OR(C2="",F2=""),"",F2/C2)</f>
        <v>0.1321701721</v>
      </c>
      <c r="H2" s="16">
        <v>689.0</v>
      </c>
      <c r="I2" s="16">
        <v>689.0</v>
      </c>
      <c r="J2" s="16">
        <f t="shared" ref="J2:J101" si="3">IF(OR(H2="",I2=""),"",H2-I2)</f>
        <v>0</v>
      </c>
      <c r="K2" s="24">
        <f t="shared" ref="K2:K101" si="4">IF(OR(C2="",J2=""),"",J2/C2)</f>
        <v>0</v>
      </c>
      <c r="L2" s="12"/>
    </row>
    <row r="3">
      <c r="A3" s="12" t="s">
        <v>36</v>
      </c>
      <c r="B3" s="13" t="s">
        <v>25</v>
      </c>
      <c r="C3" s="14">
        <v>420.0</v>
      </c>
      <c r="D3" s="16">
        <v>161.9</v>
      </c>
      <c r="E3" s="18">
        <v>120.0</v>
      </c>
      <c r="F3" s="16">
        <f t="shared" si="1"/>
        <v>41.9</v>
      </c>
      <c r="G3" s="14">
        <f t="shared" si="2"/>
        <v>0.09976190476</v>
      </c>
      <c r="H3" s="16">
        <v>689.0</v>
      </c>
      <c r="I3" s="16">
        <v>688.0</v>
      </c>
      <c r="J3" s="16">
        <f t="shared" si="3"/>
        <v>1</v>
      </c>
      <c r="K3" s="24">
        <f t="shared" si="4"/>
        <v>0.002380952381</v>
      </c>
      <c r="L3" s="12"/>
    </row>
    <row r="4">
      <c r="A4" s="28">
        <v>46242.0</v>
      </c>
      <c r="B4" s="30" t="s">
        <v>38</v>
      </c>
      <c r="C4" s="32">
        <v>292.4</v>
      </c>
      <c r="D4" s="33">
        <v>681.0</v>
      </c>
      <c r="E4" s="35">
        <v>627.0</v>
      </c>
      <c r="F4" s="14">
        <f t="shared" si="1"/>
        <v>54</v>
      </c>
      <c r="G4" s="14">
        <f t="shared" si="2"/>
        <v>0.1846785226</v>
      </c>
      <c r="H4" s="33">
        <v>688.0</v>
      </c>
      <c r="I4" s="33">
        <v>688.0</v>
      </c>
      <c r="J4" s="16">
        <f t="shared" si="3"/>
        <v>0</v>
      </c>
      <c r="K4" s="24">
        <f t="shared" si="4"/>
        <v>0</v>
      </c>
      <c r="L4" s="37" t="s">
        <v>41</v>
      </c>
    </row>
    <row r="5">
      <c r="A5" s="28">
        <v>46244.0</v>
      </c>
      <c r="B5" s="30" t="s">
        <v>38</v>
      </c>
      <c r="C5" s="13">
        <v>220.0</v>
      </c>
      <c r="D5" s="33">
        <v>627.0</v>
      </c>
      <c r="E5" s="35">
        <v>562.0</v>
      </c>
      <c r="F5" s="16">
        <f t="shared" si="1"/>
        <v>65</v>
      </c>
      <c r="G5" s="14">
        <f t="shared" si="2"/>
        <v>0.2954545455</v>
      </c>
      <c r="H5" s="33">
        <v>688.0</v>
      </c>
      <c r="I5" s="33">
        <v>687.0</v>
      </c>
      <c r="J5" s="16">
        <f t="shared" si="3"/>
        <v>1</v>
      </c>
      <c r="K5" s="24">
        <f t="shared" si="4"/>
        <v>0.004545454545</v>
      </c>
      <c r="L5" s="12"/>
    </row>
    <row r="6">
      <c r="A6" s="28">
        <v>46245.0</v>
      </c>
      <c r="B6" s="13" t="s">
        <v>25</v>
      </c>
      <c r="C6" s="40">
        <v>315.0</v>
      </c>
      <c r="D6" s="33">
        <v>562.0</v>
      </c>
      <c r="E6" s="35">
        <v>488.0</v>
      </c>
      <c r="F6" s="16">
        <f t="shared" si="1"/>
        <v>74</v>
      </c>
      <c r="G6" s="14">
        <f t="shared" si="2"/>
        <v>0.2349206349</v>
      </c>
      <c r="H6" s="33">
        <v>687.0</v>
      </c>
      <c r="I6" s="33">
        <v>686.0</v>
      </c>
      <c r="J6" s="16">
        <f t="shared" si="3"/>
        <v>1</v>
      </c>
      <c r="K6" s="24">
        <f t="shared" si="4"/>
        <v>0.003174603175</v>
      </c>
      <c r="L6" s="12"/>
    </row>
    <row r="7">
      <c r="A7" s="28">
        <v>46246.0</v>
      </c>
      <c r="B7" s="13" t="s">
        <v>25</v>
      </c>
      <c r="C7" s="13">
        <v>395.0</v>
      </c>
      <c r="D7" s="33">
        <v>488.0</v>
      </c>
      <c r="E7" s="35">
        <v>422.0</v>
      </c>
      <c r="F7" s="16">
        <f t="shared" si="1"/>
        <v>66</v>
      </c>
      <c r="G7" s="14">
        <f t="shared" si="2"/>
        <v>0.1670886076</v>
      </c>
      <c r="H7" s="33">
        <v>686.0</v>
      </c>
      <c r="I7" s="33">
        <v>685.0</v>
      </c>
      <c r="J7" s="16">
        <f t="shared" si="3"/>
        <v>1</v>
      </c>
      <c r="K7" s="24">
        <f t="shared" si="4"/>
        <v>0.00253164557</v>
      </c>
      <c r="L7" s="12"/>
    </row>
    <row r="8">
      <c r="A8" s="28">
        <v>46247.0</v>
      </c>
      <c r="B8" s="13" t="s">
        <v>25</v>
      </c>
      <c r="C8" s="13">
        <v>309.0</v>
      </c>
      <c r="D8" s="33">
        <v>422.0</v>
      </c>
      <c r="E8" s="35">
        <v>363.0</v>
      </c>
      <c r="F8" s="16">
        <f t="shared" si="1"/>
        <v>59</v>
      </c>
      <c r="G8" s="14">
        <f t="shared" si="2"/>
        <v>0.1909385113</v>
      </c>
      <c r="H8" s="33">
        <v>685.0</v>
      </c>
      <c r="I8" s="33">
        <v>684.0</v>
      </c>
      <c r="J8" s="16">
        <f t="shared" si="3"/>
        <v>1</v>
      </c>
      <c r="K8" s="24">
        <f t="shared" si="4"/>
        <v>0.003236245955</v>
      </c>
      <c r="L8" s="12"/>
    </row>
    <row r="9">
      <c r="A9" s="28">
        <v>46248.0</v>
      </c>
      <c r="B9" s="13" t="s">
        <v>38</v>
      </c>
      <c r="C9" s="13">
        <v>150.0</v>
      </c>
      <c r="D9" s="33">
        <v>363.0</v>
      </c>
      <c r="E9" s="35">
        <v>302.0</v>
      </c>
      <c r="F9" s="16">
        <f t="shared" si="1"/>
        <v>61</v>
      </c>
      <c r="G9" s="14">
        <f t="shared" si="2"/>
        <v>0.4066666667</v>
      </c>
      <c r="H9" s="33">
        <v>684.0</v>
      </c>
      <c r="I9" s="33">
        <v>683.0</v>
      </c>
      <c r="J9" s="16">
        <f t="shared" si="3"/>
        <v>1</v>
      </c>
      <c r="K9" s="24">
        <f t="shared" si="4"/>
        <v>0.006666666667</v>
      </c>
      <c r="L9" s="12"/>
    </row>
    <row r="10">
      <c r="A10" s="28">
        <v>46251.0</v>
      </c>
      <c r="B10" s="13" t="s">
        <v>38</v>
      </c>
      <c r="C10" s="40">
        <v>320.0</v>
      </c>
      <c r="D10" s="33">
        <v>302.0</v>
      </c>
      <c r="E10" s="35">
        <v>231.0</v>
      </c>
      <c r="F10" s="16">
        <f t="shared" si="1"/>
        <v>71</v>
      </c>
      <c r="G10" s="14">
        <f t="shared" si="2"/>
        <v>0.221875</v>
      </c>
      <c r="H10" s="33">
        <v>683.0</v>
      </c>
      <c r="I10" s="33">
        <v>682.0</v>
      </c>
      <c r="J10" s="16">
        <f t="shared" si="3"/>
        <v>1</v>
      </c>
      <c r="K10" s="24">
        <f t="shared" si="4"/>
        <v>0.003125</v>
      </c>
      <c r="L10" s="12"/>
    </row>
    <row r="11">
      <c r="A11" s="28">
        <v>46252.0</v>
      </c>
      <c r="B11" s="13" t="s">
        <v>38</v>
      </c>
      <c r="C11" s="33">
        <v>255.0</v>
      </c>
      <c r="D11" s="33">
        <v>231.0</v>
      </c>
      <c r="E11" s="35">
        <v>160.0</v>
      </c>
      <c r="F11" s="16">
        <f t="shared" si="1"/>
        <v>71</v>
      </c>
      <c r="G11" s="14">
        <f t="shared" si="2"/>
        <v>0.2784313725</v>
      </c>
      <c r="H11" s="33">
        <v>682.0</v>
      </c>
      <c r="I11" s="33">
        <v>681.0</v>
      </c>
      <c r="J11" s="16">
        <f t="shared" si="3"/>
        <v>1</v>
      </c>
      <c r="K11" s="24">
        <f t="shared" si="4"/>
        <v>0.003921568627</v>
      </c>
      <c r="L11" s="12"/>
    </row>
    <row r="12">
      <c r="A12" s="28">
        <v>46253.0</v>
      </c>
      <c r="B12" s="13" t="s">
        <v>38</v>
      </c>
      <c r="C12" s="13">
        <v>341.0</v>
      </c>
      <c r="D12" s="33">
        <v>160.0</v>
      </c>
      <c r="E12" s="35">
        <v>92.0</v>
      </c>
      <c r="F12" s="16">
        <f t="shared" si="1"/>
        <v>68</v>
      </c>
      <c r="G12" s="14">
        <f t="shared" si="2"/>
        <v>0.1994134897</v>
      </c>
      <c r="H12" s="33">
        <v>681.0</v>
      </c>
      <c r="I12" s="33">
        <v>676.0</v>
      </c>
      <c r="J12" s="16">
        <f t="shared" si="3"/>
        <v>5</v>
      </c>
      <c r="K12" s="24">
        <f t="shared" si="4"/>
        <v>0.0146627566</v>
      </c>
      <c r="L12" s="41"/>
    </row>
    <row r="13">
      <c r="A13" s="28">
        <v>46254.0</v>
      </c>
      <c r="B13" s="13" t="s">
        <v>38</v>
      </c>
      <c r="C13" s="13">
        <v>315.0</v>
      </c>
      <c r="D13" s="33">
        <v>662.0</v>
      </c>
      <c r="E13" s="35">
        <v>604.0</v>
      </c>
      <c r="F13" s="16">
        <f t="shared" si="1"/>
        <v>58</v>
      </c>
      <c r="G13" s="14">
        <f t="shared" si="2"/>
        <v>0.1841269841</v>
      </c>
      <c r="H13" s="33">
        <v>676.0</v>
      </c>
      <c r="I13" s="33">
        <v>672.0</v>
      </c>
      <c r="J13" s="16">
        <f t="shared" si="3"/>
        <v>4</v>
      </c>
      <c r="K13" s="24">
        <f t="shared" si="4"/>
        <v>0.0126984127</v>
      </c>
      <c r="L13" s="37" t="s">
        <v>42</v>
      </c>
    </row>
    <row r="14">
      <c r="A14" s="28">
        <v>46255.0</v>
      </c>
      <c r="B14" s="13" t="s">
        <v>38</v>
      </c>
      <c r="C14" s="30">
        <v>325.57</v>
      </c>
      <c r="D14" s="33">
        <v>604.0</v>
      </c>
      <c r="E14" s="35">
        <v>530.0</v>
      </c>
      <c r="F14" s="16">
        <f t="shared" si="1"/>
        <v>74</v>
      </c>
      <c r="G14" s="14">
        <f t="shared" si="2"/>
        <v>0.2272936696</v>
      </c>
      <c r="H14" s="33">
        <v>672.0</v>
      </c>
      <c r="I14" s="33">
        <v>671.0</v>
      </c>
      <c r="J14" s="16">
        <f t="shared" si="3"/>
        <v>1</v>
      </c>
      <c r="K14" s="24">
        <f t="shared" si="4"/>
        <v>0.003071536075</v>
      </c>
      <c r="L14" s="12"/>
    </row>
    <row r="15">
      <c r="A15" s="28">
        <v>46256.0</v>
      </c>
      <c r="B15" s="13" t="s">
        <v>38</v>
      </c>
      <c r="C15" s="30">
        <v>301.349</v>
      </c>
      <c r="D15" s="33">
        <v>530.0</v>
      </c>
      <c r="E15" s="35">
        <v>476.0</v>
      </c>
      <c r="F15" s="16">
        <f t="shared" si="1"/>
        <v>54</v>
      </c>
      <c r="G15" s="14">
        <f t="shared" si="2"/>
        <v>0.1791942233</v>
      </c>
      <c r="H15" s="33">
        <v>671.0</v>
      </c>
      <c r="I15" s="33">
        <v>665.0</v>
      </c>
      <c r="J15" s="16">
        <f t="shared" si="3"/>
        <v>6</v>
      </c>
      <c r="K15" s="24">
        <f t="shared" si="4"/>
        <v>0.01991046926</v>
      </c>
      <c r="L15" s="12"/>
    </row>
    <row r="16">
      <c r="A16" s="28">
        <v>46258.0</v>
      </c>
      <c r="B16" s="13" t="s">
        <v>25</v>
      </c>
      <c r="C16" s="13">
        <v>319.0</v>
      </c>
      <c r="D16" s="33">
        <v>476.0</v>
      </c>
      <c r="E16" s="35">
        <v>419.0</v>
      </c>
      <c r="F16" s="16">
        <f t="shared" si="1"/>
        <v>57</v>
      </c>
      <c r="G16" s="14">
        <f t="shared" si="2"/>
        <v>0.1786833856</v>
      </c>
      <c r="H16" s="33">
        <v>665.0</v>
      </c>
      <c r="I16" s="33">
        <v>663.0</v>
      </c>
      <c r="J16" s="16">
        <f t="shared" si="3"/>
        <v>2</v>
      </c>
      <c r="K16" s="24">
        <f t="shared" si="4"/>
        <v>0.006269592476</v>
      </c>
      <c r="L16" s="12"/>
    </row>
    <row r="17">
      <c r="A17" s="28">
        <v>46259.0</v>
      </c>
      <c r="B17" s="13" t="s">
        <v>38</v>
      </c>
      <c r="C17" s="40">
        <v>261.0</v>
      </c>
      <c r="D17" s="33">
        <v>419.0</v>
      </c>
      <c r="E17" s="35">
        <v>360.0</v>
      </c>
      <c r="F17" s="16">
        <f t="shared" si="1"/>
        <v>59</v>
      </c>
      <c r="G17" s="14">
        <f t="shared" si="2"/>
        <v>0.2260536398</v>
      </c>
      <c r="H17" s="33">
        <v>663.0</v>
      </c>
      <c r="I17" s="33">
        <v>658.0</v>
      </c>
      <c r="J17" s="16">
        <f t="shared" si="3"/>
        <v>5</v>
      </c>
      <c r="K17" s="24">
        <f t="shared" si="4"/>
        <v>0.01915708812</v>
      </c>
      <c r="L17" s="12"/>
    </row>
    <row r="18">
      <c r="A18" s="28">
        <v>46260.0</v>
      </c>
      <c r="B18" s="13" t="s">
        <v>38</v>
      </c>
      <c r="C18" s="42">
        <v>358.0</v>
      </c>
      <c r="D18" s="43">
        <v>360.0</v>
      </c>
      <c r="E18" s="44">
        <v>297.0</v>
      </c>
      <c r="F18" s="16">
        <f t="shared" si="1"/>
        <v>63</v>
      </c>
      <c r="G18" s="14">
        <f t="shared" si="2"/>
        <v>0.1759776536</v>
      </c>
      <c r="H18" s="43">
        <v>658.0</v>
      </c>
      <c r="I18" s="43">
        <v>657.0</v>
      </c>
      <c r="J18" s="16">
        <f t="shared" si="3"/>
        <v>1</v>
      </c>
      <c r="K18" s="24">
        <f t="shared" si="4"/>
        <v>0.002793296089</v>
      </c>
      <c r="L18" s="43"/>
    </row>
    <row r="19">
      <c r="A19" s="28">
        <v>46261.0</v>
      </c>
      <c r="B19" s="13" t="s">
        <v>38</v>
      </c>
      <c r="C19" s="32">
        <v>319.16</v>
      </c>
      <c r="D19" s="43">
        <v>297.0</v>
      </c>
      <c r="E19" s="44">
        <v>231.0</v>
      </c>
      <c r="F19" s="16">
        <f t="shared" si="1"/>
        <v>66</v>
      </c>
      <c r="G19" s="14">
        <f t="shared" si="2"/>
        <v>0.2067928312</v>
      </c>
      <c r="H19" s="43">
        <v>657.0</v>
      </c>
      <c r="I19" s="43">
        <v>657.0</v>
      </c>
      <c r="J19" s="16">
        <f t="shared" si="3"/>
        <v>0</v>
      </c>
      <c r="K19" s="24">
        <f t="shared" si="4"/>
        <v>0</v>
      </c>
      <c r="L19" s="43"/>
    </row>
    <row r="20">
      <c r="A20" s="28">
        <v>46262.0</v>
      </c>
      <c r="B20" s="13" t="s">
        <v>38</v>
      </c>
      <c r="C20" s="13">
        <v>294.0</v>
      </c>
      <c r="D20" s="43">
        <v>231.0</v>
      </c>
      <c r="E20" s="44">
        <v>180.0</v>
      </c>
      <c r="F20" s="16">
        <f t="shared" si="1"/>
        <v>51</v>
      </c>
      <c r="G20" s="14">
        <f t="shared" si="2"/>
        <v>0.1734693878</v>
      </c>
      <c r="H20" s="43">
        <v>657.0</v>
      </c>
      <c r="I20" s="43">
        <v>655.0</v>
      </c>
      <c r="J20" s="16">
        <f t="shared" si="3"/>
        <v>2</v>
      </c>
      <c r="K20" s="24">
        <f t="shared" si="4"/>
        <v>0.006802721088</v>
      </c>
      <c r="L20" s="45"/>
    </row>
    <row r="21">
      <c r="A21" s="28">
        <v>46263.0</v>
      </c>
      <c r="B21" s="13" t="s">
        <v>38</v>
      </c>
      <c r="C21" s="13">
        <v>244.0</v>
      </c>
      <c r="D21" s="33">
        <v>180.0</v>
      </c>
      <c r="E21" s="35">
        <v>113.0</v>
      </c>
      <c r="F21" s="16">
        <f t="shared" si="1"/>
        <v>67</v>
      </c>
      <c r="G21" s="14">
        <f t="shared" si="2"/>
        <v>0.2745901639</v>
      </c>
      <c r="H21" s="33">
        <v>655.0</v>
      </c>
      <c r="I21" s="33">
        <v>651.0</v>
      </c>
      <c r="J21" s="16">
        <f t="shared" si="3"/>
        <v>4</v>
      </c>
      <c r="K21" s="24">
        <f t="shared" si="4"/>
        <v>0.01639344262</v>
      </c>
      <c r="L21" s="12"/>
    </row>
    <row r="22">
      <c r="A22" s="28">
        <v>46265.0</v>
      </c>
      <c r="B22" s="13" t="s">
        <v>38</v>
      </c>
      <c r="C22" s="13">
        <v>338.0</v>
      </c>
      <c r="D22" s="33">
        <v>677.0</v>
      </c>
      <c r="E22" s="35">
        <v>609.0</v>
      </c>
      <c r="F22" s="16">
        <f t="shared" si="1"/>
        <v>68</v>
      </c>
      <c r="G22" s="14">
        <f t="shared" si="2"/>
        <v>0.201183432</v>
      </c>
      <c r="H22" s="33">
        <v>651.0</v>
      </c>
      <c r="I22" s="33">
        <v>650.0</v>
      </c>
      <c r="J22" s="16">
        <f t="shared" si="3"/>
        <v>1</v>
      </c>
      <c r="K22" s="24">
        <f t="shared" si="4"/>
        <v>0.002958579882</v>
      </c>
      <c r="L22" s="37" t="s">
        <v>43</v>
      </c>
    </row>
    <row r="23">
      <c r="A23" s="28">
        <v>46266.0</v>
      </c>
      <c r="B23" s="13" t="s">
        <v>44</v>
      </c>
      <c r="C23" s="13">
        <v>343.0</v>
      </c>
      <c r="D23" s="33">
        <v>609.0</v>
      </c>
      <c r="E23" s="35">
        <v>542.0</v>
      </c>
      <c r="F23" s="16">
        <f t="shared" si="1"/>
        <v>67</v>
      </c>
      <c r="G23" s="14">
        <f t="shared" si="2"/>
        <v>0.195335277</v>
      </c>
      <c r="H23" s="33">
        <v>650.0</v>
      </c>
      <c r="I23" s="33">
        <v>650.0</v>
      </c>
      <c r="J23" s="16">
        <f t="shared" si="3"/>
        <v>0</v>
      </c>
      <c r="K23" s="24">
        <f t="shared" si="4"/>
        <v>0</v>
      </c>
      <c r="L23" s="12"/>
    </row>
    <row r="24">
      <c r="A24" s="28">
        <v>46267.0</v>
      </c>
      <c r="B24" s="13" t="s">
        <v>44</v>
      </c>
      <c r="C24" s="13">
        <v>380.0</v>
      </c>
      <c r="D24" s="33">
        <v>542.0</v>
      </c>
      <c r="E24" s="35">
        <v>464.0</v>
      </c>
      <c r="F24" s="16">
        <f t="shared" si="1"/>
        <v>78</v>
      </c>
      <c r="G24" s="14">
        <f t="shared" si="2"/>
        <v>0.2052631579</v>
      </c>
      <c r="H24" s="33">
        <v>650.0</v>
      </c>
      <c r="I24" s="33">
        <v>648.0</v>
      </c>
      <c r="J24" s="16">
        <f t="shared" si="3"/>
        <v>2</v>
      </c>
      <c r="K24" s="24">
        <f t="shared" si="4"/>
        <v>0.005263157895</v>
      </c>
      <c r="L24" s="12"/>
    </row>
    <row r="25">
      <c r="A25" s="28">
        <v>46268.0</v>
      </c>
      <c r="B25" s="13" t="s">
        <v>44</v>
      </c>
      <c r="C25" s="46">
        <v>366.0</v>
      </c>
      <c r="D25" s="33">
        <v>464.0</v>
      </c>
      <c r="E25" s="35">
        <v>397.0</v>
      </c>
      <c r="F25" s="16">
        <f t="shared" si="1"/>
        <v>67</v>
      </c>
      <c r="G25" s="14">
        <f t="shared" si="2"/>
        <v>0.1830601093</v>
      </c>
      <c r="H25" s="33">
        <v>648.0</v>
      </c>
      <c r="I25" s="33">
        <v>638.0</v>
      </c>
      <c r="J25" s="16">
        <f t="shared" si="3"/>
        <v>10</v>
      </c>
      <c r="K25" s="24">
        <f t="shared" si="4"/>
        <v>0.02732240437</v>
      </c>
      <c r="L25" s="12"/>
    </row>
    <row r="26">
      <c r="A26" s="28">
        <v>46269.0</v>
      </c>
      <c r="B26" s="13" t="s">
        <v>38</v>
      </c>
      <c r="C26" s="13">
        <v>484.0</v>
      </c>
      <c r="D26" s="33">
        <v>397.0</v>
      </c>
      <c r="E26" s="35">
        <v>297.0</v>
      </c>
      <c r="F26" s="16">
        <f t="shared" si="1"/>
        <v>100</v>
      </c>
      <c r="G26" s="14">
        <f t="shared" si="2"/>
        <v>0.2066115702</v>
      </c>
      <c r="H26" s="33">
        <v>638.0</v>
      </c>
      <c r="I26" s="33">
        <v>633.0</v>
      </c>
      <c r="J26" s="16">
        <f t="shared" si="3"/>
        <v>5</v>
      </c>
      <c r="K26" s="24">
        <f t="shared" si="4"/>
        <v>0.01033057851</v>
      </c>
      <c r="L26" s="12"/>
    </row>
    <row r="27">
      <c r="A27" s="28">
        <v>46272.0</v>
      </c>
      <c r="B27" s="13" t="s">
        <v>38</v>
      </c>
      <c r="C27" s="13">
        <v>435.0</v>
      </c>
      <c r="D27" s="33">
        <v>297.0</v>
      </c>
      <c r="E27" s="35">
        <v>216.0</v>
      </c>
      <c r="F27" s="16">
        <f t="shared" si="1"/>
        <v>81</v>
      </c>
      <c r="G27" s="14">
        <f t="shared" si="2"/>
        <v>0.1862068966</v>
      </c>
      <c r="H27" s="33">
        <v>633.0</v>
      </c>
      <c r="I27" s="33">
        <v>625.0</v>
      </c>
      <c r="J27" s="16">
        <f t="shared" si="3"/>
        <v>8</v>
      </c>
      <c r="K27" s="24">
        <f t="shared" si="4"/>
        <v>0.0183908046</v>
      </c>
      <c r="L27" s="12"/>
    </row>
    <row r="28">
      <c r="A28" s="28">
        <v>46273.0</v>
      </c>
      <c r="B28" s="13" t="s">
        <v>38</v>
      </c>
      <c r="C28" s="13">
        <v>436.0</v>
      </c>
      <c r="D28" s="33">
        <v>216.0</v>
      </c>
      <c r="E28" s="35">
        <v>138.0</v>
      </c>
      <c r="F28" s="16">
        <f t="shared" si="1"/>
        <v>78</v>
      </c>
      <c r="G28" s="14">
        <f t="shared" si="2"/>
        <v>0.1788990826</v>
      </c>
      <c r="H28" s="33">
        <v>625.0</v>
      </c>
      <c r="I28" s="33">
        <v>624.0</v>
      </c>
      <c r="J28" s="16">
        <f t="shared" si="3"/>
        <v>1</v>
      </c>
      <c r="K28" s="24">
        <f t="shared" si="4"/>
        <v>0.002293577982</v>
      </c>
      <c r="L28" s="12"/>
    </row>
    <row r="29">
      <c r="A29" s="28">
        <v>46274.0</v>
      </c>
      <c r="B29" s="13" t="s">
        <v>44</v>
      </c>
      <c r="C29" s="13">
        <v>272.0</v>
      </c>
      <c r="D29" s="33">
        <v>702.0</v>
      </c>
      <c r="E29" s="35">
        <v>622.0</v>
      </c>
      <c r="F29" s="16">
        <f t="shared" si="1"/>
        <v>80</v>
      </c>
      <c r="G29" s="14">
        <f t="shared" si="2"/>
        <v>0.2941176471</v>
      </c>
      <c r="H29" s="33">
        <v>624.0</v>
      </c>
      <c r="I29" s="33">
        <v>620.0</v>
      </c>
      <c r="J29" s="16">
        <f t="shared" si="3"/>
        <v>4</v>
      </c>
      <c r="K29" s="24">
        <f t="shared" si="4"/>
        <v>0.01470588235</v>
      </c>
      <c r="L29" s="37" t="s">
        <v>45</v>
      </c>
    </row>
    <row r="30">
      <c r="A30" s="28">
        <v>46275.0</v>
      </c>
      <c r="B30" s="13" t="s">
        <v>44</v>
      </c>
      <c r="C30" s="13">
        <v>410.0</v>
      </c>
      <c r="D30" s="33">
        <v>622.0</v>
      </c>
      <c r="E30" s="35">
        <v>549.0</v>
      </c>
      <c r="F30" s="16">
        <f t="shared" si="1"/>
        <v>73</v>
      </c>
      <c r="G30" s="14">
        <f t="shared" si="2"/>
        <v>0.1780487805</v>
      </c>
      <c r="H30" s="33">
        <v>620.0</v>
      </c>
      <c r="I30" s="33">
        <v>617.0</v>
      </c>
      <c r="J30" s="16">
        <f t="shared" si="3"/>
        <v>3</v>
      </c>
      <c r="K30" s="24">
        <f t="shared" si="4"/>
        <v>0.007317073171</v>
      </c>
      <c r="L30" s="12"/>
    </row>
    <row r="31">
      <c r="A31" s="28">
        <v>46276.0</v>
      </c>
      <c r="B31" s="13" t="s">
        <v>44</v>
      </c>
      <c r="C31" s="13">
        <v>426.0</v>
      </c>
      <c r="D31" s="33">
        <v>549.0</v>
      </c>
      <c r="E31" s="35">
        <v>468.0</v>
      </c>
      <c r="F31" s="16">
        <f t="shared" si="1"/>
        <v>81</v>
      </c>
      <c r="G31" s="14">
        <f t="shared" si="2"/>
        <v>0.1901408451</v>
      </c>
      <c r="H31" s="33">
        <v>617.0</v>
      </c>
      <c r="I31" s="33">
        <v>617.0</v>
      </c>
      <c r="J31" s="16">
        <f t="shared" si="3"/>
        <v>0</v>
      </c>
      <c r="K31" s="24">
        <f t="shared" si="4"/>
        <v>0</v>
      </c>
      <c r="L31" s="12"/>
    </row>
    <row r="32">
      <c r="A32" s="28">
        <v>46277.0</v>
      </c>
      <c r="B32" s="13" t="s">
        <v>44</v>
      </c>
      <c r="C32" s="13">
        <v>348.0</v>
      </c>
      <c r="D32" s="33">
        <v>468.0</v>
      </c>
      <c r="E32" s="35">
        <v>364.0</v>
      </c>
      <c r="F32" s="16">
        <f t="shared" si="1"/>
        <v>104</v>
      </c>
      <c r="G32" s="14">
        <f t="shared" si="2"/>
        <v>0.2988505747</v>
      </c>
      <c r="H32" s="33">
        <v>617.0</v>
      </c>
      <c r="I32" s="33">
        <v>611.0</v>
      </c>
      <c r="J32" s="16">
        <f t="shared" si="3"/>
        <v>6</v>
      </c>
      <c r="K32" s="24">
        <f t="shared" si="4"/>
        <v>0.01724137931</v>
      </c>
      <c r="L32" s="12"/>
    </row>
    <row r="33">
      <c r="A33" s="28">
        <v>46279.0</v>
      </c>
      <c r="B33" s="13" t="s">
        <v>38</v>
      </c>
      <c r="C33" s="47">
        <v>373.0</v>
      </c>
      <c r="D33" s="33">
        <v>364.0</v>
      </c>
      <c r="E33" s="35">
        <v>314.0</v>
      </c>
      <c r="F33" s="16">
        <f t="shared" si="1"/>
        <v>50</v>
      </c>
      <c r="G33" s="14">
        <f t="shared" si="2"/>
        <v>0.1340482574</v>
      </c>
      <c r="H33" s="33">
        <v>611.0</v>
      </c>
      <c r="I33" s="33">
        <v>608.0</v>
      </c>
      <c r="J33" s="16">
        <f t="shared" si="3"/>
        <v>3</v>
      </c>
      <c r="K33" s="24">
        <f t="shared" si="4"/>
        <v>0.008042895442</v>
      </c>
      <c r="L33" s="12"/>
    </row>
    <row r="34">
      <c r="A34" s="28">
        <v>46280.0</v>
      </c>
      <c r="B34" s="13" t="s">
        <v>38</v>
      </c>
      <c r="C34" s="13">
        <v>360.0</v>
      </c>
      <c r="D34" s="33">
        <v>314.0</v>
      </c>
      <c r="E34" s="35">
        <v>229.0</v>
      </c>
      <c r="F34" s="16">
        <f t="shared" si="1"/>
        <v>85</v>
      </c>
      <c r="G34" s="14">
        <f t="shared" si="2"/>
        <v>0.2361111111</v>
      </c>
      <c r="H34" s="33">
        <v>608.0</v>
      </c>
      <c r="I34" s="33">
        <v>604.0</v>
      </c>
      <c r="J34" s="16">
        <f t="shared" si="3"/>
        <v>4</v>
      </c>
      <c r="K34" s="24">
        <f t="shared" si="4"/>
        <v>0.01111111111</v>
      </c>
      <c r="L34" s="12"/>
    </row>
    <row r="35">
      <c r="A35" s="28">
        <v>46281.0</v>
      </c>
      <c r="B35" s="13" t="s">
        <v>38</v>
      </c>
      <c r="C35" s="13">
        <v>360.0</v>
      </c>
      <c r="D35" s="33">
        <v>229.0</v>
      </c>
      <c r="E35" s="35">
        <v>157.0</v>
      </c>
      <c r="F35" s="16">
        <f t="shared" si="1"/>
        <v>72</v>
      </c>
      <c r="G35" s="14">
        <f t="shared" si="2"/>
        <v>0.2</v>
      </c>
      <c r="H35" s="33">
        <v>604.0</v>
      </c>
      <c r="I35" s="33">
        <v>599.0</v>
      </c>
      <c r="J35" s="16">
        <f t="shared" si="3"/>
        <v>5</v>
      </c>
      <c r="K35" s="24">
        <f t="shared" si="4"/>
        <v>0.01388888889</v>
      </c>
      <c r="L35" s="12"/>
    </row>
    <row r="36">
      <c r="A36" s="28">
        <v>46283.0</v>
      </c>
      <c r="B36" s="13" t="s">
        <v>38</v>
      </c>
      <c r="C36" s="13">
        <v>460.0</v>
      </c>
      <c r="D36" s="33">
        <v>734.0</v>
      </c>
      <c r="E36" s="35">
        <v>651.0</v>
      </c>
      <c r="F36" s="16">
        <f t="shared" si="1"/>
        <v>83</v>
      </c>
      <c r="G36" s="14">
        <f t="shared" si="2"/>
        <v>0.1804347826</v>
      </c>
      <c r="H36" s="33">
        <v>599.0</v>
      </c>
      <c r="I36" s="33">
        <v>594.0</v>
      </c>
      <c r="J36" s="16">
        <f t="shared" si="3"/>
        <v>5</v>
      </c>
      <c r="K36" s="24">
        <f t="shared" si="4"/>
        <v>0.01086956522</v>
      </c>
      <c r="L36" s="37" t="s">
        <v>46</v>
      </c>
    </row>
    <row r="37">
      <c r="A37" s="28">
        <v>46284.0</v>
      </c>
      <c r="B37" s="13" t="s">
        <v>38</v>
      </c>
      <c r="C37" s="13">
        <v>383.0</v>
      </c>
      <c r="D37" s="33">
        <v>651.0</v>
      </c>
      <c r="E37" s="35">
        <v>576.0</v>
      </c>
      <c r="F37" s="16">
        <f t="shared" si="1"/>
        <v>75</v>
      </c>
      <c r="G37" s="14">
        <f t="shared" si="2"/>
        <v>0.1958224543</v>
      </c>
      <c r="H37" s="33">
        <v>594.0</v>
      </c>
      <c r="I37" s="33">
        <v>590.0</v>
      </c>
      <c r="J37" s="16">
        <f t="shared" si="3"/>
        <v>4</v>
      </c>
      <c r="K37" s="24">
        <f t="shared" si="4"/>
        <v>0.01044386423</v>
      </c>
      <c r="L37" s="12"/>
    </row>
    <row r="38">
      <c r="A38" s="28">
        <v>46286.0</v>
      </c>
      <c r="B38" s="13" t="s">
        <v>38</v>
      </c>
      <c r="C38" s="13">
        <v>408.0</v>
      </c>
      <c r="D38" s="33">
        <v>576.0</v>
      </c>
      <c r="E38" s="35">
        <v>495.0</v>
      </c>
      <c r="F38" s="16">
        <f t="shared" si="1"/>
        <v>81</v>
      </c>
      <c r="G38" s="14">
        <f t="shared" si="2"/>
        <v>0.1985294118</v>
      </c>
      <c r="H38" s="33">
        <v>590.0</v>
      </c>
      <c r="I38" s="33">
        <v>577.0</v>
      </c>
      <c r="J38" s="16">
        <f t="shared" si="3"/>
        <v>13</v>
      </c>
      <c r="K38" s="24">
        <f t="shared" si="4"/>
        <v>0.0318627451</v>
      </c>
      <c r="L38" s="12"/>
    </row>
    <row r="39">
      <c r="A39" s="28">
        <v>46287.0</v>
      </c>
      <c r="B39" s="13" t="s">
        <v>38</v>
      </c>
      <c r="C39" s="13">
        <v>517.0</v>
      </c>
      <c r="D39" s="33">
        <v>495.0</v>
      </c>
      <c r="E39" s="35">
        <v>420.0</v>
      </c>
      <c r="F39" s="16">
        <f t="shared" si="1"/>
        <v>75</v>
      </c>
      <c r="G39" s="14">
        <f t="shared" si="2"/>
        <v>0.1450676983</v>
      </c>
      <c r="H39" s="33">
        <v>577.0</v>
      </c>
      <c r="I39" s="33">
        <v>576.0</v>
      </c>
      <c r="J39" s="16">
        <f t="shared" si="3"/>
        <v>1</v>
      </c>
      <c r="K39" s="24">
        <f t="shared" si="4"/>
        <v>0.001934235977</v>
      </c>
      <c r="L39" s="12"/>
    </row>
    <row r="40">
      <c r="A40" s="28">
        <v>46288.0</v>
      </c>
      <c r="B40" s="13" t="s">
        <v>38</v>
      </c>
      <c r="C40" s="13">
        <v>523.0</v>
      </c>
      <c r="D40" s="33">
        <v>420.0</v>
      </c>
      <c r="E40" s="35">
        <v>337.0</v>
      </c>
      <c r="F40" s="16">
        <f t="shared" si="1"/>
        <v>83</v>
      </c>
      <c r="G40" s="14">
        <f t="shared" si="2"/>
        <v>0.1586998088</v>
      </c>
      <c r="H40" s="33">
        <v>576.0</v>
      </c>
      <c r="I40" s="33">
        <v>569.0</v>
      </c>
      <c r="J40" s="16">
        <f t="shared" si="3"/>
        <v>7</v>
      </c>
      <c r="K40" s="24">
        <f t="shared" si="4"/>
        <v>0.01338432122</v>
      </c>
      <c r="L40" s="12"/>
    </row>
    <row r="41">
      <c r="A41" s="28">
        <v>46289.0</v>
      </c>
      <c r="B41" s="13" t="s">
        <v>38</v>
      </c>
      <c r="C41" s="13">
        <v>434.0</v>
      </c>
      <c r="D41" s="33">
        <v>337.0</v>
      </c>
      <c r="E41" s="35">
        <v>262.0</v>
      </c>
      <c r="F41" s="16">
        <f t="shared" si="1"/>
        <v>75</v>
      </c>
      <c r="G41" s="14">
        <f t="shared" si="2"/>
        <v>0.1728110599</v>
      </c>
      <c r="H41" s="33">
        <v>569.0</v>
      </c>
      <c r="I41" s="33">
        <v>563.0</v>
      </c>
      <c r="J41" s="16">
        <f t="shared" si="3"/>
        <v>6</v>
      </c>
      <c r="K41" s="24">
        <f t="shared" si="4"/>
        <v>0.01382488479</v>
      </c>
      <c r="L41" s="12"/>
    </row>
    <row r="42">
      <c r="A42" s="28">
        <v>46290.0</v>
      </c>
      <c r="B42" s="13" t="s">
        <v>44</v>
      </c>
      <c r="C42" s="13">
        <v>232.0</v>
      </c>
      <c r="D42" s="33">
        <v>262.0</v>
      </c>
      <c r="E42" s="35">
        <v>198.0</v>
      </c>
      <c r="F42" s="16">
        <f t="shared" si="1"/>
        <v>64</v>
      </c>
      <c r="G42" s="14">
        <f t="shared" si="2"/>
        <v>0.275862069</v>
      </c>
      <c r="H42" s="33">
        <v>563.0</v>
      </c>
      <c r="I42" s="33">
        <v>555.0</v>
      </c>
      <c r="J42" s="16">
        <f t="shared" si="3"/>
        <v>8</v>
      </c>
      <c r="K42" s="24">
        <f t="shared" si="4"/>
        <v>0.03448275862</v>
      </c>
      <c r="L42" s="12"/>
    </row>
    <row r="43">
      <c r="A43" s="28">
        <v>46291.0</v>
      </c>
      <c r="B43" s="13" t="s">
        <v>44</v>
      </c>
      <c r="C43" s="13">
        <v>445.0</v>
      </c>
      <c r="D43" s="33">
        <v>198.0</v>
      </c>
      <c r="E43" s="35">
        <v>110.0</v>
      </c>
      <c r="F43" s="16">
        <f t="shared" si="1"/>
        <v>88</v>
      </c>
      <c r="G43" s="14">
        <f t="shared" si="2"/>
        <v>0.197752809</v>
      </c>
      <c r="H43" s="33">
        <v>555.0</v>
      </c>
      <c r="I43" s="33">
        <v>551.0</v>
      </c>
      <c r="J43" s="16">
        <f t="shared" si="3"/>
        <v>4</v>
      </c>
      <c r="K43" s="24">
        <f t="shared" si="4"/>
        <v>0.008988764045</v>
      </c>
      <c r="L43" s="12"/>
    </row>
    <row r="44">
      <c r="A44" s="28">
        <v>46292.0</v>
      </c>
      <c r="B44" s="13"/>
      <c r="C44" s="13">
        <v>0.0</v>
      </c>
      <c r="D44" s="33"/>
      <c r="E44" s="35"/>
      <c r="F44" s="16" t="str">
        <f t="shared" si="1"/>
        <v/>
      </c>
      <c r="G44" s="14"/>
      <c r="H44" s="16"/>
      <c r="I44" s="16"/>
      <c r="J44" s="16" t="str">
        <f t="shared" si="3"/>
        <v/>
      </c>
      <c r="K44" s="24" t="str">
        <f t="shared" si="4"/>
        <v/>
      </c>
      <c r="L44" s="12"/>
    </row>
    <row r="45">
      <c r="A45" s="28">
        <v>46293.0</v>
      </c>
      <c r="B45" s="13" t="s">
        <v>44</v>
      </c>
      <c r="C45" s="13">
        <v>412.0</v>
      </c>
      <c r="D45" s="33">
        <v>671.0</v>
      </c>
      <c r="E45" s="35">
        <v>590.0</v>
      </c>
      <c r="F45" s="16">
        <f t="shared" si="1"/>
        <v>81</v>
      </c>
      <c r="G45" s="14">
        <f t="shared" ref="G45:G101" si="5">IF(OR(C45="",F45=""),"",F45/C45)</f>
        <v>0.1966019417</v>
      </c>
      <c r="H45" s="33">
        <v>551.0</v>
      </c>
      <c r="I45" s="33">
        <v>546.0</v>
      </c>
      <c r="J45" s="16">
        <f t="shared" si="3"/>
        <v>5</v>
      </c>
      <c r="K45" s="24">
        <f t="shared" si="4"/>
        <v>0.01213592233</v>
      </c>
      <c r="L45" s="37" t="s">
        <v>47</v>
      </c>
    </row>
    <row r="46">
      <c r="A46" s="28">
        <v>46294.0</v>
      </c>
      <c r="B46" s="13" t="s">
        <v>48</v>
      </c>
      <c r="C46" s="13">
        <v>395.0</v>
      </c>
      <c r="D46" s="33">
        <v>590.0</v>
      </c>
      <c r="E46" s="35">
        <v>501.0</v>
      </c>
      <c r="F46" s="16">
        <f t="shared" si="1"/>
        <v>89</v>
      </c>
      <c r="G46" s="14">
        <f t="shared" si="5"/>
        <v>0.2253164557</v>
      </c>
      <c r="H46" s="33">
        <v>546.0</v>
      </c>
      <c r="I46" s="33">
        <v>542.0</v>
      </c>
      <c r="J46" s="16">
        <f t="shared" si="3"/>
        <v>4</v>
      </c>
      <c r="K46" s="24">
        <f t="shared" si="4"/>
        <v>0.01012658228</v>
      </c>
      <c r="L46" s="48" t="s">
        <v>49</v>
      </c>
    </row>
    <row r="47">
      <c r="A47" s="28">
        <v>46295.0</v>
      </c>
      <c r="B47" s="13" t="s">
        <v>38</v>
      </c>
      <c r="C47" s="13">
        <v>467.0</v>
      </c>
      <c r="D47" s="33">
        <v>501.0</v>
      </c>
      <c r="E47" s="35">
        <v>420.0</v>
      </c>
      <c r="F47" s="16">
        <f t="shared" si="1"/>
        <v>81</v>
      </c>
      <c r="G47" s="14">
        <f t="shared" si="5"/>
        <v>0.1734475375</v>
      </c>
      <c r="H47" s="33">
        <v>542.0</v>
      </c>
      <c r="I47" s="33">
        <v>540.0</v>
      </c>
      <c r="J47" s="16">
        <f t="shared" si="3"/>
        <v>2</v>
      </c>
      <c r="K47" s="24">
        <f t="shared" si="4"/>
        <v>0.004282655246</v>
      </c>
      <c r="L47" s="12"/>
    </row>
    <row r="48">
      <c r="A48" s="28">
        <v>46296.0</v>
      </c>
      <c r="B48" s="13" t="s">
        <v>38</v>
      </c>
      <c r="C48" s="47">
        <v>390.0</v>
      </c>
      <c r="D48" s="33">
        <v>420.0</v>
      </c>
      <c r="E48" s="35">
        <v>346.0</v>
      </c>
      <c r="F48" s="16">
        <f t="shared" si="1"/>
        <v>74</v>
      </c>
      <c r="G48" s="14">
        <f t="shared" si="5"/>
        <v>0.1897435897</v>
      </c>
      <c r="H48" s="33"/>
      <c r="I48" s="33"/>
      <c r="J48" s="16" t="str">
        <f t="shared" si="3"/>
        <v/>
      </c>
      <c r="K48" s="24" t="str">
        <f t="shared" si="4"/>
        <v/>
      </c>
      <c r="L48" s="49" t="s">
        <v>50</v>
      </c>
    </row>
    <row r="49">
      <c r="A49" s="28">
        <v>46297.0</v>
      </c>
      <c r="B49" s="14"/>
      <c r="C49" s="13">
        <v>0.0</v>
      </c>
      <c r="D49" s="16"/>
      <c r="E49" s="18"/>
      <c r="F49" s="16" t="str">
        <f t="shared" si="1"/>
        <v/>
      </c>
      <c r="G49" s="14" t="str">
        <f t="shared" si="5"/>
        <v/>
      </c>
      <c r="H49" s="16"/>
      <c r="I49" s="16"/>
      <c r="J49" s="16" t="str">
        <f t="shared" si="3"/>
        <v/>
      </c>
      <c r="K49" s="24" t="str">
        <f t="shared" si="4"/>
        <v/>
      </c>
      <c r="L49" s="12"/>
    </row>
    <row r="50">
      <c r="A50" s="28">
        <v>46298.0</v>
      </c>
      <c r="B50" s="13" t="s">
        <v>38</v>
      </c>
      <c r="C50" s="13">
        <v>320.0</v>
      </c>
      <c r="D50" s="33">
        <v>346.0</v>
      </c>
      <c r="E50" s="35">
        <v>271.0</v>
      </c>
      <c r="F50" s="16">
        <f t="shared" si="1"/>
        <v>75</v>
      </c>
      <c r="G50" s="14">
        <f t="shared" si="5"/>
        <v>0.234375</v>
      </c>
      <c r="H50" s="33">
        <v>540.0</v>
      </c>
      <c r="I50" s="33">
        <v>537.0</v>
      </c>
      <c r="J50" s="16">
        <f t="shared" si="3"/>
        <v>3</v>
      </c>
      <c r="K50" s="24">
        <f t="shared" si="4"/>
        <v>0.009375</v>
      </c>
      <c r="L50" s="48" t="s">
        <v>51</v>
      </c>
    </row>
    <row r="51">
      <c r="A51" s="28">
        <v>46300.0</v>
      </c>
      <c r="B51" s="14"/>
      <c r="C51" s="13"/>
      <c r="D51" s="16"/>
      <c r="E51" s="18"/>
      <c r="F51" s="16" t="str">
        <f t="shared" si="1"/>
        <v/>
      </c>
      <c r="G51" s="14" t="str">
        <f t="shared" si="5"/>
        <v/>
      </c>
      <c r="H51" s="16"/>
      <c r="I51" s="16"/>
      <c r="J51" s="16" t="str">
        <f t="shared" si="3"/>
        <v/>
      </c>
      <c r="K51" s="24" t="str">
        <f t="shared" si="4"/>
        <v/>
      </c>
      <c r="L51" s="12"/>
    </row>
    <row r="52">
      <c r="A52" s="28"/>
      <c r="B52" s="13"/>
      <c r="C52" s="14"/>
      <c r="D52" s="16"/>
      <c r="E52" s="18"/>
      <c r="F52" s="16" t="str">
        <f t="shared" si="1"/>
        <v/>
      </c>
      <c r="G52" s="14" t="str">
        <f t="shared" si="5"/>
        <v/>
      </c>
      <c r="H52" s="16"/>
      <c r="I52" s="16"/>
      <c r="J52" s="16" t="str">
        <f t="shared" si="3"/>
        <v/>
      </c>
      <c r="K52" s="24" t="str">
        <f t="shared" si="4"/>
        <v/>
      </c>
      <c r="L52" s="12"/>
    </row>
    <row r="53">
      <c r="A53" s="28"/>
      <c r="B53" s="14"/>
      <c r="C53" s="14"/>
      <c r="D53" s="16"/>
      <c r="E53" s="18"/>
      <c r="F53" s="16" t="str">
        <f t="shared" si="1"/>
        <v/>
      </c>
      <c r="G53" s="14" t="str">
        <f t="shared" si="5"/>
        <v/>
      </c>
      <c r="H53" s="16"/>
      <c r="I53" s="16"/>
      <c r="J53" s="16" t="str">
        <f t="shared" si="3"/>
        <v/>
      </c>
      <c r="K53" s="24" t="str">
        <f t="shared" si="4"/>
        <v/>
      </c>
      <c r="L53" s="12"/>
    </row>
    <row r="54">
      <c r="A54" s="28"/>
      <c r="B54" s="14"/>
      <c r="C54" s="14"/>
      <c r="D54" s="16"/>
      <c r="E54" s="18"/>
      <c r="F54" s="16" t="str">
        <f t="shared" si="1"/>
        <v/>
      </c>
      <c r="G54" s="14" t="str">
        <f t="shared" si="5"/>
        <v/>
      </c>
      <c r="H54" s="16"/>
      <c r="I54" s="16"/>
      <c r="J54" s="16" t="str">
        <f t="shared" si="3"/>
        <v/>
      </c>
      <c r="K54" s="24" t="str">
        <f t="shared" si="4"/>
        <v/>
      </c>
      <c r="L54" s="12"/>
    </row>
    <row r="55">
      <c r="A55" s="28"/>
      <c r="B55" s="14"/>
      <c r="C55" s="14"/>
      <c r="D55" s="16"/>
      <c r="E55" s="18"/>
      <c r="F55" s="16" t="str">
        <f t="shared" si="1"/>
        <v/>
      </c>
      <c r="G55" s="14" t="str">
        <f t="shared" si="5"/>
        <v/>
      </c>
      <c r="H55" s="16"/>
      <c r="I55" s="16"/>
      <c r="J55" s="16" t="str">
        <f t="shared" si="3"/>
        <v/>
      </c>
      <c r="K55" s="24" t="str">
        <f t="shared" si="4"/>
        <v/>
      </c>
      <c r="L55" s="12"/>
    </row>
    <row r="56">
      <c r="A56" s="28"/>
      <c r="B56" s="14"/>
      <c r="C56" s="14"/>
      <c r="D56" s="16"/>
      <c r="E56" s="18"/>
      <c r="F56" s="16" t="str">
        <f t="shared" si="1"/>
        <v/>
      </c>
      <c r="G56" s="14" t="str">
        <f t="shared" si="5"/>
        <v/>
      </c>
      <c r="H56" s="16"/>
      <c r="I56" s="16"/>
      <c r="J56" s="16" t="str">
        <f t="shared" si="3"/>
        <v/>
      </c>
      <c r="K56" s="24" t="str">
        <f t="shared" si="4"/>
        <v/>
      </c>
      <c r="L56" s="12"/>
    </row>
    <row r="57">
      <c r="A57" s="28"/>
      <c r="B57" s="14"/>
      <c r="C57" s="14"/>
      <c r="D57" s="16"/>
      <c r="E57" s="18"/>
      <c r="F57" s="16" t="str">
        <f t="shared" si="1"/>
        <v/>
      </c>
      <c r="G57" s="14" t="str">
        <f t="shared" si="5"/>
        <v/>
      </c>
      <c r="H57" s="16"/>
      <c r="I57" s="16"/>
      <c r="J57" s="16" t="str">
        <f t="shared" si="3"/>
        <v/>
      </c>
      <c r="K57" s="24" t="str">
        <f t="shared" si="4"/>
        <v/>
      </c>
      <c r="L57" s="12"/>
    </row>
    <row r="58">
      <c r="A58" s="28"/>
      <c r="B58" s="14"/>
      <c r="C58" s="14"/>
      <c r="D58" s="16"/>
      <c r="E58" s="18"/>
      <c r="F58" s="16" t="str">
        <f t="shared" si="1"/>
        <v/>
      </c>
      <c r="G58" s="14" t="str">
        <f t="shared" si="5"/>
        <v/>
      </c>
      <c r="H58" s="16"/>
      <c r="I58" s="16"/>
      <c r="J58" s="16" t="str">
        <f t="shared" si="3"/>
        <v/>
      </c>
      <c r="K58" s="24" t="str">
        <f t="shared" si="4"/>
        <v/>
      </c>
      <c r="L58" s="12"/>
    </row>
    <row r="59">
      <c r="A59" s="28"/>
      <c r="B59" s="14"/>
      <c r="C59" s="14"/>
      <c r="D59" s="16"/>
      <c r="E59" s="18"/>
      <c r="F59" s="16" t="str">
        <f t="shared" si="1"/>
        <v/>
      </c>
      <c r="G59" s="14" t="str">
        <f t="shared" si="5"/>
        <v/>
      </c>
      <c r="H59" s="16"/>
      <c r="I59" s="16"/>
      <c r="J59" s="16" t="str">
        <f t="shared" si="3"/>
        <v/>
      </c>
      <c r="K59" s="24" t="str">
        <f t="shared" si="4"/>
        <v/>
      </c>
      <c r="L59" s="12"/>
    </row>
    <row r="60">
      <c r="A60" s="28"/>
      <c r="B60" s="14"/>
      <c r="C60" s="14"/>
      <c r="D60" s="16"/>
      <c r="E60" s="18"/>
      <c r="F60" s="16" t="str">
        <f t="shared" si="1"/>
        <v/>
      </c>
      <c r="G60" s="14" t="str">
        <f t="shared" si="5"/>
        <v/>
      </c>
      <c r="H60" s="16"/>
      <c r="I60" s="16"/>
      <c r="J60" s="16" t="str">
        <f t="shared" si="3"/>
        <v/>
      </c>
      <c r="K60" s="24" t="str">
        <f t="shared" si="4"/>
        <v/>
      </c>
      <c r="L60" s="12"/>
    </row>
    <row r="61">
      <c r="A61" s="28"/>
      <c r="B61" s="14"/>
      <c r="C61" s="14"/>
      <c r="D61" s="16"/>
      <c r="E61" s="18"/>
      <c r="F61" s="16" t="str">
        <f t="shared" si="1"/>
        <v/>
      </c>
      <c r="G61" s="14" t="str">
        <f t="shared" si="5"/>
        <v/>
      </c>
      <c r="H61" s="16"/>
      <c r="I61" s="16"/>
      <c r="J61" s="16" t="str">
        <f t="shared" si="3"/>
        <v/>
      </c>
      <c r="K61" s="24" t="str">
        <f t="shared" si="4"/>
        <v/>
      </c>
      <c r="L61" s="12"/>
    </row>
    <row r="62">
      <c r="A62" s="28"/>
      <c r="B62" s="14"/>
      <c r="C62" s="14"/>
      <c r="D62" s="16"/>
      <c r="E62" s="18"/>
      <c r="F62" s="16" t="str">
        <f t="shared" si="1"/>
        <v/>
      </c>
      <c r="G62" s="14" t="str">
        <f t="shared" si="5"/>
        <v/>
      </c>
      <c r="H62" s="16"/>
      <c r="I62" s="16"/>
      <c r="J62" s="16" t="str">
        <f t="shared" si="3"/>
        <v/>
      </c>
      <c r="K62" s="24" t="str">
        <f t="shared" si="4"/>
        <v/>
      </c>
      <c r="L62" s="12"/>
    </row>
    <row r="63">
      <c r="A63" s="28"/>
      <c r="B63" s="14"/>
      <c r="C63" s="14"/>
      <c r="D63" s="16"/>
      <c r="E63" s="18"/>
      <c r="F63" s="16" t="str">
        <f t="shared" si="1"/>
        <v/>
      </c>
      <c r="G63" s="14" t="str">
        <f t="shared" si="5"/>
        <v/>
      </c>
      <c r="H63" s="16"/>
      <c r="I63" s="16"/>
      <c r="J63" s="16" t="str">
        <f t="shared" si="3"/>
        <v/>
      </c>
      <c r="K63" s="24" t="str">
        <f t="shared" si="4"/>
        <v/>
      </c>
      <c r="L63" s="12"/>
    </row>
    <row r="64">
      <c r="A64" s="28"/>
      <c r="B64" s="14"/>
      <c r="C64" s="14"/>
      <c r="D64" s="16"/>
      <c r="E64" s="18"/>
      <c r="F64" s="16" t="str">
        <f t="shared" si="1"/>
        <v/>
      </c>
      <c r="G64" s="14" t="str">
        <f t="shared" si="5"/>
        <v/>
      </c>
      <c r="H64" s="16"/>
      <c r="I64" s="16"/>
      <c r="J64" s="16" t="str">
        <f t="shared" si="3"/>
        <v/>
      </c>
      <c r="K64" s="24" t="str">
        <f t="shared" si="4"/>
        <v/>
      </c>
      <c r="L64" s="12"/>
    </row>
    <row r="65">
      <c r="A65" s="28"/>
      <c r="B65" s="14"/>
      <c r="C65" s="14"/>
      <c r="D65" s="16"/>
      <c r="E65" s="18"/>
      <c r="F65" s="16" t="str">
        <f t="shared" si="1"/>
        <v/>
      </c>
      <c r="G65" s="14" t="str">
        <f t="shared" si="5"/>
        <v/>
      </c>
      <c r="H65" s="16"/>
      <c r="I65" s="16"/>
      <c r="J65" s="16" t="str">
        <f t="shared" si="3"/>
        <v/>
      </c>
      <c r="K65" s="24" t="str">
        <f t="shared" si="4"/>
        <v/>
      </c>
      <c r="L65" s="12"/>
    </row>
    <row r="66">
      <c r="A66" s="28"/>
      <c r="B66" s="14"/>
      <c r="C66" s="14"/>
      <c r="D66" s="16"/>
      <c r="E66" s="18"/>
      <c r="F66" s="16" t="str">
        <f t="shared" si="1"/>
        <v/>
      </c>
      <c r="G66" s="14" t="str">
        <f t="shared" si="5"/>
        <v/>
      </c>
      <c r="H66" s="16"/>
      <c r="I66" s="16"/>
      <c r="J66" s="16" t="str">
        <f t="shared" si="3"/>
        <v/>
      </c>
      <c r="K66" s="24" t="str">
        <f t="shared" si="4"/>
        <v/>
      </c>
      <c r="L66" s="12"/>
    </row>
    <row r="67">
      <c r="A67" s="28"/>
      <c r="B67" s="14"/>
      <c r="C67" s="14"/>
      <c r="D67" s="16"/>
      <c r="E67" s="18"/>
      <c r="F67" s="16" t="str">
        <f t="shared" si="1"/>
        <v/>
      </c>
      <c r="G67" s="14" t="str">
        <f t="shared" si="5"/>
        <v/>
      </c>
      <c r="H67" s="16"/>
      <c r="I67" s="16"/>
      <c r="J67" s="16" t="str">
        <f t="shared" si="3"/>
        <v/>
      </c>
      <c r="K67" s="24" t="str">
        <f t="shared" si="4"/>
        <v/>
      </c>
      <c r="L67" s="12"/>
    </row>
    <row r="68">
      <c r="A68" s="28"/>
      <c r="B68" s="14"/>
      <c r="C68" s="14"/>
      <c r="D68" s="16"/>
      <c r="E68" s="18"/>
      <c r="F68" s="16" t="str">
        <f t="shared" si="1"/>
        <v/>
      </c>
      <c r="G68" s="14" t="str">
        <f t="shared" si="5"/>
        <v/>
      </c>
      <c r="H68" s="16"/>
      <c r="I68" s="16"/>
      <c r="J68" s="16" t="str">
        <f t="shared" si="3"/>
        <v/>
      </c>
      <c r="K68" s="24" t="str">
        <f t="shared" si="4"/>
        <v/>
      </c>
      <c r="L68" s="12"/>
    </row>
    <row r="69">
      <c r="A69" s="28"/>
      <c r="B69" s="14"/>
      <c r="C69" s="14"/>
      <c r="D69" s="16"/>
      <c r="E69" s="18"/>
      <c r="F69" s="16" t="str">
        <f t="shared" si="1"/>
        <v/>
      </c>
      <c r="G69" s="14" t="str">
        <f t="shared" si="5"/>
        <v/>
      </c>
      <c r="H69" s="16"/>
      <c r="I69" s="16"/>
      <c r="J69" s="16" t="str">
        <f t="shared" si="3"/>
        <v/>
      </c>
      <c r="K69" s="24" t="str">
        <f t="shared" si="4"/>
        <v/>
      </c>
      <c r="L69" s="12"/>
    </row>
    <row r="70">
      <c r="A70" s="28"/>
      <c r="B70" s="14"/>
      <c r="C70" s="14"/>
      <c r="D70" s="16"/>
      <c r="E70" s="18"/>
      <c r="F70" s="16" t="str">
        <f t="shared" si="1"/>
        <v/>
      </c>
      <c r="G70" s="14" t="str">
        <f t="shared" si="5"/>
        <v/>
      </c>
      <c r="H70" s="16"/>
      <c r="I70" s="16"/>
      <c r="J70" s="16" t="str">
        <f t="shared" si="3"/>
        <v/>
      </c>
      <c r="K70" s="24" t="str">
        <f t="shared" si="4"/>
        <v/>
      </c>
      <c r="L70" s="12"/>
    </row>
    <row r="71">
      <c r="A71" s="28"/>
      <c r="B71" s="14"/>
      <c r="C71" s="14"/>
      <c r="D71" s="16"/>
      <c r="E71" s="18"/>
      <c r="F71" s="16" t="str">
        <f t="shared" si="1"/>
        <v/>
      </c>
      <c r="G71" s="14" t="str">
        <f t="shared" si="5"/>
        <v/>
      </c>
      <c r="H71" s="16"/>
      <c r="I71" s="16"/>
      <c r="J71" s="16" t="str">
        <f t="shared" si="3"/>
        <v/>
      </c>
      <c r="K71" s="24" t="str">
        <f t="shared" si="4"/>
        <v/>
      </c>
      <c r="L71" s="12"/>
    </row>
    <row r="72">
      <c r="A72" s="28"/>
      <c r="B72" s="14"/>
      <c r="C72" s="14"/>
      <c r="D72" s="16"/>
      <c r="E72" s="18"/>
      <c r="F72" s="16" t="str">
        <f t="shared" si="1"/>
        <v/>
      </c>
      <c r="G72" s="14" t="str">
        <f t="shared" si="5"/>
        <v/>
      </c>
      <c r="H72" s="16"/>
      <c r="I72" s="16"/>
      <c r="J72" s="16" t="str">
        <f t="shared" si="3"/>
        <v/>
      </c>
      <c r="K72" s="24" t="str">
        <f t="shared" si="4"/>
        <v/>
      </c>
      <c r="L72" s="12"/>
    </row>
    <row r="73">
      <c r="A73" s="28"/>
      <c r="B73" s="14"/>
      <c r="C73" s="14"/>
      <c r="D73" s="16"/>
      <c r="E73" s="18"/>
      <c r="F73" s="16" t="str">
        <f t="shared" si="1"/>
        <v/>
      </c>
      <c r="G73" s="14" t="str">
        <f t="shared" si="5"/>
        <v/>
      </c>
      <c r="H73" s="16"/>
      <c r="I73" s="16"/>
      <c r="J73" s="16" t="str">
        <f t="shared" si="3"/>
        <v/>
      </c>
      <c r="K73" s="24" t="str">
        <f t="shared" si="4"/>
        <v/>
      </c>
      <c r="L73" s="12"/>
    </row>
    <row r="74">
      <c r="A74" s="28"/>
      <c r="B74" s="14"/>
      <c r="C74" s="14"/>
      <c r="D74" s="16"/>
      <c r="E74" s="18"/>
      <c r="F74" s="16" t="str">
        <f t="shared" si="1"/>
        <v/>
      </c>
      <c r="G74" s="14" t="str">
        <f t="shared" si="5"/>
        <v/>
      </c>
      <c r="H74" s="16"/>
      <c r="I74" s="16"/>
      <c r="J74" s="16" t="str">
        <f t="shared" si="3"/>
        <v/>
      </c>
      <c r="K74" s="24" t="str">
        <f t="shared" si="4"/>
        <v/>
      </c>
      <c r="L74" s="12"/>
    </row>
    <row r="75">
      <c r="A75" s="28"/>
      <c r="B75" s="14"/>
      <c r="C75" s="14"/>
      <c r="D75" s="16"/>
      <c r="E75" s="18"/>
      <c r="F75" s="16" t="str">
        <f t="shared" si="1"/>
        <v/>
      </c>
      <c r="G75" s="14" t="str">
        <f t="shared" si="5"/>
        <v/>
      </c>
      <c r="H75" s="16"/>
      <c r="I75" s="16"/>
      <c r="J75" s="16" t="str">
        <f t="shared" si="3"/>
        <v/>
      </c>
      <c r="K75" s="24" t="str">
        <f t="shared" si="4"/>
        <v/>
      </c>
      <c r="L75" s="12"/>
    </row>
    <row r="76">
      <c r="A76" s="28"/>
      <c r="B76" s="14"/>
      <c r="C76" s="14"/>
      <c r="D76" s="16"/>
      <c r="E76" s="18"/>
      <c r="F76" s="16" t="str">
        <f t="shared" si="1"/>
        <v/>
      </c>
      <c r="G76" s="14" t="str">
        <f t="shared" si="5"/>
        <v/>
      </c>
      <c r="H76" s="16"/>
      <c r="I76" s="16"/>
      <c r="J76" s="16" t="str">
        <f t="shared" si="3"/>
        <v/>
      </c>
      <c r="K76" s="24" t="str">
        <f t="shared" si="4"/>
        <v/>
      </c>
      <c r="L76" s="12"/>
    </row>
    <row r="77">
      <c r="A77" s="28"/>
      <c r="B77" s="14"/>
      <c r="C77" s="14"/>
      <c r="D77" s="16"/>
      <c r="E77" s="18"/>
      <c r="F77" s="16" t="str">
        <f t="shared" si="1"/>
        <v/>
      </c>
      <c r="G77" s="14" t="str">
        <f t="shared" si="5"/>
        <v/>
      </c>
      <c r="H77" s="16"/>
      <c r="I77" s="16"/>
      <c r="J77" s="16" t="str">
        <f t="shared" si="3"/>
        <v/>
      </c>
      <c r="K77" s="24" t="str">
        <f t="shared" si="4"/>
        <v/>
      </c>
      <c r="L77" s="12"/>
    </row>
    <row r="78">
      <c r="A78" s="28"/>
      <c r="B78" s="14"/>
      <c r="C78" s="14"/>
      <c r="D78" s="16"/>
      <c r="E78" s="18"/>
      <c r="F78" s="16" t="str">
        <f t="shared" si="1"/>
        <v/>
      </c>
      <c r="G78" s="14" t="str">
        <f t="shared" si="5"/>
        <v/>
      </c>
      <c r="H78" s="16"/>
      <c r="I78" s="16"/>
      <c r="J78" s="16" t="str">
        <f t="shared" si="3"/>
        <v/>
      </c>
      <c r="K78" s="24" t="str">
        <f t="shared" si="4"/>
        <v/>
      </c>
      <c r="L78" s="12"/>
    </row>
    <row r="79">
      <c r="A79" s="28"/>
      <c r="B79" s="14"/>
      <c r="C79" s="14"/>
      <c r="D79" s="16"/>
      <c r="E79" s="18"/>
      <c r="F79" s="16" t="str">
        <f t="shared" si="1"/>
        <v/>
      </c>
      <c r="G79" s="14" t="str">
        <f t="shared" si="5"/>
        <v/>
      </c>
      <c r="H79" s="16"/>
      <c r="I79" s="16"/>
      <c r="J79" s="16" t="str">
        <f t="shared" si="3"/>
        <v/>
      </c>
      <c r="K79" s="24" t="str">
        <f t="shared" si="4"/>
        <v/>
      </c>
      <c r="L79" s="12"/>
    </row>
    <row r="80">
      <c r="A80" s="12"/>
      <c r="B80" s="14"/>
      <c r="C80" s="14"/>
      <c r="D80" s="16"/>
      <c r="E80" s="18"/>
      <c r="F80" s="16" t="str">
        <f t="shared" si="1"/>
        <v/>
      </c>
      <c r="G80" s="14" t="str">
        <f t="shared" si="5"/>
        <v/>
      </c>
      <c r="H80" s="16"/>
      <c r="I80" s="16"/>
      <c r="J80" s="16" t="str">
        <f t="shared" si="3"/>
        <v/>
      </c>
      <c r="K80" s="24" t="str">
        <f t="shared" si="4"/>
        <v/>
      </c>
      <c r="L80" s="12"/>
    </row>
    <row r="81">
      <c r="A81" s="12"/>
      <c r="B81" s="14"/>
      <c r="C81" s="14"/>
      <c r="D81" s="16"/>
      <c r="E81" s="18"/>
      <c r="F81" s="16" t="str">
        <f t="shared" si="1"/>
        <v/>
      </c>
      <c r="G81" s="14" t="str">
        <f t="shared" si="5"/>
        <v/>
      </c>
      <c r="H81" s="16"/>
      <c r="I81" s="16"/>
      <c r="J81" s="16" t="str">
        <f t="shared" si="3"/>
        <v/>
      </c>
      <c r="K81" s="24" t="str">
        <f t="shared" si="4"/>
        <v/>
      </c>
      <c r="L81" s="12"/>
    </row>
    <row r="82">
      <c r="A82" s="12"/>
      <c r="B82" s="14"/>
      <c r="C82" s="14"/>
      <c r="D82" s="16"/>
      <c r="E82" s="18"/>
      <c r="F82" s="16" t="str">
        <f t="shared" si="1"/>
        <v/>
      </c>
      <c r="G82" s="14" t="str">
        <f t="shared" si="5"/>
        <v/>
      </c>
      <c r="H82" s="16"/>
      <c r="I82" s="16"/>
      <c r="J82" s="16" t="str">
        <f t="shared" si="3"/>
        <v/>
      </c>
      <c r="K82" s="24" t="str">
        <f t="shared" si="4"/>
        <v/>
      </c>
      <c r="L82" s="12"/>
    </row>
    <row r="83">
      <c r="A83" s="12"/>
      <c r="B83" s="14"/>
      <c r="C83" s="14"/>
      <c r="D83" s="16"/>
      <c r="E83" s="18"/>
      <c r="F83" s="16" t="str">
        <f t="shared" si="1"/>
        <v/>
      </c>
      <c r="G83" s="14" t="str">
        <f t="shared" si="5"/>
        <v/>
      </c>
      <c r="H83" s="16"/>
      <c r="I83" s="16"/>
      <c r="J83" s="16" t="str">
        <f t="shared" si="3"/>
        <v/>
      </c>
      <c r="K83" s="24" t="str">
        <f t="shared" si="4"/>
        <v/>
      </c>
      <c r="L83" s="12"/>
    </row>
    <row r="84">
      <c r="A84" s="12"/>
      <c r="B84" s="14"/>
      <c r="C84" s="14"/>
      <c r="D84" s="16"/>
      <c r="E84" s="18"/>
      <c r="F84" s="16" t="str">
        <f t="shared" si="1"/>
        <v/>
      </c>
      <c r="G84" s="14" t="str">
        <f t="shared" si="5"/>
        <v/>
      </c>
      <c r="H84" s="16"/>
      <c r="I84" s="16"/>
      <c r="J84" s="16" t="str">
        <f t="shared" si="3"/>
        <v/>
      </c>
      <c r="K84" s="24" t="str">
        <f t="shared" si="4"/>
        <v/>
      </c>
      <c r="L84" s="12"/>
    </row>
    <row r="85">
      <c r="A85" s="12"/>
      <c r="B85" s="14"/>
      <c r="C85" s="14"/>
      <c r="D85" s="16"/>
      <c r="E85" s="18"/>
      <c r="F85" s="16" t="str">
        <f t="shared" si="1"/>
        <v/>
      </c>
      <c r="G85" s="14" t="str">
        <f t="shared" si="5"/>
        <v/>
      </c>
      <c r="H85" s="16"/>
      <c r="I85" s="16"/>
      <c r="J85" s="16" t="str">
        <f t="shared" si="3"/>
        <v/>
      </c>
      <c r="K85" s="24" t="str">
        <f t="shared" si="4"/>
        <v/>
      </c>
      <c r="L85" s="12"/>
    </row>
    <row r="86">
      <c r="A86" s="12"/>
      <c r="B86" s="14"/>
      <c r="C86" s="14"/>
      <c r="D86" s="16"/>
      <c r="E86" s="18"/>
      <c r="F86" s="16" t="str">
        <f t="shared" si="1"/>
        <v/>
      </c>
      <c r="G86" s="14" t="str">
        <f t="shared" si="5"/>
        <v/>
      </c>
      <c r="H86" s="16"/>
      <c r="I86" s="16"/>
      <c r="J86" s="16" t="str">
        <f t="shared" si="3"/>
        <v/>
      </c>
      <c r="K86" s="24" t="str">
        <f t="shared" si="4"/>
        <v/>
      </c>
      <c r="L86" s="12"/>
    </row>
    <row r="87">
      <c r="A87" s="12"/>
      <c r="B87" s="14"/>
      <c r="C87" s="14"/>
      <c r="D87" s="16"/>
      <c r="E87" s="18"/>
      <c r="F87" s="16" t="str">
        <f t="shared" si="1"/>
        <v/>
      </c>
      <c r="G87" s="14" t="str">
        <f t="shared" si="5"/>
        <v/>
      </c>
      <c r="H87" s="16"/>
      <c r="I87" s="16"/>
      <c r="J87" s="16" t="str">
        <f t="shared" si="3"/>
        <v/>
      </c>
      <c r="K87" s="24" t="str">
        <f t="shared" si="4"/>
        <v/>
      </c>
      <c r="L87" s="12"/>
    </row>
    <row r="88">
      <c r="A88" s="12"/>
      <c r="B88" s="14"/>
      <c r="C88" s="14"/>
      <c r="D88" s="16"/>
      <c r="E88" s="18"/>
      <c r="F88" s="16" t="str">
        <f t="shared" si="1"/>
        <v/>
      </c>
      <c r="G88" s="14" t="str">
        <f t="shared" si="5"/>
        <v/>
      </c>
      <c r="H88" s="16"/>
      <c r="I88" s="16"/>
      <c r="J88" s="16" t="str">
        <f t="shared" si="3"/>
        <v/>
      </c>
      <c r="K88" s="24" t="str">
        <f t="shared" si="4"/>
        <v/>
      </c>
      <c r="L88" s="12"/>
    </row>
    <row r="89">
      <c r="A89" s="12"/>
      <c r="B89" s="14"/>
      <c r="C89" s="14"/>
      <c r="D89" s="16"/>
      <c r="E89" s="18"/>
      <c r="F89" s="16" t="str">
        <f t="shared" si="1"/>
        <v/>
      </c>
      <c r="G89" s="14" t="str">
        <f t="shared" si="5"/>
        <v/>
      </c>
      <c r="H89" s="16"/>
      <c r="I89" s="16"/>
      <c r="J89" s="16" t="str">
        <f t="shared" si="3"/>
        <v/>
      </c>
      <c r="K89" s="24" t="str">
        <f t="shared" si="4"/>
        <v/>
      </c>
      <c r="L89" s="12"/>
    </row>
    <row r="90">
      <c r="A90" s="12"/>
      <c r="B90" s="14"/>
      <c r="C90" s="14"/>
      <c r="D90" s="16"/>
      <c r="E90" s="18"/>
      <c r="F90" s="16" t="str">
        <f t="shared" si="1"/>
        <v/>
      </c>
      <c r="G90" s="14" t="str">
        <f t="shared" si="5"/>
        <v/>
      </c>
      <c r="H90" s="16"/>
      <c r="I90" s="16"/>
      <c r="J90" s="16" t="str">
        <f t="shared" si="3"/>
        <v/>
      </c>
      <c r="K90" s="24" t="str">
        <f t="shared" si="4"/>
        <v/>
      </c>
      <c r="L90" s="12"/>
    </row>
    <row r="91">
      <c r="A91" s="12"/>
      <c r="B91" s="14"/>
      <c r="C91" s="14"/>
      <c r="D91" s="16"/>
      <c r="E91" s="18"/>
      <c r="F91" s="16" t="str">
        <f t="shared" si="1"/>
        <v/>
      </c>
      <c r="G91" s="14" t="str">
        <f t="shared" si="5"/>
        <v/>
      </c>
      <c r="H91" s="16"/>
      <c r="I91" s="16"/>
      <c r="J91" s="16" t="str">
        <f t="shared" si="3"/>
        <v/>
      </c>
      <c r="K91" s="24" t="str">
        <f t="shared" si="4"/>
        <v/>
      </c>
      <c r="L91" s="12"/>
    </row>
    <row r="92">
      <c r="A92" s="12"/>
      <c r="B92" s="14"/>
      <c r="C92" s="14"/>
      <c r="D92" s="16"/>
      <c r="E92" s="18"/>
      <c r="F92" s="16" t="str">
        <f t="shared" si="1"/>
        <v/>
      </c>
      <c r="G92" s="14" t="str">
        <f t="shared" si="5"/>
        <v/>
      </c>
      <c r="H92" s="16"/>
      <c r="I92" s="16"/>
      <c r="J92" s="16" t="str">
        <f t="shared" si="3"/>
        <v/>
      </c>
      <c r="K92" s="24" t="str">
        <f t="shared" si="4"/>
        <v/>
      </c>
      <c r="L92" s="12"/>
    </row>
    <row r="93">
      <c r="A93" s="12"/>
      <c r="B93" s="14"/>
      <c r="C93" s="14"/>
      <c r="D93" s="16"/>
      <c r="E93" s="18"/>
      <c r="F93" s="16" t="str">
        <f t="shared" si="1"/>
        <v/>
      </c>
      <c r="G93" s="14" t="str">
        <f t="shared" si="5"/>
        <v/>
      </c>
      <c r="H93" s="16"/>
      <c r="I93" s="16"/>
      <c r="J93" s="16" t="str">
        <f t="shared" si="3"/>
        <v/>
      </c>
      <c r="K93" s="24" t="str">
        <f t="shared" si="4"/>
        <v/>
      </c>
      <c r="L93" s="12"/>
    </row>
    <row r="94">
      <c r="A94" s="12"/>
      <c r="B94" s="14"/>
      <c r="C94" s="14"/>
      <c r="D94" s="16"/>
      <c r="E94" s="18"/>
      <c r="F94" s="16" t="str">
        <f t="shared" si="1"/>
        <v/>
      </c>
      <c r="G94" s="14" t="str">
        <f t="shared" si="5"/>
        <v/>
      </c>
      <c r="H94" s="16"/>
      <c r="I94" s="16"/>
      <c r="J94" s="16" t="str">
        <f t="shared" si="3"/>
        <v/>
      </c>
      <c r="K94" s="24" t="str">
        <f t="shared" si="4"/>
        <v/>
      </c>
      <c r="L94" s="12"/>
    </row>
    <row r="95">
      <c r="A95" s="12"/>
      <c r="B95" s="14"/>
      <c r="C95" s="14"/>
      <c r="D95" s="16"/>
      <c r="E95" s="18"/>
      <c r="F95" s="16" t="str">
        <f t="shared" si="1"/>
        <v/>
      </c>
      <c r="G95" s="14" t="str">
        <f t="shared" si="5"/>
        <v/>
      </c>
      <c r="H95" s="16"/>
      <c r="I95" s="16"/>
      <c r="J95" s="16" t="str">
        <f t="shared" si="3"/>
        <v/>
      </c>
      <c r="K95" s="24" t="str">
        <f t="shared" si="4"/>
        <v/>
      </c>
      <c r="L95" s="12"/>
    </row>
    <row r="96">
      <c r="A96" s="12"/>
      <c r="B96" s="14"/>
      <c r="C96" s="14"/>
      <c r="D96" s="16"/>
      <c r="E96" s="18"/>
      <c r="F96" s="16" t="str">
        <f t="shared" si="1"/>
        <v/>
      </c>
      <c r="G96" s="14" t="str">
        <f t="shared" si="5"/>
        <v/>
      </c>
      <c r="H96" s="16"/>
      <c r="I96" s="16"/>
      <c r="J96" s="16" t="str">
        <f t="shared" si="3"/>
        <v/>
      </c>
      <c r="K96" s="24" t="str">
        <f t="shared" si="4"/>
        <v/>
      </c>
      <c r="L96" s="12"/>
    </row>
    <row r="97">
      <c r="A97" s="12"/>
      <c r="B97" s="14"/>
      <c r="C97" s="14"/>
      <c r="D97" s="16"/>
      <c r="E97" s="18"/>
      <c r="F97" s="16" t="str">
        <f t="shared" si="1"/>
        <v/>
      </c>
      <c r="G97" s="14" t="str">
        <f t="shared" si="5"/>
        <v/>
      </c>
      <c r="H97" s="16"/>
      <c r="I97" s="16"/>
      <c r="J97" s="16" t="str">
        <f t="shared" si="3"/>
        <v/>
      </c>
      <c r="K97" s="24" t="str">
        <f t="shared" si="4"/>
        <v/>
      </c>
      <c r="L97" s="12"/>
    </row>
    <row r="98">
      <c r="A98" s="12"/>
      <c r="B98" s="14"/>
      <c r="C98" s="14"/>
      <c r="D98" s="16"/>
      <c r="E98" s="18"/>
      <c r="F98" s="16" t="str">
        <f t="shared" si="1"/>
        <v/>
      </c>
      <c r="G98" s="14" t="str">
        <f t="shared" si="5"/>
        <v/>
      </c>
      <c r="H98" s="16"/>
      <c r="I98" s="16"/>
      <c r="J98" s="16" t="str">
        <f t="shared" si="3"/>
        <v/>
      </c>
      <c r="K98" s="24" t="str">
        <f t="shared" si="4"/>
        <v/>
      </c>
      <c r="L98" s="12"/>
    </row>
    <row r="99">
      <c r="A99" s="12"/>
      <c r="B99" s="14"/>
      <c r="C99" s="14"/>
      <c r="D99" s="16"/>
      <c r="E99" s="18"/>
      <c r="F99" s="16" t="str">
        <f t="shared" si="1"/>
        <v/>
      </c>
      <c r="G99" s="14" t="str">
        <f t="shared" si="5"/>
        <v/>
      </c>
      <c r="H99" s="16"/>
      <c r="I99" s="16"/>
      <c r="J99" s="16" t="str">
        <f t="shared" si="3"/>
        <v/>
      </c>
      <c r="K99" s="24" t="str">
        <f t="shared" si="4"/>
        <v/>
      </c>
      <c r="L99" s="12"/>
    </row>
    <row r="100">
      <c r="A100" s="12"/>
      <c r="B100" s="14"/>
      <c r="C100" s="14"/>
      <c r="D100" s="16"/>
      <c r="E100" s="18"/>
      <c r="F100" s="16" t="str">
        <f t="shared" si="1"/>
        <v/>
      </c>
      <c r="G100" s="14" t="str">
        <f t="shared" si="5"/>
        <v/>
      </c>
      <c r="H100" s="16"/>
      <c r="I100" s="16"/>
      <c r="J100" s="16" t="str">
        <f t="shared" si="3"/>
        <v/>
      </c>
      <c r="K100" s="24" t="str">
        <f t="shared" si="4"/>
        <v/>
      </c>
      <c r="L100" s="12"/>
    </row>
    <row r="101">
      <c r="A101" s="12"/>
      <c r="B101" s="14"/>
      <c r="C101" s="14"/>
      <c r="D101" s="16"/>
      <c r="E101" s="18"/>
      <c r="F101" s="16" t="str">
        <f t="shared" si="1"/>
        <v/>
      </c>
      <c r="G101" s="14" t="str">
        <f t="shared" si="5"/>
        <v/>
      </c>
      <c r="H101" s="16"/>
      <c r="I101" s="16"/>
      <c r="J101" s="16" t="str">
        <f t="shared" si="3"/>
        <v/>
      </c>
      <c r="K101" s="24" t="str">
        <f t="shared" si="4"/>
        <v/>
      </c>
      <c r="L101" s="12"/>
    </row>
    <row r="102">
      <c r="E102" s="50"/>
      <c r="G102" s="51"/>
    </row>
    <row r="103">
      <c r="E103" s="50"/>
      <c r="G103" s="51"/>
    </row>
    <row r="104">
      <c r="E104" s="50"/>
      <c r="G104" s="51"/>
    </row>
    <row r="105">
      <c r="E105" s="50"/>
      <c r="G105" s="51"/>
    </row>
    <row r="106">
      <c r="E106" s="50"/>
      <c r="G106" s="51"/>
    </row>
    <row r="107">
      <c r="E107" s="50"/>
      <c r="G107" s="51"/>
    </row>
    <row r="108">
      <c r="E108" s="50"/>
      <c r="G108" s="51"/>
    </row>
    <row r="109">
      <c r="E109" s="50"/>
      <c r="G109" s="51"/>
    </row>
    <row r="110">
      <c r="E110" s="50"/>
      <c r="G110" s="51"/>
    </row>
    <row r="111">
      <c r="E111" s="50"/>
      <c r="G111" s="51"/>
    </row>
    <row r="112">
      <c r="E112" s="50"/>
      <c r="G112" s="51"/>
    </row>
    <row r="113">
      <c r="E113" s="50"/>
      <c r="G113" s="51"/>
    </row>
    <row r="114">
      <c r="E114" s="50"/>
      <c r="G114" s="51"/>
    </row>
    <row r="115">
      <c r="E115" s="50"/>
      <c r="G115" s="51"/>
    </row>
    <row r="116">
      <c r="E116" s="50"/>
      <c r="G116" s="51"/>
    </row>
    <row r="117">
      <c r="E117" s="50"/>
      <c r="G117" s="51"/>
    </row>
    <row r="118">
      <c r="E118" s="50"/>
      <c r="G118" s="51"/>
    </row>
    <row r="119">
      <c r="E119" s="50"/>
      <c r="G119" s="51"/>
    </row>
    <row r="120">
      <c r="E120" s="50"/>
      <c r="G120" s="51"/>
    </row>
    <row r="121">
      <c r="E121" s="50"/>
      <c r="G121" s="51"/>
    </row>
    <row r="122">
      <c r="E122" s="50"/>
      <c r="G122" s="51"/>
    </row>
    <row r="123">
      <c r="E123" s="50"/>
      <c r="G123" s="51"/>
    </row>
    <row r="124">
      <c r="E124" s="50"/>
      <c r="G124" s="51"/>
    </row>
    <row r="125">
      <c r="E125" s="50"/>
      <c r="G125" s="51"/>
    </row>
    <row r="126">
      <c r="E126" s="50"/>
      <c r="G126" s="51"/>
    </row>
    <row r="127">
      <c r="E127" s="50"/>
      <c r="G127" s="51"/>
    </row>
    <row r="128">
      <c r="E128" s="50"/>
      <c r="G128" s="51"/>
    </row>
    <row r="129">
      <c r="E129" s="50"/>
      <c r="G129" s="51"/>
    </row>
    <row r="130">
      <c r="E130" s="50"/>
      <c r="G130" s="51"/>
    </row>
    <row r="131">
      <c r="E131" s="50"/>
      <c r="G131" s="51"/>
    </row>
    <row r="132">
      <c r="E132" s="50"/>
      <c r="G132" s="51"/>
    </row>
    <row r="133">
      <c r="E133" s="50"/>
      <c r="G133" s="51"/>
    </row>
    <row r="134">
      <c r="E134" s="50"/>
      <c r="G134" s="51"/>
    </row>
    <row r="135">
      <c r="E135" s="50"/>
      <c r="G135" s="51"/>
    </row>
    <row r="136">
      <c r="E136" s="50"/>
      <c r="G136" s="51"/>
    </row>
    <row r="137">
      <c r="E137" s="50"/>
      <c r="G137" s="51"/>
    </row>
    <row r="138">
      <c r="E138" s="50"/>
      <c r="G138" s="51"/>
    </row>
    <row r="139">
      <c r="E139" s="50"/>
      <c r="G139" s="51"/>
    </row>
    <row r="140">
      <c r="E140" s="50"/>
      <c r="G140" s="51"/>
    </row>
    <row r="141">
      <c r="E141" s="50"/>
      <c r="G141" s="51"/>
    </row>
    <row r="142">
      <c r="E142" s="50"/>
      <c r="G142" s="51"/>
    </row>
    <row r="143">
      <c r="E143" s="50"/>
      <c r="G143" s="51"/>
    </row>
    <row r="144">
      <c r="E144" s="50"/>
      <c r="G144" s="51"/>
    </row>
    <row r="145">
      <c r="E145" s="50"/>
      <c r="G145" s="51"/>
    </row>
    <row r="146">
      <c r="E146" s="50"/>
      <c r="G146" s="51"/>
    </row>
    <row r="147">
      <c r="E147" s="50"/>
      <c r="G147" s="51"/>
    </row>
    <row r="148">
      <c r="E148" s="50"/>
      <c r="G148" s="51"/>
    </row>
    <row r="149">
      <c r="E149" s="50"/>
      <c r="G149" s="51"/>
    </row>
    <row r="150">
      <c r="E150" s="50"/>
      <c r="G150" s="51"/>
    </row>
    <row r="151">
      <c r="E151" s="50"/>
      <c r="G151" s="51"/>
    </row>
    <row r="152">
      <c r="E152" s="50"/>
      <c r="G152" s="51"/>
    </row>
    <row r="153">
      <c r="E153" s="50"/>
      <c r="G153" s="51"/>
    </row>
    <row r="154">
      <c r="E154" s="50"/>
      <c r="G154" s="51"/>
    </row>
    <row r="155">
      <c r="E155" s="50"/>
      <c r="G155" s="51"/>
    </row>
    <row r="156">
      <c r="E156" s="50"/>
      <c r="G156" s="51"/>
    </row>
    <row r="157">
      <c r="E157" s="50"/>
      <c r="G157" s="51"/>
    </row>
    <row r="158">
      <c r="E158" s="50"/>
      <c r="G158" s="51"/>
    </row>
    <row r="159">
      <c r="E159" s="50"/>
      <c r="G159" s="51"/>
    </row>
    <row r="160">
      <c r="E160" s="50"/>
      <c r="G160" s="51"/>
    </row>
    <row r="161">
      <c r="E161" s="50"/>
      <c r="G161" s="51"/>
    </row>
    <row r="162">
      <c r="E162" s="50"/>
      <c r="G162" s="51"/>
    </row>
    <row r="163">
      <c r="E163" s="50"/>
      <c r="G163" s="51"/>
    </row>
    <row r="164">
      <c r="E164" s="50"/>
      <c r="G164" s="51"/>
    </row>
    <row r="165">
      <c r="E165" s="50"/>
      <c r="G165" s="51"/>
    </row>
    <row r="166">
      <c r="E166" s="50"/>
      <c r="G166" s="51"/>
    </row>
    <row r="167">
      <c r="E167" s="50"/>
      <c r="G167" s="51"/>
    </row>
    <row r="168">
      <c r="E168" s="50"/>
      <c r="G168" s="51"/>
    </row>
    <row r="169">
      <c r="E169" s="50"/>
      <c r="G169" s="51"/>
    </row>
    <row r="170">
      <c r="E170" s="50"/>
      <c r="G170" s="51"/>
    </row>
    <row r="171">
      <c r="E171" s="50"/>
      <c r="G171" s="51"/>
    </row>
    <row r="172">
      <c r="E172" s="50"/>
      <c r="G172" s="51"/>
    </row>
    <row r="173">
      <c r="E173" s="50"/>
      <c r="G173" s="51"/>
    </row>
    <row r="174">
      <c r="E174" s="50"/>
      <c r="G174" s="51"/>
    </row>
    <row r="175">
      <c r="E175" s="50"/>
      <c r="G175" s="51"/>
    </row>
    <row r="176">
      <c r="E176" s="50"/>
      <c r="G176" s="51"/>
    </row>
    <row r="177">
      <c r="E177" s="50"/>
      <c r="G177" s="51"/>
    </row>
    <row r="178">
      <c r="E178" s="50"/>
      <c r="G178" s="51"/>
    </row>
    <row r="179">
      <c r="E179" s="50"/>
      <c r="G179" s="51"/>
    </row>
    <row r="180">
      <c r="E180" s="50"/>
      <c r="G180" s="51"/>
    </row>
    <row r="181">
      <c r="E181" s="50"/>
      <c r="G181" s="51"/>
    </row>
    <row r="182">
      <c r="E182" s="50"/>
      <c r="G182" s="51"/>
    </row>
    <row r="183">
      <c r="E183" s="50"/>
      <c r="G183" s="51"/>
    </row>
    <row r="184">
      <c r="E184" s="50"/>
      <c r="G184" s="51"/>
    </row>
    <row r="185">
      <c r="E185" s="50"/>
      <c r="G185" s="51"/>
    </row>
    <row r="186">
      <c r="E186" s="50"/>
      <c r="G186" s="51"/>
    </row>
    <row r="187">
      <c r="E187" s="50"/>
      <c r="G187" s="51"/>
    </row>
    <row r="188">
      <c r="E188" s="50"/>
      <c r="G188" s="51"/>
    </row>
    <row r="189">
      <c r="E189" s="50"/>
      <c r="G189" s="51"/>
    </row>
    <row r="190">
      <c r="E190" s="50"/>
      <c r="G190" s="51"/>
    </row>
    <row r="191">
      <c r="E191" s="50"/>
      <c r="G191" s="51"/>
    </row>
    <row r="192">
      <c r="E192" s="50"/>
      <c r="G192" s="51"/>
    </row>
    <row r="193">
      <c r="E193" s="50"/>
      <c r="G193" s="51"/>
    </row>
    <row r="194">
      <c r="E194" s="50"/>
      <c r="G194" s="51"/>
    </row>
    <row r="195">
      <c r="E195" s="50"/>
      <c r="G195" s="51"/>
    </row>
    <row r="196">
      <c r="E196" s="50"/>
      <c r="G196" s="51"/>
    </row>
    <row r="197">
      <c r="E197" s="50"/>
      <c r="G197" s="51"/>
    </row>
    <row r="198">
      <c r="E198" s="50"/>
      <c r="G198" s="51"/>
    </row>
    <row r="199">
      <c r="E199" s="50"/>
      <c r="G199" s="51"/>
    </row>
    <row r="200">
      <c r="E200" s="50"/>
      <c r="G200" s="51"/>
    </row>
    <row r="201">
      <c r="E201" s="50"/>
      <c r="G201" s="51"/>
    </row>
    <row r="202">
      <c r="E202" s="50"/>
      <c r="G202" s="51"/>
    </row>
    <row r="203">
      <c r="E203" s="50"/>
      <c r="G203" s="51"/>
    </row>
    <row r="204">
      <c r="E204" s="50"/>
      <c r="G204" s="51"/>
    </row>
    <row r="205">
      <c r="E205" s="50"/>
      <c r="G205" s="51"/>
    </row>
    <row r="206">
      <c r="E206" s="50"/>
      <c r="G206" s="51"/>
    </row>
    <row r="207">
      <c r="E207" s="50"/>
      <c r="G207" s="51"/>
    </row>
    <row r="208">
      <c r="E208" s="50"/>
      <c r="G208" s="51"/>
    </row>
    <row r="209">
      <c r="E209" s="50"/>
      <c r="G209" s="51"/>
    </row>
    <row r="210">
      <c r="E210" s="50"/>
      <c r="G210" s="51"/>
    </row>
    <row r="211">
      <c r="E211" s="50"/>
      <c r="G211" s="51"/>
    </row>
    <row r="212">
      <c r="E212" s="50"/>
      <c r="G212" s="51"/>
    </row>
    <row r="213">
      <c r="E213" s="50"/>
      <c r="G213" s="51"/>
    </row>
    <row r="214">
      <c r="E214" s="50"/>
      <c r="G214" s="51"/>
    </row>
    <row r="215">
      <c r="E215" s="50"/>
      <c r="G215" s="51"/>
    </row>
    <row r="216">
      <c r="E216" s="50"/>
      <c r="G216" s="51"/>
    </row>
    <row r="217">
      <c r="E217" s="50"/>
      <c r="G217" s="51"/>
    </row>
    <row r="218">
      <c r="E218" s="50"/>
      <c r="G218" s="51"/>
    </row>
    <row r="219">
      <c r="E219" s="50"/>
      <c r="G219" s="51"/>
    </row>
    <row r="220">
      <c r="E220" s="50"/>
      <c r="G220" s="51"/>
    </row>
    <row r="221">
      <c r="E221" s="50"/>
      <c r="G221" s="51"/>
    </row>
    <row r="222">
      <c r="E222" s="50"/>
      <c r="G222" s="51"/>
    </row>
    <row r="223">
      <c r="E223" s="50"/>
      <c r="G223" s="51"/>
    </row>
    <row r="224">
      <c r="E224" s="50"/>
      <c r="G224" s="51"/>
    </row>
    <row r="225">
      <c r="E225" s="50"/>
      <c r="G225" s="51"/>
    </row>
    <row r="226">
      <c r="E226" s="50"/>
      <c r="G226" s="51"/>
    </row>
    <row r="227">
      <c r="E227" s="50"/>
      <c r="G227" s="51"/>
    </row>
    <row r="228">
      <c r="E228" s="50"/>
      <c r="G228" s="51"/>
    </row>
    <row r="229">
      <c r="E229" s="50"/>
      <c r="G229" s="51"/>
    </row>
    <row r="230">
      <c r="E230" s="50"/>
      <c r="G230" s="51"/>
    </row>
    <row r="231">
      <c r="E231" s="50"/>
      <c r="G231" s="51"/>
    </row>
    <row r="232">
      <c r="E232" s="50"/>
      <c r="G232" s="51"/>
    </row>
    <row r="233">
      <c r="E233" s="50"/>
      <c r="G233" s="51"/>
    </row>
    <row r="234">
      <c r="E234" s="50"/>
      <c r="G234" s="51"/>
    </row>
    <row r="235">
      <c r="E235" s="50"/>
      <c r="G235" s="51"/>
    </row>
    <row r="236">
      <c r="E236" s="50"/>
      <c r="G236" s="51"/>
    </row>
    <row r="237">
      <c r="E237" s="50"/>
      <c r="G237" s="51"/>
    </row>
    <row r="238">
      <c r="E238" s="50"/>
      <c r="G238" s="51"/>
    </row>
    <row r="239">
      <c r="E239" s="50"/>
      <c r="G239" s="51"/>
    </row>
    <row r="240">
      <c r="E240" s="50"/>
      <c r="G240" s="51"/>
    </row>
    <row r="241">
      <c r="E241" s="50"/>
      <c r="G241" s="51"/>
    </row>
    <row r="242">
      <c r="E242" s="50"/>
      <c r="G242" s="51"/>
    </row>
    <row r="243">
      <c r="E243" s="50"/>
      <c r="G243" s="51"/>
    </row>
    <row r="244">
      <c r="E244" s="50"/>
      <c r="G244" s="51"/>
    </row>
    <row r="245">
      <c r="E245" s="50"/>
      <c r="G245" s="51"/>
    </row>
    <row r="246">
      <c r="E246" s="50"/>
      <c r="G246" s="51"/>
    </row>
    <row r="247">
      <c r="E247" s="50"/>
      <c r="G247" s="51"/>
    </row>
    <row r="248">
      <c r="E248" s="50"/>
      <c r="G248" s="51"/>
    </row>
    <row r="249">
      <c r="E249" s="50"/>
      <c r="G249" s="51"/>
    </row>
    <row r="250">
      <c r="E250" s="50"/>
      <c r="G250" s="51"/>
    </row>
    <row r="251">
      <c r="E251" s="50"/>
      <c r="G251" s="51"/>
    </row>
    <row r="252">
      <c r="E252" s="50"/>
      <c r="G252" s="51"/>
    </row>
    <row r="253">
      <c r="E253" s="50"/>
      <c r="G253" s="51"/>
    </row>
    <row r="254">
      <c r="E254" s="50"/>
      <c r="G254" s="51"/>
    </row>
    <row r="255">
      <c r="E255" s="50"/>
      <c r="G255" s="51"/>
    </row>
    <row r="256">
      <c r="E256" s="50"/>
      <c r="G256" s="51"/>
    </row>
    <row r="257">
      <c r="E257" s="50"/>
      <c r="G257" s="51"/>
    </row>
    <row r="258">
      <c r="E258" s="50"/>
      <c r="G258" s="51"/>
    </row>
    <row r="259">
      <c r="E259" s="50"/>
      <c r="G259" s="51"/>
    </row>
    <row r="260">
      <c r="E260" s="50"/>
      <c r="G260" s="51"/>
    </row>
    <row r="261">
      <c r="E261" s="50"/>
      <c r="G261" s="51"/>
    </row>
    <row r="262">
      <c r="E262" s="50"/>
      <c r="G262" s="51"/>
    </row>
    <row r="263">
      <c r="E263" s="50"/>
      <c r="G263" s="51"/>
    </row>
    <row r="264">
      <c r="E264" s="50"/>
      <c r="G264" s="51"/>
    </row>
    <row r="265">
      <c r="E265" s="50"/>
      <c r="G265" s="51"/>
    </row>
    <row r="266">
      <c r="E266" s="50"/>
      <c r="G266" s="51"/>
    </row>
    <row r="267">
      <c r="E267" s="50"/>
      <c r="G267" s="51"/>
    </row>
    <row r="268">
      <c r="E268" s="50"/>
      <c r="G268" s="51"/>
    </row>
    <row r="269">
      <c r="E269" s="50"/>
      <c r="G269" s="51"/>
    </row>
    <row r="270">
      <c r="E270" s="50"/>
      <c r="G270" s="51"/>
    </row>
    <row r="271">
      <c r="E271" s="50"/>
      <c r="G271" s="51"/>
    </row>
    <row r="272">
      <c r="E272" s="50"/>
      <c r="G272" s="51"/>
    </row>
    <row r="273">
      <c r="E273" s="50"/>
      <c r="G273" s="51"/>
    </row>
    <row r="274">
      <c r="E274" s="50"/>
      <c r="G274" s="51"/>
    </row>
    <row r="275">
      <c r="E275" s="50"/>
      <c r="G275" s="51"/>
    </row>
    <row r="276">
      <c r="E276" s="50"/>
      <c r="G276" s="51"/>
    </row>
    <row r="277">
      <c r="E277" s="50"/>
      <c r="G277" s="51"/>
    </row>
    <row r="278">
      <c r="E278" s="50"/>
      <c r="G278" s="51"/>
    </row>
    <row r="279">
      <c r="E279" s="50"/>
      <c r="G279" s="51"/>
    </row>
    <row r="280">
      <c r="E280" s="50"/>
      <c r="G280" s="51"/>
    </row>
    <row r="281">
      <c r="E281" s="50"/>
      <c r="G281" s="51"/>
    </row>
    <row r="282">
      <c r="E282" s="50"/>
      <c r="G282" s="51"/>
    </row>
    <row r="283">
      <c r="E283" s="50"/>
      <c r="G283" s="51"/>
    </row>
    <row r="284">
      <c r="E284" s="50"/>
      <c r="G284" s="51"/>
    </row>
    <row r="285">
      <c r="E285" s="50"/>
      <c r="G285" s="51"/>
    </row>
    <row r="286">
      <c r="E286" s="50"/>
      <c r="G286" s="51"/>
    </row>
    <row r="287">
      <c r="E287" s="50"/>
      <c r="G287" s="51"/>
    </row>
    <row r="288">
      <c r="E288" s="50"/>
      <c r="G288" s="51"/>
    </row>
    <row r="289">
      <c r="E289" s="50"/>
      <c r="G289" s="51"/>
    </row>
    <row r="290">
      <c r="E290" s="50"/>
      <c r="G290" s="51"/>
    </row>
    <row r="291">
      <c r="E291" s="50"/>
      <c r="G291" s="51"/>
    </row>
    <row r="292">
      <c r="E292" s="50"/>
      <c r="G292" s="51"/>
    </row>
    <row r="293">
      <c r="E293" s="50"/>
      <c r="G293" s="51"/>
    </row>
    <row r="294">
      <c r="E294" s="50"/>
      <c r="G294" s="51"/>
    </row>
    <row r="295">
      <c r="E295" s="50"/>
      <c r="G295" s="51"/>
    </row>
    <row r="296">
      <c r="E296" s="50"/>
      <c r="G296" s="51"/>
    </row>
    <row r="297">
      <c r="E297" s="50"/>
      <c r="G297" s="51"/>
    </row>
    <row r="298">
      <c r="E298" s="50"/>
      <c r="G298" s="51"/>
    </row>
    <row r="299">
      <c r="E299" s="50"/>
      <c r="G299" s="51"/>
    </row>
    <row r="300">
      <c r="E300" s="50"/>
      <c r="G300" s="51"/>
    </row>
    <row r="301">
      <c r="E301" s="50"/>
      <c r="G301" s="51"/>
    </row>
    <row r="302">
      <c r="E302" s="50"/>
      <c r="G302" s="51"/>
    </row>
    <row r="303">
      <c r="E303" s="50"/>
      <c r="G303" s="51"/>
    </row>
    <row r="304">
      <c r="E304" s="50"/>
      <c r="G304" s="51"/>
    </row>
    <row r="305">
      <c r="E305" s="50"/>
      <c r="G305" s="51"/>
    </row>
    <row r="306">
      <c r="E306" s="50"/>
      <c r="G306" s="51"/>
    </row>
    <row r="307">
      <c r="E307" s="50"/>
      <c r="G307" s="51"/>
    </row>
    <row r="308">
      <c r="E308" s="50"/>
      <c r="G308" s="51"/>
    </row>
    <row r="309">
      <c r="E309" s="50"/>
      <c r="G309" s="51"/>
    </row>
    <row r="310">
      <c r="E310" s="50"/>
      <c r="G310" s="51"/>
    </row>
    <row r="311">
      <c r="E311" s="50"/>
      <c r="G311" s="51"/>
    </row>
    <row r="312">
      <c r="E312" s="50"/>
      <c r="G312" s="51"/>
    </row>
    <row r="313">
      <c r="E313" s="50"/>
      <c r="G313" s="51"/>
    </row>
    <row r="314">
      <c r="E314" s="50"/>
      <c r="G314" s="51"/>
    </row>
    <row r="315">
      <c r="E315" s="50"/>
      <c r="G315" s="51"/>
    </row>
    <row r="316">
      <c r="E316" s="50"/>
      <c r="G316" s="51"/>
    </row>
    <row r="317">
      <c r="E317" s="50"/>
      <c r="G317" s="51"/>
    </row>
    <row r="318">
      <c r="E318" s="50"/>
      <c r="G318" s="51"/>
    </row>
    <row r="319">
      <c r="E319" s="50"/>
      <c r="G319" s="51"/>
    </row>
    <row r="320">
      <c r="E320" s="50"/>
      <c r="G320" s="51"/>
    </row>
    <row r="321">
      <c r="E321" s="50"/>
      <c r="G321" s="51"/>
    </row>
    <row r="322">
      <c r="E322" s="50"/>
      <c r="G322" s="51"/>
    </row>
    <row r="323">
      <c r="E323" s="50"/>
      <c r="G323" s="51"/>
    </row>
    <row r="324">
      <c r="E324" s="50"/>
      <c r="G324" s="51"/>
    </row>
    <row r="325">
      <c r="E325" s="50"/>
      <c r="G325" s="51"/>
    </row>
    <row r="326">
      <c r="E326" s="50"/>
      <c r="G326" s="51"/>
    </row>
    <row r="327">
      <c r="E327" s="50"/>
      <c r="G327" s="51"/>
    </row>
    <row r="328">
      <c r="E328" s="50"/>
      <c r="G328" s="51"/>
    </row>
    <row r="329">
      <c r="E329" s="50"/>
      <c r="G329" s="51"/>
    </row>
    <row r="330">
      <c r="E330" s="50"/>
      <c r="G330" s="51"/>
    </row>
    <row r="331">
      <c r="E331" s="50"/>
      <c r="G331" s="51"/>
    </row>
    <row r="332">
      <c r="E332" s="50"/>
      <c r="G332" s="51"/>
    </row>
    <row r="333">
      <c r="E333" s="50"/>
      <c r="G333" s="51"/>
    </row>
    <row r="334">
      <c r="E334" s="50"/>
      <c r="G334" s="51"/>
    </row>
    <row r="335">
      <c r="E335" s="50"/>
      <c r="G335" s="51"/>
    </row>
    <row r="336">
      <c r="E336" s="50"/>
      <c r="G336" s="51"/>
    </row>
    <row r="337">
      <c r="E337" s="50"/>
      <c r="G337" s="51"/>
    </row>
    <row r="338">
      <c r="E338" s="50"/>
      <c r="G338" s="51"/>
    </row>
    <row r="339">
      <c r="E339" s="50"/>
      <c r="G339" s="51"/>
    </row>
    <row r="340">
      <c r="E340" s="50"/>
      <c r="G340" s="51"/>
    </row>
    <row r="341">
      <c r="E341" s="50"/>
      <c r="G341" s="51"/>
    </row>
    <row r="342">
      <c r="E342" s="50"/>
      <c r="G342" s="51"/>
    </row>
    <row r="343">
      <c r="E343" s="50"/>
      <c r="G343" s="51"/>
    </row>
    <row r="344">
      <c r="E344" s="50"/>
      <c r="G344" s="51"/>
    </row>
    <row r="345">
      <c r="E345" s="50"/>
      <c r="G345" s="51"/>
    </row>
    <row r="346">
      <c r="E346" s="50"/>
      <c r="G346" s="51"/>
    </row>
    <row r="347">
      <c r="E347" s="50"/>
      <c r="G347" s="51"/>
    </row>
    <row r="348">
      <c r="E348" s="50"/>
      <c r="G348" s="51"/>
    </row>
    <row r="349">
      <c r="E349" s="50"/>
      <c r="G349" s="51"/>
    </row>
    <row r="350">
      <c r="E350" s="50"/>
      <c r="G350" s="51"/>
    </row>
    <row r="351">
      <c r="E351" s="50"/>
      <c r="G351" s="51"/>
    </row>
    <row r="352">
      <c r="E352" s="50"/>
      <c r="G352" s="51"/>
    </row>
    <row r="353">
      <c r="E353" s="50"/>
      <c r="G353" s="51"/>
    </row>
    <row r="354">
      <c r="E354" s="50"/>
      <c r="G354" s="51"/>
    </row>
    <row r="355">
      <c r="E355" s="50"/>
      <c r="G355" s="51"/>
    </row>
    <row r="356">
      <c r="E356" s="50"/>
      <c r="G356" s="51"/>
    </row>
    <row r="357">
      <c r="E357" s="50"/>
      <c r="G357" s="51"/>
    </row>
    <row r="358">
      <c r="E358" s="50"/>
      <c r="G358" s="51"/>
    </row>
    <row r="359">
      <c r="E359" s="50"/>
      <c r="G359" s="51"/>
    </row>
    <row r="360">
      <c r="E360" s="50"/>
      <c r="G360" s="51"/>
    </row>
    <row r="361">
      <c r="E361" s="50"/>
      <c r="G361" s="51"/>
    </row>
    <row r="362">
      <c r="E362" s="50"/>
      <c r="G362" s="51"/>
    </row>
    <row r="363">
      <c r="E363" s="50"/>
      <c r="G363" s="51"/>
    </row>
    <row r="364">
      <c r="E364" s="50"/>
      <c r="G364" s="51"/>
    </row>
    <row r="365">
      <c r="E365" s="50"/>
      <c r="G365" s="51"/>
    </row>
    <row r="366">
      <c r="E366" s="50"/>
      <c r="G366" s="51"/>
    </row>
    <row r="367">
      <c r="E367" s="50"/>
      <c r="G367" s="51"/>
    </row>
    <row r="368">
      <c r="E368" s="50"/>
      <c r="G368" s="51"/>
    </row>
    <row r="369">
      <c r="E369" s="50"/>
      <c r="G369" s="51"/>
    </row>
    <row r="370">
      <c r="E370" s="50"/>
      <c r="G370" s="51"/>
    </row>
    <row r="371">
      <c r="E371" s="50"/>
      <c r="G371" s="51"/>
    </row>
    <row r="372">
      <c r="E372" s="50"/>
      <c r="G372" s="51"/>
    </row>
    <row r="373">
      <c r="E373" s="50"/>
      <c r="G373" s="51"/>
    </row>
    <row r="374">
      <c r="E374" s="50"/>
      <c r="G374" s="51"/>
    </row>
    <row r="375">
      <c r="E375" s="50"/>
      <c r="G375" s="51"/>
    </row>
    <row r="376">
      <c r="E376" s="50"/>
      <c r="G376" s="51"/>
    </row>
    <row r="377">
      <c r="E377" s="50"/>
      <c r="G377" s="51"/>
    </row>
    <row r="378">
      <c r="E378" s="50"/>
      <c r="G378" s="51"/>
    </row>
    <row r="379">
      <c r="E379" s="50"/>
      <c r="G379" s="51"/>
    </row>
    <row r="380">
      <c r="E380" s="50"/>
      <c r="G380" s="51"/>
    </row>
    <row r="381">
      <c r="E381" s="50"/>
      <c r="G381" s="51"/>
    </row>
    <row r="382">
      <c r="E382" s="50"/>
      <c r="G382" s="51"/>
    </row>
    <row r="383">
      <c r="E383" s="50"/>
      <c r="G383" s="51"/>
    </row>
    <row r="384">
      <c r="E384" s="50"/>
      <c r="G384" s="51"/>
    </row>
    <row r="385">
      <c r="E385" s="50"/>
      <c r="G385" s="51"/>
    </row>
    <row r="386">
      <c r="E386" s="50"/>
      <c r="G386" s="51"/>
    </row>
    <row r="387">
      <c r="E387" s="50"/>
      <c r="G387" s="51"/>
    </row>
    <row r="388">
      <c r="E388" s="50"/>
      <c r="G388" s="51"/>
    </row>
    <row r="389">
      <c r="E389" s="50"/>
      <c r="G389" s="51"/>
    </row>
    <row r="390">
      <c r="E390" s="50"/>
      <c r="G390" s="51"/>
    </row>
    <row r="391">
      <c r="E391" s="50"/>
      <c r="G391" s="51"/>
    </row>
    <row r="392">
      <c r="E392" s="50"/>
      <c r="G392" s="51"/>
    </row>
    <row r="393">
      <c r="E393" s="50"/>
      <c r="G393" s="51"/>
    </row>
    <row r="394">
      <c r="E394" s="50"/>
      <c r="G394" s="51"/>
    </row>
    <row r="395">
      <c r="E395" s="50"/>
      <c r="G395" s="51"/>
    </row>
    <row r="396">
      <c r="E396" s="50"/>
      <c r="G396" s="51"/>
    </row>
    <row r="397">
      <c r="E397" s="50"/>
      <c r="G397" s="51"/>
    </row>
    <row r="398">
      <c r="E398" s="50"/>
      <c r="G398" s="51"/>
    </row>
    <row r="399">
      <c r="E399" s="50"/>
      <c r="G399" s="51"/>
    </row>
    <row r="400">
      <c r="E400" s="50"/>
      <c r="G400" s="51"/>
    </row>
    <row r="401">
      <c r="E401" s="50"/>
      <c r="G401" s="51"/>
    </row>
    <row r="402">
      <c r="E402" s="50"/>
      <c r="G402" s="51"/>
    </row>
    <row r="403">
      <c r="E403" s="50"/>
      <c r="G403" s="51"/>
    </row>
    <row r="404">
      <c r="E404" s="50"/>
      <c r="G404" s="51"/>
    </row>
    <row r="405">
      <c r="E405" s="50"/>
      <c r="G405" s="51"/>
    </row>
    <row r="406">
      <c r="E406" s="50"/>
      <c r="G406" s="51"/>
    </row>
    <row r="407">
      <c r="E407" s="50"/>
      <c r="G407" s="51"/>
    </row>
    <row r="408">
      <c r="E408" s="50"/>
      <c r="G408" s="51"/>
    </row>
    <row r="409">
      <c r="E409" s="50"/>
      <c r="G409" s="51"/>
    </row>
    <row r="410">
      <c r="E410" s="50"/>
      <c r="G410" s="51"/>
    </row>
    <row r="411">
      <c r="E411" s="50"/>
      <c r="G411" s="51"/>
    </row>
    <row r="412">
      <c r="E412" s="50"/>
      <c r="G412" s="51"/>
    </row>
    <row r="413">
      <c r="E413" s="50"/>
      <c r="G413" s="51"/>
    </row>
    <row r="414">
      <c r="E414" s="50"/>
      <c r="G414" s="51"/>
    </row>
    <row r="415">
      <c r="E415" s="50"/>
      <c r="G415" s="51"/>
    </row>
    <row r="416">
      <c r="E416" s="50"/>
      <c r="G416" s="51"/>
    </row>
    <row r="417">
      <c r="E417" s="50"/>
      <c r="G417" s="51"/>
    </row>
    <row r="418">
      <c r="E418" s="50"/>
      <c r="G418" s="51"/>
    </row>
    <row r="419">
      <c r="E419" s="50"/>
      <c r="G419" s="51"/>
    </row>
    <row r="420">
      <c r="E420" s="50"/>
      <c r="G420" s="51"/>
    </row>
    <row r="421">
      <c r="E421" s="50"/>
      <c r="G421" s="51"/>
    </row>
    <row r="422">
      <c r="E422" s="50"/>
      <c r="G422" s="51"/>
    </row>
    <row r="423">
      <c r="E423" s="50"/>
      <c r="G423" s="51"/>
    </row>
    <row r="424">
      <c r="E424" s="50"/>
      <c r="G424" s="51"/>
    </row>
    <row r="425">
      <c r="E425" s="50"/>
      <c r="G425" s="51"/>
    </row>
    <row r="426">
      <c r="E426" s="50"/>
      <c r="G426" s="51"/>
    </row>
    <row r="427">
      <c r="E427" s="50"/>
      <c r="G427" s="51"/>
    </row>
    <row r="428">
      <c r="E428" s="50"/>
      <c r="G428" s="51"/>
    </row>
    <row r="429">
      <c r="E429" s="50"/>
      <c r="G429" s="51"/>
    </row>
    <row r="430">
      <c r="E430" s="50"/>
      <c r="G430" s="51"/>
    </row>
    <row r="431">
      <c r="E431" s="50"/>
      <c r="G431" s="51"/>
    </row>
    <row r="432">
      <c r="E432" s="50"/>
      <c r="G432" s="51"/>
    </row>
    <row r="433">
      <c r="E433" s="50"/>
      <c r="G433" s="51"/>
    </row>
    <row r="434">
      <c r="E434" s="50"/>
      <c r="G434" s="51"/>
    </row>
    <row r="435">
      <c r="E435" s="50"/>
      <c r="G435" s="51"/>
    </row>
    <row r="436">
      <c r="E436" s="50"/>
      <c r="G436" s="51"/>
    </row>
    <row r="437">
      <c r="E437" s="50"/>
      <c r="G437" s="51"/>
    </row>
    <row r="438">
      <c r="E438" s="50"/>
      <c r="G438" s="51"/>
    </row>
    <row r="439">
      <c r="E439" s="50"/>
      <c r="G439" s="51"/>
    </row>
    <row r="440">
      <c r="E440" s="50"/>
      <c r="G440" s="51"/>
    </row>
    <row r="441">
      <c r="E441" s="50"/>
      <c r="G441" s="51"/>
    </row>
    <row r="442">
      <c r="E442" s="50"/>
      <c r="G442" s="51"/>
    </row>
    <row r="443">
      <c r="E443" s="50"/>
      <c r="G443" s="51"/>
    </row>
    <row r="444">
      <c r="E444" s="50"/>
      <c r="G444" s="51"/>
    </row>
    <row r="445">
      <c r="E445" s="50"/>
      <c r="G445" s="51"/>
    </row>
    <row r="446">
      <c r="E446" s="50"/>
      <c r="G446" s="51"/>
    </row>
    <row r="447">
      <c r="E447" s="50"/>
      <c r="G447" s="51"/>
    </row>
    <row r="448">
      <c r="E448" s="50"/>
      <c r="G448" s="51"/>
    </row>
    <row r="449">
      <c r="E449" s="50"/>
      <c r="G449" s="51"/>
    </row>
    <row r="450">
      <c r="E450" s="50"/>
      <c r="G450" s="51"/>
    </row>
    <row r="451">
      <c r="E451" s="50"/>
      <c r="G451" s="51"/>
    </row>
    <row r="452">
      <c r="E452" s="50"/>
      <c r="G452" s="51"/>
    </row>
    <row r="453">
      <c r="E453" s="50"/>
      <c r="G453" s="51"/>
    </row>
    <row r="454">
      <c r="E454" s="50"/>
      <c r="G454" s="51"/>
    </row>
    <row r="455">
      <c r="E455" s="50"/>
      <c r="G455" s="51"/>
    </row>
    <row r="456">
      <c r="E456" s="50"/>
      <c r="G456" s="51"/>
    </row>
    <row r="457">
      <c r="E457" s="50"/>
      <c r="G457" s="51"/>
    </row>
    <row r="458">
      <c r="E458" s="50"/>
      <c r="G458" s="51"/>
    </row>
    <row r="459">
      <c r="E459" s="50"/>
      <c r="G459" s="51"/>
    </row>
    <row r="460">
      <c r="E460" s="50"/>
      <c r="G460" s="51"/>
    </row>
    <row r="461">
      <c r="E461" s="50"/>
      <c r="G461" s="51"/>
    </row>
    <row r="462">
      <c r="E462" s="50"/>
      <c r="G462" s="51"/>
    </row>
    <row r="463">
      <c r="E463" s="50"/>
      <c r="G463" s="51"/>
    </row>
    <row r="464">
      <c r="E464" s="50"/>
      <c r="G464" s="51"/>
    </row>
    <row r="465">
      <c r="E465" s="50"/>
      <c r="G465" s="51"/>
    </row>
    <row r="466">
      <c r="E466" s="50"/>
      <c r="G466" s="51"/>
    </row>
    <row r="467">
      <c r="E467" s="50"/>
      <c r="G467" s="51"/>
    </row>
    <row r="468">
      <c r="E468" s="50"/>
      <c r="G468" s="51"/>
    </row>
    <row r="469">
      <c r="E469" s="50"/>
      <c r="G469" s="51"/>
    </row>
    <row r="470">
      <c r="E470" s="50"/>
      <c r="G470" s="51"/>
    </row>
    <row r="471">
      <c r="E471" s="50"/>
      <c r="G471" s="51"/>
    </row>
    <row r="472">
      <c r="E472" s="50"/>
      <c r="G472" s="51"/>
    </row>
    <row r="473">
      <c r="E473" s="50"/>
      <c r="G473" s="51"/>
    </row>
    <row r="474">
      <c r="E474" s="50"/>
      <c r="G474" s="51"/>
    </row>
    <row r="475">
      <c r="E475" s="50"/>
      <c r="G475" s="51"/>
    </row>
    <row r="476">
      <c r="E476" s="50"/>
      <c r="G476" s="51"/>
    </row>
    <row r="477">
      <c r="E477" s="50"/>
      <c r="G477" s="51"/>
    </row>
    <row r="478">
      <c r="E478" s="50"/>
      <c r="G478" s="51"/>
    </row>
    <row r="479">
      <c r="E479" s="50"/>
      <c r="G479" s="51"/>
    </row>
    <row r="480">
      <c r="E480" s="50"/>
      <c r="G480" s="51"/>
    </row>
    <row r="481">
      <c r="E481" s="50"/>
      <c r="G481" s="51"/>
    </row>
    <row r="482">
      <c r="E482" s="50"/>
      <c r="G482" s="51"/>
    </row>
    <row r="483">
      <c r="E483" s="50"/>
      <c r="G483" s="51"/>
    </row>
    <row r="484">
      <c r="E484" s="50"/>
      <c r="G484" s="51"/>
    </row>
    <row r="485">
      <c r="E485" s="50"/>
      <c r="G485" s="51"/>
    </row>
    <row r="486">
      <c r="E486" s="50"/>
      <c r="G486" s="51"/>
    </row>
    <row r="487">
      <c r="E487" s="50"/>
      <c r="G487" s="51"/>
    </row>
    <row r="488">
      <c r="E488" s="50"/>
      <c r="G488" s="51"/>
    </row>
    <row r="489">
      <c r="E489" s="50"/>
      <c r="G489" s="51"/>
    </row>
    <row r="490">
      <c r="E490" s="50"/>
      <c r="G490" s="51"/>
    </row>
    <row r="491">
      <c r="E491" s="50"/>
      <c r="G491" s="51"/>
    </row>
    <row r="492">
      <c r="E492" s="50"/>
      <c r="G492" s="51"/>
    </row>
    <row r="493">
      <c r="E493" s="50"/>
      <c r="G493" s="51"/>
    </row>
    <row r="494">
      <c r="E494" s="50"/>
      <c r="G494" s="51"/>
    </row>
    <row r="495">
      <c r="E495" s="50"/>
      <c r="G495" s="51"/>
    </row>
    <row r="496">
      <c r="E496" s="50"/>
      <c r="G496" s="51"/>
    </row>
    <row r="497">
      <c r="E497" s="50"/>
      <c r="G497" s="51"/>
    </row>
    <row r="498">
      <c r="E498" s="50"/>
      <c r="G498" s="51"/>
    </row>
    <row r="499">
      <c r="E499" s="50"/>
      <c r="G499" s="51"/>
    </row>
    <row r="500">
      <c r="E500" s="50"/>
      <c r="G500" s="51"/>
    </row>
    <row r="501">
      <c r="E501" s="50"/>
      <c r="G501" s="51"/>
    </row>
    <row r="502">
      <c r="E502" s="50"/>
      <c r="G502" s="51"/>
    </row>
    <row r="503">
      <c r="E503" s="50"/>
      <c r="G503" s="51"/>
    </row>
    <row r="504">
      <c r="E504" s="50"/>
      <c r="G504" s="51"/>
    </row>
    <row r="505">
      <c r="E505" s="50"/>
      <c r="G505" s="51"/>
    </row>
    <row r="506">
      <c r="E506" s="50"/>
      <c r="G506" s="51"/>
    </row>
    <row r="507">
      <c r="E507" s="50"/>
      <c r="G507" s="51"/>
    </row>
    <row r="508">
      <c r="E508" s="50"/>
      <c r="G508" s="51"/>
    </row>
    <row r="509">
      <c r="E509" s="50"/>
      <c r="G509" s="51"/>
    </row>
    <row r="510">
      <c r="E510" s="50"/>
      <c r="G510" s="51"/>
    </row>
    <row r="511">
      <c r="E511" s="50"/>
      <c r="G511" s="51"/>
    </row>
    <row r="512">
      <c r="E512" s="50"/>
      <c r="G512" s="51"/>
    </row>
    <row r="513">
      <c r="E513" s="50"/>
      <c r="G513" s="51"/>
    </row>
    <row r="514">
      <c r="E514" s="50"/>
      <c r="G514" s="51"/>
    </row>
    <row r="515">
      <c r="E515" s="50"/>
      <c r="G515" s="51"/>
    </row>
    <row r="516">
      <c r="E516" s="50"/>
      <c r="G516" s="51"/>
    </row>
    <row r="517">
      <c r="E517" s="50"/>
      <c r="G517" s="51"/>
    </row>
    <row r="518">
      <c r="E518" s="50"/>
      <c r="G518" s="51"/>
    </row>
    <row r="519">
      <c r="E519" s="50"/>
      <c r="G519" s="51"/>
    </row>
    <row r="520">
      <c r="E520" s="50"/>
      <c r="G520" s="51"/>
    </row>
    <row r="521">
      <c r="E521" s="50"/>
      <c r="G521" s="51"/>
    </row>
    <row r="522">
      <c r="E522" s="50"/>
      <c r="G522" s="51"/>
    </row>
    <row r="523">
      <c r="E523" s="50"/>
      <c r="G523" s="51"/>
    </row>
    <row r="524">
      <c r="E524" s="50"/>
      <c r="G524" s="51"/>
    </row>
    <row r="525">
      <c r="E525" s="50"/>
      <c r="G525" s="51"/>
    </row>
    <row r="526">
      <c r="E526" s="50"/>
      <c r="G526" s="51"/>
    </row>
    <row r="527">
      <c r="E527" s="50"/>
      <c r="G527" s="51"/>
    </row>
    <row r="528">
      <c r="E528" s="50"/>
      <c r="G528" s="51"/>
    </row>
    <row r="529">
      <c r="E529" s="50"/>
      <c r="G529" s="51"/>
    </row>
    <row r="530">
      <c r="E530" s="50"/>
      <c r="G530" s="51"/>
    </row>
    <row r="531">
      <c r="E531" s="50"/>
      <c r="G531" s="51"/>
    </row>
    <row r="532">
      <c r="E532" s="50"/>
      <c r="G532" s="51"/>
    </row>
    <row r="533">
      <c r="E533" s="50"/>
      <c r="G533" s="51"/>
    </row>
    <row r="534">
      <c r="E534" s="50"/>
      <c r="G534" s="51"/>
    </row>
    <row r="535">
      <c r="E535" s="50"/>
      <c r="G535" s="51"/>
    </row>
    <row r="536">
      <c r="E536" s="50"/>
      <c r="G536" s="51"/>
    </row>
    <row r="537">
      <c r="E537" s="50"/>
      <c r="G537" s="51"/>
    </row>
    <row r="538">
      <c r="E538" s="50"/>
      <c r="G538" s="51"/>
    </row>
    <row r="539">
      <c r="E539" s="50"/>
      <c r="G539" s="51"/>
    </row>
    <row r="540">
      <c r="E540" s="50"/>
      <c r="G540" s="51"/>
    </row>
    <row r="541">
      <c r="E541" s="50"/>
      <c r="G541" s="51"/>
    </row>
    <row r="542">
      <c r="E542" s="50"/>
      <c r="G542" s="51"/>
    </row>
    <row r="543">
      <c r="E543" s="50"/>
      <c r="G543" s="51"/>
    </row>
    <row r="544">
      <c r="E544" s="50"/>
      <c r="G544" s="51"/>
    </row>
    <row r="545">
      <c r="E545" s="50"/>
      <c r="G545" s="51"/>
    </row>
    <row r="546">
      <c r="E546" s="50"/>
      <c r="G546" s="51"/>
    </row>
    <row r="547">
      <c r="E547" s="50"/>
      <c r="G547" s="51"/>
    </row>
    <row r="548">
      <c r="E548" s="50"/>
      <c r="G548" s="51"/>
    </row>
    <row r="549">
      <c r="E549" s="50"/>
      <c r="G549" s="51"/>
    </row>
    <row r="550">
      <c r="E550" s="50"/>
      <c r="G550" s="51"/>
    </row>
    <row r="551">
      <c r="E551" s="50"/>
      <c r="G551" s="51"/>
    </row>
    <row r="552">
      <c r="E552" s="50"/>
      <c r="G552" s="51"/>
    </row>
    <row r="553">
      <c r="E553" s="50"/>
      <c r="G553" s="51"/>
    </row>
    <row r="554">
      <c r="E554" s="50"/>
      <c r="G554" s="51"/>
    </row>
    <row r="555">
      <c r="E555" s="50"/>
      <c r="G555" s="51"/>
    </row>
    <row r="556">
      <c r="E556" s="50"/>
      <c r="G556" s="51"/>
    </row>
    <row r="557">
      <c r="E557" s="50"/>
      <c r="G557" s="51"/>
    </row>
    <row r="558">
      <c r="E558" s="50"/>
      <c r="G558" s="51"/>
    </row>
    <row r="559">
      <c r="E559" s="50"/>
      <c r="G559" s="51"/>
    </row>
    <row r="560">
      <c r="E560" s="50"/>
      <c r="G560" s="51"/>
    </row>
    <row r="561">
      <c r="E561" s="50"/>
      <c r="G561" s="51"/>
    </row>
    <row r="562">
      <c r="E562" s="50"/>
      <c r="G562" s="51"/>
    </row>
    <row r="563">
      <c r="E563" s="50"/>
      <c r="G563" s="51"/>
    </row>
    <row r="564">
      <c r="E564" s="50"/>
      <c r="G564" s="51"/>
    </row>
    <row r="565">
      <c r="E565" s="50"/>
      <c r="G565" s="51"/>
    </row>
    <row r="566">
      <c r="E566" s="50"/>
      <c r="G566" s="51"/>
    </row>
    <row r="567">
      <c r="E567" s="50"/>
      <c r="G567" s="51"/>
    </row>
    <row r="568">
      <c r="E568" s="50"/>
      <c r="G568" s="51"/>
    </row>
    <row r="569">
      <c r="E569" s="50"/>
      <c r="G569" s="51"/>
    </row>
    <row r="570">
      <c r="E570" s="50"/>
      <c r="G570" s="51"/>
    </row>
    <row r="571">
      <c r="E571" s="50"/>
      <c r="G571" s="51"/>
    </row>
    <row r="572">
      <c r="E572" s="50"/>
      <c r="G572" s="51"/>
    </row>
    <row r="573">
      <c r="E573" s="50"/>
      <c r="G573" s="51"/>
    </row>
    <row r="574">
      <c r="E574" s="50"/>
      <c r="G574" s="51"/>
    </row>
    <row r="575">
      <c r="E575" s="50"/>
      <c r="G575" s="51"/>
    </row>
    <row r="576">
      <c r="E576" s="50"/>
      <c r="G576" s="51"/>
    </row>
    <row r="577">
      <c r="E577" s="50"/>
      <c r="G577" s="51"/>
    </row>
    <row r="578">
      <c r="E578" s="50"/>
      <c r="G578" s="51"/>
    </row>
    <row r="579">
      <c r="E579" s="50"/>
      <c r="G579" s="51"/>
    </row>
    <row r="580">
      <c r="E580" s="50"/>
      <c r="G580" s="51"/>
    </row>
    <row r="581">
      <c r="E581" s="50"/>
      <c r="G581" s="51"/>
    </row>
    <row r="582">
      <c r="E582" s="50"/>
      <c r="G582" s="51"/>
    </row>
    <row r="583">
      <c r="E583" s="50"/>
      <c r="G583" s="51"/>
    </row>
    <row r="584">
      <c r="E584" s="50"/>
      <c r="G584" s="51"/>
    </row>
    <row r="585">
      <c r="E585" s="50"/>
      <c r="G585" s="51"/>
    </row>
    <row r="586">
      <c r="E586" s="50"/>
      <c r="G586" s="51"/>
    </row>
    <row r="587">
      <c r="E587" s="50"/>
      <c r="G587" s="51"/>
    </row>
    <row r="588">
      <c r="E588" s="50"/>
      <c r="G588" s="51"/>
    </row>
    <row r="589">
      <c r="E589" s="50"/>
      <c r="G589" s="51"/>
    </row>
    <row r="590">
      <c r="E590" s="50"/>
      <c r="G590" s="51"/>
    </row>
    <row r="591">
      <c r="E591" s="50"/>
      <c r="G591" s="51"/>
    </row>
    <row r="592">
      <c r="E592" s="50"/>
      <c r="G592" s="51"/>
    </row>
    <row r="593">
      <c r="E593" s="50"/>
      <c r="G593" s="51"/>
    </row>
    <row r="594">
      <c r="E594" s="50"/>
      <c r="G594" s="51"/>
    </row>
    <row r="595">
      <c r="E595" s="50"/>
      <c r="G595" s="51"/>
    </row>
    <row r="596">
      <c r="E596" s="50"/>
      <c r="G596" s="51"/>
    </row>
    <row r="597">
      <c r="E597" s="50"/>
      <c r="G597" s="51"/>
    </row>
    <row r="598">
      <c r="E598" s="50"/>
      <c r="G598" s="51"/>
    </row>
    <row r="599">
      <c r="E599" s="50"/>
      <c r="G599" s="51"/>
    </row>
    <row r="600">
      <c r="E600" s="50"/>
      <c r="G600" s="51"/>
    </row>
    <row r="601">
      <c r="E601" s="50"/>
      <c r="G601" s="51"/>
    </row>
    <row r="602">
      <c r="E602" s="50"/>
      <c r="G602" s="51"/>
    </row>
    <row r="603">
      <c r="E603" s="50"/>
      <c r="G603" s="51"/>
    </row>
    <row r="604">
      <c r="E604" s="50"/>
      <c r="G604" s="51"/>
    </row>
    <row r="605">
      <c r="E605" s="50"/>
      <c r="G605" s="51"/>
    </row>
    <row r="606">
      <c r="E606" s="50"/>
      <c r="G606" s="51"/>
    </row>
    <row r="607">
      <c r="E607" s="50"/>
      <c r="G607" s="51"/>
    </row>
    <row r="608">
      <c r="E608" s="50"/>
      <c r="G608" s="51"/>
    </row>
    <row r="609">
      <c r="E609" s="50"/>
      <c r="G609" s="51"/>
    </row>
    <row r="610">
      <c r="E610" s="50"/>
      <c r="G610" s="51"/>
    </row>
    <row r="611">
      <c r="E611" s="50"/>
      <c r="G611" s="51"/>
    </row>
    <row r="612">
      <c r="E612" s="50"/>
      <c r="G612" s="51"/>
    </row>
    <row r="613">
      <c r="E613" s="50"/>
      <c r="G613" s="51"/>
    </row>
    <row r="614">
      <c r="E614" s="50"/>
      <c r="G614" s="51"/>
    </row>
    <row r="615">
      <c r="E615" s="50"/>
      <c r="G615" s="51"/>
    </row>
    <row r="616">
      <c r="E616" s="50"/>
      <c r="G616" s="51"/>
    </row>
    <row r="617">
      <c r="E617" s="50"/>
      <c r="G617" s="51"/>
    </row>
    <row r="618">
      <c r="E618" s="50"/>
      <c r="G618" s="51"/>
    </row>
    <row r="619">
      <c r="E619" s="50"/>
      <c r="G619" s="51"/>
    </row>
    <row r="620">
      <c r="E620" s="50"/>
      <c r="G620" s="51"/>
    </row>
    <row r="621">
      <c r="E621" s="50"/>
      <c r="G621" s="51"/>
    </row>
    <row r="622">
      <c r="E622" s="50"/>
      <c r="G622" s="51"/>
    </row>
    <row r="623">
      <c r="E623" s="50"/>
      <c r="G623" s="51"/>
    </row>
    <row r="624">
      <c r="E624" s="50"/>
      <c r="G624" s="51"/>
    </row>
    <row r="625">
      <c r="E625" s="50"/>
      <c r="G625" s="51"/>
    </row>
    <row r="626">
      <c r="E626" s="50"/>
      <c r="G626" s="51"/>
    </row>
    <row r="627">
      <c r="E627" s="50"/>
      <c r="G627" s="51"/>
    </row>
    <row r="628">
      <c r="E628" s="50"/>
      <c r="G628" s="51"/>
    </row>
    <row r="629">
      <c r="E629" s="50"/>
      <c r="G629" s="51"/>
    </row>
    <row r="630">
      <c r="E630" s="50"/>
      <c r="G630" s="51"/>
    </row>
    <row r="631">
      <c r="E631" s="50"/>
      <c r="G631" s="51"/>
    </row>
    <row r="632">
      <c r="E632" s="50"/>
      <c r="G632" s="51"/>
    </row>
    <row r="633">
      <c r="E633" s="50"/>
      <c r="G633" s="51"/>
    </row>
    <row r="634">
      <c r="E634" s="50"/>
      <c r="G634" s="51"/>
    </row>
    <row r="635">
      <c r="E635" s="50"/>
      <c r="G635" s="51"/>
    </row>
    <row r="636">
      <c r="E636" s="50"/>
      <c r="G636" s="51"/>
    </row>
    <row r="637">
      <c r="E637" s="50"/>
      <c r="G637" s="51"/>
    </row>
    <row r="638">
      <c r="E638" s="50"/>
      <c r="G638" s="51"/>
    </row>
    <row r="639">
      <c r="E639" s="50"/>
      <c r="G639" s="51"/>
    </row>
    <row r="640">
      <c r="E640" s="50"/>
      <c r="G640" s="51"/>
    </row>
    <row r="641">
      <c r="E641" s="50"/>
      <c r="G641" s="51"/>
    </row>
    <row r="642">
      <c r="E642" s="50"/>
      <c r="G642" s="51"/>
    </row>
    <row r="643">
      <c r="E643" s="50"/>
      <c r="G643" s="51"/>
    </row>
    <row r="644">
      <c r="E644" s="50"/>
      <c r="G644" s="51"/>
    </row>
    <row r="645">
      <c r="E645" s="50"/>
      <c r="G645" s="51"/>
    </row>
    <row r="646">
      <c r="E646" s="50"/>
      <c r="G646" s="51"/>
    </row>
    <row r="647">
      <c r="E647" s="50"/>
      <c r="G647" s="51"/>
    </row>
    <row r="648">
      <c r="E648" s="50"/>
      <c r="G648" s="51"/>
    </row>
    <row r="649">
      <c r="E649" s="50"/>
      <c r="G649" s="51"/>
    </row>
    <row r="650">
      <c r="E650" s="50"/>
      <c r="G650" s="51"/>
    </row>
    <row r="651">
      <c r="E651" s="50"/>
      <c r="G651" s="51"/>
    </row>
    <row r="652">
      <c r="E652" s="50"/>
      <c r="G652" s="51"/>
    </row>
    <row r="653">
      <c r="E653" s="50"/>
      <c r="G653" s="51"/>
    </row>
    <row r="654">
      <c r="E654" s="50"/>
      <c r="G654" s="51"/>
    </row>
    <row r="655">
      <c r="E655" s="50"/>
      <c r="G655" s="51"/>
    </row>
    <row r="656">
      <c r="E656" s="50"/>
      <c r="G656" s="51"/>
    </row>
    <row r="657">
      <c r="E657" s="50"/>
      <c r="G657" s="51"/>
    </row>
    <row r="658">
      <c r="E658" s="50"/>
      <c r="G658" s="51"/>
    </row>
    <row r="659">
      <c r="E659" s="50"/>
      <c r="G659" s="51"/>
    </row>
    <row r="660">
      <c r="E660" s="50"/>
      <c r="G660" s="51"/>
    </row>
    <row r="661">
      <c r="E661" s="50"/>
      <c r="G661" s="51"/>
    </row>
    <row r="662">
      <c r="E662" s="50"/>
      <c r="G662" s="51"/>
    </row>
    <row r="663">
      <c r="E663" s="50"/>
      <c r="G663" s="51"/>
    </row>
    <row r="664">
      <c r="E664" s="50"/>
      <c r="G664" s="51"/>
    </row>
    <row r="665">
      <c r="E665" s="50"/>
      <c r="G665" s="51"/>
    </row>
    <row r="666">
      <c r="E666" s="50"/>
      <c r="G666" s="51"/>
    </row>
    <row r="667">
      <c r="E667" s="50"/>
      <c r="G667" s="51"/>
    </row>
    <row r="668">
      <c r="E668" s="50"/>
      <c r="G668" s="51"/>
    </row>
    <row r="669">
      <c r="E669" s="50"/>
      <c r="G669" s="51"/>
    </row>
    <row r="670">
      <c r="E670" s="50"/>
      <c r="G670" s="51"/>
    </row>
    <row r="671">
      <c r="E671" s="50"/>
      <c r="G671" s="51"/>
    </row>
    <row r="672">
      <c r="E672" s="50"/>
      <c r="G672" s="51"/>
    </row>
    <row r="673">
      <c r="E673" s="50"/>
      <c r="G673" s="51"/>
    </row>
    <row r="674">
      <c r="E674" s="50"/>
      <c r="G674" s="51"/>
    </row>
    <row r="675">
      <c r="E675" s="50"/>
      <c r="G675" s="51"/>
    </row>
    <row r="676">
      <c r="E676" s="50"/>
      <c r="G676" s="51"/>
    </row>
    <row r="677">
      <c r="E677" s="50"/>
      <c r="G677" s="51"/>
    </row>
    <row r="678">
      <c r="E678" s="50"/>
      <c r="G678" s="51"/>
    </row>
    <row r="679">
      <c r="E679" s="50"/>
      <c r="G679" s="51"/>
    </row>
    <row r="680">
      <c r="E680" s="50"/>
      <c r="G680" s="51"/>
    </row>
    <row r="681">
      <c r="E681" s="50"/>
      <c r="G681" s="51"/>
    </row>
    <row r="682">
      <c r="E682" s="50"/>
      <c r="G682" s="51"/>
    </row>
    <row r="683">
      <c r="E683" s="50"/>
      <c r="G683" s="51"/>
    </row>
    <row r="684">
      <c r="E684" s="50"/>
      <c r="G684" s="51"/>
    </row>
    <row r="685">
      <c r="E685" s="50"/>
      <c r="G685" s="51"/>
    </row>
    <row r="686">
      <c r="E686" s="50"/>
      <c r="G686" s="51"/>
    </row>
    <row r="687">
      <c r="E687" s="50"/>
      <c r="G687" s="51"/>
    </row>
    <row r="688">
      <c r="E688" s="50"/>
      <c r="G688" s="51"/>
    </row>
    <row r="689">
      <c r="E689" s="50"/>
      <c r="G689" s="51"/>
    </row>
    <row r="690">
      <c r="E690" s="50"/>
      <c r="G690" s="51"/>
    </row>
    <row r="691">
      <c r="E691" s="50"/>
      <c r="G691" s="51"/>
    </row>
    <row r="692">
      <c r="E692" s="50"/>
      <c r="G692" s="51"/>
    </row>
    <row r="693">
      <c r="E693" s="50"/>
      <c r="G693" s="51"/>
    </row>
    <row r="694">
      <c r="E694" s="50"/>
      <c r="G694" s="51"/>
    </row>
    <row r="695">
      <c r="E695" s="50"/>
      <c r="G695" s="51"/>
    </row>
    <row r="696">
      <c r="E696" s="50"/>
      <c r="G696" s="51"/>
    </row>
    <row r="697">
      <c r="E697" s="50"/>
      <c r="G697" s="51"/>
    </row>
    <row r="698">
      <c r="E698" s="50"/>
      <c r="G698" s="51"/>
    </row>
    <row r="699">
      <c r="E699" s="50"/>
      <c r="G699" s="51"/>
    </row>
    <row r="700">
      <c r="E700" s="50"/>
      <c r="G700" s="51"/>
    </row>
    <row r="701">
      <c r="E701" s="50"/>
      <c r="G701" s="51"/>
    </row>
    <row r="702">
      <c r="E702" s="50"/>
      <c r="G702" s="51"/>
    </row>
    <row r="703">
      <c r="E703" s="50"/>
      <c r="G703" s="51"/>
    </row>
    <row r="704">
      <c r="E704" s="50"/>
      <c r="G704" s="51"/>
    </row>
    <row r="705">
      <c r="E705" s="50"/>
      <c r="G705" s="51"/>
    </row>
    <row r="706">
      <c r="E706" s="50"/>
      <c r="G706" s="51"/>
    </row>
    <row r="707">
      <c r="E707" s="50"/>
      <c r="G707" s="51"/>
    </row>
    <row r="708">
      <c r="E708" s="50"/>
      <c r="G708" s="51"/>
    </row>
    <row r="709">
      <c r="E709" s="50"/>
      <c r="G709" s="51"/>
    </row>
    <row r="710">
      <c r="E710" s="50"/>
      <c r="G710" s="51"/>
    </row>
    <row r="711">
      <c r="E711" s="50"/>
      <c r="G711" s="51"/>
    </row>
    <row r="712">
      <c r="E712" s="50"/>
      <c r="G712" s="51"/>
    </row>
    <row r="713">
      <c r="E713" s="50"/>
      <c r="G713" s="51"/>
    </row>
    <row r="714">
      <c r="E714" s="50"/>
      <c r="G714" s="51"/>
    </row>
    <row r="715">
      <c r="E715" s="50"/>
      <c r="G715" s="51"/>
    </row>
    <row r="716">
      <c r="E716" s="50"/>
      <c r="G716" s="51"/>
    </row>
    <row r="717">
      <c r="E717" s="50"/>
      <c r="G717" s="51"/>
    </row>
    <row r="718">
      <c r="E718" s="50"/>
      <c r="G718" s="51"/>
    </row>
    <row r="719">
      <c r="E719" s="50"/>
      <c r="G719" s="51"/>
    </row>
    <row r="720">
      <c r="E720" s="50"/>
      <c r="G720" s="51"/>
    </row>
    <row r="721">
      <c r="E721" s="50"/>
      <c r="G721" s="51"/>
    </row>
    <row r="722">
      <c r="E722" s="50"/>
      <c r="G722" s="51"/>
    </row>
    <row r="723">
      <c r="E723" s="50"/>
      <c r="G723" s="51"/>
    </row>
    <row r="724">
      <c r="E724" s="50"/>
      <c r="G724" s="51"/>
    </row>
    <row r="725">
      <c r="E725" s="50"/>
      <c r="G725" s="51"/>
    </row>
    <row r="726">
      <c r="E726" s="50"/>
      <c r="G726" s="51"/>
    </row>
    <row r="727">
      <c r="E727" s="50"/>
      <c r="G727" s="51"/>
    </row>
    <row r="728">
      <c r="E728" s="50"/>
      <c r="G728" s="51"/>
    </row>
    <row r="729">
      <c r="E729" s="50"/>
      <c r="G729" s="51"/>
    </row>
    <row r="730">
      <c r="E730" s="50"/>
      <c r="G730" s="51"/>
    </row>
    <row r="731">
      <c r="E731" s="50"/>
      <c r="G731" s="51"/>
    </row>
    <row r="732">
      <c r="E732" s="50"/>
      <c r="G732" s="51"/>
    </row>
    <row r="733">
      <c r="E733" s="50"/>
      <c r="G733" s="51"/>
    </row>
    <row r="734">
      <c r="E734" s="50"/>
      <c r="G734" s="51"/>
    </row>
    <row r="735">
      <c r="E735" s="50"/>
      <c r="G735" s="51"/>
    </row>
    <row r="736">
      <c r="E736" s="50"/>
      <c r="G736" s="51"/>
    </row>
    <row r="737">
      <c r="E737" s="50"/>
      <c r="G737" s="51"/>
    </row>
    <row r="738">
      <c r="E738" s="50"/>
      <c r="G738" s="51"/>
    </row>
    <row r="739">
      <c r="E739" s="50"/>
      <c r="G739" s="51"/>
    </row>
    <row r="740">
      <c r="E740" s="50"/>
      <c r="G740" s="51"/>
    </row>
    <row r="741">
      <c r="E741" s="50"/>
      <c r="G741" s="51"/>
    </row>
    <row r="742">
      <c r="E742" s="50"/>
      <c r="G742" s="51"/>
    </row>
    <row r="743">
      <c r="E743" s="50"/>
      <c r="G743" s="51"/>
    </row>
    <row r="744">
      <c r="E744" s="50"/>
      <c r="G744" s="51"/>
    </row>
    <row r="745">
      <c r="E745" s="50"/>
      <c r="G745" s="51"/>
    </row>
    <row r="746">
      <c r="E746" s="50"/>
      <c r="G746" s="51"/>
    </row>
    <row r="747">
      <c r="E747" s="50"/>
      <c r="G747" s="51"/>
    </row>
    <row r="748">
      <c r="E748" s="50"/>
      <c r="G748" s="51"/>
    </row>
    <row r="749">
      <c r="E749" s="50"/>
      <c r="G749" s="51"/>
    </row>
    <row r="750">
      <c r="E750" s="50"/>
      <c r="G750" s="51"/>
    </row>
    <row r="751">
      <c r="E751" s="50"/>
      <c r="G751" s="51"/>
    </row>
    <row r="752">
      <c r="E752" s="50"/>
      <c r="G752" s="51"/>
    </row>
    <row r="753">
      <c r="E753" s="50"/>
      <c r="G753" s="51"/>
    </row>
    <row r="754">
      <c r="E754" s="50"/>
      <c r="G754" s="51"/>
    </row>
    <row r="755">
      <c r="E755" s="50"/>
      <c r="G755" s="51"/>
    </row>
    <row r="756">
      <c r="E756" s="50"/>
      <c r="G756" s="51"/>
    </row>
    <row r="757">
      <c r="E757" s="50"/>
      <c r="G757" s="51"/>
    </row>
    <row r="758">
      <c r="E758" s="50"/>
      <c r="G758" s="51"/>
    </row>
    <row r="759">
      <c r="E759" s="50"/>
      <c r="G759" s="51"/>
    </row>
    <row r="760">
      <c r="E760" s="50"/>
      <c r="G760" s="51"/>
    </row>
    <row r="761">
      <c r="E761" s="50"/>
      <c r="G761" s="51"/>
    </row>
    <row r="762">
      <c r="E762" s="50"/>
      <c r="G762" s="51"/>
    </row>
    <row r="763">
      <c r="E763" s="50"/>
      <c r="G763" s="51"/>
    </row>
    <row r="764">
      <c r="E764" s="50"/>
      <c r="G764" s="51"/>
    </row>
    <row r="765">
      <c r="E765" s="50"/>
      <c r="G765" s="51"/>
    </row>
    <row r="766">
      <c r="E766" s="50"/>
      <c r="G766" s="51"/>
    </row>
    <row r="767">
      <c r="E767" s="50"/>
      <c r="G767" s="51"/>
    </row>
    <row r="768">
      <c r="E768" s="50"/>
      <c r="G768" s="51"/>
    </row>
    <row r="769">
      <c r="E769" s="50"/>
      <c r="G769" s="51"/>
    </row>
    <row r="770">
      <c r="E770" s="50"/>
      <c r="G770" s="51"/>
    </row>
    <row r="771">
      <c r="E771" s="50"/>
      <c r="G771" s="51"/>
    </row>
    <row r="772">
      <c r="E772" s="50"/>
      <c r="G772" s="51"/>
    </row>
    <row r="773">
      <c r="E773" s="50"/>
      <c r="G773" s="51"/>
    </row>
    <row r="774">
      <c r="E774" s="50"/>
      <c r="G774" s="51"/>
    </row>
    <row r="775">
      <c r="E775" s="50"/>
      <c r="G775" s="51"/>
    </row>
    <row r="776">
      <c r="E776" s="50"/>
      <c r="G776" s="51"/>
    </row>
    <row r="777">
      <c r="E777" s="50"/>
      <c r="G777" s="51"/>
    </row>
    <row r="778">
      <c r="E778" s="50"/>
      <c r="G778" s="51"/>
    </row>
    <row r="779">
      <c r="E779" s="50"/>
      <c r="G779" s="51"/>
    </row>
    <row r="780">
      <c r="E780" s="50"/>
      <c r="G780" s="51"/>
    </row>
    <row r="781">
      <c r="E781" s="50"/>
      <c r="G781" s="51"/>
    </row>
    <row r="782">
      <c r="E782" s="50"/>
      <c r="G782" s="51"/>
    </row>
    <row r="783">
      <c r="E783" s="50"/>
      <c r="G783" s="51"/>
    </row>
    <row r="784">
      <c r="E784" s="50"/>
      <c r="G784" s="51"/>
    </row>
    <row r="785">
      <c r="E785" s="50"/>
      <c r="G785" s="51"/>
    </row>
    <row r="786">
      <c r="E786" s="50"/>
      <c r="G786" s="51"/>
    </row>
    <row r="787">
      <c r="E787" s="50"/>
      <c r="G787" s="51"/>
    </row>
    <row r="788">
      <c r="E788" s="50"/>
      <c r="G788" s="51"/>
    </row>
    <row r="789">
      <c r="E789" s="50"/>
      <c r="G789" s="51"/>
    </row>
    <row r="790">
      <c r="E790" s="50"/>
      <c r="G790" s="51"/>
    </row>
    <row r="791">
      <c r="E791" s="50"/>
      <c r="G791" s="51"/>
    </row>
    <row r="792">
      <c r="E792" s="50"/>
      <c r="G792" s="51"/>
    </row>
    <row r="793">
      <c r="E793" s="50"/>
      <c r="G793" s="51"/>
    </row>
    <row r="794">
      <c r="E794" s="50"/>
      <c r="G794" s="51"/>
    </row>
    <row r="795">
      <c r="E795" s="50"/>
      <c r="G795" s="51"/>
    </row>
    <row r="796">
      <c r="E796" s="50"/>
      <c r="G796" s="51"/>
    </row>
    <row r="797">
      <c r="E797" s="50"/>
      <c r="G797" s="51"/>
    </row>
    <row r="798">
      <c r="E798" s="50"/>
      <c r="G798" s="51"/>
    </row>
    <row r="799">
      <c r="E799" s="50"/>
      <c r="G799" s="51"/>
    </row>
    <row r="800">
      <c r="E800" s="50"/>
      <c r="G800" s="51"/>
    </row>
    <row r="801">
      <c r="E801" s="50"/>
      <c r="G801" s="51"/>
    </row>
    <row r="802">
      <c r="E802" s="50"/>
      <c r="G802" s="51"/>
    </row>
    <row r="803">
      <c r="E803" s="50"/>
      <c r="G803" s="51"/>
    </row>
    <row r="804">
      <c r="E804" s="50"/>
      <c r="G804" s="51"/>
    </row>
    <row r="805">
      <c r="E805" s="50"/>
      <c r="G805" s="51"/>
    </row>
    <row r="806">
      <c r="E806" s="50"/>
      <c r="G806" s="51"/>
    </row>
    <row r="807">
      <c r="E807" s="50"/>
      <c r="G807" s="51"/>
    </row>
    <row r="808">
      <c r="E808" s="50"/>
      <c r="G808" s="51"/>
    </row>
    <row r="809">
      <c r="E809" s="50"/>
      <c r="G809" s="51"/>
    </row>
    <row r="810">
      <c r="E810" s="50"/>
      <c r="G810" s="51"/>
    </row>
    <row r="811">
      <c r="E811" s="50"/>
      <c r="G811" s="51"/>
    </row>
    <row r="812">
      <c r="E812" s="50"/>
      <c r="G812" s="51"/>
    </row>
    <row r="813">
      <c r="E813" s="50"/>
      <c r="G813" s="51"/>
    </row>
    <row r="814">
      <c r="E814" s="50"/>
      <c r="G814" s="51"/>
    </row>
    <row r="815">
      <c r="E815" s="50"/>
      <c r="G815" s="51"/>
    </row>
    <row r="816">
      <c r="E816" s="50"/>
      <c r="G816" s="51"/>
    </row>
    <row r="817">
      <c r="E817" s="50"/>
      <c r="G817" s="51"/>
    </row>
    <row r="818">
      <c r="E818" s="50"/>
      <c r="G818" s="51"/>
    </row>
    <row r="819">
      <c r="E819" s="50"/>
      <c r="G819" s="51"/>
    </row>
    <row r="820">
      <c r="E820" s="50"/>
      <c r="G820" s="51"/>
    </row>
    <row r="821">
      <c r="E821" s="50"/>
      <c r="G821" s="51"/>
    </row>
    <row r="822">
      <c r="E822" s="50"/>
      <c r="G822" s="51"/>
    </row>
    <row r="823">
      <c r="E823" s="50"/>
      <c r="G823" s="51"/>
    </row>
    <row r="824">
      <c r="E824" s="50"/>
      <c r="G824" s="51"/>
    </row>
    <row r="825">
      <c r="E825" s="50"/>
      <c r="G825" s="51"/>
    </row>
    <row r="826">
      <c r="E826" s="50"/>
      <c r="G826" s="51"/>
    </row>
    <row r="827">
      <c r="E827" s="50"/>
      <c r="G827" s="51"/>
    </row>
    <row r="828">
      <c r="E828" s="50"/>
      <c r="G828" s="51"/>
    </row>
    <row r="829">
      <c r="E829" s="50"/>
      <c r="G829" s="51"/>
    </row>
    <row r="830">
      <c r="E830" s="50"/>
      <c r="G830" s="51"/>
    </row>
    <row r="831">
      <c r="E831" s="50"/>
      <c r="G831" s="51"/>
    </row>
    <row r="832">
      <c r="E832" s="50"/>
      <c r="G832" s="51"/>
    </row>
    <row r="833">
      <c r="E833" s="50"/>
      <c r="G833" s="51"/>
    </row>
    <row r="834">
      <c r="E834" s="50"/>
      <c r="G834" s="51"/>
    </row>
    <row r="835">
      <c r="E835" s="50"/>
      <c r="G835" s="51"/>
    </row>
    <row r="836">
      <c r="E836" s="50"/>
      <c r="G836" s="51"/>
    </row>
    <row r="837">
      <c r="E837" s="50"/>
      <c r="G837" s="51"/>
    </row>
    <row r="838">
      <c r="E838" s="50"/>
      <c r="G838" s="51"/>
    </row>
    <row r="839">
      <c r="E839" s="50"/>
      <c r="G839" s="51"/>
    </row>
    <row r="840">
      <c r="E840" s="50"/>
      <c r="G840" s="51"/>
    </row>
    <row r="841">
      <c r="E841" s="50"/>
      <c r="G841" s="51"/>
    </row>
    <row r="842">
      <c r="E842" s="50"/>
      <c r="G842" s="51"/>
    </row>
    <row r="843">
      <c r="E843" s="50"/>
      <c r="G843" s="51"/>
    </row>
    <row r="844">
      <c r="E844" s="50"/>
      <c r="G844" s="51"/>
    </row>
    <row r="845">
      <c r="E845" s="50"/>
      <c r="G845" s="51"/>
    </row>
    <row r="846">
      <c r="E846" s="50"/>
      <c r="G846" s="51"/>
    </row>
    <row r="847">
      <c r="E847" s="50"/>
      <c r="G847" s="51"/>
    </row>
    <row r="848">
      <c r="E848" s="50"/>
      <c r="G848" s="51"/>
    </row>
    <row r="849">
      <c r="E849" s="50"/>
      <c r="G849" s="51"/>
    </row>
    <row r="850">
      <c r="E850" s="50"/>
      <c r="G850" s="51"/>
    </row>
    <row r="851">
      <c r="E851" s="50"/>
      <c r="G851" s="51"/>
    </row>
    <row r="852">
      <c r="E852" s="50"/>
      <c r="G852" s="51"/>
    </row>
    <row r="853">
      <c r="E853" s="50"/>
      <c r="G853" s="51"/>
    </row>
    <row r="854">
      <c r="E854" s="50"/>
      <c r="G854" s="51"/>
    </row>
    <row r="855">
      <c r="E855" s="50"/>
      <c r="G855" s="51"/>
    </row>
    <row r="856">
      <c r="E856" s="50"/>
      <c r="G856" s="51"/>
    </row>
    <row r="857">
      <c r="E857" s="50"/>
      <c r="G857" s="51"/>
    </row>
    <row r="858">
      <c r="E858" s="50"/>
      <c r="G858" s="51"/>
    </row>
    <row r="859">
      <c r="E859" s="50"/>
      <c r="G859" s="51"/>
    </row>
    <row r="860">
      <c r="E860" s="50"/>
      <c r="G860" s="51"/>
    </row>
    <row r="861">
      <c r="E861" s="50"/>
      <c r="G861" s="51"/>
    </row>
    <row r="862">
      <c r="E862" s="50"/>
      <c r="G862" s="51"/>
    </row>
    <row r="863">
      <c r="E863" s="50"/>
      <c r="G863" s="51"/>
    </row>
    <row r="864">
      <c r="E864" s="50"/>
      <c r="G864" s="51"/>
    </row>
    <row r="865">
      <c r="E865" s="50"/>
      <c r="G865" s="51"/>
    </row>
    <row r="866">
      <c r="E866" s="50"/>
      <c r="G866" s="51"/>
    </row>
    <row r="867">
      <c r="E867" s="50"/>
      <c r="G867" s="51"/>
    </row>
    <row r="868">
      <c r="E868" s="50"/>
      <c r="G868" s="51"/>
    </row>
    <row r="869">
      <c r="E869" s="50"/>
      <c r="G869" s="51"/>
    </row>
    <row r="870">
      <c r="E870" s="50"/>
      <c r="G870" s="51"/>
    </row>
    <row r="871">
      <c r="E871" s="50"/>
      <c r="G871" s="51"/>
    </row>
    <row r="872">
      <c r="E872" s="50"/>
      <c r="G872" s="51"/>
    </row>
    <row r="873">
      <c r="E873" s="50"/>
      <c r="G873" s="51"/>
    </row>
    <row r="874">
      <c r="E874" s="50"/>
      <c r="G874" s="51"/>
    </row>
    <row r="875">
      <c r="E875" s="50"/>
      <c r="G875" s="51"/>
    </row>
    <row r="876">
      <c r="E876" s="50"/>
      <c r="G876" s="51"/>
    </row>
    <row r="877">
      <c r="E877" s="50"/>
      <c r="G877" s="51"/>
    </row>
    <row r="878">
      <c r="E878" s="50"/>
      <c r="G878" s="51"/>
    </row>
    <row r="879">
      <c r="E879" s="50"/>
      <c r="G879" s="51"/>
    </row>
    <row r="880">
      <c r="E880" s="50"/>
      <c r="G880" s="51"/>
    </row>
    <row r="881">
      <c r="E881" s="50"/>
      <c r="G881" s="51"/>
    </row>
    <row r="882">
      <c r="E882" s="50"/>
      <c r="G882" s="51"/>
    </row>
    <row r="883">
      <c r="E883" s="50"/>
      <c r="G883" s="51"/>
    </row>
    <row r="884">
      <c r="E884" s="50"/>
      <c r="G884" s="51"/>
    </row>
    <row r="885">
      <c r="E885" s="50"/>
      <c r="G885" s="51"/>
    </row>
    <row r="886">
      <c r="E886" s="50"/>
      <c r="G886" s="51"/>
    </row>
    <row r="887">
      <c r="E887" s="50"/>
      <c r="G887" s="51"/>
    </row>
    <row r="888">
      <c r="E888" s="50"/>
      <c r="G888" s="51"/>
    </row>
    <row r="889">
      <c r="E889" s="50"/>
      <c r="G889" s="51"/>
    </row>
    <row r="890">
      <c r="E890" s="50"/>
      <c r="G890" s="51"/>
    </row>
    <row r="891">
      <c r="E891" s="50"/>
      <c r="G891" s="51"/>
    </row>
    <row r="892">
      <c r="E892" s="50"/>
      <c r="G892" s="51"/>
    </row>
    <row r="893">
      <c r="E893" s="50"/>
      <c r="G893" s="51"/>
    </row>
    <row r="894">
      <c r="E894" s="50"/>
      <c r="G894" s="51"/>
    </row>
    <row r="895">
      <c r="E895" s="50"/>
      <c r="G895" s="51"/>
    </row>
    <row r="896">
      <c r="E896" s="50"/>
      <c r="G896" s="51"/>
    </row>
    <row r="897">
      <c r="E897" s="50"/>
      <c r="G897" s="51"/>
    </row>
    <row r="898">
      <c r="E898" s="50"/>
      <c r="G898" s="51"/>
    </row>
    <row r="899">
      <c r="E899" s="50"/>
      <c r="G899" s="51"/>
    </row>
    <row r="900">
      <c r="E900" s="50"/>
      <c r="G900" s="51"/>
    </row>
    <row r="901">
      <c r="E901" s="50"/>
      <c r="G901" s="51"/>
    </row>
    <row r="902">
      <c r="E902" s="50"/>
      <c r="G902" s="51"/>
    </row>
    <row r="903">
      <c r="E903" s="50"/>
      <c r="G903" s="51"/>
    </row>
    <row r="904">
      <c r="E904" s="50"/>
      <c r="G904" s="51"/>
    </row>
    <row r="905">
      <c r="E905" s="50"/>
      <c r="G905" s="51"/>
    </row>
    <row r="906">
      <c r="E906" s="50"/>
      <c r="G906" s="51"/>
    </row>
    <row r="907">
      <c r="E907" s="50"/>
      <c r="G907" s="51"/>
    </row>
    <row r="908">
      <c r="E908" s="50"/>
      <c r="G908" s="51"/>
    </row>
    <row r="909">
      <c r="E909" s="50"/>
      <c r="G909" s="51"/>
    </row>
    <row r="910">
      <c r="E910" s="50"/>
      <c r="G910" s="51"/>
    </row>
    <row r="911">
      <c r="E911" s="50"/>
      <c r="G911" s="51"/>
    </row>
    <row r="912">
      <c r="E912" s="50"/>
      <c r="G912" s="51"/>
    </row>
    <row r="913">
      <c r="E913" s="50"/>
      <c r="G913" s="51"/>
    </row>
    <row r="914">
      <c r="E914" s="50"/>
      <c r="G914" s="51"/>
    </row>
    <row r="915">
      <c r="E915" s="50"/>
      <c r="G915" s="51"/>
    </row>
    <row r="916">
      <c r="E916" s="50"/>
      <c r="G916" s="51"/>
    </row>
    <row r="917">
      <c r="E917" s="50"/>
      <c r="G917" s="51"/>
    </row>
    <row r="918">
      <c r="E918" s="50"/>
      <c r="G918" s="51"/>
    </row>
    <row r="919">
      <c r="E919" s="50"/>
      <c r="G919" s="51"/>
    </row>
    <row r="920">
      <c r="E920" s="50"/>
      <c r="G920" s="51"/>
    </row>
    <row r="921">
      <c r="E921" s="50"/>
      <c r="G921" s="51"/>
    </row>
    <row r="922">
      <c r="E922" s="50"/>
      <c r="G922" s="51"/>
    </row>
    <row r="923">
      <c r="E923" s="50"/>
      <c r="G923" s="51"/>
    </row>
    <row r="924">
      <c r="E924" s="50"/>
      <c r="G924" s="51"/>
    </row>
    <row r="925">
      <c r="E925" s="50"/>
      <c r="G925" s="51"/>
    </row>
    <row r="926">
      <c r="E926" s="50"/>
      <c r="G926" s="51"/>
    </row>
    <row r="927">
      <c r="E927" s="50"/>
      <c r="G927" s="51"/>
    </row>
    <row r="928">
      <c r="E928" s="50"/>
      <c r="G928" s="51"/>
    </row>
    <row r="929">
      <c r="E929" s="50"/>
      <c r="G929" s="51"/>
    </row>
    <row r="930">
      <c r="E930" s="50"/>
      <c r="G930" s="51"/>
    </row>
    <row r="931">
      <c r="E931" s="50"/>
      <c r="G931" s="51"/>
    </row>
    <row r="932">
      <c r="E932" s="50"/>
      <c r="G932" s="51"/>
    </row>
    <row r="933">
      <c r="E933" s="50"/>
      <c r="G933" s="51"/>
    </row>
    <row r="934">
      <c r="E934" s="50"/>
      <c r="G934" s="51"/>
    </row>
    <row r="935">
      <c r="E935" s="50"/>
      <c r="G935" s="51"/>
    </row>
    <row r="936">
      <c r="E936" s="50"/>
      <c r="G936" s="51"/>
    </row>
    <row r="937">
      <c r="E937" s="50"/>
      <c r="G937" s="51"/>
    </row>
    <row r="938">
      <c r="E938" s="50"/>
      <c r="G938" s="51"/>
    </row>
    <row r="939">
      <c r="E939" s="50"/>
      <c r="G939" s="51"/>
    </row>
    <row r="940">
      <c r="E940" s="50"/>
      <c r="G940" s="51"/>
    </row>
    <row r="941">
      <c r="E941" s="50"/>
      <c r="G941" s="51"/>
    </row>
    <row r="942">
      <c r="E942" s="50"/>
      <c r="G942" s="51"/>
    </row>
    <row r="943">
      <c r="E943" s="50"/>
      <c r="G943" s="51"/>
    </row>
    <row r="944">
      <c r="E944" s="50"/>
      <c r="G944" s="51"/>
    </row>
    <row r="945">
      <c r="E945" s="50"/>
      <c r="G945" s="51"/>
    </row>
    <row r="946">
      <c r="E946" s="50"/>
      <c r="G946" s="51"/>
    </row>
    <row r="947">
      <c r="E947" s="50"/>
      <c r="G947" s="51"/>
    </row>
    <row r="948">
      <c r="E948" s="50"/>
      <c r="G948" s="51"/>
    </row>
    <row r="949">
      <c r="E949" s="50"/>
      <c r="G949" s="51"/>
    </row>
    <row r="950">
      <c r="E950" s="50"/>
      <c r="G950" s="51"/>
    </row>
    <row r="951">
      <c r="E951" s="50"/>
      <c r="G951" s="51"/>
    </row>
    <row r="952">
      <c r="E952" s="50"/>
      <c r="G952" s="51"/>
    </row>
    <row r="953">
      <c r="E953" s="50"/>
      <c r="G953" s="51"/>
    </row>
    <row r="954">
      <c r="E954" s="50"/>
      <c r="G954" s="51"/>
    </row>
    <row r="955">
      <c r="E955" s="50"/>
      <c r="G955" s="51"/>
    </row>
    <row r="956">
      <c r="E956" s="50"/>
      <c r="G956" s="51"/>
    </row>
    <row r="957">
      <c r="E957" s="50"/>
      <c r="G957" s="51"/>
    </row>
    <row r="958">
      <c r="E958" s="50"/>
      <c r="G958" s="51"/>
    </row>
    <row r="959">
      <c r="E959" s="50"/>
      <c r="G959" s="51"/>
    </row>
    <row r="960">
      <c r="E960" s="50"/>
      <c r="G960" s="51"/>
    </row>
    <row r="961">
      <c r="E961" s="50"/>
      <c r="G961" s="51"/>
    </row>
    <row r="962">
      <c r="E962" s="50"/>
      <c r="G962" s="51"/>
    </row>
    <row r="963">
      <c r="E963" s="50"/>
      <c r="G963" s="51"/>
    </row>
    <row r="964">
      <c r="E964" s="50"/>
      <c r="G964" s="51"/>
    </row>
    <row r="965">
      <c r="E965" s="50"/>
      <c r="G965" s="51"/>
    </row>
    <row r="966">
      <c r="E966" s="50"/>
      <c r="G966" s="51"/>
    </row>
    <row r="967">
      <c r="E967" s="50"/>
      <c r="G967" s="51"/>
    </row>
    <row r="968">
      <c r="E968" s="50"/>
      <c r="G968" s="51"/>
    </row>
    <row r="969">
      <c r="E969" s="50"/>
      <c r="G969" s="51"/>
    </row>
    <row r="970">
      <c r="E970" s="50"/>
      <c r="G970" s="51"/>
    </row>
    <row r="971">
      <c r="E971" s="50"/>
      <c r="G971" s="51"/>
    </row>
    <row r="972">
      <c r="E972" s="50"/>
      <c r="G972" s="51"/>
    </row>
    <row r="973">
      <c r="E973" s="50"/>
      <c r="G973" s="51"/>
    </row>
    <row r="974">
      <c r="E974" s="50"/>
      <c r="G974" s="51"/>
    </row>
    <row r="975">
      <c r="E975" s="50"/>
      <c r="G975" s="51"/>
    </row>
    <row r="976">
      <c r="E976" s="50"/>
      <c r="G976" s="51"/>
    </row>
    <row r="977">
      <c r="E977" s="50"/>
      <c r="G977" s="51"/>
    </row>
    <row r="978">
      <c r="E978" s="50"/>
      <c r="G978" s="51"/>
    </row>
    <row r="979">
      <c r="E979" s="50"/>
      <c r="G979" s="51"/>
    </row>
    <row r="980">
      <c r="E980" s="50"/>
      <c r="G980" s="51"/>
    </row>
    <row r="981">
      <c r="E981" s="50"/>
      <c r="G981" s="51"/>
    </row>
    <row r="982">
      <c r="E982" s="50"/>
      <c r="G982" s="51"/>
    </row>
    <row r="983">
      <c r="E983" s="50"/>
      <c r="G983" s="51"/>
    </row>
    <row r="984">
      <c r="E984" s="50"/>
      <c r="G984" s="51"/>
    </row>
    <row r="985">
      <c r="E985" s="50"/>
      <c r="G985" s="51"/>
    </row>
    <row r="986">
      <c r="E986" s="50"/>
      <c r="G986" s="51"/>
    </row>
    <row r="987">
      <c r="E987" s="50"/>
      <c r="G987" s="51"/>
    </row>
    <row r="988">
      <c r="E988" s="50"/>
      <c r="G988" s="51"/>
    </row>
    <row r="989">
      <c r="E989" s="50"/>
      <c r="G989" s="51"/>
    </row>
    <row r="990">
      <c r="E990" s="50"/>
      <c r="G990" s="51"/>
    </row>
    <row r="991">
      <c r="E991" s="50"/>
      <c r="G991" s="51"/>
    </row>
    <row r="992">
      <c r="E992" s="50"/>
      <c r="G992" s="51"/>
    </row>
    <row r="993">
      <c r="E993" s="50"/>
      <c r="G993" s="51"/>
    </row>
    <row r="994">
      <c r="E994" s="50"/>
      <c r="G994" s="51"/>
    </row>
    <row r="995">
      <c r="E995" s="50"/>
      <c r="G995" s="51"/>
    </row>
    <row r="996">
      <c r="E996" s="50"/>
      <c r="G996" s="51"/>
    </row>
    <row r="997">
      <c r="E997" s="50"/>
      <c r="G997" s="51"/>
    </row>
    <row r="998">
      <c r="E998" s="50"/>
      <c r="G998" s="51"/>
    </row>
    <row r="999">
      <c r="E999" s="50"/>
      <c r="G999" s="51"/>
    </row>
    <row r="1000">
      <c r="E1000" s="50"/>
      <c r="G1000" s="5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5.0"/>
    <col customWidth="1" min="2" max="2" width="22.0"/>
    <col customWidth="1" min="3" max="3" width="24.0"/>
    <col customWidth="1" min="4" max="4" width="22.0"/>
    <col customWidth="1" min="5" max="6" width="20.0"/>
    <col customWidth="1" min="7" max="26" width="8.71"/>
  </cols>
  <sheetData>
    <row r="1">
      <c r="A1" s="3" t="s">
        <v>1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</row>
    <row r="2">
      <c r="A2" s="11" t="s">
        <v>13</v>
      </c>
      <c r="B2" s="19">
        <f>SUM('Daily Tracking'!C2:C22)</f>
        <v>6510.879</v>
      </c>
      <c r="C2" s="20">
        <f>SUM('Daily Tracking'!F2:F22)</f>
        <v>1303.2</v>
      </c>
      <c r="D2" s="22">
        <f t="shared" ref="D2:D4" si="1">IFERROR(C2/B2,"")</f>
        <v>0.2001573059</v>
      </c>
      <c r="E2" s="19">
        <f>SUM('Daily Tracking'!J2:J22)</f>
        <v>39</v>
      </c>
      <c r="F2" s="23">
        <f t="shared" ref="F2:F4" si="2">IFERROR(E2/B2,"")</f>
        <v>0.005989974626</v>
      </c>
    </row>
    <row r="3">
      <c r="A3" s="25" t="s">
        <v>33</v>
      </c>
      <c r="B3" s="27">
        <f>SUM('Daily Tracking'!C23:C47)</f>
        <v>9669</v>
      </c>
      <c r="C3" s="20">
        <f>SUM('Daily Tracking'!F23:F47)</f>
        <v>1891</v>
      </c>
      <c r="D3" s="22">
        <f t="shared" si="1"/>
        <v>0.1955734823</v>
      </c>
      <c r="E3" s="19">
        <f>SUM('Daily Tracking'!J23:J47)</f>
        <v>110</v>
      </c>
      <c r="F3" s="23">
        <f t="shared" si="2"/>
        <v>0.01137656428</v>
      </c>
    </row>
    <row r="4">
      <c r="A4" s="36" t="s">
        <v>39</v>
      </c>
      <c r="B4" s="27">
        <f>SUM('Daily Tracking'!C48:C78)</f>
        <v>710</v>
      </c>
      <c r="C4" s="19">
        <f>SUM('Daily Tracking'!F48:F78)</f>
        <v>149</v>
      </c>
      <c r="D4" s="22">
        <f t="shared" si="1"/>
        <v>0.2098591549</v>
      </c>
      <c r="E4" s="19">
        <f>SUM('Daily Tracking'!J48:J78)</f>
        <v>3</v>
      </c>
      <c r="F4" s="23">
        <f t="shared" si="2"/>
        <v>0.004225352113</v>
      </c>
    </row>
    <row r="5">
      <c r="A5" s="38"/>
      <c r="B5" s="39"/>
      <c r="C5" s="39"/>
      <c r="D5" s="39"/>
      <c r="E5" s="39"/>
      <c r="F5" s="39"/>
    </row>
    <row r="6">
      <c r="A6" s="39"/>
      <c r="B6" s="39"/>
      <c r="C6" s="39"/>
      <c r="D6" s="39"/>
      <c r="E6" s="39"/>
      <c r="F6" s="39"/>
    </row>
    <row r="7">
      <c r="A7" s="39"/>
      <c r="B7" s="39"/>
      <c r="C7" s="39"/>
      <c r="D7" s="39"/>
      <c r="E7" s="39"/>
      <c r="F7" s="39"/>
    </row>
    <row r="8">
      <c r="A8" s="39"/>
      <c r="B8" s="39"/>
      <c r="C8" s="39"/>
      <c r="D8" s="39"/>
      <c r="E8" s="39"/>
      <c r="F8" s="39"/>
    </row>
    <row r="9">
      <c r="A9" s="39"/>
      <c r="B9" s="39"/>
      <c r="C9" s="39"/>
      <c r="D9" s="39"/>
      <c r="E9" s="39"/>
      <c r="F9" s="39"/>
    </row>
    <row r="10">
      <c r="A10" s="39"/>
      <c r="B10" s="39"/>
      <c r="C10" s="39"/>
      <c r="D10" s="39"/>
      <c r="E10" s="39"/>
      <c r="F10" s="39"/>
    </row>
    <row r="11">
      <c r="A11" s="39"/>
      <c r="B11" s="39"/>
      <c r="C11" s="39"/>
      <c r="D11" s="39"/>
      <c r="E11" s="39"/>
      <c r="F11" s="39"/>
    </row>
    <row r="12">
      <c r="A12" s="39"/>
      <c r="B12" s="39"/>
      <c r="C12" s="39"/>
      <c r="D12" s="39"/>
      <c r="E12" s="39"/>
      <c r="F12" s="39"/>
    </row>
    <row r="13">
      <c r="A13" s="39"/>
      <c r="B13" s="39"/>
      <c r="C13" s="39"/>
      <c r="D13" s="39"/>
      <c r="E13" s="39"/>
      <c r="F13" s="39"/>
    </row>
    <row r="14">
      <c r="A14" s="39"/>
      <c r="B14" s="39"/>
      <c r="C14" s="39"/>
      <c r="D14" s="39"/>
      <c r="E14" s="39"/>
      <c r="F14" s="39"/>
    </row>
    <row r="15">
      <c r="A15" s="39"/>
      <c r="B15" s="39"/>
      <c r="C15" s="39"/>
      <c r="D15" s="39"/>
      <c r="E15" s="39"/>
      <c r="F15" s="39"/>
    </row>
    <row r="16">
      <c r="A16" s="39"/>
      <c r="B16" s="39"/>
      <c r="C16" s="39"/>
      <c r="D16" s="39"/>
      <c r="E16" s="39"/>
      <c r="F16" s="39"/>
    </row>
    <row r="17">
      <c r="A17" s="39"/>
      <c r="B17" s="39"/>
      <c r="C17" s="39"/>
      <c r="D17" s="39"/>
      <c r="E17" s="39"/>
      <c r="F17" s="39"/>
    </row>
    <row r="18">
      <c r="A18" s="39"/>
      <c r="B18" s="39"/>
      <c r="C18" s="39"/>
      <c r="D18" s="39"/>
      <c r="E18" s="39"/>
      <c r="F18" s="39"/>
    </row>
    <row r="19">
      <c r="A19" s="39"/>
      <c r="B19" s="39"/>
      <c r="C19" s="39"/>
      <c r="D19" s="39"/>
      <c r="E19" s="39"/>
      <c r="F19" s="39"/>
    </row>
    <row r="20">
      <c r="A20" s="39"/>
      <c r="B20" s="39"/>
      <c r="C20" s="39"/>
      <c r="D20" s="39"/>
      <c r="E20" s="39"/>
      <c r="F20" s="39"/>
    </row>
    <row r="21">
      <c r="A21" s="39"/>
      <c r="B21" s="39"/>
      <c r="C21" s="39"/>
      <c r="D21" s="39"/>
      <c r="E21" s="39"/>
      <c r="F21" s="39"/>
    </row>
    <row r="22">
      <c r="A22" s="39"/>
      <c r="B22" s="39"/>
      <c r="C22" s="39"/>
      <c r="D22" s="39"/>
      <c r="E22" s="39"/>
      <c r="F22" s="39"/>
    </row>
    <row r="23">
      <c r="A23" s="39"/>
      <c r="B23" s="39"/>
      <c r="C23" s="39"/>
      <c r="D23" s="39"/>
      <c r="E23" s="39"/>
      <c r="F23" s="39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8" max="8" width="12.14"/>
    <col customWidth="1" min="9" max="9" width="20.14"/>
    <col customWidth="1" min="10" max="10" width="17.57"/>
    <col customWidth="1" min="11" max="11" width="13.43"/>
    <col customWidth="1" min="12" max="12" width="16.0"/>
    <col customWidth="1" min="13" max="13" width="11.86"/>
    <col customWidth="1" min="14" max="14" width="16.14"/>
  </cols>
  <sheetData>
    <row r="1">
      <c r="A1" s="2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4"/>
      <c r="G1" s="4"/>
      <c r="H1" s="5"/>
      <c r="I1" s="5"/>
      <c r="J1" s="5"/>
      <c r="K1" s="5"/>
      <c r="L1" s="5"/>
      <c r="M1" s="5"/>
      <c r="N1" s="5"/>
      <c r="O1" s="5"/>
      <c r="P1" s="5"/>
    </row>
    <row r="2">
      <c r="F2" s="4"/>
      <c r="G2" s="4"/>
      <c r="H2" s="7"/>
      <c r="I2" s="9"/>
      <c r="J2" s="9"/>
      <c r="K2" s="9"/>
      <c r="L2" s="9"/>
      <c r="M2" s="9"/>
      <c r="N2" s="9"/>
      <c r="O2" s="9"/>
      <c r="P2" s="9"/>
    </row>
    <row r="3">
      <c r="A3" s="9" t="s">
        <v>18</v>
      </c>
      <c r="B3" s="9">
        <v>14.0</v>
      </c>
      <c r="C3" s="9">
        <v>834.0</v>
      </c>
      <c r="D3" s="15">
        <f t="shared" ref="D3:D4" si="1">C3*11</f>
        <v>9174</v>
      </c>
      <c r="E3" s="17">
        <v>13.0</v>
      </c>
      <c r="F3" s="4"/>
      <c r="G3" s="4"/>
      <c r="H3" s="7"/>
      <c r="I3" s="9"/>
      <c r="J3" s="9"/>
      <c r="K3" s="9"/>
      <c r="L3" s="9"/>
      <c r="M3" s="9"/>
      <c r="N3" s="9"/>
      <c r="O3" s="9"/>
      <c r="P3" s="17"/>
    </row>
    <row r="4">
      <c r="A4" s="9" t="s">
        <v>26</v>
      </c>
      <c r="B4" s="9">
        <v>11.0</v>
      </c>
      <c r="C4" s="9">
        <v>650.0</v>
      </c>
      <c r="D4" s="15">
        <f t="shared" si="1"/>
        <v>7150</v>
      </c>
      <c r="E4" s="17">
        <v>13.0</v>
      </c>
      <c r="F4" s="4"/>
      <c r="G4" s="4"/>
      <c r="H4" s="9" t="s">
        <v>27</v>
      </c>
      <c r="I4" s="15"/>
      <c r="J4" s="15"/>
      <c r="K4" s="15"/>
      <c r="L4" s="15"/>
      <c r="M4" s="15"/>
      <c r="N4" s="15"/>
      <c r="O4" s="15"/>
      <c r="P4" s="15"/>
    </row>
    <row r="5">
      <c r="A5" s="9" t="s">
        <v>28</v>
      </c>
      <c r="B5" s="9"/>
      <c r="C5" s="9"/>
      <c r="D5" s="15"/>
      <c r="E5" s="17">
        <v>13.0</v>
      </c>
      <c r="F5" s="4"/>
      <c r="G5" s="4"/>
      <c r="H5" s="9"/>
      <c r="I5" s="15"/>
      <c r="J5" s="15"/>
      <c r="K5" s="15"/>
      <c r="L5" s="15"/>
      <c r="M5" s="15"/>
      <c r="N5" s="15"/>
      <c r="O5" s="15"/>
      <c r="P5" s="15"/>
    </row>
    <row r="6">
      <c r="A6" s="9" t="s">
        <v>29</v>
      </c>
      <c r="B6" s="9">
        <v>7.0</v>
      </c>
      <c r="C6" s="9">
        <v>410.0</v>
      </c>
      <c r="D6" s="15">
        <f t="shared" ref="D6:D8" si="2">C6*11</f>
        <v>4510</v>
      </c>
      <c r="E6" s="17">
        <v>13.0</v>
      </c>
      <c r="F6" s="4"/>
      <c r="G6" s="17"/>
      <c r="H6" s="9"/>
      <c r="I6" s="15"/>
      <c r="J6" s="15"/>
      <c r="K6" s="15"/>
      <c r="L6" s="15"/>
      <c r="M6" s="15"/>
      <c r="N6" s="15"/>
      <c r="O6" s="15"/>
      <c r="P6" s="15"/>
    </row>
    <row r="7">
      <c r="A7" s="9" t="s">
        <v>30</v>
      </c>
      <c r="B7" s="9">
        <v>5.0</v>
      </c>
      <c r="C7" s="9">
        <v>290.0</v>
      </c>
      <c r="D7" s="15">
        <f t="shared" si="2"/>
        <v>3190</v>
      </c>
      <c r="E7" s="17">
        <v>13.0</v>
      </c>
      <c r="F7" s="4"/>
      <c r="G7" s="21"/>
      <c r="H7" s="15"/>
      <c r="I7" s="15"/>
      <c r="J7" s="9"/>
      <c r="K7" s="15"/>
      <c r="L7" s="15"/>
      <c r="M7" s="15"/>
      <c r="N7" s="15"/>
      <c r="O7" s="15"/>
      <c r="P7" s="15"/>
    </row>
    <row r="8">
      <c r="A8" s="9" t="s">
        <v>31</v>
      </c>
      <c r="B8" s="9">
        <v>3.0</v>
      </c>
      <c r="C8" s="9">
        <v>170.0</v>
      </c>
      <c r="D8" s="15">
        <f t="shared" si="2"/>
        <v>1870</v>
      </c>
      <c r="E8" s="17">
        <v>13.0</v>
      </c>
      <c r="F8" s="4"/>
      <c r="G8" s="21"/>
      <c r="H8" s="9"/>
      <c r="I8" s="15"/>
      <c r="J8" s="9"/>
      <c r="K8" s="15"/>
      <c r="L8" s="15"/>
      <c r="M8" s="15"/>
      <c r="N8" s="15"/>
      <c r="O8" s="15"/>
      <c r="P8" s="15"/>
    </row>
    <row r="9">
      <c r="A9" s="15"/>
      <c r="B9" s="15"/>
      <c r="C9" s="15"/>
      <c r="D9" s="4"/>
      <c r="E9" s="4"/>
      <c r="F9" s="4"/>
      <c r="G9" s="4"/>
      <c r="H9" s="9" t="s">
        <v>27</v>
      </c>
      <c r="I9" s="15"/>
      <c r="J9" s="15"/>
      <c r="K9" s="15"/>
      <c r="L9" s="15"/>
      <c r="M9" s="15"/>
      <c r="N9" s="15"/>
      <c r="O9" s="15"/>
      <c r="P9" s="15"/>
    </row>
    <row r="10">
      <c r="A10" s="15"/>
      <c r="B10" s="15"/>
      <c r="C10" s="15"/>
      <c r="D10" s="4"/>
      <c r="E10" s="4"/>
      <c r="F10" s="4"/>
      <c r="G10" s="4"/>
      <c r="H10" s="9"/>
      <c r="I10" s="15"/>
      <c r="J10" s="15"/>
      <c r="K10" s="15"/>
      <c r="L10" s="15"/>
      <c r="M10" s="15"/>
      <c r="N10" s="15"/>
      <c r="O10" s="15"/>
      <c r="P10" s="15"/>
    </row>
    <row r="11">
      <c r="A11" s="4"/>
      <c r="B11" s="4"/>
      <c r="C11" s="4"/>
      <c r="D11" s="4"/>
      <c r="E11" s="4"/>
      <c r="F11" s="4"/>
      <c r="G11" s="4"/>
      <c r="H11" s="15"/>
      <c r="I11" s="15"/>
      <c r="J11" s="15"/>
      <c r="K11" s="15"/>
      <c r="L11" s="9"/>
      <c r="M11" s="15"/>
      <c r="N11" s="15"/>
      <c r="O11" s="15"/>
      <c r="P11" s="15"/>
    </row>
    <row r="12">
      <c r="A12" s="4"/>
      <c r="B12" s="4"/>
      <c r="C12" s="4"/>
      <c r="D12" s="4"/>
      <c r="E12" s="4"/>
      <c r="F12" s="4"/>
      <c r="G12" s="4"/>
      <c r="H12" s="15"/>
      <c r="I12" s="15"/>
      <c r="J12" s="15"/>
      <c r="K12" s="15"/>
      <c r="L12" s="15"/>
      <c r="M12" s="15"/>
      <c r="N12" s="15"/>
      <c r="O12" s="15"/>
      <c r="P12" s="15"/>
    </row>
    <row r="13">
      <c r="A13" s="4"/>
      <c r="B13" s="4"/>
      <c r="C13" s="4"/>
      <c r="D13" s="4"/>
      <c r="E13" s="4"/>
      <c r="F13" s="4"/>
      <c r="G13" s="4"/>
      <c r="H13" s="15"/>
      <c r="I13" s="15"/>
      <c r="J13" s="15"/>
      <c r="K13" s="15"/>
      <c r="L13" s="15"/>
      <c r="M13" s="15"/>
      <c r="N13" s="15"/>
      <c r="O13" s="15"/>
      <c r="P13" s="15"/>
    </row>
    <row r="14">
      <c r="A14" s="4"/>
      <c r="B14" s="4"/>
      <c r="C14" s="4"/>
      <c r="D14" s="4"/>
      <c r="E14" s="4"/>
      <c r="F14" s="4"/>
      <c r="G14" s="4"/>
      <c r="H14" s="15"/>
      <c r="I14" s="15"/>
      <c r="J14" s="15"/>
      <c r="K14" s="15"/>
      <c r="L14" s="9"/>
      <c r="M14" s="15"/>
      <c r="N14" s="15"/>
      <c r="O14" s="15"/>
      <c r="P14" s="15"/>
    </row>
    <row r="15">
      <c r="A15" s="4"/>
      <c r="B15" s="4"/>
      <c r="C15" s="4"/>
      <c r="D15" s="4"/>
      <c r="E15" s="4"/>
      <c r="F15" s="4"/>
      <c r="G15" s="4"/>
      <c r="H15" s="15"/>
      <c r="I15" s="15"/>
      <c r="J15" s="15"/>
      <c r="K15" s="15"/>
      <c r="L15" s="15"/>
      <c r="M15" s="15"/>
      <c r="N15" s="15"/>
      <c r="O15" s="15"/>
      <c r="P15" s="15"/>
    </row>
    <row r="16">
      <c r="A16" s="4"/>
      <c r="B16" s="4"/>
      <c r="C16" s="4"/>
      <c r="D16" s="4"/>
      <c r="E16" s="4"/>
      <c r="F16" s="4"/>
      <c r="G16" s="4"/>
      <c r="H16" s="15"/>
      <c r="I16" s="15"/>
      <c r="J16" s="15"/>
      <c r="K16" s="15"/>
      <c r="L16" s="15"/>
      <c r="M16" s="15"/>
      <c r="N16" s="15"/>
      <c r="O16" s="15"/>
      <c r="P16" s="15"/>
    </row>
    <row r="17">
      <c r="A17" s="2" t="s">
        <v>32</v>
      </c>
      <c r="B17" s="2" t="s">
        <v>4</v>
      </c>
      <c r="C17" s="2" t="s">
        <v>5</v>
      </c>
      <c r="D17" s="2" t="s">
        <v>34</v>
      </c>
      <c r="E17" s="2" t="s">
        <v>7</v>
      </c>
      <c r="F17" s="17"/>
      <c r="G17" s="17"/>
      <c r="H17" s="17"/>
      <c r="I17" s="17"/>
      <c r="J17" s="17"/>
      <c r="K17" s="17"/>
      <c r="L17" s="17"/>
      <c r="M17" s="17"/>
      <c r="N17" s="17"/>
      <c r="O17" s="9" t="s">
        <v>27</v>
      </c>
      <c r="P17" s="15"/>
    </row>
    <row r="18">
      <c r="A18" s="9" t="s">
        <v>35</v>
      </c>
      <c r="B18" s="9">
        <v>12.0</v>
      </c>
      <c r="C18" s="9">
        <v>850.0</v>
      </c>
      <c r="D18" s="15">
        <f t="shared" ref="D18:D23" si="3">C18*11</f>
        <v>9350</v>
      </c>
      <c r="E18" s="26">
        <v>15.0</v>
      </c>
      <c r="F18" s="17"/>
      <c r="G18" s="17"/>
      <c r="H18" s="17"/>
      <c r="I18" s="17"/>
      <c r="J18" s="17"/>
      <c r="K18" s="17"/>
      <c r="L18" s="17"/>
      <c r="M18" s="17"/>
      <c r="N18" s="17"/>
      <c r="O18" s="15"/>
      <c r="P18" s="15"/>
    </row>
    <row r="19">
      <c r="A19" s="9" t="s">
        <v>26</v>
      </c>
      <c r="B19" s="9">
        <v>10.0</v>
      </c>
      <c r="C19" s="9">
        <v>620.0</v>
      </c>
      <c r="D19" s="15">
        <f t="shared" si="3"/>
        <v>6820</v>
      </c>
      <c r="E19" s="17">
        <v>15.0</v>
      </c>
      <c r="F19" s="9"/>
      <c r="G19" s="9"/>
      <c r="H19" s="15"/>
      <c r="I19" s="9"/>
      <c r="J19" s="15"/>
      <c r="K19" s="15"/>
      <c r="L19" s="15"/>
      <c r="M19" s="15"/>
      <c r="N19" s="15"/>
      <c r="O19" s="15"/>
      <c r="P19" s="15"/>
    </row>
    <row r="20">
      <c r="A20" s="9" t="s">
        <v>28</v>
      </c>
      <c r="B20" s="9">
        <v>7.0</v>
      </c>
      <c r="C20" s="9">
        <v>430.0</v>
      </c>
      <c r="D20" s="15">
        <f t="shared" si="3"/>
        <v>4730</v>
      </c>
      <c r="E20" s="17">
        <v>15.0</v>
      </c>
      <c r="F20" s="9"/>
      <c r="G20" s="9"/>
      <c r="H20" s="15"/>
      <c r="I20" s="9"/>
      <c r="J20" s="15"/>
      <c r="K20" s="15"/>
      <c r="L20" s="15"/>
      <c r="M20" s="15"/>
      <c r="N20" s="15"/>
      <c r="O20" s="15"/>
      <c r="P20" s="15"/>
    </row>
    <row r="21">
      <c r="A21" s="9" t="s">
        <v>29</v>
      </c>
      <c r="B21" s="9">
        <v>6.0</v>
      </c>
      <c r="C21" s="9">
        <v>360.0</v>
      </c>
      <c r="D21" s="15">
        <f t="shared" si="3"/>
        <v>3960</v>
      </c>
      <c r="E21" s="17">
        <v>15.0</v>
      </c>
      <c r="F21" s="9"/>
      <c r="G21" s="4"/>
      <c r="H21" s="15"/>
      <c r="I21" s="15"/>
      <c r="J21" s="15"/>
      <c r="K21" s="15"/>
      <c r="L21" s="15"/>
      <c r="M21" s="15"/>
      <c r="N21" s="15"/>
      <c r="O21" s="15"/>
      <c r="P21" s="15"/>
    </row>
    <row r="22">
      <c r="A22" s="9" t="s">
        <v>30</v>
      </c>
      <c r="B22" s="9">
        <v>4.0</v>
      </c>
      <c r="C22" s="9">
        <v>275.0</v>
      </c>
      <c r="D22" s="15">
        <f t="shared" si="3"/>
        <v>3025</v>
      </c>
      <c r="E22" s="17">
        <v>15.0</v>
      </c>
      <c r="F22" s="4"/>
      <c r="H22" s="9"/>
      <c r="J22" s="15"/>
      <c r="K22" s="15"/>
      <c r="L22" s="15"/>
      <c r="M22" s="15"/>
      <c r="N22" s="15"/>
      <c r="O22" s="15"/>
      <c r="P22" s="15"/>
    </row>
    <row r="23">
      <c r="A23" s="9" t="s">
        <v>37</v>
      </c>
      <c r="B23" s="9">
        <v>2.0</v>
      </c>
      <c r="C23" s="9">
        <v>135.0</v>
      </c>
      <c r="D23" s="15">
        <f t="shared" si="3"/>
        <v>1485</v>
      </c>
      <c r="E23" s="29">
        <v>15.0</v>
      </c>
      <c r="H23" s="31"/>
      <c r="I23" s="31"/>
      <c r="J23" s="31"/>
      <c r="K23" s="31"/>
      <c r="L23" s="31"/>
      <c r="M23" s="31"/>
      <c r="N23" s="31"/>
      <c r="O23" s="31"/>
      <c r="P23" s="31"/>
    </row>
    <row r="24">
      <c r="E24" s="34" t="s">
        <v>27</v>
      </c>
    </row>
    <row r="25">
      <c r="F25" s="29"/>
      <c r="G25" s="29"/>
      <c r="H25" s="29"/>
      <c r="I25" s="29"/>
    </row>
    <row r="26">
      <c r="E26" s="34" t="s">
        <v>40</v>
      </c>
      <c r="F26" s="29"/>
      <c r="G26" s="29"/>
      <c r="H26" s="29"/>
      <c r="I26" s="29"/>
    </row>
    <row r="27">
      <c r="F27" s="29"/>
      <c r="G27" s="29"/>
      <c r="H27" s="29"/>
      <c r="I27" s="29"/>
    </row>
    <row r="28">
      <c r="F28" s="29"/>
      <c r="G28" s="29"/>
      <c r="H28" s="31"/>
      <c r="I28" s="31"/>
    </row>
  </sheetData>
  <mergeCells count="5">
    <mergeCell ref="A1:A2"/>
    <mergeCell ref="B1:B2"/>
    <mergeCell ref="C1:C2"/>
    <mergeCell ref="D1:D2"/>
    <mergeCell ref="E1:E2"/>
  </mergeCells>
  <drawing r:id="rId1"/>
</worksheet>
</file>