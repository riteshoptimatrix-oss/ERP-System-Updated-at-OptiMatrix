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 Management" sheetId="1" r:id="rId5"/>
    <sheet state="visible" name="Product Weight" sheetId="2" r:id="rId6"/>
    <sheet state="visible" name="For Operator" sheetId="3" r:id="rId7"/>
    <sheet state="visible" name="Complaint Registrar" sheetId="4" r:id="rId8"/>
  </sheets>
  <definedNames/>
  <calcPr/>
</workbook>
</file>

<file path=xl/sharedStrings.xml><?xml version="1.0" encoding="utf-8"?>
<sst xmlns="http://schemas.openxmlformats.org/spreadsheetml/2006/main" count="1217" uniqueCount="208">
  <si>
    <t>Complaint Date</t>
  </si>
  <si>
    <t>Daily Production Report</t>
  </si>
  <si>
    <t>Pipe 
Size in inch</t>
  </si>
  <si>
    <t>Customer Name</t>
  </si>
  <si>
    <t>Brand</t>
  </si>
  <si>
    <t>Invoice No.</t>
  </si>
  <si>
    <t>Batch No.</t>
  </si>
  <si>
    <t>Product Size</t>
  </si>
  <si>
    <t>Complaint Type</t>
  </si>
  <si>
    <t>Root Cause</t>
  </si>
  <si>
    <t>Corrective Action</t>
  </si>
  <si>
    <t>Status</t>
  </si>
  <si>
    <t>Garden pipe 
weight in grm</t>
  </si>
  <si>
    <t>Enflow</t>
  </si>
  <si>
    <t>Pieces from
 100 m Roll</t>
  </si>
  <si>
    <t>ENFLOW</t>
  </si>
  <si>
    <t>INV-1001</t>
  </si>
  <si>
    <t>B130726</t>
  </si>
  <si>
    <t>1/2"</t>
  </si>
  <si>
    <t>Leakage</t>
  </si>
  <si>
    <t>Under Investigation</t>
  </si>
  <si>
    <t>Sample Requested</t>
  </si>
  <si>
    <t>Open</t>
  </si>
  <si>
    <t>Order No</t>
  </si>
  <si>
    <t>Production Date</t>
  </si>
  <si>
    <t>weight</t>
  </si>
  <si>
    <t>Brand Name</t>
  </si>
  <si>
    <t>Product Description</t>
  </si>
  <si>
    <t>Pipe Size</t>
  </si>
  <si>
    <t>Quantity Produced</t>
  </si>
  <si>
    <t>Pcs/Grams</t>
  </si>
  <si>
    <t>Total kg produced</t>
  </si>
  <si>
    <t>Unit (Pcs/Roll)</t>
  </si>
  <si>
    <t>QC Status</t>
  </si>
  <si>
    <t>Remarks</t>
  </si>
  <si>
    <t>Shift Time:</t>
  </si>
  <si>
    <t>AURA Industries</t>
  </si>
  <si>
    <t>12''</t>
  </si>
  <si>
    <t>328 pcs</t>
  </si>
  <si>
    <t>B140726</t>
  </si>
  <si>
    <t>Pipe Type:</t>
  </si>
  <si>
    <t>MARINO</t>
  </si>
  <si>
    <t>Braded</t>
  </si>
  <si>
    <t>24"</t>
  </si>
  <si>
    <t>Pcs</t>
  </si>
  <si>
    <t>Passed</t>
  </si>
  <si>
    <t>Date:</t>
  </si>
  <si>
    <t>18''</t>
  </si>
  <si>
    <t>218 pcs</t>
  </si>
  <si>
    <t>Brand Name:</t>
  </si>
  <si>
    <t>24''</t>
  </si>
  <si>
    <t>164 pcs</t>
  </si>
  <si>
    <t>36''.</t>
  </si>
  <si>
    <t>1 mtr</t>
  </si>
  <si>
    <t>109 pcs</t>
  </si>
  <si>
    <t>Pipe Size:</t>
  </si>
  <si>
    <t>48''</t>
  </si>
  <si>
    <t>82 pcs</t>
  </si>
  <si>
    <t>60''</t>
  </si>
  <si>
    <t>Description &amp; Time</t>
  </si>
  <si>
    <t>65 pcs</t>
  </si>
  <si>
    <t>B150726</t>
  </si>
  <si>
    <t>WATERFLO</t>
  </si>
  <si>
    <t>1 Mtr</t>
  </si>
  <si>
    <t>100 pcs</t>
  </si>
  <si>
    <t>-</t>
  </si>
  <si>
    <t>Rolls</t>
  </si>
  <si>
    <t>1.5 Mtr</t>
  </si>
  <si>
    <t>8AM-10AM</t>
  </si>
  <si>
    <t>66 pcs</t>
  </si>
  <si>
    <t>2 Mtr</t>
  </si>
  <si>
    <t>50 pcs</t>
  </si>
  <si>
    <t>10AM-1PM</t>
  </si>
  <si>
    <t>2PM-5PM</t>
  </si>
  <si>
    <t>B160726</t>
  </si>
  <si>
    <t>5PM-8PM</t>
  </si>
  <si>
    <t>3 Mtr</t>
  </si>
  <si>
    <t xml:space="preserve">Tube </t>
  </si>
  <si>
    <t>33 pcs</t>
  </si>
  <si>
    <t>Machine Running:</t>
  </si>
  <si>
    <t>B170726</t>
  </si>
  <si>
    <t>Braider pipe 
weight in grm</t>
  </si>
  <si>
    <t>Machine Down:</t>
  </si>
  <si>
    <t>Downtime Reason:</t>
  </si>
  <si>
    <t>B180726</t>
  </si>
  <si>
    <t>1.5 mtr</t>
  </si>
  <si>
    <t>No. of Rolls Produced:</t>
  </si>
  <si>
    <t>..</t>
  </si>
  <si>
    <t>Total Kg produced:</t>
  </si>
  <si>
    <t>18"</t>
  </si>
  <si>
    <t>SCHINTLER</t>
  </si>
  <si>
    <t>29''</t>
  </si>
  <si>
    <t>Scrap / Rejection:</t>
  </si>
  <si>
    <t>B200726</t>
  </si>
  <si>
    <t>36''</t>
  </si>
  <si>
    <t>Supervisor Quality Check:</t>
  </si>
  <si>
    <t>B230726</t>
  </si>
  <si>
    <t>Good</t>
  </si>
  <si>
    <t>Bad</t>
  </si>
  <si>
    <t>Weight Check</t>
  </si>
  <si>
    <t>Print</t>
  </si>
  <si>
    <t>B240726</t>
  </si>
  <si>
    <t>B250726</t>
  </si>
  <si>
    <t>Remarks:</t>
  </si>
  <si>
    <t>B270726</t>
  </si>
  <si>
    <t>17 inch</t>
  </si>
  <si>
    <t>Operator Sing:</t>
  </si>
  <si>
    <t>B280726</t>
  </si>
  <si>
    <t>23 inch</t>
  </si>
  <si>
    <t>Supervisor Sing:</t>
  </si>
  <si>
    <t>B290726</t>
  </si>
  <si>
    <t>B300726</t>
  </si>
  <si>
    <t>B310726</t>
  </si>
  <si>
    <t>B030826</t>
  </si>
  <si>
    <t>17''</t>
  </si>
  <si>
    <t>23''</t>
  </si>
  <si>
    <t>B040826</t>
  </si>
  <si>
    <t>B050826</t>
  </si>
  <si>
    <t>B060826</t>
  </si>
  <si>
    <t>B070826</t>
  </si>
  <si>
    <t>Watertec</t>
  </si>
  <si>
    <t>...</t>
  </si>
  <si>
    <t>B080826</t>
  </si>
  <si>
    <t>Artimis</t>
  </si>
  <si>
    <t>B100826</t>
  </si>
  <si>
    <t>23 ''</t>
  </si>
  <si>
    <t>Vojal</t>
  </si>
  <si>
    <t>....</t>
  </si>
  <si>
    <t>idol</t>
  </si>
  <si>
    <t>B110826</t>
  </si>
  <si>
    <t>29 inch</t>
  </si>
  <si>
    <t>B120826</t>
  </si>
  <si>
    <t>35 inch</t>
  </si>
  <si>
    <t>B130826</t>
  </si>
  <si>
    <t>waterflow&amp; marino(t)</t>
  </si>
  <si>
    <t>B140826</t>
  </si>
  <si>
    <t>B170826</t>
  </si>
  <si>
    <t>18 inch</t>
  </si>
  <si>
    <t>24 inch</t>
  </si>
  <si>
    <t xml:space="preserve">Ottertec </t>
  </si>
  <si>
    <t>B180826</t>
  </si>
  <si>
    <t>B190826</t>
  </si>
  <si>
    <t>B200826</t>
  </si>
  <si>
    <t>B210826</t>
  </si>
  <si>
    <t>B220826</t>
  </si>
  <si>
    <t>no brand</t>
  </si>
  <si>
    <t>B240826</t>
  </si>
  <si>
    <t>Marino</t>
  </si>
  <si>
    <t>B250826</t>
  </si>
  <si>
    <t>plain</t>
  </si>
  <si>
    <t>enflow</t>
  </si>
  <si>
    <t>11 inch</t>
  </si>
  <si>
    <t>pcs</t>
  </si>
  <si>
    <t>waterflo</t>
  </si>
  <si>
    <t>B260826</t>
  </si>
  <si>
    <t>B270826</t>
  </si>
  <si>
    <t>B280826</t>
  </si>
  <si>
    <t>B290826</t>
  </si>
  <si>
    <t>B310826</t>
  </si>
  <si>
    <t>Sss</t>
  </si>
  <si>
    <t>B010926</t>
  </si>
  <si>
    <t>B020926</t>
  </si>
  <si>
    <t>Alpha flow</t>
  </si>
  <si>
    <t xml:space="preserve">Blue Mount </t>
  </si>
  <si>
    <t>B030926</t>
  </si>
  <si>
    <t>SSS</t>
  </si>
  <si>
    <t>B040926</t>
  </si>
  <si>
    <t>2 mtr</t>
  </si>
  <si>
    <t>CS</t>
  </si>
  <si>
    <t>B050926</t>
  </si>
  <si>
    <t>Misri</t>
  </si>
  <si>
    <t>B070926</t>
  </si>
  <si>
    <t xml:space="preserve">24 inch </t>
  </si>
  <si>
    <t>Akanth</t>
  </si>
  <si>
    <t>B080926</t>
  </si>
  <si>
    <t>39 inch</t>
  </si>
  <si>
    <t>marino</t>
  </si>
  <si>
    <t>B090926</t>
  </si>
  <si>
    <t>marino(dop 1056)</t>
  </si>
  <si>
    <t>B100926</t>
  </si>
  <si>
    <t>B110926</t>
  </si>
  <si>
    <t>B120926</t>
  </si>
  <si>
    <t>CS WATER TAP</t>
  </si>
  <si>
    <t>B140926</t>
  </si>
  <si>
    <t>B150926</t>
  </si>
  <si>
    <t>B160926</t>
  </si>
  <si>
    <t>B170926</t>
  </si>
  <si>
    <t>B180926</t>
  </si>
  <si>
    <t>Futura</t>
  </si>
  <si>
    <t>36 inch</t>
  </si>
  <si>
    <t>Eziyflo</t>
  </si>
  <si>
    <t>B190926</t>
  </si>
  <si>
    <t>OTTERTEC</t>
  </si>
  <si>
    <t>B210926</t>
  </si>
  <si>
    <t>B220926</t>
  </si>
  <si>
    <t>B230926</t>
  </si>
  <si>
    <t>B240926</t>
  </si>
  <si>
    <t xml:space="preserve">Ceraflo </t>
  </si>
  <si>
    <t xml:space="preserve">23 inch </t>
  </si>
  <si>
    <t xml:space="preserve">Alpha Flow   </t>
  </si>
  <si>
    <t>B250926</t>
  </si>
  <si>
    <t>PARAS Flow</t>
  </si>
  <si>
    <t>B280926</t>
  </si>
  <si>
    <t>B290926</t>
  </si>
  <si>
    <t>B300926</t>
  </si>
  <si>
    <t>B011026</t>
  </si>
  <si>
    <t>B013026</t>
  </si>
  <si>
    <t>The machine started at 3:00 PM 
due to the late arrival of resin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</si>
</sst>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-yyyy"/>
    <numFmt numFmtId="165" formatCode="0.0"/>
    <numFmt numFmtId="166" formatCode="#,##0.0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/>
    <font>
      <b/>
      <color rgb="FF434343"/>
      <name val="Arial"/>
    </font>
    <font>
      <sz val="10.0"/>
      <color theme="1"/>
      <name val="Arial"/>
      <scheme val="minor"/>
    </font>
    <font>
      <color rgb="FF434343"/>
      <name val="Arial"/>
    </font>
    <font>
      <sz val="10.0"/>
      <color rgb="FF434343"/>
      <name val="Arial"/>
    </font>
    <font>
      <color theme="1"/>
      <name val="Arial"/>
    </font>
    <font>
      <color theme="1"/>
      <name val="Comfortaa"/>
    </font>
    <font>
      <b/>
      <sz val="9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2" fillId="4" fontId="3" numFmtId="0" xfId="0" applyAlignment="1" applyBorder="1" applyFill="1" applyFont="1">
      <alignment horizontal="center" readingOrder="0" textRotation="0"/>
    </xf>
    <xf borderId="0" fillId="2" fontId="4" numFmtId="0" xfId="0" applyAlignment="1" applyFill="1" applyFont="1">
      <alignment horizontal="center"/>
    </xf>
    <xf borderId="3" fillId="0" fontId="5" numFmtId="0" xfId="0" applyBorder="1" applyFont="1"/>
    <xf borderId="2" fillId="5" fontId="1" numFmtId="0" xfId="0" applyAlignment="1" applyBorder="1" applyFill="1" applyFont="1">
      <alignment horizontal="center" readingOrder="0" vertical="center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2" fillId="6" fontId="1" numFmtId="0" xfId="0" applyAlignment="1" applyBorder="1" applyFill="1" applyFont="1">
      <alignment readingOrder="0" vertical="center"/>
    </xf>
    <xf borderId="5" fillId="0" fontId="5" numFmtId="0" xfId="0" applyBorder="1" applyFont="1"/>
    <xf borderId="0" fillId="7" fontId="1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6" fillId="0" fontId="5" numFmtId="0" xfId="0" applyBorder="1" applyFont="1"/>
    <xf borderId="4" fillId="0" fontId="4" numFmtId="0" xfId="0" applyAlignment="1" applyBorder="1" applyFont="1">
      <alignment horizontal="center" readingOrder="0"/>
    </xf>
    <xf borderId="1" fillId="8" fontId="1" numFmtId="0" xfId="0" applyAlignment="1" applyBorder="1" applyFill="1" applyFont="1">
      <alignment readingOrder="0"/>
    </xf>
    <xf borderId="4" fillId="0" fontId="4" numFmtId="164" xfId="0" applyAlignment="1" applyBorder="1" applyFont="1" applyNumberFormat="1">
      <alignment horizontal="center" readingOrder="0"/>
    </xf>
    <xf borderId="4" fillId="0" fontId="4" numFmtId="0" xfId="0" applyAlignment="1" applyBorder="1" applyFont="1">
      <alignment horizontal="right" readingOrder="0"/>
    </xf>
    <xf borderId="4" fillId="0" fontId="4" numFmtId="0" xfId="0" applyBorder="1" applyFont="1"/>
    <xf borderId="4" fillId="0" fontId="4" numFmtId="0" xfId="0" applyAlignment="1" applyBorder="1" applyFont="1">
      <alignment horizontal="center"/>
    </xf>
    <xf borderId="1" fillId="9" fontId="1" numFmtId="0" xfId="0" applyAlignment="1" applyBorder="1" applyFill="1" applyFont="1">
      <alignment readingOrder="0"/>
    </xf>
    <xf borderId="1" fillId="10" fontId="1" numFmtId="0" xfId="0" applyAlignment="1" applyBorder="1" applyFill="1" applyFont="1">
      <alignment horizontal="center" readingOrder="0" textRotation="0"/>
    </xf>
    <xf borderId="4" fillId="10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readingOrder="0"/>
    </xf>
    <xf borderId="4" fillId="2" fontId="1" numFmtId="0" xfId="0" applyBorder="1" applyFill="1" applyFont="1"/>
    <xf borderId="4" fillId="2" fontId="1" numFmtId="0" xfId="0" applyAlignment="1" applyBorder="1" applyFill="1" applyFont="1">
      <alignment readingOrder="0"/>
    </xf>
    <xf borderId="4" fillId="0" fontId="4" numFmtId="0" xfId="0" applyAlignment="1" applyBorder="1" applyFont="1">
      <alignment horizontal="center" vertical="center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 vertical="center"/>
    </xf>
    <xf borderId="0" fillId="0" fontId="4" numFmtId="165" xfId="0" applyFont="1" applyNumberFormat="1"/>
    <xf borderId="0" fillId="0" fontId="1" numFmtId="0" xfId="0" applyAlignment="1" applyFont="1">
      <alignment readingOrder="0"/>
    </xf>
    <xf borderId="7" fillId="0" fontId="1" numFmtId="0" xfId="0" applyAlignment="1" applyBorder="1" applyFont="1">
      <alignment readingOrder="0" vertical="center"/>
    </xf>
    <xf borderId="8" fillId="0" fontId="5" numFmtId="0" xfId="0" applyBorder="1" applyFont="1"/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 vertical="top"/>
    </xf>
    <xf borderId="4" fillId="0" fontId="1" numFmtId="0" xfId="0" applyAlignment="1" applyBorder="1" applyFont="1">
      <alignment horizontal="center" readingOrder="0" vertical="top"/>
    </xf>
    <xf borderId="9" fillId="0" fontId="5" numFmtId="0" xfId="0" applyBorder="1" applyFont="1"/>
    <xf borderId="10" fillId="0" fontId="5" numFmtId="0" xfId="0" applyBorder="1" applyFont="1"/>
    <xf borderId="4" fillId="0" fontId="3" numFmtId="0" xfId="0" applyAlignment="1" applyBorder="1" applyFont="1">
      <alignment readingOrder="0"/>
    </xf>
    <xf borderId="4" fillId="9" fontId="4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readingOrder="0" vertical="center"/>
    </xf>
    <xf borderId="4" fillId="9" fontId="4" numFmtId="164" xfId="0" applyAlignment="1" applyBorder="1" applyFill="1" applyFont="1" applyNumberFormat="1">
      <alignment horizontal="center" readingOrder="0"/>
    </xf>
    <xf borderId="7" fillId="0" fontId="1" numFmtId="0" xfId="0" applyAlignment="1" applyBorder="1" applyFont="1">
      <alignment readingOrder="0"/>
    </xf>
    <xf borderId="11" fillId="0" fontId="5" numFmtId="0" xfId="0" applyBorder="1" applyFont="1"/>
    <xf borderId="4" fillId="9" fontId="4" numFmtId="0" xfId="0" applyAlignment="1" applyBorder="1" applyFill="1" applyFont="1">
      <alignment horizontal="center"/>
    </xf>
    <xf borderId="12" fillId="0" fontId="5" numFmtId="0" xfId="0" applyBorder="1" applyFont="1"/>
    <xf borderId="0" fillId="9" fontId="4" numFmtId="0" xfId="0" applyAlignment="1" applyFill="1" applyFont="1">
      <alignment horizontal="center"/>
    </xf>
    <xf borderId="7" fillId="0" fontId="1" numFmtId="0" xfId="0" applyAlignment="1" applyBorder="1" applyFont="1">
      <alignment horizontal="left" readingOrder="0" vertical="center"/>
    </xf>
    <xf borderId="4" fillId="9" fontId="4" numFmtId="14" xfId="0" applyAlignment="1" applyBorder="1" applyFill="1" applyFont="1" applyNumberFormat="1">
      <alignment horizontal="center" readingOrder="0"/>
    </xf>
    <xf borderId="4" fillId="9" fontId="6" numFmtId="166" xfId="0" applyAlignment="1" applyBorder="1" applyFill="1" applyFont="1" applyNumberFormat="1">
      <alignment horizontal="center" shrinkToFit="0" vertical="bottom" wrapText="0"/>
    </xf>
    <xf borderId="4" fillId="9" fontId="4" numFmtId="0" xfId="0" applyBorder="1" applyFill="1" applyFont="1"/>
    <xf borderId="0" fillId="9" fontId="4" numFmtId="0" xfId="0" applyFill="1" applyFont="1"/>
    <xf borderId="4" fillId="9" fontId="4" numFmtId="14" xfId="0" applyAlignment="1" applyBorder="1" applyFill="1" applyFont="1" applyNumberFormat="1">
      <alignment horizontal="center" readingOrder="0" vertical="center"/>
    </xf>
    <xf borderId="4" fillId="9" fontId="4" numFmtId="0" xfId="0" applyAlignment="1" applyBorder="1" applyFill="1" applyFont="1">
      <alignment horizontal="center" readingOrder="0" vertical="center"/>
    </xf>
    <xf borderId="4" fillId="0" fontId="4" numFmtId="14" xfId="0" applyAlignment="1" applyBorder="1" applyFont="1" applyNumberFormat="1">
      <alignment horizontal="center" readingOrder="0" vertical="center"/>
    </xf>
    <xf borderId="4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readingOrder="0" vertical="center"/>
    </xf>
    <xf borderId="4" fillId="11" fontId="8" numFmtId="3" xfId="0" applyAlignment="1" applyBorder="1" applyFill="1" applyFont="1" applyNumberFormat="1">
      <alignment horizontal="center" readingOrder="0" shrinkToFit="0" vertical="bottom" wrapText="0"/>
    </xf>
    <xf borderId="4" fillId="9" fontId="8" numFmtId="3" xfId="0" applyAlignment="1" applyBorder="1" applyFill="1" applyFont="1" applyNumberFormat="1">
      <alignment horizontal="center" readingOrder="0" shrinkToFit="0" vertical="bottom" wrapText="0"/>
    </xf>
    <xf borderId="4" fillId="9" fontId="9" numFmtId="0" xfId="0" applyAlignment="1" applyBorder="1" applyFill="1" applyFont="1">
      <alignment horizontal="center" readingOrder="0" shrinkToFit="0" vertical="bottom" wrapText="0"/>
    </xf>
    <xf borderId="4" fillId="9" fontId="6" numFmtId="4" xfId="0" applyAlignment="1" applyBorder="1" applyFill="1" applyFont="1" applyNumberFormat="1">
      <alignment horizontal="center" shrinkToFit="0" vertical="bottom" wrapText="0"/>
    </xf>
    <xf borderId="4" fillId="11" fontId="10" numFmtId="0" xfId="0" applyAlignment="1" applyBorder="1" applyFill="1" applyFont="1">
      <alignment horizontal="center" readingOrder="0" vertical="bottom"/>
    </xf>
    <xf borderId="4" fillId="9" fontId="10" numFmtId="0" xfId="0" applyAlignment="1" applyBorder="1" applyFill="1" applyFont="1">
      <alignment horizontal="center" readingOrder="0" vertical="bottom"/>
    </xf>
    <xf borderId="4" fillId="9" fontId="6" numFmtId="4" xfId="0" applyAlignment="1" applyBorder="1" applyFill="1" applyFont="1" applyNumberFormat="1">
      <alignment horizontal="center" shrinkToFit="0" vertical="center" wrapText="0"/>
    </xf>
    <xf borderId="4" fillId="0" fontId="11" numFmtId="0" xfId="0" applyAlignment="1" applyBorder="1" applyFont="1">
      <alignment horizontal="center" readingOrder="0" vertical="center"/>
    </xf>
    <xf borderId="4" fillId="9" fontId="10" numFmtId="0" xfId="0" applyAlignment="1" applyBorder="1" applyFill="1" applyFont="1">
      <alignment horizontal="center" readingOrder="0" vertical="center"/>
    </xf>
    <xf borderId="4" fillId="11" fontId="10" numFmtId="0" xfId="0" applyAlignment="1" applyBorder="1" applyFill="1" applyFont="1">
      <alignment horizontal="center" readingOrder="0" vertical="center"/>
    </xf>
    <xf borderId="4" fillId="9" fontId="6" numFmtId="4" xfId="0" applyAlignment="1" applyBorder="1" applyFill="1" applyFont="1" applyNumberFormat="1">
      <alignment horizontal="center" readingOrder="0" shrinkToFit="0" vertical="center" wrapText="0"/>
    </xf>
    <xf borderId="4" fillId="0" fontId="12" numFmtId="0" xfId="0" applyAlignment="1" applyBorder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For Managemen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H68:L72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For Managem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6.0"/>
    <col customWidth="1" min="6" max="6" width="20.88"/>
    <col customWidth="1" min="7" max="7" width="16.0"/>
    <col customWidth="1" min="8" max="10" width="18.38"/>
    <col customWidth="1" min="11" max="12" width="16.0"/>
    <col customWidth="1" min="13" max="13" width="26.38"/>
    <col customWidth="1" min="14" max="23" width="16.0"/>
  </cols>
  <sheetData>
    <row r="1">
      <c r="A1" s="9" t="s">
        <v>3</v>
      </c>
      <c r="B1" s="9" t="s">
        <v>23</v>
      </c>
      <c r="C1" s="9" t="s">
        <v>24</v>
      </c>
      <c r="D1" s="9" t="s">
        <v>6</v>
      </c>
      <c r="E1" s="9" t="s">
        <v>26</v>
      </c>
      <c r="F1" s="9" t="s">
        <v>27</v>
      </c>
      <c r="G1" s="9" t="s">
        <v>28</v>
      </c>
      <c r="H1" s="9" t="s">
        <v>29</v>
      </c>
      <c r="I1" s="9" t="s">
        <v>30</v>
      </c>
      <c r="J1" s="9" t="s">
        <v>31</v>
      </c>
      <c r="K1" s="9" t="s">
        <v>32</v>
      </c>
      <c r="L1" s="9" t="s">
        <v>33</v>
      </c>
      <c r="M1" s="9" t="s">
        <v>34</v>
      </c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16" t="s">
        <v>36</v>
      </c>
      <c r="B2" s="16">
        <v>5.0</v>
      </c>
      <c r="C2" s="18">
        <v>46217.0</v>
      </c>
      <c r="D2" s="16" t="s">
        <v>39</v>
      </c>
      <c r="E2" s="16" t="s">
        <v>41</v>
      </c>
      <c r="F2" s="16" t="s">
        <v>42</v>
      </c>
      <c r="G2" s="16" t="s">
        <v>43</v>
      </c>
      <c r="H2" s="16">
        <v>2200.0</v>
      </c>
      <c r="I2" s="16"/>
      <c r="J2" s="16"/>
      <c r="K2" s="16" t="s">
        <v>44</v>
      </c>
      <c r="L2" s="16" t="s">
        <v>45</v>
      </c>
      <c r="M2" s="21"/>
      <c r="N2" s="13"/>
      <c r="O2" s="13"/>
      <c r="P2" s="13"/>
      <c r="Q2" s="13"/>
      <c r="R2" s="13"/>
      <c r="S2" s="13"/>
      <c r="T2" s="13"/>
      <c r="U2" s="13"/>
      <c r="V2" s="13"/>
      <c r="W2" s="13"/>
    </row>
    <row r="3">
      <c r="A3" s="16" t="s">
        <v>36</v>
      </c>
      <c r="B3" s="16">
        <v>5.0</v>
      </c>
      <c r="C3" s="18">
        <v>46217.0</v>
      </c>
      <c r="D3" s="16" t="s">
        <v>39</v>
      </c>
      <c r="E3" s="16" t="s">
        <v>41</v>
      </c>
      <c r="F3" s="16" t="s">
        <v>42</v>
      </c>
      <c r="G3" s="16" t="s">
        <v>53</v>
      </c>
      <c r="H3" s="16">
        <v>700.0</v>
      </c>
      <c r="I3" s="16"/>
      <c r="J3" s="16"/>
      <c r="K3" s="16" t="s">
        <v>44</v>
      </c>
      <c r="L3" s="16" t="s">
        <v>45</v>
      </c>
      <c r="M3" s="21"/>
      <c r="N3" s="13"/>
      <c r="O3" s="13"/>
      <c r="P3" s="13"/>
      <c r="Q3" s="13"/>
      <c r="R3" s="13"/>
      <c r="S3" s="13"/>
      <c r="T3" s="13"/>
      <c r="U3" s="13"/>
      <c r="V3" s="13"/>
      <c r="W3" s="13"/>
    </row>
    <row r="4">
      <c r="A4" s="16" t="s">
        <v>36</v>
      </c>
      <c r="B4" s="16">
        <v>7.0</v>
      </c>
      <c r="C4" s="18">
        <v>46218.0</v>
      </c>
      <c r="D4" s="16" t="s">
        <v>61</v>
      </c>
      <c r="E4" s="16" t="s">
        <v>62</v>
      </c>
      <c r="F4" s="16" t="s">
        <v>42</v>
      </c>
      <c r="G4" s="16" t="s">
        <v>53</v>
      </c>
      <c r="H4" s="16" t="s">
        <v>65</v>
      </c>
      <c r="I4" s="16"/>
      <c r="J4" s="16"/>
      <c r="K4" s="16" t="s">
        <v>66</v>
      </c>
      <c r="L4" s="16" t="s">
        <v>45</v>
      </c>
      <c r="M4" s="21"/>
      <c r="N4" s="13"/>
      <c r="O4" s="13"/>
      <c r="P4" s="13"/>
      <c r="Q4" s="13"/>
      <c r="R4" s="13"/>
      <c r="S4" s="13"/>
      <c r="T4" s="13"/>
      <c r="U4" s="13"/>
      <c r="V4" s="13"/>
      <c r="W4" s="13"/>
    </row>
    <row r="5">
      <c r="A5" s="16" t="s">
        <v>36</v>
      </c>
      <c r="B5" s="16">
        <v>6.0</v>
      </c>
      <c r="C5" s="18">
        <v>46219.0</v>
      </c>
      <c r="D5" s="16" t="s">
        <v>74</v>
      </c>
      <c r="E5" s="16" t="s">
        <v>62</v>
      </c>
      <c r="F5" s="16" t="s">
        <v>77</v>
      </c>
      <c r="G5" s="16" t="s">
        <v>53</v>
      </c>
      <c r="H5" s="16">
        <v>10.0</v>
      </c>
      <c r="I5" s="16"/>
      <c r="J5" s="16"/>
      <c r="K5" s="16" t="s">
        <v>66</v>
      </c>
      <c r="L5" s="16" t="s">
        <v>45</v>
      </c>
      <c r="M5" s="21"/>
      <c r="N5" s="13"/>
      <c r="O5" s="13"/>
      <c r="P5" s="13"/>
      <c r="Q5" s="13"/>
      <c r="R5" s="13"/>
      <c r="S5" s="13"/>
      <c r="T5" s="13"/>
      <c r="U5" s="13"/>
      <c r="V5" s="13"/>
      <c r="W5" s="13"/>
    </row>
    <row r="6">
      <c r="A6" s="16" t="s">
        <v>36</v>
      </c>
      <c r="B6" s="16">
        <v>6.0</v>
      </c>
      <c r="C6" s="18">
        <v>46220.0</v>
      </c>
      <c r="D6" s="16" t="s">
        <v>80</v>
      </c>
      <c r="E6" s="16" t="s">
        <v>41</v>
      </c>
      <c r="F6" s="16" t="s">
        <v>77</v>
      </c>
      <c r="G6" s="16" t="s">
        <v>53</v>
      </c>
      <c r="H6" s="16">
        <v>1094.0</v>
      </c>
      <c r="I6" s="16"/>
      <c r="J6" s="16"/>
      <c r="K6" s="16" t="s">
        <v>44</v>
      </c>
      <c r="L6" s="16" t="s">
        <v>45</v>
      </c>
      <c r="M6" s="21"/>
      <c r="N6" s="13"/>
      <c r="O6" s="13"/>
      <c r="P6" s="13"/>
      <c r="Q6" s="13"/>
      <c r="R6" s="13"/>
      <c r="S6" s="13"/>
      <c r="T6" s="13"/>
      <c r="U6" s="13"/>
      <c r="V6" s="13"/>
      <c r="W6" s="13"/>
    </row>
    <row r="7">
      <c r="A7" s="16" t="s">
        <v>36</v>
      </c>
      <c r="B7" s="16">
        <v>6.0</v>
      </c>
      <c r="C7" s="18">
        <v>46221.0</v>
      </c>
      <c r="D7" s="16" t="s">
        <v>84</v>
      </c>
      <c r="E7" s="16" t="s">
        <v>41</v>
      </c>
      <c r="F7" s="16" t="s">
        <v>77</v>
      </c>
      <c r="G7" s="16" t="s">
        <v>85</v>
      </c>
      <c r="H7" s="16">
        <v>7.0</v>
      </c>
      <c r="I7" s="16"/>
      <c r="J7" s="16"/>
      <c r="K7" s="16" t="s">
        <v>66</v>
      </c>
      <c r="L7" s="16" t="s">
        <v>45</v>
      </c>
      <c r="M7" s="21"/>
      <c r="N7" s="13"/>
      <c r="O7" s="13"/>
      <c r="P7" s="13"/>
      <c r="Q7" s="13"/>
      <c r="R7" s="13"/>
      <c r="S7" s="13"/>
      <c r="T7" s="13"/>
      <c r="U7" s="13"/>
      <c r="V7" s="13"/>
      <c r="W7" s="13"/>
    </row>
    <row r="8">
      <c r="A8" s="16" t="s">
        <v>36</v>
      </c>
      <c r="B8" s="16">
        <v>6.0</v>
      </c>
      <c r="C8" s="18">
        <v>46221.0</v>
      </c>
      <c r="D8" s="16" t="s">
        <v>84</v>
      </c>
      <c r="E8" s="16" t="s">
        <v>62</v>
      </c>
      <c r="F8" s="16" t="s">
        <v>77</v>
      </c>
      <c r="G8" s="16" t="s">
        <v>85</v>
      </c>
      <c r="H8" s="16">
        <v>7.0</v>
      </c>
      <c r="I8" s="16"/>
      <c r="J8" s="16"/>
      <c r="K8" s="16" t="s">
        <v>66</v>
      </c>
      <c r="L8" s="16" t="s">
        <v>45</v>
      </c>
      <c r="M8" s="21"/>
      <c r="N8" s="13"/>
      <c r="O8" s="13"/>
      <c r="P8" s="13"/>
      <c r="Q8" s="13"/>
      <c r="R8" s="13"/>
      <c r="S8" s="13"/>
      <c r="T8" s="13"/>
      <c r="U8" s="13"/>
      <c r="V8" s="13"/>
      <c r="W8" s="13"/>
    </row>
    <row r="9">
      <c r="A9" s="16" t="s">
        <v>13</v>
      </c>
      <c r="B9" s="16" t="s">
        <v>87</v>
      </c>
      <c r="C9" s="18">
        <v>46221.0</v>
      </c>
      <c r="D9" s="16" t="s">
        <v>84</v>
      </c>
      <c r="E9" s="16" t="s">
        <v>13</v>
      </c>
      <c r="F9" s="16" t="s">
        <v>77</v>
      </c>
      <c r="G9" s="16" t="s">
        <v>89</v>
      </c>
      <c r="H9" s="16">
        <v>300.0</v>
      </c>
      <c r="I9" s="16"/>
      <c r="J9" s="16"/>
      <c r="K9" s="16" t="s">
        <v>44</v>
      </c>
      <c r="L9" s="16" t="s">
        <v>45</v>
      </c>
      <c r="M9" s="21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>
      <c r="A10" s="16" t="s">
        <v>90</v>
      </c>
      <c r="B10" s="16">
        <v>8.0</v>
      </c>
      <c r="C10" s="18">
        <v>46223.0</v>
      </c>
      <c r="D10" s="16" t="s">
        <v>93</v>
      </c>
      <c r="E10" s="16" t="s">
        <v>90</v>
      </c>
      <c r="F10" s="16" t="s">
        <v>77</v>
      </c>
      <c r="G10" s="16" t="s">
        <v>50</v>
      </c>
      <c r="H10" s="16">
        <v>5000.0</v>
      </c>
      <c r="I10" s="16"/>
      <c r="J10" s="16"/>
      <c r="K10" s="16" t="s">
        <v>44</v>
      </c>
      <c r="L10" s="16" t="s">
        <v>45</v>
      </c>
      <c r="M10" s="21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>
      <c r="A11" s="16" t="s">
        <v>90</v>
      </c>
      <c r="B11" s="16">
        <v>8.0</v>
      </c>
      <c r="C11" s="18">
        <v>46226.0</v>
      </c>
      <c r="D11" s="16" t="s">
        <v>96</v>
      </c>
      <c r="E11" s="16" t="s">
        <v>90</v>
      </c>
      <c r="F11" s="16" t="s">
        <v>77</v>
      </c>
      <c r="G11" s="16" t="s">
        <v>89</v>
      </c>
      <c r="H11" s="16">
        <v>5000.0</v>
      </c>
      <c r="I11" s="16"/>
      <c r="J11" s="16"/>
      <c r="K11" s="16" t="s">
        <v>44</v>
      </c>
      <c r="L11" s="16" t="s">
        <v>45</v>
      </c>
      <c r="M11" s="21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>
      <c r="A12" s="16" t="s">
        <v>36</v>
      </c>
      <c r="B12" s="16">
        <v>6.0</v>
      </c>
      <c r="C12" s="18">
        <v>46227.0</v>
      </c>
      <c r="D12" s="16" t="s">
        <v>101</v>
      </c>
      <c r="E12" s="16" t="s">
        <v>41</v>
      </c>
      <c r="F12" s="16" t="s">
        <v>77</v>
      </c>
      <c r="G12" s="16" t="s">
        <v>53</v>
      </c>
      <c r="H12" s="16">
        <v>1000.0</v>
      </c>
      <c r="I12" s="16"/>
      <c r="J12" s="16"/>
      <c r="K12" s="16" t="s">
        <v>44</v>
      </c>
      <c r="L12" s="16" t="s">
        <v>45</v>
      </c>
      <c r="M12" s="21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>
      <c r="A13" s="16" t="s">
        <v>36</v>
      </c>
      <c r="B13" s="16">
        <v>6.0</v>
      </c>
      <c r="C13" s="18">
        <v>46228.0</v>
      </c>
      <c r="D13" s="16" t="s">
        <v>102</v>
      </c>
      <c r="E13" s="16" t="s">
        <v>62</v>
      </c>
      <c r="F13" s="16" t="s">
        <v>77</v>
      </c>
      <c r="G13" s="16" t="s">
        <v>53</v>
      </c>
      <c r="H13" s="16">
        <v>1000.0</v>
      </c>
      <c r="I13" s="16"/>
      <c r="J13" s="16"/>
      <c r="K13" s="16" t="s">
        <v>44</v>
      </c>
      <c r="L13" s="16" t="s">
        <v>45</v>
      </c>
      <c r="M13" s="21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>
      <c r="A14" s="42" t="s">
        <v>36</v>
      </c>
      <c r="B14" s="42">
        <v>9.0</v>
      </c>
      <c r="C14" s="44">
        <v>46230.0</v>
      </c>
      <c r="D14" s="42" t="s">
        <v>104</v>
      </c>
      <c r="E14" s="42" t="s">
        <v>62</v>
      </c>
      <c r="F14" s="42" t="s">
        <v>42</v>
      </c>
      <c r="G14" s="42" t="s">
        <v>105</v>
      </c>
      <c r="H14" s="42">
        <v>2500.0</v>
      </c>
      <c r="I14" s="42"/>
      <c r="J14" s="42"/>
      <c r="K14" s="42" t="s">
        <v>44</v>
      </c>
      <c r="L14" s="42" t="s">
        <v>45</v>
      </c>
      <c r="M14" s="47"/>
      <c r="N14" s="49"/>
      <c r="O14" s="49"/>
      <c r="P14" s="49"/>
      <c r="Q14" s="49"/>
      <c r="R14" s="49"/>
      <c r="S14" s="49"/>
      <c r="T14" s="49"/>
      <c r="U14" s="49"/>
      <c r="V14" s="49"/>
      <c r="W14" s="49"/>
    </row>
    <row r="15">
      <c r="A15" s="42" t="s">
        <v>36</v>
      </c>
      <c r="B15" s="42">
        <v>9.0</v>
      </c>
      <c r="C15" s="44">
        <v>46231.0</v>
      </c>
      <c r="D15" s="42" t="s">
        <v>107</v>
      </c>
      <c r="E15" s="42" t="s">
        <v>62</v>
      </c>
      <c r="F15" s="42" t="s">
        <v>42</v>
      </c>
      <c r="G15" s="42" t="s">
        <v>108</v>
      </c>
      <c r="H15" s="42">
        <v>2450.0</v>
      </c>
      <c r="I15" s="42"/>
      <c r="J15" s="42"/>
      <c r="K15" s="42" t="s">
        <v>44</v>
      </c>
      <c r="L15" s="42" t="s">
        <v>45</v>
      </c>
      <c r="M15" s="47"/>
      <c r="N15" s="49"/>
      <c r="O15" s="49"/>
      <c r="P15" s="49"/>
      <c r="Q15" s="49"/>
      <c r="R15" s="49"/>
      <c r="S15" s="49"/>
      <c r="T15" s="49"/>
      <c r="U15" s="49"/>
      <c r="V15" s="49"/>
      <c r="W15" s="49"/>
    </row>
    <row r="16">
      <c r="A16" s="42" t="s">
        <v>36</v>
      </c>
      <c r="B16" s="42">
        <v>9.0</v>
      </c>
      <c r="C16" s="51">
        <v>46232.0</v>
      </c>
      <c r="D16" s="42" t="s">
        <v>110</v>
      </c>
      <c r="E16" s="42" t="s">
        <v>62</v>
      </c>
      <c r="F16" s="42" t="s">
        <v>42</v>
      </c>
      <c r="G16" s="42" t="s">
        <v>108</v>
      </c>
      <c r="H16" s="42">
        <v>1000.0</v>
      </c>
      <c r="I16" s="42"/>
      <c r="J16" s="42"/>
      <c r="K16" s="42" t="s">
        <v>44</v>
      </c>
      <c r="L16" s="42" t="s">
        <v>45</v>
      </c>
      <c r="M16" s="47"/>
      <c r="N16" s="49"/>
      <c r="O16" s="49"/>
      <c r="P16" s="49"/>
      <c r="Q16" s="49"/>
      <c r="R16" s="49"/>
      <c r="S16" s="49"/>
      <c r="T16" s="49"/>
      <c r="U16" s="49"/>
      <c r="V16" s="49"/>
      <c r="W16" s="49"/>
    </row>
    <row r="17">
      <c r="A17" s="42" t="s">
        <v>36</v>
      </c>
      <c r="B17" s="42">
        <v>9.0</v>
      </c>
      <c r="C17" s="51">
        <v>46233.0</v>
      </c>
      <c r="D17" s="42" t="s">
        <v>111</v>
      </c>
      <c r="E17" s="42" t="s">
        <v>62</v>
      </c>
      <c r="F17" s="42" t="s">
        <v>42</v>
      </c>
      <c r="G17" s="42" t="s">
        <v>108</v>
      </c>
      <c r="H17" s="42">
        <v>4500.0</v>
      </c>
      <c r="I17" s="42"/>
      <c r="J17" s="42"/>
      <c r="K17" s="42" t="s">
        <v>44</v>
      </c>
      <c r="L17" s="42" t="s">
        <v>45</v>
      </c>
      <c r="M17" s="47"/>
      <c r="N17" s="49"/>
      <c r="O17" s="49"/>
      <c r="P17" s="49"/>
      <c r="Q17" s="49"/>
      <c r="R17" s="49"/>
      <c r="S17" s="49"/>
      <c r="T17" s="49"/>
      <c r="U17" s="49"/>
      <c r="V17" s="49"/>
      <c r="W17" s="49"/>
    </row>
    <row r="18">
      <c r="A18" s="42" t="s">
        <v>36</v>
      </c>
      <c r="B18" s="42">
        <v>9.0</v>
      </c>
      <c r="C18" s="51">
        <v>46233.0</v>
      </c>
      <c r="D18" s="42" t="s">
        <v>111</v>
      </c>
      <c r="E18" s="42" t="s">
        <v>62</v>
      </c>
      <c r="F18" s="42" t="s">
        <v>42</v>
      </c>
      <c r="G18" s="42" t="s">
        <v>85</v>
      </c>
      <c r="H18" s="42">
        <v>250.0</v>
      </c>
      <c r="I18" s="42"/>
      <c r="J18" s="42"/>
      <c r="K18" s="42" t="s">
        <v>44</v>
      </c>
      <c r="L18" s="42" t="s">
        <v>45</v>
      </c>
      <c r="M18" s="47"/>
      <c r="N18" s="49"/>
      <c r="O18" s="49"/>
      <c r="P18" s="49"/>
      <c r="Q18" s="49"/>
      <c r="R18" s="49"/>
      <c r="S18" s="49"/>
      <c r="T18" s="49"/>
      <c r="U18" s="49"/>
      <c r="V18" s="49"/>
      <c r="W18" s="49"/>
    </row>
    <row r="19">
      <c r="A19" s="42" t="s">
        <v>36</v>
      </c>
      <c r="B19" s="42">
        <v>9.0</v>
      </c>
      <c r="C19" s="51">
        <v>46234.0</v>
      </c>
      <c r="D19" s="42" t="s">
        <v>112</v>
      </c>
      <c r="E19" s="42" t="s">
        <v>62</v>
      </c>
      <c r="F19" s="42" t="s">
        <v>42</v>
      </c>
      <c r="G19" s="42" t="s">
        <v>85</v>
      </c>
      <c r="H19" s="42">
        <v>750.0</v>
      </c>
      <c r="I19" s="42"/>
      <c r="J19" s="42"/>
      <c r="K19" s="42" t="s">
        <v>44</v>
      </c>
      <c r="L19" s="42" t="s">
        <v>45</v>
      </c>
      <c r="M19" s="47"/>
      <c r="N19" s="49"/>
      <c r="O19" s="49"/>
      <c r="P19" s="49"/>
      <c r="Q19" s="49"/>
      <c r="R19" s="49"/>
      <c r="S19" s="49"/>
      <c r="T19" s="49"/>
      <c r="U19" s="49"/>
      <c r="V19" s="49"/>
      <c r="W19" s="49"/>
    </row>
    <row r="20">
      <c r="A20" s="42" t="s">
        <v>36</v>
      </c>
      <c r="B20" s="42">
        <v>9.0</v>
      </c>
      <c r="C20" s="51">
        <v>46234.0</v>
      </c>
      <c r="D20" s="42" t="s">
        <v>112</v>
      </c>
      <c r="E20" s="42" t="s">
        <v>62</v>
      </c>
      <c r="F20" s="42" t="s">
        <v>42</v>
      </c>
      <c r="G20" s="42" t="s">
        <v>53</v>
      </c>
      <c r="H20" s="42">
        <v>1800.0</v>
      </c>
      <c r="I20" s="42"/>
      <c r="J20" s="42"/>
      <c r="K20" s="42" t="s">
        <v>44</v>
      </c>
      <c r="L20" s="42" t="s">
        <v>45</v>
      </c>
      <c r="M20" s="47"/>
      <c r="N20" s="49"/>
      <c r="O20" s="49"/>
      <c r="P20" s="49"/>
      <c r="Q20" s="49"/>
      <c r="R20" s="49"/>
      <c r="S20" s="49"/>
      <c r="T20" s="49"/>
      <c r="U20" s="49"/>
      <c r="V20" s="49"/>
      <c r="W20" s="49"/>
    </row>
    <row r="21">
      <c r="A21" s="42" t="s">
        <v>36</v>
      </c>
      <c r="B21" s="42">
        <v>9.0</v>
      </c>
      <c r="C21" s="51">
        <v>46237.0</v>
      </c>
      <c r="D21" s="42" t="s">
        <v>113</v>
      </c>
      <c r="E21" s="42" t="s">
        <v>62</v>
      </c>
      <c r="F21" s="42" t="s">
        <v>42</v>
      </c>
      <c r="G21" s="42" t="s">
        <v>53</v>
      </c>
      <c r="H21" s="42">
        <v>700.0</v>
      </c>
      <c r="I21" s="42">
        <v>100.0</v>
      </c>
      <c r="J21" s="52"/>
      <c r="K21" s="42" t="s">
        <v>44</v>
      </c>
      <c r="L21" s="42" t="s">
        <v>45</v>
      </c>
      <c r="M21" s="47"/>
      <c r="N21" s="49"/>
      <c r="O21" s="49"/>
      <c r="P21" s="49"/>
      <c r="Q21" s="49"/>
      <c r="R21" s="49"/>
      <c r="S21" s="49"/>
      <c r="T21" s="49"/>
      <c r="U21" s="49"/>
      <c r="V21" s="49"/>
      <c r="W21" s="49"/>
    </row>
    <row r="22">
      <c r="A22" s="42" t="s">
        <v>36</v>
      </c>
      <c r="B22" s="42">
        <v>10.0</v>
      </c>
      <c r="C22" s="51">
        <v>46237.0</v>
      </c>
      <c r="D22" s="42" t="s">
        <v>113</v>
      </c>
      <c r="E22" s="42" t="s">
        <v>41</v>
      </c>
      <c r="F22" s="42" t="s">
        <v>42</v>
      </c>
      <c r="G22" s="42" t="s">
        <v>114</v>
      </c>
      <c r="H22" s="42">
        <v>2000.0</v>
      </c>
      <c r="I22" s="42">
        <v>52.0</v>
      </c>
      <c r="J22" s="52"/>
      <c r="K22" s="42" t="s">
        <v>44</v>
      </c>
      <c r="L22" s="42" t="s">
        <v>45</v>
      </c>
      <c r="M22" s="53"/>
      <c r="N22" s="54"/>
      <c r="O22" s="54"/>
      <c r="P22" s="54"/>
      <c r="Q22" s="54"/>
      <c r="R22" s="54"/>
      <c r="S22" s="54"/>
      <c r="T22" s="54"/>
      <c r="U22" s="54"/>
      <c r="V22" s="54"/>
      <c r="W22" s="54"/>
    </row>
    <row r="23">
      <c r="A23" s="42" t="s">
        <v>36</v>
      </c>
      <c r="B23" s="42">
        <v>10.0</v>
      </c>
      <c r="C23" s="51">
        <v>46237.0</v>
      </c>
      <c r="D23" s="42" t="s">
        <v>113</v>
      </c>
      <c r="E23" s="42" t="s">
        <v>41</v>
      </c>
      <c r="F23" s="42" t="s">
        <v>42</v>
      </c>
      <c r="G23" s="42" t="s">
        <v>115</v>
      </c>
      <c r="H23" s="42">
        <v>280.0</v>
      </c>
      <c r="I23" s="42">
        <v>61.0</v>
      </c>
      <c r="J23" s="52"/>
      <c r="K23" s="42" t="s">
        <v>44</v>
      </c>
      <c r="L23" s="42" t="s">
        <v>45</v>
      </c>
      <c r="M23" s="53"/>
      <c r="N23" s="54"/>
      <c r="O23" s="54"/>
      <c r="P23" s="54"/>
      <c r="Q23" s="54"/>
      <c r="R23" s="54"/>
      <c r="S23" s="54"/>
      <c r="T23" s="54"/>
      <c r="U23" s="54"/>
      <c r="V23" s="54"/>
      <c r="W23" s="54"/>
    </row>
    <row r="24">
      <c r="A24" s="42" t="s">
        <v>36</v>
      </c>
      <c r="B24" s="42">
        <v>10.0</v>
      </c>
      <c r="C24" s="51">
        <v>46238.0</v>
      </c>
      <c r="D24" s="42" t="s">
        <v>116</v>
      </c>
      <c r="E24" s="42" t="s">
        <v>41</v>
      </c>
      <c r="F24" s="42" t="s">
        <v>42</v>
      </c>
      <c r="G24" s="42" t="s">
        <v>115</v>
      </c>
      <c r="H24" s="42">
        <v>5500.0</v>
      </c>
      <c r="I24" s="42">
        <v>61.0</v>
      </c>
      <c r="J24" s="52"/>
      <c r="K24" s="42" t="s">
        <v>44</v>
      </c>
      <c r="L24" s="42" t="s">
        <v>45</v>
      </c>
      <c r="M24" s="53"/>
      <c r="N24" s="54"/>
      <c r="O24" s="54"/>
      <c r="P24" s="54"/>
      <c r="Q24" s="54"/>
      <c r="R24" s="54"/>
      <c r="S24" s="54"/>
      <c r="T24" s="54"/>
      <c r="U24" s="54"/>
      <c r="V24" s="54"/>
      <c r="W24" s="54"/>
    </row>
    <row r="25">
      <c r="A25" s="42" t="s">
        <v>36</v>
      </c>
      <c r="B25" s="42">
        <v>10.0</v>
      </c>
      <c r="C25" s="55">
        <v>46239.0</v>
      </c>
      <c r="D25" s="42" t="s">
        <v>117</v>
      </c>
      <c r="E25" s="42" t="s">
        <v>41</v>
      </c>
      <c r="F25" s="42" t="s">
        <v>42</v>
      </c>
      <c r="G25" s="42" t="s">
        <v>115</v>
      </c>
      <c r="H25" s="56">
        <v>1420.0</v>
      </c>
      <c r="I25" s="56">
        <v>61.0</v>
      </c>
      <c r="J25" s="52"/>
      <c r="K25" s="42" t="s">
        <v>44</v>
      </c>
      <c r="L25" s="42" t="s">
        <v>45</v>
      </c>
      <c r="M25" s="53"/>
      <c r="N25" s="54"/>
      <c r="O25" s="54"/>
      <c r="P25" s="54"/>
      <c r="Q25" s="54"/>
      <c r="R25" s="54"/>
      <c r="S25" s="54"/>
      <c r="T25" s="54"/>
      <c r="U25" s="54"/>
      <c r="V25" s="54"/>
      <c r="W25" s="54"/>
    </row>
    <row r="26">
      <c r="A26" s="42" t="s">
        <v>36</v>
      </c>
      <c r="B26" s="42">
        <v>10.0</v>
      </c>
      <c r="C26" s="55">
        <v>46240.0</v>
      </c>
      <c r="D26" s="42" t="s">
        <v>118</v>
      </c>
      <c r="E26" s="42" t="s">
        <v>41</v>
      </c>
      <c r="F26" s="42" t="s">
        <v>42</v>
      </c>
      <c r="G26" s="42" t="s">
        <v>115</v>
      </c>
      <c r="H26" s="56">
        <v>800.0</v>
      </c>
      <c r="I26" s="56">
        <v>61.0</v>
      </c>
      <c r="J26" s="52"/>
      <c r="K26" s="42" t="s">
        <v>44</v>
      </c>
      <c r="L26" s="42" t="s">
        <v>45</v>
      </c>
      <c r="M26" s="53"/>
      <c r="N26" s="54"/>
      <c r="O26" s="54"/>
      <c r="P26" s="54"/>
      <c r="Q26" s="54"/>
      <c r="R26" s="54"/>
      <c r="S26" s="54"/>
      <c r="T26" s="54"/>
      <c r="U26" s="54"/>
      <c r="V26" s="54"/>
      <c r="W26" s="54"/>
    </row>
    <row r="27">
      <c r="A27" s="42" t="s">
        <v>36</v>
      </c>
      <c r="B27" s="42">
        <v>10.0</v>
      </c>
      <c r="C27" s="55">
        <v>46240.0</v>
      </c>
      <c r="D27" s="42" t="s">
        <v>118</v>
      </c>
      <c r="E27" s="42" t="s">
        <v>41</v>
      </c>
      <c r="F27" s="42" t="s">
        <v>42</v>
      </c>
      <c r="G27" s="56" t="s">
        <v>53</v>
      </c>
      <c r="H27" s="56">
        <v>1500.0</v>
      </c>
      <c r="I27" s="56">
        <v>100.0</v>
      </c>
      <c r="J27" s="52"/>
      <c r="K27" s="42" t="s">
        <v>44</v>
      </c>
      <c r="L27" s="42" t="s">
        <v>45</v>
      </c>
      <c r="M27" s="53"/>
      <c r="N27" s="54"/>
      <c r="O27" s="54"/>
      <c r="P27" s="54"/>
      <c r="Q27" s="54"/>
      <c r="R27" s="54"/>
      <c r="S27" s="54"/>
      <c r="T27" s="54"/>
      <c r="U27" s="54"/>
      <c r="V27" s="54"/>
      <c r="W27" s="54"/>
    </row>
    <row r="28">
      <c r="A28" s="42" t="s">
        <v>36</v>
      </c>
      <c r="B28" s="42">
        <v>10.0</v>
      </c>
      <c r="C28" s="55">
        <v>46240.0</v>
      </c>
      <c r="D28" s="42" t="s">
        <v>118</v>
      </c>
      <c r="E28" s="42" t="s">
        <v>41</v>
      </c>
      <c r="F28" s="42" t="s">
        <v>42</v>
      </c>
      <c r="G28" s="56">
        <v>1.5</v>
      </c>
      <c r="H28" s="56">
        <v>230.0</v>
      </c>
      <c r="I28" s="56">
        <v>150.0</v>
      </c>
      <c r="J28" s="52"/>
      <c r="K28" s="42" t="s">
        <v>44</v>
      </c>
      <c r="L28" s="42" t="s">
        <v>45</v>
      </c>
      <c r="M28" s="53"/>
      <c r="N28" s="54"/>
      <c r="O28" s="54"/>
      <c r="P28" s="54"/>
      <c r="Q28" s="54"/>
      <c r="R28" s="54"/>
      <c r="S28" s="54"/>
      <c r="T28" s="54"/>
      <c r="U28" s="54"/>
      <c r="V28" s="54"/>
      <c r="W28" s="54"/>
    </row>
    <row r="29">
      <c r="A29" s="42" t="s">
        <v>36</v>
      </c>
      <c r="B29" s="42">
        <v>10.0</v>
      </c>
      <c r="C29" s="55">
        <v>46241.0</v>
      </c>
      <c r="D29" s="42" t="s">
        <v>119</v>
      </c>
      <c r="E29" s="42" t="s">
        <v>41</v>
      </c>
      <c r="F29" s="42" t="s">
        <v>42</v>
      </c>
      <c r="G29" s="56">
        <v>1.5</v>
      </c>
      <c r="H29" s="56">
        <v>770.0</v>
      </c>
      <c r="I29" s="56">
        <v>150.0</v>
      </c>
      <c r="J29" s="52"/>
      <c r="K29" s="42" t="s">
        <v>44</v>
      </c>
      <c r="L29" s="42" t="s">
        <v>45</v>
      </c>
      <c r="M29" s="53"/>
      <c r="N29" s="54"/>
      <c r="O29" s="54"/>
      <c r="P29" s="54"/>
      <c r="Q29" s="54"/>
      <c r="R29" s="54"/>
      <c r="S29" s="54"/>
      <c r="T29" s="54"/>
      <c r="U29" s="54"/>
      <c r="V29" s="54"/>
      <c r="W29" s="54"/>
    </row>
    <row r="30">
      <c r="A30" s="56" t="s">
        <v>120</v>
      </c>
      <c r="B30" s="56" t="s">
        <v>121</v>
      </c>
      <c r="C30" s="55">
        <v>46242.0</v>
      </c>
      <c r="D30" s="56" t="s">
        <v>122</v>
      </c>
      <c r="E30" s="56" t="s">
        <v>41</v>
      </c>
      <c r="F30" s="56" t="s">
        <v>77</v>
      </c>
      <c r="G30" s="56" t="s">
        <v>50</v>
      </c>
      <c r="H30" s="56">
        <v>5.0</v>
      </c>
      <c r="I30" s="56">
        <v>62.0</v>
      </c>
      <c r="J30" s="52"/>
      <c r="K30" s="56" t="s">
        <v>66</v>
      </c>
      <c r="L30" s="56" t="s">
        <v>45</v>
      </c>
      <c r="M30" s="53"/>
      <c r="N30" s="54"/>
      <c r="O30" s="54"/>
      <c r="P30" s="54"/>
      <c r="Q30" s="54"/>
      <c r="R30" s="54"/>
      <c r="S30" s="54"/>
      <c r="T30" s="54"/>
      <c r="U30" s="54"/>
      <c r="V30" s="54"/>
      <c r="W30" s="54"/>
    </row>
    <row r="31">
      <c r="A31" s="16" t="s">
        <v>90</v>
      </c>
      <c r="B31" s="16">
        <v>14.0</v>
      </c>
      <c r="C31" s="55">
        <v>46242.0</v>
      </c>
      <c r="D31" s="42" t="s">
        <v>122</v>
      </c>
      <c r="E31" s="16" t="s">
        <v>90</v>
      </c>
      <c r="F31" s="56" t="s">
        <v>77</v>
      </c>
      <c r="G31" s="31" t="s">
        <v>47</v>
      </c>
      <c r="H31" s="31">
        <v>5000.0</v>
      </c>
      <c r="I31" s="31">
        <v>51.0</v>
      </c>
      <c r="J31" s="52"/>
      <c r="K31" s="42" t="s">
        <v>44</v>
      </c>
      <c r="L31" s="42" t="s">
        <v>45</v>
      </c>
      <c r="M31" s="20"/>
    </row>
    <row r="32">
      <c r="A32" s="31" t="s">
        <v>123</v>
      </c>
      <c r="B32" s="31">
        <v>12.0</v>
      </c>
      <c r="C32" s="57">
        <v>46244.0</v>
      </c>
      <c r="D32" s="56" t="s">
        <v>124</v>
      </c>
      <c r="E32" s="31" t="s">
        <v>123</v>
      </c>
      <c r="F32" s="56" t="s">
        <v>77</v>
      </c>
      <c r="G32" s="31" t="s">
        <v>47</v>
      </c>
      <c r="H32" s="31">
        <v>300.0</v>
      </c>
      <c r="I32" s="31">
        <v>52.0</v>
      </c>
      <c r="J32" s="52"/>
      <c r="K32" s="56" t="s">
        <v>44</v>
      </c>
      <c r="L32" s="56" t="s">
        <v>45</v>
      </c>
      <c r="M32" s="20"/>
    </row>
    <row r="33">
      <c r="A33" s="31" t="s">
        <v>123</v>
      </c>
      <c r="B33" s="31">
        <v>12.0</v>
      </c>
      <c r="C33" s="57">
        <v>46244.0</v>
      </c>
      <c r="D33" s="56" t="s">
        <v>124</v>
      </c>
      <c r="E33" s="31" t="s">
        <v>123</v>
      </c>
      <c r="F33" s="56" t="s">
        <v>77</v>
      </c>
      <c r="G33" s="31" t="s">
        <v>125</v>
      </c>
      <c r="H33" s="31">
        <v>700.0</v>
      </c>
      <c r="I33" s="31">
        <v>62.0</v>
      </c>
      <c r="J33" s="52"/>
      <c r="K33" s="56" t="s">
        <v>44</v>
      </c>
      <c r="L33" s="56" t="s">
        <v>45</v>
      </c>
      <c r="M33" s="20"/>
    </row>
    <row r="34">
      <c r="A34" s="31" t="s">
        <v>123</v>
      </c>
      <c r="B34" s="31">
        <v>12.0</v>
      </c>
      <c r="C34" s="57">
        <v>46244.0</v>
      </c>
      <c r="D34" s="56" t="s">
        <v>124</v>
      </c>
      <c r="E34" s="31" t="s">
        <v>123</v>
      </c>
      <c r="F34" s="56" t="s">
        <v>77</v>
      </c>
      <c r="G34" s="31" t="s">
        <v>53</v>
      </c>
      <c r="H34" s="31">
        <v>300.0</v>
      </c>
      <c r="I34" s="31">
        <v>100.0</v>
      </c>
      <c r="J34" s="52"/>
      <c r="K34" s="56" t="s">
        <v>44</v>
      </c>
      <c r="L34" s="56" t="s">
        <v>45</v>
      </c>
      <c r="M34" s="20"/>
    </row>
    <row r="35">
      <c r="A35" s="31" t="s">
        <v>123</v>
      </c>
      <c r="B35" s="31">
        <v>12.0</v>
      </c>
      <c r="C35" s="57">
        <v>46244.0</v>
      </c>
      <c r="D35" s="56" t="s">
        <v>124</v>
      </c>
      <c r="E35" s="31" t="s">
        <v>123</v>
      </c>
      <c r="F35" s="56" t="s">
        <v>77</v>
      </c>
      <c r="G35" s="31" t="s">
        <v>85</v>
      </c>
      <c r="H35" s="31">
        <v>200.0</v>
      </c>
      <c r="I35" s="31">
        <v>150.0</v>
      </c>
      <c r="J35" s="52"/>
      <c r="K35" s="56" t="s">
        <v>44</v>
      </c>
      <c r="L35" s="56" t="s">
        <v>45</v>
      </c>
      <c r="M35" s="20"/>
    </row>
    <row r="36">
      <c r="A36" s="31" t="s">
        <v>126</v>
      </c>
      <c r="B36" s="31">
        <v>13.0</v>
      </c>
      <c r="C36" s="57">
        <v>46244.0</v>
      </c>
      <c r="D36" s="56" t="s">
        <v>124</v>
      </c>
      <c r="E36" s="31" t="s">
        <v>126</v>
      </c>
      <c r="F36" s="56" t="s">
        <v>77</v>
      </c>
      <c r="G36" s="31" t="s">
        <v>125</v>
      </c>
      <c r="H36" s="31">
        <v>400.0</v>
      </c>
      <c r="I36" s="31">
        <v>68.0</v>
      </c>
      <c r="J36" s="52"/>
      <c r="K36" s="56" t="s">
        <v>44</v>
      </c>
      <c r="L36" s="56" t="s">
        <v>45</v>
      </c>
      <c r="M36" s="20"/>
    </row>
    <row r="37">
      <c r="A37" s="31" t="s">
        <v>126</v>
      </c>
      <c r="B37" s="31">
        <v>13.0</v>
      </c>
      <c r="C37" s="57">
        <v>46244.0</v>
      </c>
      <c r="D37" s="56" t="s">
        <v>124</v>
      </c>
      <c r="E37" s="31" t="s">
        <v>126</v>
      </c>
      <c r="F37" s="56" t="s">
        <v>77</v>
      </c>
      <c r="G37" s="31" t="s">
        <v>53</v>
      </c>
      <c r="H37" s="31">
        <v>200.0</v>
      </c>
      <c r="I37" s="31">
        <v>101.0</v>
      </c>
      <c r="J37" s="52"/>
      <c r="K37" s="56" t="s">
        <v>44</v>
      </c>
      <c r="L37" s="56" t="s">
        <v>45</v>
      </c>
      <c r="M37" s="20"/>
    </row>
    <row r="38">
      <c r="A38" s="31" t="s">
        <v>126</v>
      </c>
      <c r="B38" s="31">
        <v>13.0</v>
      </c>
      <c r="C38" s="57">
        <v>46244.0</v>
      </c>
      <c r="D38" s="56" t="s">
        <v>124</v>
      </c>
      <c r="E38" s="31" t="s">
        <v>126</v>
      </c>
      <c r="F38" s="56" t="s">
        <v>77</v>
      </c>
      <c r="G38" s="31" t="s">
        <v>85</v>
      </c>
      <c r="H38" s="31">
        <v>100.0</v>
      </c>
      <c r="I38" s="31">
        <v>150.0</v>
      </c>
      <c r="J38" s="52"/>
      <c r="K38" s="56" t="s">
        <v>44</v>
      </c>
      <c r="L38" s="56" t="s">
        <v>45</v>
      </c>
      <c r="M38" s="20"/>
    </row>
    <row r="39">
      <c r="A39" s="31" t="s">
        <v>36</v>
      </c>
      <c r="B39" s="31" t="s">
        <v>127</v>
      </c>
      <c r="C39" s="57">
        <v>46244.0</v>
      </c>
      <c r="D39" s="56" t="s">
        <v>124</v>
      </c>
      <c r="E39" s="31" t="s">
        <v>41</v>
      </c>
      <c r="F39" s="56" t="s">
        <v>77</v>
      </c>
      <c r="G39" s="31" t="s">
        <v>53</v>
      </c>
      <c r="H39" s="31">
        <v>600.0</v>
      </c>
      <c r="I39" s="31">
        <v>100.0</v>
      </c>
      <c r="J39" s="52"/>
      <c r="K39" s="56" t="s">
        <v>44</v>
      </c>
      <c r="L39" s="56" t="s">
        <v>45</v>
      </c>
      <c r="M39" s="20"/>
    </row>
    <row r="40">
      <c r="A40" s="31" t="s">
        <v>128</v>
      </c>
      <c r="B40" s="31">
        <v>15.0</v>
      </c>
      <c r="C40" s="57">
        <v>46245.0</v>
      </c>
      <c r="D40" s="56" t="s">
        <v>129</v>
      </c>
      <c r="E40" s="31" t="s">
        <v>128</v>
      </c>
      <c r="F40" s="31" t="s">
        <v>42</v>
      </c>
      <c r="G40" s="31" t="s">
        <v>130</v>
      </c>
      <c r="H40" s="31">
        <v>3500.0</v>
      </c>
      <c r="I40" s="31"/>
      <c r="J40" s="52"/>
      <c r="K40" s="56" t="s">
        <v>44</v>
      </c>
      <c r="L40" s="56" t="s">
        <v>45</v>
      </c>
      <c r="M40" s="20"/>
    </row>
    <row r="41">
      <c r="A41" s="31" t="s">
        <v>128</v>
      </c>
      <c r="B41" s="31">
        <v>15.0</v>
      </c>
      <c r="C41" s="57">
        <v>46246.0</v>
      </c>
      <c r="D41" s="56" t="s">
        <v>131</v>
      </c>
      <c r="E41" s="31" t="s">
        <v>128</v>
      </c>
      <c r="F41" s="31" t="s">
        <v>42</v>
      </c>
      <c r="G41" s="31" t="s">
        <v>130</v>
      </c>
      <c r="H41" s="31">
        <v>1500.0</v>
      </c>
      <c r="I41" s="31"/>
      <c r="J41" s="52"/>
      <c r="K41" s="56" t="s">
        <v>44</v>
      </c>
      <c r="L41" s="56" t="s">
        <v>45</v>
      </c>
      <c r="M41" s="20"/>
    </row>
    <row r="42">
      <c r="A42" s="31" t="s">
        <v>128</v>
      </c>
      <c r="B42" s="31">
        <v>15.0</v>
      </c>
      <c r="C42" s="57">
        <v>46246.0</v>
      </c>
      <c r="D42" s="56" t="s">
        <v>131</v>
      </c>
      <c r="E42" s="31" t="s">
        <v>128</v>
      </c>
      <c r="F42" s="31" t="s">
        <v>42</v>
      </c>
      <c r="G42" s="31" t="s">
        <v>132</v>
      </c>
      <c r="H42" s="31">
        <v>2500.0</v>
      </c>
      <c r="I42" s="31"/>
      <c r="J42" s="52"/>
      <c r="K42" s="56" t="s">
        <v>44</v>
      </c>
      <c r="L42" s="56" t="s">
        <v>45</v>
      </c>
      <c r="M42" s="20"/>
    </row>
    <row r="43">
      <c r="A43" s="31" t="s">
        <v>128</v>
      </c>
      <c r="B43" s="31">
        <v>15.0</v>
      </c>
      <c r="C43" s="57">
        <v>46247.0</v>
      </c>
      <c r="D43" s="56" t="s">
        <v>133</v>
      </c>
      <c r="E43" s="31" t="s">
        <v>128</v>
      </c>
      <c r="F43" s="31" t="s">
        <v>42</v>
      </c>
      <c r="G43" s="31" t="s">
        <v>132</v>
      </c>
      <c r="H43" s="31">
        <v>3000.0</v>
      </c>
      <c r="I43" s="31"/>
      <c r="J43" s="52"/>
      <c r="K43" s="56" t="s">
        <v>44</v>
      </c>
      <c r="L43" s="56" t="s">
        <v>45</v>
      </c>
      <c r="M43" s="20"/>
    </row>
    <row r="44">
      <c r="A44" s="31" t="s">
        <v>134</v>
      </c>
      <c r="B44" s="31" t="s">
        <v>87</v>
      </c>
      <c r="C44" s="57">
        <v>46248.0</v>
      </c>
      <c r="D44" s="56" t="s">
        <v>135</v>
      </c>
      <c r="E44" s="31" t="s">
        <v>62</v>
      </c>
      <c r="F44" s="31" t="s">
        <v>77</v>
      </c>
      <c r="G44" s="31" t="s">
        <v>53</v>
      </c>
      <c r="H44" s="31">
        <v>1000.0</v>
      </c>
      <c r="I44" s="31">
        <v>100.0</v>
      </c>
      <c r="J44" s="52">
        <f t="shared" ref="J44:J157" si="1">IF(OR(H44="",I44=""),"",H44*I44/1000)</f>
        <v>100</v>
      </c>
      <c r="K44" s="56" t="s">
        <v>44</v>
      </c>
      <c r="L44" s="56" t="s">
        <v>45</v>
      </c>
      <c r="M44" s="20"/>
    </row>
    <row r="45">
      <c r="A45" s="31" t="s">
        <v>90</v>
      </c>
      <c r="B45" s="31">
        <v>17.0</v>
      </c>
      <c r="C45" s="57">
        <v>46251.0</v>
      </c>
      <c r="D45" s="56" t="s">
        <v>136</v>
      </c>
      <c r="E45" s="31" t="s">
        <v>90</v>
      </c>
      <c r="F45" s="31" t="s">
        <v>77</v>
      </c>
      <c r="G45" s="31" t="s">
        <v>137</v>
      </c>
      <c r="H45" s="31">
        <v>3000.0</v>
      </c>
      <c r="I45" s="31">
        <v>52.0</v>
      </c>
      <c r="J45" s="52">
        <f t="shared" si="1"/>
        <v>156</v>
      </c>
      <c r="K45" s="56" t="s">
        <v>44</v>
      </c>
      <c r="L45" s="56" t="s">
        <v>45</v>
      </c>
      <c r="M45" s="20"/>
    </row>
    <row r="46">
      <c r="A46" s="31" t="s">
        <v>90</v>
      </c>
      <c r="B46" s="31">
        <v>17.0</v>
      </c>
      <c r="C46" s="57">
        <v>46251.0</v>
      </c>
      <c r="D46" s="56" t="s">
        <v>136</v>
      </c>
      <c r="E46" s="31" t="s">
        <v>90</v>
      </c>
      <c r="F46" s="31" t="s">
        <v>77</v>
      </c>
      <c r="G46" s="31" t="s">
        <v>138</v>
      </c>
      <c r="H46" s="31">
        <v>2000.0</v>
      </c>
      <c r="I46" s="31">
        <v>68.0</v>
      </c>
      <c r="J46" s="52">
        <f t="shared" si="1"/>
        <v>136</v>
      </c>
      <c r="K46" s="56" t="s">
        <v>44</v>
      </c>
      <c r="L46" s="56" t="s">
        <v>45</v>
      </c>
      <c r="M46" s="20"/>
    </row>
    <row r="47">
      <c r="A47" s="31" t="s">
        <v>36</v>
      </c>
      <c r="B47" s="31">
        <v>20.0</v>
      </c>
      <c r="C47" s="57">
        <v>46251.0</v>
      </c>
      <c r="D47" s="56" t="s">
        <v>136</v>
      </c>
      <c r="E47" s="31" t="s">
        <v>41</v>
      </c>
      <c r="F47" s="31" t="s">
        <v>77</v>
      </c>
      <c r="G47" s="31" t="s">
        <v>53</v>
      </c>
      <c r="H47" s="31">
        <v>600.0</v>
      </c>
      <c r="I47" s="31">
        <v>100.0</v>
      </c>
      <c r="J47" s="52">
        <f t="shared" si="1"/>
        <v>60</v>
      </c>
      <c r="K47" s="56" t="s">
        <v>44</v>
      </c>
      <c r="L47" s="56" t="s">
        <v>45</v>
      </c>
      <c r="M47" s="20"/>
    </row>
    <row r="48">
      <c r="A48" s="31" t="s">
        <v>139</v>
      </c>
      <c r="B48" s="31">
        <v>16.0</v>
      </c>
      <c r="C48" s="57">
        <v>46252.0</v>
      </c>
      <c r="D48" s="56" t="s">
        <v>140</v>
      </c>
      <c r="E48" s="31" t="s">
        <v>139</v>
      </c>
      <c r="F48" s="31" t="s">
        <v>77</v>
      </c>
      <c r="G48" s="31" t="s">
        <v>53</v>
      </c>
      <c r="H48" s="31">
        <v>23.0</v>
      </c>
      <c r="I48" s="31">
        <v>100.0</v>
      </c>
      <c r="J48" s="52">
        <f t="shared" si="1"/>
        <v>2.3</v>
      </c>
      <c r="K48" s="31" t="s">
        <v>66</v>
      </c>
      <c r="L48" s="56" t="s">
        <v>45</v>
      </c>
      <c r="M48" s="20"/>
    </row>
    <row r="49">
      <c r="A49" s="31" t="s">
        <v>139</v>
      </c>
      <c r="B49" s="31">
        <v>16.0</v>
      </c>
      <c r="C49" s="57">
        <v>46253.0</v>
      </c>
      <c r="D49" s="56" t="s">
        <v>141</v>
      </c>
      <c r="E49" s="31" t="s">
        <v>139</v>
      </c>
      <c r="F49" s="31" t="s">
        <v>77</v>
      </c>
      <c r="G49" s="31" t="s">
        <v>53</v>
      </c>
      <c r="H49" s="31">
        <v>27.0</v>
      </c>
      <c r="I49" s="31">
        <v>100.0</v>
      </c>
      <c r="J49" s="52">
        <f t="shared" si="1"/>
        <v>2.7</v>
      </c>
      <c r="K49" s="31" t="s">
        <v>66</v>
      </c>
      <c r="L49" s="56" t="s">
        <v>45</v>
      </c>
      <c r="M49" s="20"/>
    </row>
    <row r="50">
      <c r="A50" s="31" t="s">
        <v>139</v>
      </c>
      <c r="B50" s="31">
        <v>16.0</v>
      </c>
      <c r="C50" s="57">
        <v>46253.0</v>
      </c>
      <c r="D50" s="56" t="s">
        <v>141</v>
      </c>
      <c r="E50" s="31" t="s">
        <v>139</v>
      </c>
      <c r="F50" s="31" t="s">
        <v>77</v>
      </c>
      <c r="G50" s="31" t="s">
        <v>85</v>
      </c>
      <c r="H50" s="31">
        <v>4.0</v>
      </c>
      <c r="I50" s="31">
        <v>150.0</v>
      </c>
      <c r="J50" s="52">
        <f t="shared" si="1"/>
        <v>0.6</v>
      </c>
      <c r="K50" s="31" t="s">
        <v>66</v>
      </c>
      <c r="L50" s="56" t="s">
        <v>45</v>
      </c>
      <c r="M50" s="20"/>
    </row>
    <row r="51">
      <c r="A51" s="31" t="s">
        <v>139</v>
      </c>
      <c r="B51" s="31">
        <v>16.0</v>
      </c>
      <c r="C51" s="57">
        <v>46254.0</v>
      </c>
      <c r="D51" s="56" t="s">
        <v>142</v>
      </c>
      <c r="E51" s="31" t="s">
        <v>139</v>
      </c>
      <c r="F51" s="31" t="s">
        <v>77</v>
      </c>
      <c r="G51" s="31" t="s">
        <v>85</v>
      </c>
      <c r="H51" s="31">
        <v>21.0</v>
      </c>
      <c r="I51" s="31">
        <v>150.0</v>
      </c>
      <c r="J51" s="52">
        <f t="shared" si="1"/>
        <v>3.15</v>
      </c>
      <c r="K51" s="31" t="s">
        <v>66</v>
      </c>
      <c r="L51" s="56" t="s">
        <v>45</v>
      </c>
      <c r="M51" s="20"/>
    </row>
    <row r="52">
      <c r="A52" s="31" t="s">
        <v>139</v>
      </c>
      <c r="B52" s="31">
        <v>16.0</v>
      </c>
      <c r="C52" s="57">
        <v>46254.0</v>
      </c>
      <c r="D52" s="56" t="s">
        <v>142</v>
      </c>
      <c r="E52" s="31" t="s">
        <v>139</v>
      </c>
      <c r="F52" s="31" t="s">
        <v>77</v>
      </c>
      <c r="G52" s="31" t="s">
        <v>137</v>
      </c>
      <c r="H52" s="31">
        <v>8.0</v>
      </c>
      <c r="I52" s="31">
        <v>52.0</v>
      </c>
      <c r="J52" s="52">
        <f t="shared" si="1"/>
        <v>0.416</v>
      </c>
      <c r="K52" s="31" t="s">
        <v>66</v>
      </c>
      <c r="L52" s="56" t="s">
        <v>45</v>
      </c>
      <c r="M52" s="20"/>
    </row>
    <row r="53">
      <c r="A53" s="31" t="s">
        <v>139</v>
      </c>
      <c r="B53" s="31">
        <v>16.0</v>
      </c>
      <c r="C53" s="57">
        <v>46255.0</v>
      </c>
      <c r="D53" s="56" t="s">
        <v>142</v>
      </c>
      <c r="E53" s="31" t="s">
        <v>139</v>
      </c>
      <c r="F53" s="31" t="s">
        <v>77</v>
      </c>
      <c r="G53" s="31" t="s">
        <v>137</v>
      </c>
      <c r="H53" s="31">
        <v>2.0</v>
      </c>
      <c r="I53" s="31">
        <v>52.0</v>
      </c>
      <c r="J53" s="52">
        <f t="shared" si="1"/>
        <v>0.104</v>
      </c>
      <c r="K53" s="31" t="s">
        <v>66</v>
      </c>
      <c r="L53" s="56" t="s">
        <v>45</v>
      </c>
      <c r="M53" s="20"/>
    </row>
    <row r="54">
      <c r="A54" s="31" t="s">
        <v>139</v>
      </c>
      <c r="B54" s="31">
        <v>16.0</v>
      </c>
      <c r="C54" s="57">
        <v>46255.0</v>
      </c>
      <c r="D54" s="56" t="s">
        <v>143</v>
      </c>
      <c r="E54" s="31" t="s">
        <v>139</v>
      </c>
      <c r="F54" s="31" t="s">
        <v>77</v>
      </c>
      <c r="G54" s="31" t="s">
        <v>138</v>
      </c>
      <c r="H54" s="31">
        <v>22.0</v>
      </c>
      <c r="I54" s="31">
        <v>68.0</v>
      </c>
      <c r="J54" s="52">
        <f t="shared" si="1"/>
        <v>1.496</v>
      </c>
      <c r="K54" s="31" t="s">
        <v>66</v>
      </c>
      <c r="L54" s="56" t="s">
        <v>45</v>
      </c>
      <c r="M54" s="20"/>
    </row>
    <row r="55">
      <c r="A55" s="31" t="s">
        <v>36</v>
      </c>
      <c r="B55" s="31">
        <v>20.0</v>
      </c>
      <c r="C55" s="57">
        <v>46255.0</v>
      </c>
      <c r="D55" s="56" t="s">
        <v>143</v>
      </c>
      <c r="E55" s="31" t="s">
        <v>41</v>
      </c>
      <c r="F55" s="31" t="s">
        <v>77</v>
      </c>
      <c r="G55" s="31" t="s">
        <v>53</v>
      </c>
      <c r="H55" s="31">
        <v>911.0</v>
      </c>
      <c r="I55" s="31">
        <v>100.0</v>
      </c>
      <c r="J55" s="52">
        <f t="shared" si="1"/>
        <v>91.1</v>
      </c>
      <c r="K55" s="31" t="s">
        <v>44</v>
      </c>
      <c r="L55" s="56" t="s">
        <v>45</v>
      </c>
      <c r="M55" s="20"/>
    </row>
    <row r="56">
      <c r="A56" s="31" t="s">
        <v>36</v>
      </c>
      <c r="B56" s="31">
        <v>20.0</v>
      </c>
      <c r="C56" s="57">
        <v>46256.0</v>
      </c>
      <c r="D56" s="56" t="s">
        <v>144</v>
      </c>
      <c r="E56" s="31" t="s">
        <v>41</v>
      </c>
      <c r="F56" s="31" t="s">
        <v>77</v>
      </c>
      <c r="G56" s="31" t="s">
        <v>53</v>
      </c>
      <c r="H56" s="31">
        <f>3300-911</f>
        <v>2389</v>
      </c>
      <c r="I56" s="31">
        <v>100.0</v>
      </c>
      <c r="J56" s="52">
        <f t="shared" si="1"/>
        <v>238.9</v>
      </c>
      <c r="K56" s="31" t="s">
        <v>44</v>
      </c>
      <c r="L56" s="56" t="s">
        <v>45</v>
      </c>
      <c r="M56" s="20"/>
    </row>
    <row r="57">
      <c r="A57" s="31" t="s">
        <v>145</v>
      </c>
      <c r="B57" s="31">
        <v>20.0</v>
      </c>
      <c r="C57" s="31">
        <v>0.0</v>
      </c>
      <c r="D57" s="31">
        <v>0.0</v>
      </c>
      <c r="E57" s="31">
        <v>0.0</v>
      </c>
      <c r="F57" s="31" t="s">
        <v>77</v>
      </c>
      <c r="G57" s="31" t="s">
        <v>85</v>
      </c>
      <c r="H57" s="31">
        <v>390.0</v>
      </c>
      <c r="I57" s="31">
        <v>150.0</v>
      </c>
      <c r="J57" s="52">
        <f t="shared" si="1"/>
        <v>58.5</v>
      </c>
      <c r="K57" s="31" t="s">
        <v>44</v>
      </c>
      <c r="L57" s="56" t="s">
        <v>45</v>
      </c>
      <c r="M57" s="20"/>
    </row>
    <row r="58">
      <c r="A58" s="31" t="s">
        <v>36</v>
      </c>
      <c r="B58" s="31">
        <v>19.0</v>
      </c>
      <c r="C58" s="57">
        <v>46258.0</v>
      </c>
      <c r="D58" s="56" t="s">
        <v>146</v>
      </c>
      <c r="E58" s="31" t="s">
        <v>147</v>
      </c>
      <c r="F58" s="31" t="s">
        <v>42</v>
      </c>
      <c r="G58" s="31" t="s">
        <v>138</v>
      </c>
      <c r="H58" s="31">
        <v>4700.0</v>
      </c>
      <c r="I58" s="31">
        <v>59.0</v>
      </c>
      <c r="J58" s="52">
        <f t="shared" si="1"/>
        <v>277.3</v>
      </c>
      <c r="K58" s="31" t="s">
        <v>44</v>
      </c>
      <c r="L58" s="56" t="s">
        <v>45</v>
      </c>
      <c r="M58" s="20"/>
    </row>
    <row r="59">
      <c r="A59" s="31" t="s">
        <v>36</v>
      </c>
      <c r="B59" s="31">
        <v>20.0</v>
      </c>
      <c r="C59" s="57">
        <v>46259.0</v>
      </c>
      <c r="D59" s="56" t="s">
        <v>148</v>
      </c>
      <c r="E59" s="31" t="s">
        <v>147</v>
      </c>
      <c r="F59" s="31" t="s">
        <v>77</v>
      </c>
      <c r="G59" s="31" t="s">
        <v>53</v>
      </c>
      <c r="H59" s="31">
        <v>200.0</v>
      </c>
      <c r="I59" s="31">
        <v>100.0</v>
      </c>
      <c r="J59" s="52">
        <f t="shared" si="1"/>
        <v>20</v>
      </c>
      <c r="K59" s="31" t="s">
        <v>44</v>
      </c>
      <c r="L59" s="56" t="s">
        <v>45</v>
      </c>
      <c r="M59" s="20"/>
    </row>
    <row r="60">
      <c r="A60" s="31" t="s">
        <v>145</v>
      </c>
      <c r="B60" s="31">
        <v>20.0</v>
      </c>
      <c r="C60" s="57">
        <v>46259.0</v>
      </c>
      <c r="D60" s="56" t="s">
        <v>148</v>
      </c>
      <c r="E60" s="31" t="s">
        <v>149</v>
      </c>
      <c r="F60" s="31" t="s">
        <v>77</v>
      </c>
      <c r="G60" s="31" t="s">
        <v>85</v>
      </c>
      <c r="H60" s="31">
        <v>660.0</v>
      </c>
      <c r="I60" s="31">
        <v>150.0</v>
      </c>
      <c r="J60" s="52">
        <f t="shared" si="1"/>
        <v>99</v>
      </c>
      <c r="K60" s="31" t="s">
        <v>44</v>
      </c>
      <c r="L60" s="56" t="s">
        <v>45</v>
      </c>
      <c r="M60" s="20"/>
    </row>
    <row r="61">
      <c r="A61" s="31" t="s">
        <v>150</v>
      </c>
      <c r="B61" s="31" t="s">
        <v>87</v>
      </c>
      <c r="C61" s="57">
        <v>46259.0</v>
      </c>
      <c r="D61" s="56" t="s">
        <v>148</v>
      </c>
      <c r="E61" s="31" t="s">
        <v>150</v>
      </c>
      <c r="F61" s="31" t="s">
        <v>77</v>
      </c>
      <c r="G61" s="31" t="s">
        <v>151</v>
      </c>
      <c r="H61" s="31">
        <v>50.0</v>
      </c>
      <c r="I61" s="31">
        <v>28.0</v>
      </c>
      <c r="J61" s="52">
        <f t="shared" si="1"/>
        <v>1.4</v>
      </c>
      <c r="K61" s="31" t="s">
        <v>152</v>
      </c>
      <c r="L61" s="56" t="s">
        <v>45</v>
      </c>
      <c r="M61" s="20"/>
    </row>
    <row r="62">
      <c r="A62" s="31" t="s">
        <v>36</v>
      </c>
      <c r="B62" s="31">
        <v>20.0</v>
      </c>
      <c r="C62" s="57">
        <v>46259.0</v>
      </c>
      <c r="D62" s="56" t="s">
        <v>148</v>
      </c>
      <c r="E62" s="31" t="s">
        <v>153</v>
      </c>
      <c r="F62" s="31" t="s">
        <v>77</v>
      </c>
      <c r="G62" s="31" t="s">
        <v>85</v>
      </c>
      <c r="H62" s="31">
        <v>950.0</v>
      </c>
      <c r="I62" s="31">
        <v>150.0</v>
      </c>
      <c r="J62" s="52">
        <f t="shared" si="1"/>
        <v>142.5</v>
      </c>
      <c r="K62" s="31" t="s">
        <v>152</v>
      </c>
      <c r="L62" s="56" t="s">
        <v>45</v>
      </c>
      <c r="M62" s="20"/>
    </row>
    <row r="63">
      <c r="A63" s="31" t="s">
        <v>36</v>
      </c>
      <c r="B63" s="31">
        <v>20.0</v>
      </c>
      <c r="C63" s="57">
        <v>46260.0</v>
      </c>
      <c r="D63" s="56" t="s">
        <v>154</v>
      </c>
      <c r="E63" s="31" t="s">
        <v>153</v>
      </c>
      <c r="F63" s="31" t="s">
        <v>77</v>
      </c>
      <c r="G63" s="31" t="s">
        <v>85</v>
      </c>
      <c r="H63" s="58">
        <f>3366-950</f>
        <v>2416</v>
      </c>
      <c r="I63" s="31">
        <v>150.0</v>
      </c>
      <c r="J63" s="52">
        <f t="shared" si="1"/>
        <v>362.4</v>
      </c>
      <c r="K63" s="31" t="s">
        <v>152</v>
      </c>
      <c r="L63" s="56" t="s">
        <v>45</v>
      </c>
      <c r="M63" s="20"/>
    </row>
    <row r="64">
      <c r="A64" s="59" t="s">
        <v>36</v>
      </c>
      <c r="B64" s="59">
        <v>20.0</v>
      </c>
      <c r="C64" s="57">
        <v>46261.0</v>
      </c>
      <c r="D64" s="56" t="s">
        <v>155</v>
      </c>
      <c r="E64" s="31" t="s">
        <v>153</v>
      </c>
      <c r="F64" s="31" t="s">
        <v>77</v>
      </c>
      <c r="G64" s="31" t="s">
        <v>85</v>
      </c>
      <c r="H64" s="59">
        <v>1242.0</v>
      </c>
      <c r="I64" s="31">
        <v>150.0</v>
      </c>
      <c r="J64" s="52">
        <f t="shared" si="1"/>
        <v>186.3</v>
      </c>
      <c r="K64" s="31" t="s">
        <v>152</v>
      </c>
      <c r="L64" s="56" t="s">
        <v>45</v>
      </c>
      <c r="M64" s="20"/>
    </row>
    <row r="65">
      <c r="A65" s="59" t="s">
        <v>36</v>
      </c>
      <c r="B65" s="59">
        <v>20.0</v>
      </c>
      <c r="C65" s="57">
        <v>46261.0</v>
      </c>
      <c r="D65" s="56" t="s">
        <v>155</v>
      </c>
      <c r="E65" s="59" t="s">
        <v>147</v>
      </c>
      <c r="F65" s="31" t="s">
        <v>77</v>
      </c>
      <c r="G65" s="31" t="s">
        <v>85</v>
      </c>
      <c r="H65" s="59">
        <v>900.0</v>
      </c>
      <c r="I65" s="31">
        <v>150.0</v>
      </c>
      <c r="J65" s="52">
        <f t="shared" si="1"/>
        <v>135</v>
      </c>
      <c r="K65" s="31" t="s">
        <v>152</v>
      </c>
      <c r="L65" s="56" t="s">
        <v>45</v>
      </c>
      <c r="M65" s="20"/>
    </row>
    <row r="66">
      <c r="A66" s="59" t="s">
        <v>36</v>
      </c>
      <c r="B66" s="59">
        <v>20.0</v>
      </c>
      <c r="C66" s="57">
        <v>46262.0</v>
      </c>
      <c r="D66" s="56" t="s">
        <v>156</v>
      </c>
      <c r="E66" s="59" t="s">
        <v>147</v>
      </c>
      <c r="F66" s="31" t="s">
        <v>77</v>
      </c>
      <c r="G66" s="31" t="s">
        <v>85</v>
      </c>
      <c r="H66" s="59">
        <v>1985.0</v>
      </c>
      <c r="I66" s="31">
        <v>150.0</v>
      </c>
      <c r="J66" s="52">
        <f t="shared" si="1"/>
        <v>297.75</v>
      </c>
      <c r="K66" s="31" t="s">
        <v>152</v>
      </c>
      <c r="L66" s="56" t="s">
        <v>45</v>
      </c>
      <c r="M66" s="20"/>
    </row>
    <row r="67">
      <c r="A67" s="59" t="s">
        <v>36</v>
      </c>
      <c r="B67" s="59">
        <v>20.0</v>
      </c>
      <c r="C67" s="57">
        <v>46263.0</v>
      </c>
      <c r="D67" s="56" t="s">
        <v>157</v>
      </c>
      <c r="E67" s="59" t="s">
        <v>147</v>
      </c>
      <c r="F67" s="31" t="s">
        <v>77</v>
      </c>
      <c r="G67" s="31" t="s">
        <v>85</v>
      </c>
      <c r="H67" s="59">
        <v>1650.0</v>
      </c>
      <c r="I67" s="31">
        <v>150.0</v>
      </c>
      <c r="J67" s="52">
        <f t="shared" si="1"/>
        <v>247.5</v>
      </c>
      <c r="K67" s="31" t="s">
        <v>152</v>
      </c>
      <c r="L67" s="56" t="s">
        <v>45</v>
      </c>
      <c r="M67" s="20"/>
    </row>
    <row r="68">
      <c r="A68" s="59" t="s">
        <v>126</v>
      </c>
      <c r="B68" s="59">
        <v>21.0</v>
      </c>
      <c r="C68" s="57">
        <v>46265.0</v>
      </c>
      <c r="D68" s="56" t="s">
        <v>158</v>
      </c>
      <c r="E68" s="59" t="s">
        <v>126</v>
      </c>
      <c r="F68" s="31" t="s">
        <v>77</v>
      </c>
      <c r="G68" s="59" t="s">
        <v>151</v>
      </c>
      <c r="H68" s="60">
        <v>368.0</v>
      </c>
      <c r="I68" s="60">
        <v>29.0</v>
      </c>
      <c r="J68" s="52">
        <f t="shared" si="1"/>
        <v>10.672</v>
      </c>
      <c r="K68" s="31" t="s">
        <v>152</v>
      </c>
      <c r="L68" s="56" t="s">
        <v>45</v>
      </c>
      <c r="M68" s="20"/>
    </row>
    <row r="69">
      <c r="A69" s="59" t="s">
        <v>126</v>
      </c>
      <c r="B69" s="59">
        <v>21.0</v>
      </c>
      <c r="C69" s="57">
        <v>46265.0</v>
      </c>
      <c r="D69" s="56" t="s">
        <v>158</v>
      </c>
      <c r="E69" s="59" t="s">
        <v>126</v>
      </c>
      <c r="F69" s="31" t="s">
        <v>77</v>
      </c>
      <c r="G69" s="59" t="s">
        <v>105</v>
      </c>
      <c r="H69" s="61">
        <v>493.0</v>
      </c>
      <c r="I69" s="61">
        <v>47.0</v>
      </c>
      <c r="J69" s="52">
        <f t="shared" si="1"/>
        <v>23.171</v>
      </c>
      <c r="K69" s="31" t="s">
        <v>152</v>
      </c>
      <c r="L69" s="56" t="s">
        <v>45</v>
      </c>
      <c r="M69" s="20"/>
    </row>
    <row r="70">
      <c r="A70" s="59" t="s">
        <v>126</v>
      </c>
      <c r="B70" s="59">
        <v>21.0</v>
      </c>
      <c r="C70" s="57">
        <v>46265.0</v>
      </c>
      <c r="D70" s="56" t="s">
        <v>158</v>
      </c>
      <c r="E70" s="59" t="s">
        <v>126</v>
      </c>
      <c r="F70" s="31" t="s">
        <v>77</v>
      </c>
      <c r="G70" s="59" t="s">
        <v>108</v>
      </c>
      <c r="H70" s="60">
        <v>1100.0</v>
      </c>
      <c r="I70" s="60">
        <v>60.0</v>
      </c>
      <c r="J70" s="52">
        <f t="shared" si="1"/>
        <v>66</v>
      </c>
      <c r="K70" s="31" t="s">
        <v>152</v>
      </c>
      <c r="L70" s="56" t="s">
        <v>45</v>
      </c>
      <c r="M70" s="20"/>
    </row>
    <row r="71">
      <c r="A71" s="59" t="s">
        <v>126</v>
      </c>
      <c r="B71" s="59">
        <v>21.0</v>
      </c>
      <c r="C71" s="57">
        <v>46265.0</v>
      </c>
      <c r="D71" s="56" t="s">
        <v>158</v>
      </c>
      <c r="E71" s="59" t="s">
        <v>126</v>
      </c>
      <c r="F71" s="31" t="s">
        <v>77</v>
      </c>
      <c r="G71" s="59" t="s">
        <v>53</v>
      </c>
      <c r="H71" s="61">
        <v>261.0</v>
      </c>
      <c r="I71" s="61">
        <v>150.0</v>
      </c>
      <c r="J71" s="52">
        <f t="shared" si="1"/>
        <v>39.15</v>
      </c>
      <c r="K71" s="31" t="s">
        <v>152</v>
      </c>
      <c r="L71" s="56" t="s">
        <v>45</v>
      </c>
      <c r="M71" s="20"/>
    </row>
    <row r="72">
      <c r="A72" s="59" t="s">
        <v>126</v>
      </c>
      <c r="B72" s="59">
        <v>21.0</v>
      </c>
      <c r="C72" s="57">
        <v>46265.0</v>
      </c>
      <c r="D72" s="56" t="s">
        <v>158</v>
      </c>
      <c r="E72" s="59" t="s">
        <v>126</v>
      </c>
      <c r="F72" s="31" t="s">
        <v>77</v>
      </c>
      <c r="G72" s="59" t="s">
        <v>85</v>
      </c>
      <c r="H72" s="62">
        <v>100.0</v>
      </c>
      <c r="I72" s="61">
        <v>101.0</v>
      </c>
      <c r="J72" s="52">
        <f t="shared" si="1"/>
        <v>10.1</v>
      </c>
      <c r="K72" s="31" t="s">
        <v>152</v>
      </c>
      <c r="L72" s="56" t="s">
        <v>45</v>
      </c>
      <c r="M72" s="20"/>
    </row>
    <row r="73">
      <c r="A73" s="59" t="s">
        <v>123</v>
      </c>
      <c r="B73" s="59">
        <v>22.0</v>
      </c>
      <c r="C73" s="57">
        <v>46265.0</v>
      </c>
      <c r="D73" s="56" t="s">
        <v>158</v>
      </c>
      <c r="E73" s="59" t="s">
        <v>123</v>
      </c>
      <c r="F73" s="31" t="s">
        <v>77</v>
      </c>
      <c r="G73" s="59" t="s">
        <v>108</v>
      </c>
      <c r="H73" s="59">
        <v>317.0</v>
      </c>
      <c r="I73" s="59">
        <v>60.0</v>
      </c>
      <c r="J73" s="52">
        <f t="shared" si="1"/>
        <v>19.02</v>
      </c>
      <c r="K73" s="31" t="s">
        <v>152</v>
      </c>
      <c r="L73" s="56" t="s">
        <v>45</v>
      </c>
      <c r="M73" s="20"/>
    </row>
    <row r="74">
      <c r="A74" s="59" t="s">
        <v>123</v>
      </c>
      <c r="B74" s="59">
        <v>22.0</v>
      </c>
      <c r="C74" s="57">
        <v>46265.0</v>
      </c>
      <c r="D74" s="56" t="s">
        <v>158</v>
      </c>
      <c r="E74" s="59" t="s">
        <v>123</v>
      </c>
      <c r="F74" s="31" t="s">
        <v>77</v>
      </c>
      <c r="G74" s="59" t="s">
        <v>53</v>
      </c>
      <c r="H74" s="59">
        <v>210.0</v>
      </c>
      <c r="I74" s="59">
        <v>149.0</v>
      </c>
      <c r="J74" s="52">
        <f t="shared" si="1"/>
        <v>31.29</v>
      </c>
      <c r="K74" s="31" t="s">
        <v>152</v>
      </c>
      <c r="L74" s="56" t="s">
        <v>45</v>
      </c>
      <c r="M74" s="20"/>
    </row>
    <row r="75">
      <c r="A75" s="59" t="s">
        <v>159</v>
      </c>
      <c r="B75" s="59">
        <v>23.0</v>
      </c>
      <c r="C75" s="57">
        <v>46265.0</v>
      </c>
      <c r="D75" s="56" t="s">
        <v>158</v>
      </c>
      <c r="E75" s="59" t="s">
        <v>159</v>
      </c>
      <c r="F75" s="31" t="s">
        <v>77</v>
      </c>
      <c r="G75" s="59" t="s">
        <v>108</v>
      </c>
      <c r="H75" s="59">
        <v>2100.0</v>
      </c>
      <c r="I75" s="59">
        <v>59.0</v>
      </c>
      <c r="J75" s="52">
        <f t="shared" si="1"/>
        <v>123.9</v>
      </c>
      <c r="K75" s="31" t="s">
        <v>152</v>
      </c>
      <c r="L75" s="56" t="s">
        <v>45</v>
      </c>
      <c r="M75" s="20"/>
    </row>
    <row r="76">
      <c r="A76" s="59" t="s">
        <v>159</v>
      </c>
      <c r="B76" s="59">
        <v>23.0</v>
      </c>
      <c r="C76" s="57">
        <v>46265.0</v>
      </c>
      <c r="D76" s="56" t="s">
        <v>158</v>
      </c>
      <c r="E76" s="59" t="s">
        <v>159</v>
      </c>
      <c r="F76" s="31" t="s">
        <v>77</v>
      </c>
      <c r="G76" s="59" t="s">
        <v>53</v>
      </c>
      <c r="H76" s="59">
        <v>100.0</v>
      </c>
      <c r="I76" s="59">
        <v>149.0</v>
      </c>
      <c r="J76" s="63">
        <f t="shared" si="1"/>
        <v>14.9</v>
      </c>
      <c r="K76" s="31" t="s">
        <v>152</v>
      </c>
      <c r="L76" s="56" t="s">
        <v>45</v>
      </c>
      <c r="M76" s="20"/>
    </row>
    <row r="77">
      <c r="A77" s="31" t="s">
        <v>36</v>
      </c>
      <c r="B77" s="59">
        <v>18.0</v>
      </c>
      <c r="C77" s="57">
        <v>46266.0</v>
      </c>
      <c r="D77" s="56" t="s">
        <v>160</v>
      </c>
      <c r="E77" s="31" t="s">
        <v>153</v>
      </c>
      <c r="F77" s="31" t="s">
        <v>42</v>
      </c>
      <c r="G77" s="59" t="s">
        <v>137</v>
      </c>
      <c r="H77" s="59">
        <v>2663.0</v>
      </c>
      <c r="I77" s="59">
        <v>52.0</v>
      </c>
      <c r="J77" s="63">
        <f t="shared" si="1"/>
        <v>138.476</v>
      </c>
      <c r="K77" s="31" t="s">
        <v>152</v>
      </c>
      <c r="L77" s="56" t="s">
        <v>45</v>
      </c>
      <c r="M77" s="20"/>
    </row>
    <row r="78">
      <c r="A78" s="31" t="s">
        <v>36</v>
      </c>
      <c r="B78" s="59">
        <v>18.0</v>
      </c>
      <c r="C78" s="57">
        <v>46266.0</v>
      </c>
      <c r="D78" s="56" t="s">
        <v>160</v>
      </c>
      <c r="E78" s="31" t="s">
        <v>153</v>
      </c>
      <c r="F78" s="31" t="s">
        <v>42</v>
      </c>
      <c r="G78" s="59" t="s">
        <v>138</v>
      </c>
      <c r="H78" s="59">
        <v>3000.0</v>
      </c>
      <c r="I78" s="59">
        <v>68.0</v>
      </c>
      <c r="J78" s="63">
        <f t="shared" si="1"/>
        <v>204</v>
      </c>
      <c r="K78" s="31" t="s">
        <v>152</v>
      </c>
      <c r="L78" s="56" t="s">
        <v>45</v>
      </c>
      <c r="M78" s="20"/>
    </row>
    <row r="79">
      <c r="A79" s="31" t="s">
        <v>36</v>
      </c>
      <c r="B79" s="59">
        <v>18.0</v>
      </c>
      <c r="C79" s="57">
        <v>46267.0</v>
      </c>
      <c r="D79" s="56" t="s">
        <v>161</v>
      </c>
      <c r="E79" s="31" t="s">
        <v>153</v>
      </c>
      <c r="F79" s="31" t="s">
        <v>42</v>
      </c>
      <c r="G79" s="59" t="s">
        <v>138</v>
      </c>
      <c r="H79" s="59">
        <v>3300.0</v>
      </c>
      <c r="I79" s="59">
        <v>68.0</v>
      </c>
      <c r="J79" s="63">
        <f t="shared" si="1"/>
        <v>224.4</v>
      </c>
      <c r="K79" s="31" t="s">
        <v>152</v>
      </c>
      <c r="L79" s="56" t="s">
        <v>45</v>
      </c>
      <c r="M79" s="20"/>
    </row>
    <row r="80">
      <c r="A80" s="64" t="s">
        <v>162</v>
      </c>
      <c r="B80" s="59">
        <v>25.0</v>
      </c>
      <c r="C80" s="57">
        <v>46267.0</v>
      </c>
      <c r="D80" s="56" t="s">
        <v>161</v>
      </c>
      <c r="E80" s="64" t="s">
        <v>162</v>
      </c>
      <c r="F80" s="31" t="s">
        <v>42</v>
      </c>
      <c r="G80" s="59" t="s">
        <v>138</v>
      </c>
      <c r="H80" s="59">
        <v>500.0</v>
      </c>
      <c r="I80" s="59">
        <v>68.0</v>
      </c>
      <c r="J80" s="63">
        <f t="shared" si="1"/>
        <v>34</v>
      </c>
      <c r="K80" s="31" t="s">
        <v>152</v>
      </c>
      <c r="L80" s="56" t="s">
        <v>45</v>
      </c>
      <c r="M80" s="20"/>
    </row>
    <row r="81">
      <c r="A81" s="65" t="s">
        <v>163</v>
      </c>
      <c r="B81" s="59">
        <v>26.0</v>
      </c>
      <c r="C81" s="57">
        <v>46267.0</v>
      </c>
      <c r="D81" s="56" t="s">
        <v>161</v>
      </c>
      <c r="E81" s="65" t="s">
        <v>163</v>
      </c>
      <c r="F81" s="31" t="s">
        <v>42</v>
      </c>
      <c r="G81" s="59" t="s">
        <v>138</v>
      </c>
      <c r="H81" s="59">
        <v>1000.0</v>
      </c>
      <c r="I81" s="59">
        <v>68.0</v>
      </c>
      <c r="J81" s="63">
        <f t="shared" si="1"/>
        <v>68</v>
      </c>
      <c r="K81" s="31" t="s">
        <v>152</v>
      </c>
      <c r="L81" s="56" t="s">
        <v>45</v>
      </c>
      <c r="M81" s="20"/>
    </row>
    <row r="82">
      <c r="A82" s="65" t="s">
        <v>163</v>
      </c>
      <c r="B82" s="59">
        <v>26.0</v>
      </c>
      <c r="C82" s="57">
        <v>46267.0</v>
      </c>
      <c r="D82" s="56" t="s">
        <v>161</v>
      </c>
      <c r="E82" s="65" t="s">
        <v>163</v>
      </c>
      <c r="F82" s="31" t="s">
        <v>42</v>
      </c>
      <c r="G82" s="59" t="s">
        <v>137</v>
      </c>
      <c r="H82" s="59">
        <v>1010.0</v>
      </c>
      <c r="I82" s="59">
        <v>53.0</v>
      </c>
      <c r="J82" s="63">
        <f t="shared" si="1"/>
        <v>53.53</v>
      </c>
      <c r="K82" s="31" t="s">
        <v>152</v>
      </c>
      <c r="L82" s="56" t="s">
        <v>45</v>
      </c>
      <c r="M82" s="20"/>
    </row>
    <row r="83">
      <c r="A83" s="31" t="s">
        <v>36</v>
      </c>
      <c r="B83" s="59">
        <v>18.0</v>
      </c>
      <c r="C83" s="57">
        <v>46268.0</v>
      </c>
      <c r="D83" s="56" t="s">
        <v>164</v>
      </c>
      <c r="E83" s="31" t="s">
        <v>153</v>
      </c>
      <c r="F83" s="31" t="s">
        <v>42</v>
      </c>
      <c r="G83" s="59" t="s">
        <v>138</v>
      </c>
      <c r="H83" s="59">
        <v>1800.0</v>
      </c>
      <c r="I83" s="59">
        <v>68.0</v>
      </c>
      <c r="J83" s="63">
        <f t="shared" si="1"/>
        <v>122.4</v>
      </c>
      <c r="K83" s="31" t="s">
        <v>152</v>
      </c>
      <c r="L83" s="56" t="s">
        <v>45</v>
      </c>
      <c r="M83" s="20"/>
    </row>
    <row r="84">
      <c r="A84" s="31" t="s">
        <v>36</v>
      </c>
      <c r="B84" s="59">
        <v>19.0</v>
      </c>
      <c r="C84" s="57">
        <v>46268.0</v>
      </c>
      <c r="D84" s="56" t="s">
        <v>164</v>
      </c>
      <c r="E84" s="59" t="s">
        <v>147</v>
      </c>
      <c r="F84" s="31" t="s">
        <v>42</v>
      </c>
      <c r="G84" s="59" t="s">
        <v>138</v>
      </c>
      <c r="H84" s="59">
        <f>2500+1080</f>
        <v>3580</v>
      </c>
      <c r="I84" s="59">
        <v>68.0</v>
      </c>
      <c r="J84" s="63">
        <f t="shared" si="1"/>
        <v>243.44</v>
      </c>
      <c r="K84" s="31" t="s">
        <v>152</v>
      </c>
      <c r="L84" s="56" t="s">
        <v>45</v>
      </c>
      <c r="M84" s="20"/>
    </row>
    <row r="85">
      <c r="A85" s="59" t="s">
        <v>165</v>
      </c>
      <c r="B85" s="59">
        <v>23.0</v>
      </c>
      <c r="C85" s="57">
        <v>46269.0</v>
      </c>
      <c r="D85" s="56" t="s">
        <v>166</v>
      </c>
      <c r="E85" s="59" t="s">
        <v>165</v>
      </c>
      <c r="F85" s="59" t="s">
        <v>77</v>
      </c>
      <c r="G85" s="59" t="s">
        <v>53</v>
      </c>
      <c r="H85" s="59">
        <v>250.0</v>
      </c>
      <c r="I85" s="59">
        <v>100.0</v>
      </c>
      <c r="J85" s="63">
        <f t="shared" si="1"/>
        <v>25</v>
      </c>
      <c r="K85" s="31" t="s">
        <v>152</v>
      </c>
      <c r="L85" s="56" t="s">
        <v>45</v>
      </c>
      <c r="M85" s="20"/>
    </row>
    <row r="86">
      <c r="A86" s="59" t="s">
        <v>150</v>
      </c>
      <c r="B86" s="59">
        <v>27.0</v>
      </c>
      <c r="C86" s="57">
        <v>46269.0</v>
      </c>
      <c r="D86" s="56" t="s">
        <v>166</v>
      </c>
      <c r="E86" s="59" t="s">
        <v>150</v>
      </c>
      <c r="F86" s="59" t="s">
        <v>77</v>
      </c>
      <c r="G86" s="59" t="s">
        <v>85</v>
      </c>
      <c r="H86" s="59">
        <v>190.0</v>
      </c>
      <c r="I86" s="59">
        <v>150.0</v>
      </c>
      <c r="J86" s="63">
        <f t="shared" si="1"/>
        <v>28.5</v>
      </c>
      <c r="K86" s="31" t="s">
        <v>152</v>
      </c>
      <c r="L86" s="56" t="s">
        <v>45</v>
      </c>
      <c r="M86" s="20"/>
    </row>
    <row r="87">
      <c r="A87" s="59" t="s">
        <v>150</v>
      </c>
      <c r="B87" s="59">
        <v>27.0</v>
      </c>
      <c r="C87" s="57">
        <v>46269.0</v>
      </c>
      <c r="D87" s="56" t="s">
        <v>166</v>
      </c>
      <c r="E87" s="59" t="s">
        <v>150</v>
      </c>
      <c r="F87" s="59" t="s">
        <v>77</v>
      </c>
      <c r="G87" s="31" t="s">
        <v>167</v>
      </c>
      <c r="H87" s="31">
        <v>300.0</v>
      </c>
      <c r="I87" s="31">
        <v>200.0</v>
      </c>
      <c r="J87" s="63">
        <f t="shared" si="1"/>
        <v>60</v>
      </c>
      <c r="K87" s="31" t="s">
        <v>152</v>
      </c>
      <c r="L87" s="56" t="s">
        <v>45</v>
      </c>
      <c r="M87" s="20"/>
    </row>
    <row r="88">
      <c r="A88" s="16" t="s">
        <v>162</v>
      </c>
      <c r="B88" s="16">
        <v>25.0</v>
      </c>
      <c r="C88" s="57">
        <v>46269.0</v>
      </c>
      <c r="D88" s="56" t="s">
        <v>166</v>
      </c>
      <c r="E88" s="31" t="s">
        <v>162</v>
      </c>
      <c r="F88" s="59" t="s">
        <v>77</v>
      </c>
      <c r="G88" s="31" t="s">
        <v>138</v>
      </c>
      <c r="H88" s="31">
        <v>500.0</v>
      </c>
      <c r="I88" s="31">
        <v>61.0</v>
      </c>
      <c r="J88" s="63">
        <f t="shared" si="1"/>
        <v>30.5</v>
      </c>
      <c r="K88" s="31" t="s">
        <v>152</v>
      </c>
      <c r="L88" s="56" t="s">
        <v>45</v>
      </c>
      <c r="M88" s="20"/>
    </row>
    <row r="89">
      <c r="A89" s="16" t="s">
        <v>168</v>
      </c>
      <c r="B89" s="16">
        <v>24.0</v>
      </c>
      <c r="C89" s="57">
        <v>46269.0</v>
      </c>
      <c r="D89" s="56" t="s">
        <v>166</v>
      </c>
      <c r="E89" s="31" t="s">
        <v>168</v>
      </c>
      <c r="F89" s="59" t="s">
        <v>77</v>
      </c>
      <c r="G89" s="31" t="s">
        <v>53</v>
      </c>
      <c r="H89" s="31">
        <v>2600.0</v>
      </c>
      <c r="I89" s="31">
        <v>100.0</v>
      </c>
      <c r="J89" s="63">
        <f t="shared" si="1"/>
        <v>260</v>
      </c>
      <c r="K89" s="31" t="s">
        <v>152</v>
      </c>
      <c r="L89" s="56" t="s">
        <v>45</v>
      </c>
      <c r="M89" s="20"/>
    </row>
    <row r="90">
      <c r="A90" s="16" t="s">
        <v>168</v>
      </c>
      <c r="B90" s="16">
        <v>24.0</v>
      </c>
      <c r="C90" s="57">
        <v>46270.0</v>
      </c>
      <c r="D90" s="56" t="s">
        <v>169</v>
      </c>
      <c r="E90" s="31" t="s">
        <v>168</v>
      </c>
      <c r="F90" s="59" t="s">
        <v>77</v>
      </c>
      <c r="G90" s="31" t="s">
        <v>53</v>
      </c>
      <c r="H90" s="31">
        <v>500.0</v>
      </c>
      <c r="I90" s="31">
        <v>100.0</v>
      </c>
      <c r="J90" s="63">
        <f t="shared" si="1"/>
        <v>50</v>
      </c>
      <c r="K90" s="31" t="s">
        <v>152</v>
      </c>
      <c r="L90" s="56" t="s">
        <v>45</v>
      </c>
      <c r="M90" s="20"/>
    </row>
    <row r="91">
      <c r="A91" s="31" t="s">
        <v>170</v>
      </c>
      <c r="B91" s="31">
        <v>28.0</v>
      </c>
      <c r="C91" s="57">
        <v>46270.0</v>
      </c>
      <c r="D91" s="56" t="s">
        <v>169</v>
      </c>
      <c r="E91" s="31" t="s">
        <v>170</v>
      </c>
      <c r="F91" s="59" t="s">
        <v>77</v>
      </c>
      <c r="G91" s="31" t="s">
        <v>138</v>
      </c>
      <c r="H91" s="31">
        <v>500.0</v>
      </c>
      <c r="I91" s="31">
        <v>61.0</v>
      </c>
      <c r="J91" s="63">
        <f t="shared" si="1"/>
        <v>30.5</v>
      </c>
      <c r="K91" s="31" t="s">
        <v>152</v>
      </c>
      <c r="L91" s="56" t="s">
        <v>45</v>
      </c>
      <c r="M91" s="20"/>
    </row>
    <row r="92">
      <c r="A92" s="31" t="s">
        <v>170</v>
      </c>
      <c r="B92" s="31">
        <v>28.0</v>
      </c>
      <c r="C92" s="57">
        <v>46272.0</v>
      </c>
      <c r="D92" s="56" t="s">
        <v>171</v>
      </c>
      <c r="E92" s="31" t="s">
        <v>170</v>
      </c>
      <c r="F92" s="59" t="s">
        <v>77</v>
      </c>
      <c r="G92" s="31" t="s">
        <v>138</v>
      </c>
      <c r="H92" s="31">
        <v>25.0</v>
      </c>
      <c r="I92" s="31">
        <v>60.0</v>
      </c>
      <c r="J92" s="63">
        <f t="shared" si="1"/>
        <v>1.5</v>
      </c>
      <c r="K92" s="31" t="s">
        <v>152</v>
      </c>
      <c r="L92" s="56" t="s">
        <v>45</v>
      </c>
      <c r="M92" s="20"/>
    </row>
    <row r="93">
      <c r="A93" s="16" t="s">
        <v>13</v>
      </c>
      <c r="B93" s="16">
        <v>27.0</v>
      </c>
      <c r="C93" s="57">
        <v>46272.0</v>
      </c>
      <c r="D93" s="56" t="s">
        <v>171</v>
      </c>
      <c r="E93" s="31" t="s">
        <v>13</v>
      </c>
      <c r="F93" s="59" t="s">
        <v>77</v>
      </c>
      <c r="G93" s="31" t="s">
        <v>53</v>
      </c>
      <c r="H93" s="31">
        <v>1050.0</v>
      </c>
      <c r="I93" s="31">
        <v>100.0</v>
      </c>
      <c r="J93" s="63">
        <f t="shared" si="1"/>
        <v>105</v>
      </c>
      <c r="K93" s="31" t="s">
        <v>152</v>
      </c>
      <c r="L93" s="56" t="s">
        <v>45</v>
      </c>
      <c r="M93" s="20"/>
    </row>
    <row r="94">
      <c r="A94" s="16" t="s">
        <v>13</v>
      </c>
      <c r="B94" s="16">
        <v>27.0</v>
      </c>
      <c r="C94" s="57">
        <v>46272.0</v>
      </c>
      <c r="D94" s="56" t="s">
        <v>171</v>
      </c>
      <c r="E94" s="31" t="s">
        <v>13</v>
      </c>
      <c r="F94" s="59" t="s">
        <v>77</v>
      </c>
      <c r="G94" s="31">
        <v>1.5</v>
      </c>
      <c r="H94" s="8">
        <v>310.0</v>
      </c>
      <c r="I94" s="16">
        <v>149.0</v>
      </c>
      <c r="J94" s="63">
        <f t="shared" si="1"/>
        <v>46.19</v>
      </c>
      <c r="K94" s="31" t="s">
        <v>152</v>
      </c>
      <c r="L94" s="56" t="s">
        <v>45</v>
      </c>
      <c r="M94" s="20"/>
    </row>
    <row r="95">
      <c r="A95" s="16" t="s">
        <v>13</v>
      </c>
      <c r="B95" s="16">
        <v>27.0</v>
      </c>
      <c r="C95" s="57">
        <v>46272.0</v>
      </c>
      <c r="D95" s="56" t="s">
        <v>171</v>
      </c>
      <c r="E95" s="31" t="s">
        <v>13</v>
      </c>
      <c r="F95" s="59" t="s">
        <v>77</v>
      </c>
      <c r="G95" s="31" t="s">
        <v>105</v>
      </c>
      <c r="H95" s="31">
        <v>510.0</v>
      </c>
      <c r="I95" s="31">
        <v>48.0</v>
      </c>
      <c r="J95" s="63">
        <f t="shared" si="1"/>
        <v>24.48</v>
      </c>
      <c r="K95" s="31" t="s">
        <v>152</v>
      </c>
      <c r="L95" s="56" t="s">
        <v>45</v>
      </c>
      <c r="M95" s="20"/>
    </row>
    <row r="96">
      <c r="A96" s="16" t="s">
        <v>13</v>
      </c>
      <c r="B96" s="16">
        <v>27.0</v>
      </c>
      <c r="C96" s="57">
        <v>46272.0</v>
      </c>
      <c r="D96" s="56" t="s">
        <v>171</v>
      </c>
      <c r="E96" s="31" t="s">
        <v>13</v>
      </c>
      <c r="F96" s="59" t="s">
        <v>77</v>
      </c>
      <c r="G96" s="31" t="s">
        <v>172</v>
      </c>
      <c r="H96" s="31">
        <v>4000.0</v>
      </c>
      <c r="I96" s="31">
        <v>60.0</v>
      </c>
      <c r="J96" s="63">
        <f t="shared" si="1"/>
        <v>240</v>
      </c>
      <c r="K96" s="31" t="s">
        <v>152</v>
      </c>
      <c r="L96" s="56" t="s">
        <v>45</v>
      </c>
      <c r="M96" s="20"/>
    </row>
    <row r="97">
      <c r="A97" s="16" t="s">
        <v>173</v>
      </c>
      <c r="B97" s="16">
        <v>29.0</v>
      </c>
      <c r="C97" s="57">
        <v>46272.0</v>
      </c>
      <c r="D97" s="56" t="s">
        <v>171</v>
      </c>
      <c r="E97" s="31" t="s">
        <v>173</v>
      </c>
      <c r="F97" s="59" t="s">
        <v>77</v>
      </c>
      <c r="G97" s="31" t="s">
        <v>172</v>
      </c>
      <c r="H97" s="31">
        <v>300.0</v>
      </c>
      <c r="I97" s="31">
        <v>60.0</v>
      </c>
      <c r="J97" s="63">
        <f t="shared" si="1"/>
        <v>18</v>
      </c>
      <c r="K97" s="31" t="s">
        <v>152</v>
      </c>
      <c r="L97" s="56" t="s">
        <v>45</v>
      </c>
      <c r="M97" s="20"/>
    </row>
    <row r="98">
      <c r="A98" s="16" t="s">
        <v>173</v>
      </c>
      <c r="B98" s="16">
        <v>29.0</v>
      </c>
      <c r="C98" s="57">
        <v>46273.0</v>
      </c>
      <c r="D98" s="56" t="s">
        <v>174</v>
      </c>
      <c r="E98" s="31" t="s">
        <v>173</v>
      </c>
      <c r="F98" s="59" t="s">
        <v>77</v>
      </c>
      <c r="G98" s="31" t="s">
        <v>172</v>
      </c>
      <c r="H98" s="28">
        <f>850-300</f>
        <v>550</v>
      </c>
      <c r="I98" s="31">
        <v>60.0</v>
      </c>
      <c r="J98" s="63">
        <f t="shared" si="1"/>
        <v>33</v>
      </c>
      <c r="K98" s="31" t="s">
        <v>152</v>
      </c>
      <c r="L98" s="56" t="s">
        <v>45</v>
      </c>
      <c r="M98" s="20"/>
    </row>
    <row r="99">
      <c r="A99" s="31" t="s">
        <v>36</v>
      </c>
      <c r="B99" s="31" t="s">
        <v>121</v>
      </c>
      <c r="C99" s="57">
        <v>46273.0</v>
      </c>
      <c r="D99" s="56" t="s">
        <v>174</v>
      </c>
      <c r="E99" s="31" t="s">
        <v>153</v>
      </c>
      <c r="F99" s="59" t="s">
        <v>77</v>
      </c>
      <c r="G99" s="31" t="s">
        <v>53</v>
      </c>
      <c r="H99" s="31">
        <v>550.0</v>
      </c>
      <c r="I99" s="31">
        <v>100.0</v>
      </c>
      <c r="J99" s="66">
        <f t="shared" si="1"/>
        <v>55</v>
      </c>
      <c r="K99" s="31" t="s">
        <v>152</v>
      </c>
      <c r="L99" s="56" t="s">
        <v>45</v>
      </c>
      <c r="M99" s="20"/>
    </row>
    <row r="100">
      <c r="A100" s="16" t="s">
        <v>173</v>
      </c>
      <c r="B100" s="31">
        <v>29.0</v>
      </c>
      <c r="C100" s="57">
        <v>46273.0</v>
      </c>
      <c r="D100" s="56" t="s">
        <v>174</v>
      </c>
      <c r="E100" s="16" t="s">
        <v>173</v>
      </c>
      <c r="F100" s="59" t="s">
        <v>77</v>
      </c>
      <c r="G100" s="31" t="s">
        <v>138</v>
      </c>
      <c r="H100" s="31">
        <v>2200.0</v>
      </c>
      <c r="I100" s="31">
        <v>61.0</v>
      </c>
      <c r="J100" s="66">
        <f t="shared" si="1"/>
        <v>134.2</v>
      </c>
      <c r="K100" s="31" t="s">
        <v>152</v>
      </c>
      <c r="L100" s="56" t="s">
        <v>45</v>
      </c>
      <c r="M100" s="20"/>
    </row>
    <row r="101">
      <c r="A101" s="16" t="s">
        <v>173</v>
      </c>
      <c r="B101" s="31">
        <v>29.0</v>
      </c>
      <c r="C101" s="57">
        <v>46273.0</v>
      </c>
      <c r="D101" s="56" t="s">
        <v>174</v>
      </c>
      <c r="E101" s="16" t="s">
        <v>173</v>
      </c>
      <c r="F101" s="59" t="s">
        <v>77</v>
      </c>
      <c r="G101" s="31" t="s">
        <v>175</v>
      </c>
      <c r="H101" s="31">
        <v>1600.0</v>
      </c>
      <c r="I101" s="31">
        <v>100.0</v>
      </c>
      <c r="J101" s="66">
        <f t="shared" si="1"/>
        <v>160</v>
      </c>
      <c r="K101" s="31" t="s">
        <v>152</v>
      </c>
      <c r="L101" s="56" t="s">
        <v>45</v>
      </c>
      <c r="M101" s="20"/>
    </row>
    <row r="102">
      <c r="A102" s="31" t="s">
        <v>36</v>
      </c>
      <c r="B102" s="31" t="s">
        <v>121</v>
      </c>
      <c r="C102" s="57">
        <v>46273.0</v>
      </c>
      <c r="D102" s="56" t="s">
        <v>174</v>
      </c>
      <c r="E102" s="31" t="s">
        <v>176</v>
      </c>
      <c r="F102" s="59" t="s">
        <v>77</v>
      </c>
      <c r="G102" s="31" t="s">
        <v>53</v>
      </c>
      <c r="H102" s="31">
        <v>540.0</v>
      </c>
      <c r="I102" s="31">
        <v>100.0</v>
      </c>
      <c r="J102" s="66">
        <f t="shared" si="1"/>
        <v>54</v>
      </c>
      <c r="K102" s="31" t="s">
        <v>152</v>
      </c>
      <c r="L102" s="56" t="s">
        <v>45</v>
      </c>
      <c r="M102" s="20"/>
    </row>
    <row r="103">
      <c r="A103" s="31" t="s">
        <v>36</v>
      </c>
      <c r="B103" s="31" t="s">
        <v>121</v>
      </c>
      <c r="C103" s="57">
        <v>46274.0</v>
      </c>
      <c r="D103" s="56" t="s">
        <v>177</v>
      </c>
      <c r="E103" s="31" t="s">
        <v>178</v>
      </c>
      <c r="F103" s="59" t="s">
        <v>77</v>
      </c>
      <c r="G103" s="31" t="s">
        <v>53</v>
      </c>
      <c r="H103" s="31">
        <v>414.0</v>
      </c>
      <c r="I103" s="31">
        <v>101.0</v>
      </c>
      <c r="J103" s="66">
        <f t="shared" si="1"/>
        <v>41.814</v>
      </c>
      <c r="K103" s="31" t="s">
        <v>152</v>
      </c>
      <c r="L103" s="56" t="s">
        <v>45</v>
      </c>
      <c r="M103" s="20"/>
    </row>
    <row r="104">
      <c r="A104" s="31" t="s">
        <v>36</v>
      </c>
      <c r="B104" s="31">
        <v>19.0</v>
      </c>
      <c r="C104" s="57">
        <v>46274.0</v>
      </c>
      <c r="D104" s="56" t="s">
        <v>177</v>
      </c>
      <c r="E104" s="31" t="s">
        <v>147</v>
      </c>
      <c r="F104" s="59" t="s">
        <v>42</v>
      </c>
      <c r="G104" s="31" t="s">
        <v>105</v>
      </c>
      <c r="H104" s="31">
        <v>1970.0</v>
      </c>
      <c r="I104" s="31">
        <v>51.0</v>
      </c>
      <c r="J104" s="66">
        <f t="shared" si="1"/>
        <v>100.47</v>
      </c>
      <c r="K104" s="31" t="s">
        <v>152</v>
      </c>
      <c r="L104" s="56" t="s">
        <v>45</v>
      </c>
      <c r="M104" s="20"/>
    </row>
    <row r="105">
      <c r="A105" s="31" t="s">
        <v>36</v>
      </c>
      <c r="B105" s="31">
        <v>19.0</v>
      </c>
      <c r="C105" s="57">
        <v>46274.0</v>
      </c>
      <c r="D105" s="56" t="s">
        <v>177</v>
      </c>
      <c r="E105" s="31" t="s">
        <v>147</v>
      </c>
      <c r="F105" s="59" t="s">
        <v>42</v>
      </c>
      <c r="G105" s="31" t="s">
        <v>53</v>
      </c>
      <c r="H105" s="31">
        <v>1150.0</v>
      </c>
      <c r="I105" s="31">
        <v>113.0</v>
      </c>
      <c r="J105" s="66">
        <f t="shared" si="1"/>
        <v>129.95</v>
      </c>
      <c r="K105" s="31" t="s">
        <v>152</v>
      </c>
      <c r="L105" s="56" t="s">
        <v>45</v>
      </c>
      <c r="M105" s="20"/>
    </row>
    <row r="106">
      <c r="A106" s="31" t="s">
        <v>36</v>
      </c>
      <c r="B106" s="31">
        <v>19.0</v>
      </c>
      <c r="C106" s="57">
        <v>46275.0</v>
      </c>
      <c r="D106" s="56" t="s">
        <v>179</v>
      </c>
      <c r="E106" s="31" t="s">
        <v>147</v>
      </c>
      <c r="F106" s="59" t="s">
        <v>42</v>
      </c>
      <c r="G106" s="31" t="s">
        <v>53</v>
      </c>
      <c r="H106" s="31">
        <v>1830.0</v>
      </c>
      <c r="I106" s="31">
        <v>113.0</v>
      </c>
      <c r="J106" s="66">
        <f t="shared" si="1"/>
        <v>206.79</v>
      </c>
      <c r="K106" s="31" t="s">
        <v>152</v>
      </c>
      <c r="L106" s="56" t="s">
        <v>45</v>
      </c>
      <c r="M106" s="20"/>
    </row>
    <row r="107">
      <c r="A107" s="31" t="s">
        <v>36</v>
      </c>
      <c r="B107" s="31">
        <v>19.0</v>
      </c>
      <c r="C107" s="57">
        <v>46275.0</v>
      </c>
      <c r="D107" s="56" t="s">
        <v>179</v>
      </c>
      <c r="E107" s="31" t="s">
        <v>147</v>
      </c>
      <c r="F107" s="59" t="s">
        <v>42</v>
      </c>
      <c r="G107" s="31" t="s">
        <v>85</v>
      </c>
      <c r="H107" s="31">
        <v>1020.0</v>
      </c>
      <c r="I107" s="31">
        <v>169.0</v>
      </c>
      <c r="J107" s="66">
        <f t="shared" si="1"/>
        <v>172.38</v>
      </c>
      <c r="K107" s="31" t="s">
        <v>152</v>
      </c>
      <c r="L107" s="56" t="s">
        <v>45</v>
      </c>
      <c r="M107" s="20"/>
    </row>
    <row r="108">
      <c r="A108" s="31" t="s">
        <v>36</v>
      </c>
      <c r="B108" s="31">
        <v>19.0</v>
      </c>
      <c r="C108" s="57">
        <v>46275.0</v>
      </c>
      <c r="D108" s="56" t="s">
        <v>179</v>
      </c>
      <c r="E108" s="31" t="s">
        <v>147</v>
      </c>
      <c r="F108" s="59" t="s">
        <v>42</v>
      </c>
      <c r="G108" s="67" t="s">
        <v>167</v>
      </c>
      <c r="H108" s="31">
        <v>140.0</v>
      </c>
      <c r="I108" s="31">
        <v>224.0</v>
      </c>
      <c r="J108" s="66">
        <f t="shared" si="1"/>
        <v>31.36</v>
      </c>
      <c r="K108" s="31" t="s">
        <v>152</v>
      </c>
      <c r="L108" s="56" t="s">
        <v>45</v>
      </c>
      <c r="M108" s="20"/>
    </row>
    <row r="109">
      <c r="A109" s="31" t="s">
        <v>36</v>
      </c>
      <c r="B109" s="31">
        <v>19.0</v>
      </c>
      <c r="C109" s="57">
        <v>46276.0</v>
      </c>
      <c r="D109" s="56" t="s">
        <v>180</v>
      </c>
      <c r="E109" s="31" t="s">
        <v>147</v>
      </c>
      <c r="F109" s="59" t="s">
        <v>42</v>
      </c>
      <c r="G109" s="31" t="s">
        <v>167</v>
      </c>
      <c r="H109" s="31">
        <v>100.0</v>
      </c>
      <c r="I109" s="31">
        <v>223.0</v>
      </c>
      <c r="J109" s="66">
        <f t="shared" si="1"/>
        <v>22.3</v>
      </c>
      <c r="K109" s="31" t="s">
        <v>152</v>
      </c>
      <c r="L109" s="56" t="s">
        <v>45</v>
      </c>
      <c r="M109" s="20"/>
    </row>
    <row r="110">
      <c r="A110" s="31" t="s">
        <v>36</v>
      </c>
      <c r="B110" s="31">
        <v>18.0</v>
      </c>
      <c r="C110" s="57">
        <v>46276.0</v>
      </c>
      <c r="D110" s="56" t="s">
        <v>180</v>
      </c>
      <c r="E110" s="31" t="s">
        <v>153</v>
      </c>
      <c r="F110" s="59" t="s">
        <v>42</v>
      </c>
      <c r="G110" s="31" t="s">
        <v>85</v>
      </c>
      <c r="H110" s="31">
        <v>960.0</v>
      </c>
      <c r="I110" s="31">
        <v>168.0</v>
      </c>
      <c r="J110" s="66">
        <f t="shared" si="1"/>
        <v>161.28</v>
      </c>
      <c r="K110" s="31" t="s">
        <v>152</v>
      </c>
      <c r="L110" s="56" t="s">
        <v>45</v>
      </c>
      <c r="M110" s="20"/>
    </row>
    <row r="111">
      <c r="A111" s="31" t="s">
        <v>36</v>
      </c>
      <c r="B111" s="31">
        <v>18.0</v>
      </c>
      <c r="C111" s="57">
        <v>46276.0</v>
      </c>
      <c r="D111" s="56" t="s">
        <v>180</v>
      </c>
      <c r="E111" s="31" t="s">
        <v>153</v>
      </c>
      <c r="F111" s="59" t="s">
        <v>42</v>
      </c>
      <c r="G111" s="31" t="s">
        <v>53</v>
      </c>
      <c r="H111" s="31">
        <v>2170.0</v>
      </c>
      <c r="I111" s="31">
        <v>112.0</v>
      </c>
      <c r="J111" s="66">
        <f t="shared" si="1"/>
        <v>243.04</v>
      </c>
      <c r="K111" s="31" t="s">
        <v>152</v>
      </c>
      <c r="L111" s="56" t="s">
        <v>45</v>
      </c>
      <c r="M111" s="20"/>
    </row>
    <row r="112">
      <c r="A112" s="31" t="s">
        <v>36</v>
      </c>
      <c r="B112" s="31">
        <v>18.0</v>
      </c>
      <c r="C112" s="57">
        <v>46277.0</v>
      </c>
      <c r="D112" s="56" t="s">
        <v>181</v>
      </c>
      <c r="E112" s="31" t="s">
        <v>153</v>
      </c>
      <c r="F112" s="59" t="s">
        <v>42</v>
      </c>
      <c r="G112" s="31" t="s">
        <v>53</v>
      </c>
      <c r="H112" s="28">
        <f>4000-2170</f>
        <v>1830</v>
      </c>
      <c r="I112" s="31">
        <v>113.0</v>
      </c>
      <c r="J112" s="66">
        <f t="shared" si="1"/>
        <v>206.79</v>
      </c>
      <c r="K112" s="31" t="s">
        <v>152</v>
      </c>
      <c r="L112" s="56" t="s">
        <v>45</v>
      </c>
      <c r="M112" s="20"/>
    </row>
    <row r="113">
      <c r="A113" s="68" t="s">
        <v>163</v>
      </c>
      <c r="B113" s="31">
        <v>26.0</v>
      </c>
      <c r="C113" s="57">
        <v>46277.0</v>
      </c>
      <c r="D113" s="56" t="s">
        <v>181</v>
      </c>
      <c r="E113" s="68" t="s">
        <v>163</v>
      </c>
      <c r="F113" s="59" t="s">
        <v>42</v>
      </c>
      <c r="G113" s="31">
        <v>18.0</v>
      </c>
      <c r="H113" s="31">
        <v>1000.0</v>
      </c>
      <c r="I113" s="31">
        <v>51.0</v>
      </c>
      <c r="J113" s="66">
        <f t="shared" si="1"/>
        <v>51</v>
      </c>
      <c r="K113" s="31" t="s">
        <v>152</v>
      </c>
      <c r="L113" s="56" t="s">
        <v>45</v>
      </c>
      <c r="M113" s="20"/>
    </row>
    <row r="114">
      <c r="A114" s="68" t="s">
        <v>163</v>
      </c>
      <c r="B114" s="31">
        <v>26.0</v>
      </c>
      <c r="C114" s="57">
        <v>46277.0</v>
      </c>
      <c r="D114" s="56" t="s">
        <v>181</v>
      </c>
      <c r="E114" s="68" t="s">
        <v>163</v>
      </c>
      <c r="F114" s="59" t="s">
        <v>42</v>
      </c>
      <c r="G114" s="31">
        <v>24.0</v>
      </c>
      <c r="H114" s="31">
        <v>1000.0</v>
      </c>
      <c r="I114" s="31">
        <v>68.0</v>
      </c>
      <c r="J114" s="66">
        <f t="shared" si="1"/>
        <v>68</v>
      </c>
      <c r="K114" s="31" t="s">
        <v>152</v>
      </c>
      <c r="L114" s="56" t="s">
        <v>45</v>
      </c>
      <c r="M114" s="20"/>
    </row>
    <row r="115">
      <c r="A115" s="31" t="s">
        <v>36</v>
      </c>
      <c r="B115" s="31">
        <v>18.0</v>
      </c>
      <c r="C115" s="57">
        <v>46277.0</v>
      </c>
      <c r="D115" s="56" t="s">
        <v>181</v>
      </c>
      <c r="E115" s="31" t="s">
        <v>153</v>
      </c>
      <c r="F115" s="31" t="s">
        <v>153</v>
      </c>
      <c r="G115" s="31" t="s">
        <v>53</v>
      </c>
      <c r="H115" s="31">
        <v>200.0</v>
      </c>
      <c r="I115" s="31">
        <v>113.0</v>
      </c>
      <c r="J115" s="66">
        <f t="shared" si="1"/>
        <v>22.6</v>
      </c>
      <c r="K115" s="31" t="s">
        <v>152</v>
      </c>
      <c r="L115" s="56" t="s">
        <v>45</v>
      </c>
      <c r="M115" s="20"/>
    </row>
    <row r="116">
      <c r="A116" s="31" t="s">
        <v>182</v>
      </c>
      <c r="B116" s="31">
        <v>24.0</v>
      </c>
      <c r="C116" s="57">
        <v>46279.0</v>
      </c>
      <c r="D116" s="56" t="s">
        <v>183</v>
      </c>
      <c r="E116" s="31" t="s">
        <v>182</v>
      </c>
      <c r="F116" s="31" t="s">
        <v>77</v>
      </c>
      <c r="G116" s="31" t="s">
        <v>53</v>
      </c>
      <c r="H116" s="31">
        <v>3666.0</v>
      </c>
      <c r="I116" s="31">
        <v>102.0</v>
      </c>
      <c r="J116" s="66">
        <f t="shared" si="1"/>
        <v>373.932</v>
      </c>
      <c r="K116" s="31" t="s">
        <v>152</v>
      </c>
      <c r="L116" s="56" t="s">
        <v>45</v>
      </c>
      <c r="M116" s="20"/>
    </row>
    <row r="117">
      <c r="A117" s="31" t="s">
        <v>182</v>
      </c>
      <c r="B117" s="31">
        <v>24.0</v>
      </c>
      <c r="C117" s="57">
        <v>46280.0</v>
      </c>
      <c r="D117" s="56" t="s">
        <v>184</v>
      </c>
      <c r="E117" s="31" t="s">
        <v>182</v>
      </c>
      <c r="F117" s="31" t="s">
        <v>77</v>
      </c>
      <c r="G117" s="31" t="s">
        <v>53</v>
      </c>
      <c r="H117" s="31">
        <v>350.0</v>
      </c>
      <c r="I117" s="31">
        <v>102.0</v>
      </c>
      <c r="J117" s="66">
        <f t="shared" si="1"/>
        <v>35.7</v>
      </c>
      <c r="K117" s="31" t="s">
        <v>152</v>
      </c>
      <c r="L117" s="56" t="s">
        <v>45</v>
      </c>
      <c r="M117" s="20"/>
    </row>
    <row r="118">
      <c r="A118" s="31" t="s">
        <v>182</v>
      </c>
      <c r="B118" s="31">
        <v>30.0</v>
      </c>
      <c r="C118" s="57">
        <v>46280.0</v>
      </c>
      <c r="D118" s="56" t="s">
        <v>184</v>
      </c>
      <c r="E118" s="31" t="s">
        <v>182</v>
      </c>
      <c r="F118" s="31" t="s">
        <v>77</v>
      </c>
      <c r="G118" s="31" t="s">
        <v>85</v>
      </c>
      <c r="H118" s="31">
        <v>1020.0</v>
      </c>
      <c r="I118" s="31">
        <v>151.0</v>
      </c>
      <c r="J118" s="66">
        <f t="shared" si="1"/>
        <v>154.02</v>
      </c>
      <c r="K118" s="31" t="s">
        <v>152</v>
      </c>
      <c r="L118" s="56" t="s">
        <v>45</v>
      </c>
      <c r="M118" s="20"/>
    </row>
    <row r="119">
      <c r="A119" s="31" t="s">
        <v>182</v>
      </c>
      <c r="B119" s="31">
        <v>30.0</v>
      </c>
      <c r="C119" s="57">
        <v>46280.0</v>
      </c>
      <c r="D119" s="56" t="s">
        <v>184</v>
      </c>
      <c r="E119" s="31" t="s">
        <v>182</v>
      </c>
      <c r="F119" s="31" t="s">
        <v>77</v>
      </c>
      <c r="G119" s="31" t="s">
        <v>138</v>
      </c>
      <c r="H119" s="31">
        <v>2900.0</v>
      </c>
      <c r="I119" s="31">
        <v>59.0</v>
      </c>
      <c r="J119" s="66">
        <f t="shared" si="1"/>
        <v>171.1</v>
      </c>
      <c r="K119" s="31" t="s">
        <v>152</v>
      </c>
      <c r="L119" s="56" t="s">
        <v>45</v>
      </c>
      <c r="M119" s="20"/>
    </row>
    <row r="120">
      <c r="A120" s="31" t="s">
        <v>182</v>
      </c>
      <c r="B120" s="31">
        <v>30.0</v>
      </c>
      <c r="C120" s="57">
        <v>46281.0</v>
      </c>
      <c r="D120" s="56" t="s">
        <v>185</v>
      </c>
      <c r="E120" s="31" t="s">
        <v>182</v>
      </c>
      <c r="F120" s="31" t="s">
        <v>77</v>
      </c>
      <c r="G120" s="31" t="s">
        <v>138</v>
      </c>
      <c r="H120" s="28">
        <f>10000-3900</f>
        <v>6100</v>
      </c>
      <c r="I120" s="31">
        <v>59.0</v>
      </c>
      <c r="J120" s="66">
        <f t="shared" si="1"/>
        <v>359.9</v>
      </c>
      <c r="K120" s="31" t="s">
        <v>152</v>
      </c>
      <c r="L120" s="56" t="s">
        <v>45</v>
      </c>
      <c r="M120" s="20"/>
    </row>
    <row r="121">
      <c r="A121" s="31" t="s">
        <v>182</v>
      </c>
      <c r="B121" s="31">
        <v>30.0</v>
      </c>
      <c r="C121" s="57">
        <v>46283.0</v>
      </c>
      <c r="D121" s="56" t="s">
        <v>186</v>
      </c>
      <c r="E121" s="31" t="s">
        <v>182</v>
      </c>
      <c r="F121" s="31" t="s">
        <v>77</v>
      </c>
      <c r="G121" s="31" t="s">
        <v>138</v>
      </c>
      <c r="H121" s="31">
        <v>1200.0</v>
      </c>
      <c r="I121" s="31">
        <v>59.0</v>
      </c>
      <c r="J121" s="66">
        <f t="shared" si="1"/>
        <v>70.8</v>
      </c>
      <c r="K121" s="31" t="s">
        <v>152</v>
      </c>
      <c r="L121" s="56" t="s">
        <v>45</v>
      </c>
      <c r="M121" s="20"/>
    </row>
    <row r="122">
      <c r="A122" s="31" t="s">
        <v>182</v>
      </c>
      <c r="B122" s="31">
        <v>30.0</v>
      </c>
      <c r="C122" s="57">
        <v>46283.0</v>
      </c>
      <c r="D122" s="56" t="s">
        <v>187</v>
      </c>
      <c r="E122" s="31" t="s">
        <v>182</v>
      </c>
      <c r="F122" s="31" t="s">
        <v>77</v>
      </c>
      <c r="G122" s="31" t="s">
        <v>137</v>
      </c>
      <c r="H122" s="31">
        <v>1540.0</v>
      </c>
      <c r="I122" s="31">
        <v>45.0</v>
      </c>
      <c r="J122" s="66">
        <f t="shared" si="1"/>
        <v>69.3</v>
      </c>
      <c r="K122" s="31" t="s">
        <v>152</v>
      </c>
      <c r="L122" s="56" t="s">
        <v>45</v>
      </c>
      <c r="M122" s="20"/>
    </row>
    <row r="123">
      <c r="A123" s="31" t="s">
        <v>182</v>
      </c>
      <c r="B123" s="31">
        <v>30.0</v>
      </c>
      <c r="C123" s="57">
        <v>46283.0</v>
      </c>
      <c r="D123" s="56" t="s">
        <v>187</v>
      </c>
      <c r="E123" s="31" t="s">
        <v>182</v>
      </c>
      <c r="F123" s="31" t="s">
        <v>77</v>
      </c>
      <c r="G123" s="31" t="s">
        <v>167</v>
      </c>
      <c r="H123" s="31">
        <v>510.0</v>
      </c>
      <c r="I123" s="31">
        <v>199.0</v>
      </c>
      <c r="J123" s="66">
        <f t="shared" si="1"/>
        <v>101.49</v>
      </c>
      <c r="K123" s="31" t="s">
        <v>152</v>
      </c>
      <c r="L123" s="56" t="s">
        <v>45</v>
      </c>
      <c r="M123" s="20"/>
    </row>
    <row r="124">
      <c r="A124" s="31" t="s">
        <v>126</v>
      </c>
      <c r="B124" s="31">
        <v>32.0</v>
      </c>
      <c r="C124" s="57">
        <v>46283.0</v>
      </c>
      <c r="D124" s="56" t="s">
        <v>187</v>
      </c>
      <c r="E124" s="31" t="s">
        <v>126</v>
      </c>
      <c r="F124" s="31" t="s">
        <v>77</v>
      </c>
      <c r="G124" s="31">
        <v>24.0</v>
      </c>
      <c r="H124" s="31">
        <v>1200.0</v>
      </c>
      <c r="I124" s="31">
        <v>58.0</v>
      </c>
      <c r="J124" s="66">
        <f t="shared" si="1"/>
        <v>69.6</v>
      </c>
      <c r="K124" s="31" t="s">
        <v>152</v>
      </c>
      <c r="L124" s="56" t="s">
        <v>45</v>
      </c>
      <c r="M124" s="20"/>
    </row>
    <row r="125">
      <c r="A125" s="31" t="s">
        <v>126</v>
      </c>
      <c r="B125" s="31">
        <v>32.0</v>
      </c>
      <c r="C125" s="57">
        <v>46283.0</v>
      </c>
      <c r="D125" s="56" t="s">
        <v>187</v>
      </c>
      <c r="E125" s="31" t="s">
        <v>126</v>
      </c>
      <c r="F125" s="31" t="s">
        <v>77</v>
      </c>
      <c r="G125" s="31" t="s">
        <v>53</v>
      </c>
      <c r="H125" s="31">
        <v>450.0</v>
      </c>
      <c r="I125" s="31">
        <v>99.0</v>
      </c>
      <c r="J125" s="66">
        <f t="shared" si="1"/>
        <v>44.55</v>
      </c>
      <c r="K125" s="31" t="s">
        <v>152</v>
      </c>
      <c r="L125" s="56" t="s">
        <v>45</v>
      </c>
      <c r="M125" s="20"/>
    </row>
    <row r="126">
      <c r="A126" s="31" t="s">
        <v>126</v>
      </c>
      <c r="B126" s="31">
        <v>32.0</v>
      </c>
      <c r="C126" s="57">
        <v>46283.0</v>
      </c>
      <c r="D126" s="56" t="s">
        <v>187</v>
      </c>
      <c r="E126" s="31" t="s">
        <v>126</v>
      </c>
      <c r="F126" s="31" t="s">
        <v>77</v>
      </c>
      <c r="G126" s="31" t="s">
        <v>85</v>
      </c>
      <c r="H126" s="31">
        <v>110.0</v>
      </c>
      <c r="I126" s="31">
        <v>150.0</v>
      </c>
      <c r="J126" s="66">
        <f t="shared" si="1"/>
        <v>16.5</v>
      </c>
      <c r="K126" s="31" t="s">
        <v>152</v>
      </c>
      <c r="L126" s="56" t="s">
        <v>45</v>
      </c>
      <c r="M126" s="20"/>
    </row>
    <row r="127">
      <c r="A127" s="31" t="s">
        <v>126</v>
      </c>
      <c r="B127" s="31">
        <v>32.0</v>
      </c>
      <c r="C127" s="57">
        <v>46283.0</v>
      </c>
      <c r="D127" s="56" t="s">
        <v>187</v>
      </c>
      <c r="E127" s="31" t="s">
        <v>126</v>
      </c>
      <c r="F127" s="31" t="s">
        <v>77</v>
      </c>
      <c r="G127" s="31" t="s">
        <v>105</v>
      </c>
      <c r="H127" s="31">
        <v>350.0</v>
      </c>
      <c r="I127" s="31">
        <v>45.0</v>
      </c>
      <c r="J127" s="66">
        <f t="shared" si="1"/>
        <v>15.75</v>
      </c>
      <c r="K127" s="31" t="s">
        <v>152</v>
      </c>
      <c r="L127" s="56" t="s">
        <v>45</v>
      </c>
      <c r="M127" s="20"/>
    </row>
    <row r="128">
      <c r="A128" s="31" t="s">
        <v>126</v>
      </c>
      <c r="B128" s="31">
        <v>32.0</v>
      </c>
      <c r="C128" s="57">
        <v>46283.0</v>
      </c>
      <c r="D128" s="56" t="s">
        <v>187</v>
      </c>
      <c r="E128" s="31" t="s">
        <v>126</v>
      </c>
      <c r="F128" s="31" t="s">
        <v>77</v>
      </c>
      <c r="G128" s="31" t="s">
        <v>167</v>
      </c>
      <c r="H128" s="31">
        <v>210.0</v>
      </c>
      <c r="I128" s="31">
        <v>200.0</v>
      </c>
      <c r="J128" s="66">
        <f t="shared" si="1"/>
        <v>42</v>
      </c>
      <c r="K128" s="31" t="s">
        <v>152</v>
      </c>
      <c r="L128" s="56" t="s">
        <v>45</v>
      </c>
      <c r="M128" s="20"/>
    </row>
    <row r="129">
      <c r="A129" s="65" t="s">
        <v>188</v>
      </c>
      <c r="B129" s="31">
        <v>34.0</v>
      </c>
      <c r="C129" s="57">
        <v>46283.0</v>
      </c>
      <c r="D129" s="56" t="s">
        <v>187</v>
      </c>
      <c r="E129" s="68" t="s">
        <v>188</v>
      </c>
      <c r="F129" s="31" t="s">
        <v>77</v>
      </c>
      <c r="G129" s="31" t="s">
        <v>189</v>
      </c>
      <c r="H129" s="31">
        <v>315.0</v>
      </c>
      <c r="I129" s="31">
        <v>94.0</v>
      </c>
      <c r="J129" s="66">
        <f t="shared" si="1"/>
        <v>29.61</v>
      </c>
      <c r="K129" s="31" t="s">
        <v>152</v>
      </c>
      <c r="L129" s="56" t="s">
        <v>45</v>
      </c>
      <c r="M129" s="20"/>
    </row>
    <row r="130">
      <c r="A130" s="68" t="s">
        <v>190</v>
      </c>
      <c r="B130" s="31">
        <v>31.0</v>
      </c>
      <c r="C130" s="57">
        <v>46284.0</v>
      </c>
      <c r="D130" s="56" t="s">
        <v>191</v>
      </c>
      <c r="E130" s="69" t="s">
        <v>192</v>
      </c>
      <c r="F130" s="31" t="s">
        <v>77</v>
      </c>
      <c r="G130" s="31" t="s">
        <v>138</v>
      </c>
      <c r="H130" s="31">
        <v>6080.0</v>
      </c>
      <c r="I130" s="31">
        <v>63.0</v>
      </c>
      <c r="J130" s="66">
        <f t="shared" si="1"/>
        <v>383.04</v>
      </c>
      <c r="K130" s="31" t="s">
        <v>66</v>
      </c>
      <c r="L130" s="56" t="s">
        <v>45</v>
      </c>
      <c r="M130" s="20"/>
    </row>
    <row r="131">
      <c r="A131" s="68" t="s">
        <v>190</v>
      </c>
      <c r="B131" s="31">
        <v>31.0</v>
      </c>
      <c r="C131" s="57">
        <v>46286.0</v>
      </c>
      <c r="D131" s="56" t="s">
        <v>191</v>
      </c>
      <c r="E131" s="69" t="s">
        <v>192</v>
      </c>
      <c r="F131" s="31" t="s">
        <v>77</v>
      </c>
      <c r="G131" s="31" t="s">
        <v>138</v>
      </c>
      <c r="H131" s="31">
        <v>2616.0</v>
      </c>
      <c r="I131" s="31">
        <v>63.0</v>
      </c>
      <c r="J131" s="66">
        <f t="shared" si="1"/>
        <v>164.808</v>
      </c>
      <c r="K131" s="31" t="s">
        <v>66</v>
      </c>
      <c r="L131" s="56" t="s">
        <v>45</v>
      </c>
      <c r="M131" s="20"/>
    </row>
    <row r="132">
      <c r="A132" s="68" t="s">
        <v>190</v>
      </c>
      <c r="B132" s="31">
        <v>31.0</v>
      </c>
      <c r="C132" s="57">
        <v>46286.0</v>
      </c>
      <c r="D132" s="56" t="s">
        <v>191</v>
      </c>
      <c r="E132" s="69" t="s">
        <v>192</v>
      </c>
      <c r="F132" s="31" t="s">
        <v>77</v>
      </c>
      <c r="G132" s="31" t="s">
        <v>53</v>
      </c>
      <c r="H132" s="31">
        <f>2342</f>
        <v>2342</v>
      </c>
      <c r="I132" s="31">
        <v>104.0</v>
      </c>
      <c r="J132" s="66">
        <f t="shared" si="1"/>
        <v>243.568</v>
      </c>
      <c r="K132" s="31" t="s">
        <v>66</v>
      </c>
      <c r="L132" s="56" t="s">
        <v>45</v>
      </c>
      <c r="M132" s="20"/>
    </row>
    <row r="133">
      <c r="A133" s="68" t="s">
        <v>190</v>
      </c>
      <c r="B133" s="31">
        <v>31.0</v>
      </c>
      <c r="C133" s="57">
        <v>46287.0</v>
      </c>
      <c r="D133" s="56" t="s">
        <v>193</v>
      </c>
      <c r="E133" s="69" t="s">
        <v>192</v>
      </c>
      <c r="F133" s="31" t="s">
        <v>77</v>
      </c>
      <c r="G133" s="31" t="s">
        <v>53</v>
      </c>
      <c r="H133" s="28">
        <f>2564-2342</f>
        <v>222</v>
      </c>
      <c r="I133" s="31">
        <v>104.0</v>
      </c>
      <c r="J133" s="66">
        <f t="shared" si="1"/>
        <v>23.088</v>
      </c>
      <c r="K133" s="31" t="s">
        <v>66</v>
      </c>
      <c r="L133" s="56" t="s">
        <v>45</v>
      </c>
      <c r="M133" s="20"/>
    </row>
    <row r="134">
      <c r="A134" s="68" t="s">
        <v>190</v>
      </c>
      <c r="B134" s="31">
        <v>31.0</v>
      </c>
      <c r="C134" s="57">
        <v>46287.0</v>
      </c>
      <c r="D134" s="56" t="s">
        <v>194</v>
      </c>
      <c r="E134" s="69" t="s">
        <v>192</v>
      </c>
      <c r="F134" s="31" t="s">
        <v>77</v>
      </c>
      <c r="G134" s="31" t="s">
        <v>189</v>
      </c>
      <c r="H134" s="31">
        <v>2670.0</v>
      </c>
      <c r="I134" s="31">
        <v>95.0</v>
      </c>
      <c r="J134" s="66">
        <f t="shared" si="1"/>
        <v>253.65</v>
      </c>
      <c r="K134" s="31" t="s">
        <v>66</v>
      </c>
      <c r="L134" s="56" t="s">
        <v>45</v>
      </c>
      <c r="M134" s="20"/>
    </row>
    <row r="135">
      <c r="A135" s="68" t="s">
        <v>190</v>
      </c>
      <c r="B135" s="31">
        <v>31.0</v>
      </c>
      <c r="C135" s="57">
        <v>46287.0</v>
      </c>
      <c r="D135" s="56" t="s">
        <v>194</v>
      </c>
      <c r="E135" s="69" t="s">
        <v>192</v>
      </c>
      <c r="F135" s="31" t="s">
        <v>77</v>
      </c>
      <c r="G135" s="31" t="s">
        <v>85</v>
      </c>
      <c r="H135" s="31">
        <v>1525.0</v>
      </c>
      <c r="I135" s="31">
        <v>159.0</v>
      </c>
      <c r="J135" s="66">
        <f t="shared" si="1"/>
        <v>242.475</v>
      </c>
      <c r="K135" s="31" t="s">
        <v>66</v>
      </c>
      <c r="L135" s="56" t="s">
        <v>45</v>
      </c>
      <c r="M135" s="20"/>
    </row>
    <row r="136">
      <c r="A136" s="68" t="s">
        <v>190</v>
      </c>
      <c r="B136" s="31">
        <v>31.0</v>
      </c>
      <c r="C136" s="57">
        <v>46288.0</v>
      </c>
      <c r="D136" s="56" t="s">
        <v>194</v>
      </c>
      <c r="E136" s="69" t="s">
        <v>192</v>
      </c>
      <c r="F136" s="31" t="s">
        <v>77</v>
      </c>
      <c r="G136" s="31" t="s">
        <v>85</v>
      </c>
      <c r="H136" s="31">
        <v>576.0</v>
      </c>
      <c r="I136" s="31">
        <v>159.0</v>
      </c>
      <c r="J136" s="66">
        <f t="shared" si="1"/>
        <v>91.584</v>
      </c>
      <c r="K136" s="31" t="s">
        <v>66</v>
      </c>
      <c r="L136" s="56" t="s">
        <v>45</v>
      </c>
      <c r="M136" s="20"/>
    </row>
    <row r="137">
      <c r="A137" s="31" t="s">
        <v>182</v>
      </c>
      <c r="B137" s="31">
        <v>36.0</v>
      </c>
      <c r="C137" s="57">
        <v>46288.0</v>
      </c>
      <c r="D137" s="56" t="s">
        <v>195</v>
      </c>
      <c r="E137" s="31" t="s">
        <v>182</v>
      </c>
      <c r="F137" s="31" t="s">
        <v>77</v>
      </c>
      <c r="G137" s="31" t="s">
        <v>138</v>
      </c>
      <c r="H137" s="31">
        <v>6631.0</v>
      </c>
      <c r="I137" s="31">
        <v>60.0</v>
      </c>
      <c r="J137" s="66">
        <f t="shared" si="1"/>
        <v>397.86</v>
      </c>
      <c r="K137" s="31" t="s">
        <v>152</v>
      </c>
      <c r="L137" s="56" t="s">
        <v>45</v>
      </c>
      <c r="M137" s="20"/>
    </row>
    <row r="138">
      <c r="A138" s="31" t="s">
        <v>182</v>
      </c>
      <c r="B138" s="31">
        <v>36.0</v>
      </c>
      <c r="C138" s="57">
        <v>46288.0</v>
      </c>
      <c r="D138" s="56" t="s">
        <v>195</v>
      </c>
      <c r="E138" s="31" t="s">
        <v>182</v>
      </c>
      <c r="F138" s="31" t="s">
        <v>77</v>
      </c>
      <c r="G138" s="31" t="s">
        <v>138</v>
      </c>
      <c r="H138" s="28">
        <f>7200-6631</f>
        <v>569</v>
      </c>
      <c r="I138" s="31">
        <v>60.0</v>
      </c>
      <c r="J138" s="66">
        <f t="shared" si="1"/>
        <v>34.14</v>
      </c>
      <c r="K138" s="31" t="s">
        <v>152</v>
      </c>
      <c r="L138" s="56" t="s">
        <v>45</v>
      </c>
      <c r="M138" s="20"/>
    </row>
    <row r="139">
      <c r="A139" s="31" t="s">
        <v>182</v>
      </c>
      <c r="B139" s="31" t="s">
        <v>127</v>
      </c>
      <c r="C139" s="57">
        <v>46289.0</v>
      </c>
      <c r="D139" s="56" t="s">
        <v>196</v>
      </c>
      <c r="E139" s="31" t="s">
        <v>182</v>
      </c>
      <c r="F139" s="31" t="s">
        <v>77</v>
      </c>
      <c r="G139" s="31" t="s">
        <v>53</v>
      </c>
      <c r="H139" s="31">
        <v>936.0</v>
      </c>
      <c r="I139" s="31">
        <v>99.0</v>
      </c>
      <c r="J139" s="66">
        <f t="shared" si="1"/>
        <v>92.664</v>
      </c>
      <c r="K139" s="31" t="s">
        <v>152</v>
      </c>
      <c r="L139" s="56" t="s">
        <v>45</v>
      </c>
      <c r="M139" s="20"/>
    </row>
    <row r="140">
      <c r="A140" s="68" t="s">
        <v>188</v>
      </c>
      <c r="B140" s="31">
        <v>34.0</v>
      </c>
      <c r="C140" s="57">
        <v>46289.0</v>
      </c>
      <c r="D140" s="56" t="s">
        <v>196</v>
      </c>
      <c r="E140" s="68" t="s">
        <v>188</v>
      </c>
      <c r="F140" s="31" t="s">
        <v>77</v>
      </c>
      <c r="G140" s="31" t="s">
        <v>189</v>
      </c>
      <c r="H140" s="31">
        <v>265.0</v>
      </c>
      <c r="I140" s="31">
        <v>95.0</v>
      </c>
      <c r="J140" s="66">
        <f t="shared" si="1"/>
        <v>25.175</v>
      </c>
      <c r="K140" s="31" t="s">
        <v>152</v>
      </c>
      <c r="L140" s="56" t="s">
        <v>45</v>
      </c>
      <c r="M140" s="20"/>
    </row>
    <row r="141">
      <c r="A141" s="68" t="s">
        <v>188</v>
      </c>
      <c r="B141" s="31">
        <v>34.0</v>
      </c>
      <c r="C141" s="57">
        <v>46289.0</v>
      </c>
      <c r="D141" s="56" t="s">
        <v>196</v>
      </c>
      <c r="E141" s="68" t="s">
        <v>188</v>
      </c>
      <c r="F141" s="31" t="s">
        <v>77</v>
      </c>
      <c r="G141" s="31" t="s">
        <v>137</v>
      </c>
      <c r="H141" s="31">
        <v>3200.0</v>
      </c>
      <c r="I141" s="31">
        <v>46.0</v>
      </c>
      <c r="J141" s="66">
        <f t="shared" si="1"/>
        <v>147.2</v>
      </c>
      <c r="K141" s="31" t="s">
        <v>152</v>
      </c>
      <c r="L141" s="56" t="s">
        <v>45</v>
      </c>
      <c r="M141" s="20"/>
    </row>
    <row r="142">
      <c r="A142" s="69" t="s">
        <v>197</v>
      </c>
      <c r="B142" s="31">
        <v>35.0</v>
      </c>
      <c r="C142" s="57">
        <v>46289.0</v>
      </c>
      <c r="D142" s="56" t="s">
        <v>196</v>
      </c>
      <c r="E142" s="69" t="s">
        <v>197</v>
      </c>
      <c r="F142" s="31" t="s">
        <v>77</v>
      </c>
      <c r="G142" s="31" t="s">
        <v>105</v>
      </c>
      <c r="H142" s="31">
        <v>244.0</v>
      </c>
      <c r="I142" s="31">
        <v>44.0</v>
      </c>
      <c r="J142" s="66">
        <f t="shared" si="1"/>
        <v>10.736</v>
      </c>
      <c r="K142" s="31" t="s">
        <v>152</v>
      </c>
      <c r="L142" s="56" t="s">
        <v>45</v>
      </c>
      <c r="M142" s="20"/>
    </row>
    <row r="143">
      <c r="A143" s="69" t="s">
        <v>197</v>
      </c>
      <c r="B143" s="31">
        <v>35.0</v>
      </c>
      <c r="C143" s="57">
        <v>46289.0</v>
      </c>
      <c r="D143" s="56" t="s">
        <v>196</v>
      </c>
      <c r="E143" s="69" t="s">
        <v>197</v>
      </c>
      <c r="F143" s="31" t="s">
        <v>77</v>
      </c>
      <c r="G143" s="31" t="s">
        <v>198</v>
      </c>
      <c r="H143" s="31">
        <v>1561.0</v>
      </c>
      <c r="I143" s="31">
        <v>59.0</v>
      </c>
      <c r="J143" s="66">
        <f t="shared" si="1"/>
        <v>92.099</v>
      </c>
      <c r="K143" s="31" t="s">
        <v>152</v>
      </c>
      <c r="L143" s="56" t="s">
        <v>45</v>
      </c>
      <c r="M143" s="20"/>
    </row>
    <row r="144">
      <c r="A144" s="69" t="s">
        <v>197</v>
      </c>
      <c r="B144" s="31">
        <v>35.0</v>
      </c>
      <c r="C144" s="57">
        <v>46289.0</v>
      </c>
      <c r="D144" s="56" t="s">
        <v>196</v>
      </c>
      <c r="E144" s="69" t="s">
        <v>197</v>
      </c>
      <c r="F144" s="31" t="s">
        <v>77</v>
      </c>
      <c r="G144" s="31" t="s">
        <v>53</v>
      </c>
      <c r="H144" s="31">
        <v>310.0</v>
      </c>
      <c r="I144" s="31">
        <v>99.0</v>
      </c>
      <c r="J144" s="66">
        <f t="shared" si="1"/>
        <v>30.69</v>
      </c>
      <c r="K144" s="31" t="s">
        <v>152</v>
      </c>
      <c r="L144" s="56" t="s">
        <v>45</v>
      </c>
      <c r="M144" s="20"/>
    </row>
    <row r="145">
      <c r="A145" s="31" t="s">
        <v>13</v>
      </c>
      <c r="B145" s="31">
        <v>37.0</v>
      </c>
      <c r="C145" s="57">
        <v>46289.0</v>
      </c>
      <c r="D145" s="56" t="s">
        <v>196</v>
      </c>
      <c r="E145" s="31" t="s">
        <v>13</v>
      </c>
      <c r="F145" s="31" t="s">
        <v>77</v>
      </c>
      <c r="G145" s="31" t="s">
        <v>138</v>
      </c>
      <c r="H145" s="31">
        <v>615.0</v>
      </c>
      <c r="I145" s="31">
        <v>59.0</v>
      </c>
      <c r="J145" s="66">
        <f t="shared" si="1"/>
        <v>36.285</v>
      </c>
      <c r="K145" s="31" t="s">
        <v>152</v>
      </c>
      <c r="L145" s="56" t="s">
        <v>45</v>
      </c>
      <c r="M145" s="20"/>
    </row>
    <row r="146">
      <c r="A146" s="68" t="s">
        <v>199</v>
      </c>
      <c r="B146" s="31">
        <v>33.0</v>
      </c>
      <c r="C146" s="57">
        <v>46290.0</v>
      </c>
      <c r="D146" s="56" t="s">
        <v>200</v>
      </c>
      <c r="E146" s="68" t="s">
        <v>201</v>
      </c>
      <c r="F146" s="31" t="s">
        <v>42</v>
      </c>
      <c r="G146" s="31">
        <v>18.0</v>
      </c>
      <c r="H146" s="31">
        <v>610.0</v>
      </c>
      <c r="I146" s="31">
        <v>51.0</v>
      </c>
      <c r="J146" s="66">
        <f t="shared" si="1"/>
        <v>31.11</v>
      </c>
      <c r="K146" s="31" t="s">
        <v>152</v>
      </c>
      <c r="L146" s="56" t="s">
        <v>45</v>
      </c>
      <c r="M146" s="20"/>
    </row>
    <row r="147">
      <c r="A147" s="68" t="s">
        <v>199</v>
      </c>
      <c r="B147" s="31">
        <v>33.0</v>
      </c>
      <c r="C147" s="57">
        <v>46290.0</v>
      </c>
      <c r="D147" s="56" t="s">
        <v>200</v>
      </c>
      <c r="E147" s="68" t="s">
        <v>201</v>
      </c>
      <c r="F147" s="31" t="s">
        <v>42</v>
      </c>
      <c r="G147" s="31">
        <v>24.0</v>
      </c>
      <c r="H147" s="31">
        <v>2100.0</v>
      </c>
      <c r="I147" s="31">
        <v>68.0</v>
      </c>
      <c r="J147" s="66">
        <f t="shared" si="1"/>
        <v>142.8</v>
      </c>
      <c r="K147" s="31" t="s">
        <v>152</v>
      </c>
      <c r="L147" s="56" t="s">
        <v>45</v>
      </c>
      <c r="M147" s="20"/>
    </row>
    <row r="148">
      <c r="A148" s="68" t="s">
        <v>199</v>
      </c>
      <c r="B148" s="31">
        <v>33.0</v>
      </c>
      <c r="C148" s="57">
        <v>46290.0</v>
      </c>
      <c r="D148" s="56" t="s">
        <v>200</v>
      </c>
      <c r="E148" s="68" t="s">
        <v>201</v>
      </c>
      <c r="F148" s="31" t="s">
        <v>42</v>
      </c>
      <c r="G148" s="31">
        <v>24.0</v>
      </c>
      <c r="H148" s="28">
        <f>2961-2100</f>
        <v>861</v>
      </c>
      <c r="I148" s="31">
        <v>68.0</v>
      </c>
      <c r="J148" s="66">
        <f t="shared" si="1"/>
        <v>58.548</v>
      </c>
      <c r="K148" s="31" t="s">
        <v>66</v>
      </c>
      <c r="L148" s="56" t="s">
        <v>45</v>
      </c>
      <c r="M148" s="20"/>
    </row>
    <row r="149">
      <c r="A149" s="31" t="s">
        <v>36</v>
      </c>
      <c r="B149" s="31">
        <v>38.0</v>
      </c>
      <c r="C149" s="57">
        <v>46291.0</v>
      </c>
      <c r="D149" s="56" t="s">
        <v>200</v>
      </c>
      <c r="E149" s="31" t="s">
        <v>153</v>
      </c>
      <c r="F149" s="31" t="s">
        <v>42</v>
      </c>
      <c r="G149" s="31">
        <v>17.0</v>
      </c>
      <c r="H149" s="31">
        <v>3860.0</v>
      </c>
      <c r="I149" s="31">
        <v>48.0</v>
      </c>
      <c r="J149" s="66">
        <f t="shared" si="1"/>
        <v>185.28</v>
      </c>
      <c r="K149" s="31" t="s">
        <v>152</v>
      </c>
      <c r="L149" s="56" t="s">
        <v>45</v>
      </c>
      <c r="M149" s="20"/>
    </row>
    <row r="150">
      <c r="A150" s="31" t="s">
        <v>36</v>
      </c>
      <c r="B150" s="31">
        <v>38.0</v>
      </c>
      <c r="C150" s="57">
        <v>46291.0</v>
      </c>
      <c r="D150" s="56" t="s">
        <v>200</v>
      </c>
      <c r="E150" s="31" t="s">
        <v>153</v>
      </c>
      <c r="F150" s="31" t="s">
        <v>42</v>
      </c>
      <c r="G150" s="31">
        <v>23.0</v>
      </c>
      <c r="H150" s="31">
        <v>4000.0</v>
      </c>
      <c r="I150" s="31">
        <v>65.0</v>
      </c>
      <c r="J150" s="66">
        <f t="shared" si="1"/>
        <v>260</v>
      </c>
      <c r="K150" s="31" t="s">
        <v>152</v>
      </c>
      <c r="L150" s="56" t="s">
        <v>45</v>
      </c>
      <c r="M150" s="20"/>
    </row>
    <row r="151">
      <c r="A151" s="31" t="s">
        <v>36</v>
      </c>
      <c r="B151" s="31">
        <v>38.0</v>
      </c>
      <c r="C151" s="57">
        <v>46293.0</v>
      </c>
      <c r="D151" s="56" t="s">
        <v>200</v>
      </c>
      <c r="E151" s="31" t="s">
        <v>153</v>
      </c>
      <c r="F151" s="31" t="s">
        <v>42</v>
      </c>
      <c r="G151" s="31">
        <v>23.0</v>
      </c>
      <c r="H151" s="31">
        <v>6440.0</v>
      </c>
      <c r="I151" s="31">
        <v>64.0</v>
      </c>
      <c r="J151" s="66">
        <f t="shared" si="1"/>
        <v>412.16</v>
      </c>
      <c r="K151" s="31" t="s">
        <v>152</v>
      </c>
      <c r="L151" s="56" t="s">
        <v>45</v>
      </c>
      <c r="M151" s="20"/>
    </row>
    <row r="152">
      <c r="A152" s="31" t="s">
        <v>36</v>
      </c>
      <c r="B152" s="31">
        <v>38.0</v>
      </c>
      <c r="C152" s="57">
        <v>46294.0</v>
      </c>
      <c r="D152" s="56" t="s">
        <v>202</v>
      </c>
      <c r="E152" s="31" t="s">
        <v>153</v>
      </c>
      <c r="F152" s="31" t="s">
        <v>42</v>
      </c>
      <c r="G152" s="31" t="s">
        <v>53</v>
      </c>
      <c r="H152" s="31">
        <v>1850.0</v>
      </c>
      <c r="I152" s="31">
        <v>108.0</v>
      </c>
      <c r="J152" s="66">
        <f t="shared" si="1"/>
        <v>199.8</v>
      </c>
      <c r="K152" s="31" t="s">
        <v>152</v>
      </c>
      <c r="L152" s="56" t="s">
        <v>45</v>
      </c>
      <c r="M152" s="20"/>
    </row>
    <row r="153">
      <c r="A153" s="16" t="s">
        <v>13</v>
      </c>
      <c r="B153" s="16">
        <v>37.0</v>
      </c>
      <c r="C153" s="57">
        <v>46294.0</v>
      </c>
      <c r="D153" s="56" t="s">
        <v>203</v>
      </c>
      <c r="E153" s="31" t="s">
        <v>13</v>
      </c>
      <c r="F153" s="31" t="s">
        <v>77</v>
      </c>
      <c r="G153" s="31" t="s">
        <v>53</v>
      </c>
      <c r="H153" s="31">
        <v>2000.0</v>
      </c>
      <c r="I153" s="31">
        <v>98.0</v>
      </c>
      <c r="J153" s="66">
        <f t="shared" si="1"/>
        <v>196</v>
      </c>
      <c r="K153" s="31" t="s">
        <v>152</v>
      </c>
      <c r="L153" s="56" t="s">
        <v>45</v>
      </c>
      <c r="M153" s="20"/>
    </row>
    <row r="154">
      <c r="A154" s="16" t="s">
        <v>13</v>
      </c>
      <c r="B154" s="16">
        <v>37.0</v>
      </c>
      <c r="C154" s="57">
        <v>46295.0</v>
      </c>
      <c r="D154" s="56" t="s">
        <v>204</v>
      </c>
      <c r="E154" s="31" t="s">
        <v>13</v>
      </c>
      <c r="F154" s="31" t="s">
        <v>77</v>
      </c>
      <c r="G154" s="31" t="s">
        <v>105</v>
      </c>
      <c r="H154" s="31">
        <v>510.0</v>
      </c>
      <c r="I154" s="31">
        <v>45.0</v>
      </c>
      <c r="J154" s="66">
        <f t="shared" si="1"/>
        <v>22.95</v>
      </c>
      <c r="K154" s="31" t="s">
        <v>152</v>
      </c>
      <c r="L154" s="56" t="s">
        <v>45</v>
      </c>
      <c r="M154" s="20"/>
    </row>
    <row r="155">
      <c r="A155" s="16" t="s">
        <v>13</v>
      </c>
      <c r="B155" s="16">
        <v>37.0</v>
      </c>
      <c r="C155" s="57">
        <v>46295.0</v>
      </c>
      <c r="D155" s="56" t="s">
        <v>204</v>
      </c>
      <c r="E155" s="31" t="s">
        <v>13</v>
      </c>
      <c r="F155" s="31" t="s">
        <v>77</v>
      </c>
      <c r="G155" s="31" t="s">
        <v>85</v>
      </c>
      <c r="H155" s="31">
        <v>500.0</v>
      </c>
      <c r="I155" s="31">
        <v>147.0</v>
      </c>
      <c r="J155" s="66">
        <f t="shared" si="1"/>
        <v>73.5</v>
      </c>
      <c r="K155" s="31" t="s">
        <v>152</v>
      </c>
      <c r="L155" s="56" t="s">
        <v>45</v>
      </c>
      <c r="M155" s="20"/>
    </row>
    <row r="156">
      <c r="A156" s="16" t="s">
        <v>13</v>
      </c>
      <c r="B156" s="16">
        <v>37.0</v>
      </c>
      <c r="C156" s="57">
        <v>46295.0</v>
      </c>
      <c r="D156" s="56" t="s">
        <v>204</v>
      </c>
      <c r="E156" s="31" t="s">
        <v>13</v>
      </c>
      <c r="F156" s="31" t="s">
        <v>77</v>
      </c>
      <c r="G156" s="31" t="s">
        <v>167</v>
      </c>
      <c r="H156" s="31">
        <v>500.0</v>
      </c>
      <c r="I156" s="31">
        <v>197.0</v>
      </c>
      <c r="J156" s="66">
        <f t="shared" si="1"/>
        <v>98.5</v>
      </c>
      <c r="K156" s="31" t="s">
        <v>152</v>
      </c>
      <c r="L156" s="56" t="s">
        <v>45</v>
      </c>
      <c r="M156" s="20"/>
    </row>
    <row r="157">
      <c r="A157" s="31" t="s">
        <v>36</v>
      </c>
      <c r="B157" s="31">
        <v>39.0</v>
      </c>
      <c r="C157" s="57">
        <v>46295.0</v>
      </c>
      <c r="D157" s="56" t="s">
        <v>204</v>
      </c>
      <c r="E157" s="31" t="s">
        <v>153</v>
      </c>
      <c r="F157" s="31" t="s">
        <v>77</v>
      </c>
      <c r="G157" s="31" t="s">
        <v>53</v>
      </c>
      <c r="H157" s="31">
        <v>1620.0</v>
      </c>
      <c r="I157" s="31">
        <v>98.0</v>
      </c>
      <c r="J157" s="66">
        <f t="shared" si="1"/>
        <v>158.76</v>
      </c>
      <c r="K157" s="31" t="s">
        <v>152</v>
      </c>
      <c r="L157" s="56" t="s">
        <v>45</v>
      </c>
      <c r="M157" s="20"/>
    </row>
    <row r="158">
      <c r="A158" s="16" t="s">
        <v>149</v>
      </c>
      <c r="B158" s="31" t="s">
        <v>121</v>
      </c>
      <c r="C158" s="31" t="s">
        <v>121</v>
      </c>
      <c r="D158" s="31" t="s">
        <v>121</v>
      </c>
      <c r="E158" s="31" t="s">
        <v>121</v>
      </c>
      <c r="F158" s="31" t="s">
        <v>77</v>
      </c>
      <c r="G158" s="31" t="s">
        <v>121</v>
      </c>
      <c r="H158" s="31">
        <v>2.0</v>
      </c>
      <c r="I158" s="31" t="s">
        <v>121</v>
      </c>
      <c r="J158" s="70">
        <v>20.0</v>
      </c>
      <c r="K158" s="31" t="s">
        <v>66</v>
      </c>
      <c r="L158" s="56" t="s">
        <v>45</v>
      </c>
      <c r="M158" s="20"/>
    </row>
    <row r="159">
      <c r="A159" s="31" t="s">
        <v>36</v>
      </c>
      <c r="B159" s="31">
        <v>39.0</v>
      </c>
      <c r="C159" s="57">
        <v>46295.0</v>
      </c>
      <c r="D159" s="56" t="s">
        <v>204</v>
      </c>
      <c r="E159" s="31" t="s">
        <v>153</v>
      </c>
      <c r="F159" s="31" t="s">
        <v>77</v>
      </c>
      <c r="G159" s="31" t="s">
        <v>85</v>
      </c>
      <c r="H159" s="31">
        <v>630.0</v>
      </c>
      <c r="I159" s="31">
        <v>147.0</v>
      </c>
      <c r="J159" s="66">
        <f t="shared" ref="J159:J748" si="2">IF(OR(H159="",I159=""),"",H159*I159/1000)</f>
        <v>92.61</v>
      </c>
      <c r="K159" s="31" t="s">
        <v>152</v>
      </c>
      <c r="L159" s="56" t="s">
        <v>45</v>
      </c>
      <c r="M159" s="20"/>
    </row>
    <row r="160">
      <c r="A160" s="31" t="s">
        <v>36</v>
      </c>
      <c r="B160" s="31">
        <v>39.0</v>
      </c>
      <c r="C160" s="57">
        <v>46296.0</v>
      </c>
      <c r="D160" s="56" t="s">
        <v>205</v>
      </c>
      <c r="E160" s="31" t="s">
        <v>153</v>
      </c>
      <c r="F160" s="31" t="s">
        <v>77</v>
      </c>
      <c r="G160" s="31" t="s">
        <v>85</v>
      </c>
      <c r="H160" s="28">
        <f>3313-630</f>
        <v>2683</v>
      </c>
      <c r="I160" s="31">
        <v>145.0</v>
      </c>
      <c r="J160" s="66">
        <f t="shared" si="2"/>
        <v>389.035</v>
      </c>
      <c r="K160" s="31" t="s">
        <v>152</v>
      </c>
      <c r="L160" s="56" t="s">
        <v>45</v>
      </c>
      <c r="M160" s="20"/>
    </row>
    <row r="161">
      <c r="A161" s="31" t="s">
        <v>36</v>
      </c>
      <c r="B161" s="31">
        <v>39.0</v>
      </c>
      <c r="C161" s="57">
        <v>46298.0</v>
      </c>
      <c r="D161" s="56" t="s">
        <v>206</v>
      </c>
      <c r="E161" s="31" t="s">
        <v>153</v>
      </c>
      <c r="F161" s="31" t="s">
        <v>77</v>
      </c>
      <c r="G161" s="31" t="s">
        <v>85</v>
      </c>
      <c r="H161" s="28">
        <f>4850-2683</f>
        <v>2167</v>
      </c>
      <c r="I161" s="31">
        <v>148.0</v>
      </c>
      <c r="J161" s="66">
        <f t="shared" si="2"/>
        <v>320.716</v>
      </c>
      <c r="K161" s="31" t="s">
        <v>152</v>
      </c>
      <c r="L161" s="56" t="s">
        <v>45</v>
      </c>
      <c r="M161" s="71" t="s">
        <v>207</v>
      </c>
    </row>
    <row r="162">
      <c r="A162" s="31" t="s">
        <v>36</v>
      </c>
      <c r="B162" s="31"/>
      <c r="C162" s="57"/>
      <c r="D162" s="56"/>
      <c r="E162" s="31"/>
      <c r="F162" s="31"/>
      <c r="G162" s="31"/>
      <c r="H162" s="28"/>
      <c r="I162" s="28"/>
      <c r="J162" s="66" t="str">
        <f t="shared" si="2"/>
        <v/>
      </c>
      <c r="K162" s="28"/>
      <c r="L162" s="20"/>
      <c r="M162" s="20"/>
    </row>
    <row r="163">
      <c r="A163" s="20"/>
      <c r="B163" s="28"/>
      <c r="C163" s="28"/>
      <c r="D163" s="28"/>
      <c r="E163" s="28"/>
      <c r="F163" s="28"/>
      <c r="G163" s="28"/>
      <c r="H163" s="28"/>
      <c r="I163" s="28"/>
      <c r="J163" s="66" t="str">
        <f t="shared" si="2"/>
        <v/>
      </c>
      <c r="K163" s="28"/>
      <c r="L163" s="20"/>
      <c r="M163" s="20"/>
    </row>
    <row r="164">
      <c r="A164" s="20"/>
      <c r="B164" s="28"/>
      <c r="C164" s="28"/>
      <c r="D164" s="28"/>
      <c r="E164" s="28"/>
      <c r="F164" s="28"/>
      <c r="G164" s="28"/>
      <c r="H164" s="28"/>
      <c r="I164" s="28"/>
      <c r="J164" s="66" t="str">
        <f t="shared" si="2"/>
        <v/>
      </c>
      <c r="K164" s="28"/>
      <c r="L164" s="20"/>
      <c r="M164" s="20"/>
    </row>
    <row r="165">
      <c r="A165" s="20"/>
      <c r="B165" s="28"/>
      <c r="C165" s="28"/>
      <c r="D165" s="28"/>
      <c r="E165" s="28"/>
      <c r="F165" s="28"/>
      <c r="G165" s="28"/>
      <c r="H165" s="28"/>
      <c r="I165" s="28"/>
      <c r="J165" s="66" t="str">
        <f t="shared" si="2"/>
        <v/>
      </c>
      <c r="K165" s="28"/>
      <c r="L165" s="20"/>
      <c r="M165" s="20"/>
    </row>
    <row r="166">
      <c r="A166" s="20"/>
      <c r="B166" s="28"/>
      <c r="C166" s="28"/>
      <c r="D166" s="28"/>
      <c r="E166" s="28"/>
      <c r="F166" s="28"/>
      <c r="G166" s="28"/>
      <c r="H166" s="28"/>
      <c r="I166" s="28"/>
      <c r="J166" s="66" t="str">
        <f t="shared" si="2"/>
        <v/>
      </c>
      <c r="K166" s="28"/>
      <c r="L166" s="20"/>
      <c r="M166" s="20"/>
    </row>
    <row r="167">
      <c r="A167" s="20"/>
      <c r="B167" s="28"/>
      <c r="C167" s="28"/>
      <c r="D167" s="28"/>
      <c r="E167" s="28"/>
      <c r="F167" s="28"/>
      <c r="G167" s="28"/>
      <c r="H167" s="28"/>
      <c r="I167" s="28"/>
      <c r="J167" s="66" t="str">
        <f t="shared" si="2"/>
        <v/>
      </c>
      <c r="K167" s="28"/>
      <c r="L167" s="20"/>
      <c r="M167" s="20"/>
    </row>
    <row r="168">
      <c r="A168" s="20"/>
      <c r="B168" s="28"/>
      <c r="C168" s="28"/>
      <c r="D168" s="28"/>
      <c r="E168" s="28"/>
      <c r="F168" s="28"/>
      <c r="G168" s="28"/>
      <c r="H168" s="28"/>
      <c r="I168" s="28"/>
      <c r="J168" s="66" t="str">
        <f t="shared" si="2"/>
        <v/>
      </c>
      <c r="K168" s="28"/>
      <c r="L168" s="20"/>
      <c r="M168" s="20"/>
    </row>
    <row r="169">
      <c r="A169" s="20"/>
      <c r="B169" s="28"/>
      <c r="C169" s="28"/>
      <c r="D169" s="28"/>
      <c r="E169" s="28"/>
      <c r="F169" s="28"/>
      <c r="G169" s="28"/>
      <c r="H169" s="28"/>
      <c r="I169" s="28"/>
      <c r="J169" s="66" t="str">
        <f t="shared" si="2"/>
        <v/>
      </c>
      <c r="K169" s="28"/>
      <c r="L169" s="20"/>
      <c r="M169" s="20"/>
    </row>
    <row r="170">
      <c r="A170" s="20"/>
      <c r="B170" s="28"/>
      <c r="C170" s="28"/>
      <c r="D170" s="28"/>
      <c r="E170" s="28"/>
      <c r="F170" s="28"/>
      <c r="G170" s="28"/>
      <c r="H170" s="28"/>
      <c r="I170" s="28"/>
      <c r="J170" s="66" t="str">
        <f t="shared" si="2"/>
        <v/>
      </c>
      <c r="K170" s="28"/>
      <c r="L170" s="20"/>
      <c r="M170" s="20"/>
    </row>
    <row r="171">
      <c r="A171" s="20"/>
      <c r="B171" s="28"/>
      <c r="C171" s="28"/>
      <c r="D171" s="28"/>
      <c r="E171" s="28"/>
      <c r="F171" s="28"/>
      <c r="G171" s="28"/>
      <c r="H171" s="28"/>
      <c r="I171" s="28"/>
      <c r="J171" s="66" t="str">
        <f t="shared" si="2"/>
        <v/>
      </c>
      <c r="K171" s="28"/>
      <c r="L171" s="20"/>
      <c r="M171" s="20"/>
    </row>
    <row r="172">
      <c r="A172" s="20"/>
      <c r="B172" s="28"/>
      <c r="C172" s="28"/>
      <c r="D172" s="28"/>
      <c r="E172" s="28"/>
      <c r="F172" s="28"/>
      <c r="G172" s="28"/>
      <c r="H172" s="28"/>
      <c r="I172" s="28"/>
      <c r="J172" s="66" t="str">
        <f t="shared" si="2"/>
        <v/>
      </c>
      <c r="K172" s="28"/>
      <c r="L172" s="20"/>
      <c r="M172" s="20"/>
    </row>
    <row r="173">
      <c r="A173" s="20"/>
      <c r="B173" s="28"/>
      <c r="C173" s="28"/>
      <c r="D173" s="28"/>
      <c r="E173" s="28"/>
      <c r="F173" s="28"/>
      <c r="G173" s="28"/>
      <c r="H173" s="28"/>
      <c r="I173" s="28"/>
      <c r="J173" s="66" t="str">
        <f t="shared" si="2"/>
        <v/>
      </c>
      <c r="K173" s="28"/>
      <c r="L173" s="20"/>
      <c r="M173" s="20"/>
    </row>
    <row r="174">
      <c r="A174" s="20"/>
      <c r="B174" s="28"/>
      <c r="C174" s="28"/>
      <c r="D174" s="28"/>
      <c r="E174" s="28"/>
      <c r="F174" s="28"/>
      <c r="G174" s="28"/>
      <c r="H174" s="28"/>
      <c r="I174" s="28"/>
      <c r="J174" s="66" t="str">
        <f t="shared" si="2"/>
        <v/>
      </c>
      <c r="K174" s="28"/>
      <c r="L174" s="20"/>
      <c r="M174" s="20"/>
    </row>
    <row r="175">
      <c r="A175" s="20"/>
      <c r="B175" s="28"/>
      <c r="C175" s="28"/>
      <c r="D175" s="28"/>
      <c r="E175" s="28"/>
      <c r="F175" s="28"/>
      <c r="G175" s="28"/>
      <c r="H175" s="28"/>
      <c r="I175" s="28"/>
      <c r="J175" s="66" t="str">
        <f t="shared" si="2"/>
        <v/>
      </c>
      <c r="K175" s="28"/>
      <c r="L175" s="20"/>
      <c r="M175" s="20"/>
    </row>
    <row r="176">
      <c r="A176" s="20"/>
      <c r="B176" s="28"/>
      <c r="C176" s="28"/>
      <c r="D176" s="28"/>
      <c r="E176" s="28"/>
      <c r="F176" s="28"/>
      <c r="G176" s="28"/>
      <c r="H176" s="28"/>
      <c r="I176" s="28"/>
      <c r="J176" s="66" t="str">
        <f t="shared" si="2"/>
        <v/>
      </c>
      <c r="K176" s="28"/>
      <c r="L176" s="20"/>
      <c r="M176" s="20"/>
    </row>
    <row r="177">
      <c r="A177" s="20"/>
      <c r="B177" s="28"/>
      <c r="C177" s="28"/>
      <c r="D177" s="28"/>
      <c r="E177" s="28"/>
      <c r="F177" s="28"/>
      <c r="G177" s="28"/>
      <c r="H177" s="28"/>
      <c r="I177" s="28"/>
      <c r="J177" s="66" t="str">
        <f t="shared" si="2"/>
        <v/>
      </c>
      <c r="K177" s="28"/>
      <c r="L177" s="20"/>
      <c r="M177" s="20"/>
    </row>
    <row r="178">
      <c r="A178" s="20"/>
      <c r="B178" s="28"/>
      <c r="C178" s="28"/>
      <c r="D178" s="28"/>
      <c r="E178" s="28"/>
      <c r="F178" s="28"/>
      <c r="G178" s="28"/>
      <c r="H178" s="28"/>
      <c r="I178" s="28"/>
      <c r="J178" s="66" t="str">
        <f t="shared" si="2"/>
        <v/>
      </c>
      <c r="K178" s="28"/>
      <c r="L178" s="20"/>
      <c r="M178" s="20"/>
    </row>
    <row r="179">
      <c r="A179" s="20"/>
      <c r="B179" s="28"/>
      <c r="C179" s="28"/>
      <c r="D179" s="28"/>
      <c r="E179" s="28"/>
      <c r="F179" s="28"/>
      <c r="G179" s="28"/>
      <c r="H179" s="28"/>
      <c r="I179" s="28"/>
      <c r="J179" s="66" t="str">
        <f t="shared" si="2"/>
        <v/>
      </c>
      <c r="K179" s="28"/>
      <c r="L179" s="20"/>
      <c r="M179" s="20"/>
    </row>
    <row r="180">
      <c r="A180" s="20"/>
      <c r="B180" s="28"/>
      <c r="C180" s="28"/>
      <c r="D180" s="28"/>
      <c r="E180" s="28"/>
      <c r="F180" s="28"/>
      <c r="G180" s="28"/>
      <c r="H180" s="28"/>
      <c r="I180" s="28"/>
      <c r="J180" s="66" t="str">
        <f t="shared" si="2"/>
        <v/>
      </c>
      <c r="K180" s="28"/>
      <c r="L180" s="20"/>
      <c r="M180" s="20"/>
    </row>
    <row r="181">
      <c r="A181" s="20"/>
      <c r="B181" s="28"/>
      <c r="C181" s="28"/>
      <c r="D181" s="28"/>
      <c r="E181" s="28"/>
      <c r="F181" s="28"/>
      <c r="G181" s="28"/>
      <c r="H181" s="28"/>
      <c r="I181" s="28"/>
      <c r="J181" s="66" t="str">
        <f t="shared" si="2"/>
        <v/>
      </c>
      <c r="K181" s="28"/>
      <c r="L181" s="20"/>
      <c r="M181" s="20"/>
    </row>
    <row r="182">
      <c r="A182" s="20"/>
      <c r="B182" s="28"/>
      <c r="C182" s="28"/>
      <c r="D182" s="28"/>
      <c r="E182" s="28"/>
      <c r="F182" s="28"/>
      <c r="G182" s="28"/>
      <c r="H182" s="28"/>
      <c r="I182" s="28"/>
      <c r="J182" s="66" t="str">
        <f t="shared" si="2"/>
        <v/>
      </c>
      <c r="K182" s="28"/>
      <c r="L182" s="20"/>
      <c r="M182" s="20"/>
    </row>
    <row r="183">
      <c r="A183" s="20"/>
      <c r="B183" s="28"/>
      <c r="C183" s="28"/>
      <c r="D183" s="28"/>
      <c r="E183" s="28"/>
      <c r="F183" s="28"/>
      <c r="G183" s="28"/>
      <c r="H183" s="28"/>
      <c r="I183" s="28"/>
      <c r="J183" s="66" t="str">
        <f t="shared" si="2"/>
        <v/>
      </c>
      <c r="K183" s="28"/>
      <c r="L183" s="20"/>
      <c r="M183" s="20"/>
    </row>
    <row r="184">
      <c r="A184" s="20"/>
      <c r="B184" s="28"/>
      <c r="C184" s="28"/>
      <c r="D184" s="28"/>
      <c r="E184" s="28"/>
      <c r="F184" s="28"/>
      <c r="G184" s="28"/>
      <c r="H184" s="28"/>
      <c r="I184" s="28"/>
      <c r="J184" s="66" t="str">
        <f t="shared" si="2"/>
        <v/>
      </c>
      <c r="K184" s="28"/>
      <c r="L184" s="20"/>
      <c r="M184" s="20"/>
    </row>
    <row r="185">
      <c r="A185" s="20"/>
      <c r="B185" s="28"/>
      <c r="C185" s="28"/>
      <c r="D185" s="28"/>
      <c r="E185" s="28"/>
      <c r="F185" s="28"/>
      <c r="G185" s="28"/>
      <c r="H185" s="28"/>
      <c r="I185" s="28"/>
      <c r="J185" s="66" t="str">
        <f t="shared" si="2"/>
        <v/>
      </c>
      <c r="K185" s="28"/>
      <c r="L185" s="20"/>
      <c r="M185" s="20"/>
    </row>
    <row r="186">
      <c r="A186" s="20"/>
      <c r="B186" s="28"/>
      <c r="C186" s="28"/>
      <c r="D186" s="28"/>
      <c r="E186" s="28"/>
      <c r="F186" s="28"/>
      <c r="G186" s="28"/>
      <c r="H186" s="28"/>
      <c r="I186" s="28"/>
      <c r="J186" s="66" t="str">
        <f t="shared" si="2"/>
        <v/>
      </c>
      <c r="K186" s="28"/>
      <c r="L186" s="20"/>
      <c r="M186" s="20"/>
    </row>
    <row r="187">
      <c r="A187" s="20"/>
      <c r="B187" s="20"/>
      <c r="C187" s="28"/>
      <c r="D187" s="28"/>
      <c r="E187" s="28"/>
      <c r="F187" s="28"/>
      <c r="G187" s="28"/>
      <c r="H187" s="28"/>
      <c r="I187" s="28"/>
      <c r="J187" s="66" t="str">
        <f t="shared" si="2"/>
        <v/>
      </c>
      <c r="K187" s="28"/>
      <c r="L187" s="20"/>
      <c r="M187" s="20"/>
    </row>
    <row r="188">
      <c r="A188" s="20"/>
      <c r="B188" s="20"/>
      <c r="C188" s="28"/>
      <c r="D188" s="28"/>
      <c r="E188" s="28"/>
      <c r="F188" s="28"/>
      <c r="G188" s="28"/>
      <c r="H188" s="28"/>
      <c r="I188" s="28"/>
      <c r="J188" s="66" t="str">
        <f t="shared" si="2"/>
        <v/>
      </c>
      <c r="K188" s="28"/>
      <c r="L188" s="20"/>
      <c r="M188" s="20"/>
    </row>
    <row r="189">
      <c r="A189" s="20"/>
      <c r="B189" s="20"/>
      <c r="C189" s="28"/>
      <c r="D189" s="28"/>
      <c r="E189" s="28"/>
      <c r="F189" s="28"/>
      <c r="G189" s="28"/>
      <c r="H189" s="28"/>
      <c r="I189" s="28"/>
      <c r="J189" s="66" t="str">
        <f t="shared" si="2"/>
        <v/>
      </c>
      <c r="K189" s="28"/>
      <c r="L189" s="20"/>
      <c r="M189" s="20"/>
    </row>
    <row r="190">
      <c r="A190" s="20"/>
      <c r="B190" s="20"/>
      <c r="C190" s="28"/>
      <c r="D190" s="28"/>
      <c r="E190" s="28"/>
      <c r="F190" s="28"/>
      <c r="G190" s="28"/>
      <c r="H190" s="28"/>
      <c r="I190" s="28"/>
      <c r="J190" s="66" t="str">
        <f t="shared" si="2"/>
        <v/>
      </c>
      <c r="K190" s="28"/>
      <c r="L190" s="20"/>
      <c r="M190" s="20"/>
    </row>
    <row r="191">
      <c r="A191" s="20"/>
      <c r="B191" s="20"/>
      <c r="C191" s="28"/>
      <c r="D191" s="28"/>
      <c r="E191" s="28"/>
      <c r="F191" s="28"/>
      <c r="G191" s="28"/>
      <c r="H191" s="28"/>
      <c r="I191" s="28"/>
      <c r="J191" s="66" t="str">
        <f t="shared" si="2"/>
        <v/>
      </c>
      <c r="K191" s="28"/>
      <c r="L191" s="20"/>
      <c r="M191" s="20"/>
    </row>
    <row r="192">
      <c r="A192" s="20"/>
      <c r="B192" s="20"/>
      <c r="C192" s="28"/>
      <c r="D192" s="28"/>
      <c r="E192" s="28"/>
      <c r="F192" s="28"/>
      <c r="G192" s="28"/>
      <c r="H192" s="28"/>
      <c r="I192" s="28"/>
      <c r="J192" s="66" t="str">
        <f t="shared" si="2"/>
        <v/>
      </c>
      <c r="K192" s="28"/>
      <c r="L192" s="20"/>
      <c r="M192" s="20"/>
    </row>
    <row r="193">
      <c r="A193" s="20"/>
      <c r="B193" s="20"/>
      <c r="C193" s="28"/>
      <c r="D193" s="28"/>
      <c r="E193" s="28"/>
      <c r="F193" s="28"/>
      <c r="G193" s="28"/>
      <c r="H193" s="28"/>
      <c r="I193" s="28"/>
      <c r="J193" s="66" t="str">
        <f t="shared" si="2"/>
        <v/>
      </c>
      <c r="K193" s="28"/>
      <c r="L193" s="20"/>
      <c r="M193" s="20"/>
    </row>
    <row r="194">
      <c r="A194" s="20"/>
      <c r="B194" s="20"/>
      <c r="C194" s="28"/>
      <c r="D194" s="28"/>
      <c r="E194" s="28"/>
      <c r="F194" s="28"/>
      <c r="G194" s="28"/>
      <c r="H194" s="28"/>
      <c r="I194" s="28"/>
      <c r="J194" s="66" t="str">
        <f t="shared" si="2"/>
        <v/>
      </c>
      <c r="K194" s="28"/>
      <c r="L194" s="20"/>
      <c r="M194" s="20"/>
    </row>
    <row r="195">
      <c r="A195" s="20"/>
      <c r="B195" s="20"/>
      <c r="C195" s="28"/>
      <c r="D195" s="28"/>
      <c r="E195" s="28"/>
      <c r="F195" s="28"/>
      <c r="G195" s="28"/>
      <c r="H195" s="28"/>
      <c r="I195" s="28"/>
      <c r="J195" s="66" t="str">
        <f t="shared" si="2"/>
        <v/>
      </c>
      <c r="K195" s="28"/>
      <c r="L195" s="20"/>
      <c r="M195" s="20"/>
    </row>
    <row r="196">
      <c r="A196" s="20"/>
      <c r="B196" s="20"/>
      <c r="C196" s="28"/>
      <c r="D196" s="28"/>
      <c r="E196" s="28"/>
      <c r="F196" s="28"/>
      <c r="G196" s="28"/>
      <c r="H196" s="28"/>
      <c r="I196" s="28"/>
      <c r="J196" s="66" t="str">
        <f t="shared" si="2"/>
        <v/>
      </c>
      <c r="K196" s="28"/>
      <c r="L196" s="20"/>
      <c r="M196" s="20"/>
    </row>
    <row r="197">
      <c r="A197" s="20"/>
      <c r="B197" s="20"/>
      <c r="C197" s="28"/>
      <c r="D197" s="28"/>
      <c r="E197" s="28"/>
      <c r="F197" s="28"/>
      <c r="G197" s="28"/>
      <c r="H197" s="28"/>
      <c r="I197" s="28"/>
      <c r="J197" s="66" t="str">
        <f t="shared" si="2"/>
        <v/>
      </c>
      <c r="K197" s="28"/>
      <c r="L197" s="20"/>
      <c r="M197" s="20"/>
    </row>
    <row r="198">
      <c r="A198" s="20"/>
      <c r="B198" s="20"/>
      <c r="C198" s="28"/>
      <c r="D198" s="28"/>
      <c r="E198" s="28"/>
      <c r="F198" s="28"/>
      <c r="G198" s="28"/>
      <c r="H198" s="28"/>
      <c r="I198" s="28"/>
      <c r="J198" s="66" t="str">
        <f t="shared" si="2"/>
        <v/>
      </c>
      <c r="K198" s="28"/>
      <c r="L198" s="20"/>
      <c r="M198" s="20"/>
    </row>
    <row r="199">
      <c r="A199" s="20"/>
      <c r="B199" s="20"/>
      <c r="C199" s="28"/>
      <c r="D199" s="28"/>
      <c r="E199" s="28"/>
      <c r="F199" s="28"/>
      <c r="G199" s="28"/>
      <c r="H199" s="28"/>
      <c r="I199" s="28"/>
      <c r="J199" s="66" t="str">
        <f t="shared" si="2"/>
        <v/>
      </c>
      <c r="K199" s="28"/>
      <c r="L199" s="20"/>
      <c r="M199" s="20"/>
    </row>
    <row r="200">
      <c r="A200" s="20"/>
      <c r="B200" s="20"/>
      <c r="C200" s="28"/>
      <c r="D200" s="28"/>
      <c r="E200" s="28"/>
      <c r="F200" s="28"/>
      <c r="G200" s="28"/>
      <c r="H200" s="28"/>
      <c r="I200" s="28"/>
      <c r="J200" s="66" t="str">
        <f t="shared" si="2"/>
        <v/>
      </c>
      <c r="K200" s="28"/>
      <c r="L200" s="20"/>
      <c r="M200" s="20"/>
    </row>
    <row r="201">
      <c r="A201" s="20"/>
      <c r="B201" s="20"/>
      <c r="C201" s="28"/>
      <c r="D201" s="28"/>
      <c r="E201" s="28"/>
      <c r="F201" s="28"/>
      <c r="G201" s="28"/>
      <c r="H201" s="28"/>
      <c r="I201" s="28"/>
      <c r="J201" s="66" t="str">
        <f t="shared" si="2"/>
        <v/>
      </c>
      <c r="K201" s="28"/>
      <c r="L201" s="20"/>
      <c r="M201" s="20"/>
    </row>
    <row r="202">
      <c r="A202" s="20"/>
      <c r="B202" s="20"/>
      <c r="C202" s="28"/>
      <c r="D202" s="28"/>
      <c r="E202" s="28"/>
      <c r="F202" s="28"/>
      <c r="G202" s="28"/>
      <c r="H202" s="28"/>
      <c r="I202" s="28"/>
      <c r="J202" s="66" t="str">
        <f t="shared" si="2"/>
        <v/>
      </c>
      <c r="K202" s="28"/>
      <c r="L202" s="20"/>
      <c r="M202" s="20"/>
    </row>
    <row r="203">
      <c r="A203" s="20"/>
      <c r="B203" s="20"/>
      <c r="C203" s="28"/>
      <c r="D203" s="28"/>
      <c r="E203" s="28"/>
      <c r="F203" s="28"/>
      <c r="G203" s="28"/>
      <c r="H203" s="28"/>
      <c r="I203" s="28"/>
      <c r="J203" s="66" t="str">
        <f t="shared" si="2"/>
        <v/>
      </c>
      <c r="K203" s="28"/>
      <c r="L203" s="20"/>
      <c r="M203" s="20"/>
    </row>
    <row r="204">
      <c r="A204" s="20"/>
      <c r="B204" s="20"/>
      <c r="C204" s="28"/>
      <c r="D204" s="28"/>
      <c r="E204" s="28"/>
      <c r="F204" s="28"/>
      <c r="G204" s="28"/>
      <c r="H204" s="28"/>
      <c r="I204" s="28"/>
      <c r="J204" s="66" t="str">
        <f t="shared" si="2"/>
        <v/>
      </c>
      <c r="K204" s="28"/>
      <c r="L204" s="20"/>
      <c r="M204" s="20"/>
    </row>
    <row r="205">
      <c r="A205" s="20"/>
      <c r="B205" s="20"/>
      <c r="C205" s="28"/>
      <c r="D205" s="28"/>
      <c r="E205" s="28"/>
      <c r="F205" s="28"/>
      <c r="G205" s="28"/>
      <c r="H205" s="28"/>
      <c r="I205" s="28"/>
      <c r="J205" s="66" t="str">
        <f t="shared" si="2"/>
        <v/>
      </c>
      <c r="K205" s="28"/>
      <c r="L205" s="20"/>
      <c r="M205" s="20"/>
    </row>
    <row r="206">
      <c r="A206" s="20"/>
      <c r="B206" s="20"/>
      <c r="C206" s="28"/>
      <c r="D206" s="28"/>
      <c r="E206" s="28"/>
      <c r="F206" s="28"/>
      <c r="G206" s="28"/>
      <c r="H206" s="28"/>
      <c r="I206" s="28"/>
      <c r="J206" s="66" t="str">
        <f t="shared" si="2"/>
        <v/>
      </c>
      <c r="K206" s="28"/>
      <c r="L206" s="20"/>
      <c r="M206" s="20"/>
    </row>
    <row r="207">
      <c r="A207" s="20"/>
      <c r="B207" s="20"/>
      <c r="C207" s="28"/>
      <c r="D207" s="28"/>
      <c r="E207" s="28"/>
      <c r="F207" s="28"/>
      <c r="G207" s="28"/>
      <c r="H207" s="28"/>
      <c r="I207" s="28"/>
      <c r="J207" s="66" t="str">
        <f t="shared" si="2"/>
        <v/>
      </c>
      <c r="K207" s="28"/>
      <c r="L207" s="20"/>
      <c r="M207" s="20"/>
    </row>
    <row r="208">
      <c r="A208" s="20"/>
      <c r="B208" s="20"/>
      <c r="C208" s="28"/>
      <c r="D208" s="28"/>
      <c r="E208" s="28"/>
      <c r="F208" s="28"/>
      <c r="G208" s="28"/>
      <c r="H208" s="28"/>
      <c r="I208" s="28"/>
      <c r="J208" s="66" t="str">
        <f t="shared" si="2"/>
        <v/>
      </c>
      <c r="K208" s="28"/>
      <c r="L208" s="20"/>
      <c r="M208" s="20"/>
    </row>
    <row r="209">
      <c r="A209" s="20"/>
      <c r="B209" s="20"/>
      <c r="C209" s="28"/>
      <c r="D209" s="28"/>
      <c r="E209" s="28"/>
      <c r="F209" s="28"/>
      <c r="G209" s="28"/>
      <c r="H209" s="28"/>
      <c r="I209" s="28"/>
      <c r="J209" s="66" t="str">
        <f t="shared" si="2"/>
        <v/>
      </c>
      <c r="K209" s="28"/>
      <c r="L209" s="20"/>
      <c r="M209" s="20"/>
    </row>
    <row r="210">
      <c r="A210" s="20"/>
      <c r="B210" s="20"/>
      <c r="C210" s="28"/>
      <c r="D210" s="28"/>
      <c r="E210" s="28"/>
      <c r="F210" s="28"/>
      <c r="G210" s="28"/>
      <c r="H210" s="28"/>
      <c r="I210" s="28"/>
      <c r="J210" s="66" t="str">
        <f t="shared" si="2"/>
        <v/>
      </c>
      <c r="K210" s="28"/>
      <c r="L210" s="20"/>
      <c r="M210" s="20"/>
    </row>
    <row r="211">
      <c r="A211" s="20"/>
      <c r="B211" s="20"/>
      <c r="C211" s="28"/>
      <c r="D211" s="28"/>
      <c r="E211" s="28"/>
      <c r="F211" s="28"/>
      <c r="G211" s="28"/>
      <c r="H211" s="28"/>
      <c r="I211" s="28"/>
      <c r="J211" s="66" t="str">
        <f t="shared" si="2"/>
        <v/>
      </c>
      <c r="K211" s="28"/>
      <c r="L211" s="20"/>
      <c r="M211" s="20"/>
    </row>
    <row r="212">
      <c r="A212" s="20"/>
      <c r="B212" s="20"/>
      <c r="C212" s="28"/>
      <c r="D212" s="28"/>
      <c r="E212" s="28"/>
      <c r="F212" s="28"/>
      <c r="G212" s="28"/>
      <c r="H212" s="28"/>
      <c r="I212" s="28"/>
      <c r="J212" s="66" t="str">
        <f t="shared" si="2"/>
        <v/>
      </c>
      <c r="K212" s="28"/>
      <c r="L212" s="20"/>
      <c r="M212" s="20"/>
    </row>
    <row r="213">
      <c r="A213" s="20"/>
      <c r="B213" s="20"/>
      <c r="C213" s="28"/>
      <c r="D213" s="28"/>
      <c r="E213" s="28"/>
      <c r="F213" s="28"/>
      <c r="G213" s="28"/>
      <c r="H213" s="28"/>
      <c r="I213" s="28"/>
      <c r="J213" s="66" t="str">
        <f t="shared" si="2"/>
        <v/>
      </c>
      <c r="K213" s="28"/>
      <c r="L213" s="20"/>
      <c r="M213" s="20"/>
    </row>
    <row r="214">
      <c r="A214" s="20"/>
      <c r="B214" s="20"/>
      <c r="C214" s="28"/>
      <c r="D214" s="28"/>
      <c r="E214" s="28"/>
      <c r="F214" s="28"/>
      <c r="G214" s="28"/>
      <c r="H214" s="28"/>
      <c r="I214" s="28"/>
      <c r="J214" s="66" t="str">
        <f t="shared" si="2"/>
        <v/>
      </c>
      <c r="K214" s="28"/>
      <c r="L214" s="20"/>
      <c r="M214" s="20"/>
    </row>
    <row r="215">
      <c r="A215" s="20"/>
      <c r="B215" s="20"/>
      <c r="C215" s="28"/>
      <c r="D215" s="28"/>
      <c r="E215" s="28"/>
      <c r="F215" s="28"/>
      <c r="G215" s="28"/>
      <c r="H215" s="28"/>
      <c r="I215" s="28"/>
      <c r="J215" s="66" t="str">
        <f t="shared" si="2"/>
        <v/>
      </c>
      <c r="K215" s="28"/>
      <c r="L215" s="20"/>
      <c r="M215" s="20"/>
    </row>
    <row r="216">
      <c r="A216" s="20"/>
      <c r="B216" s="20"/>
      <c r="C216" s="28"/>
      <c r="D216" s="28"/>
      <c r="E216" s="28"/>
      <c r="F216" s="28"/>
      <c r="G216" s="28"/>
      <c r="H216" s="28"/>
      <c r="I216" s="28"/>
      <c r="J216" s="66" t="str">
        <f t="shared" si="2"/>
        <v/>
      </c>
      <c r="K216" s="28"/>
      <c r="L216" s="20"/>
      <c r="M216" s="20"/>
    </row>
    <row r="217">
      <c r="A217" s="20"/>
      <c r="B217" s="20"/>
      <c r="C217" s="28"/>
      <c r="D217" s="28"/>
      <c r="E217" s="28"/>
      <c r="F217" s="28"/>
      <c r="G217" s="28"/>
      <c r="H217" s="28"/>
      <c r="I217" s="28"/>
      <c r="J217" s="66" t="str">
        <f t="shared" si="2"/>
        <v/>
      </c>
      <c r="K217" s="28"/>
      <c r="L217" s="20"/>
      <c r="M217" s="20"/>
    </row>
    <row r="218">
      <c r="A218" s="20"/>
      <c r="B218" s="20"/>
      <c r="C218" s="28"/>
      <c r="D218" s="28"/>
      <c r="E218" s="28"/>
      <c r="F218" s="28"/>
      <c r="G218" s="28"/>
      <c r="H218" s="28"/>
      <c r="I218" s="28"/>
      <c r="J218" s="66" t="str">
        <f t="shared" si="2"/>
        <v/>
      </c>
      <c r="K218" s="28"/>
      <c r="L218" s="20"/>
      <c r="M218" s="20"/>
    </row>
    <row r="219">
      <c r="A219" s="20"/>
      <c r="B219" s="20"/>
      <c r="C219" s="28"/>
      <c r="D219" s="28"/>
      <c r="E219" s="28"/>
      <c r="F219" s="28"/>
      <c r="G219" s="28"/>
      <c r="H219" s="28"/>
      <c r="I219" s="28"/>
      <c r="J219" s="66" t="str">
        <f t="shared" si="2"/>
        <v/>
      </c>
      <c r="K219" s="28"/>
      <c r="L219" s="20"/>
      <c r="M219" s="20"/>
    </row>
    <row r="220">
      <c r="A220" s="20"/>
      <c r="B220" s="20"/>
      <c r="C220" s="28"/>
      <c r="D220" s="28"/>
      <c r="E220" s="28"/>
      <c r="F220" s="28"/>
      <c r="G220" s="28"/>
      <c r="H220" s="28"/>
      <c r="I220" s="28"/>
      <c r="J220" s="66" t="str">
        <f t="shared" si="2"/>
        <v/>
      </c>
      <c r="K220" s="28"/>
      <c r="L220" s="20"/>
      <c r="M220" s="20"/>
    </row>
    <row r="221">
      <c r="A221" s="20"/>
      <c r="B221" s="20"/>
      <c r="C221" s="28"/>
      <c r="D221" s="28"/>
      <c r="E221" s="28"/>
      <c r="F221" s="28"/>
      <c r="G221" s="28"/>
      <c r="H221" s="28"/>
      <c r="I221" s="28"/>
      <c r="J221" s="66" t="str">
        <f t="shared" si="2"/>
        <v/>
      </c>
      <c r="K221" s="28"/>
      <c r="L221" s="20"/>
      <c r="M221" s="20"/>
    </row>
    <row r="222">
      <c r="A222" s="20"/>
      <c r="B222" s="20"/>
      <c r="C222" s="28"/>
      <c r="D222" s="28"/>
      <c r="E222" s="28"/>
      <c r="F222" s="28"/>
      <c r="G222" s="28"/>
      <c r="H222" s="28"/>
      <c r="I222" s="28"/>
      <c r="J222" s="66" t="str">
        <f t="shared" si="2"/>
        <v/>
      </c>
      <c r="K222" s="28"/>
      <c r="L222" s="20"/>
      <c r="M222" s="20"/>
    </row>
    <row r="223">
      <c r="A223" s="20"/>
      <c r="B223" s="20"/>
      <c r="C223" s="28"/>
      <c r="D223" s="28"/>
      <c r="E223" s="28"/>
      <c r="F223" s="28"/>
      <c r="G223" s="28"/>
      <c r="H223" s="28"/>
      <c r="I223" s="28"/>
      <c r="J223" s="66" t="str">
        <f t="shared" si="2"/>
        <v/>
      </c>
      <c r="K223" s="28"/>
      <c r="L223" s="20"/>
      <c r="M223" s="20"/>
    </row>
    <row r="224">
      <c r="A224" s="20"/>
      <c r="B224" s="20"/>
      <c r="C224" s="28"/>
      <c r="D224" s="28"/>
      <c r="E224" s="28"/>
      <c r="F224" s="28"/>
      <c r="G224" s="28"/>
      <c r="H224" s="28"/>
      <c r="I224" s="28"/>
      <c r="J224" s="66" t="str">
        <f t="shared" si="2"/>
        <v/>
      </c>
      <c r="K224" s="28"/>
      <c r="L224" s="20"/>
      <c r="M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66" t="str">
        <f t="shared" si="2"/>
        <v/>
      </c>
      <c r="K225" s="20"/>
      <c r="L225" s="20"/>
      <c r="M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66" t="str">
        <f t="shared" si="2"/>
        <v/>
      </c>
      <c r="K226" s="20"/>
      <c r="L226" s="20"/>
      <c r="M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66" t="str">
        <f t="shared" si="2"/>
        <v/>
      </c>
      <c r="K227" s="20"/>
      <c r="L227" s="20"/>
      <c r="M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66" t="str">
        <f t="shared" si="2"/>
        <v/>
      </c>
      <c r="K228" s="20"/>
      <c r="L228" s="20"/>
      <c r="M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66" t="str">
        <f t="shared" si="2"/>
        <v/>
      </c>
      <c r="K229" s="20"/>
      <c r="L229" s="20"/>
      <c r="M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66" t="str">
        <f t="shared" si="2"/>
        <v/>
      </c>
      <c r="K230" s="20"/>
      <c r="L230" s="20"/>
      <c r="M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66" t="str">
        <f t="shared" si="2"/>
        <v/>
      </c>
      <c r="K231" s="20"/>
      <c r="L231" s="20"/>
      <c r="M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66" t="str">
        <f t="shared" si="2"/>
        <v/>
      </c>
      <c r="K232" s="20"/>
      <c r="L232" s="20"/>
      <c r="M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66" t="str">
        <f t="shared" si="2"/>
        <v/>
      </c>
      <c r="K233" s="20"/>
      <c r="L233" s="20"/>
      <c r="M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66" t="str">
        <f t="shared" si="2"/>
        <v/>
      </c>
      <c r="K234" s="20"/>
      <c r="L234" s="20"/>
      <c r="M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66" t="str">
        <f t="shared" si="2"/>
        <v/>
      </c>
      <c r="K235" s="20"/>
      <c r="L235" s="20"/>
      <c r="M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66" t="str">
        <f t="shared" si="2"/>
        <v/>
      </c>
      <c r="K236" s="20"/>
      <c r="L236" s="20"/>
      <c r="M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66" t="str">
        <f t="shared" si="2"/>
        <v/>
      </c>
      <c r="K237" s="20"/>
      <c r="L237" s="20"/>
      <c r="M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66" t="str">
        <f t="shared" si="2"/>
        <v/>
      </c>
      <c r="K238" s="20"/>
      <c r="L238" s="20"/>
      <c r="M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66" t="str">
        <f t="shared" si="2"/>
        <v/>
      </c>
      <c r="K239" s="20"/>
      <c r="L239" s="20"/>
      <c r="M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66" t="str">
        <f t="shared" si="2"/>
        <v/>
      </c>
      <c r="K240" s="20"/>
      <c r="L240" s="20"/>
      <c r="M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66" t="str">
        <f t="shared" si="2"/>
        <v/>
      </c>
      <c r="K241" s="20"/>
      <c r="L241" s="20"/>
      <c r="M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66" t="str">
        <f t="shared" si="2"/>
        <v/>
      </c>
      <c r="K242" s="20"/>
      <c r="L242" s="20"/>
      <c r="M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66" t="str">
        <f t="shared" si="2"/>
        <v/>
      </c>
      <c r="K243" s="20"/>
      <c r="L243" s="20"/>
      <c r="M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66" t="str">
        <f t="shared" si="2"/>
        <v/>
      </c>
      <c r="K244" s="20"/>
      <c r="L244" s="20"/>
      <c r="M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66" t="str">
        <f t="shared" si="2"/>
        <v/>
      </c>
      <c r="K245" s="20"/>
      <c r="L245" s="20"/>
      <c r="M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66" t="str">
        <f t="shared" si="2"/>
        <v/>
      </c>
      <c r="K246" s="20"/>
      <c r="L246" s="20"/>
      <c r="M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66" t="str">
        <f t="shared" si="2"/>
        <v/>
      </c>
      <c r="K247" s="20"/>
      <c r="L247" s="20"/>
      <c r="M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66" t="str">
        <f t="shared" si="2"/>
        <v/>
      </c>
      <c r="K248" s="20"/>
      <c r="L248" s="20"/>
      <c r="M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66" t="str">
        <f t="shared" si="2"/>
        <v/>
      </c>
      <c r="K249" s="20"/>
      <c r="L249" s="20"/>
      <c r="M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66" t="str">
        <f t="shared" si="2"/>
        <v/>
      </c>
      <c r="K250" s="20"/>
      <c r="L250" s="20"/>
      <c r="M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66" t="str">
        <f t="shared" si="2"/>
        <v/>
      </c>
      <c r="K251" s="20"/>
      <c r="L251" s="20"/>
      <c r="M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66" t="str">
        <f t="shared" si="2"/>
        <v/>
      </c>
      <c r="K252" s="20"/>
      <c r="L252" s="20"/>
      <c r="M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66" t="str">
        <f t="shared" si="2"/>
        <v/>
      </c>
      <c r="K253" s="20"/>
      <c r="L253" s="20"/>
      <c r="M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66" t="str">
        <f t="shared" si="2"/>
        <v/>
      </c>
      <c r="K254" s="20"/>
      <c r="L254" s="20"/>
      <c r="M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66" t="str">
        <f t="shared" si="2"/>
        <v/>
      </c>
      <c r="K255" s="20"/>
      <c r="L255" s="20"/>
      <c r="M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66" t="str">
        <f t="shared" si="2"/>
        <v/>
      </c>
      <c r="K256" s="20"/>
      <c r="L256" s="20"/>
      <c r="M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66" t="str">
        <f t="shared" si="2"/>
        <v/>
      </c>
      <c r="K257" s="20"/>
      <c r="L257" s="20"/>
      <c r="M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66" t="str">
        <f t="shared" si="2"/>
        <v/>
      </c>
      <c r="K258" s="20"/>
      <c r="L258" s="20"/>
      <c r="M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66" t="str">
        <f t="shared" si="2"/>
        <v/>
      </c>
      <c r="K259" s="20"/>
      <c r="L259" s="20"/>
      <c r="M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66" t="str">
        <f t="shared" si="2"/>
        <v/>
      </c>
      <c r="K260" s="20"/>
      <c r="L260" s="20"/>
      <c r="M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66" t="str">
        <f t="shared" si="2"/>
        <v/>
      </c>
      <c r="K261" s="20"/>
      <c r="L261" s="20"/>
      <c r="M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66" t="str">
        <f t="shared" si="2"/>
        <v/>
      </c>
      <c r="K262" s="20"/>
      <c r="L262" s="20"/>
      <c r="M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66" t="str">
        <f t="shared" si="2"/>
        <v/>
      </c>
      <c r="K263" s="20"/>
      <c r="L263" s="20"/>
      <c r="M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66" t="str">
        <f t="shared" si="2"/>
        <v/>
      </c>
      <c r="K264" s="20"/>
      <c r="L264" s="20"/>
      <c r="M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66" t="str">
        <f t="shared" si="2"/>
        <v/>
      </c>
      <c r="K265" s="20"/>
      <c r="L265" s="20"/>
      <c r="M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66" t="str">
        <f t="shared" si="2"/>
        <v/>
      </c>
      <c r="K266" s="20"/>
      <c r="L266" s="20"/>
      <c r="M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66" t="str">
        <f t="shared" si="2"/>
        <v/>
      </c>
      <c r="K267" s="20"/>
      <c r="L267" s="20"/>
      <c r="M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66" t="str">
        <f t="shared" si="2"/>
        <v/>
      </c>
      <c r="K268" s="20"/>
      <c r="L268" s="20"/>
      <c r="M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66" t="str">
        <f t="shared" si="2"/>
        <v/>
      </c>
      <c r="K269" s="20"/>
      <c r="L269" s="20"/>
      <c r="M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66" t="str">
        <f t="shared" si="2"/>
        <v/>
      </c>
      <c r="K270" s="20"/>
      <c r="L270" s="20"/>
      <c r="M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66" t="str">
        <f t="shared" si="2"/>
        <v/>
      </c>
      <c r="K271" s="20"/>
      <c r="L271" s="20"/>
      <c r="M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66" t="str">
        <f t="shared" si="2"/>
        <v/>
      </c>
      <c r="K272" s="20"/>
      <c r="L272" s="20"/>
      <c r="M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66" t="str">
        <f t="shared" si="2"/>
        <v/>
      </c>
      <c r="K273" s="20"/>
      <c r="L273" s="20"/>
      <c r="M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66" t="str">
        <f t="shared" si="2"/>
        <v/>
      </c>
      <c r="K274" s="20"/>
      <c r="L274" s="20"/>
      <c r="M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66" t="str">
        <f t="shared" si="2"/>
        <v/>
      </c>
      <c r="K275" s="20"/>
      <c r="L275" s="20"/>
      <c r="M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66" t="str">
        <f t="shared" si="2"/>
        <v/>
      </c>
      <c r="K276" s="20"/>
      <c r="L276" s="20"/>
      <c r="M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66" t="str">
        <f t="shared" si="2"/>
        <v/>
      </c>
      <c r="K277" s="20"/>
      <c r="L277" s="20"/>
      <c r="M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66" t="str">
        <f t="shared" si="2"/>
        <v/>
      </c>
      <c r="K278" s="20"/>
      <c r="L278" s="20"/>
      <c r="M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66" t="str">
        <f t="shared" si="2"/>
        <v/>
      </c>
      <c r="K279" s="20"/>
      <c r="L279" s="20"/>
      <c r="M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66" t="str">
        <f t="shared" si="2"/>
        <v/>
      </c>
      <c r="K280" s="20"/>
      <c r="L280" s="20"/>
      <c r="M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66" t="str">
        <f t="shared" si="2"/>
        <v/>
      </c>
      <c r="K281" s="20"/>
      <c r="L281" s="20"/>
      <c r="M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66" t="str">
        <f t="shared" si="2"/>
        <v/>
      </c>
      <c r="K282" s="20"/>
      <c r="L282" s="20"/>
      <c r="M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66" t="str">
        <f t="shared" si="2"/>
        <v/>
      </c>
      <c r="K283" s="20"/>
      <c r="L283" s="20"/>
      <c r="M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66" t="str">
        <f t="shared" si="2"/>
        <v/>
      </c>
      <c r="K284" s="20"/>
      <c r="L284" s="20"/>
      <c r="M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66" t="str">
        <f t="shared" si="2"/>
        <v/>
      </c>
      <c r="K285" s="20"/>
      <c r="L285" s="20"/>
      <c r="M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66" t="str">
        <f t="shared" si="2"/>
        <v/>
      </c>
      <c r="K286" s="20"/>
      <c r="L286" s="20"/>
      <c r="M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66" t="str">
        <f t="shared" si="2"/>
        <v/>
      </c>
      <c r="K287" s="20"/>
      <c r="L287" s="20"/>
      <c r="M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66" t="str">
        <f t="shared" si="2"/>
        <v/>
      </c>
      <c r="K288" s="20"/>
      <c r="L288" s="20"/>
      <c r="M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66" t="str">
        <f t="shared" si="2"/>
        <v/>
      </c>
      <c r="K289" s="20"/>
      <c r="L289" s="20"/>
      <c r="M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66" t="str">
        <f t="shared" si="2"/>
        <v/>
      </c>
      <c r="K290" s="20"/>
      <c r="L290" s="20"/>
      <c r="M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66" t="str">
        <f t="shared" si="2"/>
        <v/>
      </c>
      <c r="K291" s="20"/>
      <c r="L291" s="20"/>
      <c r="M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66" t="str">
        <f t="shared" si="2"/>
        <v/>
      </c>
      <c r="K292" s="20"/>
      <c r="L292" s="20"/>
      <c r="M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66" t="str">
        <f t="shared" si="2"/>
        <v/>
      </c>
      <c r="K293" s="20"/>
      <c r="L293" s="20"/>
      <c r="M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66" t="str">
        <f t="shared" si="2"/>
        <v/>
      </c>
      <c r="K294" s="20"/>
      <c r="L294" s="20"/>
      <c r="M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66" t="str">
        <f t="shared" si="2"/>
        <v/>
      </c>
      <c r="K295" s="20"/>
      <c r="L295" s="20"/>
      <c r="M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66" t="str">
        <f t="shared" si="2"/>
        <v/>
      </c>
      <c r="K296" s="20"/>
      <c r="L296" s="20"/>
      <c r="M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66" t="str">
        <f t="shared" si="2"/>
        <v/>
      </c>
      <c r="K297" s="20"/>
      <c r="L297" s="20"/>
      <c r="M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66" t="str">
        <f t="shared" si="2"/>
        <v/>
      </c>
      <c r="K298" s="20"/>
      <c r="L298" s="20"/>
      <c r="M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66" t="str">
        <f t="shared" si="2"/>
        <v/>
      </c>
      <c r="K299" s="20"/>
      <c r="L299" s="20"/>
      <c r="M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66" t="str">
        <f t="shared" si="2"/>
        <v/>
      </c>
      <c r="K300" s="20"/>
      <c r="L300" s="20"/>
      <c r="M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66" t="str">
        <f t="shared" si="2"/>
        <v/>
      </c>
      <c r="K301" s="20"/>
      <c r="L301" s="20"/>
      <c r="M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66" t="str">
        <f t="shared" si="2"/>
        <v/>
      </c>
      <c r="K302" s="20"/>
      <c r="L302" s="20"/>
      <c r="M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66" t="str">
        <f t="shared" si="2"/>
        <v/>
      </c>
      <c r="K303" s="20"/>
      <c r="L303" s="20"/>
      <c r="M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66" t="str">
        <f t="shared" si="2"/>
        <v/>
      </c>
      <c r="K304" s="20"/>
      <c r="L304" s="20"/>
      <c r="M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66" t="str">
        <f t="shared" si="2"/>
        <v/>
      </c>
      <c r="K305" s="20"/>
      <c r="L305" s="20"/>
      <c r="M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66" t="str">
        <f t="shared" si="2"/>
        <v/>
      </c>
      <c r="K306" s="20"/>
      <c r="L306" s="20"/>
      <c r="M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66" t="str">
        <f t="shared" si="2"/>
        <v/>
      </c>
      <c r="K307" s="20"/>
      <c r="L307" s="20"/>
      <c r="M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66" t="str">
        <f t="shared" si="2"/>
        <v/>
      </c>
      <c r="K308" s="20"/>
      <c r="L308" s="20"/>
      <c r="M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66" t="str">
        <f t="shared" si="2"/>
        <v/>
      </c>
      <c r="K309" s="20"/>
      <c r="L309" s="20"/>
      <c r="M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66" t="str">
        <f t="shared" si="2"/>
        <v/>
      </c>
      <c r="K310" s="20"/>
      <c r="L310" s="20"/>
      <c r="M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66" t="str">
        <f t="shared" si="2"/>
        <v/>
      </c>
      <c r="K311" s="20"/>
      <c r="L311" s="20"/>
      <c r="M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66" t="str">
        <f t="shared" si="2"/>
        <v/>
      </c>
      <c r="K312" s="20"/>
      <c r="L312" s="20"/>
      <c r="M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66" t="str">
        <f t="shared" si="2"/>
        <v/>
      </c>
      <c r="K313" s="20"/>
      <c r="L313" s="20"/>
      <c r="M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66" t="str">
        <f t="shared" si="2"/>
        <v/>
      </c>
      <c r="K314" s="20"/>
      <c r="L314" s="20"/>
      <c r="M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66" t="str">
        <f t="shared" si="2"/>
        <v/>
      </c>
      <c r="K315" s="20"/>
      <c r="L315" s="20"/>
      <c r="M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66" t="str">
        <f t="shared" si="2"/>
        <v/>
      </c>
      <c r="K316" s="20"/>
      <c r="L316" s="20"/>
      <c r="M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66" t="str">
        <f t="shared" si="2"/>
        <v/>
      </c>
      <c r="K317" s="20"/>
      <c r="L317" s="20"/>
      <c r="M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66" t="str">
        <f t="shared" si="2"/>
        <v/>
      </c>
      <c r="K318" s="20"/>
      <c r="L318" s="20"/>
      <c r="M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66" t="str">
        <f t="shared" si="2"/>
        <v/>
      </c>
      <c r="K319" s="20"/>
      <c r="L319" s="20"/>
      <c r="M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66" t="str">
        <f t="shared" si="2"/>
        <v/>
      </c>
      <c r="K320" s="20"/>
      <c r="L320" s="20"/>
      <c r="M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66" t="str">
        <f t="shared" si="2"/>
        <v/>
      </c>
      <c r="K321" s="20"/>
      <c r="L321" s="20"/>
      <c r="M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66" t="str">
        <f t="shared" si="2"/>
        <v/>
      </c>
      <c r="K322" s="20"/>
      <c r="L322" s="20"/>
      <c r="M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66" t="str">
        <f t="shared" si="2"/>
        <v/>
      </c>
      <c r="K323" s="20"/>
      <c r="L323" s="20"/>
      <c r="M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66" t="str">
        <f t="shared" si="2"/>
        <v/>
      </c>
      <c r="K324" s="20"/>
      <c r="L324" s="20"/>
      <c r="M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66" t="str">
        <f t="shared" si="2"/>
        <v/>
      </c>
      <c r="K325" s="20"/>
      <c r="L325" s="20"/>
      <c r="M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66" t="str">
        <f t="shared" si="2"/>
        <v/>
      </c>
      <c r="K326" s="20"/>
      <c r="L326" s="20"/>
      <c r="M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66" t="str">
        <f t="shared" si="2"/>
        <v/>
      </c>
      <c r="K327" s="20"/>
      <c r="L327" s="20"/>
      <c r="M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66" t="str">
        <f t="shared" si="2"/>
        <v/>
      </c>
      <c r="K328" s="20"/>
      <c r="L328" s="20"/>
      <c r="M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66" t="str">
        <f t="shared" si="2"/>
        <v/>
      </c>
      <c r="K329" s="20"/>
      <c r="L329" s="20"/>
      <c r="M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66" t="str">
        <f t="shared" si="2"/>
        <v/>
      </c>
      <c r="K330" s="20"/>
      <c r="L330" s="20"/>
      <c r="M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66" t="str">
        <f t="shared" si="2"/>
        <v/>
      </c>
      <c r="K331" s="20"/>
      <c r="L331" s="20"/>
      <c r="M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66" t="str">
        <f t="shared" si="2"/>
        <v/>
      </c>
      <c r="K332" s="20"/>
      <c r="L332" s="20"/>
      <c r="M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66" t="str">
        <f t="shared" si="2"/>
        <v/>
      </c>
      <c r="K333" s="20"/>
      <c r="L333" s="20"/>
      <c r="M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66" t="str">
        <f t="shared" si="2"/>
        <v/>
      </c>
      <c r="K334" s="20"/>
      <c r="L334" s="20"/>
      <c r="M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66" t="str">
        <f t="shared" si="2"/>
        <v/>
      </c>
      <c r="K335" s="20"/>
      <c r="L335" s="20"/>
      <c r="M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66" t="str">
        <f t="shared" si="2"/>
        <v/>
      </c>
      <c r="K336" s="20"/>
      <c r="L336" s="20"/>
      <c r="M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66" t="str">
        <f t="shared" si="2"/>
        <v/>
      </c>
      <c r="K337" s="20"/>
      <c r="L337" s="20"/>
      <c r="M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66" t="str">
        <f t="shared" si="2"/>
        <v/>
      </c>
      <c r="K338" s="20"/>
      <c r="L338" s="20"/>
      <c r="M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66" t="str">
        <f t="shared" si="2"/>
        <v/>
      </c>
      <c r="K339" s="20"/>
      <c r="L339" s="20"/>
      <c r="M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66" t="str">
        <f t="shared" si="2"/>
        <v/>
      </c>
      <c r="K340" s="20"/>
      <c r="L340" s="20"/>
      <c r="M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66" t="str">
        <f t="shared" si="2"/>
        <v/>
      </c>
      <c r="K341" s="20"/>
      <c r="L341" s="20"/>
      <c r="M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66" t="str">
        <f t="shared" si="2"/>
        <v/>
      </c>
      <c r="K342" s="20"/>
      <c r="L342" s="20"/>
      <c r="M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66" t="str">
        <f t="shared" si="2"/>
        <v/>
      </c>
      <c r="K343" s="20"/>
      <c r="L343" s="20"/>
      <c r="M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66" t="str">
        <f t="shared" si="2"/>
        <v/>
      </c>
      <c r="K344" s="20"/>
      <c r="L344" s="20"/>
      <c r="M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66" t="str">
        <f t="shared" si="2"/>
        <v/>
      </c>
      <c r="K345" s="20"/>
      <c r="L345" s="20"/>
      <c r="M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66" t="str">
        <f t="shared" si="2"/>
        <v/>
      </c>
      <c r="K346" s="20"/>
      <c r="L346" s="20"/>
      <c r="M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66" t="str">
        <f t="shared" si="2"/>
        <v/>
      </c>
      <c r="K347" s="20"/>
      <c r="L347" s="20"/>
      <c r="M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66" t="str">
        <f t="shared" si="2"/>
        <v/>
      </c>
      <c r="K348" s="20"/>
      <c r="L348" s="20"/>
      <c r="M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66" t="str">
        <f t="shared" si="2"/>
        <v/>
      </c>
      <c r="K349" s="20"/>
      <c r="L349" s="20"/>
      <c r="M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66" t="str">
        <f t="shared" si="2"/>
        <v/>
      </c>
      <c r="K350" s="20"/>
      <c r="L350" s="20"/>
      <c r="M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66" t="str">
        <f t="shared" si="2"/>
        <v/>
      </c>
      <c r="K351" s="20"/>
      <c r="L351" s="20"/>
      <c r="M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66" t="str">
        <f t="shared" si="2"/>
        <v/>
      </c>
      <c r="K352" s="20"/>
      <c r="L352" s="20"/>
      <c r="M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66" t="str">
        <f t="shared" si="2"/>
        <v/>
      </c>
      <c r="K353" s="20"/>
      <c r="L353" s="20"/>
      <c r="M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66" t="str">
        <f t="shared" si="2"/>
        <v/>
      </c>
      <c r="K354" s="20"/>
      <c r="L354" s="20"/>
      <c r="M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66" t="str">
        <f t="shared" si="2"/>
        <v/>
      </c>
      <c r="K355" s="20"/>
      <c r="L355" s="20"/>
      <c r="M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66" t="str">
        <f t="shared" si="2"/>
        <v/>
      </c>
      <c r="K356" s="20"/>
      <c r="L356" s="20"/>
      <c r="M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66" t="str">
        <f t="shared" si="2"/>
        <v/>
      </c>
      <c r="K357" s="20"/>
      <c r="L357" s="20"/>
      <c r="M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66" t="str">
        <f t="shared" si="2"/>
        <v/>
      </c>
      <c r="K358" s="20"/>
      <c r="L358" s="20"/>
      <c r="M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66" t="str">
        <f t="shared" si="2"/>
        <v/>
      </c>
      <c r="K359" s="20"/>
      <c r="L359" s="20"/>
      <c r="M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66" t="str">
        <f t="shared" si="2"/>
        <v/>
      </c>
      <c r="K360" s="20"/>
      <c r="L360" s="20"/>
      <c r="M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66" t="str">
        <f t="shared" si="2"/>
        <v/>
      </c>
      <c r="K361" s="20"/>
      <c r="L361" s="20"/>
      <c r="M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66" t="str">
        <f t="shared" si="2"/>
        <v/>
      </c>
      <c r="K362" s="20"/>
      <c r="L362" s="20"/>
      <c r="M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66" t="str">
        <f t="shared" si="2"/>
        <v/>
      </c>
      <c r="K363" s="20"/>
      <c r="L363" s="20"/>
      <c r="M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66" t="str">
        <f t="shared" si="2"/>
        <v/>
      </c>
      <c r="K364" s="20"/>
      <c r="L364" s="20"/>
      <c r="M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66" t="str">
        <f t="shared" si="2"/>
        <v/>
      </c>
      <c r="K365" s="20"/>
      <c r="L365" s="20"/>
      <c r="M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66" t="str">
        <f t="shared" si="2"/>
        <v/>
      </c>
      <c r="K366" s="20"/>
      <c r="L366" s="20"/>
      <c r="M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66" t="str">
        <f t="shared" si="2"/>
        <v/>
      </c>
      <c r="K367" s="20"/>
      <c r="L367" s="20"/>
      <c r="M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66" t="str">
        <f t="shared" si="2"/>
        <v/>
      </c>
      <c r="K368" s="20"/>
      <c r="L368" s="20"/>
      <c r="M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66" t="str">
        <f t="shared" si="2"/>
        <v/>
      </c>
      <c r="K369" s="20"/>
      <c r="L369" s="20"/>
      <c r="M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66" t="str">
        <f t="shared" si="2"/>
        <v/>
      </c>
      <c r="K370" s="20"/>
      <c r="L370" s="20"/>
      <c r="M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66" t="str">
        <f t="shared" si="2"/>
        <v/>
      </c>
      <c r="K371" s="20"/>
      <c r="L371" s="20"/>
      <c r="M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66" t="str">
        <f t="shared" si="2"/>
        <v/>
      </c>
      <c r="K372" s="20"/>
      <c r="L372" s="20"/>
      <c r="M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66" t="str">
        <f t="shared" si="2"/>
        <v/>
      </c>
      <c r="K373" s="20"/>
      <c r="L373" s="20"/>
      <c r="M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66" t="str">
        <f t="shared" si="2"/>
        <v/>
      </c>
      <c r="K374" s="20"/>
      <c r="L374" s="20"/>
      <c r="M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66" t="str">
        <f t="shared" si="2"/>
        <v/>
      </c>
      <c r="K375" s="20"/>
      <c r="L375" s="20"/>
      <c r="M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66" t="str">
        <f t="shared" si="2"/>
        <v/>
      </c>
      <c r="K376" s="20"/>
      <c r="L376" s="20"/>
      <c r="M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66" t="str">
        <f t="shared" si="2"/>
        <v/>
      </c>
      <c r="K377" s="20"/>
      <c r="L377" s="20"/>
      <c r="M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66" t="str">
        <f t="shared" si="2"/>
        <v/>
      </c>
      <c r="K378" s="20"/>
      <c r="L378" s="20"/>
      <c r="M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66" t="str">
        <f t="shared" si="2"/>
        <v/>
      </c>
      <c r="K379" s="20"/>
      <c r="L379" s="20"/>
      <c r="M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66" t="str">
        <f t="shared" si="2"/>
        <v/>
      </c>
      <c r="K380" s="20"/>
      <c r="L380" s="20"/>
      <c r="M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66" t="str">
        <f t="shared" si="2"/>
        <v/>
      </c>
      <c r="K381" s="20"/>
      <c r="L381" s="20"/>
      <c r="M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66" t="str">
        <f t="shared" si="2"/>
        <v/>
      </c>
      <c r="K382" s="20"/>
      <c r="L382" s="20"/>
      <c r="M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66" t="str">
        <f t="shared" si="2"/>
        <v/>
      </c>
      <c r="K383" s="20"/>
      <c r="L383" s="20"/>
      <c r="M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66" t="str">
        <f t="shared" si="2"/>
        <v/>
      </c>
      <c r="K384" s="20"/>
      <c r="L384" s="20"/>
      <c r="M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66" t="str">
        <f t="shared" si="2"/>
        <v/>
      </c>
      <c r="K385" s="20"/>
      <c r="L385" s="20"/>
      <c r="M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66" t="str">
        <f t="shared" si="2"/>
        <v/>
      </c>
      <c r="K386" s="20"/>
      <c r="L386" s="20"/>
      <c r="M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66" t="str">
        <f t="shared" si="2"/>
        <v/>
      </c>
      <c r="K387" s="20"/>
      <c r="L387" s="20"/>
      <c r="M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66" t="str">
        <f t="shared" si="2"/>
        <v/>
      </c>
      <c r="K388" s="20"/>
      <c r="L388" s="20"/>
      <c r="M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66" t="str">
        <f t="shared" si="2"/>
        <v/>
      </c>
      <c r="K389" s="20"/>
      <c r="L389" s="20"/>
      <c r="M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66" t="str">
        <f t="shared" si="2"/>
        <v/>
      </c>
      <c r="K390" s="20"/>
      <c r="L390" s="20"/>
      <c r="M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66" t="str">
        <f t="shared" si="2"/>
        <v/>
      </c>
      <c r="K391" s="20"/>
      <c r="L391" s="20"/>
      <c r="M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66" t="str">
        <f t="shared" si="2"/>
        <v/>
      </c>
      <c r="K392" s="20"/>
      <c r="L392" s="20"/>
      <c r="M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66" t="str">
        <f t="shared" si="2"/>
        <v/>
      </c>
      <c r="K393" s="20"/>
      <c r="L393" s="20"/>
      <c r="M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66" t="str">
        <f t="shared" si="2"/>
        <v/>
      </c>
      <c r="K394" s="20"/>
      <c r="L394" s="20"/>
      <c r="M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66" t="str">
        <f t="shared" si="2"/>
        <v/>
      </c>
      <c r="K395" s="20"/>
      <c r="L395" s="20"/>
      <c r="M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66" t="str">
        <f t="shared" si="2"/>
        <v/>
      </c>
      <c r="K396" s="20"/>
      <c r="L396" s="20"/>
      <c r="M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66" t="str">
        <f t="shared" si="2"/>
        <v/>
      </c>
      <c r="K397" s="20"/>
      <c r="L397" s="20"/>
      <c r="M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66" t="str">
        <f t="shared" si="2"/>
        <v/>
      </c>
      <c r="K398" s="20"/>
      <c r="L398" s="20"/>
      <c r="M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66" t="str">
        <f t="shared" si="2"/>
        <v/>
      </c>
      <c r="K399" s="20"/>
      <c r="L399" s="20"/>
      <c r="M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66" t="str">
        <f t="shared" si="2"/>
        <v/>
      </c>
      <c r="K400" s="20"/>
      <c r="L400" s="20"/>
      <c r="M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66" t="str">
        <f t="shared" si="2"/>
        <v/>
      </c>
      <c r="K401" s="20"/>
      <c r="L401" s="20"/>
      <c r="M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66" t="str">
        <f t="shared" si="2"/>
        <v/>
      </c>
      <c r="K402" s="20"/>
      <c r="L402" s="20"/>
      <c r="M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66" t="str">
        <f t="shared" si="2"/>
        <v/>
      </c>
      <c r="K403" s="20"/>
      <c r="L403" s="20"/>
      <c r="M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66" t="str">
        <f t="shared" si="2"/>
        <v/>
      </c>
      <c r="K404" s="20"/>
      <c r="L404" s="20"/>
      <c r="M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66" t="str">
        <f t="shared" si="2"/>
        <v/>
      </c>
      <c r="K405" s="20"/>
      <c r="L405" s="20"/>
      <c r="M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66" t="str">
        <f t="shared" si="2"/>
        <v/>
      </c>
      <c r="K406" s="20"/>
      <c r="L406" s="20"/>
      <c r="M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66" t="str">
        <f t="shared" si="2"/>
        <v/>
      </c>
      <c r="K407" s="20"/>
      <c r="L407" s="20"/>
      <c r="M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66" t="str">
        <f t="shared" si="2"/>
        <v/>
      </c>
      <c r="K408" s="20"/>
      <c r="L408" s="20"/>
      <c r="M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66" t="str">
        <f t="shared" si="2"/>
        <v/>
      </c>
      <c r="K409" s="20"/>
      <c r="L409" s="20"/>
      <c r="M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66" t="str">
        <f t="shared" si="2"/>
        <v/>
      </c>
      <c r="K410" s="20"/>
      <c r="L410" s="20"/>
      <c r="M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66" t="str">
        <f t="shared" si="2"/>
        <v/>
      </c>
      <c r="K411" s="20"/>
      <c r="L411" s="20"/>
      <c r="M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66" t="str">
        <f t="shared" si="2"/>
        <v/>
      </c>
      <c r="K412" s="20"/>
      <c r="L412" s="20"/>
      <c r="M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66" t="str">
        <f t="shared" si="2"/>
        <v/>
      </c>
      <c r="K413" s="20"/>
      <c r="L413" s="20"/>
      <c r="M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66" t="str">
        <f t="shared" si="2"/>
        <v/>
      </c>
      <c r="K414" s="20"/>
      <c r="L414" s="20"/>
      <c r="M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66" t="str">
        <f t="shared" si="2"/>
        <v/>
      </c>
      <c r="K415" s="20"/>
      <c r="L415" s="20"/>
      <c r="M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66" t="str">
        <f t="shared" si="2"/>
        <v/>
      </c>
      <c r="K416" s="20"/>
      <c r="L416" s="20"/>
      <c r="M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66" t="str">
        <f t="shared" si="2"/>
        <v/>
      </c>
      <c r="K417" s="20"/>
      <c r="L417" s="20"/>
      <c r="M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66" t="str">
        <f t="shared" si="2"/>
        <v/>
      </c>
      <c r="K418" s="20"/>
      <c r="L418" s="20"/>
      <c r="M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66" t="str">
        <f t="shared" si="2"/>
        <v/>
      </c>
      <c r="K419" s="20"/>
      <c r="L419" s="20"/>
      <c r="M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66" t="str">
        <f t="shared" si="2"/>
        <v/>
      </c>
      <c r="K420" s="20"/>
      <c r="L420" s="20"/>
      <c r="M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66" t="str">
        <f t="shared" si="2"/>
        <v/>
      </c>
      <c r="K421" s="20"/>
      <c r="L421" s="20"/>
      <c r="M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66" t="str">
        <f t="shared" si="2"/>
        <v/>
      </c>
      <c r="K422" s="20"/>
      <c r="L422" s="20"/>
      <c r="M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66" t="str">
        <f t="shared" si="2"/>
        <v/>
      </c>
      <c r="K423" s="20"/>
      <c r="L423" s="20"/>
      <c r="M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66" t="str">
        <f t="shared" si="2"/>
        <v/>
      </c>
      <c r="K424" s="20"/>
      <c r="L424" s="20"/>
      <c r="M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66" t="str">
        <f t="shared" si="2"/>
        <v/>
      </c>
      <c r="K425" s="20"/>
      <c r="L425" s="20"/>
      <c r="M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66" t="str">
        <f t="shared" si="2"/>
        <v/>
      </c>
      <c r="K426" s="20"/>
      <c r="L426" s="20"/>
      <c r="M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66" t="str">
        <f t="shared" si="2"/>
        <v/>
      </c>
      <c r="K427" s="20"/>
      <c r="L427" s="20"/>
      <c r="M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66" t="str">
        <f t="shared" si="2"/>
        <v/>
      </c>
      <c r="K428" s="20"/>
      <c r="L428" s="20"/>
      <c r="M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66" t="str">
        <f t="shared" si="2"/>
        <v/>
      </c>
      <c r="K429" s="20"/>
      <c r="L429" s="20"/>
      <c r="M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66" t="str">
        <f t="shared" si="2"/>
        <v/>
      </c>
      <c r="K430" s="20"/>
      <c r="L430" s="20"/>
      <c r="M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66" t="str">
        <f t="shared" si="2"/>
        <v/>
      </c>
      <c r="K431" s="20"/>
      <c r="L431" s="20"/>
      <c r="M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66" t="str">
        <f t="shared" si="2"/>
        <v/>
      </c>
      <c r="K432" s="20"/>
      <c r="L432" s="20"/>
      <c r="M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66" t="str">
        <f t="shared" si="2"/>
        <v/>
      </c>
      <c r="K433" s="20"/>
      <c r="L433" s="20"/>
      <c r="M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66" t="str">
        <f t="shared" si="2"/>
        <v/>
      </c>
      <c r="K434" s="20"/>
      <c r="L434" s="20"/>
      <c r="M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66" t="str">
        <f t="shared" si="2"/>
        <v/>
      </c>
      <c r="K435" s="20"/>
      <c r="L435" s="20"/>
      <c r="M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66" t="str">
        <f t="shared" si="2"/>
        <v/>
      </c>
      <c r="K436" s="20"/>
      <c r="L436" s="20"/>
      <c r="M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66" t="str">
        <f t="shared" si="2"/>
        <v/>
      </c>
      <c r="K437" s="20"/>
      <c r="L437" s="20"/>
      <c r="M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66" t="str">
        <f t="shared" si="2"/>
        <v/>
      </c>
      <c r="K438" s="20"/>
      <c r="L438" s="20"/>
      <c r="M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66" t="str">
        <f t="shared" si="2"/>
        <v/>
      </c>
      <c r="K439" s="20"/>
      <c r="L439" s="20"/>
      <c r="M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66" t="str">
        <f t="shared" si="2"/>
        <v/>
      </c>
      <c r="K440" s="20"/>
      <c r="L440" s="20"/>
      <c r="M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66" t="str">
        <f t="shared" si="2"/>
        <v/>
      </c>
      <c r="K441" s="20"/>
      <c r="L441" s="20"/>
      <c r="M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66" t="str">
        <f t="shared" si="2"/>
        <v/>
      </c>
      <c r="K442" s="20"/>
      <c r="L442" s="20"/>
      <c r="M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66" t="str">
        <f t="shared" si="2"/>
        <v/>
      </c>
      <c r="K443" s="20"/>
      <c r="L443" s="20"/>
      <c r="M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66" t="str">
        <f t="shared" si="2"/>
        <v/>
      </c>
      <c r="K444" s="20"/>
      <c r="L444" s="20"/>
      <c r="M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66" t="str">
        <f t="shared" si="2"/>
        <v/>
      </c>
      <c r="K445" s="20"/>
      <c r="L445" s="20"/>
      <c r="M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66" t="str">
        <f t="shared" si="2"/>
        <v/>
      </c>
      <c r="K446" s="20"/>
      <c r="L446" s="20"/>
      <c r="M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66" t="str">
        <f t="shared" si="2"/>
        <v/>
      </c>
      <c r="K447" s="20"/>
      <c r="L447" s="20"/>
      <c r="M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66" t="str">
        <f t="shared" si="2"/>
        <v/>
      </c>
      <c r="K448" s="20"/>
      <c r="L448" s="20"/>
      <c r="M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66" t="str">
        <f t="shared" si="2"/>
        <v/>
      </c>
      <c r="K449" s="20"/>
      <c r="L449" s="20"/>
      <c r="M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66" t="str">
        <f t="shared" si="2"/>
        <v/>
      </c>
      <c r="K450" s="20"/>
      <c r="L450" s="20"/>
      <c r="M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66" t="str">
        <f t="shared" si="2"/>
        <v/>
      </c>
      <c r="K451" s="20"/>
      <c r="L451" s="20"/>
      <c r="M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66" t="str">
        <f t="shared" si="2"/>
        <v/>
      </c>
      <c r="K452" s="20"/>
      <c r="L452" s="20"/>
      <c r="M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66" t="str">
        <f t="shared" si="2"/>
        <v/>
      </c>
      <c r="K453" s="20"/>
      <c r="L453" s="20"/>
      <c r="M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66" t="str">
        <f t="shared" si="2"/>
        <v/>
      </c>
      <c r="K454" s="20"/>
      <c r="L454" s="20"/>
      <c r="M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66" t="str">
        <f t="shared" si="2"/>
        <v/>
      </c>
      <c r="K455" s="20"/>
      <c r="L455" s="20"/>
      <c r="M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66" t="str">
        <f t="shared" si="2"/>
        <v/>
      </c>
      <c r="K456" s="20"/>
      <c r="L456" s="20"/>
      <c r="M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66" t="str">
        <f t="shared" si="2"/>
        <v/>
      </c>
      <c r="K457" s="20"/>
      <c r="L457" s="20"/>
      <c r="M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66" t="str">
        <f t="shared" si="2"/>
        <v/>
      </c>
      <c r="K458" s="20"/>
      <c r="L458" s="20"/>
      <c r="M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66" t="str">
        <f t="shared" si="2"/>
        <v/>
      </c>
      <c r="K459" s="20"/>
      <c r="L459" s="20"/>
      <c r="M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66" t="str">
        <f t="shared" si="2"/>
        <v/>
      </c>
      <c r="K460" s="20"/>
      <c r="L460" s="20"/>
      <c r="M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66" t="str">
        <f t="shared" si="2"/>
        <v/>
      </c>
      <c r="K461" s="20"/>
      <c r="L461" s="20"/>
      <c r="M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66" t="str">
        <f t="shared" si="2"/>
        <v/>
      </c>
      <c r="K462" s="20"/>
      <c r="L462" s="20"/>
      <c r="M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66" t="str">
        <f t="shared" si="2"/>
        <v/>
      </c>
      <c r="K463" s="20"/>
      <c r="L463" s="20"/>
      <c r="M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66" t="str">
        <f t="shared" si="2"/>
        <v/>
      </c>
      <c r="K464" s="20"/>
      <c r="L464" s="20"/>
      <c r="M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66" t="str">
        <f t="shared" si="2"/>
        <v/>
      </c>
      <c r="K465" s="20"/>
      <c r="L465" s="20"/>
      <c r="M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66" t="str">
        <f t="shared" si="2"/>
        <v/>
      </c>
      <c r="K466" s="20"/>
      <c r="L466" s="20"/>
      <c r="M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66" t="str">
        <f t="shared" si="2"/>
        <v/>
      </c>
      <c r="K467" s="20"/>
      <c r="L467" s="20"/>
      <c r="M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66" t="str">
        <f t="shared" si="2"/>
        <v/>
      </c>
      <c r="K468" s="20"/>
      <c r="L468" s="20"/>
      <c r="M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66" t="str">
        <f t="shared" si="2"/>
        <v/>
      </c>
      <c r="K469" s="20"/>
      <c r="L469" s="20"/>
      <c r="M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66" t="str">
        <f t="shared" si="2"/>
        <v/>
      </c>
      <c r="K470" s="20"/>
      <c r="L470" s="20"/>
      <c r="M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66" t="str">
        <f t="shared" si="2"/>
        <v/>
      </c>
      <c r="K471" s="20"/>
      <c r="L471" s="20"/>
      <c r="M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66" t="str">
        <f t="shared" si="2"/>
        <v/>
      </c>
      <c r="K472" s="20"/>
      <c r="L472" s="20"/>
      <c r="M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66" t="str">
        <f t="shared" si="2"/>
        <v/>
      </c>
      <c r="K473" s="20"/>
      <c r="L473" s="20"/>
      <c r="M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66" t="str">
        <f t="shared" si="2"/>
        <v/>
      </c>
      <c r="K474" s="20"/>
      <c r="L474" s="20"/>
      <c r="M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66" t="str">
        <f t="shared" si="2"/>
        <v/>
      </c>
      <c r="K475" s="20"/>
      <c r="L475" s="20"/>
      <c r="M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66" t="str">
        <f t="shared" si="2"/>
        <v/>
      </c>
      <c r="K476" s="20"/>
      <c r="L476" s="20"/>
      <c r="M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66" t="str">
        <f t="shared" si="2"/>
        <v/>
      </c>
      <c r="K477" s="20"/>
      <c r="L477" s="20"/>
      <c r="M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66" t="str">
        <f t="shared" si="2"/>
        <v/>
      </c>
      <c r="K478" s="20"/>
      <c r="L478" s="20"/>
      <c r="M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66" t="str">
        <f t="shared" si="2"/>
        <v/>
      </c>
      <c r="K479" s="20"/>
      <c r="L479" s="20"/>
      <c r="M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66" t="str">
        <f t="shared" si="2"/>
        <v/>
      </c>
      <c r="K480" s="20"/>
      <c r="L480" s="20"/>
      <c r="M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66" t="str">
        <f t="shared" si="2"/>
        <v/>
      </c>
      <c r="K481" s="20"/>
      <c r="L481" s="20"/>
      <c r="M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66" t="str">
        <f t="shared" si="2"/>
        <v/>
      </c>
      <c r="K482" s="20"/>
      <c r="L482" s="20"/>
      <c r="M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66" t="str">
        <f t="shared" si="2"/>
        <v/>
      </c>
      <c r="K483" s="20"/>
      <c r="L483" s="20"/>
      <c r="M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66" t="str">
        <f t="shared" si="2"/>
        <v/>
      </c>
      <c r="K484" s="20"/>
      <c r="L484" s="20"/>
      <c r="M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66" t="str">
        <f t="shared" si="2"/>
        <v/>
      </c>
      <c r="K485" s="20"/>
      <c r="L485" s="20"/>
      <c r="M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66" t="str">
        <f t="shared" si="2"/>
        <v/>
      </c>
      <c r="K486" s="20"/>
      <c r="L486" s="20"/>
      <c r="M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66" t="str">
        <f t="shared" si="2"/>
        <v/>
      </c>
      <c r="K487" s="20"/>
      <c r="L487" s="20"/>
      <c r="M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66" t="str">
        <f t="shared" si="2"/>
        <v/>
      </c>
      <c r="K488" s="20"/>
      <c r="L488" s="20"/>
      <c r="M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66" t="str">
        <f t="shared" si="2"/>
        <v/>
      </c>
      <c r="K489" s="20"/>
      <c r="L489" s="20"/>
      <c r="M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66" t="str">
        <f t="shared" si="2"/>
        <v/>
      </c>
      <c r="K490" s="20"/>
      <c r="L490" s="20"/>
      <c r="M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66" t="str">
        <f t="shared" si="2"/>
        <v/>
      </c>
      <c r="K491" s="20"/>
      <c r="L491" s="20"/>
      <c r="M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66" t="str">
        <f t="shared" si="2"/>
        <v/>
      </c>
      <c r="K492" s="20"/>
      <c r="L492" s="20"/>
      <c r="M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66" t="str">
        <f t="shared" si="2"/>
        <v/>
      </c>
      <c r="K493" s="20"/>
      <c r="L493" s="20"/>
      <c r="M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66" t="str">
        <f t="shared" si="2"/>
        <v/>
      </c>
      <c r="K494" s="20"/>
      <c r="L494" s="20"/>
      <c r="M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66" t="str">
        <f t="shared" si="2"/>
        <v/>
      </c>
      <c r="K495" s="20"/>
      <c r="L495" s="20"/>
      <c r="M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66" t="str">
        <f t="shared" si="2"/>
        <v/>
      </c>
      <c r="K496" s="20"/>
      <c r="L496" s="20"/>
      <c r="M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66" t="str">
        <f t="shared" si="2"/>
        <v/>
      </c>
      <c r="K497" s="20"/>
      <c r="L497" s="20"/>
      <c r="M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66" t="str">
        <f t="shared" si="2"/>
        <v/>
      </c>
      <c r="K498" s="20"/>
      <c r="L498" s="20"/>
      <c r="M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66" t="str">
        <f t="shared" si="2"/>
        <v/>
      </c>
      <c r="K499" s="20"/>
      <c r="L499" s="20"/>
      <c r="M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66" t="str">
        <f t="shared" si="2"/>
        <v/>
      </c>
      <c r="K500" s="20"/>
      <c r="L500" s="20"/>
      <c r="M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66" t="str">
        <f t="shared" si="2"/>
        <v/>
      </c>
      <c r="K501" s="20"/>
      <c r="L501" s="20"/>
      <c r="M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66" t="str">
        <f t="shared" si="2"/>
        <v/>
      </c>
      <c r="K502" s="20"/>
      <c r="L502" s="20"/>
      <c r="M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66" t="str">
        <f t="shared" si="2"/>
        <v/>
      </c>
      <c r="K503" s="20"/>
      <c r="L503" s="20"/>
      <c r="M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66" t="str">
        <f t="shared" si="2"/>
        <v/>
      </c>
      <c r="K504" s="20"/>
      <c r="L504" s="20"/>
      <c r="M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66" t="str">
        <f t="shared" si="2"/>
        <v/>
      </c>
      <c r="K505" s="20"/>
      <c r="L505" s="20"/>
      <c r="M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66" t="str">
        <f t="shared" si="2"/>
        <v/>
      </c>
      <c r="K506" s="20"/>
      <c r="L506" s="20"/>
      <c r="M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66" t="str">
        <f t="shared" si="2"/>
        <v/>
      </c>
      <c r="K507" s="20"/>
      <c r="L507" s="20"/>
      <c r="M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66" t="str">
        <f t="shared" si="2"/>
        <v/>
      </c>
      <c r="K508" s="20"/>
      <c r="L508" s="20"/>
      <c r="M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66" t="str">
        <f t="shared" si="2"/>
        <v/>
      </c>
      <c r="K509" s="20"/>
      <c r="L509" s="20"/>
      <c r="M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66" t="str">
        <f t="shared" si="2"/>
        <v/>
      </c>
      <c r="K510" s="20"/>
      <c r="L510" s="20"/>
      <c r="M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66" t="str">
        <f t="shared" si="2"/>
        <v/>
      </c>
      <c r="K511" s="20"/>
      <c r="L511" s="20"/>
      <c r="M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66" t="str">
        <f t="shared" si="2"/>
        <v/>
      </c>
      <c r="K512" s="20"/>
      <c r="L512" s="20"/>
      <c r="M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66" t="str">
        <f t="shared" si="2"/>
        <v/>
      </c>
      <c r="K513" s="20"/>
      <c r="L513" s="20"/>
      <c r="M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66" t="str">
        <f t="shared" si="2"/>
        <v/>
      </c>
      <c r="K514" s="20"/>
      <c r="L514" s="20"/>
      <c r="M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66" t="str">
        <f t="shared" si="2"/>
        <v/>
      </c>
      <c r="K515" s="20"/>
      <c r="L515" s="20"/>
      <c r="M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66" t="str">
        <f t="shared" si="2"/>
        <v/>
      </c>
      <c r="K516" s="20"/>
      <c r="L516" s="20"/>
      <c r="M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66" t="str">
        <f t="shared" si="2"/>
        <v/>
      </c>
      <c r="K517" s="20"/>
      <c r="L517" s="20"/>
      <c r="M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66" t="str">
        <f t="shared" si="2"/>
        <v/>
      </c>
      <c r="K518" s="20"/>
      <c r="L518" s="20"/>
      <c r="M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66" t="str">
        <f t="shared" si="2"/>
        <v/>
      </c>
      <c r="K519" s="20"/>
      <c r="L519" s="20"/>
      <c r="M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66" t="str">
        <f t="shared" si="2"/>
        <v/>
      </c>
      <c r="K520" s="20"/>
      <c r="L520" s="20"/>
      <c r="M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66" t="str">
        <f t="shared" si="2"/>
        <v/>
      </c>
      <c r="K521" s="20"/>
      <c r="L521" s="20"/>
      <c r="M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66" t="str">
        <f t="shared" si="2"/>
        <v/>
      </c>
      <c r="K522" s="20"/>
      <c r="L522" s="20"/>
      <c r="M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66" t="str">
        <f t="shared" si="2"/>
        <v/>
      </c>
      <c r="K523" s="20"/>
      <c r="L523" s="20"/>
      <c r="M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66" t="str">
        <f t="shared" si="2"/>
        <v/>
      </c>
      <c r="K524" s="20"/>
      <c r="L524" s="20"/>
      <c r="M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66" t="str">
        <f t="shared" si="2"/>
        <v/>
      </c>
      <c r="K525" s="20"/>
      <c r="L525" s="20"/>
      <c r="M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66" t="str">
        <f t="shared" si="2"/>
        <v/>
      </c>
      <c r="K526" s="20"/>
      <c r="L526" s="20"/>
      <c r="M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66" t="str">
        <f t="shared" si="2"/>
        <v/>
      </c>
      <c r="K527" s="20"/>
      <c r="L527" s="20"/>
      <c r="M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66" t="str">
        <f t="shared" si="2"/>
        <v/>
      </c>
      <c r="K528" s="20"/>
      <c r="L528" s="20"/>
      <c r="M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66" t="str">
        <f t="shared" si="2"/>
        <v/>
      </c>
      <c r="K529" s="20"/>
      <c r="L529" s="20"/>
      <c r="M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66" t="str">
        <f t="shared" si="2"/>
        <v/>
      </c>
      <c r="K530" s="20"/>
      <c r="L530" s="20"/>
      <c r="M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66" t="str">
        <f t="shared" si="2"/>
        <v/>
      </c>
      <c r="K531" s="20"/>
      <c r="L531" s="20"/>
      <c r="M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66" t="str">
        <f t="shared" si="2"/>
        <v/>
      </c>
      <c r="K532" s="20"/>
      <c r="L532" s="20"/>
      <c r="M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66" t="str">
        <f t="shared" si="2"/>
        <v/>
      </c>
      <c r="K533" s="20"/>
      <c r="L533" s="20"/>
      <c r="M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66" t="str">
        <f t="shared" si="2"/>
        <v/>
      </c>
      <c r="K534" s="20"/>
      <c r="L534" s="20"/>
      <c r="M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66" t="str">
        <f t="shared" si="2"/>
        <v/>
      </c>
      <c r="K535" s="20"/>
      <c r="L535" s="20"/>
      <c r="M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66" t="str">
        <f t="shared" si="2"/>
        <v/>
      </c>
      <c r="K536" s="20"/>
      <c r="L536" s="20"/>
      <c r="M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66" t="str">
        <f t="shared" si="2"/>
        <v/>
      </c>
      <c r="K537" s="20"/>
      <c r="L537" s="20"/>
      <c r="M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66" t="str">
        <f t="shared" si="2"/>
        <v/>
      </c>
      <c r="K538" s="20"/>
      <c r="L538" s="20"/>
      <c r="M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66" t="str">
        <f t="shared" si="2"/>
        <v/>
      </c>
      <c r="K539" s="20"/>
      <c r="L539" s="20"/>
      <c r="M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66" t="str">
        <f t="shared" si="2"/>
        <v/>
      </c>
      <c r="K540" s="20"/>
      <c r="L540" s="20"/>
      <c r="M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66" t="str">
        <f t="shared" si="2"/>
        <v/>
      </c>
      <c r="K541" s="20"/>
      <c r="L541" s="20"/>
      <c r="M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66" t="str">
        <f t="shared" si="2"/>
        <v/>
      </c>
      <c r="K542" s="20"/>
      <c r="L542" s="20"/>
      <c r="M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66" t="str">
        <f t="shared" si="2"/>
        <v/>
      </c>
      <c r="K543" s="20"/>
      <c r="L543" s="20"/>
      <c r="M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66" t="str">
        <f t="shared" si="2"/>
        <v/>
      </c>
      <c r="K544" s="20"/>
      <c r="L544" s="20"/>
      <c r="M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66" t="str">
        <f t="shared" si="2"/>
        <v/>
      </c>
      <c r="K545" s="20"/>
      <c r="L545" s="20"/>
      <c r="M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66" t="str">
        <f t="shared" si="2"/>
        <v/>
      </c>
      <c r="K546" s="20"/>
      <c r="L546" s="20"/>
      <c r="M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66" t="str">
        <f t="shared" si="2"/>
        <v/>
      </c>
      <c r="K547" s="20"/>
      <c r="L547" s="20"/>
      <c r="M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66" t="str">
        <f t="shared" si="2"/>
        <v/>
      </c>
      <c r="K548" s="20"/>
      <c r="L548" s="20"/>
      <c r="M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66" t="str">
        <f t="shared" si="2"/>
        <v/>
      </c>
      <c r="K549" s="20"/>
      <c r="L549" s="20"/>
      <c r="M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66" t="str">
        <f t="shared" si="2"/>
        <v/>
      </c>
      <c r="K550" s="20"/>
      <c r="L550" s="20"/>
      <c r="M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66" t="str">
        <f t="shared" si="2"/>
        <v/>
      </c>
      <c r="K551" s="20"/>
      <c r="L551" s="20"/>
      <c r="M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66" t="str">
        <f t="shared" si="2"/>
        <v/>
      </c>
      <c r="K552" s="20"/>
      <c r="L552" s="20"/>
      <c r="M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66" t="str">
        <f t="shared" si="2"/>
        <v/>
      </c>
      <c r="K553" s="20"/>
      <c r="L553" s="20"/>
      <c r="M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66" t="str">
        <f t="shared" si="2"/>
        <v/>
      </c>
      <c r="K554" s="20"/>
      <c r="L554" s="20"/>
      <c r="M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66" t="str">
        <f t="shared" si="2"/>
        <v/>
      </c>
      <c r="K555" s="20"/>
      <c r="L555" s="20"/>
      <c r="M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66" t="str">
        <f t="shared" si="2"/>
        <v/>
      </c>
      <c r="K556" s="20"/>
      <c r="L556" s="20"/>
      <c r="M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66" t="str">
        <f t="shared" si="2"/>
        <v/>
      </c>
      <c r="K557" s="20"/>
      <c r="L557" s="20"/>
      <c r="M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66" t="str">
        <f t="shared" si="2"/>
        <v/>
      </c>
      <c r="K558" s="20"/>
      <c r="L558" s="20"/>
      <c r="M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66" t="str">
        <f t="shared" si="2"/>
        <v/>
      </c>
      <c r="K559" s="20"/>
      <c r="L559" s="20"/>
      <c r="M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66" t="str">
        <f t="shared" si="2"/>
        <v/>
      </c>
      <c r="K560" s="20"/>
      <c r="L560" s="20"/>
      <c r="M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66" t="str">
        <f t="shared" si="2"/>
        <v/>
      </c>
      <c r="K561" s="20"/>
      <c r="L561" s="20"/>
      <c r="M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66" t="str">
        <f t="shared" si="2"/>
        <v/>
      </c>
      <c r="K562" s="20"/>
      <c r="L562" s="20"/>
      <c r="M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66" t="str">
        <f t="shared" si="2"/>
        <v/>
      </c>
      <c r="K563" s="20"/>
      <c r="L563" s="20"/>
      <c r="M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66" t="str">
        <f t="shared" si="2"/>
        <v/>
      </c>
      <c r="K564" s="20"/>
      <c r="L564" s="20"/>
      <c r="M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66" t="str">
        <f t="shared" si="2"/>
        <v/>
      </c>
      <c r="K565" s="20"/>
      <c r="L565" s="20"/>
      <c r="M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66" t="str">
        <f t="shared" si="2"/>
        <v/>
      </c>
      <c r="K566" s="20"/>
      <c r="L566" s="20"/>
      <c r="M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66" t="str">
        <f t="shared" si="2"/>
        <v/>
      </c>
      <c r="K567" s="20"/>
      <c r="L567" s="20"/>
      <c r="M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66" t="str">
        <f t="shared" si="2"/>
        <v/>
      </c>
      <c r="K568" s="20"/>
      <c r="L568" s="20"/>
      <c r="M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66" t="str">
        <f t="shared" si="2"/>
        <v/>
      </c>
      <c r="K569" s="20"/>
      <c r="L569" s="20"/>
      <c r="M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66" t="str">
        <f t="shared" si="2"/>
        <v/>
      </c>
      <c r="K570" s="20"/>
      <c r="L570" s="20"/>
      <c r="M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66" t="str">
        <f t="shared" si="2"/>
        <v/>
      </c>
      <c r="K571" s="20"/>
      <c r="L571" s="20"/>
      <c r="M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66" t="str">
        <f t="shared" si="2"/>
        <v/>
      </c>
      <c r="K572" s="20"/>
      <c r="L572" s="20"/>
      <c r="M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66" t="str">
        <f t="shared" si="2"/>
        <v/>
      </c>
      <c r="K573" s="20"/>
      <c r="L573" s="20"/>
      <c r="M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66" t="str">
        <f t="shared" si="2"/>
        <v/>
      </c>
      <c r="K574" s="20"/>
      <c r="L574" s="20"/>
      <c r="M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66" t="str">
        <f t="shared" si="2"/>
        <v/>
      </c>
      <c r="K575" s="20"/>
      <c r="L575" s="20"/>
      <c r="M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66" t="str">
        <f t="shared" si="2"/>
        <v/>
      </c>
      <c r="K576" s="20"/>
      <c r="L576" s="20"/>
      <c r="M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66" t="str">
        <f t="shared" si="2"/>
        <v/>
      </c>
      <c r="K577" s="20"/>
      <c r="L577" s="20"/>
      <c r="M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66" t="str">
        <f t="shared" si="2"/>
        <v/>
      </c>
      <c r="K578" s="20"/>
      <c r="L578" s="20"/>
      <c r="M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66" t="str">
        <f t="shared" si="2"/>
        <v/>
      </c>
      <c r="K579" s="20"/>
      <c r="L579" s="20"/>
      <c r="M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66" t="str">
        <f t="shared" si="2"/>
        <v/>
      </c>
      <c r="K580" s="20"/>
      <c r="L580" s="20"/>
      <c r="M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66" t="str">
        <f t="shared" si="2"/>
        <v/>
      </c>
      <c r="K581" s="20"/>
      <c r="L581" s="20"/>
      <c r="M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66" t="str">
        <f t="shared" si="2"/>
        <v/>
      </c>
      <c r="K582" s="20"/>
      <c r="L582" s="20"/>
      <c r="M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66" t="str">
        <f t="shared" si="2"/>
        <v/>
      </c>
      <c r="K583" s="20"/>
      <c r="L583" s="20"/>
      <c r="M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66" t="str">
        <f t="shared" si="2"/>
        <v/>
      </c>
      <c r="K584" s="20"/>
      <c r="L584" s="20"/>
      <c r="M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66" t="str">
        <f t="shared" si="2"/>
        <v/>
      </c>
      <c r="K585" s="20"/>
      <c r="L585" s="20"/>
      <c r="M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66" t="str">
        <f t="shared" si="2"/>
        <v/>
      </c>
      <c r="K586" s="20"/>
      <c r="L586" s="20"/>
      <c r="M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66" t="str">
        <f t="shared" si="2"/>
        <v/>
      </c>
      <c r="K587" s="20"/>
      <c r="L587" s="20"/>
      <c r="M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66" t="str">
        <f t="shared" si="2"/>
        <v/>
      </c>
      <c r="K588" s="20"/>
      <c r="L588" s="20"/>
      <c r="M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66" t="str">
        <f t="shared" si="2"/>
        <v/>
      </c>
      <c r="K589" s="20"/>
      <c r="L589" s="20"/>
      <c r="M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66" t="str">
        <f t="shared" si="2"/>
        <v/>
      </c>
      <c r="K590" s="20"/>
      <c r="L590" s="20"/>
      <c r="M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66" t="str">
        <f t="shared" si="2"/>
        <v/>
      </c>
      <c r="K591" s="20"/>
      <c r="L591" s="20"/>
      <c r="M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66" t="str">
        <f t="shared" si="2"/>
        <v/>
      </c>
      <c r="K592" s="20"/>
      <c r="L592" s="20"/>
      <c r="M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66" t="str">
        <f t="shared" si="2"/>
        <v/>
      </c>
      <c r="K593" s="20"/>
      <c r="L593" s="20"/>
      <c r="M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66" t="str">
        <f t="shared" si="2"/>
        <v/>
      </c>
      <c r="K594" s="20"/>
      <c r="L594" s="20"/>
      <c r="M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66" t="str">
        <f t="shared" si="2"/>
        <v/>
      </c>
      <c r="K595" s="20"/>
      <c r="L595" s="20"/>
      <c r="M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66" t="str">
        <f t="shared" si="2"/>
        <v/>
      </c>
      <c r="K596" s="20"/>
      <c r="L596" s="20"/>
      <c r="M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66" t="str">
        <f t="shared" si="2"/>
        <v/>
      </c>
      <c r="K597" s="20"/>
      <c r="L597" s="20"/>
      <c r="M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66" t="str">
        <f t="shared" si="2"/>
        <v/>
      </c>
      <c r="K598" s="20"/>
      <c r="L598" s="20"/>
      <c r="M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66" t="str">
        <f t="shared" si="2"/>
        <v/>
      </c>
      <c r="K599" s="20"/>
      <c r="L599" s="20"/>
      <c r="M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66" t="str">
        <f t="shared" si="2"/>
        <v/>
      </c>
      <c r="K600" s="20"/>
      <c r="L600" s="20"/>
      <c r="M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66" t="str">
        <f t="shared" si="2"/>
        <v/>
      </c>
      <c r="K601" s="20"/>
      <c r="L601" s="20"/>
      <c r="M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66" t="str">
        <f t="shared" si="2"/>
        <v/>
      </c>
      <c r="K602" s="20"/>
      <c r="L602" s="20"/>
      <c r="M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66" t="str">
        <f t="shared" si="2"/>
        <v/>
      </c>
      <c r="K603" s="20"/>
      <c r="L603" s="20"/>
      <c r="M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66" t="str">
        <f t="shared" si="2"/>
        <v/>
      </c>
      <c r="K604" s="20"/>
      <c r="L604" s="20"/>
      <c r="M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66" t="str">
        <f t="shared" si="2"/>
        <v/>
      </c>
      <c r="K605" s="20"/>
      <c r="L605" s="20"/>
      <c r="M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66" t="str">
        <f t="shared" si="2"/>
        <v/>
      </c>
      <c r="K606" s="20"/>
      <c r="L606" s="20"/>
      <c r="M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66" t="str">
        <f t="shared" si="2"/>
        <v/>
      </c>
      <c r="K607" s="20"/>
      <c r="L607" s="20"/>
      <c r="M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66" t="str">
        <f t="shared" si="2"/>
        <v/>
      </c>
      <c r="K608" s="20"/>
      <c r="L608" s="20"/>
      <c r="M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66" t="str">
        <f t="shared" si="2"/>
        <v/>
      </c>
      <c r="K609" s="20"/>
      <c r="L609" s="20"/>
      <c r="M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66" t="str">
        <f t="shared" si="2"/>
        <v/>
      </c>
      <c r="K610" s="20"/>
      <c r="L610" s="20"/>
      <c r="M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66" t="str">
        <f t="shared" si="2"/>
        <v/>
      </c>
      <c r="K611" s="20"/>
      <c r="L611" s="20"/>
      <c r="M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66" t="str">
        <f t="shared" si="2"/>
        <v/>
      </c>
      <c r="K612" s="20"/>
      <c r="L612" s="20"/>
      <c r="M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66" t="str">
        <f t="shared" si="2"/>
        <v/>
      </c>
      <c r="K613" s="20"/>
      <c r="L613" s="20"/>
      <c r="M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66" t="str">
        <f t="shared" si="2"/>
        <v/>
      </c>
      <c r="K614" s="20"/>
      <c r="L614" s="20"/>
      <c r="M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66" t="str">
        <f t="shared" si="2"/>
        <v/>
      </c>
      <c r="K615" s="20"/>
      <c r="L615" s="20"/>
      <c r="M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66" t="str">
        <f t="shared" si="2"/>
        <v/>
      </c>
      <c r="K616" s="20"/>
      <c r="L616" s="20"/>
      <c r="M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66" t="str">
        <f t="shared" si="2"/>
        <v/>
      </c>
      <c r="K617" s="20"/>
      <c r="L617" s="20"/>
      <c r="M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66" t="str">
        <f t="shared" si="2"/>
        <v/>
      </c>
      <c r="K618" s="20"/>
      <c r="L618" s="20"/>
      <c r="M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66" t="str">
        <f t="shared" si="2"/>
        <v/>
      </c>
      <c r="K619" s="20"/>
      <c r="L619" s="20"/>
      <c r="M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66" t="str">
        <f t="shared" si="2"/>
        <v/>
      </c>
      <c r="K620" s="20"/>
      <c r="L620" s="20"/>
      <c r="M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66" t="str">
        <f t="shared" si="2"/>
        <v/>
      </c>
      <c r="K621" s="20"/>
      <c r="L621" s="20"/>
      <c r="M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66" t="str">
        <f t="shared" si="2"/>
        <v/>
      </c>
      <c r="K622" s="20"/>
      <c r="L622" s="20"/>
      <c r="M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66" t="str">
        <f t="shared" si="2"/>
        <v/>
      </c>
      <c r="K623" s="20"/>
      <c r="L623" s="20"/>
      <c r="M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66" t="str">
        <f t="shared" si="2"/>
        <v/>
      </c>
      <c r="K624" s="20"/>
      <c r="L624" s="20"/>
      <c r="M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66" t="str">
        <f t="shared" si="2"/>
        <v/>
      </c>
      <c r="K625" s="20"/>
      <c r="L625" s="20"/>
      <c r="M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66" t="str">
        <f t="shared" si="2"/>
        <v/>
      </c>
      <c r="K626" s="20"/>
      <c r="L626" s="20"/>
      <c r="M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66" t="str">
        <f t="shared" si="2"/>
        <v/>
      </c>
      <c r="K627" s="20"/>
      <c r="L627" s="20"/>
      <c r="M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66" t="str">
        <f t="shared" si="2"/>
        <v/>
      </c>
      <c r="K628" s="20"/>
      <c r="L628" s="20"/>
      <c r="M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66" t="str">
        <f t="shared" si="2"/>
        <v/>
      </c>
      <c r="K629" s="20"/>
      <c r="L629" s="20"/>
      <c r="M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66" t="str">
        <f t="shared" si="2"/>
        <v/>
      </c>
      <c r="K630" s="20"/>
      <c r="L630" s="20"/>
      <c r="M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66" t="str">
        <f t="shared" si="2"/>
        <v/>
      </c>
      <c r="K631" s="20"/>
      <c r="L631" s="20"/>
      <c r="M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66" t="str">
        <f t="shared" si="2"/>
        <v/>
      </c>
      <c r="K632" s="20"/>
      <c r="L632" s="20"/>
      <c r="M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66" t="str">
        <f t="shared" si="2"/>
        <v/>
      </c>
      <c r="K633" s="20"/>
      <c r="L633" s="20"/>
      <c r="M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66" t="str">
        <f t="shared" si="2"/>
        <v/>
      </c>
      <c r="K634" s="20"/>
      <c r="L634" s="20"/>
      <c r="M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66" t="str">
        <f t="shared" si="2"/>
        <v/>
      </c>
      <c r="K635" s="20"/>
      <c r="L635" s="20"/>
      <c r="M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66" t="str">
        <f t="shared" si="2"/>
        <v/>
      </c>
      <c r="K636" s="20"/>
      <c r="L636" s="20"/>
      <c r="M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66" t="str">
        <f t="shared" si="2"/>
        <v/>
      </c>
      <c r="K637" s="20"/>
      <c r="L637" s="20"/>
      <c r="M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66" t="str">
        <f t="shared" si="2"/>
        <v/>
      </c>
      <c r="K638" s="20"/>
      <c r="L638" s="20"/>
      <c r="M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66" t="str">
        <f t="shared" si="2"/>
        <v/>
      </c>
      <c r="K639" s="20"/>
      <c r="L639" s="20"/>
      <c r="M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66" t="str">
        <f t="shared" si="2"/>
        <v/>
      </c>
      <c r="K640" s="20"/>
      <c r="L640" s="20"/>
      <c r="M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66" t="str">
        <f t="shared" si="2"/>
        <v/>
      </c>
      <c r="K641" s="20"/>
      <c r="L641" s="20"/>
      <c r="M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66" t="str">
        <f t="shared" si="2"/>
        <v/>
      </c>
      <c r="K642" s="20"/>
      <c r="L642" s="20"/>
      <c r="M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66" t="str">
        <f t="shared" si="2"/>
        <v/>
      </c>
      <c r="K643" s="20"/>
      <c r="L643" s="20"/>
      <c r="M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66" t="str">
        <f t="shared" si="2"/>
        <v/>
      </c>
      <c r="K644" s="20"/>
      <c r="L644" s="20"/>
      <c r="M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66" t="str">
        <f t="shared" si="2"/>
        <v/>
      </c>
      <c r="K645" s="20"/>
      <c r="L645" s="20"/>
      <c r="M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66" t="str">
        <f t="shared" si="2"/>
        <v/>
      </c>
      <c r="K646" s="20"/>
      <c r="L646" s="20"/>
      <c r="M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66" t="str">
        <f t="shared" si="2"/>
        <v/>
      </c>
      <c r="K647" s="20"/>
      <c r="L647" s="20"/>
      <c r="M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66" t="str">
        <f t="shared" si="2"/>
        <v/>
      </c>
      <c r="K648" s="20"/>
      <c r="L648" s="20"/>
      <c r="M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66" t="str">
        <f t="shared" si="2"/>
        <v/>
      </c>
      <c r="K649" s="20"/>
      <c r="L649" s="20"/>
      <c r="M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66" t="str">
        <f t="shared" si="2"/>
        <v/>
      </c>
      <c r="K650" s="20"/>
      <c r="L650" s="20"/>
      <c r="M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66" t="str">
        <f t="shared" si="2"/>
        <v/>
      </c>
      <c r="K651" s="20"/>
      <c r="L651" s="20"/>
      <c r="M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66" t="str">
        <f t="shared" si="2"/>
        <v/>
      </c>
      <c r="K652" s="20"/>
      <c r="L652" s="20"/>
      <c r="M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66" t="str">
        <f t="shared" si="2"/>
        <v/>
      </c>
      <c r="K653" s="20"/>
      <c r="L653" s="20"/>
      <c r="M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66" t="str">
        <f t="shared" si="2"/>
        <v/>
      </c>
      <c r="K654" s="20"/>
      <c r="L654" s="20"/>
      <c r="M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66" t="str">
        <f t="shared" si="2"/>
        <v/>
      </c>
      <c r="K655" s="20"/>
      <c r="L655" s="20"/>
      <c r="M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66" t="str">
        <f t="shared" si="2"/>
        <v/>
      </c>
      <c r="K656" s="20"/>
      <c r="L656" s="20"/>
      <c r="M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66" t="str">
        <f t="shared" si="2"/>
        <v/>
      </c>
      <c r="K657" s="20"/>
      <c r="L657" s="20"/>
      <c r="M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66" t="str">
        <f t="shared" si="2"/>
        <v/>
      </c>
      <c r="K658" s="20"/>
      <c r="L658" s="20"/>
      <c r="M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66" t="str">
        <f t="shared" si="2"/>
        <v/>
      </c>
      <c r="K659" s="20"/>
      <c r="L659" s="20"/>
      <c r="M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66" t="str">
        <f t="shared" si="2"/>
        <v/>
      </c>
      <c r="K660" s="20"/>
      <c r="L660" s="20"/>
      <c r="M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66" t="str">
        <f t="shared" si="2"/>
        <v/>
      </c>
      <c r="K661" s="20"/>
      <c r="L661" s="20"/>
      <c r="M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66" t="str">
        <f t="shared" si="2"/>
        <v/>
      </c>
      <c r="K662" s="20"/>
      <c r="L662" s="20"/>
      <c r="M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66" t="str">
        <f t="shared" si="2"/>
        <v/>
      </c>
      <c r="K663" s="20"/>
      <c r="L663" s="20"/>
      <c r="M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66" t="str">
        <f t="shared" si="2"/>
        <v/>
      </c>
      <c r="K664" s="20"/>
      <c r="L664" s="20"/>
      <c r="M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66" t="str">
        <f t="shared" si="2"/>
        <v/>
      </c>
      <c r="K665" s="20"/>
      <c r="L665" s="20"/>
      <c r="M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66" t="str">
        <f t="shared" si="2"/>
        <v/>
      </c>
      <c r="K666" s="20"/>
      <c r="L666" s="20"/>
      <c r="M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66" t="str">
        <f t="shared" si="2"/>
        <v/>
      </c>
      <c r="K667" s="20"/>
      <c r="L667" s="20"/>
      <c r="M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66" t="str">
        <f t="shared" si="2"/>
        <v/>
      </c>
      <c r="K668" s="20"/>
      <c r="L668" s="20"/>
      <c r="M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66" t="str">
        <f t="shared" si="2"/>
        <v/>
      </c>
      <c r="K669" s="20"/>
      <c r="L669" s="20"/>
      <c r="M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66" t="str">
        <f t="shared" si="2"/>
        <v/>
      </c>
      <c r="K670" s="20"/>
      <c r="L670" s="20"/>
      <c r="M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66" t="str">
        <f t="shared" si="2"/>
        <v/>
      </c>
      <c r="K671" s="20"/>
      <c r="L671" s="20"/>
      <c r="M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66" t="str">
        <f t="shared" si="2"/>
        <v/>
      </c>
      <c r="K672" s="20"/>
      <c r="L672" s="20"/>
      <c r="M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66" t="str">
        <f t="shared" si="2"/>
        <v/>
      </c>
      <c r="K673" s="20"/>
      <c r="L673" s="20"/>
      <c r="M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66" t="str">
        <f t="shared" si="2"/>
        <v/>
      </c>
      <c r="K674" s="20"/>
      <c r="L674" s="20"/>
      <c r="M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66" t="str">
        <f t="shared" si="2"/>
        <v/>
      </c>
      <c r="K675" s="20"/>
      <c r="L675" s="20"/>
      <c r="M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66" t="str">
        <f t="shared" si="2"/>
        <v/>
      </c>
      <c r="K676" s="20"/>
      <c r="L676" s="20"/>
      <c r="M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66" t="str">
        <f t="shared" si="2"/>
        <v/>
      </c>
      <c r="K677" s="20"/>
      <c r="L677" s="20"/>
      <c r="M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66" t="str">
        <f t="shared" si="2"/>
        <v/>
      </c>
      <c r="K678" s="20"/>
      <c r="L678" s="20"/>
      <c r="M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66" t="str">
        <f t="shared" si="2"/>
        <v/>
      </c>
      <c r="K679" s="20"/>
      <c r="L679" s="20"/>
      <c r="M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66" t="str">
        <f t="shared" si="2"/>
        <v/>
      </c>
      <c r="K680" s="20"/>
      <c r="L680" s="20"/>
      <c r="M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66" t="str">
        <f t="shared" si="2"/>
        <v/>
      </c>
      <c r="K681" s="20"/>
      <c r="L681" s="20"/>
      <c r="M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66" t="str">
        <f t="shared" si="2"/>
        <v/>
      </c>
      <c r="K682" s="20"/>
      <c r="L682" s="20"/>
      <c r="M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66" t="str">
        <f t="shared" si="2"/>
        <v/>
      </c>
      <c r="K683" s="20"/>
      <c r="L683" s="20"/>
      <c r="M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66" t="str">
        <f t="shared" si="2"/>
        <v/>
      </c>
      <c r="K684" s="20"/>
      <c r="L684" s="20"/>
      <c r="M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66" t="str">
        <f t="shared" si="2"/>
        <v/>
      </c>
      <c r="K685" s="20"/>
      <c r="L685" s="20"/>
      <c r="M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66" t="str">
        <f t="shared" si="2"/>
        <v/>
      </c>
      <c r="K686" s="20"/>
      <c r="L686" s="20"/>
      <c r="M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66" t="str">
        <f t="shared" si="2"/>
        <v/>
      </c>
      <c r="K687" s="20"/>
      <c r="L687" s="20"/>
      <c r="M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66" t="str">
        <f t="shared" si="2"/>
        <v/>
      </c>
      <c r="K688" s="20"/>
      <c r="L688" s="20"/>
      <c r="M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66" t="str">
        <f t="shared" si="2"/>
        <v/>
      </c>
      <c r="K689" s="20"/>
      <c r="L689" s="20"/>
      <c r="M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66" t="str">
        <f t="shared" si="2"/>
        <v/>
      </c>
      <c r="K690" s="20"/>
      <c r="L690" s="20"/>
      <c r="M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66" t="str">
        <f t="shared" si="2"/>
        <v/>
      </c>
      <c r="K691" s="20"/>
      <c r="L691" s="20"/>
      <c r="M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66" t="str">
        <f t="shared" si="2"/>
        <v/>
      </c>
      <c r="K692" s="20"/>
      <c r="L692" s="20"/>
      <c r="M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66" t="str">
        <f t="shared" si="2"/>
        <v/>
      </c>
      <c r="K693" s="20"/>
      <c r="L693" s="20"/>
      <c r="M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66" t="str">
        <f t="shared" si="2"/>
        <v/>
      </c>
      <c r="K694" s="20"/>
      <c r="L694" s="20"/>
      <c r="M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66" t="str">
        <f t="shared" si="2"/>
        <v/>
      </c>
      <c r="K695" s="20"/>
      <c r="L695" s="20"/>
      <c r="M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66" t="str">
        <f t="shared" si="2"/>
        <v/>
      </c>
      <c r="K696" s="20"/>
      <c r="L696" s="20"/>
      <c r="M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66" t="str">
        <f t="shared" si="2"/>
        <v/>
      </c>
      <c r="K697" s="20"/>
      <c r="L697" s="20"/>
      <c r="M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66" t="str">
        <f t="shared" si="2"/>
        <v/>
      </c>
      <c r="K698" s="20"/>
      <c r="L698" s="20"/>
      <c r="M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66" t="str">
        <f t="shared" si="2"/>
        <v/>
      </c>
      <c r="K699" s="20"/>
      <c r="L699" s="20"/>
      <c r="M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66" t="str">
        <f t="shared" si="2"/>
        <v/>
      </c>
      <c r="K700" s="20"/>
      <c r="L700" s="20"/>
      <c r="M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66" t="str">
        <f t="shared" si="2"/>
        <v/>
      </c>
      <c r="K701" s="20"/>
      <c r="L701" s="20"/>
      <c r="M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66" t="str">
        <f t="shared" si="2"/>
        <v/>
      </c>
      <c r="K702" s="20"/>
      <c r="L702" s="20"/>
      <c r="M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66" t="str">
        <f t="shared" si="2"/>
        <v/>
      </c>
      <c r="K703" s="20"/>
      <c r="L703" s="20"/>
      <c r="M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66" t="str">
        <f t="shared" si="2"/>
        <v/>
      </c>
      <c r="K704" s="20"/>
      <c r="L704" s="20"/>
      <c r="M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66" t="str">
        <f t="shared" si="2"/>
        <v/>
      </c>
      <c r="K705" s="20"/>
      <c r="L705" s="20"/>
      <c r="M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66" t="str">
        <f t="shared" si="2"/>
        <v/>
      </c>
      <c r="K706" s="20"/>
      <c r="L706" s="20"/>
      <c r="M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66" t="str">
        <f t="shared" si="2"/>
        <v/>
      </c>
      <c r="K707" s="20"/>
      <c r="L707" s="20"/>
      <c r="M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66" t="str">
        <f t="shared" si="2"/>
        <v/>
      </c>
      <c r="K708" s="20"/>
      <c r="L708" s="20"/>
      <c r="M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66" t="str">
        <f t="shared" si="2"/>
        <v/>
      </c>
      <c r="K709" s="20"/>
      <c r="L709" s="20"/>
      <c r="M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66" t="str">
        <f t="shared" si="2"/>
        <v/>
      </c>
      <c r="K710" s="20"/>
      <c r="L710" s="20"/>
      <c r="M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66" t="str">
        <f t="shared" si="2"/>
        <v/>
      </c>
      <c r="K711" s="20"/>
      <c r="L711" s="20"/>
      <c r="M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66" t="str">
        <f t="shared" si="2"/>
        <v/>
      </c>
      <c r="K712" s="20"/>
      <c r="L712" s="20"/>
      <c r="M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66" t="str">
        <f t="shared" si="2"/>
        <v/>
      </c>
      <c r="K713" s="20"/>
      <c r="L713" s="20"/>
      <c r="M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66" t="str">
        <f t="shared" si="2"/>
        <v/>
      </c>
      <c r="K714" s="20"/>
      <c r="L714" s="20"/>
      <c r="M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66" t="str">
        <f t="shared" si="2"/>
        <v/>
      </c>
      <c r="K715" s="20"/>
      <c r="L715" s="20"/>
      <c r="M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66" t="str">
        <f t="shared" si="2"/>
        <v/>
      </c>
      <c r="K716" s="20"/>
      <c r="L716" s="20"/>
      <c r="M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66" t="str">
        <f t="shared" si="2"/>
        <v/>
      </c>
      <c r="K717" s="20"/>
      <c r="L717" s="20"/>
      <c r="M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66" t="str">
        <f t="shared" si="2"/>
        <v/>
      </c>
      <c r="K718" s="20"/>
      <c r="L718" s="20"/>
      <c r="M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66" t="str">
        <f t="shared" si="2"/>
        <v/>
      </c>
      <c r="K719" s="20"/>
      <c r="L719" s="20"/>
      <c r="M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66" t="str">
        <f t="shared" si="2"/>
        <v/>
      </c>
      <c r="K720" s="20"/>
      <c r="L720" s="20"/>
      <c r="M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66" t="str">
        <f t="shared" si="2"/>
        <v/>
      </c>
      <c r="K721" s="20"/>
      <c r="L721" s="20"/>
      <c r="M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66" t="str">
        <f t="shared" si="2"/>
        <v/>
      </c>
      <c r="K722" s="20"/>
      <c r="L722" s="20"/>
      <c r="M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66" t="str">
        <f t="shared" si="2"/>
        <v/>
      </c>
      <c r="K723" s="20"/>
      <c r="L723" s="20"/>
      <c r="M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66" t="str">
        <f t="shared" si="2"/>
        <v/>
      </c>
      <c r="K724" s="20"/>
      <c r="L724" s="20"/>
      <c r="M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66" t="str">
        <f t="shared" si="2"/>
        <v/>
      </c>
      <c r="K725" s="20"/>
      <c r="L725" s="20"/>
      <c r="M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66" t="str">
        <f t="shared" si="2"/>
        <v/>
      </c>
      <c r="K726" s="20"/>
      <c r="L726" s="20"/>
      <c r="M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66" t="str">
        <f t="shared" si="2"/>
        <v/>
      </c>
      <c r="K727" s="20"/>
      <c r="L727" s="20"/>
      <c r="M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66" t="str">
        <f t="shared" si="2"/>
        <v/>
      </c>
      <c r="K728" s="20"/>
      <c r="L728" s="20"/>
      <c r="M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66" t="str">
        <f t="shared" si="2"/>
        <v/>
      </c>
      <c r="K729" s="20"/>
      <c r="L729" s="20"/>
      <c r="M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66" t="str">
        <f t="shared" si="2"/>
        <v/>
      </c>
      <c r="K730" s="20"/>
      <c r="L730" s="20"/>
      <c r="M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66" t="str">
        <f t="shared" si="2"/>
        <v/>
      </c>
      <c r="K731" s="20"/>
      <c r="L731" s="20"/>
      <c r="M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66" t="str">
        <f t="shared" si="2"/>
        <v/>
      </c>
      <c r="K732" s="20"/>
      <c r="L732" s="20"/>
      <c r="M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66" t="str">
        <f t="shared" si="2"/>
        <v/>
      </c>
      <c r="K733" s="20"/>
      <c r="L733" s="20"/>
      <c r="M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66" t="str">
        <f t="shared" si="2"/>
        <v/>
      </c>
      <c r="K734" s="20"/>
      <c r="L734" s="20"/>
      <c r="M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66" t="str">
        <f t="shared" si="2"/>
        <v/>
      </c>
      <c r="K735" s="20"/>
      <c r="L735" s="20"/>
      <c r="M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66" t="str">
        <f t="shared" si="2"/>
        <v/>
      </c>
      <c r="K736" s="20"/>
      <c r="L736" s="20"/>
      <c r="M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66" t="str">
        <f t="shared" si="2"/>
        <v/>
      </c>
      <c r="K737" s="20"/>
      <c r="L737" s="20"/>
      <c r="M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66" t="str">
        <f t="shared" si="2"/>
        <v/>
      </c>
      <c r="K738" s="20"/>
      <c r="L738" s="20"/>
      <c r="M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66" t="str">
        <f t="shared" si="2"/>
        <v/>
      </c>
      <c r="K739" s="20"/>
      <c r="L739" s="20"/>
      <c r="M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66" t="str">
        <f t="shared" si="2"/>
        <v/>
      </c>
      <c r="K740" s="20"/>
      <c r="L740" s="20"/>
      <c r="M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66" t="str">
        <f t="shared" si="2"/>
        <v/>
      </c>
      <c r="K741" s="20"/>
      <c r="L741" s="20"/>
      <c r="M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66" t="str">
        <f t="shared" si="2"/>
        <v/>
      </c>
      <c r="K742" s="20"/>
      <c r="L742" s="20"/>
      <c r="M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66" t="str">
        <f t="shared" si="2"/>
        <v/>
      </c>
      <c r="K743" s="20"/>
      <c r="L743" s="20"/>
      <c r="M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66" t="str">
        <f t="shared" si="2"/>
        <v/>
      </c>
      <c r="K744" s="20"/>
      <c r="L744" s="20"/>
      <c r="M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66" t="str">
        <f t="shared" si="2"/>
        <v/>
      </c>
      <c r="K745" s="20"/>
      <c r="L745" s="20"/>
      <c r="M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66" t="str">
        <f t="shared" si="2"/>
        <v/>
      </c>
      <c r="K746" s="20"/>
      <c r="L746" s="20"/>
      <c r="M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66" t="str">
        <f t="shared" si="2"/>
        <v/>
      </c>
      <c r="K747" s="20"/>
      <c r="L747" s="20"/>
      <c r="M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66" t="str">
        <f t="shared" si="2"/>
        <v/>
      </c>
      <c r="K748" s="20"/>
      <c r="L748" s="20"/>
      <c r="M748" s="20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6.25"/>
    <col customWidth="1" min="3" max="3" width="10.5"/>
  </cols>
  <sheetData>
    <row r="1">
      <c r="A1" s="3" t="s">
        <v>2</v>
      </c>
      <c r="B1" s="6" t="s">
        <v>12</v>
      </c>
      <c r="C1" s="10" t="s">
        <v>14</v>
      </c>
      <c r="D1" s="12" t="s">
        <v>25</v>
      </c>
    </row>
    <row r="2">
      <c r="A2" s="15"/>
      <c r="B2" s="15"/>
      <c r="C2" s="15"/>
    </row>
    <row r="3">
      <c r="A3" s="16" t="s">
        <v>37</v>
      </c>
      <c r="B3" s="16">
        <v>31.0</v>
      </c>
      <c r="C3" s="19" t="s">
        <v>38</v>
      </c>
      <c r="D3" s="20"/>
    </row>
    <row r="4">
      <c r="A4" s="16" t="s">
        <v>47</v>
      </c>
      <c r="B4" s="16">
        <v>47.0</v>
      </c>
      <c r="C4" s="19" t="s">
        <v>48</v>
      </c>
      <c r="D4" s="20"/>
    </row>
    <row r="5">
      <c r="A5" s="16" t="s">
        <v>50</v>
      </c>
      <c r="B5" s="16">
        <v>59.0</v>
      </c>
      <c r="C5" s="19" t="s">
        <v>51</v>
      </c>
      <c r="D5" s="20"/>
    </row>
    <row r="6">
      <c r="A6" s="16" t="s">
        <v>52</v>
      </c>
      <c r="B6" s="16">
        <v>96.0</v>
      </c>
      <c r="C6" s="19" t="s">
        <v>54</v>
      </c>
      <c r="D6" s="20"/>
    </row>
    <row r="7">
      <c r="A7" s="16" t="s">
        <v>56</v>
      </c>
      <c r="B7" s="16">
        <v>133.0</v>
      </c>
      <c r="C7" s="19" t="s">
        <v>57</v>
      </c>
      <c r="D7" s="20"/>
    </row>
    <row r="8">
      <c r="A8" s="16" t="s">
        <v>58</v>
      </c>
      <c r="B8" s="8">
        <v>166.0</v>
      </c>
      <c r="C8" s="19" t="s">
        <v>60</v>
      </c>
      <c r="D8" s="20"/>
    </row>
    <row r="9">
      <c r="A9" s="16" t="s">
        <v>63</v>
      </c>
      <c r="B9" s="16">
        <v>101.0</v>
      </c>
      <c r="C9" s="19" t="s">
        <v>64</v>
      </c>
      <c r="D9" s="20"/>
    </row>
    <row r="10">
      <c r="A10" s="16" t="s">
        <v>67</v>
      </c>
      <c r="B10" s="16">
        <v>148.0</v>
      </c>
      <c r="C10" s="19" t="s">
        <v>69</v>
      </c>
      <c r="D10" s="20"/>
    </row>
    <row r="11">
      <c r="A11" s="16" t="s">
        <v>70</v>
      </c>
      <c r="B11" s="16">
        <v>218.0</v>
      </c>
      <c r="C11" s="19" t="s">
        <v>71</v>
      </c>
      <c r="D11" s="20"/>
    </row>
    <row r="12">
      <c r="A12" s="16" t="s">
        <v>76</v>
      </c>
      <c r="B12" s="16">
        <v>327.0</v>
      </c>
      <c r="C12" s="19" t="s">
        <v>78</v>
      </c>
      <c r="D12" s="20"/>
    </row>
    <row r="19">
      <c r="A19" s="3" t="s">
        <v>2</v>
      </c>
      <c r="B19" s="6" t="s">
        <v>81</v>
      </c>
      <c r="C19" s="10" t="s">
        <v>14</v>
      </c>
      <c r="D19" s="12" t="s">
        <v>25</v>
      </c>
    </row>
    <row r="20">
      <c r="A20" s="15"/>
      <c r="B20" s="15"/>
      <c r="C20" s="15"/>
    </row>
    <row r="21">
      <c r="A21" s="16" t="s">
        <v>37</v>
      </c>
      <c r="B21" s="16">
        <v>37.0</v>
      </c>
      <c r="C21" s="19"/>
      <c r="D21" s="28"/>
    </row>
    <row r="22">
      <c r="A22" s="16" t="s">
        <v>47</v>
      </c>
      <c r="B22" s="16">
        <v>51.0</v>
      </c>
      <c r="C22" s="19"/>
      <c r="D22" s="28"/>
    </row>
    <row r="23">
      <c r="A23" s="16" t="s">
        <v>50</v>
      </c>
      <c r="B23" s="16">
        <v>65.0</v>
      </c>
      <c r="C23" s="19"/>
      <c r="D23" s="31"/>
      <c r="K23" s="32"/>
    </row>
    <row r="24">
      <c r="A24" s="16" t="s">
        <v>91</v>
      </c>
      <c r="B24" s="16">
        <v>88.0</v>
      </c>
      <c r="C24" s="19"/>
      <c r="D24" s="31"/>
    </row>
    <row r="25">
      <c r="A25" s="16" t="s">
        <v>94</v>
      </c>
      <c r="B25" s="16">
        <v>110.0</v>
      </c>
      <c r="C25" s="19"/>
      <c r="D25" s="28"/>
    </row>
    <row r="26">
      <c r="A26" s="16" t="s">
        <v>56</v>
      </c>
      <c r="B26" s="16">
        <v>146.0</v>
      </c>
      <c r="C26" s="19"/>
      <c r="D26" s="28"/>
    </row>
    <row r="27">
      <c r="A27" s="16" t="s">
        <v>58</v>
      </c>
      <c r="B27" s="8">
        <v>183.0</v>
      </c>
      <c r="C27" s="19"/>
      <c r="D27" s="28"/>
    </row>
    <row r="28">
      <c r="A28" s="16" t="s">
        <v>63</v>
      </c>
      <c r="B28" s="16">
        <v>113.0</v>
      </c>
      <c r="C28" s="19"/>
      <c r="D28" s="31"/>
    </row>
    <row r="29">
      <c r="A29" s="16" t="s">
        <v>67</v>
      </c>
      <c r="B29" s="16">
        <v>180.0</v>
      </c>
      <c r="C29" s="19"/>
      <c r="D29" s="31"/>
    </row>
    <row r="30">
      <c r="A30" s="16" t="s">
        <v>70</v>
      </c>
      <c r="B30" s="16">
        <v>210.0</v>
      </c>
      <c r="C30" s="19"/>
      <c r="D30" s="28"/>
    </row>
    <row r="31">
      <c r="A31" s="16" t="s">
        <v>76</v>
      </c>
      <c r="B31" s="16">
        <v>360.0</v>
      </c>
      <c r="C31" s="19"/>
      <c r="D31" s="28"/>
    </row>
  </sheetData>
  <mergeCells count="8">
    <mergeCell ref="A1:A2"/>
    <mergeCell ref="B1:B2"/>
    <mergeCell ref="C1:C2"/>
    <mergeCell ref="D1:D2"/>
    <mergeCell ref="A19:A20"/>
    <mergeCell ref="B19:B20"/>
    <mergeCell ref="C19:C20"/>
    <mergeCell ref="D19:D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5"/>
      <c r="C1" s="5"/>
      <c r="D1" s="5"/>
      <c r="E1" s="5"/>
      <c r="F1" s="11"/>
      <c r="G1" s="14"/>
    </row>
    <row r="2">
      <c r="A2" s="17" t="s">
        <v>35</v>
      </c>
      <c r="B2" s="11"/>
      <c r="C2" s="17" t="s">
        <v>40</v>
      </c>
      <c r="D2" s="11"/>
      <c r="E2" s="17" t="s">
        <v>46</v>
      </c>
      <c r="F2" s="11"/>
    </row>
    <row r="3">
      <c r="A3" s="22" t="s">
        <v>49</v>
      </c>
      <c r="B3" s="5"/>
      <c r="C3" s="11"/>
      <c r="D3" s="22" t="s">
        <v>55</v>
      </c>
      <c r="E3" s="5"/>
      <c r="F3" s="11"/>
    </row>
    <row r="4">
      <c r="A4" s="23" t="s">
        <v>59</v>
      </c>
      <c r="B4" s="11"/>
      <c r="C4" s="24" t="s">
        <v>68</v>
      </c>
      <c r="D4" s="24" t="s">
        <v>72</v>
      </c>
      <c r="E4" s="24" t="s">
        <v>73</v>
      </c>
      <c r="F4" s="24" t="s">
        <v>75</v>
      </c>
    </row>
    <row r="5">
      <c r="A5" s="25" t="s">
        <v>79</v>
      </c>
      <c r="B5" s="11"/>
      <c r="C5" s="26"/>
      <c r="D5" s="26"/>
      <c r="E5" s="26"/>
      <c r="F5" s="26"/>
    </row>
    <row r="6">
      <c r="A6" s="25" t="s">
        <v>82</v>
      </c>
      <c r="B6" s="11"/>
      <c r="C6" s="26"/>
      <c r="D6" s="26"/>
      <c r="E6" s="26"/>
      <c r="F6" s="26"/>
    </row>
    <row r="7">
      <c r="A7" s="25" t="s">
        <v>83</v>
      </c>
      <c r="B7" s="11"/>
      <c r="C7" s="27"/>
      <c r="D7" s="26"/>
      <c r="E7" s="26"/>
      <c r="F7" s="26"/>
    </row>
    <row r="8">
      <c r="A8" s="29" t="s">
        <v>86</v>
      </c>
      <c r="B8" s="11"/>
      <c r="C8" s="30"/>
      <c r="D8" s="5"/>
      <c r="E8" s="5"/>
      <c r="F8" s="11"/>
    </row>
    <row r="9">
      <c r="A9" s="29" t="s">
        <v>88</v>
      </c>
      <c r="B9" s="11"/>
      <c r="C9" s="30"/>
      <c r="D9" s="5"/>
      <c r="E9" s="5"/>
      <c r="F9" s="11"/>
    </row>
    <row r="10">
      <c r="A10" s="33" t="s">
        <v>92</v>
      </c>
      <c r="C10" s="30"/>
      <c r="D10" s="5"/>
      <c r="E10" s="5"/>
      <c r="F10" s="11"/>
    </row>
    <row r="11">
      <c r="A11" s="34" t="s">
        <v>95</v>
      </c>
      <c r="B11" s="35"/>
      <c r="C11" s="36" t="s">
        <v>97</v>
      </c>
      <c r="D11" s="36" t="s">
        <v>98</v>
      </c>
      <c r="E11" s="37" t="s">
        <v>99</v>
      </c>
      <c r="F11" s="38" t="s">
        <v>100</v>
      </c>
    </row>
    <row r="12">
      <c r="A12" s="39"/>
      <c r="B12" s="40"/>
      <c r="C12" s="41" t="b">
        <v>0</v>
      </c>
      <c r="D12" s="41" t="b">
        <v>0</v>
      </c>
      <c r="E12" s="41" t="b">
        <v>0</v>
      </c>
      <c r="F12" s="41" t="b">
        <v>0</v>
      </c>
    </row>
    <row r="13">
      <c r="A13" s="43" t="s">
        <v>103</v>
      </c>
      <c r="B13" s="45"/>
      <c r="C13" s="46"/>
      <c r="D13" s="46"/>
      <c r="E13" s="46"/>
      <c r="F13" s="35"/>
    </row>
    <row r="14">
      <c r="A14" s="15"/>
      <c r="B14" s="39"/>
      <c r="C14" s="48"/>
      <c r="D14" s="48"/>
      <c r="E14" s="48"/>
      <c r="F14" s="40"/>
    </row>
    <row r="15">
      <c r="A15" s="50" t="s">
        <v>106</v>
      </c>
      <c r="B15" s="46"/>
      <c r="C15" s="35"/>
      <c r="D15" s="34" t="s">
        <v>109</v>
      </c>
      <c r="E15" s="46"/>
      <c r="F15" s="35"/>
    </row>
    <row r="16">
      <c r="A16" s="39"/>
      <c r="B16" s="48"/>
      <c r="C16" s="40"/>
      <c r="D16" s="39"/>
      <c r="E16" s="48"/>
      <c r="F16" s="40"/>
    </row>
  </sheetData>
  <mergeCells count="21">
    <mergeCell ref="A1:F1"/>
    <mergeCell ref="A2:B2"/>
    <mergeCell ref="C2:D2"/>
    <mergeCell ref="E2:F2"/>
    <mergeCell ref="A3:C3"/>
    <mergeCell ref="D3:F3"/>
    <mergeCell ref="A4:B4"/>
    <mergeCell ref="A10:B10"/>
    <mergeCell ref="C10:F10"/>
    <mergeCell ref="A11:B12"/>
    <mergeCell ref="A13:A14"/>
    <mergeCell ref="B13:F14"/>
    <mergeCell ref="A15:C16"/>
    <mergeCell ref="D15:F16"/>
    <mergeCell ref="A5:B5"/>
    <mergeCell ref="A6:B6"/>
    <mergeCell ref="A7:B7"/>
    <mergeCell ref="A8:B8"/>
    <mergeCell ref="C8:F8"/>
    <mergeCell ref="A9:B9"/>
    <mergeCell ref="C9:F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5.38"/>
    <col customWidth="1" min="9" max="9" width="15.13"/>
    <col customWidth="1" min="10" max="26" width="15.38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>
        <v>46217.0</v>
      </c>
      <c r="B2" s="8" t="s">
        <v>13</v>
      </c>
      <c r="C2" s="8" t="s">
        <v>15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20</v>
      </c>
      <c r="I2" s="8" t="s">
        <v>21</v>
      </c>
      <c r="J2" s="8" t="s">
        <v>22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rawing r:id="rId1"/>
</worksheet>
</file>