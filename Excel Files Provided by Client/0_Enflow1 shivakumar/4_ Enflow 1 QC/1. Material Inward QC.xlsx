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Inward Register" sheetId="2" r:id="rId5"/>
    <sheet state="visible" name="QC Inspection" sheetId="3" r:id="rId6"/>
    <sheet state="visible" name="Data" sheetId="4" r:id="rId7"/>
  </sheets>
  <definedNames>
    <definedName hidden="1" localSheetId="1" name="_xlnm._FilterDatabase">'Inward Register'!$A$1:$Q$127</definedName>
    <definedName hidden="1" localSheetId="2" name="_xlnm._FilterDatabase">'QC Inspection'!$A$3:$S$41</definedName>
  </definedNames>
  <calcPr/>
  <extLst>
    <ext uri="GoogleSheetsCustomDataVersion2">
      <go:sheetsCustomData xmlns:go="http://customooxmlschemas.google.com/" r:id="rId8" roundtripDataChecksum="aK7kkV0XXg0jxMEBgkOTAL6jpqfjVV5rwwznNRUIXJU="/>
    </ext>
  </extLst>
</workbook>
</file>

<file path=xl/sharedStrings.xml><?xml version="1.0" encoding="utf-8"?>
<sst xmlns="http://schemas.openxmlformats.org/spreadsheetml/2006/main" count="1422" uniqueCount="184">
  <si>
    <t>INCOMING MATERIAL INSPECTION</t>
  </si>
  <si>
    <t>Vender</t>
  </si>
  <si>
    <t>Product</t>
  </si>
  <si>
    <t>QC INSPECTION</t>
  </si>
  <si>
    <t>Product type</t>
  </si>
  <si>
    <t>Size</t>
  </si>
  <si>
    <t>UOM</t>
  </si>
  <si>
    <t>5M Moulding and Technologies</t>
  </si>
  <si>
    <t>Nutset</t>
  </si>
  <si>
    <t>Braded 13.5mm</t>
  </si>
  <si>
    <t>Category</t>
  </si>
  <si>
    <t>12 inch</t>
  </si>
  <si>
    <t>Entries</t>
  </si>
  <si>
    <t>Kgs</t>
  </si>
  <si>
    <t>Received Qty/Kg</t>
  </si>
  <si>
    <t>Unit (Pcs/Kgs)</t>
  </si>
  <si>
    <t>Punith packaging</t>
  </si>
  <si>
    <t>Check</t>
  </si>
  <si>
    <t>Cover</t>
  </si>
  <si>
    <t>Non-Braded 13mm</t>
  </si>
  <si>
    <t>18 inch</t>
  </si>
  <si>
    <t>Rolls</t>
  </si>
  <si>
    <t>Mak flexible</t>
  </si>
  <si>
    <t>Pipe</t>
  </si>
  <si>
    <t>24 inch</t>
  </si>
  <si>
    <t>Pcs</t>
  </si>
  <si>
    <t>Count</t>
  </si>
  <si>
    <t>Enflow2</t>
  </si>
  <si>
    <t>Tread</t>
  </si>
  <si>
    <t>L-Round nut</t>
  </si>
  <si>
    <t>30 inch</t>
  </si>
  <si>
    <t>Bags</t>
  </si>
  <si>
    <t>Technotube</t>
  </si>
  <si>
    <t>Washer</t>
  </si>
  <si>
    <t>Items Checked</t>
  </si>
  <si>
    <t>L-Hex nut</t>
  </si>
  <si>
    <t>36 inch</t>
  </si>
  <si>
    <t>Pass Items</t>
  </si>
  <si>
    <t>Fail Items</t>
  </si>
  <si>
    <t>Pass %</t>
  </si>
  <si>
    <t>Gp flex</t>
  </si>
  <si>
    <t>Result</t>
  </si>
  <si>
    <t>Poly bags</t>
  </si>
  <si>
    <t>L-Key</t>
  </si>
  <si>
    <t>1mtr</t>
  </si>
  <si>
    <t xml:space="preserve">Niar and sons </t>
  </si>
  <si>
    <t>Label</t>
  </si>
  <si>
    <t>L-Cap</t>
  </si>
  <si>
    <t>1.5mtr</t>
  </si>
  <si>
    <t>Eva rubber</t>
  </si>
  <si>
    <t>Inner</t>
  </si>
  <si>
    <t>2mtr</t>
  </si>
  <si>
    <t>Polt sack</t>
  </si>
  <si>
    <t>M-Round nut</t>
  </si>
  <si>
    <t>Kolorkode</t>
  </si>
  <si>
    <t>M-Hex nut</t>
  </si>
  <si>
    <t>13mm</t>
  </si>
  <si>
    <t>Holosucrity</t>
  </si>
  <si>
    <t>M-Key</t>
  </si>
  <si>
    <t>Date</t>
  </si>
  <si>
    <t>13.5mm</t>
  </si>
  <si>
    <t>Sri Tex Engineers</t>
  </si>
  <si>
    <t>INCOMING MATERIAL QC INSPECTION</t>
  </si>
  <si>
    <t>M-Cap</t>
  </si>
  <si>
    <t>3x21</t>
  </si>
  <si>
    <t>3x26</t>
  </si>
  <si>
    <t>8x10</t>
  </si>
  <si>
    <t>Invoice/Chalan</t>
  </si>
  <si>
    <t>Customer name</t>
  </si>
  <si>
    <t>Brand</t>
  </si>
  <si>
    <t>Recived Date</t>
  </si>
  <si>
    <t>QC Date</t>
  </si>
  <si>
    <t>Received qty</t>
  </si>
  <si>
    <t>Supplier</t>
  </si>
  <si>
    <t>Batch No.</t>
  </si>
  <si>
    <t xml:space="preserve">Received </t>
  </si>
  <si>
    <t>QC check</t>
  </si>
  <si>
    <t>Production date/QC</t>
  </si>
  <si>
    <t>Production days</t>
  </si>
  <si>
    <t>No. Bags/Bins</t>
  </si>
  <si>
    <t>Bags/Bins</t>
  </si>
  <si>
    <t>Remark</t>
  </si>
  <si>
    <t>Checked Qty/Kg</t>
  </si>
  <si>
    <t>Pass Qty/Kg</t>
  </si>
  <si>
    <t>PP/26-27/0545</t>
  </si>
  <si>
    <t>Fail Qty/Kg</t>
  </si>
  <si>
    <t>Thread / Dimension</t>
  </si>
  <si>
    <t>Aura</t>
  </si>
  <si>
    <t>Surface/ color</t>
  </si>
  <si>
    <t>Marino</t>
  </si>
  <si>
    <t>Shape / Fit</t>
  </si>
  <si>
    <t>Overall QC Result</t>
  </si>
  <si>
    <t>Result%</t>
  </si>
  <si>
    <t>Remarks</t>
  </si>
  <si>
    <t>3X21</t>
  </si>
  <si>
    <t>MAK/194/26-27</t>
  </si>
  <si>
    <t>Waterflo</t>
  </si>
  <si>
    <t>PASS</t>
  </si>
  <si>
    <t>FAIL</t>
  </si>
  <si>
    <t>5M-CM/0384/26-27</t>
  </si>
  <si>
    <t>-</t>
  </si>
  <si>
    <t>The Colour of the cover is loo</t>
  </si>
  <si>
    <t>Some Hexnut getting tight on cap</t>
  </si>
  <si>
    <t>5M-CM/0405/26-27</t>
  </si>
  <si>
    <t>The Colour of the cover is loo for key</t>
  </si>
  <si>
    <t>Getting extra flash in centre hole rubber</t>
  </si>
  <si>
    <t>PP/26-27/0717</t>
  </si>
  <si>
    <t>Schintler</t>
  </si>
  <si>
    <t>3x21, 3x26</t>
  </si>
  <si>
    <t>Some cover 4 side sealed</t>
  </si>
  <si>
    <t>Total</t>
  </si>
  <si>
    <t>(Pcs/Kgs)</t>
  </si>
  <si>
    <t>The colour is loo campare to L-key</t>
  </si>
  <si>
    <t>PP/26-27/0621</t>
  </si>
  <si>
    <t>3X26</t>
  </si>
  <si>
    <t>Some bags got flash in inner</t>
  </si>
  <si>
    <t>8 Bags</t>
  </si>
  <si>
    <t>5M-CM/0438/26-27</t>
  </si>
  <si>
    <t>Some caps getting flash</t>
  </si>
  <si>
    <t>71 Bags</t>
  </si>
  <si>
    <t>The colour is not matching to Nut</t>
  </si>
  <si>
    <t>20 Bags</t>
  </si>
  <si>
    <t>5M-CM/0442/26-27</t>
  </si>
  <si>
    <t>10 Bags</t>
  </si>
  <si>
    <t>13 Bags</t>
  </si>
  <si>
    <t>18 inch, 24 inch</t>
  </si>
  <si>
    <t>Akant</t>
  </si>
  <si>
    <t>24 inch, 1mtr</t>
  </si>
  <si>
    <t>17 Bags</t>
  </si>
  <si>
    <t>Idol</t>
  </si>
  <si>
    <t>36 Bags</t>
  </si>
  <si>
    <t>15 Bags</t>
  </si>
  <si>
    <t>12 Bags</t>
  </si>
  <si>
    <t>11.6 Bags</t>
  </si>
  <si>
    <t>5 Bags</t>
  </si>
  <si>
    <t>40 Bags</t>
  </si>
  <si>
    <t>25 Bags</t>
  </si>
  <si>
    <t>13 Bin</t>
  </si>
  <si>
    <t>Bins</t>
  </si>
  <si>
    <t>Plain</t>
  </si>
  <si>
    <t>5M-CM/0509/26-27</t>
  </si>
  <si>
    <t>67 Bags</t>
  </si>
  <si>
    <t>19 Bags</t>
  </si>
  <si>
    <t>Enflow</t>
  </si>
  <si>
    <t>1 Bag</t>
  </si>
  <si>
    <t>2 Bag</t>
  </si>
  <si>
    <t>CS</t>
  </si>
  <si>
    <t>SSS</t>
  </si>
  <si>
    <t>4 Bins</t>
  </si>
  <si>
    <t>Packing</t>
  </si>
  <si>
    <t>Vojal</t>
  </si>
  <si>
    <t>2 packing</t>
  </si>
  <si>
    <t>1 Bin</t>
  </si>
  <si>
    <t>Some Pipes are getting cap tight</t>
  </si>
  <si>
    <t>3 Bins</t>
  </si>
  <si>
    <t>Artimis</t>
  </si>
  <si>
    <t>Bluemount</t>
  </si>
  <si>
    <t>2 Bags</t>
  </si>
  <si>
    <t>Alphaflow</t>
  </si>
  <si>
    <t>1 Bags</t>
  </si>
  <si>
    <t>Misri superior</t>
  </si>
  <si>
    <t>4 Bags</t>
  </si>
  <si>
    <t>3 Bags</t>
  </si>
  <si>
    <t>30 Bags</t>
  </si>
  <si>
    <t>2026-27/125</t>
  </si>
  <si>
    <t>5M-CM/0551/26-27</t>
  </si>
  <si>
    <t>49 Bags</t>
  </si>
  <si>
    <t>39 Bags</t>
  </si>
  <si>
    <t>5M-CM/0552/26-27</t>
  </si>
  <si>
    <t>37 Bags</t>
  </si>
  <si>
    <t>6 Bags</t>
  </si>
  <si>
    <t>29 Bags</t>
  </si>
  <si>
    <t>9 Bags</t>
  </si>
  <si>
    <t>10 Bins</t>
  </si>
  <si>
    <t>6 Bins 2 Bags</t>
  </si>
  <si>
    <t>16 Bags</t>
  </si>
  <si>
    <t>KK/26-27/11535</t>
  </si>
  <si>
    <t>KK/26-27/11811</t>
  </si>
  <si>
    <t>Ceraflo Bathware</t>
  </si>
  <si>
    <t>Ceraflo</t>
  </si>
  <si>
    <t>Futura Kitchen Sinks India Pvt Ltd</t>
  </si>
  <si>
    <t>Futura</t>
  </si>
  <si>
    <t xml:space="preserve">Paras flow </t>
  </si>
  <si>
    <t>5M-CM/0619/26-27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</si>
</sst>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mmmd"/>
  </numFmts>
  <fonts count="12">
    <font>
      <sz val="11.0"/>
      <color theme="1"/>
      <name val="Calibri"/>
      <scheme val="minor"/>
    </font>
    <font>
      <b/>
      <sz val="14.0"/>
      <color theme="1"/>
      <name val="Calibri"/>
      <scheme val="minor"/>
    </font>
    <font/>
    <font>
      <b/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rgb="FFFFFFFF"/>
      <name val="Calibri"/>
    </font>
    <font>
      <color rgb="FF000000"/>
      <name val="Calibri"/>
      <scheme val="minor"/>
    </font>
    <font>
      <sz val="12.0"/>
      <color theme="1"/>
      <name val="Calibri"/>
    </font>
    <font>
      <sz val="12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1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3" numFmtId="0" xfId="0" applyAlignment="1" applyBorder="1" applyFont="1">
      <alignment readingOrder="0"/>
    </xf>
    <xf borderId="4" fillId="0" fontId="2" numFmtId="0" xfId="0" applyBorder="1" applyFont="1"/>
    <xf borderId="3" fillId="0" fontId="4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5" fillId="0" fontId="2" numFmtId="0" xfId="0" applyBorder="1" applyFont="1"/>
    <xf borderId="0" fillId="0" fontId="4" numFmtId="0" xfId="0" applyAlignment="1" applyFont="1">
      <alignment horizontal="center" readingOrder="0"/>
    </xf>
    <xf borderId="6" fillId="0" fontId="2" numFmtId="0" xfId="0" applyBorder="1" applyFont="1"/>
    <xf borderId="3" fillId="0" fontId="5" numFmtId="0" xfId="0" applyAlignment="1" applyBorder="1" applyFont="1">
      <alignment readingOrder="0"/>
    </xf>
    <xf borderId="7" fillId="2" fontId="6" numFmtId="0" xfId="0" applyAlignment="1" applyBorder="1" applyFill="1" applyFont="1">
      <alignment horizontal="center" shrinkToFit="0" vertical="center" wrapText="1"/>
    </xf>
    <xf borderId="3" fillId="3" fontId="7" numFmtId="0" xfId="0" applyAlignment="1" applyBorder="1" applyFill="1" applyFont="1">
      <alignment readingOrder="0"/>
    </xf>
    <xf borderId="3" fillId="2" fontId="6" numFmtId="0" xfId="0" applyAlignment="1" applyBorder="1" applyFill="1" applyFont="1">
      <alignment horizontal="center" readingOrder="0" shrinkToFit="0" vertical="center" wrapText="1"/>
    </xf>
    <xf borderId="3" fillId="2" fontId="8" numFmtId="0" xfId="0" applyAlignment="1" applyBorder="1" applyFill="1" applyFont="1">
      <alignment horizontal="center" vertical="center"/>
    </xf>
    <xf borderId="8" fillId="2" fontId="6" numFmtId="0" xfId="0" applyAlignment="1" applyBorder="1" applyFill="1" applyFont="1">
      <alignment horizontal="center" shrinkToFit="0" vertical="center" wrapText="1"/>
    </xf>
    <xf borderId="3" fillId="2" fontId="6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7" fillId="0" fontId="9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3" xfId="0" applyAlignment="1" applyFont="1" applyNumberFormat="1">
      <alignment readingOrder="0" shrinkToFit="0" vertical="center" wrapText="1"/>
    </xf>
    <xf borderId="0" fillId="0" fontId="10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3" fillId="0" fontId="9" numFmtId="0" xfId="0" applyBorder="1" applyFont="1"/>
    <xf borderId="0" fillId="0" fontId="4" numFmtId="0" xfId="0" applyAlignment="1" applyFont="1">
      <alignment horizontal="center" readingOrder="0" shrinkToFit="0" textRotation="90" vertical="center" wrapText="0"/>
    </xf>
    <xf borderId="0" fillId="0" fontId="4" numFmtId="49" xfId="0" applyAlignment="1" applyFont="1" applyNumberFormat="1">
      <alignment horizontal="center" readingOrder="0" shrinkToFit="0" textRotation="90" vertical="center" wrapText="1"/>
    </xf>
    <xf borderId="0" fillId="0" fontId="4" numFmtId="0" xfId="0" applyAlignment="1" applyFont="1">
      <alignment horizontal="center" readingOrder="0" shrinkToFit="0" textRotation="90" vertical="center" wrapText="1"/>
    </xf>
    <xf borderId="0" fillId="0" fontId="4" numFmtId="49" xfId="0" applyAlignment="1" applyFont="1" applyNumberFormat="1">
      <alignment horizontal="center" readingOrder="0" shrinkToFit="0" textRotation="90" vertical="center" wrapText="0"/>
    </xf>
    <xf borderId="0" fillId="0" fontId="4" numFmtId="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textRotation="0" vertical="center" wrapText="0"/>
    </xf>
    <xf borderId="0" fillId="0" fontId="10" numFmtId="0" xfId="0" applyAlignment="1" applyFont="1">
      <alignment horizontal="center" readingOrder="0" shrinkToFit="0" vertical="center" wrapText="1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textRotation="90" vertical="center" wrapText="1"/>
    </xf>
    <xf borderId="0" fillId="0" fontId="5" numFmtId="0" xfId="0" applyAlignment="1" applyFont="1">
      <alignment readingOrder="0" shrinkToFit="0" vertical="center" wrapText="0"/>
    </xf>
    <xf borderId="3" fillId="0" fontId="9" numFmtId="0" xfId="0" applyAlignment="1" applyBorder="1" applyFont="1">
      <alignment readingOrder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3" fillId="0" fontId="9" numFmtId="0" xfId="0" applyAlignment="1" applyBorder="1" applyFont="1">
      <alignment horizontal="right" readingOrder="0"/>
    </xf>
    <xf borderId="0" fillId="0" fontId="5" numFmtId="3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8" fillId="0" fontId="9" numFmtId="0" xfId="0" applyBorder="1" applyFont="1"/>
    <xf borderId="0" fillId="0" fontId="5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5" numFmtId="9" xfId="0" applyAlignment="1" applyFont="1" applyNumberFormat="1">
      <alignment horizontal="center" shrinkToFit="0" vertical="center" wrapText="0"/>
    </xf>
    <xf borderId="3" fillId="0" fontId="9" numFmtId="10" xfId="0" applyBorder="1" applyFont="1" applyNumberFormat="1"/>
    <xf borderId="0" fillId="0" fontId="5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9" fillId="0" fontId="9" numFmtId="0" xfId="0" applyAlignment="1" applyBorder="1" applyFont="1">
      <alignment horizontal="center" readingOrder="0"/>
    </xf>
    <xf borderId="10" fillId="0" fontId="9" numFmtId="0" xfId="0" applyBorder="1" applyFont="1"/>
    <xf borderId="11" fillId="0" fontId="9" numFmtId="0" xfId="0" applyBorder="1" applyFont="1"/>
    <xf borderId="10" fillId="0" fontId="9" numFmtId="10" xfId="0" applyBorder="1" applyFont="1" applyNumberFormat="1"/>
    <xf borderId="12" fillId="0" fontId="9" numFmtId="0" xfId="0" applyAlignment="1" applyBorder="1" applyFont="1">
      <alignment horizontal="center" readingOrder="0"/>
    </xf>
    <xf borderId="13" fillId="0" fontId="9" numFmtId="0" xfId="0" applyBorder="1" applyFont="1"/>
    <xf borderId="13" fillId="0" fontId="9" numFmtId="0" xfId="0" applyAlignment="1" applyBorder="1" applyFont="1">
      <alignment readingOrder="0"/>
    </xf>
    <xf borderId="14" fillId="0" fontId="9" numFmtId="0" xfId="0" applyBorder="1" applyFont="1"/>
    <xf borderId="0" fillId="0" fontId="5" numFmtId="165" xfId="0" applyAlignment="1" applyFont="1" applyNumberFormat="1">
      <alignment readingOrder="0" shrinkToFit="0" vertical="center" wrapText="0"/>
    </xf>
    <xf borderId="13" fillId="0" fontId="9" numFmtId="10" xfId="0" applyBorder="1" applyFont="1" applyNumberFormat="1"/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vertical="center" wrapText="0"/>
    </xf>
    <xf borderId="0" fillId="0" fontId="5" numFmtId="3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1"/>
    </xf>
    <xf borderId="0" fillId="0" fontId="5" numFmtId="9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horizontal="center" readingOrder="0" shrinkToFit="0" vertical="center" wrapText="0"/>
    </xf>
    <xf borderId="0" fillId="0" fontId="5" numFmtId="9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3" xfId="0" applyFont="1" applyNumberFormat="1"/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B7E1CD"/>
          <bgColor rgb="FFB7E1CD"/>
        </patternFill>
      </fill>
      <border/>
    </dxf>
    <dxf>
      <font>
        <color rgb="FFC0504D"/>
      </font>
      <fill>
        <patternFill patternType="solid">
          <fgColor rgb="FFFFFFFF"/>
          <bgColor rgb="FFFFFFFF"/>
        </patternFill>
      </fill>
      <border/>
    </dxf>
  </dxfs>
  <tableStyles count="2">
    <tableStyle count="4" pivot="0" name="Inward Regi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C Inspec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127" displayName="Table1" name="Table1" id="2">
  <autoFilter ref="$A$1:$Q$127"/>
  <tableColumns count="17">
    <tableColumn name="Date" id="1"/>
    <tableColumn name="Invoice/Chalan" id="2"/>
    <tableColumn name="Vender" id="3"/>
    <tableColumn name="Customer name" id="4"/>
    <tableColumn name="Brand" id="5"/>
    <tableColumn name="Product" id="6"/>
    <tableColumn name="Product type" id="7"/>
    <tableColumn name="Size" id="8"/>
    <tableColumn name="Received qty" id="9"/>
    <tableColumn name="Unit (Pcs/Kgs)" id="10"/>
    <tableColumn name="Received " id="11"/>
    <tableColumn name="QC check" id="12"/>
    <tableColumn name="Production date/QC" id="13"/>
    <tableColumn name="Production days" id="14"/>
    <tableColumn name="No. Bags/Bins" id="15"/>
    <tableColumn name="Bags/Bins" id="16"/>
    <tableColumn name="Remark" id="17"/>
  </tableColumns>
  <tableStyleInfo name="Inward Register-style" showColumnStripes="0" showFirstColumn="1" showLastColumn="1" showRowStripes="1"/>
</table>
</file>

<file path=xl/tables/table2.xml><?xml version="1.0" encoding="utf-8"?>
<table xmlns="http://schemas.openxmlformats.org/spreadsheetml/2006/main" ref="A3:S41" displayName="Table2" name="Table2" id="1">
  <autoFilter ref="$A$3:$S$41"/>
  <tableColumns count="19">
    <tableColumn name="Recived Date" id="1"/>
    <tableColumn name="QC Date" id="2"/>
    <tableColumn name="Supplier" id="3"/>
    <tableColumn name="Batch No." id="4"/>
    <tableColumn name="Product" id="5"/>
    <tableColumn name="Brand" id="6"/>
    <tableColumn name="Product type" id="7"/>
    <tableColumn name="Size" id="8"/>
    <tableColumn name="Received Qty/Kg" id="9"/>
    <tableColumn name="Unit (Pcs/Kgs)" id="10"/>
    <tableColumn name="Checked Qty/Kg" id="11"/>
    <tableColumn name="Pass Qty/Kg" id="12"/>
    <tableColumn name="Fail Qty/Kg" id="13"/>
    <tableColumn name="Thread / Dimension" id="14"/>
    <tableColumn name="Surface/ color" id="15"/>
    <tableColumn name="Shape / Fit" id="16"/>
    <tableColumn name="Overall QC Result" id="17"/>
    <tableColumn name="Result%" id="18"/>
    <tableColumn name="Remarks" id="19"/>
  </tableColumns>
  <tableStyleInfo name="QC Inspe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4" width="14.43"/>
    <col customWidth="1" min="5" max="5" width="11.57"/>
    <col customWidth="1" min="6" max="6" width="5.86"/>
    <col customWidth="1" min="7" max="7" width="14.43"/>
    <col customWidth="1" min="8" max="9" width="8.71"/>
    <col customWidth="1" min="10" max="10" width="17.29"/>
    <col customWidth="1" min="11" max="14" width="14.43"/>
    <col customWidth="1" min="15" max="15" width="5.86"/>
    <col customWidth="1" min="16" max="16" width="14.43"/>
    <col customWidth="1" min="1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4"/>
      <c r="J1" s="1" t="s">
        <v>3</v>
      </c>
      <c r="K1" s="2"/>
      <c r="L1" s="2"/>
      <c r="M1" s="2"/>
      <c r="N1" s="2"/>
      <c r="O1" s="2"/>
      <c r="P1" s="2"/>
      <c r="Q1" s="4"/>
    </row>
    <row r="2">
      <c r="A2" s="8"/>
      <c r="H2" s="10"/>
      <c r="J2" s="8"/>
      <c r="Q2" s="10"/>
    </row>
    <row r="4">
      <c r="A4" s="12" t="s">
        <v>10</v>
      </c>
      <c r="B4" s="14" t="s">
        <v>12</v>
      </c>
      <c r="C4" s="14" t="s">
        <v>14</v>
      </c>
      <c r="D4" s="14" t="s">
        <v>15</v>
      </c>
      <c r="E4" s="14" t="s">
        <v>17</v>
      </c>
      <c r="F4" s="15"/>
      <c r="G4" s="14" t="s">
        <v>15</v>
      </c>
      <c r="H4" s="16" t="s">
        <v>26</v>
      </c>
      <c r="J4" s="12" t="s">
        <v>10</v>
      </c>
      <c r="K4" s="17" t="s">
        <v>34</v>
      </c>
      <c r="L4" s="17" t="s">
        <v>37</v>
      </c>
      <c r="M4" s="17" t="s">
        <v>38</v>
      </c>
      <c r="N4" s="17" t="s">
        <v>39</v>
      </c>
      <c r="O4" s="15"/>
      <c r="P4" s="17" t="s">
        <v>41</v>
      </c>
      <c r="Q4" s="16" t="s">
        <v>26</v>
      </c>
    </row>
    <row r="5">
      <c r="A5" s="19" t="s">
        <v>23</v>
      </c>
      <c r="B5" s="31">
        <f>COUNTIF(Table1[Product],"Pipe")</f>
        <v>82</v>
      </c>
      <c r="C5" s="31">
        <f>IF(A5="","",SUMIF(Table1[Product],A5,Table1[Received qty]))</f>
        <v>141018</v>
      </c>
      <c r="D5" s="44" t="s">
        <v>25</v>
      </c>
      <c r="E5" s="31">
        <f>COUNTIFS(Table1[Product],"Pipe",Table1[QC check],"True")</f>
        <v>73</v>
      </c>
      <c r="F5" s="31"/>
      <c r="G5" s="48" t="s">
        <v>25</v>
      </c>
      <c r="H5" s="52">
        <f>sum(C5:C6,C8:C9)</f>
        <v>4645518</v>
      </c>
      <c r="J5" s="19" t="s">
        <v>23</v>
      </c>
      <c r="K5" s="31">
        <f>COUNTIF(Table2[Product],"Pipe")</f>
        <v>18</v>
      </c>
      <c r="L5" s="31">
        <f>COUNTIFS(Table2[Product],"Pipe",Table2[Overall QC Result],"PASS")</f>
        <v>15</v>
      </c>
      <c r="M5" s="31">
        <f>COUNTIFS(Table2[Product],"Pipe",Table2[Overall QC Result],"FAIL")</f>
        <v>3</v>
      </c>
      <c r="N5" s="57">
        <f t="shared" ref="N5:N9" si="1">IF(K5=0,0,L5/K5)</f>
        <v>0.8333333333</v>
      </c>
      <c r="O5" s="31"/>
      <c r="P5" s="44" t="s">
        <v>97</v>
      </c>
      <c r="Q5" s="52">
        <f>L11</f>
        <v>29</v>
      </c>
    </row>
    <row r="6">
      <c r="A6" s="19" t="s">
        <v>8</v>
      </c>
      <c r="B6" s="31">
        <f>COUNTIF(Table1[Product],"Nutset")</f>
        <v>35</v>
      </c>
      <c r="C6" s="31">
        <f>IF(A6="","",SUMIF(Table1[Product],A6,Table1[Received qty]))</f>
        <v>3479000</v>
      </c>
      <c r="D6" s="44" t="s">
        <v>25</v>
      </c>
      <c r="E6" s="31">
        <f>COUNTIFS(Table1[Product],"Nutset",Table1[QC check],"True")</f>
        <v>35</v>
      </c>
      <c r="F6" s="31"/>
      <c r="G6" s="48" t="s">
        <v>13</v>
      </c>
      <c r="H6" s="52">
        <f>Sum(C7)</f>
        <v>1187.2</v>
      </c>
      <c r="J6" s="19" t="s">
        <v>8</v>
      </c>
      <c r="K6" s="31">
        <f>COUNTIF(Table2[Product],"Nutset")</f>
        <v>14</v>
      </c>
      <c r="L6" s="31">
        <f>COUNTIFS(Table2[Product],"Nutset",Table2[Overall QC Result],"PASS")</f>
        <v>10</v>
      </c>
      <c r="M6" s="31">
        <f>COUNTIFS(Table2[Product],"Nutset",Table2[Overall QC Result],"FAIL")</f>
        <v>4</v>
      </c>
      <c r="N6" s="57">
        <f t="shared" si="1"/>
        <v>0.7142857143</v>
      </c>
      <c r="O6" s="31"/>
      <c r="P6" s="44" t="s">
        <v>98</v>
      </c>
      <c r="Q6" s="52">
        <f>M11</f>
        <v>6</v>
      </c>
    </row>
    <row r="7">
      <c r="A7" s="19" t="s">
        <v>18</v>
      </c>
      <c r="B7" s="31">
        <f>COUNTIF(Table1[Product],"Cover")</f>
        <v>5</v>
      </c>
      <c r="C7" s="31">
        <f>IF(A7="","",SUMIF(Table1[Product],A7,Table1[Received qty]))</f>
        <v>1187.2</v>
      </c>
      <c r="D7" s="44" t="s">
        <v>13</v>
      </c>
      <c r="E7" s="31">
        <f>COUNTIFS(Table1[Product],"Cover",Table1[QC check],"True")</f>
        <v>5</v>
      </c>
      <c r="F7" s="31"/>
      <c r="G7" s="44"/>
      <c r="H7" s="52"/>
      <c r="J7" s="19" t="s">
        <v>18</v>
      </c>
      <c r="K7" s="31">
        <f>COUNTIF(Table2[Product],"Cover")</f>
        <v>2</v>
      </c>
      <c r="L7" s="31">
        <f>COUNTIFS(Table2[Product],"Cover",Table2[Overall QC Result],"PASS")</f>
        <v>2</v>
      </c>
      <c r="M7" s="31">
        <f>COUNTIFS(Table2[Product],"Cover",Table2[Overall QC Result],"FAIL")</f>
        <v>0</v>
      </c>
      <c r="N7" s="57">
        <f t="shared" si="1"/>
        <v>1</v>
      </c>
      <c r="O7" s="31"/>
      <c r="P7" s="31"/>
      <c r="Q7" s="52"/>
    </row>
    <row r="8">
      <c r="A8" s="19" t="s">
        <v>46</v>
      </c>
      <c r="B8" s="31">
        <f>COUNTIF(Table1[Product],"Label")</f>
        <v>2</v>
      </c>
      <c r="C8" s="31">
        <f>IF(A8="","",SUMIF(Table1[Product],A8,Table1[Received qty]))</f>
        <v>25500</v>
      </c>
      <c r="D8" s="44" t="s">
        <v>25</v>
      </c>
      <c r="E8" s="31">
        <f>COUNTIFS(Table1[Product],"Label",Table1[QC check],"True")</f>
        <v>2</v>
      </c>
      <c r="F8" s="31"/>
      <c r="G8" s="31"/>
      <c r="H8" s="52"/>
      <c r="J8" s="19" t="s">
        <v>46</v>
      </c>
      <c r="K8" s="31">
        <f>COUNTIF(Table2[Product],"Label")</f>
        <v>2</v>
      </c>
      <c r="L8" s="31">
        <f>COUNTIFS(Table2[Product],"Label",Table2[Overall QC Result],"PASS")</f>
        <v>2</v>
      </c>
      <c r="M8" s="31">
        <f>COUNTIFS(Table2[Product],"Label",Table2[Overall QC Result],"FAIL")</f>
        <v>0</v>
      </c>
      <c r="N8" s="57">
        <f t="shared" si="1"/>
        <v>1</v>
      </c>
      <c r="O8" s="31"/>
      <c r="P8" s="31"/>
      <c r="Q8" s="52"/>
    </row>
    <row r="9">
      <c r="A9" s="19" t="s">
        <v>33</v>
      </c>
      <c r="B9" s="31">
        <f>COUNTIF(Table1[Product],"Washer")</f>
        <v>2</v>
      </c>
      <c r="C9" s="31">
        <f>IF(A9="","",SUMIF(Table1[Product],A9,Table1[Received qty]))</f>
        <v>1000000</v>
      </c>
      <c r="D9" s="44" t="s">
        <v>25</v>
      </c>
      <c r="E9" s="31">
        <f>COUNTIFS(Table1[Product],"Washer",Table1[QC check],"True")</f>
        <v>2</v>
      </c>
      <c r="F9" s="31"/>
      <c r="G9" s="31"/>
      <c r="H9" s="52"/>
      <c r="J9" s="19" t="s">
        <v>33</v>
      </c>
      <c r="K9" s="31">
        <f>COUNTIF(Table2[Product],"Washer")</f>
        <v>2</v>
      </c>
      <c r="L9" s="31">
        <f>COUNTIFS(Table2[Product],"Washer",Table2[Overall QC Result],"PASS")</f>
        <v>0</v>
      </c>
      <c r="M9" s="31">
        <f>COUNTIFS(Table2[Product],"Washer",Table2[Overall QC Result],"FAIL")</f>
        <v>2</v>
      </c>
      <c r="N9" s="57">
        <f t="shared" si="1"/>
        <v>0</v>
      </c>
      <c r="O9" s="31"/>
      <c r="P9" s="31"/>
      <c r="Q9" s="52"/>
    </row>
    <row r="10">
      <c r="A10" s="61"/>
      <c r="B10" s="62"/>
      <c r="C10" s="62"/>
      <c r="D10" s="62"/>
      <c r="E10" s="62"/>
      <c r="F10" s="62"/>
      <c r="G10" s="62"/>
      <c r="H10" s="63"/>
      <c r="J10" s="61"/>
      <c r="K10" s="31"/>
      <c r="L10" s="62"/>
      <c r="M10" s="62"/>
      <c r="N10" s="64"/>
      <c r="O10" s="62"/>
      <c r="P10" s="62"/>
      <c r="Q10" s="63"/>
    </row>
    <row r="11">
      <c r="A11" s="65" t="s">
        <v>110</v>
      </c>
      <c r="B11" s="66">
        <f t="shared" ref="B11:C11" si="2">sum(B5:B10)</f>
        <v>126</v>
      </c>
      <c r="C11" s="66">
        <f t="shared" si="2"/>
        <v>4646705.2</v>
      </c>
      <c r="D11" s="67" t="s">
        <v>111</v>
      </c>
      <c r="E11" s="66">
        <f>sum(E5:E10)</f>
        <v>117</v>
      </c>
      <c r="F11" s="66"/>
      <c r="G11" s="66"/>
      <c r="H11" s="68"/>
      <c r="J11" s="65" t="s">
        <v>110</v>
      </c>
      <c r="K11" s="66">
        <f t="shared" ref="K11:L11" si="3">sum(K5:K10)</f>
        <v>38</v>
      </c>
      <c r="L11" s="66">
        <f t="shared" si="3"/>
        <v>29</v>
      </c>
      <c r="M11" s="66">
        <f>sum(M6:M9)</f>
        <v>6</v>
      </c>
      <c r="N11" s="70">
        <f>IF(K11=0,0,L11/K11)</f>
        <v>0.7631578947</v>
      </c>
      <c r="O11" s="66"/>
      <c r="P11" s="66"/>
      <c r="Q11" s="68"/>
    </row>
    <row r="12">
      <c r="P12" s="7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H2"/>
    <mergeCell ref="J1:Q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  <col customWidth="1" min="4" max="4" width="21.29"/>
    <col customWidth="1" min="5" max="5" width="11.86"/>
    <col customWidth="1" min="6" max="6" width="17.43"/>
    <col customWidth="1" min="7" max="7" width="22.0"/>
    <col customWidth="1" min="8" max="8" width="14.0"/>
    <col customWidth="1" min="9" max="9" width="18.29"/>
    <col customWidth="1" min="10" max="10" width="12.43"/>
    <col customWidth="1" min="11" max="12" width="8.71"/>
    <col customWidth="1" min="13" max="13" width="14.43"/>
    <col customWidth="1" min="14" max="14" width="8.71"/>
    <col customWidth="1" min="15" max="15" width="11.57"/>
    <col customWidth="1" min="16" max="16" width="12.43"/>
    <col customWidth="1" min="17" max="17" width="15.43"/>
  </cols>
  <sheetData>
    <row r="1" ht="22.5" customHeight="1">
      <c r="A1" s="23" t="s">
        <v>59</v>
      </c>
      <c r="B1" s="25" t="s">
        <v>67</v>
      </c>
      <c r="C1" s="25" t="s">
        <v>1</v>
      </c>
      <c r="D1" s="23" t="s">
        <v>68</v>
      </c>
      <c r="E1" s="23" t="s">
        <v>69</v>
      </c>
      <c r="F1" s="28" t="s">
        <v>2</v>
      </c>
      <c r="G1" s="28" t="s">
        <v>4</v>
      </c>
      <c r="H1" s="28" t="s">
        <v>5</v>
      </c>
      <c r="I1" s="23" t="s">
        <v>72</v>
      </c>
      <c r="J1" s="32" t="s">
        <v>15</v>
      </c>
      <c r="K1" s="32" t="s">
        <v>75</v>
      </c>
      <c r="L1" s="32" t="s">
        <v>76</v>
      </c>
      <c r="M1" s="32" t="s">
        <v>77</v>
      </c>
      <c r="N1" s="32" t="s">
        <v>78</v>
      </c>
      <c r="O1" s="32" t="s">
        <v>79</v>
      </c>
      <c r="P1" s="35" t="s">
        <v>80</v>
      </c>
      <c r="Q1" s="37" t="s">
        <v>81</v>
      </c>
    </row>
    <row r="2" ht="22.5" customHeight="1">
      <c r="A2" s="39">
        <v>46226.0</v>
      </c>
      <c r="B2" s="40" t="s">
        <v>84</v>
      </c>
      <c r="C2" s="41" t="s">
        <v>16</v>
      </c>
      <c r="D2" s="43" t="s">
        <v>87</v>
      </c>
      <c r="E2" s="43" t="s">
        <v>89</v>
      </c>
      <c r="F2" s="41" t="s">
        <v>18</v>
      </c>
      <c r="G2" s="45" t="s">
        <v>18</v>
      </c>
      <c r="H2" s="43" t="s">
        <v>94</v>
      </c>
      <c r="I2" s="40">
        <v>245.4</v>
      </c>
      <c r="J2" s="41" t="s">
        <v>13</v>
      </c>
      <c r="K2" s="46" t="b">
        <v>1</v>
      </c>
      <c r="L2" s="46" t="b">
        <v>1</v>
      </c>
      <c r="M2" s="39"/>
      <c r="N2" s="50">
        <f t="shared" ref="N2:N127" si="1">IF(A2="","",IF(M2="",TODAY()-A2,M2-A2))</f>
        <v>75</v>
      </c>
      <c r="O2" s="51"/>
      <c r="P2" s="41" t="s">
        <v>31</v>
      </c>
      <c r="Q2" s="40"/>
    </row>
    <row r="3" ht="22.5" customHeight="1">
      <c r="A3" s="39">
        <v>46228.0</v>
      </c>
      <c r="B3" s="40" t="s">
        <v>99</v>
      </c>
      <c r="C3" s="41" t="s">
        <v>7</v>
      </c>
      <c r="D3" s="55" t="s">
        <v>100</v>
      </c>
      <c r="E3" s="55" t="s">
        <v>100</v>
      </c>
      <c r="F3" s="41" t="s">
        <v>8</v>
      </c>
      <c r="G3" s="45" t="s">
        <v>29</v>
      </c>
      <c r="H3" s="43" t="s">
        <v>56</v>
      </c>
      <c r="I3" s="40">
        <v>80000.0</v>
      </c>
      <c r="J3" s="41" t="s">
        <v>25</v>
      </c>
      <c r="K3" s="46" t="b">
        <v>1</v>
      </c>
      <c r="L3" s="46" t="b">
        <v>1</v>
      </c>
      <c r="M3" s="39"/>
      <c r="N3" s="50">
        <f t="shared" si="1"/>
        <v>73</v>
      </c>
      <c r="O3" s="51"/>
      <c r="P3" s="41" t="s">
        <v>31</v>
      </c>
      <c r="Q3" s="40"/>
    </row>
    <row r="4" ht="22.5" customHeight="1">
      <c r="A4" s="39">
        <v>46228.0</v>
      </c>
      <c r="B4" s="40" t="s">
        <v>99</v>
      </c>
      <c r="C4" s="41" t="s">
        <v>7</v>
      </c>
      <c r="D4" s="55" t="s">
        <v>100</v>
      </c>
      <c r="E4" s="55" t="s">
        <v>100</v>
      </c>
      <c r="F4" s="41" t="s">
        <v>8</v>
      </c>
      <c r="G4" s="45" t="s">
        <v>35</v>
      </c>
      <c r="H4" s="43" t="s">
        <v>56</v>
      </c>
      <c r="I4" s="40">
        <v>28000.0</v>
      </c>
      <c r="J4" s="41" t="s">
        <v>25</v>
      </c>
      <c r="K4" s="46" t="b">
        <v>1</v>
      </c>
      <c r="L4" s="46" t="b">
        <v>1</v>
      </c>
      <c r="M4" s="39"/>
      <c r="N4" s="50">
        <f t="shared" si="1"/>
        <v>73</v>
      </c>
      <c r="O4" s="51"/>
      <c r="P4" s="41" t="s">
        <v>31</v>
      </c>
      <c r="Q4" s="40"/>
    </row>
    <row r="5" ht="22.5" customHeight="1">
      <c r="A5" s="39">
        <v>46228.0</v>
      </c>
      <c r="B5" s="40" t="s">
        <v>99</v>
      </c>
      <c r="C5" s="41" t="s">
        <v>7</v>
      </c>
      <c r="D5" s="55" t="s">
        <v>100</v>
      </c>
      <c r="E5" s="55" t="s">
        <v>100</v>
      </c>
      <c r="F5" s="41" t="s">
        <v>8</v>
      </c>
      <c r="G5" s="45" t="s">
        <v>55</v>
      </c>
      <c r="H5" s="43" t="s">
        <v>60</v>
      </c>
      <c r="I5" s="40">
        <v>60000.0</v>
      </c>
      <c r="J5" s="41" t="s">
        <v>25</v>
      </c>
      <c r="K5" s="46" t="b">
        <v>1</v>
      </c>
      <c r="L5" s="46" t="b">
        <v>1</v>
      </c>
      <c r="M5" s="39"/>
      <c r="N5" s="50">
        <f t="shared" si="1"/>
        <v>73</v>
      </c>
      <c r="O5" s="51"/>
      <c r="P5" s="41" t="s">
        <v>31</v>
      </c>
      <c r="Q5" s="40"/>
    </row>
    <row r="6" ht="22.5" customHeight="1">
      <c r="A6" s="39">
        <v>46234.0</v>
      </c>
      <c r="B6" s="40" t="s">
        <v>103</v>
      </c>
      <c r="C6" s="41" t="s">
        <v>7</v>
      </c>
      <c r="D6" s="55" t="s">
        <v>100</v>
      </c>
      <c r="E6" s="55" t="s">
        <v>100</v>
      </c>
      <c r="F6" s="41" t="s">
        <v>8</v>
      </c>
      <c r="G6" s="45" t="s">
        <v>55</v>
      </c>
      <c r="H6" s="43" t="s">
        <v>60</v>
      </c>
      <c r="I6" s="40">
        <v>66000.0</v>
      </c>
      <c r="J6" s="41" t="s">
        <v>25</v>
      </c>
      <c r="K6" s="46" t="b">
        <v>1</v>
      </c>
      <c r="L6" s="46" t="b">
        <v>1</v>
      </c>
      <c r="M6" s="39"/>
      <c r="N6" s="50">
        <f t="shared" si="1"/>
        <v>67</v>
      </c>
      <c r="O6" s="51"/>
      <c r="P6" s="41" t="s">
        <v>31</v>
      </c>
      <c r="Q6" s="40"/>
    </row>
    <row r="7" ht="22.5" customHeight="1">
      <c r="A7" s="39">
        <v>46234.0</v>
      </c>
      <c r="B7" s="40" t="s">
        <v>103</v>
      </c>
      <c r="C7" s="41" t="s">
        <v>7</v>
      </c>
      <c r="D7" s="55" t="s">
        <v>100</v>
      </c>
      <c r="E7" s="55" t="s">
        <v>100</v>
      </c>
      <c r="F7" s="41" t="s">
        <v>8</v>
      </c>
      <c r="G7" s="45" t="s">
        <v>29</v>
      </c>
      <c r="H7" s="43" t="s">
        <v>56</v>
      </c>
      <c r="I7" s="40">
        <v>72000.0</v>
      </c>
      <c r="J7" s="41" t="s">
        <v>25</v>
      </c>
      <c r="K7" s="46" t="b">
        <v>1</v>
      </c>
      <c r="L7" s="46" t="b">
        <v>1</v>
      </c>
      <c r="M7" s="39"/>
      <c r="N7" s="50">
        <f t="shared" si="1"/>
        <v>67</v>
      </c>
      <c r="O7" s="51"/>
      <c r="P7" s="41" t="s">
        <v>31</v>
      </c>
      <c r="Q7" s="40"/>
    </row>
    <row r="8" ht="22.5" customHeight="1">
      <c r="A8" s="39">
        <v>46234.0</v>
      </c>
      <c r="B8" s="40" t="s">
        <v>103</v>
      </c>
      <c r="C8" s="41" t="s">
        <v>7</v>
      </c>
      <c r="D8" s="55" t="s">
        <v>100</v>
      </c>
      <c r="E8" s="55" t="s">
        <v>100</v>
      </c>
      <c r="F8" s="41" t="s">
        <v>8</v>
      </c>
      <c r="G8" s="45" t="s">
        <v>50</v>
      </c>
      <c r="H8" s="60"/>
      <c r="I8" s="40">
        <v>120000.0</v>
      </c>
      <c r="J8" s="41" t="s">
        <v>25</v>
      </c>
      <c r="K8" s="46" t="b">
        <v>1</v>
      </c>
      <c r="L8" s="46" t="b">
        <v>1</v>
      </c>
      <c r="M8" s="39"/>
      <c r="N8" s="50">
        <f t="shared" si="1"/>
        <v>67</v>
      </c>
      <c r="O8" s="51"/>
      <c r="P8" s="41" t="s">
        <v>31</v>
      </c>
      <c r="Q8" s="40"/>
    </row>
    <row r="9" ht="22.5" customHeight="1">
      <c r="A9" s="39">
        <v>46234.0</v>
      </c>
      <c r="B9" s="40" t="s">
        <v>103</v>
      </c>
      <c r="C9" s="41" t="s">
        <v>7</v>
      </c>
      <c r="D9" s="55" t="s">
        <v>100</v>
      </c>
      <c r="E9" s="55" t="s">
        <v>100</v>
      </c>
      <c r="F9" s="41" t="s">
        <v>8</v>
      </c>
      <c r="G9" s="45" t="s">
        <v>63</v>
      </c>
      <c r="H9" s="43" t="s">
        <v>60</v>
      </c>
      <c r="I9" s="40">
        <v>60000.0</v>
      </c>
      <c r="J9" s="41" t="s">
        <v>25</v>
      </c>
      <c r="K9" s="46" t="b">
        <v>1</v>
      </c>
      <c r="L9" s="46" t="b">
        <v>1</v>
      </c>
      <c r="M9" s="39"/>
      <c r="N9" s="50">
        <f t="shared" si="1"/>
        <v>67</v>
      </c>
      <c r="O9" s="51"/>
      <c r="P9" s="41" t="s">
        <v>31</v>
      </c>
      <c r="Q9" s="40"/>
    </row>
    <row r="10" ht="22.5" customHeight="1">
      <c r="A10" s="39">
        <v>46238.0</v>
      </c>
      <c r="B10" s="69">
        <v>46236.0</v>
      </c>
      <c r="C10" s="41" t="s">
        <v>27</v>
      </c>
      <c r="D10" s="43" t="s">
        <v>87</v>
      </c>
      <c r="E10" s="40" t="s">
        <v>96</v>
      </c>
      <c r="F10" s="41" t="s">
        <v>23</v>
      </c>
      <c r="G10" s="45" t="s">
        <v>9</v>
      </c>
      <c r="H10" s="43" t="s">
        <v>60</v>
      </c>
      <c r="I10" s="40"/>
      <c r="J10" s="41" t="s">
        <v>25</v>
      </c>
      <c r="K10" s="46" t="b">
        <v>1</v>
      </c>
      <c r="L10" s="46" t="b">
        <v>1</v>
      </c>
      <c r="M10" s="39"/>
      <c r="N10" s="50">
        <f t="shared" si="1"/>
        <v>63</v>
      </c>
      <c r="O10" s="51"/>
      <c r="P10" s="41" t="s">
        <v>31</v>
      </c>
      <c r="Q10" s="40"/>
    </row>
    <row r="11" ht="22.5" customHeight="1">
      <c r="A11" s="39">
        <v>46239.0</v>
      </c>
      <c r="B11" s="69">
        <v>46236.0</v>
      </c>
      <c r="C11" s="41" t="s">
        <v>27</v>
      </c>
      <c r="D11" s="43" t="s">
        <v>87</v>
      </c>
      <c r="E11" s="43" t="s">
        <v>89</v>
      </c>
      <c r="F11" s="41" t="s">
        <v>23</v>
      </c>
      <c r="G11" s="45" t="s">
        <v>9</v>
      </c>
      <c r="H11" s="43" t="s">
        <v>60</v>
      </c>
      <c r="I11" s="40"/>
      <c r="J11" s="41" t="s">
        <v>25</v>
      </c>
      <c r="K11" s="46" t="b">
        <v>1</v>
      </c>
      <c r="L11" s="46" t="b">
        <v>1</v>
      </c>
      <c r="M11" s="39"/>
      <c r="N11" s="50">
        <f t="shared" si="1"/>
        <v>62</v>
      </c>
      <c r="O11" s="51"/>
      <c r="P11" s="41" t="s">
        <v>31</v>
      </c>
      <c r="Q11" s="40"/>
    </row>
    <row r="12" ht="22.5" customHeight="1">
      <c r="A12" s="39">
        <v>46242.0</v>
      </c>
      <c r="B12" s="69">
        <v>46236.0</v>
      </c>
      <c r="C12" s="41" t="s">
        <v>27</v>
      </c>
      <c r="D12" s="43" t="s">
        <v>87</v>
      </c>
      <c r="E12" s="43" t="s">
        <v>89</v>
      </c>
      <c r="F12" s="41" t="s">
        <v>23</v>
      </c>
      <c r="G12" s="45" t="s">
        <v>9</v>
      </c>
      <c r="H12" s="43" t="s">
        <v>60</v>
      </c>
      <c r="I12" s="40"/>
      <c r="J12" s="41" t="s">
        <v>25</v>
      </c>
      <c r="K12" s="46" t="b">
        <v>1</v>
      </c>
      <c r="L12" s="46" t="b">
        <v>1</v>
      </c>
      <c r="M12" s="39"/>
      <c r="N12" s="50">
        <f t="shared" si="1"/>
        <v>59</v>
      </c>
      <c r="O12" s="51"/>
      <c r="P12" s="41" t="s">
        <v>31</v>
      </c>
      <c r="Q12" s="40"/>
    </row>
    <row r="13" ht="22.5" customHeight="1">
      <c r="A13" s="39">
        <v>46242.0</v>
      </c>
      <c r="B13" s="40" t="s">
        <v>113</v>
      </c>
      <c r="C13" s="41" t="s">
        <v>16</v>
      </c>
      <c r="D13" s="43" t="s">
        <v>87</v>
      </c>
      <c r="E13" s="43" t="s">
        <v>89</v>
      </c>
      <c r="F13" s="41" t="s">
        <v>18</v>
      </c>
      <c r="G13" s="45" t="s">
        <v>18</v>
      </c>
      <c r="H13" s="43" t="s">
        <v>114</v>
      </c>
      <c r="I13" s="40">
        <v>325.0</v>
      </c>
      <c r="J13" s="41" t="s">
        <v>13</v>
      </c>
      <c r="K13" s="46" t="b">
        <v>1</v>
      </c>
      <c r="L13" s="46" t="b">
        <v>1</v>
      </c>
      <c r="M13" s="39"/>
      <c r="N13" s="50">
        <f t="shared" si="1"/>
        <v>59</v>
      </c>
      <c r="O13" s="40" t="s">
        <v>116</v>
      </c>
      <c r="P13" s="41" t="s">
        <v>31</v>
      </c>
      <c r="Q13" s="40"/>
    </row>
    <row r="14" ht="22.5" customHeight="1">
      <c r="A14" s="39">
        <v>46245.0</v>
      </c>
      <c r="B14" s="40" t="s">
        <v>117</v>
      </c>
      <c r="C14" s="41" t="s">
        <v>7</v>
      </c>
      <c r="D14" s="55" t="s">
        <v>100</v>
      </c>
      <c r="E14" s="55" t="s">
        <v>100</v>
      </c>
      <c r="F14" s="41" t="s">
        <v>8</v>
      </c>
      <c r="G14" s="45" t="s">
        <v>29</v>
      </c>
      <c r="H14" s="43" t="s">
        <v>56</v>
      </c>
      <c r="I14" s="40">
        <v>142000.0</v>
      </c>
      <c r="J14" s="41" t="s">
        <v>25</v>
      </c>
      <c r="K14" s="46" t="b">
        <v>1</v>
      </c>
      <c r="L14" s="46" t="b">
        <v>1</v>
      </c>
      <c r="M14" s="39"/>
      <c r="N14" s="50">
        <f t="shared" si="1"/>
        <v>56</v>
      </c>
      <c r="O14" s="40" t="s">
        <v>119</v>
      </c>
      <c r="P14" s="41" t="s">
        <v>31</v>
      </c>
      <c r="Q14" s="40"/>
    </row>
    <row r="15" ht="22.5" customHeight="1">
      <c r="A15" s="39">
        <v>46245.0</v>
      </c>
      <c r="B15" s="40" t="s">
        <v>117</v>
      </c>
      <c r="C15" s="41" t="s">
        <v>7</v>
      </c>
      <c r="D15" s="55" t="s">
        <v>100</v>
      </c>
      <c r="E15" s="55" t="s">
        <v>100</v>
      </c>
      <c r="F15" s="41" t="s">
        <v>8</v>
      </c>
      <c r="G15" s="45" t="s">
        <v>55</v>
      </c>
      <c r="H15" s="43" t="s">
        <v>60</v>
      </c>
      <c r="I15" s="40">
        <v>40000.0</v>
      </c>
      <c r="J15" s="41" t="s">
        <v>25</v>
      </c>
      <c r="K15" s="46" t="b">
        <v>1</v>
      </c>
      <c r="L15" s="46" t="b">
        <v>1</v>
      </c>
      <c r="M15" s="39"/>
      <c r="N15" s="50">
        <f t="shared" si="1"/>
        <v>56</v>
      </c>
      <c r="O15" s="40" t="s">
        <v>121</v>
      </c>
      <c r="P15" s="41" t="s">
        <v>31</v>
      </c>
      <c r="Q15" s="40"/>
    </row>
    <row r="16" ht="22.5" customHeight="1">
      <c r="A16" s="39">
        <v>46245.0</v>
      </c>
      <c r="B16" s="40" t="s">
        <v>122</v>
      </c>
      <c r="C16" s="41" t="s">
        <v>7</v>
      </c>
      <c r="D16" s="55" t="s">
        <v>100</v>
      </c>
      <c r="E16" s="55" t="s">
        <v>100</v>
      </c>
      <c r="F16" s="41" t="s">
        <v>8</v>
      </c>
      <c r="G16" s="45" t="s">
        <v>55</v>
      </c>
      <c r="H16" s="43" t="s">
        <v>60</v>
      </c>
      <c r="I16" s="40">
        <v>20000.0</v>
      </c>
      <c r="J16" s="41" t="s">
        <v>25</v>
      </c>
      <c r="K16" s="46" t="b">
        <v>1</v>
      </c>
      <c r="L16" s="46" t="b">
        <v>1</v>
      </c>
      <c r="M16" s="39"/>
      <c r="N16" s="50">
        <f t="shared" si="1"/>
        <v>56</v>
      </c>
      <c r="O16" s="40" t="s">
        <v>123</v>
      </c>
      <c r="P16" s="41" t="s">
        <v>31</v>
      </c>
      <c r="Q16" s="40"/>
    </row>
    <row r="17" ht="22.5" customHeight="1">
      <c r="A17" s="39">
        <v>46245.0</v>
      </c>
      <c r="B17" s="40" t="s">
        <v>122</v>
      </c>
      <c r="C17" s="41" t="s">
        <v>7</v>
      </c>
      <c r="D17" s="55" t="s">
        <v>100</v>
      </c>
      <c r="E17" s="55" t="s">
        <v>100</v>
      </c>
      <c r="F17" s="41" t="s">
        <v>8</v>
      </c>
      <c r="G17" s="45" t="s">
        <v>50</v>
      </c>
      <c r="H17" s="72"/>
      <c r="I17" s="40">
        <v>130000.0</v>
      </c>
      <c r="J17" s="41" t="s">
        <v>25</v>
      </c>
      <c r="K17" s="46" t="b">
        <v>1</v>
      </c>
      <c r="L17" s="46" t="b">
        <v>1</v>
      </c>
      <c r="M17" s="39"/>
      <c r="N17" s="50">
        <f t="shared" si="1"/>
        <v>56</v>
      </c>
      <c r="O17" s="40" t="s">
        <v>124</v>
      </c>
      <c r="P17" s="41" t="s">
        <v>31</v>
      </c>
      <c r="Q17" s="40"/>
    </row>
    <row r="18" ht="22.5" customHeight="1">
      <c r="A18" s="39">
        <v>46245.0</v>
      </c>
      <c r="B18" s="40" t="s">
        <v>122</v>
      </c>
      <c r="C18" s="41" t="s">
        <v>7</v>
      </c>
      <c r="D18" s="55" t="s">
        <v>100</v>
      </c>
      <c r="E18" s="55" t="s">
        <v>100</v>
      </c>
      <c r="F18" s="41" t="s">
        <v>8</v>
      </c>
      <c r="G18" s="45" t="s">
        <v>63</v>
      </c>
      <c r="H18" s="43" t="s">
        <v>60</v>
      </c>
      <c r="I18" s="40">
        <v>100000.0</v>
      </c>
      <c r="J18" s="41" t="s">
        <v>25</v>
      </c>
      <c r="K18" s="46" t="b">
        <v>1</v>
      </c>
      <c r="L18" s="46" t="b">
        <v>1</v>
      </c>
      <c r="M18" s="39"/>
      <c r="N18" s="50">
        <f t="shared" si="1"/>
        <v>56</v>
      </c>
      <c r="O18" s="40" t="s">
        <v>123</v>
      </c>
      <c r="P18" s="41" t="s">
        <v>31</v>
      </c>
      <c r="Q18" s="40"/>
    </row>
    <row r="19" ht="22.5" customHeight="1">
      <c r="A19" s="39">
        <v>46245.0</v>
      </c>
      <c r="B19" s="40" t="s">
        <v>122</v>
      </c>
      <c r="C19" s="41" t="s">
        <v>7</v>
      </c>
      <c r="D19" s="55" t="s">
        <v>100</v>
      </c>
      <c r="E19" s="55" t="s">
        <v>100</v>
      </c>
      <c r="F19" s="41" t="s">
        <v>8</v>
      </c>
      <c r="G19" s="45" t="s">
        <v>43</v>
      </c>
      <c r="H19" s="43" t="s">
        <v>56</v>
      </c>
      <c r="I19" s="40">
        <v>51000.0</v>
      </c>
      <c r="J19" s="41" t="s">
        <v>25</v>
      </c>
      <c r="K19" s="46" t="b">
        <v>1</v>
      </c>
      <c r="L19" s="46" t="b">
        <v>1</v>
      </c>
      <c r="M19" s="39"/>
      <c r="N19" s="50">
        <f t="shared" si="1"/>
        <v>56</v>
      </c>
      <c r="O19" s="40" t="s">
        <v>128</v>
      </c>
      <c r="P19" s="41" t="s">
        <v>31</v>
      </c>
      <c r="Q19" s="40"/>
    </row>
    <row r="20" ht="22.5" customHeight="1">
      <c r="A20" s="39">
        <v>46245.0</v>
      </c>
      <c r="B20" s="40" t="s">
        <v>122</v>
      </c>
      <c r="C20" s="41" t="s">
        <v>7</v>
      </c>
      <c r="D20" s="55" t="s">
        <v>100</v>
      </c>
      <c r="E20" s="55" t="s">
        <v>100</v>
      </c>
      <c r="F20" s="41" t="s">
        <v>8</v>
      </c>
      <c r="G20" s="45" t="s">
        <v>58</v>
      </c>
      <c r="H20" s="43" t="s">
        <v>60</v>
      </c>
      <c r="I20" s="40">
        <v>51000.0</v>
      </c>
      <c r="J20" s="41" t="s">
        <v>25</v>
      </c>
      <c r="K20" s="46" t="b">
        <v>1</v>
      </c>
      <c r="L20" s="46" t="b">
        <v>1</v>
      </c>
      <c r="M20" s="39"/>
      <c r="N20" s="50">
        <f t="shared" si="1"/>
        <v>56</v>
      </c>
      <c r="O20" s="40" t="s">
        <v>128</v>
      </c>
      <c r="P20" s="41" t="s">
        <v>31</v>
      </c>
      <c r="Q20" s="40"/>
    </row>
    <row r="21" ht="22.5" customHeight="1">
      <c r="A21" s="39">
        <v>46253.0</v>
      </c>
      <c r="B21" s="69">
        <v>46237.0</v>
      </c>
      <c r="C21" s="41" t="s">
        <v>27</v>
      </c>
      <c r="D21" s="43" t="s">
        <v>129</v>
      </c>
      <c r="E21" s="43" t="s">
        <v>129</v>
      </c>
      <c r="F21" s="41" t="s">
        <v>23</v>
      </c>
      <c r="G21" s="45" t="s">
        <v>9</v>
      </c>
      <c r="H21" s="43" t="s">
        <v>30</v>
      </c>
      <c r="I21" s="40">
        <v>5000.0</v>
      </c>
      <c r="J21" s="41" t="s">
        <v>25</v>
      </c>
      <c r="K21" s="46" t="b">
        <v>1</v>
      </c>
      <c r="L21" s="46" t="b">
        <v>1</v>
      </c>
      <c r="M21" s="39"/>
      <c r="N21" s="50">
        <f t="shared" si="1"/>
        <v>48</v>
      </c>
      <c r="O21" s="40">
        <v>10.0</v>
      </c>
      <c r="P21" s="41" t="s">
        <v>31</v>
      </c>
      <c r="Q21" s="40"/>
    </row>
    <row r="22" ht="22.5" customHeight="1">
      <c r="A22" s="39">
        <v>46253.0</v>
      </c>
      <c r="B22" s="69">
        <v>46237.0</v>
      </c>
      <c r="C22" s="41" t="s">
        <v>27</v>
      </c>
      <c r="D22" s="43" t="s">
        <v>129</v>
      </c>
      <c r="E22" s="43" t="s">
        <v>129</v>
      </c>
      <c r="F22" s="41" t="s">
        <v>23</v>
      </c>
      <c r="G22" s="45" t="s">
        <v>9</v>
      </c>
      <c r="H22" s="60" t="s">
        <v>36</v>
      </c>
      <c r="I22" s="40">
        <v>5100.0</v>
      </c>
      <c r="J22" s="41" t="s">
        <v>25</v>
      </c>
      <c r="K22" s="46" t="b">
        <v>1</v>
      </c>
      <c r="L22" s="46" t="b">
        <v>1</v>
      </c>
      <c r="M22" s="39"/>
      <c r="N22" s="50">
        <f t="shared" si="1"/>
        <v>48</v>
      </c>
      <c r="O22" s="40">
        <v>17.0</v>
      </c>
      <c r="P22" s="41" t="s">
        <v>31</v>
      </c>
      <c r="Q22" s="40"/>
    </row>
    <row r="23" ht="22.5" customHeight="1">
      <c r="A23" s="39">
        <v>46253.0</v>
      </c>
      <c r="B23" s="69">
        <v>46237.0</v>
      </c>
      <c r="C23" s="41" t="s">
        <v>27</v>
      </c>
      <c r="D23" s="43" t="s">
        <v>107</v>
      </c>
      <c r="E23" s="43" t="s">
        <v>107</v>
      </c>
      <c r="F23" s="41" t="s">
        <v>23</v>
      </c>
      <c r="G23" s="45" t="s">
        <v>19</v>
      </c>
      <c r="H23" s="43" t="s">
        <v>24</v>
      </c>
      <c r="I23" s="40">
        <v>2000.0</v>
      </c>
      <c r="J23" s="41" t="s">
        <v>25</v>
      </c>
      <c r="K23" s="46" t="b">
        <v>1</v>
      </c>
      <c r="L23" s="46" t="b">
        <v>1</v>
      </c>
      <c r="M23" s="39"/>
      <c r="N23" s="50">
        <f t="shared" si="1"/>
        <v>48</v>
      </c>
      <c r="O23" s="40">
        <v>4.0</v>
      </c>
      <c r="P23" s="41" t="s">
        <v>31</v>
      </c>
      <c r="Q23" s="40"/>
    </row>
    <row r="24" ht="22.5" customHeight="1">
      <c r="A24" s="39">
        <v>46253.0</v>
      </c>
      <c r="B24" s="69">
        <v>46237.0</v>
      </c>
      <c r="C24" s="41" t="s">
        <v>27</v>
      </c>
      <c r="D24" s="43" t="s">
        <v>107</v>
      </c>
      <c r="E24" s="43" t="s">
        <v>107</v>
      </c>
      <c r="F24" s="41" t="s">
        <v>23</v>
      </c>
      <c r="G24" s="45" t="s">
        <v>19</v>
      </c>
      <c r="H24" s="43" t="s">
        <v>20</v>
      </c>
      <c r="I24" s="40">
        <v>3000.0</v>
      </c>
      <c r="J24" s="41" t="s">
        <v>25</v>
      </c>
      <c r="K24" s="46" t="b">
        <v>1</v>
      </c>
      <c r="L24" s="46" t="b">
        <v>1</v>
      </c>
      <c r="M24" s="39"/>
      <c r="N24" s="50">
        <f t="shared" si="1"/>
        <v>48</v>
      </c>
      <c r="O24" s="40">
        <v>3.0</v>
      </c>
      <c r="P24" s="41" t="s">
        <v>31</v>
      </c>
      <c r="Q24" s="40"/>
    </row>
    <row r="25" ht="22.5" customHeight="1">
      <c r="A25" s="39">
        <v>46253.0</v>
      </c>
      <c r="B25" s="69">
        <v>46237.0</v>
      </c>
      <c r="C25" s="41" t="s">
        <v>27</v>
      </c>
      <c r="D25" s="43" t="s">
        <v>87</v>
      </c>
      <c r="E25" s="40" t="s">
        <v>96</v>
      </c>
      <c r="F25" s="41" t="s">
        <v>23</v>
      </c>
      <c r="G25" s="45" t="s">
        <v>19</v>
      </c>
      <c r="H25" s="43" t="s">
        <v>44</v>
      </c>
      <c r="I25" s="40">
        <v>900.0</v>
      </c>
      <c r="J25" s="41" t="s">
        <v>25</v>
      </c>
      <c r="K25" s="46" t="b">
        <v>1</v>
      </c>
      <c r="L25" s="46" t="b">
        <v>1</v>
      </c>
      <c r="M25" s="39"/>
      <c r="N25" s="50">
        <f t="shared" si="1"/>
        <v>48</v>
      </c>
      <c r="O25" s="40">
        <v>3.0</v>
      </c>
      <c r="P25" s="41" t="s">
        <v>31</v>
      </c>
      <c r="Q25" s="40"/>
    </row>
    <row r="26" ht="22.5" customHeight="1">
      <c r="A26" s="39">
        <v>46253.0</v>
      </c>
      <c r="B26" s="69">
        <v>46237.0</v>
      </c>
      <c r="C26" s="41" t="s">
        <v>27</v>
      </c>
      <c r="D26" s="43" t="s">
        <v>87</v>
      </c>
      <c r="E26" s="43" t="s">
        <v>89</v>
      </c>
      <c r="F26" s="41" t="s">
        <v>23</v>
      </c>
      <c r="G26" s="45" t="s">
        <v>19</v>
      </c>
      <c r="H26" s="43" t="s">
        <v>44</v>
      </c>
      <c r="I26" s="40">
        <v>600.0</v>
      </c>
      <c r="J26" s="41" t="s">
        <v>25</v>
      </c>
      <c r="K26" s="46" t="b">
        <v>1</v>
      </c>
      <c r="L26" s="46" t="b">
        <v>1</v>
      </c>
      <c r="M26" s="39"/>
      <c r="N26" s="50">
        <f t="shared" si="1"/>
        <v>48</v>
      </c>
      <c r="O26" s="40">
        <v>2.0</v>
      </c>
      <c r="P26" s="41" t="s">
        <v>31</v>
      </c>
      <c r="Q26" s="40"/>
    </row>
    <row r="27" ht="22.5" customHeight="1">
      <c r="A27" s="39">
        <v>46258.0</v>
      </c>
      <c r="B27" s="40">
        <v>35.0</v>
      </c>
      <c r="C27" s="41" t="s">
        <v>7</v>
      </c>
      <c r="D27" s="55" t="s">
        <v>100</v>
      </c>
      <c r="E27" s="55" t="s">
        <v>100</v>
      </c>
      <c r="F27" s="41" t="s">
        <v>8</v>
      </c>
      <c r="G27" s="45" t="s">
        <v>29</v>
      </c>
      <c r="H27" s="43" t="s">
        <v>56</v>
      </c>
      <c r="I27" s="40">
        <v>72000.0</v>
      </c>
      <c r="J27" s="41" t="s">
        <v>25</v>
      </c>
      <c r="K27" s="46" t="b">
        <v>1</v>
      </c>
      <c r="L27" s="46" t="b">
        <v>1</v>
      </c>
      <c r="M27" s="39"/>
      <c r="N27" s="50">
        <f t="shared" si="1"/>
        <v>43</v>
      </c>
      <c r="O27" s="40" t="s">
        <v>130</v>
      </c>
      <c r="P27" s="41" t="s">
        <v>31</v>
      </c>
      <c r="Q27" s="40"/>
    </row>
    <row r="28" ht="22.5" customHeight="1">
      <c r="A28" s="39">
        <v>46258.0</v>
      </c>
      <c r="B28" s="40">
        <v>35.0</v>
      </c>
      <c r="C28" s="41" t="s">
        <v>7</v>
      </c>
      <c r="D28" s="55" t="s">
        <v>100</v>
      </c>
      <c r="E28" s="55" t="s">
        <v>100</v>
      </c>
      <c r="F28" s="41" t="s">
        <v>8</v>
      </c>
      <c r="G28" s="45" t="s">
        <v>47</v>
      </c>
      <c r="H28" s="43" t="s">
        <v>56</v>
      </c>
      <c r="I28" s="40">
        <v>150000.0</v>
      </c>
      <c r="J28" s="41" t="s">
        <v>25</v>
      </c>
      <c r="K28" s="46" t="b">
        <v>1</v>
      </c>
      <c r="L28" s="46" t="b">
        <v>1</v>
      </c>
      <c r="M28" s="39"/>
      <c r="N28" s="50">
        <f t="shared" si="1"/>
        <v>43</v>
      </c>
      <c r="O28" s="40" t="s">
        <v>131</v>
      </c>
      <c r="P28" s="41" t="s">
        <v>31</v>
      </c>
      <c r="Q28" s="40"/>
    </row>
    <row r="29" ht="22.5" customHeight="1">
      <c r="A29" s="39">
        <v>46258.0</v>
      </c>
      <c r="B29" s="40">
        <v>35.0</v>
      </c>
      <c r="C29" s="41" t="s">
        <v>7</v>
      </c>
      <c r="D29" s="55" t="s">
        <v>100</v>
      </c>
      <c r="E29" s="55" t="s">
        <v>100</v>
      </c>
      <c r="F29" s="41" t="s">
        <v>8</v>
      </c>
      <c r="G29" s="45" t="s">
        <v>50</v>
      </c>
      <c r="H29" s="72"/>
      <c r="I29" s="40">
        <v>120000.0</v>
      </c>
      <c r="J29" s="41" t="s">
        <v>25</v>
      </c>
      <c r="K29" s="46" t="b">
        <v>1</v>
      </c>
      <c r="L29" s="46" t="b">
        <v>1</v>
      </c>
      <c r="M29" s="39"/>
      <c r="N29" s="50">
        <f t="shared" si="1"/>
        <v>43</v>
      </c>
      <c r="O29" s="40" t="s">
        <v>132</v>
      </c>
      <c r="P29" s="41" t="s">
        <v>31</v>
      </c>
      <c r="Q29" s="40"/>
    </row>
    <row r="30" ht="22.5" customHeight="1">
      <c r="A30" s="39">
        <v>46258.0</v>
      </c>
      <c r="B30" s="40">
        <v>35.0</v>
      </c>
      <c r="C30" s="41" t="s">
        <v>7</v>
      </c>
      <c r="D30" s="55" t="s">
        <v>100</v>
      </c>
      <c r="E30" s="55" t="s">
        <v>100</v>
      </c>
      <c r="F30" s="41" t="s">
        <v>8</v>
      </c>
      <c r="G30" s="45" t="s">
        <v>43</v>
      </c>
      <c r="H30" s="43" t="s">
        <v>56</v>
      </c>
      <c r="I30" s="40">
        <v>35000.0</v>
      </c>
      <c r="J30" s="41" t="s">
        <v>25</v>
      </c>
      <c r="K30" s="46" t="b">
        <v>1</v>
      </c>
      <c r="L30" s="46" t="b">
        <v>1</v>
      </c>
      <c r="M30" s="39"/>
      <c r="N30" s="50">
        <f t="shared" si="1"/>
        <v>43</v>
      </c>
      <c r="O30" s="40" t="s">
        <v>133</v>
      </c>
      <c r="P30" s="41" t="s">
        <v>31</v>
      </c>
      <c r="Q30" s="40"/>
    </row>
    <row r="31" ht="22.5" customHeight="1">
      <c r="A31" s="39">
        <v>46258.0</v>
      </c>
      <c r="B31" s="40">
        <v>35.0</v>
      </c>
      <c r="C31" s="41" t="s">
        <v>7</v>
      </c>
      <c r="D31" s="55" t="s">
        <v>100</v>
      </c>
      <c r="E31" s="55" t="s">
        <v>100</v>
      </c>
      <c r="F31" s="41" t="s">
        <v>8</v>
      </c>
      <c r="G31" s="45" t="s">
        <v>63</v>
      </c>
      <c r="H31" s="43" t="s">
        <v>60</v>
      </c>
      <c r="I31" s="40">
        <v>50000.0</v>
      </c>
      <c r="J31" s="41" t="s">
        <v>25</v>
      </c>
      <c r="K31" s="46" t="b">
        <v>1</v>
      </c>
      <c r="L31" s="46" t="b">
        <v>1</v>
      </c>
      <c r="M31" s="39"/>
      <c r="N31" s="50">
        <f t="shared" si="1"/>
        <v>43</v>
      </c>
      <c r="O31" s="40" t="s">
        <v>134</v>
      </c>
      <c r="P31" s="41" t="s">
        <v>31</v>
      </c>
      <c r="Q31" s="40"/>
    </row>
    <row r="32" ht="22.5" customHeight="1">
      <c r="A32" s="39">
        <v>46259.0</v>
      </c>
      <c r="B32" s="40">
        <v>37.0</v>
      </c>
      <c r="C32" s="41" t="s">
        <v>7</v>
      </c>
      <c r="D32" s="55" t="s">
        <v>100</v>
      </c>
      <c r="E32" s="55" t="s">
        <v>100</v>
      </c>
      <c r="F32" s="41" t="s">
        <v>8</v>
      </c>
      <c r="G32" s="45" t="s">
        <v>35</v>
      </c>
      <c r="H32" s="43" t="s">
        <v>56</v>
      </c>
      <c r="I32" s="40">
        <v>80000.0</v>
      </c>
      <c r="J32" s="41" t="s">
        <v>25</v>
      </c>
      <c r="K32" s="46" t="b">
        <v>1</v>
      </c>
      <c r="L32" s="46" t="b">
        <v>1</v>
      </c>
      <c r="M32" s="39"/>
      <c r="N32" s="50">
        <f t="shared" si="1"/>
        <v>42</v>
      </c>
      <c r="O32" s="40" t="s">
        <v>135</v>
      </c>
      <c r="P32" s="41" t="s">
        <v>31</v>
      </c>
      <c r="Q32" s="40"/>
    </row>
    <row r="33" ht="22.5" customHeight="1">
      <c r="A33" s="39">
        <v>46259.0</v>
      </c>
      <c r="B33" s="40">
        <v>37.0</v>
      </c>
      <c r="C33" s="41" t="s">
        <v>7</v>
      </c>
      <c r="D33" s="55" t="s">
        <v>100</v>
      </c>
      <c r="E33" s="55" t="s">
        <v>100</v>
      </c>
      <c r="F33" s="41" t="s">
        <v>8</v>
      </c>
      <c r="G33" s="45" t="s">
        <v>55</v>
      </c>
      <c r="H33" s="43" t="s">
        <v>60</v>
      </c>
      <c r="I33" s="40">
        <v>50000.0</v>
      </c>
      <c r="J33" s="41" t="s">
        <v>25</v>
      </c>
      <c r="K33" s="46" t="b">
        <v>1</v>
      </c>
      <c r="L33" s="46" t="b">
        <v>1</v>
      </c>
      <c r="M33" s="39"/>
      <c r="N33" s="50">
        <f t="shared" si="1"/>
        <v>42</v>
      </c>
      <c r="O33" s="40" t="s">
        <v>136</v>
      </c>
      <c r="P33" s="41" t="s">
        <v>31</v>
      </c>
      <c r="Q33" s="40"/>
    </row>
    <row r="34" ht="22.5" customHeight="1">
      <c r="A34" s="39">
        <v>46261.0</v>
      </c>
      <c r="B34" s="40" t="s">
        <v>95</v>
      </c>
      <c r="C34" s="41" t="s">
        <v>22</v>
      </c>
      <c r="D34" s="43" t="s">
        <v>87</v>
      </c>
      <c r="E34" s="40" t="s">
        <v>96</v>
      </c>
      <c r="F34" s="41" t="s">
        <v>18</v>
      </c>
      <c r="G34" s="45" t="s">
        <v>18</v>
      </c>
      <c r="H34" s="43" t="s">
        <v>114</v>
      </c>
      <c r="I34" s="40">
        <v>309.0</v>
      </c>
      <c r="J34" s="41" t="s">
        <v>13</v>
      </c>
      <c r="K34" s="46" t="b">
        <v>1</v>
      </c>
      <c r="L34" s="46" t="b">
        <v>1</v>
      </c>
      <c r="M34" s="39"/>
      <c r="N34" s="50">
        <f t="shared" si="1"/>
        <v>40</v>
      </c>
      <c r="O34" s="40" t="s">
        <v>123</v>
      </c>
      <c r="P34" s="41" t="s">
        <v>31</v>
      </c>
      <c r="Q34" s="40"/>
    </row>
    <row r="35" ht="22.5" customHeight="1">
      <c r="A35" s="39">
        <v>46261.0</v>
      </c>
      <c r="B35" s="40">
        <v>1467.0</v>
      </c>
      <c r="C35" s="41" t="s">
        <v>49</v>
      </c>
      <c r="D35" s="55" t="s">
        <v>100</v>
      </c>
      <c r="E35" s="55" t="s">
        <v>100</v>
      </c>
      <c r="F35" s="41" t="s">
        <v>33</v>
      </c>
      <c r="G35" s="45" t="s">
        <v>33</v>
      </c>
      <c r="H35" s="72"/>
      <c r="I35" s="40">
        <v>250000.0</v>
      </c>
      <c r="J35" s="41" t="s">
        <v>25</v>
      </c>
      <c r="K35" s="46" t="b">
        <v>1</v>
      </c>
      <c r="L35" s="46" t="b">
        <v>1</v>
      </c>
      <c r="M35" s="39">
        <v>46267.0</v>
      </c>
      <c r="N35" s="50">
        <f t="shared" si="1"/>
        <v>6</v>
      </c>
      <c r="O35" s="40" t="s">
        <v>123</v>
      </c>
      <c r="P35" s="41" t="s">
        <v>31</v>
      </c>
      <c r="Q35" s="40"/>
    </row>
    <row r="36" ht="22.5" customHeight="1">
      <c r="A36" s="39">
        <v>46262.0</v>
      </c>
      <c r="B36" s="69">
        <v>46239.0</v>
      </c>
      <c r="C36" s="41" t="s">
        <v>27</v>
      </c>
      <c r="D36" s="43" t="s">
        <v>87</v>
      </c>
      <c r="E36" s="43" t="s">
        <v>89</v>
      </c>
      <c r="F36" s="41" t="s">
        <v>23</v>
      </c>
      <c r="G36" s="45" t="s">
        <v>9</v>
      </c>
      <c r="H36" s="43" t="s">
        <v>24</v>
      </c>
      <c r="I36" s="40">
        <v>4550.0</v>
      </c>
      <c r="J36" s="41" t="s">
        <v>25</v>
      </c>
      <c r="K36" s="46" t="b">
        <v>1</v>
      </c>
      <c r="L36" s="46" t="b">
        <v>1</v>
      </c>
      <c r="M36" s="39"/>
      <c r="N36" s="50">
        <f t="shared" si="1"/>
        <v>39</v>
      </c>
      <c r="O36" s="40" t="s">
        <v>137</v>
      </c>
      <c r="P36" s="41" t="s">
        <v>138</v>
      </c>
      <c r="Q36" s="40"/>
    </row>
    <row r="37" ht="22.5" customHeight="1">
      <c r="A37" s="39">
        <v>46262.0</v>
      </c>
      <c r="B37" s="69">
        <v>46239.0</v>
      </c>
      <c r="C37" s="41" t="s">
        <v>27</v>
      </c>
      <c r="D37" s="43" t="s">
        <v>87</v>
      </c>
      <c r="E37" s="40" t="s">
        <v>96</v>
      </c>
      <c r="F37" s="41" t="s">
        <v>23</v>
      </c>
      <c r="G37" s="45" t="s">
        <v>19</v>
      </c>
      <c r="H37" s="43" t="s">
        <v>48</v>
      </c>
      <c r="I37" s="40">
        <v>2400.0</v>
      </c>
      <c r="J37" s="41" t="s">
        <v>25</v>
      </c>
      <c r="K37" s="46" t="b">
        <v>1</v>
      </c>
      <c r="L37" s="46" t="b">
        <v>1</v>
      </c>
      <c r="M37" s="39"/>
      <c r="N37" s="50">
        <f t="shared" si="1"/>
        <v>39</v>
      </c>
      <c r="O37" s="40" t="s">
        <v>132</v>
      </c>
      <c r="P37" s="41" t="s">
        <v>31</v>
      </c>
      <c r="Q37" s="40"/>
    </row>
    <row r="38" ht="22.5" customHeight="1">
      <c r="A38" s="39">
        <v>46262.0</v>
      </c>
      <c r="B38" s="69">
        <v>46239.0</v>
      </c>
      <c r="C38" s="41" t="s">
        <v>27</v>
      </c>
      <c r="D38" s="43" t="s">
        <v>87</v>
      </c>
      <c r="E38" s="43" t="s">
        <v>89</v>
      </c>
      <c r="F38" s="41" t="s">
        <v>23</v>
      </c>
      <c r="G38" s="45" t="s">
        <v>19</v>
      </c>
      <c r="H38" s="43" t="s">
        <v>44</v>
      </c>
      <c r="I38" s="40">
        <v>3500.0</v>
      </c>
      <c r="J38" s="41" t="s">
        <v>25</v>
      </c>
      <c r="K38" s="46" t="b">
        <v>1</v>
      </c>
      <c r="L38" s="46" t="b">
        <v>1</v>
      </c>
      <c r="M38" s="39"/>
      <c r="N38" s="50">
        <f t="shared" si="1"/>
        <v>39</v>
      </c>
      <c r="O38" s="40" t="s">
        <v>123</v>
      </c>
      <c r="P38" s="41" t="s">
        <v>31</v>
      </c>
      <c r="Q38" s="40"/>
    </row>
    <row r="39" ht="22.5" customHeight="1">
      <c r="A39" s="39">
        <v>46262.0</v>
      </c>
      <c r="B39" s="69">
        <v>46239.0</v>
      </c>
      <c r="C39" s="41" t="s">
        <v>27</v>
      </c>
      <c r="D39" s="43" t="s">
        <v>87</v>
      </c>
      <c r="E39" s="43" t="s">
        <v>139</v>
      </c>
      <c r="F39" s="41" t="s">
        <v>23</v>
      </c>
      <c r="G39" s="45" t="s">
        <v>19</v>
      </c>
      <c r="H39" s="43" t="s">
        <v>48</v>
      </c>
      <c r="I39" s="40">
        <v>1000.0</v>
      </c>
      <c r="J39" s="41" t="s">
        <v>25</v>
      </c>
      <c r="K39" s="46" t="b">
        <v>1</v>
      </c>
      <c r="L39" s="46" t="b">
        <v>1</v>
      </c>
      <c r="M39" s="39">
        <v>46295.0</v>
      </c>
      <c r="N39" s="50">
        <f t="shared" si="1"/>
        <v>33</v>
      </c>
      <c r="O39" s="40">
        <v>5.0</v>
      </c>
      <c r="P39" s="41" t="s">
        <v>31</v>
      </c>
      <c r="Q39" s="40"/>
    </row>
    <row r="40" ht="22.5" customHeight="1">
      <c r="A40" s="39">
        <v>46265.0</v>
      </c>
      <c r="B40" s="40" t="s">
        <v>106</v>
      </c>
      <c r="C40" s="41" t="s">
        <v>16</v>
      </c>
      <c r="D40" s="43" t="s">
        <v>107</v>
      </c>
      <c r="E40" s="43" t="s">
        <v>107</v>
      </c>
      <c r="F40" s="41" t="s">
        <v>18</v>
      </c>
      <c r="G40" s="45" t="s">
        <v>18</v>
      </c>
      <c r="H40" s="43" t="s">
        <v>94</v>
      </c>
      <c r="I40" s="40">
        <v>193.2</v>
      </c>
      <c r="J40" s="41" t="s">
        <v>13</v>
      </c>
      <c r="K40" s="46" t="b">
        <v>1</v>
      </c>
      <c r="L40" s="46" t="b">
        <v>1</v>
      </c>
      <c r="M40" s="39">
        <v>46267.0</v>
      </c>
      <c r="N40" s="50">
        <f t="shared" si="1"/>
        <v>2</v>
      </c>
      <c r="O40" s="51"/>
      <c r="P40" s="81"/>
      <c r="Q40" s="40"/>
    </row>
    <row r="41" ht="22.5" customHeight="1">
      <c r="A41" s="39">
        <v>46265.0</v>
      </c>
      <c r="B41" s="40" t="s">
        <v>106</v>
      </c>
      <c r="C41" s="41" t="s">
        <v>16</v>
      </c>
      <c r="D41" s="43" t="s">
        <v>107</v>
      </c>
      <c r="E41" s="43" t="s">
        <v>107</v>
      </c>
      <c r="F41" s="41" t="s">
        <v>18</v>
      </c>
      <c r="G41" s="45" t="s">
        <v>18</v>
      </c>
      <c r="H41" s="43" t="s">
        <v>114</v>
      </c>
      <c r="I41" s="40">
        <v>114.6</v>
      </c>
      <c r="J41" s="41" t="s">
        <v>13</v>
      </c>
      <c r="K41" s="46" t="b">
        <v>1</v>
      </c>
      <c r="L41" s="46" t="b">
        <v>1</v>
      </c>
      <c r="M41" s="39">
        <v>46267.0</v>
      </c>
      <c r="N41" s="50">
        <f t="shared" si="1"/>
        <v>2</v>
      </c>
      <c r="O41" s="51"/>
      <c r="P41" s="81"/>
      <c r="Q41" s="40"/>
    </row>
    <row r="42" ht="22.5" customHeight="1">
      <c r="A42" s="39">
        <v>46265.0</v>
      </c>
      <c r="B42" s="40" t="s">
        <v>140</v>
      </c>
      <c r="C42" s="41" t="s">
        <v>7</v>
      </c>
      <c r="D42" s="55" t="s">
        <v>100</v>
      </c>
      <c r="E42" s="55" t="s">
        <v>100</v>
      </c>
      <c r="F42" s="41" t="s">
        <v>8</v>
      </c>
      <c r="G42" s="45" t="s">
        <v>35</v>
      </c>
      <c r="H42" s="43" t="s">
        <v>56</v>
      </c>
      <c r="I42" s="40">
        <v>134000.0</v>
      </c>
      <c r="J42" s="41" t="s">
        <v>25</v>
      </c>
      <c r="K42" s="46" t="b">
        <v>1</v>
      </c>
      <c r="L42" s="46" t="b">
        <v>1</v>
      </c>
      <c r="M42" s="39">
        <v>46267.0</v>
      </c>
      <c r="N42" s="50">
        <f t="shared" si="1"/>
        <v>2</v>
      </c>
      <c r="O42" s="40" t="s">
        <v>141</v>
      </c>
      <c r="P42" s="41" t="s">
        <v>31</v>
      </c>
      <c r="Q42" s="40"/>
    </row>
    <row r="43" ht="22.5" customHeight="1">
      <c r="A43" s="39">
        <v>46265.0</v>
      </c>
      <c r="B43" s="40" t="s">
        <v>140</v>
      </c>
      <c r="C43" s="41" t="s">
        <v>7</v>
      </c>
      <c r="D43" s="55" t="s">
        <v>100</v>
      </c>
      <c r="E43" s="55" t="s">
        <v>100</v>
      </c>
      <c r="F43" s="41" t="s">
        <v>8</v>
      </c>
      <c r="G43" s="45" t="s">
        <v>55</v>
      </c>
      <c r="H43" s="43" t="s">
        <v>60</v>
      </c>
      <c r="I43" s="40">
        <v>38000.0</v>
      </c>
      <c r="J43" s="41" t="s">
        <v>25</v>
      </c>
      <c r="K43" s="46" t="b">
        <v>1</v>
      </c>
      <c r="L43" s="46" t="b">
        <v>1</v>
      </c>
      <c r="M43" s="39">
        <v>46267.0</v>
      </c>
      <c r="N43" s="50">
        <f t="shared" si="1"/>
        <v>2</v>
      </c>
      <c r="O43" s="40" t="s">
        <v>142</v>
      </c>
      <c r="P43" s="41" t="s">
        <v>31</v>
      </c>
      <c r="Q43" s="40"/>
    </row>
    <row r="44" ht="22.5" customHeight="1">
      <c r="A44" s="39">
        <v>46269.0</v>
      </c>
      <c r="B44" s="69">
        <v>46266.0</v>
      </c>
      <c r="C44" s="41" t="s">
        <v>27</v>
      </c>
      <c r="D44" s="43" t="s">
        <v>143</v>
      </c>
      <c r="E44" s="43" t="s">
        <v>143</v>
      </c>
      <c r="F44" s="41" t="s">
        <v>23</v>
      </c>
      <c r="G44" s="45" t="s">
        <v>19</v>
      </c>
      <c r="H44" s="43" t="s">
        <v>48</v>
      </c>
      <c r="I44" s="40">
        <v>100.0</v>
      </c>
      <c r="J44" s="41" t="s">
        <v>25</v>
      </c>
      <c r="K44" s="46" t="b">
        <v>1</v>
      </c>
      <c r="L44" s="46" t="b">
        <v>1</v>
      </c>
      <c r="M44" s="39">
        <v>46269.0</v>
      </c>
      <c r="N44" s="50">
        <f t="shared" si="1"/>
        <v>0</v>
      </c>
      <c r="O44" s="40" t="s">
        <v>144</v>
      </c>
      <c r="P44" s="41" t="s">
        <v>31</v>
      </c>
      <c r="Q44" s="40"/>
    </row>
    <row r="45" ht="22.5" customHeight="1">
      <c r="A45" s="39">
        <v>46269.0</v>
      </c>
      <c r="B45" s="69">
        <v>46266.0</v>
      </c>
      <c r="C45" s="41" t="s">
        <v>27</v>
      </c>
      <c r="D45" s="43" t="s">
        <v>143</v>
      </c>
      <c r="E45" s="43" t="s">
        <v>143</v>
      </c>
      <c r="F45" s="41" t="s">
        <v>23</v>
      </c>
      <c r="G45" s="41" t="s">
        <v>19</v>
      </c>
      <c r="H45" s="40" t="s">
        <v>51</v>
      </c>
      <c r="I45" s="40">
        <v>200.0</v>
      </c>
      <c r="J45" s="41" t="s">
        <v>25</v>
      </c>
      <c r="K45" s="46" t="b">
        <v>1</v>
      </c>
      <c r="L45" s="46" t="b">
        <v>1</v>
      </c>
      <c r="M45" s="39">
        <v>46269.0</v>
      </c>
      <c r="N45" s="50">
        <f t="shared" si="1"/>
        <v>0</v>
      </c>
      <c r="O45" s="40" t="s">
        <v>145</v>
      </c>
      <c r="P45" s="41" t="s">
        <v>31</v>
      </c>
      <c r="Q45" s="40"/>
    </row>
    <row r="46" ht="22.5" customHeight="1">
      <c r="A46" s="39">
        <v>46270.0</v>
      </c>
      <c r="B46" s="69">
        <v>46266.0</v>
      </c>
      <c r="C46" s="41" t="s">
        <v>27</v>
      </c>
      <c r="D46" s="40" t="s">
        <v>146</v>
      </c>
      <c r="E46" s="40" t="s">
        <v>146</v>
      </c>
      <c r="F46" s="41" t="s">
        <v>23</v>
      </c>
      <c r="G46" s="41" t="s">
        <v>19</v>
      </c>
      <c r="H46" s="40" t="s">
        <v>44</v>
      </c>
      <c r="I46" s="40">
        <v>3000.0</v>
      </c>
      <c r="J46" s="41" t="s">
        <v>25</v>
      </c>
      <c r="K46" s="46" t="b">
        <v>1</v>
      </c>
      <c r="L46" s="46" t="b">
        <v>1</v>
      </c>
      <c r="M46" s="39">
        <v>46270.0</v>
      </c>
      <c r="N46" s="50">
        <f t="shared" si="1"/>
        <v>0</v>
      </c>
      <c r="O46" s="40" t="s">
        <v>123</v>
      </c>
      <c r="P46" s="41" t="s">
        <v>31</v>
      </c>
      <c r="Q46" s="40"/>
    </row>
    <row r="47" ht="22.5" customHeight="1">
      <c r="A47" s="39">
        <v>46270.0</v>
      </c>
      <c r="B47" s="69">
        <v>46266.0</v>
      </c>
      <c r="C47" s="41" t="s">
        <v>27</v>
      </c>
      <c r="D47" s="40" t="s">
        <v>87</v>
      </c>
      <c r="E47" s="40" t="s">
        <v>96</v>
      </c>
      <c r="F47" s="41" t="s">
        <v>23</v>
      </c>
      <c r="G47" s="41" t="s">
        <v>9</v>
      </c>
      <c r="H47" s="40" t="s">
        <v>24</v>
      </c>
      <c r="I47" s="40">
        <v>8400.0</v>
      </c>
      <c r="J47" s="41" t="s">
        <v>25</v>
      </c>
      <c r="K47" s="46" t="b">
        <v>1</v>
      </c>
      <c r="L47" s="46" t="b">
        <v>1</v>
      </c>
      <c r="M47" s="39">
        <v>46272.0</v>
      </c>
      <c r="N47" s="50">
        <f t="shared" si="1"/>
        <v>2</v>
      </c>
      <c r="O47" s="40" t="s">
        <v>132</v>
      </c>
      <c r="P47" s="41" t="s">
        <v>31</v>
      </c>
      <c r="Q47" s="40"/>
    </row>
    <row r="48" ht="22.5" customHeight="1">
      <c r="A48" s="39">
        <v>46270.0</v>
      </c>
      <c r="B48" s="69">
        <v>46266.0</v>
      </c>
      <c r="C48" s="41" t="s">
        <v>27</v>
      </c>
      <c r="D48" s="40" t="s">
        <v>87</v>
      </c>
      <c r="E48" s="43" t="s">
        <v>89</v>
      </c>
      <c r="F48" s="41" t="s">
        <v>23</v>
      </c>
      <c r="G48" s="45" t="s">
        <v>19</v>
      </c>
      <c r="H48" s="43" t="s">
        <v>48</v>
      </c>
      <c r="I48" s="43">
        <v>1000.0</v>
      </c>
      <c r="J48" s="41" t="s">
        <v>25</v>
      </c>
      <c r="K48" s="46" t="b">
        <v>1</v>
      </c>
      <c r="L48" s="55" t="b">
        <v>1</v>
      </c>
      <c r="M48" s="77"/>
      <c r="N48" s="82">
        <f t="shared" si="1"/>
        <v>31</v>
      </c>
      <c r="O48" s="43" t="s">
        <v>134</v>
      </c>
      <c r="P48" s="45" t="s">
        <v>31</v>
      </c>
      <c r="Q48" s="43"/>
    </row>
    <row r="49" ht="22.5" customHeight="1">
      <c r="A49" s="39">
        <v>46270.0</v>
      </c>
      <c r="B49" s="69">
        <v>46266.0</v>
      </c>
      <c r="C49" s="41" t="s">
        <v>27</v>
      </c>
      <c r="D49" s="40" t="s">
        <v>147</v>
      </c>
      <c r="E49" s="40" t="s">
        <v>147</v>
      </c>
      <c r="F49" s="41" t="s">
        <v>23</v>
      </c>
      <c r="G49" s="41" t="s">
        <v>19</v>
      </c>
      <c r="H49" s="40" t="s">
        <v>24</v>
      </c>
      <c r="I49" s="40">
        <v>2000.0</v>
      </c>
      <c r="J49" s="41" t="s">
        <v>25</v>
      </c>
      <c r="K49" s="46" t="b">
        <v>1</v>
      </c>
      <c r="L49" s="46" t="b">
        <v>1</v>
      </c>
      <c r="M49" s="39">
        <v>46272.0</v>
      </c>
      <c r="N49" s="50">
        <f t="shared" si="1"/>
        <v>2</v>
      </c>
      <c r="O49" s="40" t="s">
        <v>148</v>
      </c>
      <c r="P49" s="41" t="s">
        <v>138</v>
      </c>
      <c r="Q49" s="40" t="s">
        <v>149</v>
      </c>
    </row>
    <row r="50" ht="22.5" customHeight="1">
      <c r="A50" s="39">
        <v>46270.0</v>
      </c>
      <c r="B50" s="69">
        <v>46266.0</v>
      </c>
      <c r="C50" s="41" t="s">
        <v>27</v>
      </c>
      <c r="D50" s="40" t="s">
        <v>147</v>
      </c>
      <c r="E50" s="40" t="s">
        <v>147</v>
      </c>
      <c r="F50" s="41" t="s">
        <v>23</v>
      </c>
      <c r="G50" s="41" t="s">
        <v>19</v>
      </c>
      <c r="H50" s="43" t="s">
        <v>44</v>
      </c>
      <c r="I50" s="43">
        <v>350.0</v>
      </c>
      <c r="J50" s="41" t="s">
        <v>25</v>
      </c>
      <c r="K50" s="46" t="b">
        <v>1</v>
      </c>
      <c r="L50" s="55" t="b">
        <v>1</v>
      </c>
      <c r="M50" s="39">
        <v>46272.0</v>
      </c>
      <c r="N50" s="82">
        <f t="shared" si="1"/>
        <v>2</v>
      </c>
      <c r="O50" s="43" t="s">
        <v>144</v>
      </c>
      <c r="P50" s="45" t="s">
        <v>31</v>
      </c>
      <c r="Q50" s="40" t="s">
        <v>149</v>
      </c>
    </row>
    <row r="51" ht="22.5" customHeight="1">
      <c r="A51" s="39">
        <v>46270.0</v>
      </c>
      <c r="B51" s="69">
        <v>46266.0</v>
      </c>
      <c r="C51" s="41" t="s">
        <v>27</v>
      </c>
      <c r="D51" s="43" t="s">
        <v>150</v>
      </c>
      <c r="E51" s="43" t="s">
        <v>150</v>
      </c>
      <c r="F51" s="41" t="s">
        <v>23</v>
      </c>
      <c r="G51" s="45" t="s">
        <v>19</v>
      </c>
      <c r="H51" s="43" t="s">
        <v>11</v>
      </c>
      <c r="I51" s="43">
        <v>200.0</v>
      </c>
      <c r="J51" s="45" t="s">
        <v>25</v>
      </c>
      <c r="K51" s="55" t="b">
        <v>1</v>
      </c>
      <c r="L51" s="55" t="b">
        <v>1</v>
      </c>
      <c r="M51" s="39">
        <v>46272.0</v>
      </c>
      <c r="N51" s="82">
        <f t="shared" si="1"/>
        <v>2</v>
      </c>
      <c r="O51" s="43" t="s">
        <v>151</v>
      </c>
      <c r="P51" s="78"/>
      <c r="Q51" s="43"/>
    </row>
    <row r="52" ht="22.5" customHeight="1">
      <c r="A52" s="39">
        <v>46270.0</v>
      </c>
      <c r="B52" s="69">
        <v>46266.0</v>
      </c>
      <c r="C52" s="41" t="s">
        <v>27</v>
      </c>
      <c r="D52" s="43" t="s">
        <v>150</v>
      </c>
      <c r="E52" s="43" t="s">
        <v>150</v>
      </c>
      <c r="F52" s="41" t="s">
        <v>23</v>
      </c>
      <c r="G52" s="45" t="s">
        <v>19</v>
      </c>
      <c r="H52" s="43" t="s">
        <v>20</v>
      </c>
      <c r="I52" s="43">
        <v>400.0</v>
      </c>
      <c r="J52" s="45" t="s">
        <v>25</v>
      </c>
      <c r="K52" s="55" t="b">
        <v>1</v>
      </c>
      <c r="L52" s="55" t="b">
        <v>1</v>
      </c>
      <c r="M52" s="39">
        <v>46272.0</v>
      </c>
      <c r="N52" s="82">
        <f t="shared" si="1"/>
        <v>2</v>
      </c>
      <c r="O52" s="43" t="s">
        <v>152</v>
      </c>
      <c r="P52" s="45" t="s">
        <v>138</v>
      </c>
      <c r="Q52" s="43"/>
    </row>
    <row r="53" ht="22.5" customHeight="1">
      <c r="A53" s="39">
        <v>46270.0</v>
      </c>
      <c r="B53" s="69">
        <v>46266.0</v>
      </c>
      <c r="C53" s="41" t="s">
        <v>27</v>
      </c>
      <c r="D53" s="43" t="s">
        <v>150</v>
      </c>
      <c r="E53" s="43" t="s">
        <v>150</v>
      </c>
      <c r="F53" s="41" t="s">
        <v>23</v>
      </c>
      <c r="G53" s="41" t="s">
        <v>19</v>
      </c>
      <c r="H53" s="43" t="s">
        <v>24</v>
      </c>
      <c r="I53" s="43">
        <v>1000.0</v>
      </c>
      <c r="J53" s="41" t="s">
        <v>25</v>
      </c>
      <c r="K53" s="46" t="b">
        <v>1</v>
      </c>
      <c r="L53" s="55" t="b">
        <v>1</v>
      </c>
      <c r="M53" s="39">
        <v>46272.0</v>
      </c>
      <c r="N53" s="82">
        <f t="shared" si="1"/>
        <v>2</v>
      </c>
      <c r="O53" s="43" t="s">
        <v>154</v>
      </c>
      <c r="P53" s="45" t="s">
        <v>138</v>
      </c>
      <c r="Q53" s="43"/>
    </row>
    <row r="54" ht="22.5" customHeight="1">
      <c r="A54" s="39">
        <v>46270.0</v>
      </c>
      <c r="B54" s="69">
        <v>46266.0</v>
      </c>
      <c r="C54" s="41" t="s">
        <v>27</v>
      </c>
      <c r="D54" s="43" t="s">
        <v>150</v>
      </c>
      <c r="E54" s="43" t="s">
        <v>150</v>
      </c>
      <c r="F54" s="41" t="s">
        <v>23</v>
      </c>
      <c r="G54" s="45" t="s">
        <v>19</v>
      </c>
      <c r="H54" s="43" t="s">
        <v>44</v>
      </c>
      <c r="I54" s="43">
        <v>150.0</v>
      </c>
      <c r="J54" s="41" t="s">
        <v>25</v>
      </c>
      <c r="K54" s="46" t="b">
        <v>1</v>
      </c>
      <c r="L54" s="55" t="b">
        <v>1</v>
      </c>
      <c r="M54" s="39">
        <v>46272.0</v>
      </c>
      <c r="N54" s="82">
        <f t="shared" si="1"/>
        <v>2</v>
      </c>
      <c r="O54" s="43" t="s">
        <v>144</v>
      </c>
      <c r="P54" s="45" t="s">
        <v>31</v>
      </c>
      <c r="Q54" s="43"/>
    </row>
    <row r="55" ht="22.5" customHeight="1">
      <c r="A55" s="39">
        <v>46270.0</v>
      </c>
      <c r="B55" s="69">
        <v>46266.0</v>
      </c>
      <c r="C55" s="41" t="s">
        <v>27</v>
      </c>
      <c r="D55" s="43" t="s">
        <v>150</v>
      </c>
      <c r="E55" s="43" t="s">
        <v>150</v>
      </c>
      <c r="F55" s="41" t="s">
        <v>23</v>
      </c>
      <c r="G55" s="45" t="s">
        <v>19</v>
      </c>
      <c r="H55" s="43" t="s">
        <v>48</v>
      </c>
      <c r="I55" s="43">
        <v>100.0</v>
      </c>
      <c r="J55" s="41" t="s">
        <v>25</v>
      </c>
      <c r="K55" s="46" t="b">
        <v>1</v>
      </c>
      <c r="L55" s="55" t="b">
        <v>1</v>
      </c>
      <c r="M55" s="39">
        <v>46272.0</v>
      </c>
      <c r="N55" s="82">
        <f t="shared" si="1"/>
        <v>2</v>
      </c>
      <c r="O55" s="43" t="s">
        <v>144</v>
      </c>
      <c r="P55" s="45" t="s">
        <v>31</v>
      </c>
      <c r="Q55" s="43"/>
    </row>
    <row r="56" ht="22.5" customHeight="1">
      <c r="A56" s="39">
        <v>46270.0</v>
      </c>
      <c r="B56" s="69">
        <v>46266.0</v>
      </c>
      <c r="C56" s="41" t="s">
        <v>27</v>
      </c>
      <c r="D56" s="43" t="s">
        <v>150</v>
      </c>
      <c r="E56" s="43" t="s">
        <v>155</v>
      </c>
      <c r="F56" s="41" t="s">
        <v>23</v>
      </c>
      <c r="G56" s="41" t="s">
        <v>19</v>
      </c>
      <c r="H56" s="43" t="s">
        <v>24</v>
      </c>
      <c r="I56" s="43">
        <v>250.0</v>
      </c>
      <c r="J56" s="41" t="s">
        <v>25</v>
      </c>
      <c r="K56" s="46" t="b">
        <v>1</v>
      </c>
      <c r="L56" s="55" t="b">
        <v>1</v>
      </c>
      <c r="M56" s="39">
        <v>46272.0</v>
      </c>
      <c r="N56" s="82">
        <f t="shared" si="1"/>
        <v>2</v>
      </c>
      <c r="O56" s="43" t="s">
        <v>152</v>
      </c>
      <c r="P56" s="45" t="s">
        <v>138</v>
      </c>
      <c r="Q56" s="43"/>
    </row>
    <row r="57" ht="22.5" customHeight="1">
      <c r="A57" s="39">
        <v>46270.0</v>
      </c>
      <c r="B57" s="69">
        <v>46266.0</v>
      </c>
      <c r="C57" s="41" t="s">
        <v>27</v>
      </c>
      <c r="D57" s="43" t="s">
        <v>150</v>
      </c>
      <c r="E57" s="43" t="s">
        <v>155</v>
      </c>
      <c r="F57" s="41" t="s">
        <v>23</v>
      </c>
      <c r="G57" s="45" t="s">
        <v>19</v>
      </c>
      <c r="H57" s="43" t="s">
        <v>44</v>
      </c>
      <c r="I57" s="43">
        <v>200.0</v>
      </c>
      <c r="J57" s="41" t="s">
        <v>25</v>
      </c>
      <c r="K57" s="46" t="b">
        <v>1</v>
      </c>
      <c r="L57" s="55" t="b">
        <v>1</v>
      </c>
      <c r="M57" s="39">
        <v>46272.0</v>
      </c>
      <c r="N57" s="82">
        <f t="shared" si="1"/>
        <v>2</v>
      </c>
      <c r="O57" s="43" t="s">
        <v>144</v>
      </c>
      <c r="P57" s="45" t="s">
        <v>31</v>
      </c>
      <c r="Q57" s="43"/>
    </row>
    <row r="58" ht="22.5" customHeight="1">
      <c r="A58" s="39">
        <v>46270.0</v>
      </c>
      <c r="B58" s="69">
        <v>46266.0</v>
      </c>
      <c r="C58" s="41" t="s">
        <v>27</v>
      </c>
      <c r="D58" s="43" t="s">
        <v>143</v>
      </c>
      <c r="E58" s="43" t="s">
        <v>143</v>
      </c>
      <c r="F58" s="41" t="s">
        <v>23</v>
      </c>
      <c r="G58" s="45" t="s">
        <v>19</v>
      </c>
      <c r="H58" s="43" t="s">
        <v>51</v>
      </c>
      <c r="I58" s="43">
        <v>100.0</v>
      </c>
      <c r="J58" s="41" t="s">
        <v>25</v>
      </c>
      <c r="K58" s="46" t="b">
        <v>1</v>
      </c>
      <c r="L58" s="55" t="b">
        <v>1</v>
      </c>
      <c r="M58" s="39">
        <v>46270.0</v>
      </c>
      <c r="N58" s="82">
        <f t="shared" si="1"/>
        <v>0</v>
      </c>
      <c r="O58" s="43" t="s">
        <v>144</v>
      </c>
      <c r="P58" s="45" t="s">
        <v>31</v>
      </c>
      <c r="Q58" s="43"/>
    </row>
    <row r="59" ht="22.5" customHeight="1">
      <c r="A59" s="39">
        <v>46270.0</v>
      </c>
      <c r="B59" s="69">
        <v>46266.0</v>
      </c>
      <c r="C59" s="41" t="s">
        <v>27</v>
      </c>
      <c r="D59" s="43" t="s">
        <v>156</v>
      </c>
      <c r="E59" s="43" t="s">
        <v>156</v>
      </c>
      <c r="F59" s="41" t="s">
        <v>23</v>
      </c>
      <c r="G59" s="45" t="s">
        <v>9</v>
      </c>
      <c r="H59" s="43" t="s">
        <v>24</v>
      </c>
      <c r="I59" s="43">
        <v>1000.0</v>
      </c>
      <c r="J59" s="41" t="s">
        <v>25</v>
      </c>
      <c r="K59" s="46" t="b">
        <v>1</v>
      </c>
      <c r="L59" s="55" t="b">
        <v>1</v>
      </c>
      <c r="M59" s="77">
        <v>46272.0</v>
      </c>
      <c r="N59" s="82">
        <f t="shared" si="1"/>
        <v>2</v>
      </c>
      <c r="O59" s="43" t="s">
        <v>157</v>
      </c>
      <c r="P59" s="45" t="s">
        <v>31</v>
      </c>
      <c r="Q59" s="40" t="s">
        <v>149</v>
      </c>
    </row>
    <row r="60" ht="22.5" customHeight="1">
      <c r="A60" s="39">
        <v>46270.0</v>
      </c>
      <c r="B60" s="69">
        <v>46266.0</v>
      </c>
      <c r="C60" s="41" t="s">
        <v>27</v>
      </c>
      <c r="D60" s="43" t="s">
        <v>156</v>
      </c>
      <c r="E60" s="43" t="s">
        <v>156</v>
      </c>
      <c r="F60" s="41" t="s">
        <v>23</v>
      </c>
      <c r="G60" s="45" t="s">
        <v>9</v>
      </c>
      <c r="H60" s="43" t="s">
        <v>20</v>
      </c>
      <c r="I60" s="43">
        <v>1000.0</v>
      </c>
      <c r="J60" s="41" t="s">
        <v>25</v>
      </c>
      <c r="K60" s="46" t="b">
        <v>1</v>
      </c>
      <c r="L60" s="55" t="b">
        <v>1</v>
      </c>
      <c r="M60" s="77">
        <v>46272.0</v>
      </c>
      <c r="N60" s="82">
        <f t="shared" si="1"/>
        <v>2</v>
      </c>
      <c r="O60" s="43" t="s">
        <v>144</v>
      </c>
      <c r="P60" s="45" t="s">
        <v>31</v>
      </c>
      <c r="Q60" s="40" t="s">
        <v>149</v>
      </c>
    </row>
    <row r="61" ht="22.5" customHeight="1">
      <c r="A61" s="39">
        <v>46270.0</v>
      </c>
      <c r="B61" s="69">
        <v>46266.0</v>
      </c>
      <c r="C61" s="41" t="s">
        <v>27</v>
      </c>
      <c r="D61" s="43" t="s">
        <v>158</v>
      </c>
      <c r="E61" s="43" t="s">
        <v>158</v>
      </c>
      <c r="F61" s="41" t="s">
        <v>23</v>
      </c>
      <c r="G61" s="45" t="s">
        <v>19</v>
      </c>
      <c r="H61" s="43" t="s">
        <v>24</v>
      </c>
      <c r="I61" s="43">
        <v>500.0</v>
      </c>
      <c r="J61" s="45" t="s">
        <v>25</v>
      </c>
      <c r="K61" s="55" t="b">
        <v>1</v>
      </c>
      <c r="L61" s="55" t="b">
        <v>1</v>
      </c>
      <c r="M61" s="77">
        <v>46272.0</v>
      </c>
      <c r="N61" s="82">
        <f t="shared" si="1"/>
        <v>2</v>
      </c>
      <c r="O61" s="43" t="s">
        <v>159</v>
      </c>
      <c r="P61" s="45" t="s">
        <v>31</v>
      </c>
      <c r="Q61" s="40" t="s">
        <v>149</v>
      </c>
    </row>
    <row r="62" ht="22.5" customHeight="1">
      <c r="A62" s="39">
        <v>46270.0</v>
      </c>
      <c r="B62" s="69">
        <v>46266.0</v>
      </c>
      <c r="C62" s="41" t="s">
        <v>27</v>
      </c>
      <c r="D62" s="43" t="s">
        <v>158</v>
      </c>
      <c r="E62" s="43" t="s">
        <v>158</v>
      </c>
      <c r="F62" s="41" t="s">
        <v>23</v>
      </c>
      <c r="G62" s="45" t="s">
        <v>9</v>
      </c>
      <c r="H62" s="43" t="s">
        <v>24</v>
      </c>
      <c r="I62" s="43">
        <v>500.0</v>
      </c>
      <c r="J62" s="45" t="s">
        <v>25</v>
      </c>
      <c r="K62" s="55" t="b">
        <v>1</v>
      </c>
      <c r="L62" s="55" t="b">
        <v>1</v>
      </c>
      <c r="M62" s="77">
        <v>46272.0</v>
      </c>
      <c r="N62" s="82">
        <f t="shared" si="1"/>
        <v>2</v>
      </c>
      <c r="O62" s="43" t="s">
        <v>159</v>
      </c>
      <c r="P62" s="45" t="s">
        <v>31</v>
      </c>
      <c r="Q62" s="40" t="s">
        <v>149</v>
      </c>
    </row>
    <row r="63" ht="22.5" customHeight="1">
      <c r="A63" s="39">
        <v>46272.0</v>
      </c>
      <c r="B63" s="69">
        <v>46267.0</v>
      </c>
      <c r="C63" s="41" t="s">
        <v>27</v>
      </c>
      <c r="D63" s="43" t="s">
        <v>158</v>
      </c>
      <c r="E63" s="43" t="s">
        <v>160</v>
      </c>
      <c r="F63" s="45" t="s">
        <v>23</v>
      </c>
      <c r="G63" s="45" t="s">
        <v>19</v>
      </c>
      <c r="H63" s="43" t="s">
        <v>24</v>
      </c>
      <c r="I63" s="43">
        <v>500.0</v>
      </c>
      <c r="J63" s="45" t="s">
        <v>25</v>
      </c>
      <c r="K63" s="55" t="b">
        <v>1</v>
      </c>
      <c r="L63" s="55" t="b">
        <v>1</v>
      </c>
      <c r="M63" s="77">
        <v>46273.0</v>
      </c>
      <c r="N63" s="82">
        <f t="shared" si="1"/>
        <v>1</v>
      </c>
      <c r="O63" s="43" t="s">
        <v>144</v>
      </c>
      <c r="P63" s="45" t="s">
        <v>31</v>
      </c>
      <c r="Q63" s="43" t="s">
        <v>149</v>
      </c>
    </row>
    <row r="64" ht="22.5" customHeight="1">
      <c r="A64" s="39">
        <v>46272.0</v>
      </c>
      <c r="B64" s="69">
        <v>46267.0</v>
      </c>
      <c r="C64" s="41" t="s">
        <v>27</v>
      </c>
      <c r="D64" s="43" t="s">
        <v>87</v>
      </c>
      <c r="E64" s="43" t="s">
        <v>89</v>
      </c>
      <c r="F64" s="45" t="s">
        <v>23</v>
      </c>
      <c r="G64" s="45" t="s">
        <v>9</v>
      </c>
      <c r="H64" s="43" t="s">
        <v>24</v>
      </c>
      <c r="I64" s="43">
        <v>2500.0</v>
      </c>
      <c r="J64" s="45" t="s">
        <v>25</v>
      </c>
      <c r="K64" s="55" t="b">
        <v>1</v>
      </c>
      <c r="L64" s="55" t="b">
        <v>1</v>
      </c>
      <c r="M64" s="77"/>
      <c r="N64" s="82">
        <f t="shared" si="1"/>
        <v>29</v>
      </c>
      <c r="O64" s="43" t="s">
        <v>161</v>
      </c>
      <c r="P64" s="45" t="s">
        <v>31</v>
      </c>
      <c r="Q64" s="43"/>
    </row>
    <row r="65" ht="22.5" customHeight="1">
      <c r="A65" s="39">
        <v>46272.0</v>
      </c>
      <c r="B65" s="69">
        <v>46267.0</v>
      </c>
      <c r="C65" s="41" t="s">
        <v>27</v>
      </c>
      <c r="D65" s="43" t="s">
        <v>87</v>
      </c>
      <c r="E65" s="43" t="s">
        <v>96</v>
      </c>
      <c r="F65" s="45" t="s">
        <v>23</v>
      </c>
      <c r="G65" s="45" t="s">
        <v>9</v>
      </c>
      <c r="H65" s="43" t="s">
        <v>20</v>
      </c>
      <c r="I65" s="43">
        <v>2500.0</v>
      </c>
      <c r="J65" s="45" t="s">
        <v>25</v>
      </c>
      <c r="K65" s="55" t="b">
        <v>1</v>
      </c>
      <c r="L65" s="55" t="b">
        <v>1</v>
      </c>
      <c r="M65" s="77"/>
      <c r="N65" s="82">
        <f t="shared" si="1"/>
        <v>29</v>
      </c>
      <c r="O65" s="43" t="s">
        <v>162</v>
      </c>
      <c r="P65" s="45" t="s">
        <v>31</v>
      </c>
      <c r="Q65" s="43"/>
    </row>
    <row r="66" ht="22.5" customHeight="1">
      <c r="A66" s="39">
        <v>46272.0</v>
      </c>
      <c r="B66" s="69">
        <v>46267.0</v>
      </c>
      <c r="C66" s="41" t="s">
        <v>27</v>
      </c>
      <c r="D66" s="43" t="s">
        <v>143</v>
      </c>
      <c r="E66" s="43" t="s">
        <v>143</v>
      </c>
      <c r="F66" s="45" t="s">
        <v>23</v>
      </c>
      <c r="G66" s="45" t="s">
        <v>19</v>
      </c>
      <c r="H66" s="43" t="s">
        <v>48</v>
      </c>
      <c r="I66" s="43">
        <v>400.0</v>
      </c>
      <c r="J66" s="45" t="s">
        <v>25</v>
      </c>
      <c r="K66" s="55" t="b">
        <v>1</v>
      </c>
      <c r="L66" s="55" t="b">
        <v>1</v>
      </c>
      <c r="M66" s="77"/>
      <c r="N66" s="82">
        <f t="shared" si="1"/>
        <v>29</v>
      </c>
      <c r="O66" s="43" t="s">
        <v>157</v>
      </c>
      <c r="P66" s="45" t="s">
        <v>31</v>
      </c>
      <c r="Q66" s="43"/>
    </row>
    <row r="67" ht="22.5" customHeight="1">
      <c r="A67" s="39">
        <v>46272.0</v>
      </c>
      <c r="B67" s="69">
        <v>46267.0</v>
      </c>
      <c r="C67" s="41" t="s">
        <v>27</v>
      </c>
      <c r="D67" s="43" t="s">
        <v>143</v>
      </c>
      <c r="E67" s="43" t="s">
        <v>143</v>
      </c>
      <c r="F67" s="45" t="s">
        <v>23</v>
      </c>
      <c r="G67" s="45" t="s">
        <v>19</v>
      </c>
      <c r="H67" s="43" t="s">
        <v>20</v>
      </c>
      <c r="I67" s="43">
        <v>500.0</v>
      </c>
      <c r="J67" s="45" t="s">
        <v>25</v>
      </c>
      <c r="K67" s="55" t="b">
        <v>1</v>
      </c>
      <c r="L67" s="55" t="b">
        <v>1</v>
      </c>
      <c r="M67" s="77"/>
      <c r="N67" s="82">
        <f t="shared" si="1"/>
        <v>29</v>
      </c>
      <c r="O67" s="43" t="s">
        <v>144</v>
      </c>
      <c r="P67" s="45" t="s">
        <v>31</v>
      </c>
      <c r="Q67" s="43"/>
    </row>
    <row r="68" ht="22.5" customHeight="1">
      <c r="A68" s="39">
        <v>46272.0</v>
      </c>
      <c r="B68" s="69">
        <v>46267.0</v>
      </c>
      <c r="C68" s="41" t="s">
        <v>27</v>
      </c>
      <c r="D68" s="43" t="s">
        <v>87</v>
      </c>
      <c r="E68" s="43" t="s">
        <v>89</v>
      </c>
      <c r="F68" s="45" t="s">
        <v>23</v>
      </c>
      <c r="G68" s="45" t="s">
        <v>19</v>
      </c>
      <c r="H68" s="43" t="s">
        <v>48</v>
      </c>
      <c r="I68" s="43">
        <v>4000.0</v>
      </c>
      <c r="J68" s="45" t="s">
        <v>25</v>
      </c>
      <c r="K68" s="55" t="b">
        <v>1</v>
      </c>
      <c r="L68" s="55" t="b">
        <v>1</v>
      </c>
      <c r="M68" s="77"/>
      <c r="N68" s="82">
        <f t="shared" si="1"/>
        <v>29</v>
      </c>
      <c r="O68" s="43" t="s">
        <v>121</v>
      </c>
      <c r="P68" s="45" t="s">
        <v>31</v>
      </c>
      <c r="Q68" s="43"/>
    </row>
    <row r="69" ht="22.5" customHeight="1">
      <c r="A69" s="39">
        <v>46272.0</v>
      </c>
      <c r="B69" s="69">
        <v>46267.0</v>
      </c>
      <c r="C69" s="41" t="s">
        <v>27</v>
      </c>
      <c r="D69" s="43" t="s">
        <v>87</v>
      </c>
      <c r="E69" s="43" t="s">
        <v>96</v>
      </c>
      <c r="F69" s="45" t="s">
        <v>23</v>
      </c>
      <c r="G69" s="45" t="s">
        <v>19</v>
      </c>
      <c r="H69" s="43" t="s">
        <v>48</v>
      </c>
      <c r="I69" s="43">
        <v>2100.0</v>
      </c>
      <c r="J69" s="45" t="s">
        <v>25</v>
      </c>
      <c r="K69" s="55" t="b">
        <v>1</v>
      </c>
      <c r="L69" s="55" t="b">
        <v>1</v>
      </c>
      <c r="M69" s="77"/>
      <c r="N69" s="82">
        <f t="shared" si="1"/>
        <v>29</v>
      </c>
      <c r="O69" s="43" t="s">
        <v>123</v>
      </c>
      <c r="P69" s="45" t="s">
        <v>31</v>
      </c>
      <c r="Q69" s="43"/>
    </row>
    <row r="70" ht="22.5" customHeight="1">
      <c r="A70" s="39">
        <v>46273.0</v>
      </c>
      <c r="B70" s="40">
        <v>1558.0</v>
      </c>
      <c r="C70" s="41" t="s">
        <v>49</v>
      </c>
      <c r="D70" s="55" t="s">
        <v>100</v>
      </c>
      <c r="E70" s="55" t="s">
        <v>100</v>
      </c>
      <c r="F70" s="41" t="s">
        <v>33</v>
      </c>
      <c r="G70" s="45" t="s">
        <v>33</v>
      </c>
      <c r="H70" s="72"/>
      <c r="I70" s="43">
        <v>750000.0</v>
      </c>
      <c r="J70" s="45" t="s">
        <v>25</v>
      </c>
      <c r="K70" s="55" t="b">
        <v>1</v>
      </c>
      <c r="L70" s="55" t="b">
        <v>1</v>
      </c>
      <c r="M70" s="39"/>
      <c r="N70" s="82">
        <f t="shared" si="1"/>
        <v>28</v>
      </c>
      <c r="O70" s="43" t="s">
        <v>163</v>
      </c>
      <c r="P70" s="45" t="s">
        <v>31</v>
      </c>
      <c r="Q70" s="43"/>
    </row>
    <row r="71" ht="22.5" customHeight="1">
      <c r="A71" s="39">
        <v>46275.0</v>
      </c>
      <c r="B71" s="43" t="s">
        <v>164</v>
      </c>
      <c r="C71" s="45" t="s">
        <v>61</v>
      </c>
      <c r="D71" s="55" t="s">
        <v>100</v>
      </c>
      <c r="E71" s="55" t="s">
        <v>100</v>
      </c>
      <c r="F71" s="45" t="s">
        <v>8</v>
      </c>
      <c r="G71" s="45" t="s">
        <v>47</v>
      </c>
      <c r="H71" s="43" t="s">
        <v>56</v>
      </c>
      <c r="I71" s="43">
        <v>100000.0</v>
      </c>
      <c r="J71" s="45" t="s">
        <v>25</v>
      </c>
      <c r="K71" s="55" t="b">
        <v>1</v>
      </c>
      <c r="L71" s="55" t="b">
        <v>1</v>
      </c>
      <c r="M71" s="39"/>
      <c r="N71" s="82">
        <f t="shared" si="1"/>
        <v>26</v>
      </c>
      <c r="O71" s="43" t="s">
        <v>116</v>
      </c>
      <c r="P71" s="45" t="s">
        <v>31</v>
      </c>
      <c r="Q71" s="43"/>
    </row>
    <row r="72" ht="22.5" customHeight="1">
      <c r="A72" s="39">
        <v>46276.0</v>
      </c>
      <c r="B72" s="43" t="s">
        <v>165</v>
      </c>
      <c r="C72" s="45" t="s">
        <v>7</v>
      </c>
      <c r="D72" s="55" t="s">
        <v>100</v>
      </c>
      <c r="E72" s="55" t="s">
        <v>100</v>
      </c>
      <c r="F72" s="45" t="s">
        <v>8</v>
      </c>
      <c r="G72" s="45" t="s">
        <v>35</v>
      </c>
      <c r="H72" s="43" t="s">
        <v>56</v>
      </c>
      <c r="I72" s="43">
        <v>98000.0</v>
      </c>
      <c r="J72" s="45" t="s">
        <v>25</v>
      </c>
      <c r="K72" s="55" t="b">
        <v>1</v>
      </c>
      <c r="L72" s="55" t="b">
        <v>1</v>
      </c>
      <c r="M72" s="77">
        <v>46280.0</v>
      </c>
      <c r="N72" s="82">
        <f t="shared" si="1"/>
        <v>4</v>
      </c>
      <c r="O72" s="43" t="s">
        <v>166</v>
      </c>
      <c r="P72" s="45" t="s">
        <v>31</v>
      </c>
      <c r="Q72" s="43"/>
    </row>
    <row r="73" ht="22.5" customHeight="1">
      <c r="A73" s="39">
        <v>46276.0</v>
      </c>
      <c r="B73" s="43" t="s">
        <v>165</v>
      </c>
      <c r="C73" s="45" t="s">
        <v>7</v>
      </c>
      <c r="D73" s="55" t="s">
        <v>100</v>
      </c>
      <c r="E73" s="55" t="s">
        <v>100</v>
      </c>
      <c r="F73" s="45" t="s">
        <v>8</v>
      </c>
      <c r="G73" s="45" t="s">
        <v>29</v>
      </c>
      <c r="H73" s="43" t="s">
        <v>56</v>
      </c>
      <c r="I73" s="43">
        <v>78000.0</v>
      </c>
      <c r="J73" s="45" t="s">
        <v>25</v>
      </c>
      <c r="K73" s="55" t="b">
        <v>1</v>
      </c>
      <c r="L73" s="55" t="b">
        <v>1</v>
      </c>
      <c r="M73" s="77">
        <v>46280.0</v>
      </c>
      <c r="N73" s="82">
        <f t="shared" si="1"/>
        <v>4</v>
      </c>
      <c r="O73" s="43" t="s">
        <v>167</v>
      </c>
      <c r="P73" s="45" t="s">
        <v>31</v>
      </c>
      <c r="Q73" s="43"/>
    </row>
    <row r="74" ht="22.5" customHeight="1">
      <c r="A74" s="39">
        <v>46276.0</v>
      </c>
      <c r="B74" s="43" t="s">
        <v>168</v>
      </c>
      <c r="C74" s="45" t="s">
        <v>7</v>
      </c>
      <c r="D74" s="55" t="s">
        <v>100</v>
      </c>
      <c r="E74" s="55" t="s">
        <v>100</v>
      </c>
      <c r="F74" s="45" t="s">
        <v>8</v>
      </c>
      <c r="G74" s="45" t="s">
        <v>50</v>
      </c>
      <c r="H74" s="60"/>
      <c r="I74" s="43">
        <v>370000.0</v>
      </c>
      <c r="J74" s="45" t="s">
        <v>25</v>
      </c>
      <c r="K74" s="55" t="b">
        <v>1</v>
      </c>
      <c r="L74" s="55" t="b">
        <v>1</v>
      </c>
      <c r="M74" s="77">
        <v>46280.0</v>
      </c>
      <c r="N74" s="82">
        <f t="shared" si="1"/>
        <v>4</v>
      </c>
      <c r="O74" s="43" t="s">
        <v>169</v>
      </c>
      <c r="P74" s="45" t="s">
        <v>31</v>
      </c>
      <c r="Q74" s="43"/>
    </row>
    <row r="75" ht="22.5" customHeight="1">
      <c r="A75" s="39">
        <v>46276.0</v>
      </c>
      <c r="B75" s="43" t="s">
        <v>168</v>
      </c>
      <c r="C75" s="45" t="s">
        <v>7</v>
      </c>
      <c r="D75" s="55" t="s">
        <v>100</v>
      </c>
      <c r="E75" s="55" t="s">
        <v>100</v>
      </c>
      <c r="F75" s="45" t="s">
        <v>8</v>
      </c>
      <c r="G75" s="45" t="s">
        <v>47</v>
      </c>
      <c r="H75" s="43" t="s">
        <v>56</v>
      </c>
      <c r="I75" s="43">
        <v>60000.0</v>
      </c>
      <c r="J75" s="45" t="s">
        <v>25</v>
      </c>
      <c r="K75" s="55" t="b">
        <v>1</v>
      </c>
      <c r="L75" s="55" t="b">
        <v>1</v>
      </c>
      <c r="M75" s="77">
        <v>46280.0</v>
      </c>
      <c r="N75" s="82">
        <f t="shared" si="1"/>
        <v>4</v>
      </c>
      <c r="O75" s="43" t="s">
        <v>170</v>
      </c>
      <c r="P75" s="45" t="s">
        <v>31</v>
      </c>
      <c r="Q75" s="43"/>
    </row>
    <row r="76" ht="22.5" customHeight="1">
      <c r="A76" s="39">
        <v>46276.0</v>
      </c>
      <c r="B76" s="43" t="s">
        <v>168</v>
      </c>
      <c r="C76" s="45" t="s">
        <v>7</v>
      </c>
      <c r="D76" s="55" t="s">
        <v>100</v>
      </c>
      <c r="E76" s="55" t="s">
        <v>100</v>
      </c>
      <c r="F76" s="45" t="s">
        <v>8</v>
      </c>
      <c r="G76" s="45" t="s">
        <v>43</v>
      </c>
      <c r="H76" s="43" t="s">
        <v>56</v>
      </c>
      <c r="I76" s="43">
        <v>87000.0</v>
      </c>
      <c r="J76" s="45" t="s">
        <v>25</v>
      </c>
      <c r="K76" s="55" t="b">
        <v>1</v>
      </c>
      <c r="L76" s="55" t="b">
        <v>1</v>
      </c>
      <c r="M76" s="77">
        <v>46280.0</v>
      </c>
      <c r="N76" s="82">
        <f t="shared" si="1"/>
        <v>4</v>
      </c>
      <c r="O76" s="43" t="s">
        <v>171</v>
      </c>
      <c r="P76" s="45" t="s">
        <v>31</v>
      </c>
      <c r="Q76" s="43"/>
    </row>
    <row r="77" ht="22.5" customHeight="1">
      <c r="A77" s="39">
        <v>46276.0</v>
      </c>
      <c r="B77" s="43" t="s">
        <v>168</v>
      </c>
      <c r="C77" s="45" t="s">
        <v>7</v>
      </c>
      <c r="D77" s="55" t="s">
        <v>100</v>
      </c>
      <c r="E77" s="55" t="s">
        <v>100</v>
      </c>
      <c r="F77" s="45" t="s">
        <v>8</v>
      </c>
      <c r="G77" s="45" t="s">
        <v>58</v>
      </c>
      <c r="H77" s="43" t="s">
        <v>60</v>
      </c>
      <c r="I77" s="43">
        <v>57000.0</v>
      </c>
      <c r="J77" s="45" t="s">
        <v>25</v>
      </c>
      <c r="K77" s="55" t="b">
        <v>1</v>
      </c>
      <c r="L77" s="55" t="b">
        <v>1</v>
      </c>
      <c r="M77" s="77">
        <v>46280.0</v>
      </c>
      <c r="N77" s="82">
        <f t="shared" si="1"/>
        <v>4</v>
      </c>
      <c r="O77" s="43" t="s">
        <v>142</v>
      </c>
      <c r="P77" s="45" t="s">
        <v>31</v>
      </c>
      <c r="Q77" s="43"/>
    </row>
    <row r="78" ht="22.5" customHeight="1">
      <c r="A78" s="39">
        <v>46277.0</v>
      </c>
      <c r="B78" s="84">
        <v>46267.0</v>
      </c>
      <c r="C78" s="41" t="s">
        <v>27</v>
      </c>
      <c r="D78" s="43" t="s">
        <v>87</v>
      </c>
      <c r="E78" s="43" t="s">
        <v>89</v>
      </c>
      <c r="F78" s="45" t="s">
        <v>23</v>
      </c>
      <c r="G78" s="45" t="s">
        <v>9</v>
      </c>
      <c r="H78" s="43" t="s">
        <v>44</v>
      </c>
      <c r="I78" s="43">
        <v>3000.0</v>
      </c>
      <c r="J78" s="45" t="s">
        <v>25</v>
      </c>
      <c r="K78" s="55" t="b">
        <v>1</v>
      </c>
      <c r="L78" s="55" t="b">
        <v>1</v>
      </c>
      <c r="M78" s="77">
        <v>46277.0</v>
      </c>
      <c r="N78" s="82">
        <f t="shared" si="1"/>
        <v>0</v>
      </c>
      <c r="O78" s="43" t="s">
        <v>132</v>
      </c>
      <c r="P78" s="45" t="s">
        <v>31</v>
      </c>
      <c r="Q78" s="43"/>
    </row>
    <row r="79" ht="22.5" customHeight="1">
      <c r="A79" s="39">
        <v>46277.0</v>
      </c>
      <c r="B79" s="84">
        <v>46267.0</v>
      </c>
      <c r="C79" s="41" t="s">
        <v>27</v>
      </c>
      <c r="D79" s="43" t="s">
        <v>87</v>
      </c>
      <c r="E79" s="43" t="s">
        <v>96</v>
      </c>
      <c r="F79" s="45" t="s">
        <v>23</v>
      </c>
      <c r="G79" s="45" t="s">
        <v>9</v>
      </c>
      <c r="H79" s="43" t="s">
        <v>48</v>
      </c>
      <c r="I79" s="43">
        <v>2000.0</v>
      </c>
      <c r="J79" s="45" t="s">
        <v>25</v>
      </c>
      <c r="K79" s="55" t="b">
        <v>1</v>
      </c>
      <c r="L79" s="55" t="b">
        <v>1</v>
      </c>
      <c r="M79" s="77"/>
      <c r="N79" s="82">
        <f t="shared" si="1"/>
        <v>24</v>
      </c>
      <c r="O79" s="43" t="s">
        <v>172</v>
      </c>
      <c r="P79" s="45" t="s">
        <v>31</v>
      </c>
      <c r="Q79" s="43"/>
    </row>
    <row r="80" ht="22.5" customHeight="1">
      <c r="A80" s="39">
        <v>46277.0</v>
      </c>
      <c r="B80" s="84">
        <v>46267.0</v>
      </c>
      <c r="C80" s="41" t="s">
        <v>27</v>
      </c>
      <c r="D80" s="43" t="s">
        <v>87</v>
      </c>
      <c r="E80" s="43" t="s">
        <v>89</v>
      </c>
      <c r="F80" s="45" t="s">
        <v>23</v>
      </c>
      <c r="G80" s="45" t="s">
        <v>9</v>
      </c>
      <c r="H80" s="43" t="s">
        <v>20</v>
      </c>
      <c r="I80" s="43">
        <v>2000.0</v>
      </c>
      <c r="J80" s="45" t="s">
        <v>25</v>
      </c>
      <c r="K80" s="55" t="b">
        <v>1</v>
      </c>
      <c r="L80" s="55" t="b">
        <v>1</v>
      </c>
      <c r="M80" s="77"/>
      <c r="N80" s="82">
        <f t="shared" si="1"/>
        <v>24</v>
      </c>
      <c r="O80" s="43" t="s">
        <v>134</v>
      </c>
      <c r="P80" s="45" t="s">
        <v>31</v>
      </c>
      <c r="Q80" s="43"/>
    </row>
    <row r="81" ht="22.5" customHeight="1">
      <c r="A81" s="39">
        <v>46277.0</v>
      </c>
      <c r="B81" s="84">
        <v>46267.0</v>
      </c>
      <c r="C81" s="41" t="s">
        <v>27</v>
      </c>
      <c r="D81" s="43" t="s">
        <v>87</v>
      </c>
      <c r="E81" s="43" t="s">
        <v>89</v>
      </c>
      <c r="F81" s="45" t="s">
        <v>23</v>
      </c>
      <c r="G81" s="45" t="s">
        <v>9</v>
      </c>
      <c r="H81" s="43" t="s">
        <v>51</v>
      </c>
      <c r="I81" s="43">
        <v>200.0</v>
      </c>
      <c r="J81" s="45" t="s">
        <v>25</v>
      </c>
      <c r="K81" s="55" t="b">
        <v>1</v>
      </c>
      <c r="L81" s="55" t="b">
        <v>1</v>
      </c>
      <c r="M81" s="77"/>
      <c r="N81" s="82">
        <f t="shared" si="1"/>
        <v>24</v>
      </c>
      <c r="O81" s="43" t="s">
        <v>144</v>
      </c>
      <c r="P81" s="45" t="s">
        <v>31</v>
      </c>
      <c r="Q81" s="43"/>
    </row>
    <row r="82" ht="22.5" customHeight="1">
      <c r="A82" s="39">
        <v>46277.0</v>
      </c>
      <c r="B82" s="84">
        <v>46267.0</v>
      </c>
      <c r="C82" s="41" t="s">
        <v>27</v>
      </c>
      <c r="D82" s="43" t="s">
        <v>143</v>
      </c>
      <c r="E82" s="43" t="s">
        <v>143</v>
      </c>
      <c r="F82" s="45" t="s">
        <v>23</v>
      </c>
      <c r="G82" s="45" t="s">
        <v>19</v>
      </c>
      <c r="H82" s="43" t="s">
        <v>44</v>
      </c>
      <c r="I82" s="43">
        <v>1000.0</v>
      </c>
      <c r="J82" s="45" t="s">
        <v>25</v>
      </c>
      <c r="K82" s="55" t="b">
        <v>1</v>
      </c>
      <c r="L82" s="55" t="b">
        <v>1</v>
      </c>
      <c r="M82" s="77"/>
      <c r="N82" s="82">
        <f t="shared" si="1"/>
        <v>24</v>
      </c>
      <c r="O82" s="43" t="s">
        <v>161</v>
      </c>
      <c r="P82" s="45" t="s">
        <v>31</v>
      </c>
      <c r="Q82" s="43"/>
    </row>
    <row r="83" ht="22.5" customHeight="1">
      <c r="A83" s="39">
        <v>46277.0</v>
      </c>
      <c r="B83" s="84">
        <v>46267.0</v>
      </c>
      <c r="C83" s="41" t="s">
        <v>27</v>
      </c>
      <c r="D83" s="43" t="s">
        <v>143</v>
      </c>
      <c r="E83" s="43" t="s">
        <v>143</v>
      </c>
      <c r="F83" s="45" t="s">
        <v>23</v>
      </c>
      <c r="G83" s="45" t="s">
        <v>19</v>
      </c>
      <c r="H83" s="43" t="s">
        <v>24</v>
      </c>
      <c r="I83" s="43">
        <v>4000.0</v>
      </c>
      <c r="J83" s="45" t="s">
        <v>25</v>
      </c>
      <c r="K83" s="55" t="b">
        <v>1</v>
      </c>
      <c r="L83" s="55" t="b">
        <v>1</v>
      </c>
      <c r="M83" s="77"/>
      <c r="N83" s="82">
        <f t="shared" si="1"/>
        <v>24</v>
      </c>
      <c r="O83" s="43" t="s">
        <v>173</v>
      </c>
      <c r="P83" s="45" t="s">
        <v>138</v>
      </c>
      <c r="Q83" s="43"/>
    </row>
    <row r="84" ht="22.5" customHeight="1">
      <c r="A84" s="39">
        <v>46277.0</v>
      </c>
      <c r="B84" s="84">
        <v>46267.0</v>
      </c>
      <c r="C84" s="41" t="s">
        <v>27</v>
      </c>
      <c r="D84" s="43" t="s">
        <v>126</v>
      </c>
      <c r="E84" s="43" t="s">
        <v>126</v>
      </c>
      <c r="F84" s="45" t="s">
        <v>23</v>
      </c>
      <c r="G84" s="45" t="s">
        <v>19</v>
      </c>
      <c r="H84" s="43" t="s">
        <v>24</v>
      </c>
      <c r="I84" s="43">
        <v>3000.0</v>
      </c>
      <c r="J84" s="45" t="s">
        <v>25</v>
      </c>
      <c r="K84" s="55" t="b">
        <v>1</v>
      </c>
      <c r="L84" s="55" t="b">
        <v>1</v>
      </c>
      <c r="M84" s="77"/>
      <c r="N84" s="82">
        <f t="shared" si="1"/>
        <v>24</v>
      </c>
      <c r="O84" s="43" t="s">
        <v>174</v>
      </c>
      <c r="P84" s="78"/>
      <c r="Q84" s="43"/>
    </row>
    <row r="85" ht="22.5" customHeight="1">
      <c r="A85" s="39">
        <v>46277.0</v>
      </c>
      <c r="B85" s="84">
        <v>46267.0</v>
      </c>
      <c r="C85" s="41" t="s">
        <v>27</v>
      </c>
      <c r="D85" s="43" t="s">
        <v>126</v>
      </c>
      <c r="E85" s="43" t="s">
        <v>126</v>
      </c>
      <c r="F85" s="45" t="s">
        <v>23</v>
      </c>
      <c r="G85" s="45" t="s">
        <v>19</v>
      </c>
      <c r="H85" s="43" t="s">
        <v>44</v>
      </c>
      <c r="I85" s="43">
        <v>1500.0</v>
      </c>
      <c r="J85" s="45" t="s">
        <v>25</v>
      </c>
      <c r="K85" s="55" t="b">
        <v>1</v>
      </c>
      <c r="L85" s="55" t="b">
        <v>1</v>
      </c>
      <c r="M85" s="77"/>
      <c r="N85" s="82">
        <f t="shared" si="1"/>
        <v>24</v>
      </c>
      <c r="O85" s="43" t="s">
        <v>170</v>
      </c>
      <c r="P85" s="45" t="s">
        <v>31</v>
      </c>
      <c r="Q85" s="43"/>
    </row>
    <row r="86" ht="22.5" customHeight="1">
      <c r="A86" s="77">
        <v>46279.0</v>
      </c>
      <c r="B86" s="84">
        <v>46268.0</v>
      </c>
      <c r="C86" s="45" t="s">
        <v>27</v>
      </c>
      <c r="D86" s="43" t="s">
        <v>87</v>
      </c>
      <c r="E86" s="43" t="s">
        <v>96</v>
      </c>
      <c r="F86" s="45" t="s">
        <v>23</v>
      </c>
      <c r="G86" s="45" t="s">
        <v>9</v>
      </c>
      <c r="H86" s="43" t="s">
        <v>44</v>
      </c>
      <c r="I86" s="43">
        <v>4000.0</v>
      </c>
      <c r="J86" s="45" t="s">
        <v>25</v>
      </c>
      <c r="K86" s="55" t="b">
        <v>1</v>
      </c>
      <c r="L86" s="55" t="b">
        <v>1</v>
      </c>
      <c r="M86" s="77">
        <v>46280.0</v>
      </c>
      <c r="N86" s="82">
        <f t="shared" si="1"/>
        <v>1</v>
      </c>
      <c r="O86" s="85" t="s">
        <v>175</v>
      </c>
      <c r="P86" s="45" t="s">
        <v>31</v>
      </c>
      <c r="Q86" s="43"/>
    </row>
    <row r="87" ht="22.5" customHeight="1">
      <c r="A87" s="77">
        <v>46279.0</v>
      </c>
      <c r="B87" s="84">
        <v>46268.0</v>
      </c>
      <c r="C87" s="45" t="s">
        <v>27</v>
      </c>
      <c r="D87" s="43" t="s">
        <v>156</v>
      </c>
      <c r="E87" s="43" t="s">
        <v>156</v>
      </c>
      <c r="F87" s="45" t="s">
        <v>23</v>
      </c>
      <c r="G87" s="45" t="s">
        <v>9</v>
      </c>
      <c r="H87" s="43" t="s">
        <v>20</v>
      </c>
      <c r="I87" s="43">
        <v>1000.0</v>
      </c>
      <c r="J87" s="45" t="s">
        <v>25</v>
      </c>
      <c r="K87" s="55" t="b">
        <v>1</v>
      </c>
      <c r="L87" s="55" t="b">
        <v>1</v>
      </c>
      <c r="M87" s="77">
        <v>46281.0</v>
      </c>
      <c r="N87" s="82">
        <f t="shared" si="1"/>
        <v>2</v>
      </c>
      <c r="O87" s="85" t="s">
        <v>157</v>
      </c>
      <c r="P87" s="45" t="s">
        <v>31</v>
      </c>
      <c r="Q87" s="43" t="s">
        <v>149</v>
      </c>
    </row>
    <row r="88" ht="22.5" customHeight="1">
      <c r="A88" s="77">
        <v>46279.0</v>
      </c>
      <c r="B88" s="84">
        <v>46268.0</v>
      </c>
      <c r="C88" s="45" t="s">
        <v>27</v>
      </c>
      <c r="D88" s="43" t="s">
        <v>156</v>
      </c>
      <c r="E88" s="43" t="s">
        <v>156</v>
      </c>
      <c r="F88" s="45" t="s">
        <v>23</v>
      </c>
      <c r="G88" s="45" t="s">
        <v>9</v>
      </c>
      <c r="H88" s="43" t="s">
        <v>24</v>
      </c>
      <c r="I88" s="43">
        <v>1000.0</v>
      </c>
      <c r="J88" s="45" t="s">
        <v>25</v>
      </c>
      <c r="K88" s="55" t="b">
        <v>1</v>
      </c>
      <c r="L88" s="55" t="b">
        <v>1</v>
      </c>
      <c r="M88" s="77">
        <v>46281.0</v>
      </c>
      <c r="N88" s="82">
        <f t="shared" si="1"/>
        <v>2</v>
      </c>
      <c r="O88" s="85" t="s">
        <v>157</v>
      </c>
      <c r="P88" s="45" t="s">
        <v>31</v>
      </c>
      <c r="Q88" s="43" t="s">
        <v>149</v>
      </c>
    </row>
    <row r="89" ht="22.5" customHeight="1">
      <c r="A89" s="77">
        <v>46281.0</v>
      </c>
      <c r="B89" s="84">
        <v>46268.0</v>
      </c>
      <c r="C89" s="45" t="s">
        <v>27</v>
      </c>
      <c r="D89" s="40" t="s">
        <v>146</v>
      </c>
      <c r="E89" s="40" t="s">
        <v>146</v>
      </c>
      <c r="F89" s="45" t="s">
        <v>23</v>
      </c>
      <c r="G89" s="45" t="s">
        <v>19</v>
      </c>
      <c r="H89" s="43" t="s">
        <v>44</v>
      </c>
      <c r="I89" s="43">
        <v>4000.0</v>
      </c>
      <c r="J89" s="45" t="s">
        <v>25</v>
      </c>
      <c r="K89" s="55" t="b">
        <v>1</v>
      </c>
      <c r="L89" s="55" t="b">
        <v>1</v>
      </c>
      <c r="M89" s="77">
        <v>46283.0</v>
      </c>
      <c r="N89" s="82">
        <f t="shared" si="1"/>
        <v>2</v>
      </c>
      <c r="O89" s="85" t="s">
        <v>175</v>
      </c>
      <c r="P89" s="45" t="s">
        <v>31</v>
      </c>
      <c r="Q89" s="43"/>
    </row>
    <row r="90" ht="22.5" customHeight="1">
      <c r="A90" s="77">
        <v>46281.0</v>
      </c>
      <c r="B90" s="84">
        <v>46268.0</v>
      </c>
      <c r="C90" s="45" t="s">
        <v>27</v>
      </c>
      <c r="D90" s="40" t="s">
        <v>146</v>
      </c>
      <c r="E90" s="40" t="s">
        <v>146</v>
      </c>
      <c r="F90" s="45" t="s">
        <v>23</v>
      </c>
      <c r="G90" s="45" t="s">
        <v>19</v>
      </c>
      <c r="H90" s="43" t="s">
        <v>48</v>
      </c>
      <c r="I90" s="43">
        <v>1000.0</v>
      </c>
      <c r="J90" s="45" t="s">
        <v>25</v>
      </c>
      <c r="K90" s="55" t="b">
        <v>1</v>
      </c>
      <c r="L90" s="55" t="b">
        <v>1</v>
      </c>
      <c r="M90" s="77">
        <v>46283.0</v>
      </c>
      <c r="N90" s="82">
        <f t="shared" si="1"/>
        <v>2</v>
      </c>
      <c r="O90" s="85" t="s">
        <v>161</v>
      </c>
      <c r="P90" s="45" t="s">
        <v>31</v>
      </c>
      <c r="Q90" s="43"/>
    </row>
    <row r="91" ht="22.5" customHeight="1">
      <c r="A91" s="77">
        <v>46281.0</v>
      </c>
      <c r="B91" s="84">
        <v>46268.0</v>
      </c>
      <c r="C91" s="45" t="s">
        <v>27</v>
      </c>
      <c r="D91" s="40" t="s">
        <v>146</v>
      </c>
      <c r="E91" s="40" t="s">
        <v>146</v>
      </c>
      <c r="F91" s="45" t="s">
        <v>23</v>
      </c>
      <c r="G91" s="45" t="s">
        <v>19</v>
      </c>
      <c r="H91" s="43" t="s">
        <v>24</v>
      </c>
      <c r="I91" s="43">
        <v>8000.0</v>
      </c>
      <c r="J91" s="45" t="s">
        <v>25</v>
      </c>
      <c r="K91" s="55" t="b">
        <v>1</v>
      </c>
      <c r="L91" s="55" t="b">
        <v>1</v>
      </c>
      <c r="M91" s="77">
        <v>46282.0</v>
      </c>
      <c r="N91" s="82">
        <f t="shared" si="1"/>
        <v>1</v>
      </c>
      <c r="O91" s="85" t="s">
        <v>175</v>
      </c>
      <c r="P91" s="45" t="s">
        <v>31</v>
      </c>
      <c r="Q91" s="43"/>
    </row>
    <row r="92" ht="22.5" customHeight="1">
      <c r="A92" s="77">
        <v>46283.0</v>
      </c>
      <c r="B92" s="43" t="s">
        <v>176</v>
      </c>
      <c r="C92" s="41" t="s">
        <v>54</v>
      </c>
      <c r="D92" s="43" t="s">
        <v>107</v>
      </c>
      <c r="E92" s="43" t="s">
        <v>107</v>
      </c>
      <c r="F92" s="45" t="s">
        <v>46</v>
      </c>
      <c r="G92" s="45" t="s">
        <v>46</v>
      </c>
      <c r="H92" s="43" t="s">
        <v>125</v>
      </c>
      <c r="I92" s="43">
        <v>21000.0</v>
      </c>
      <c r="J92" s="45" t="s">
        <v>25</v>
      </c>
      <c r="K92" s="55" t="b">
        <v>1</v>
      </c>
      <c r="L92" s="55" t="b">
        <v>1</v>
      </c>
      <c r="M92" s="77">
        <v>46284.0</v>
      </c>
      <c r="N92" s="82">
        <f t="shared" si="1"/>
        <v>1</v>
      </c>
      <c r="O92" s="85"/>
      <c r="P92" s="78"/>
      <c r="Q92" s="43"/>
    </row>
    <row r="93" ht="22.5" customHeight="1">
      <c r="A93" s="77">
        <v>46284.0</v>
      </c>
      <c r="B93" s="84">
        <v>46268.0</v>
      </c>
      <c r="C93" s="45" t="s">
        <v>27</v>
      </c>
      <c r="D93" s="43" t="s">
        <v>87</v>
      </c>
      <c r="E93" s="43" t="s">
        <v>96</v>
      </c>
      <c r="F93" s="45" t="s">
        <v>23</v>
      </c>
      <c r="G93" s="45" t="s">
        <v>19</v>
      </c>
      <c r="H93" s="43" t="s">
        <v>44</v>
      </c>
      <c r="I93" s="43">
        <v>500.0</v>
      </c>
      <c r="J93" s="45" t="s">
        <v>25</v>
      </c>
      <c r="K93" s="55" t="b">
        <v>1</v>
      </c>
      <c r="L93" s="55" t="b">
        <v>0</v>
      </c>
      <c r="M93" s="77"/>
      <c r="N93" s="82">
        <f t="shared" si="1"/>
        <v>17</v>
      </c>
      <c r="O93" s="85" t="s">
        <v>157</v>
      </c>
      <c r="P93" s="45" t="s">
        <v>31</v>
      </c>
      <c r="Q93" s="43"/>
    </row>
    <row r="94" ht="22.5" customHeight="1">
      <c r="A94" s="77">
        <v>46284.0</v>
      </c>
      <c r="B94" s="84">
        <v>46268.0</v>
      </c>
      <c r="C94" s="45" t="s">
        <v>27</v>
      </c>
      <c r="D94" s="43" t="s">
        <v>87</v>
      </c>
      <c r="E94" s="43" t="s">
        <v>89</v>
      </c>
      <c r="F94" s="45" t="s">
        <v>23</v>
      </c>
      <c r="G94" s="45" t="s">
        <v>19</v>
      </c>
      <c r="H94" s="43" t="s">
        <v>44</v>
      </c>
      <c r="I94" s="43">
        <v>900.0</v>
      </c>
      <c r="J94" s="45" t="s">
        <v>25</v>
      </c>
      <c r="K94" s="55" t="b">
        <v>1</v>
      </c>
      <c r="L94" s="55" t="b">
        <v>0</v>
      </c>
      <c r="M94" s="77"/>
      <c r="N94" s="82">
        <f t="shared" si="1"/>
        <v>17</v>
      </c>
      <c r="O94" s="85" t="s">
        <v>161</v>
      </c>
      <c r="P94" s="45" t="s">
        <v>31</v>
      </c>
      <c r="Q94" s="43"/>
    </row>
    <row r="95" ht="22.5" customHeight="1">
      <c r="A95" s="77">
        <v>46284.0</v>
      </c>
      <c r="B95" s="84">
        <v>46268.0</v>
      </c>
      <c r="C95" s="45" t="s">
        <v>27</v>
      </c>
      <c r="D95" s="43" t="s">
        <v>87</v>
      </c>
      <c r="E95" s="43" t="s">
        <v>89</v>
      </c>
      <c r="F95" s="45" t="s">
        <v>23</v>
      </c>
      <c r="G95" s="45" t="s">
        <v>9</v>
      </c>
      <c r="H95" s="43" t="s">
        <v>24</v>
      </c>
      <c r="I95" s="43">
        <v>700.0</v>
      </c>
      <c r="J95" s="45" t="s">
        <v>25</v>
      </c>
      <c r="K95" s="55" t="b">
        <v>1</v>
      </c>
      <c r="L95" s="55" t="b">
        <v>0</v>
      </c>
      <c r="M95" s="77"/>
      <c r="N95" s="82">
        <f t="shared" si="1"/>
        <v>17</v>
      </c>
      <c r="O95" s="85" t="s">
        <v>144</v>
      </c>
      <c r="P95" s="45" t="s">
        <v>31</v>
      </c>
      <c r="Q95" s="43"/>
    </row>
    <row r="96" ht="22.5" customHeight="1">
      <c r="A96" s="77">
        <v>46284.0</v>
      </c>
      <c r="B96" s="84">
        <v>46268.0</v>
      </c>
      <c r="C96" s="45" t="s">
        <v>27</v>
      </c>
      <c r="D96" s="43" t="s">
        <v>146</v>
      </c>
      <c r="E96" s="43" t="s">
        <v>146</v>
      </c>
      <c r="F96" s="45" t="s">
        <v>23</v>
      </c>
      <c r="G96" s="45" t="s">
        <v>19</v>
      </c>
      <c r="H96" s="43" t="s">
        <v>24</v>
      </c>
      <c r="I96" s="43">
        <v>2000.0</v>
      </c>
      <c r="J96" s="45" t="s">
        <v>25</v>
      </c>
      <c r="K96" s="55" t="b">
        <v>1</v>
      </c>
      <c r="L96" s="55" t="b">
        <v>1</v>
      </c>
      <c r="M96" s="77">
        <v>46286.0</v>
      </c>
      <c r="N96" s="82">
        <f t="shared" si="1"/>
        <v>2</v>
      </c>
      <c r="O96" s="85" t="s">
        <v>161</v>
      </c>
      <c r="P96" s="45" t="s">
        <v>31</v>
      </c>
      <c r="Q96" s="43"/>
    </row>
    <row r="97" ht="22.5" customHeight="1">
      <c r="A97" s="77">
        <v>46284.0</v>
      </c>
      <c r="B97" s="84">
        <v>46268.0</v>
      </c>
      <c r="C97" s="45" t="s">
        <v>27</v>
      </c>
      <c r="D97" s="43" t="s">
        <v>146</v>
      </c>
      <c r="E97" s="43" t="s">
        <v>146</v>
      </c>
      <c r="F97" s="45" t="s">
        <v>23</v>
      </c>
      <c r="G97" s="45" t="s">
        <v>19</v>
      </c>
      <c r="H97" s="43" t="s">
        <v>51</v>
      </c>
      <c r="I97" s="43">
        <v>500.0</v>
      </c>
      <c r="J97" s="45" t="s">
        <v>25</v>
      </c>
      <c r="K97" s="55" t="b">
        <v>1</v>
      </c>
      <c r="L97" s="55" t="b">
        <v>1</v>
      </c>
      <c r="M97" s="77">
        <v>46288.0</v>
      </c>
      <c r="N97" s="82">
        <f t="shared" si="1"/>
        <v>4</v>
      </c>
      <c r="O97" s="85" t="s">
        <v>162</v>
      </c>
      <c r="P97" s="45" t="s">
        <v>31</v>
      </c>
      <c r="Q97" s="43"/>
    </row>
    <row r="98" ht="22.5" customHeight="1">
      <c r="A98" s="77">
        <v>46284.0</v>
      </c>
      <c r="B98" s="84">
        <v>46268.0</v>
      </c>
      <c r="C98" s="45" t="s">
        <v>27</v>
      </c>
      <c r="D98" s="43" t="s">
        <v>146</v>
      </c>
      <c r="E98" s="43" t="s">
        <v>146</v>
      </c>
      <c r="F98" s="45" t="s">
        <v>23</v>
      </c>
      <c r="G98" s="45" t="s">
        <v>19</v>
      </c>
      <c r="H98" s="43" t="s">
        <v>20</v>
      </c>
      <c r="I98" s="43">
        <v>1500.0</v>
      </c>
      <c r="J98" s="45" t="s">
        <v>25</v>
      </c>
      <c r="K98" s="55" t="b">
        <v>1</v>
      </c>
      <c r="L98" s="55" t="b">
        <v>1</v>
      </c>
      <c r="M98" s="77">
        <v>46286.0</v>
      </c>
      <c r="N98" s="82">
        <f t="shared" si="1"/>
        <v>2</v>
      </c>
      <c r="O98" s="85" t="s">
        <v>162</v>
      </c>
      <c r="P98" s="45" t="s">
        <v>31</v>
      </c>
      <c r="Q98" s="43"/>
    </row>
    <row r="99" ht="22.5" customHeight="1">
      <c r="A99" s="77">
        <v>46284.0</v>
      </c>
      <c r="B99" s="84">
        <v>46268.0</v>
      </c>
      <c r="C99" s="45" t="s">
        <v>27</v>
      </c>
      <c r="D99" s="43" t="s">
        <v>150</v>
      </c>
      <c r="E99" s="43" t="s">
        <v>150</v>
      </c>
      <c r="F99" s="45" t="s">
        <v>23</v>
      </c>
      <c r="G99" s="45" t="s">
        <v>19</v>
      </c>
      <c r="H99" s="43" t="s">
        <v>20</v>
      </c>
      <c r="I99" s="43">
        <v>400.0</v>
      </c>
      <c r="J99" s="45" t="s">
        <v>25</v>
      </c>
      <c r="K99" s="55" t="b">
        <v>1</v>
      </c>
      <c r="L99" s="55" t="b">
        <v>1</v>
      </c>
      <c r="M99" s="77">
        <v>46287.0</v>
      </c>
      <c r="N99" s="82">
        <f t="shared" si="1"/>
        <v>3</v>
      </c>
      <c r="O99" s="85" t="s">
        <v>144</v>
      </c>
      <c r="P99" s="45" t="s">
        <v>31</v>
      </c>
      <c r="Q99" s="43"/>
    </row>
    <row r="100" ht="22.5" customHeight="1">
      <c r="A100" s="77">
        <v>46284.0</v>
      </c>
      <c r="B100" s="84">
        <v>46268.0</v>
      </c>
      <c r="C100" s="45" t="s">
        <v>27</v>
      </c>
      <c r="D100" s="43" t="s">
        <v>150</v>
      </c>
      <c r="E100" s="43" t="s">
        <v>150</v>
      </c>
      <c r="F100" s="45" t="s">
        <v>23</v>
      </c>
      <c r="G100" s="45" t="s">
        <v>19</v>
      </c>
      <c r="H100" s="43" t="s">
        <v>24</v>
      </c>
      <c r="I100" s="43">
        <v>1000.0</v>
      </c>
      <c r="J100" s="45" t="s">
        <v>25</v>
      </c>
      <c r="K100" s="55" t="b">
        <v>1</v>
      </c>
      <c r="L100" s="55" t="b">
        <v>1</v>
      </c>
      <c r="M100" s="77">
        <v>46287.0</v>
      </c>
      <c r="N100" s="82">
        <f t="shared" si="1"/>
        <v>3</v>
      </c>
      <c r="O100" s="85" t="s">
        <v>157</v>
      </c>
      <c r="P100" s="45" t="s">
        <v>31</v>
      </c>
      <c r="Q100" s="43"/>
    </row>
    <row r="101" ht="22.5" customHeight="1">
      <c r="A101" s="77">
        <v>46284.0</v>
      </c>
      <c r="B101" s="84">
        <v>46268.0</v>
      </c>
      <c r="C101" s="45" t="s">
        <v>27</v>
      </c>
      <c r="D101" s="43" t="s">
        <v>150</v>
      </c>
      <c r="E101" s="43" t="s">
        <v>150</v>
      </c>
      <c r="F101" s="45" t="s">
        <v>23</v>
      </c>
      <c r="G101" s="45" t="s">
        <v>19</v>
      </c>
      <c r="H101" s="43" t="s">
        <v>44</v>
      </c>
      <c r="I101" s="43">
        <v>350.0</v>
      </c>
      <c r="J101" s="45" t="s">
        <v>25</v>
      </c>
      <c r="K101" s="55" t="b">
        <v>1</v>
      </c>
      <c r="L101" s="55" t="b">
        <v>1</v>
      </c>
      <c r="M101" s="77">
        <v>46287.0</v>
      </c>
      <c r="N101" s="82">
        <f t="shared" si="1"/>
        <v>3</v>
      </c>
      <c r="O101" s="85" t="s">
        <v>157</v>
      </c>
      <c r="P101" s="45" t="s">
        <v>31</v>
      </c>
      <c r="Q101" s="43"/>
    </row>
    <row r="102" ht="22.5" customHeight="1">
      <c r="A102" s="77">
        <v>46284.0</v>
      </c>
      <c r="B102" s="84">
        <v>46268.0</v>
      </c>
      <c r="C102" s="45" t="s">
        <v>27</v>
      </c>
      <c r="D102" s="43" t="s">
        <v>150</v>
      </c>
      <c r="E102" s="43" t="s">
        <v>150</v>
      </c>
      <c r="F102" s="45" t="s">
        <v>23</v>
      </c>
      <c r="G102" s="45" t="s">
        <v>19</v>
      </c>
      <c r="H102" s="43" t="s">
        <v>48</v>
      </c>
      <c r="I102" s="43">
        <v>150.0</v>
      </c>
      <c r="J102" s="45" t="s">
        <v>25</v>
      </c>
      <c r="K102" s="55" t="b">
        <v>1</v>
      </c>
      <c r="L102" s="55" t="b">
        <v>1</v>
      </c>
      <c r="M102" s="77">
        <v>46287.0</v>
      </c>
      <c r="N102" s="82">
        <f t="shared" si="1"/>
        <v>3</v>
      </c>
      <c r="O102" s="85" t="s">
        <v>144</v>
      </c>
      <c r="P102" s="45" t="s">
        <v>31</v>
      </c>
      <c r="Q102" s="43"/>
    </row>
    <row r="103" ht="22.5" customHeight="1">
      <c r="A103" s="77">
        <v>46284.0</v>
      </c>
      <c r="B103" s="84">
        <v>46268.0</v>
      </c>
      <c r="C103" s="45" t="s">
        <v>27</v>
      </c>
      <c r="D103" s="43" t="s">
        <v>150</v>
      </c>
      <c r="E103" s="43" t="s">
        <v>150</v>
      </c>
      <c r="F103" s="45" t="s">
        <v>23</v>
      </c>
      <c r="G103" s="45" t="s">
        <v>19</v>
      </c>
      <c r="H103" s="43" t="s">
        <v>51</v>
      </c>
      <c r="I103" s="43">
        <v>200.0</v>
      </c>
      <c r="J103" s="45" t="s">
        <v>25</v>
      </c>
      <c r="K103" s="55" t="b">
        <v>1</v>
      </c>
      <c r="L103" s="55" t="b">
        <v>1</v>
      </c>
      <c r="M103" s="77">
        <v>46287.0</v>
      </c>
      <c r="N103" s="82">
        <f t="shared" si="1"/>
        <v>3</v>
      </c>
      <c r="O103" s="85">
        <v>1.0</v>
      </c>
      <c r="P103" s="45" t="s">
        <v>31</v>
      </c>
      <c r="Q103" s="43"/>
    </row>
    <row r="104" ht="22.5" customHeight="1">
      <c r="A104" s="77">
        <v>46284.0</v>
      </c>
      <c r="B104" s="43" t="s">
        <v>177</v>
      </c>
      <c r="C104" s="45" t="s">
        <v>54</v>
      </c>
      <c r="D104" s="43" t="s">
        <v>126</v>
      </c>
      <c r="E104" s="43" t="s">
        <v>126</v>
      </c>
      <c r="F104" s="45" t="s">
        <v>46</v>
      </c>
      <c r="G104" s="45" t="s">
        <v>46</v>
      </c>
      <c r="H104" s="43" t="s">
        <v>127</v>
      </c>
      <c r="I104" s="43">
        <v>4500.0</v>
      </c>
      <c r="J104" s="45" t="s">
        <v>25</v>
      </c>
      <c r="K104" s="55" t="b">
        <v>1</v>
      </c>
      <c r="L104" s="55" t="b">
        <v>1</v>
      </c>
      <c r="M104" s="77">
        <v>46287.0</v>
      </c>
      <c r="N104" s="82">
        <f t="shared" si="1"/>
        <v>3</v>
      </c>
      <c r="O104" s="85"/>
      <c r="P104" s="78"/>
      <c r="Q104" s="43"/>
    </row>
    <row r="105" ht="22.5" customHeight="1">
      <c r="A105" s="39">
        <v>46289.0</v>
      </c>
      <c r="B105" s="84">
        <v>46269.0</v>
      </c>
      <c r="C105" s="41" t="s">
        <v>61</v>
      </c>
      <c r="D105" s="55" t="s">
        <v>100</v>
      </c>
      <c r="E105" s="55" t="s">
        <v>100</v>
      </c>
      <c r="F105" s="45" t="s">
        <v>8</v>
      </c>
      <c r="G105" s="45" t="s">
        <v>47</v>
      </c>
      <c r="H105" s="43" t="s">
        <v>56</v>
      </c>
      <c r="I105" s="43">
        <v>50000.0</v>
      </c>
      <c r="J105" s="45" t="s">
        <v>25</v>
      </c>
      <c r="K105" s="55" t="b">
        <v>1</v>
      </c>
      <c r="L105" s="55" t="b">
        <v>1</v>
      </c>
      <c r="M105" s="77">
        <v>46293.0</v>
      </c>
      <c r="N105" s="82">
        <f t="shared" si="1"/>
        <v>4</v>
      </c>
      <c r="O105" s="43">
        <v>4.0</v>
      </c>
      <c r="P105" s="45" t="s">
        <v>31</v>
      </c>
      <c r="Q105" s="43"/>
    </row>
    <row r="106" ht="22.5" customHeight="1">
      <c r="A106" s="39">
        <v>46291.0</v>
      </c>
      <c r="B106" s="84">
        <v>46269.0</v>
      </c>
      <c r="C106" s="45" t="s">
        <v>27</v>
      </c>
      <c r="D106" s="85" t="s">
        <v>178</v>
      </c>
      <c r="E106" s="85" t="s">
        <v>179</v>
      </c>
      <c r="F106" s="45" t="s">
        <v>23</v>
      </c>
      <c r="G106" s="45" t="s">
        <v>19</v>
      </c>
      <c r="H106" s="43" t="s">
        <v>20</v>
      </c>
      <c r="I106" s="43">
        <v>200.0</v>
      </c>
      <c r="J106" s="45" t="s">
        <v>25</v>
      </c>
      <c r="K106" s="55" t="b">
        <v>1</v>
      </c>
      <c r="L106" s="55" t="b">
        <v>1</v>
      </c>
      <c r="M106" s="77">
        <v>46293.0</v>
      </c>
      <c r="N106" s="82">
        <f t="shared" si="1"/>
        <v>2</v>
      </c>
      <c r="O106" s="43">
        <v>1.0</v>
      </c>
      <c r="P106" s="45" t="s">
        <v>31</v>
      </c>
      <c r="Q106" s="43"/>
    </row>
    <row r="107" ht="22.5" customHeight="1">
      <c r="A107" s="39">
        <v>46291.0</v>
      </c>
      <c r="B107" s="84">
        <v>46269.0</v>
      </c>
      <c r="C107" s="45" t="s">
        <v>27</v>
      </c>
      <c r="D107" s="85" t="s">
        <v>178</v>
      </c>
      <c r="E107" s="85" t="s">
        <v>179</v>
      </c>
      <c r="F107" s="45" t="s">
        <v>23</v>
      </c>
      <c r="G107" s="45" t="s">
        <v>19</v>
      </c>
      <c r="H107" s="43" t="s">
        <v>24</v>
      </c>
      <c r="I107" s="43">
        <v>1500.0</v>
      </c>
      <c r="J107" s="45" t="s">
        <v>25</v>
      </c>
      <c r="K107" s="55" t="b">
        <v>1</v>
      </c>
      <c r="L107" s="55" t="b">
        <v>1</v>
      </c>
      <c r="M107" s="77">
        <v>46293.0</v>
      </c>
      <c r="N107" s="82">
        <f t="shared" si="1"/>
        <v>2</v>
      </c>
      <c r="O107" s="43">
        <v>4.0</v>
      </c>
      <c r="P107" s="45" t="s">
        <v>31</v>
      </c>
      <c r="Q107" s="43"/>
    </row>
    <row r="108" ht="22.5" customHeight="1">
      <c r="A108" s="39">
        <v>46291.0</v>
      </c>
      <c r="B108" s="84">
        <v>46269.0</v>
      </c>
      <c r="C108" s="45" t="s">
        <v>27</v>
      </c>
      <c r="D108" s="85" t="s">
        <v>178</v>
      </c>
      <c r="E108" s="85" t="s">
        <v>179</v>
      </c>
      <c r="F108" s="45" t="s">
        <v>23</v>
      </c>
      <c r="G108" s="45" t="s">
        <v>19</v>
      </c>
      <c r="H108" s="43" t="s">
        <v>44</v>
      </c>
      <c r="I108" s="43">
        <v>315.0</v>
      </c>
      <c r="J108" s="45" t="s">
        <v>25</v>
      </c>
      <c r="K108" s="55" t="b">
        <v>1</v>
      </c>
      <c r="L108" s="55" t="b">
        <v>1</v>
      </c>
      <c r="M108" s="77">
        <v>46293.0</v>
      </c>
      <c r="N108" s="82">
        <f t="shared" si="1"/>
        <v>2</v>
      </c>
      <c r="O108" s="43">
        <v>1.0</v>
      </c>
      <c r="P108" s="45" t="s">
        <v>31</v>
      </c>
      <c r="Q108" s="43"/>
    </row>
    <row r="109" ht="22.5" customHeight="1">
      <c r="A109" s="39">
        <v>46291.0</v>
      </c>
      <c r="B109" s="84">
        <v>46269.0</v>
      </c>
      <c r="C109" s="45" t="s">
        <v>27</v>
      </c>
      <c r="D109" s="85" t="s">
        <v>146</v>
      </c>
      <c r="E109" s="85" t="s">
        <v>146</v>
      </c>
      <c r="F109" s="45" t="s">
        <v>23</v>
      </c>
      <c r="G109" s="45" t="s">
        <v>19</v>
      </c>
      <c r="H109" s="43" t="s">
        <v>24</v>
      </c>
      <c r="I109" s="43">
        <v>7100.0</v>
      </c>
      <c r="J109" s="45" t="s">
        <v>25</v>
      </c>
      <c r="K109" s="55" t="b">
        <v>1</v>
      </c>
      <c r="L109" s="55" t="b">
        <v>1</v>
      </c>
      <c r="M109" s="77">
        <v>46291.0</v>
      </c>
      <c r="N109" s="82">
        <f t="shared" si="1"/>
        <v>0</v>
      </c>
      <c r="O109" s="43">
        <v>18.0</v>
      </c>
      <c r="P109" s="45" t="s">
        <v>31</v>
      </c>
      <c r="Q109" s="43"/>
    </row>
    <row r="110" ht="22.5" customHeight="1">
      <c r="A110" s="39">
        <v>46291.0</v>
      </c>
      <c r="B110" s="84">
        <v>46269.0</v>
      </c>
      <c r="C110" s="45" t="s">
        <v>27</v>
      </c>
      <c r="D110" s="85" t="s">
        <v>180</v>
      </c>
      <c r="E110" s="85" t="s">
        <v>181</v>
      </c>
      <c r="F110" s="45" t="s">
        <v>23</v>
      </c>
      <c r="G110" s="45" t="s">
        <v>19</v>
      </c>
      <c r="H110" s="43" t="s">
        <v>20</v>
      </c>
      <c r="I110" s="43">
        <v>3188.0</v>
      </c>
      <c r="J110" s="45" t="s">
        <v>25</v>
      </c>
      <c r="K110" s="55" t="b">
        <v>1</v>
      </c>
      <c r="L110" s="55" t="b">
        <v>1</v>
      </c>
      <c r="M110" s="77">
        <v>46293.0</v>
      </c>
      <c r="N110" s="82">
        <f t="shared" si="1"/>
        <v>2</v>
      </c>
      <c r="O110" s="43">
        <v>8.0</v>
      </c>
      <c r="P110" s="45" t="s">
        <v>31</v>
      </c>
      <c r="Q110" s="43"/>
    </row>
    <row r="111" ht="22.5" customHeight="1">
      <c r="A111" s="39">
        <v>46291.0</v>
      </c>
      <c r="B111" s="84">
        <v>46269.0</v>
      </c>
      <c r="C111" s="45" t="s">
        <v>27</v>
      </c>
      <c r="D111" s="85" t="s">
        <v>180</v>
      </c>
      <c r="E111" s="85" t="s">
        <v>181</v>
      </c>
      <c r="F111" s="45" t="s">
        <v>23</v>
      </c>
      <c r="G111" s="45" t="s">
        <v>19</v>
      </c>
      <c r="H111" s="43" t="s">
        <v>36</v>
      </c>
      <c r="I111" s="43">
        <v>500.0</v>
      </c>
      <c r="J111" s="45" t="s">
        <v>25</v>
      </c>
      <c r="K111" s="55" t="b">
        <v>1</v>
      </c>
      <c r="L111" s="55" t="b">
        <v>1</v>
      </c>
      <c r="M111" s="77">
        <v>46293.0</v>
      </c>
      <c r="N111" s="82">
        <f t="shared" si="1"/>
        <v>2</v>
      </c>
      <c r="O111" s="43">
        <v>2.0</v>
      </c>
      <c r="P111" s="45" t="s">
        <v>31</v>
      </c>
      <c r="Q111" s="43"/>
    </row>
    <row r="112" ht="22.5" customHeight="1">
      <c r="A112" s="39">
        <v>46291.0</v>
      </c>
      <c r="B112" s="84">
        <v>46269.0</v>
      </c>
      <c r="C112" s="45" t="s">
        <v>27</v>
      </c>
      <c r="D112" s="85" t="s">
        <v>158</v>
      </c>
      <c r="E112" s="85" t="s">
        <v>182</v>
      </c>
      <c r="F112" s="45" t="s">
        <v>23</v>
      </c>
      <c r="G112" s="45" t="s">
        <v>9</v>
      </c>
      <c r="H112" s="43" t="s">
        <v>20</v>
      </c>
      <c r="I112" s="43">
        <v>600.0</v>
      </c>
      <c r="J112" s="45" t="s">
        <v>25</v>
      </c>
      <c r="K112" s="55" t="b">
        <v>1</v>
      </c>
      <c r="L112" s="55" t="b">
        <v>1</v>
      </c>
      <c r="M112" s="77"/>
      <c r="N112" s="82">
        <f t="shared" si="1"/>
        <v>10</v>
      </c>
      <c r="O112" s="43">
        <v>2.0</v>
      </c>
      <c r="P112" s="45" t="s">
        <v>31</v>
      </c>
      <c r="Q112" s="43"/>
    </row>
    <row r="113" ht="22.5" customHeight="1">
      <c r="A113" s="39">
        <v>46291.0</v>
      </c>
      <c r="B113" s="84">
        <v>46269.0</v>
      </c>
      <c r="C113" s="45" t="s">
        <v>27</v>
      </c>
      <c r="D113" s="85" t="s">
        <v>158</v>
      </c>
      <c r="E113" s="85" t="s">
        <v>182</v>
      </c>
      <c r="F113" s="45" t="s">
        <v>23</v>
      </c>
      <c r="G113" s="45" t="s">
        <v>9</v>
      </c>
      <c r="H113" s="43" t="s">
        <v>24</v>
      </c>
      <c r="I113" s="43">
        <v>2000.0</v>
      </c>
      <c r="J113" s="45" t="s">
        <v>25</v>
      </c>
      <c r="K113" s="55" t="b">
        <v>1</v>
      </c>
      <c r="L113" s="55" t="b">
        <v>1</v>
      </c>
      <c r="M113" s="77"/>
      <c r="N113" s="82">
        <f t="shared" si="1"/>
        <v>10</v>
      </c>
      <c r="O113" s="43">
        <v>5.0</v>
      </c>
      <c r="P113" s="45" t="s">
        <v>31</v>
      </c>
      <c r="Q113" s="43"/>
    </row>
    <row r="114" ht="22.5" customHeight="1">
      <c r="A114" s="39">
        <v>46291.0</v>
      </c>
      <c r="B114" s="84">
        <v>46269.0</v>
      </c>
      <c r="C114" s="45" t="s">
        <v>27</v>
      </c>
      <c r="D114" s="85" t="s">
        <v>158</v>
      </c>
      <c r="E114" s="85" t="s">
        <v>182</v>
      </c>
      <c r="F114" s="45" t="s">
        <v>23</v>
      </c>
      <c r="G114" s="45" t="s">
        <v>9</v>
      </c>
      <c r="H114" s="43" t="s">
        <v>24</v>
      </c>
      <c r="I114" s="43">
        <v>5.0</v>
      </c>
      <c r="J114" s="45" t="s">
        <v>21</v>
      </c>
      <c r="K114" s="55" t="b">
        <v>1</v>
      </c>
      <c r="L114" s="55" t="b">
        <v>1</v>
      </c>
      <c r="M114" s="77"/>
      <c r="N114" s="82">
        <f t="shared" si="1"/>
        <v>10</v>
      </c>
      <c r="O114" s="43">
        <v>1.0</v>
      </c>
      <c r="P114" s="45" t="s">
        <v>31</v>
      </c>
      <c r="Q114" s="43"/>
    </row>
    <row r="115" ht="22.5" customHeight="1">
      <c r="A115" s="39">
        <v>46293.0</v>
      </c>
      <c r="B115" s="43" t="s">
        <v>183</v>
      </c>
      <c r="C115" s="45" t="s">
        <v>7</v>
      </c>
      <c r="D115" s="55" t="s">
        <v>100</v>
      </c>
      <c r="E115" s="55" t="s">
        <v>100</v>
      </c>
      <c r="F115" s="45" t="s">
        <v>8</v>
      </c>
      <c r="G115" s="45" t="s">
        <v>29</v>
      </c>
      <c r="H115" s="43" t="s">
        <v>56</v>
      </c>
      <c r="I115" s="43">
        <v>50000.0</v>
      </c>
      <c r="J115" s="45" t="s">
        <v>25</v>
      </c>
      <c r="K115" s="55" t="b">
        <v>1</v>
      </c>
      <c r="L115" s="55" t="b">
        <v>1</v>
      </c>
      <c r="M115" s="77">
        <v>46294.0</v>
      </c>
      <c r="N115" s="82">
        <f t="shared" si="1"/>
        <v>1</v>
      </c>
      <c r="O115" s="43">
        <v>25.0</v>
      </c>
      <c r="P115" s="45" t="s">
        <v>31</v>
      </c>
      <c r="Q115" s="43"/>
    </row>
    <row r="116" ht="22.5" customHeight="1">
      <c r="A116" s="39">
        <v>46293.0</v>
      </c>
      <c r="B116" s="43" t="s">
        <v>183</v>
      </c>
      <c r="C116" s="45" t="s">
        <v>7</v>
      </c>
      <c r="D116" s="55" t="s">
        <v>100</v>
      </c>
      <c r="E116" s="55" t="s">
        <v>100</v>
      </c>
      <c r="F116" s="45" t="s">
        <v>8</v>
      </c>
      <c r="G116" s="45" t="s">
        <v>63</v>
      </c>
      <c r="H116" s="43" t="s">
        <v>60</v>
      </c>
      <c r="I116" s="43">
        <v>180000.0</v>
      </c>
      <c r="J116" s="45" t="s">
        <v>25</v>
      </c>
      <c r="K116" s="55" t="b">
        <v>1</v>
      </c>
      <c r="L116" s="55" t="b">
        <v>1</v>
      </c>
      <c r="M116" s="77">
        <v>46294.0</v>
      </c>
      <c r="N116" s="82">
        <f t="shared" si="1"/>
        <v>1</v>
      </c>
      <c r="O116" s="43">
        <v>18.0</v>
      </c>
      <c r="P116" s="45" t="s">
        <v>31</v>
      </c>
      <c r="Q116" s="43"/>
    </row>
    <row r="117" ht="22.5" customHeight="1">
      <c r="A117" s="39">
        <v>46293.0</v>
      </c>
      <c r="B117" s="43" t="s">
        <v>183</v>
      </c>
      <c r="C117" s="45" t="s">
        <v>7</v>
      </c>
      <c r="D117" s="55" t="s">
        <v>100</v>
      </c>
      <c r="E117" s="55" t="s">
        <v>100</v>
      </c>
      <c r="F117" s="45" t="s">
        <v>8</v>
      </c>
      <c r="G117" s="45" t="s">
        <v>50</v>
      </c>
      <c r="H117" s="43"/>
      <c r="I117" s="43">
        <v>500000.0</v>
      </c>
      <c r="J117" s="45" t="s">
        <v>25</v>
      </c>
      <c r="K117" s="55" t="b">
        <v>1</v>
      </c>
      <c r="L117" s="55" t="b">
        <v>1</v>
      </c>
      <c r="M117" s="77">
        <v>46294.0</v>
      </c>
      <c r="N117" s="82">
        <f t="shared" si="1"/>
        <v>1</v>
      </c>
      <c r="O117" s="43">
        <v>50.0</v>
      </c>
      <c r="P117" s="45" t="s">
        <v>31</v>
      </c>
      <c r="Q117" s="43"/>
    </row>
    <row r="118" ht="22.5" customHeight="1">
      <c r="A118" s="77">
        <v>46295.0</v>
      </c>
      <c r="B118" s="84">
        <v>46270.0</v>
      </c>
      <c r="C118" s="45" t="s">
        <v>27</v>
      </c>
      <c r="D118" s="85" t="s">
        <v>146</v>
      </c>
      <c r="E118" s="85" t="s">
        <v>146</v>
      </c>
      <c r="F118" s="45" t="s">
        <v>23</v>
      </c>
      <c r="G118" s="45" t="s">
        <v>19</v>
      </c>
      <c r="H118" s="43" t="s">
        <v>44</v>
      </c>
      <c r="I118" s="43">
        <v>750.0</v>
      </c>
      <c r="J118" s="45" t="s">
        <v>25</v>
      </c>
      <c r="K118" s="55" t="b">
        <v>1</v>
      </c>
      <c r="L118" s="55" t="b">
        <v>0</v>
      </c>
      <c r="M118" s="77"/>
      <c r="N118" s="82">
        <f t="shared" si="1"/>
        <v>6</v>
      </c>
      <c r="O118" s="43">
        <v>3.0</v>
      </c>
      <c r="P118" s="45" t="s">
        <v>31</v>
      </c>
      <c r="Q118" s="43"/>
    </row>
    <row r="119" ht="22.5" customHeight="1">
      <c r="A119" s="77">
        <v>46295.0</v>
      </c>
      <c r="B119" s="84">
        <v>46270.0</v>
      </c>
      <c r="C119" s="45" t="s">
        <v>27</v>
      </c>
      <c r="D119" s="85" t="s">
        <v>143</v>
      </c>
      <c r="E119" s="85" t="s">
        <v>143</v>
      </c>
      <c r="F119" s="45" t="s">
        <v>23</v>
      </c>
      <c r="G119" s="45" t="s">
        <v>19</v>
      </c>
      <c r="H119" s="43" t="s">
        <v>24</v>
      </c>
      <c r="I119" s="43">
        <v>500.0</v>
      </c>
      <c r="J119" s="45" t="s">
        <v>25</v>
      </c>
      <c r="K119" s="55" t="b">
        <v>1</v>
      </c>
      <c r="L119" s="55" t="b">
        <v>0</v>
      </c>
      <c r="M119" s="77"/>
      <c r="N119" s="82">
        <f t="shared" si="1"/>
        <v>6</v>
      </c>
      <c r="O119" s="43">
        <v>1.0</v>
      </c>
      <c r="P119" s="45" t="s">
        <v>31</v>
      </c>
      <c r="Q119" s="43"/>
    </row>
    <row r="120" ht="22.5" customHeight="1">
      <c r="A120" s="77">
        <v>46295.0</v>
      </c>
      <c r="B120" s="84">
        <v>46270.0</v>
      </c>
      <c r="C120" s="45" t="s">
        <v>27</v>
      </c>
      <c r="D120" s="85" t="s">
        <v>143</v>
      </c>
      <c r="E120" s="85" t="s">
        <v>143</v>
      </c>
      <c r="F120" s="45" t="s">
        <v>23</v>
      </c>
      <c r="G120" s="45" t="s">
        <v>19</v>
      </c>
      <c r="H120" s="43" t="s">
        <v>44</v>
      </c>
      <c r="I120" s="43">
        <v>2000.0</v>
      </c>
      <c r="J120" s="45" t="s">
        <v>25</v>
      </c>
      <c r="K120" s="55" t="b">
        <v>1</v>
      </c>
      <c r="L120" s="55" t="b">
        <v>0</v>
      </c>
      <c r="M120" s="77"/>
      <c r="N120" s="82">
        <f t="shared" si="1"/>
        <v>6</v>
      </c>
      <c r="O120" s="43">
        <v>8.0</v>
      </c>
      <c r="P120" s="45" t="s">
        <v>31</v>
      </c>
      <c r="Q120" s="43"/>
    </row>
    <row r="121" ht="22.5" customHeight="1">
      <c r="A121" s="77">
        <v>46295.0</v>
      </c>
      <c r="B121" s="84">
        <v>46270.0</v>
      </c>
      <c r="C121" s="45" t="s">
        <v>27</v>
      </c>
      <c r="D121" s="85" t="s">
        <v>143</v>
      </c>
      <c r="E121" s="85" t="s">
        <v>143</v>
      </c>
      <c r="F121" s="45" t="s">
        <v>23</v>
      </c>
      <c r="G121" s="45" t="s">
        <v>19</v>
      </c>
      <c r="H121" s="43" t="s">
        <v>48</v>
      </c>
      <c r="I121" s="43">
        <v>500.0</v>
      </c>
      <c r="J121" s="45" t="s">
        <v>25</v>
      </c>
      <c r="K121" s="55" t="b">
        <v>1</v>
      </c>
      <c r="L121" s="55" t="b">
        <v>0</v>
      </c>
      <c r="M121" s="77"/>
      <c r="N121" s="82">
        <f t="shared" si="1"/>
        <v>6</v>
      </c>
      <c r="O121" s="43">
        <v>2.0</v>
      </c>
      <c r="P121" s="45" t="s">
        <v>31</v>
      </c>
      <c r="Q121" s="43"/>
    </row>
    <row r="122" ht="22.5" customHeight="1">
      <c r="A122" s="77">
        <v>46295.0</v>
      </c>
      <c r="B122" s="84">
        <v>46270.0</v>
      </c>
      <c r="C122" s="45" t="s">
        <v>27</v>
      </c>
      <c r="D122" s="85" t="s">
        <v>143</v>
      </c>
      <c r="E122" s="85" t="s">
        <v>143</v>
      </c>
      <c r="F122" s="45" t="s">
        <v>23</v>
      </c>
      <c r="G122" s="45" t="s">
        <v>19</v>
      </c>
      <c r="H122" s="43" t="s">
        <v>51</v>
      </c>
      <c r="I122" s="43">
        <v>500.0</v>
      </c>
      <c r="J122" s="45" t="s">
        <v>25</v>
      </c>
      <c r="K122" s="55" t="b">
        <v>1</v>
      </c>
      <c r="L122" s="55" t="b">
        <v>0</v>
      </c>
      <c r="M122" s="77"/>
      <c r="N122" s="82">
        <f t="shared" si="1"/>
        <v>6</v>
      </c>
      <c r="O122" s="43">
        <v>3.0</v>
      </c>
      <c r="P122" s="45" t="s">
        <v>31</v>
      </c>
      <c r="Q122" s="43"/>
    </row>
    <row r="123" ht="22.5" customHeight="1">
      <c r="A123" s="77">
        <v>46295.0</v>
      </c>
      <c r="B123" s="84">
        <v>46270.0</v>
      </c>
      <c r="C123" s="45" t="s">
        <v>27</v>
      </c>
      <c r="D123" s="85" t="s">
        <v>143</v>
      </c>
      <c r="E123" s="85" t="s">
        <v>143</v>
      </c>
      <c r="F123" s="45" t="s">
        <v>23</v>
      </c>
      <c r="G123" s="45" t="s">
        <v>19</v>
      </c>
      <c r="H123" s="43" t="s">
        <v>20</v>
      </c>
      <c r="I123" s="43">
        <v>500.0</v>
      </c>
      <c r="J123" s="45" t="s">
        <v>25</v>
      </c>
      <c r="K123" s="55" t="b">
        <v>1</v>
      </c>
      <c r="L123" s="55" t="b">
        <v>0</v>
      </c>
      <c r="M123" s="77"/>
      <c r="N123" s="82">
        <f t="shared" si="1"/>
        <v>6</v>
      </c>
      <c r="O123" s="43">
        <v>1.0</v>
      </c>
      <c r="P123" s="45" t="s">
        <v>31</v>
      </c>
      <c r="Q123" s="43"/>
    </row>
    <row r="124" ht="22.5" customHeight="1">
      <c r="A124" s="77">
        <v>46295.0</v>
      </c>
      <c r="B124" s="84">
        <v>46270.0</v>
      </c>
      <c r="C124" s="45" t="s">
        <v>27</v>
      </c>
      <c r="D124" s="85" t="s">
        <v>87</v>
      </c>
      <c r="E124" s="85" t="s">
        <v>96</v>
      </c>
      <c r="F124" s="45" t="s">
        <v>23</v>
      </c>
      <c r="G124" s="45" t="s">
        <v>9</v>
      </c>
      <c r="H124" s="43" t="s">
        <v>20</v>
      </c>
      <c r="I124" s="43">
        <v>4000.0</v>
      </c>
      <c r="J124" s="45" t="s">
        <v>25</v>
      </c>
      <c r="K124" s="55" t="b">
        <v>1</v>
      </c>
      <c r="L124" s="55" t="b">
        <v>1</v>
      </c>
      <c r="M124" s="77">
        <v>46300.0</v>
      </c>
      <c r="N124" s="82">
        <f t="shared" si="1"/>
        <v>5</v>
      </c>
      <c r="O124" s="43">
        <v>10.0</v>
      </c>
      <c r="P124" s="45" t="s">
        <v>138</v>
      </c>
      <c r="Q124" s="43"/>
    </row>
    <row r="125" ht="22.5" customHeight="1">
      <c r="A125" s="77">
        <v>46295.0</v>
      </c>
      <c r="B125" s="84">
        <v>46270.0</v>
      </c>
      <c r="C125" s="45" t="s">
        <v>27</v>
      </c>
      <c r="D125" s="85" t="s">
        <v>87</v>
      </c>
      <c r="E125" s="85" t="s">
        <v>96</v>
      </c>
      <c r="F125" s="45" t="s">
        <v>23</v>
      </c>
      <c r="G125" s="45" t="s">
        <v>9</v>
      </c>
      <c r="H125" s="43" t="s">
        <v>24</v>
      </c>
      <c r="I125" s="43">
        <v>9960.0</v>
      </c>
      <c r="J125" s="45" t="s">
        <v>25</v>
      </c>
      <c r="K125" s="55" t="b">
        <v>1</v>
      </c>
      <c r="L125" s="55" t="b">
        <v>1</v>
      </c>
      <c r="M125" s="77">
        <v>46296.0</v>
      </c>
      <c r="N125" s="82">
        <f t="shared" si="1"/>
        <v>1</v>
      </c>
      <c r="O125" s="43">
        <v>20.0</v>
      </c>
      <c r="P125" s="45" t="s">
        <v>31</v>
      </c>
      <c r="Q125" s="43"/>
    </row>
    <row r="126" ht="22.5" customHeight="1">
      <c r="A126" s="77">
        <v>46295.0</v>
      </c>
      <c r="B126" s="84">
        <v>46270.0</v>
      </c>
      <c r="C126" s="45" t="s">
        <v>27</v>
      </c>
      <c r="D126" s="85" t="s">
        <v>87</v>
      </c>
      <c r="E126" s="85" t="s">
        <v>96</v>
      </c>
      <c r="F126" s="45" t="s">
        <v>23</v>
      </c>
      <c r="G126" s="45" t="s">
        <v>9</v>
      </c>
      <c r="H126" s="43" t="s">
        <v>44</v>
      </c>
      <c r="I126" s="43">
        <v>2000.0</v>
      </c>
      <c r="J126" s="45" t="s">
        <v>25</v>
      </c>
      <c r="K126" s="55" t="b">
        <v>1</v>
      </c>
      <c r="L126" s="55" t="b">
        <v>1</v>
      </c>
      <c r="M126" s="77">
        <v>46298.0</v>
      </c>
      <c r="N126" s="82">
        <f t="shared" si="1"/>
        <v>3</v>
      </c>
      <c r="O126" s="43">
        <v>8.0</v>
      </c>
      <c r="P126" s="45" t="s">
        <v>31</v>
      </c>
      <c r="Q126" s="43"/>
    </row>
    <row r="127" ht="22.5" customHeight="1">
      <c r="A127" s="77">
        <v>46296.0</v>
      </c>
      <c r="B127" s="84">
        <v>46296.0</v>
      </c>
      <c r="C127" s="45" t="s">
        <v>61</v>
      </c>
      <c r="D127" s="55" t="s">
        <v>100</v>
      </c>
      <c r="E127" s="55" t="s">
        <v>100</v>
      </c>
      <c r="F127" s="45" t="s">
        <v>8</v>
      </c>
      <c r="G127" s="45" t="s">
        <v>47</v>
      </c>
      <c r="H127" s="43" t="s">
        <v>56</v>
      </c>
      <c r="I127" s="43">
        <v>100000.0</v>
      </c>
      <c r="J127" s="45" t="s">
        <v>25</v>
      </c>
      <c r="K127" s="55" t="b">
        <v>1</v>
      </c>
      <c r="L127" s="55" t="b">
        <v>1</v>
      </c>
      <c r="M127" s="77">
        <v>46300.0</v>
      </c>
      <c r="N127" s="82">
        <f t="shared" si="1"/>
        <v>4</v>
      </c>
      <c r="O127" s="43">
        <v>8.0</v>
      </c>
      <c r="P127" s="45" t="s">
        <v>31</v>
      </c>
      <c r="Q127" s="43"/>
    </row>
  </sheetData>
  <conditionalFormatting sqref="N2:N203">
    <cfRule type="cellIs" dxfId="6" priority="1" operator="greaterThanOrEqual">
      <formula>5</formula>
    </cfRule>
  </conditionalFormatting>
  <dataValidations>
    <dataValidation type="list" allowBlank="1" sqref="H2:H127">
      <formula1>#REF!</formula1>
    </dataValidation>
    <dataValidation type="custom" allowBlank="1" showDropDown="1" sqref="A2:A127">
      <formula1>OR(NOT(ISERROR(DATEVALUE(A2))), AND(ISNUMBER(A2), LEFT(CELL("format", A2))="D"))</formula1>
    </dataValidation>
    <dataValidation type="list" allowBlank="1" sqref="G2:G127">
      <formula1>#REF!</formula1>
    </dataValidation>
    <dataValidation type="list" allowBlank="1" sqref="F2:F127">
      <formula1>#REF!</formula1>
    </dataValidation>
    <dataValidation type="list" allowBlank="1" sqref="C2:C127">
      <formula1>#REF!</formula1>
    </dataValidation>
    <dataValidation type="list" allowBlank="1" sqref="J2:J127">
      <formula1>#REF!</formula1>
    </dataValidation>
    <dataValidation type="list" allowBlank="1" sqref="P2:P127">
      <formula1>"Bags,Bins"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43"/>
    <col customWidth="1" min="3" max="3" width="17.29"/>
    <col customWidth="1" min="4" max="4" width="14.0"/>
    <col customWidth="1" min="5" max="5" width="17.43"/>
    <col customWidth="1" min="9" max="10" width="15.57"/>
    <col customWidth="1" min="14" max="17" width="11.57"/>
    <col customWidth="1" min="18" max="18" width="8.71"/>
    <col customWidth="1" min="19" max="19" width="33.86"/>
  </cols>
  <sheetData>
    <row r="1">
      <c r="A1" s="20"/>
      <c r="B1" s="20" t="s">
        <v>62</v>
      </c>
    </row>
    <row r="2">
      <c r="A2" s="21"/>
      <c r="B2" s="22"/>
      <c r="C2" s="22"/>
      <c r="D2" s="24"/>
      <c r="E2" s="22"/>
      <c r="F2" s="22"/>
      <c r="G2" s="22"/>
      <c r="H2" s="22"/>
      <c r="I2" s="26"/>
      <c r="J2" s="22"/>
      <c r="K2" s="27"/>
      <c r="L2" s="27"/>
      <c r="M2" s="27"/>
      <c r="N2" s="27"/>
      <c r="O2" s="27"/>
      <c r="P2" s="27"/>
      <c r="Q2" s="22"/>
      <c r="R2" s="22"/>
      <c r="S2" s="22"/>
    </row>
    <row r="3" ht="72.0" customHeight="1">
      <c r="A3" s="29" t="s">
        <v>70</v>
      </c>
      <c r="B3" s="30" t="s">
        <v>71</v>
      </c>
      <c r="C3" s="30" t="s">
        <v>73</v>
      </c>
      <c r="D3" s="30" t="s">
        <v>74</v>
      </c>
      <c r="E3" s="30" t="s">
        <v>2</v>
      </c>
      <c r="F3" s="30" t="s">
        <v>69</v>
      </c>
      <c r="G3" s="33" t="s">
        <v>4</v>
      </c>
      <c r="H3" s="34" t="s">
        <v>5</v>
      </c>
      <c r="I3" s="36" t="s">
        <v>14</v>
      </c>
      <c r="J3" s="32" t="s">
        <v>15</v>
      </c>
      <c r="K3" s="38" t="s">
        <v>82</v>
      </c>
      <c r="L3" s="38" t="s">
        <v>83</v>
      </c>
      <c r="M3" s="38" t="s">
        <v>85</v>
      </c>
      <c r="N3" s="42" t="s">
        <v>86</v>
      </c>
      <c r="O3" s="42" t="s">
        <v>88</v>
      </c>
      <c r="P3" s="42" t="s">
        <v>90</v>
      </c>
      <c r="Q3" s="34" t="s">
        <v>91</v>
      </c>
      <c r="R3" s="33" t="s">
        <v>92</v>
      </c>
      <c r="S3" s="30" t="s">
        <v>93</v>
      </c>
    </row>
    <row r="4" ht="22.5" customHeight="1">
      <c r="A4" s="39">
        <v>46263.0</v>
      </c>
      <c r="B4" s="39">
        <v>46263.0</v>
      </c>
      <c r="C4" s="41" t="s">
        <v>22</v>
      </c>
      <c r="D4" s="46" t="s">
        <v>95</v>
      </c>
      <c r="E4" s="45" t="s">
        <v>18</v>
      </c>
      <c r="F4" s="46" t="s">
        <v>96</v>
      </c>
      <c r="G4" s="41" t="s">
        <v>18</v>
      </c>
      <c r="H4" s="47" t="s">
        <v>65</v>
      </c>
      <c r="I4" s="49">
        <v>309.0</v>
      </c>
      <c r="J4" s="41" t="s">
        <v>13</v>
      </c>
      <c r="K4" s="40">
        <v>30.0</v>
      </c>
      <c r="L4" s="40">
        <v>30.0</v>
      </c>
      <c r="M4" s="53">
        <f t="shared" ref="M4:M41" si="1">K4-L4</f>
        <v>0</v>
      </c>
      <c r="N4" s="54" t="s">
        <v>97</v>
      </c>
      <c r="O4" s="54" t="s">
        <v>98</v>
      </c>
      <c r="P4" s="54" t="s">
        <v>98</v>
      </c>
      <c r="Q4" s="53" t="str">
        <f t="shared" ref="Q4:Q41" si="2">IF(M4=0,"PASS","FAIL")</f>
        <v>PASS</v>
      </c>
      <c r="R4" s="56">
        <f t="shared" ref="R4:R41" si="3">AVERAGE(IF(L4=K4,1,0),IF(N4="PASS",1,0),IF(O4="PASS",1,0),IF(P4="PASS",1,0))</f>
        <v>0.5</v>
      </c>
      <c r="S4" s="40" t="s">
        <v>101</v>
      </c>
    </row>
    <row r="5" ht="22.5" customHeight="1">
      <c r="A5" s="39">
        <v>46265.0</v>
      </c>
      <c r="B5" s="39">
        <v>46267.0</v>
      </c>
      <c r="C5" s="41" t="s">
        <v>7</v>
      </c>
      <c r="D5" s="58">
        <v>46239.0</v>
      </c>
      <c r="E5" s="45" t="s">
        <v>8</v>
      </c>
      <c r="F5" s="46" t="s">
        <v>100</v>
      </c>
      <c r="G5" s="41" t="s">
        <v>55</v>
      </c>
      <c r="H5" s="47" t="s">
        <v>60</v>
      </c>
      <c r="I5" s="49">
        <v>38000.0</v>
      </c>
      <c r="J5" s="41" t="s">
        <v>25</v>
      </c>
      <c r="K5" s="40">
        <v>50.0</v>
      </c>
      <c r="L5" s="40">
        <v>40.0</v>
      </c>
      <c r="M5" s="53">
        <f t="shared" si="1"/>
        <v>10</v>
      </c>
      <c r="N5" s="54" t="s">
        <v>97</v>
      </c>
      <c r="O5" s="54" t="s">
        <v>97</v>
      </c>
      <c r="P5" s="54" t="s">
        <v>98</v>
      </c>
      <c r="Q5" s="53" t="str">
        <f t="shared" si="2"/>
        <v>FAIL</v>
      </c>
      <c r="R5" s="56">
        <f t="shared" si="3"/>
        <v>0.5</v>
      </c>
      <c r="S5" s="40" t="s">
        <v>102</v>
      </c>
    </row>
    <row r="6" ht="22.5" customHeight="1">
      <c r="A6" s="39">
        <v>46265.0</v>
      </c>
      <c r="B6" s="39">
        <v>46267.0</v>
      </c>
      <c r="C6" s="41" t="s">
        <v>7</v>
      </c>
      <c r="D6" s="58">
        <v>46239.0</v>
      </c>
      <c r="E6" s="45" t="s">
        <v>8</v>
      </c>
      <c r="F6" s="46" t="s">
        <v>100</v>
      </c>
      <c r="G6" s="41" t="s">
        <v>55</v>
      </c>
      <c r="H6" s="47" t="s">
        <v>56</v>
      </c>
      <c r="I6" s="49">
        <v>134000.0</v>
      </c>
      <c r="J6" s="41" t="s">
        <v>25</v>
      </c>
      <c r="K6" s="40">
        <v>50.0</v>
      </c>
      <c r="L6" s="40">
        <v>50.0</v>
      </c>
      <c r="M6" s="53">
        <f t="shared" si="1"/>
        <v>0</v>
      </c>
      <c r="N6" s="54" t="s">
        <v>97</v>
      </c>
      <c r="O6" s="54" t="s">
        <v>97</v>
      </c>
      <c r="P6" s="54" t="s">
        <v>97</v>
      </c>
      <c r="Q6" s="53" t="str">
        <f t="shared" si="2"/>
        <v>PASS</v>
      </c>
      <c r="R6" s="56">
        <f t="shared" si="3"/>
        <v>1</v>
      </c>
      <c r="S6" s="40" t="s">
        <v>104</v>
      </c>
    </row>
    <row r="7" ht="22.5" customHeight="1">
      <c r="A7" s="39">
        <v>46265.0</v>
      </c>
      <c r="B7" s="39">
        <v>46267.0</v>
      </c>
      <c r="C7" s="41" t="s">
        <v>49</v>
      </c>
      <c r="D7" s="58">
        <v>46239.0</v>
      </c>
      <c r="E7" s="45" t="s">
        <v>33</v>
      </c>
      <c r="F7" s="46" t="s">
        <v>100</v>
      </c>
      <c r="G7" s="41" t="s">
        <v>33</v>
      </c>
      <c r="H7" s="47"/>
      <c r="I7" s="49">
        <v>250000.0</v>
      </c>
      <c r="J7" s="41" t="s">
        <v>25</v>
      </c>
      <c r="K7" s="40">
        <v>50.0</v>
      </c>
      <c r="L7" s="40">
        <v>30.0</v>
      </c>
      <c r="M7" s="53">
        <f t="shared" si="1"/>
        <v>20</v>
      </c>
      <c r="N7" s="54"/>
      <c r="O7" s="54"/>
      <c r="P7" s="54"/>
      <c r="Q7" s="53" t="str">
        <f t="shared" si="2"/>
        <v>FAIL</v>
      </c>
      <c r="R7" s="56">
        <f t="shared" si="3"/>
        <v>0</v>
      </c>
      <c r="S7" s="40" t="s">
        <v>105</v>
      </c>
    </row>
    <row r="8" ht="22.5" customHeight="1">
      <c r="A8" s="39">
        <v>46265.0</v>
      </c>
      <c r="B8" s="39">
        <v>46267.0</v>
      </c>
      <c r="C8" s="41" t="s">
        <v>16</v>
      </c>
      <c r="D8" s="46" t="s">
        <v>106</v>
      </c>
      <c r="E8" s="45" t="s">
        <v>18</v>
      </c>
      <c r="F8" s="46" t="s">
        <v>107</v>
      </c>
      <c r="G8" s="41" t="s">
        <v>18</v>
      </c>
      <c r="H8" s="47" t="s">
        <v>108</v>
      </c>
      <c r="I8" s="49"/>
      <c r="J8" s="59"/>
      <c r="K8" s="40"/>
      <c r="L8" s="40"/>
      <c r="M8" s="53">
        <f t="shared" si="1"/>
        <v>0</v>
      </c>
      <c r="N8" s="54" t="s">
        <v>98</v>
      </c>
      <c r="O8" s="54" t="s">
        <v>97</v>
      </c>
      <c r="P8" s="54" t="s">
        <v>97</v>
      </c>
      <c r="Q8" s="53" t="str">
        <f t="shared" si="2"/>
        <v>PASS</v>
      </c>
      <c r="R8" s="56">
        <f t="shared" si="3"/>
        <v>0.75</v>
      </c>
      <c r="S8" s="40" t="s">
        <v>109</v>
      </c>
    </row>
    <row r="9" ht="22.5" customHeight="1">
      <c r="A9" s="39">
        <v>46273.0</v>
      </c>
      <c r="B9" s="39">
        <v>46277.0</v>
      </c>
      <c r="C9" s="41" t="s">
        <v>49</v>
      </c>
      <c r="D9" s="69">
        <v>46267.0</v>
      </c>
      <c r="E9" s="45" t="s">
        <v>33</v>
      </c>
      <c r="F9" s="46" t="s">
        <v>100</v>
      </c>
      <c r="G9" s="41" t="s">
        <v>33</v>
      </c>
      <c r="H9" s="47"/>
      <c r="I9" s="49">
        <v>750000.0</v>
      </c>
      <c r="J9" s="41" t="s">
        <v>25</v>
      </c>
      <c r="K9" s="40">
        <v>80.0</v>
      </c>
      <c r="L9" s="40">
        <v>50.0</v>
      </c>
      <c r="M9" s="53">
        <f t="shared" si="1"/>
        <v>30</v>
      </c>
      <c r="N9" s="54"/>
      <c r="O9" s="54"/>
      <c r="P9" s="54"/>
      <c r="Q9" s="53" t="str">
        <f t="shared" si="2"/>
        <v>FAIL</v>
      </c>
      <c r="R9" s="56">
        <f t="shared" si="3"/>
        <v>0</v>
      </c>
      <c r="S9" s="40" t="s">
        <v>105</v>
      </c>
    </row>
    <row r="10" ht="22.5" customHeight="1">
      <c r="A10" s="39">
        <v>46275.0</v>
      </c>
      <c r="B10" s="39">
        <v>46275.0</v>
      </c>
      <c r="C10" s="41" t="s">
        <v>61</v>
      </c>
      <c r="D10" s="58">
        <v>46267.0</v>
      </c>
      <c r="E10" s="45" t="s">
        <v>8</v>
      </c>
      <c r="F10" s="46" t="s">
        <v>100</v>
      </c>
      <c r="G10" s="41" t="s">
        <v>47</v>
      </c>
      <c r="H10" s="40" t="s">
        <v>56</v>
      </c>
      <c r="I10" s="49">
        <v>100000.0</v>
      </c>
      <c r="J10" s="41" t="s">
        <v>25</v>
      </c>
      <c r="K10" s="40">
        <v>20.0</v>
      </c>
      <c r="L10" s="40">
        <v>20.0</v>
      </c>
      <c r="M10" s="53">
        <f t="shared" si="1"/>
        <v>0</v>
      </c>
      <c r="N10" s="54" t="s">
        <v>97</v>
      </c>
      <c r="O10" s="54" t="s">
        <v>97</v>
      </c>
      <c r="P10" s="54" t="s">
        <v>97</v>
      </c>
      <c r="Q10" s="53" t="str">
        <f t="shared" si="2"/>
        <v>PASS</v>
      </c>
      <c r="R10" s="56">
        <f t="shared" si="3"/>
        <v>1</v>
      </c>
      <c r="S10" s="40"/>
    </row>
    <row r="11" ht="22.5" customHeight="1">
      <c r="A11" s="39">
        <v>46276.0</v>
      </c>
      <c r="B11" s="39">
        <v>46277.0</v>
      </c>
      <c r="C11" s="41" t="s">
        <v>7</v>
      </c>
      <c r="D11" s="58">
        <v>46268.0</v>
      </c>
      <c r="E11" s="45" t="s">
        <v>8</v>
      </c>
      <c r="F11" s="46" t="s">
        <v>100</v>
      </c>
      <c r="G11" s="41" t="s">
        <v>35</v>
      </c>
      <c r="H11" s="40" t="s">
        <v>56</v>
      </c>
      <c r="I11" s="49">
        <v>98000.0</v>
      </c>
      <c r="J11" s="41" t="s">
        <v>25</v>
      </c>
      <c r="K11" s="40">
        <v>50.0</v>
      </c>
      <c r="L11" s="40">
        <v>50.0</v>
      </c>
      <c r="M11" s="53">
        <f t="shared" si="1"/>
        <v>0</v>
      </c>
      <c r="N11" s="54" t="s">
        <v>97</v>
      </c>
      <c r="O11" s="54" t="s">
        <v>98</v>
      </c>
      <c r="P11" s="54" t="s">
        <v>97</v>
      </c>
      <c r="Q11" s="53" t="str">
        <f t="shared" si="2"/>
        <v>PASS</v>
      </c>
      <c r="R11" s="56">
        <f t="shared" si="3"/>
        <v>0.75</v>
      </c>
      <c r="S11" s="40" t="s">
        <v>112</v>
      </c>
    </row>
    <row r="12" ht="22.5" customHeight="1">
      <c r="A12" s="39">
        <v>46276.0</v>
      </c>
      <c r="B12" s="39">
        <v>46277.0</v>
      </c>
      <c r="C12" s="41" t="s">
        <v>7</v>
      </c>
      <c r="D12" s="58">
        <v>46268.0</v>
      </c>
      <c r="E12" s="45" t="s">
        <v>8</v>
      </c>
      <c r="F12" s="46" t="s">
        <v>100</v>
      </c>
      <c r="G12" s="41" t="s">
        <v>29</v>
      </c>
      <c r="H12" s="47" t="s">
        <v>56</v>
      </c>
      <c r="I12" s="49">
        <v>78000.0</v>
      </c>
      <c r="J12" s="41" t="s">
        <v>25</v>
      </c>
      <c r="K12" s="40">
        <v>50.0</v>
      </c>
      <c r="L12" s="40">
        <v>50.0</v>
      </c>
      <c r="M12" s="53">
        <f t="shared" si="1"/>
        <v>0</v>
      </c>
      <c r="N12" s="54" t="s">
        <v>97</v>
      </c>
      <c r="O12" s="54" t="s">
        <v>98</v>
      </c>
      <c r="P12" s="54" t="s">
        <v>97</v>
      </c>
      <c r="Q12" s="53" t="str">
        <f t="shared" si="2"/>
        <v>PASS</v>
      </c>
      <c r="R12" s="56">
        <f t="shared" si="3"/>
        <v>0.75</v>
      </c>
      <c r="S12" s="40" t="s">
        <v>112</v>
      </c>
    </row>
    <row r="13" ht="22.5" customHeight="1">
      <c r="A13" s="39">
        <v>46276.0</v>
      </c>
      <c r="B13" s="39">
        <v>46277.0</v>
      </c>
      <c r="C13" s="41" t="s">
        <v>7</v>
      </c>
      <c r="D13" s="58">
        <v>46268.0</v>
      </c>
      <c r="E13" s="45" t="s">
        <v>8</v>
      </c>
      <c r="F13" s="46" t="s">
        <v>100</v>
      </c>
      <c r="G13" s="41" t="s">
        <v>50</v>
      </c>
      <c r="H13" s="47" t="s">
        <v>56</v>
      </c>
      <c r="I13" s="49">
        <v>370000.0</v>
      </c>
      <c r="J13" s="41" t="s">
        <v>25</v>
      </c>
      <c r="K13" s="40">
        <v>100.0</v>
      </c>
      <c r="L13" s="40">
        <v>50.0</v>
      </c>
      <c r="M13" s="53">
        <f t="shared" si="1"/>
        <v>50</v>
      </c>
      <c r="N13" s="54" t="s">
        <v>98</v>
      </c>
      <c r="O13" s="54" t="s">
        <v>97</v>
      </c>
      <c r="P13" s="54" t="s">
        <v>98</v>
      </c>
      <c r="Q13" s="53" t="str">
        <f t="shared" si="2"/>
        <v>FAIL</v>
      </c>
      <c r="R13" s="56">
        <f t="shared" si="3"/>
        <v>0.25</v>
      </c>
      <c r="S13" s="40" t="s">
        <v>115</v>
      </c>
    </row>
    <row r="14" ht="22.5" customHeight="1">
      <c r="A14" s="39">
        <v>46276.0</v>
      </c>
      <c r="B14" s="39">
        <v>46277.0</v>
      </c>
      <c r="C14" s="41" t="s">
        <v>7</v>
      </c>
      <c r="D14" s="58">
        <v>46268.0</v>
      </c>
      <c r="E14" s="45" t="s">
        <v>8</v>
      </c>
      <c r="F14" s="46" t="s">
        <v>100</v>
      </c>
      <c r="G14" s="41" t="s">
        <v>47</v>
      </c>
      <c r="H14" s="47" t="s">
        <v>56</v>
      </c>
      <c r="I14" s="49">
        <v>60000.0</v>
      </c>
      <c r="J14" s="41" t="s">
        <v>25</v>
      </c>
      <c r="K14" s="40">
        <v>50.0</v>
      </c>
      <c r="L14" s="40">
        <v>30.0</v>
      </c>
      <c r="M14" s="53">
        <f t="shared" si="1"/>
        <v>20</v>
      </c>
      <c r="N14" s="54" t="s">
        <v>97</v>
      </c>
      <c r="O14" s="54" t="s">
        <v>97</v>
      </c>
      <c r="P14" s="54" t="s">
        <v>98</v>
      </c>
      <c r="Q14" s="53" t="str">
        <f t="shared" si="2"/>
        <v>FAIL</v>
      </c>
      <c r="R14" s="56">
        <f t="shared" si="3"/>
        <v>0.5</v>
      </c>
      <c r="S14" s="40" t="s">
        <v>118</v>
      </c>
    </row>
    <row r="15" ht="22.5" customHeight="1">
      <c r="A15" s="39">
        <v>46276.0</v>
      </c>
      <c r="B15" s="39">
        <v>46277.0</v>
      </c>
      <c r="C15" s="41" t="s">
        <v>7</v>
      </c>
      <c r="D15" s="58">
        <v>46268.0</v>
      </c>
      <c r="E15" s="45" t="s">
        <v>8</v>
      </c>
      <c r="F15" s="46" t="s">
        <v>100</v>
      </c>
      <c r="G15" s="41" t="s">
        <v>43</v>
      </c>
      <c r="H15" s="47" t="s">
        <v>56</v>
      </c>
      <c r="I15" s="49">
        <v>87000.0</v>
      </c>
      <c r="J15" s="41" t="s">
        <v>25</v>
      </c>
      <c r="K15" s="40">
        <v>50.0</v>
      </c>
      <c r="L15" s="40">
        <v>50.0</v>
      </c>
      <c r="M15" s="53">
        <f t="shared" si="1"/>
        <v>0</v>
      </c>
      <c r="N15" s="54" t="s">
        <v>97</v>
      </c>
      <c r="O15" s="54" t="s">
        <v>97</v>
      </c>
      <c r="P15" s="54" t="s">
        <v>97</v>
      </c>
      <c r="Q15" s="53" t="str">
        <f t="shared" si="2"/>
        <v>PASS</v>
      </c>
      <c r="R15" s="56">
        <f t="shared" si="3"/>
        <v>1</v>
      </c>
      <c r="S15" s="40" t="s">
        <v>120</v>
      </c>
    </row>
    <row r="16" ht="22.5" customHeight="1">
      <c r="A16" s="39">
        <v>46276.0</v>
      </c>
      <c r="B16" s="39">
        <v>46277.0</v>
      </c>
      <c r="C16" s="41" t="s">
        <v>7</v>
      </c>
      <c r="D16" s="58">
        <v>46268.0</v>
      </c>
      <c r="E16" s="45" t="s">
        <v>8</v>
      </c>
      <c r="F16" s="46" t="s">
        <v>100</v>
      </c>
      <c r="G16" s="41" t="s">
        <v>58</v>
      </c>
      <c r="H16" s="47" t="s">
        <v>60</v>
      </c>
      <c r="I16" s="49">
        <v>57000.0</v>
      </c>
      <c r="J16" s="41" t="s">
        <v>25</v>
      </c>
      <c r="K16" s="40">
        <v>50.0</v>
      </c>
      <c r="L16" s="40">
        <v>50.0</v>
      </c>
      <c r="M16" s="53">
        <f t="shared" si="1"/>
        <v>0</v>
      </c>
      <c r="N16" s="54" t="s">
        <v>97</v>
      </c>
      <c r="O16" s="54" t="s">
        <v>98</v>
      </c>
      <c r="P16" s="54" t="s">
        <v>97</v>
      </c>
      <c r="Q16" s="53" t="str">
        <f t="shared" si="2"/>
        <v>PASS</v>
      </c>
      <c r="R16" s="56">
        <f t="shared" si="3"/>
        <v>0.75</v>
      </c>
      <c r="S16" s="40" t="s">
        <v>120</v>
      </c>
    </row>
    <row r="17" ht="22.5" customHeight="1">
      <c r="A17" s="39">
        <v>46283.0</v>
      </c>
      <c r="B17" s="39">
        <v>46284.0</v>
      </c>
      <c r="C17" s="41" t="s">
        <v>54</v>
      </c>
      <c r="D17" s="58">
        <v>46268.0</v>
      </c>
      <c r="E17" s="41" t="s">
        <v>46</v>
      </c>
      <c r="F17" s="46" t="s">
        <v>107</v>
      </c>
      <c r="G17" s="41" t="s">
        <v>46</v>
      </c>
      <c r="H17" s="40" t="s">
        <v>125</v>
      </c>
      <c r="I17" s="49">
        <v>21000.0</v>
      </c>
      <c r="J17" s="41" t="s">
        <v>25</v>
      </c>
      <c r="M17" s="53">
        <f t="shared" si="1"/>
        <v>0</v>
      </c>
      <c r="N17" s="54" t="s">
        <v>97</v>
      </c>
      <c r="O17" s="54" t="s">
        <v>97</v>
      </c>
      <c r="P17" s="54" t="s">
        <v>97</v>
      </c>
      <c r="Q17" s="53" t="str">
        <f t="shared" si="2"/>
        <v>PASS</v>
      </c>
      <c r="R17" s="56">
        <f t="shared" si="3"/>
        <v>1</v>
      </c>
    </row>
    <row r="18" ht="22.5" customHeight="1">
      <c r="A18" s="39">
        <v>46284.0</v>
      </c>
      <c r="B18" s="39">
        <v>46287.0</v>
      </c>
      <c r="C18" s="41" t="s">
        <v>54</v>
      </c>
      <c r="D18" s="58">
        <v>46269.0</v>
      </c>
      <c r="E18" s="41" t="s">
        <v>46</v>
      </c>
      <c r="F18" s="55" t="s">
        <v>126</v>
      </c>
      <c r="G18" s="41" t="s">
        <v>46</v>
      </c>
      <c r="H18" s="43" t="s">
        <v>127</v>
      </c>
      <c r="I18" s="73">
        <v>4656.0</v>
      </c>
      <c r="J18" s="45" t="s">
        <v>25</v>
      </c>
      <c r="K18" s="43">
        <v>4656.0</v>
      </c>
      <c r="L18" s="43">
        <v>4656.0</v>
      </c>
      <c r="M18" s="74">
        <f t="shared" si="1"/>
        <v>0</v>
      </c>
      <c r="N18" s="75" t="s">
        <v>97</v>
      </c>
      <c r="O18" s="75" t="s">
        <v>97</v>
      </c>
      <c r="P18" s="75" t="s">
        <v>97</v>
      </c>
      <c r="Q18" s="53" t="str">
        <f t="shared" si="2"/>
        <v>PASS</v>
      </c>
      <c r="R18" s="56">
        <f t="shared" si="3"/>
        <v>1</v>
      </c>
      <c r="S18" s="74"/>
    </row>
    <row r="19" ht="22.5" customHeight="1">
      <c r="A19" s="39">
        <v>46289.0</v>
      </c>
      <c r="B19" s="39">
        <v>46291.0</v>
      </c>
      <c r="C19" s="41" t="s">
        <v>61</v>
      </c>
      <c r="D19" s="58">
        <v>46269.0</v>
      </c>
      <c r="E19" s="41" t="s">
        <v>8</v>
      </c>
      <c r="F19" s="46" t="s">
        <v>100</v>
      </c>
      <c r="G19" s="41" t="s">
        <v>47</v>
      </c>
      <c r="H19" s="60" t="s">
        <v>56</v>
      </c>
      <c r="I19" s="73">
        <v>50000.0</v>
      </c>
      <c r="J19" s="45" t="s">
        <v>25</v>
      </c>
      <c r="K19" s="43">
        <v>100.0</v>
      </c>
      <c r="L19" s="43">
        <v>100.0</v>
      </c>
      <c r="M19" s="74">
        <f t="shared" si="1"/>
        <v>0</v>
      </c>
      <c r="N19" s="75" t="s">
        <v>97</v>
      </c>
      <c r="O19" s="75" t="s">
        <v>97</v>
      </c>
      <c r="P19" s="75" t="s">
        <v>97</v>
      </c>
      <c r="Q19" s="53" t="str">
        <f t="shared" si="2"/>
        <v>PASS</v>
      </c>
      <c r="R19" s="76">
        <f t="shared" si="3"/>
        <v>1</v>
      </c>
      <c r="S19" s="74"/>
    </row>
    <row r="20" ht="22.5" customHeight="1">
      <c r="A20" s="77">
        <f>IFERROR('Inward Register'!A106,"")</f>
        <v>46291</v>
      </c>
      <c r="B20" s="77">
        <f>IFERROR('Inward Register'!M106,"")</f>
        <v>46293</v>
      </c>
      <c r="C20" s="45" t="str">
        <f>IFERROR('Inward Register'!C106,"")</f>
        <v>Enflow2</v>
      </c>
      <c r="D20" s="77">
        <f>IFERROR('Inward Register'!B106,"")</f>
        <v>46269</v>
      </c>
      <c r="E20" s="78" t="str">
        <f>IFERROR('Inward Register'!F106,"")</f>
        <v>Pipe</v>
      </c>
      <c r="F20" s="79" t="str">
        <f>IFERROR('Inward Register'!E106,"")</f>
        <v>Ceraflo</v>
      </c>
      <c r="G20" s="78" t="str">
        <f>IFERROR('Inward Register'!G106,"")</f>
        <v>Non-Braded 13mm</v>
      </c>
      <c r="H20" s="60" t="str">
        <f>IFERROR('Inward Register'!H106,"")</f>
        <v>18 inch</v>
      </c>
      <c r="I20" s="73">
        <f>IFERROR('Inward Register'!I106,"")</f>
        <v>200</v>
      </c>
      <c r="J20" s="78" t="str">
        <f>IFERROR('Inward Register'!J106,"")</f>
        <v>Pcs</v>
      </c>
      <c r="K20" s="43"/>
      <c r="L20" s="43"/>
      <c r="M20" s="74">
        <f t="shared" si="1"/>
        <v>0</v>
      </c>
      <c r="N20" s="75"/>
      <c r="O20" s="75"/>
      <c r="P20" s="75"/>
      <c r="Q20" s="74" t="str">
        <f t="shared" si="2"/>
        <v>PASS</v>
      </c>
      <c r="R20" s="80">
        <f t="shared" si="3"/>
        <v>0.25</v>
      </c>
      <c r="S20" s="74"/>
    </row>
    <row r="21" ht="22.5" customHeight="1">
      <c r="A21" s="77">
        <f>IFERROR('Inward Register'!A107,"")</f>
        <v>46291</v>
      </c>
      <c r="B21" s="77">
        <f>IFERROR('Inward Register'!M107,"")</f>
        <v>46293</v>
      </c>
      <c r="C21" s="45" t="str">
        <f>IFERROR('Inward Register'!C107,"")</f>
        <v>Enflow2</v>
      </c>
      <c r="D21" s="77">
        <f>IFERROR('Inward Register'!B107,"")</f>
        <v>46269</v>
      </c>
      <c r="E21" s="78" t="str">
        <f>IFERROR('Inward Register'!F107,"")</f>
        <v>Pipe</v>
      </c>
      <c r="F21" s="79" t="str">
        <f>IFERROR('Inward Register'!E107,"")</f>
        <v>Ceraflo</v>
      </c>
      <c r="G21" s="78" t="str">
        <f>IFERROR('Inward Register'!G107,"")</f>
        <v>Non-Braded 13mm</v>
      </c>
      <c r="H21" s="60" t="str">
        <f>IFERROR('Inward Register'!H107,"")</f>
        <v>24 inch</v>
      </c>
      <c r="I21" s="73">
        <f>IFERROR('Inward Register'!I107,"")</f>
        <v>1500</v>
      </c>
      <c r="J21" s="78" t="str">
        <f>IFERROR('Inward Register'!J107,"")</f>
        <v>Pcs</v>
      </c>
      <c r="K21" s="43"/>
      <c r="L21" s="43"/>
      <c r="M21" s="74">
        <f t="shared" si="1"/>
        <v>0</v>
      </c>
      <c r="N21" s="75"/>
      <c r="O21" s="75"/>
      <c r="P21" s="75"/>
      <c r="Q21" s="74" t="str">
        <f t="shared" si="2"/>
        <v>PASS</v>
      </c>
      <c r="R21" s="80">
        <f t="shared" si="3"/>
        <v>0.25</v>
      </c>
      <c r="S21" s="74"/>
    </row>
    <row r="22" ht="22.5" customHeight="1">
      <c r="A22" s="77">
        <f>IFERROR('Inward Register'!A108,"")</f>
        <v>46291</v>
      </c>
      <c r="B22" s="77">
        <f>IFERROR('Inward Register'!M108,"")</f>
        <v>46293</v>
      </c>
      <c r="C22" s="45" t="str">
        <f>IFERROR('Inward Register'!C108,"")</f>
        <v>Enflow2</v>
      </c>
      <c r="D22" s="77">
        <f>IFERROR('Inward Register'!B108,"")</f>
        <v>46269</v>
      </c>
      <c r="E22" s="78" t="str">
        <f>IFERROR('Inward Register'!F108,"")</f>
        <v>Pipe</v>
      </c>
      <c r="F22" s="79" t="str">
        <f>IFERROR('Inward Register'!E108,"")</f>
        <v>Ceraflo</v>
      </c>
      <c r="G22" s="78" t="str">
        <f>IFERROR('Inward Register'!G108,"")</f>
        <v>Non-Braded 13mm</v>
      </c>
      <c r="H22" s="60" t="str">
        <f>IFERROR('Inward Register'!H108,"")</f>
        <v>1mtr</v>
      </c>
      <c r="I22" s="73">
        <f>IFERROR('Inward Register'!I108,"")</f>
        <v>315</v>
      </c>
      <c r="J22" s="78" t="str">
        <f>IFERROR('Inward Register'!J108,"")</f>
        <v>Pcs</v>
      </c>
      <c r="K22" s="43"/>
      <c r="L22" s="43"/>
      <c r="M22" s="74">
        <f t="shared" si="1"/>
        <v>0</v>
      </c>
      <c r="N22" s="75"/>
      <c r="O22" s="75"/>
      <c r="P22" s="75"/>
      <c r="Q22" s="74" t="str">
        <f t="shared" si="2"/>
        <v>PASS</v>
      </c>
      <c r="R22" s="80">
        <f t="shared" si="3"/>
        <v>0.25</v>
      </c>
      <c r="S22" s="74"/>
    </row>
    <row r="23" ht="22.5" customHeight="1">
      <c r="A23" s="77">
        <f>IFERROR('Inward Register'!A109,"")</f>
        <v>46291</v>
      </c>
      <c r="B23" s="77">
        <f>IFERROR('Inward Register'!M109,"")</f>
        <v>46291</v>
      </c>
      <c r="C23" s="45" t="str">
        <f>IFERROR('Inward Register'!C109,"")</f>
        <v>Enflow2</v>
      </c>
      <c r="D23" s="77">
        <f>IFERROR('Inward Register'!B109,"")</f>
        <v>46269</v>
      </c>
      <c r="E23" s="78" t="str">
        <f>IFERROR('Inward Register'!F109,"")</f>
        <v>Pipe</v>
      </c>
      <c r="F23" s="79" t="str">
        <f>IFERROR('Inward Register'!E109,"")</f>
        <v>CS</v>
      </c>
      <c r="G23" s="78" t="str">
        <f>IFERROR('Inward Register'!G109,"")</f>
        <v>Non-Braded 13mm</v>
      </c>
      <c r="H23" s="60" t="str">
        <f>IFERROR('Inward Register'!H109,"")</f>
        <v>24 inch</v>
      </c>
      <c r="I23" s="73">
        <f>IFERROR('Inward Register'!I109,"")</f>
        <v>7100</v>
      </c>
      <c r="J23" s="78" t="str">
        <f>IFERROR('Inward Register'!J109,"")</f>
        <v>Pcs</v>
      </c>
      <c r="K23" s="43"/>
      <c r="L23" s="43"/>
      <c r="M23" s="74">
        <f t="shared" si="1"/>
        <v>0</v>
      </c>
      <c r="N23" s="75"/>
      <c r="O23" s="75"/>
      <c r="P23" s="75"/>
      <c r="Q23" s="74" t="str">
        <f t="shared" si="2"/>
        <v>PASS</v>
      </c>
      <c r="R23" s="80">
        <f t="shared" si="3"/>
        <v>0.25</v>
      </c>
      <c r="S23" s="74"/>
    </row>
    <row r="24" ht="22.5" customHeight="1">
      <c r="A24" s="77">
        <f>IFERROR('Inward Register'!A110,"")</f>
        <v>46291</v>
      </c>
      <c r="B24" s="77">
        <f>IFERROR('Inward Register'!M110,"")</f>
        <v>46293</v>
      </c>
      <c r="C24" s="45" t="str">
        <f>IFERROR('Inward Register'!C110,"")</f>
        <v>Enflow2</v>
      </c>
      <c r="D24" s="77">
        <f>IFERROR('Inward Register'!B110,"")</f>
        <v>46269</v>
      </c>
      <c r="E24" s="78" t="str">
        <f>IFERROR('Inward Register'!F110,"")</f>
        <v>Pipe</v>
      </c>
      <c r="F24" s="79" t="str">
        <f>IFERROR('Inward Register'!E110,"")</f>
        <v>Futura</v>
      </c>
      <c r="G24" s="78" t="str">
        <f>IFERROR('Inward Register'!G110,"")</f>
        <v>Non-Braded 13mm</v>
      </c>
      <c r="H24" s="60" t="str">
        <f>IFERROR('Inward Register'!H110,"")</f>
        <v>18 inch</v>
      </c>
      <c r="I24" s="73">
        <f>IFERROR('Inward Register'!I110,"")</f>
        <v>3188</v>
      </c>
      <c r="J24" s="78" t="str">
        <f>IFERROR('Inward Register'!J110,"")</f>
        <v>Pcs</v>
      </c>
      <c r="K24" s="43"/>
      <c r="L24" s="43"/>
      <c r="M24" s="74">
        <f t="shared" si="1"/>
        <v>0</v>
      </c>
      <c r="N24" s="75"/>
      <c r="O24" s="75"/>
      <c r="P24" s="75"/>
      <c r="Q24" s="74" t="str">
        <f t="shared" si="2"/>
        <v>PASS</v>
      </c>
      <c r="R24" s="80">
        <f t="shared" si="3"/>
        <v>0.25</v>
      </c>
      <c r="S24" s="74"/>
    </row>
    <row r="25" ht="22.5" customHeight="1">
      <c r="A25" s="77">
        <f>IFERROR('Inward Register'!A111,"")</f>
        <v>46291</v>
      </c>
      <c r="B25" s="77">
        <f>IFERROR('Inward Register'!M111,"")</f>
        <v>46293</v>
      </c>
      <c r="C25" s="45" t="str">
        <f>IFERROR('Inward Register'!C111,"")</f>
        <v>Enflow2</v>
      </c>
      <c r="D25" s="77">
        <f>IFERROR('Inward Register'!B111,"")</f>
        <v>46269</v>
      </c>
      <c r="E25" s="78" t="str">
        <f>IFERROR('Inward Register'!F111,"")</f>
        <v>Pipe</v>
      </c>
      <c r="F25" s="79" t="str">
        <f>IFERROR('Inward Register'!E111,"")</f>
        <v>Futura</v>
      </c>
      <c r="G25" s="78" t="str">
        <f>IFERROR('Inward Register'!G111,"")</f>
        <v>Non-Braded 13mm</v>
      </c>
      <c r="H25" s="60" t="str">
        <f>IFERROR('Inward Register'!H111,"")</f>
        <v>36 inch</v>
      </c>
      <c r="I25" s="73">
        <f>IFERROR('Inward Register'!I111,"")</f>
        <v>500</v>
      </c>
      <c r="J25" s="78" t="str">
        <f>IFERROR('Inward Register'!J111,"")</f>
        <v>Pcs</v>
      </c>
      <c r="K25" s="43"/>
      <c r="L25" s="43"/>
      <c r="M25" s="74">
        <f t="shared" si="1"/>
        <v>0</v>
      </c>
      <c r="N25" s="75"/>
      <c r="O25" s="75"/>
      <c r="P25" s="75"/>
      <c r="Q25" s="74" t="str">
        <f t="shared" si="2"/>
        <v>PASS</v>
      </c>
      <c r="R25" s="80">
        <f t="shared" si="3"/>
        <v>0.25</v>
      </c>
      <c r="S25" s="74"/>
    </row>
    <row r="26" ht="22.5" customHeight="1">
      <c r="A26" s="77">
        <f>IFERROR('Inward Register'!A112,"")</f>
        <v>46291</v>
      </c>
      <c r="B26" s="77" t="str">
        <f>IFERROR('Inward Register'!M112,"")</f>
        <v/>
      </c>
      <c r="C26" s="45" t="str">
        <f>IFERROR('Inward Register'!C112,"")</f>
        <v>Enflow2</v>
      </c>
      <c r="D26" s="77">
        <f>IFERROR('Inward Register'!B112,"")</f>
        <v>46269</v>
      </c>
      <c r="E26" s="78" t="str">
        <f>IFERROR('Inward Register'!F112,"")</f>
        <v>Pipe</v>
      </c>
      <c r="F26" s="79" t="str">
        <f>IFERROR('Inward Register'!E112,"")</f>
        <v>Paras flow </v>
      </c>
      <c r="G26" s="78" t="str">
        <f>IFERROR('Inward Register'!G112,"")</f>
        <v>Braded 13.5mm</v>
      </c>
      <c r="H26" s="60" t="str">
        <f>IFERROR('Inward Register'!H112,"")</f>
        <v>18 inch</v>
      </c>
      <c r="I26" s="73">
        <f>IFERROR('Inward Register'!I112,"")</f>
        <v>600</v>
      </c>
      <c r="J26" s="78" t="str">
        <f>IFERROR('Inward Register'!J112,"")</f>
        <v>Pcs</v>
      </c>
      <c r="K26" s="43"/>
      <c r="L26" s="43"/>
      <c r="M26" s="74">
        <f t="shared" si="1"/>
        <v>0</v>
      </c>
      <c r="N26" s="75"/>
      <c r="O26" s="75"/>
      <c r="P26" s="75"/>
      <c r="Q26" s="74" t="str">
        <f t="shared" si="2"/>
        <v>PASS</v>
      </c>
      <c r="R26" s="80">
        <f t="shared" si="3"/>
        <v>0.25</v>
      </c>
      <c r="S26" s="74"/>
    </row>
    <row r="27" ht="22.5" customHeight="1">
      <c r="A27" s="77">
        <f>IFERROR('Inward Register'!A113,"")</f>
        <v>46291</v>
      </c>
      <c r="B27" s="77" t="str">
        <f>IFERROR('Inward Register'!M113,"")</f>
        <v/>
      </c>
      <c r="C27" s="45" t="str">
        <f>IFERROR('Inward Register'!C113,"")</f>
        <v>Enflow2</v>
      </c>
      <c r="D27" s="77">
        <f>IFERROR('Inward Register'!B113,"")</f>
        <v>46269</v>
      </c>
      <c r="E27" s="78" t="str">
        <f>IFERROR('Inward Register'!F113,"")</f>
        <v>Pipe</v>
      </c>
      <c r="F27" s="79" t="str">
        <f>IFERROR('Inward Register'!E113,"")</f>
        <v>Paras flow </v>
      </c>
      <c r="G27" s="78" t="str">
        <f>IFERROR('Inward Register'!G113,"")</f>
        <v>Braded 13.5mm</v>
      </c>
      <c r="H27" s="60" t="str">
        <f>IFERROR('Inward Register'!H113,"")</f>
        <v>24 inch</v>
      </c>
      <c r="I27" s="73">
        <f>IFERROR('Inward Register'!I113,"")</f>
        <v>2000</v>
      </c>
      <c r="J27" s="78" t="str">
        <f>IFERROR('Inward Register'!J113,"")</f>
        <v>Pcs</v>
      </c>
      <c r="K27" s="43"/>
      <c r="L27" s="43"/>
      <c r="M27" s="74">
        <f t="shared" si="1"/>
        <v>0</v>
      </c>
      <c r="N27" s="75"/>
      <c r="O27" s="75"/>
      <c r="P27" s="75"/>
      <c r="Q27" s="74" t="str">
        <f t="shared" si="2"/>
        <v>PASS</v>
      </c>
      <c r="R27" s="80">
        <f t="shared" si="3"/>
        <v>0.25</v>
      </c>
      <c r="S27" s="74"/>
    </row>
    <row r="28" ht="22.5" customHeight="1">
      <c r="A28" s="77">
        <f>IFERROR('Inward Register'!A114,"")</f>
        <v>46291</v>
      </c>
      <c r="B28" s="77" t="str">
        <f>IFERROR('Inward Register'!M114,"")</f>
        <v/>
      </c>
      <c r="C28" s="45" t="str">
        <f>IFERROR('Inward Register'!C114,"")</f>
        <v>Enflow2</v>
      </c>
      <c r="D28" s="77">
        <f>IFERROR('Inward Register'!B114,"")</f>
        <v>46269</v>
      </c>
      <c r="E28" s="78" t="str">
        <f>IFERROR('Inward Register'!F114,"")</f>
        <v>Pipe</v>
      </c>
      <c r="F28" s="79" t="str">
        <f>IFERROR('Inward Register'!E114,"")</f>
        <v>Paras flow </v>
      </c>
      <c r="G28" s="78" t="str">
        <f>IFERROR('Inward Register'!G114,"")</f>
        <v>Braded 13.5mm</v>
      </c>
      <c r="H28" s="60" t="str">
        <f>IFERROR('Inward Register'!H114,"")</f>
        <v>24 inch</v>
      </c>
      <c r="I28" s="73">
        <f>IFERROR('Inward Register'!I114,"")</f>
        <v>5</v>
      </c>
      <c r="J28" s="78" t="str">
        <f>IFERROR('Inward Register'!J114,"")</f>
        <v>Rolls</v>
      </c>
      <c r="K28" s="43"/>
      <c r="L28" s="43"/>
      <c r="M28" s="74">
        <f t="shared" si="1"/>
        <v>0</v>
      </c>
      <c r="N28" s="75"/>
      <c r="O28" s="75"/>
      <c r="P28" s="75"/>
      <c r="Q28" s="74" t="str">
        <f t="shared" si="2"/>
        <v>PASS</v>
      </c>
      <c r="R28" s="80">
        <f t="shared" si="3"/>
        <v>0.25</v>
      </c>
      <c r="S28" s="74"/>
    </row>
    <row r="29" ht="22.5" customHeight="1">
      <c r="A29" s="77">
        <f>IFERROR('Inward Register'!A115,"")</f>
        <v>46293</v>
      </c>
      <c r="B29" s="77">
        <f>IFERROR('Inward Register'!M115,"")</f>
        <v>46294</v>
      </c>
      <c r="C29" s="45" t="str">
        <f>IFERROR('Inward Register'!C115,"")</f>
        <v>5M Moulding and Technologies</v>
      </c>
      <c r="D29" s="77" t="str">
        <f>IFERROR('Inward Register'!B115,"")</f>
        <v>5M-CM/0619/26-27</v>
      </c>
      <c r="E29" s="78" t="str">
        <f>IFERROR('Inward Register'!F115,"")</f>
        <v>Nutset</v>
      </c>
      <c r="F29" s="79" t="str">
        <f>IFERROR('Inward Register'!E115,"")</f>
        <v>-</v>
      </c>
      <c r="G29" s="78" t="str">
        <f>IFERROR('Inward Register'!G115,"")</f>
        <v>L-Round nut</v>
      </c>
      <c r="H29" s="60" t="str">
        <f>IFERROR('Inward Register'!H115,"")</f>
        <v>13mm</v>
      </c>
      <c r="I29" s="73">
        <f>IFERROR('Inward Register'!I115,"")</f>
        <v>50000</v>
      </c>
      <c r="J29" s="78" t="str">
        <f>IFERROR('Inward Register'!J115,"")</f>
        <v>Pcs</v>
      </c>
      <c r="K29" s="43">
        <v>50.0</v>
      </c>
      <c r="L29" s="43">
        <v>50.0</v>
      </c>
      <c r="M29" s="74">
        <f t="shared" si="1"/>
        <v>0</v>
      </c>
      <c r="N29" s="75" t="s">
        <v>97</v>
      </c>
      <c r="O29" s="75" t="s">
        <v>97</v>
      </c>
      <c r="P29" s="75" t="s">
        <v>97</v>
      </c>
      <c r="Q29" s="74" t="str">
        <f t="shared" si="2"/>
        <v>PASS</v>
      </c>
      <c r="R29" s="80">
        <f t="shared" si="3"/>
        <v>1</v>
      </c>
      <c r="S29" s="74"/>
    </row>
    <row r="30" ht="22.5" customHeight="1">
      <c r="A30" s="77">
        <f>IFERROR('Inward Register'!A116,"")</f>
        <v>46293</v>
      </c>
      <c r="B30" s="77">
        <f>IFERROR('Inward Register'!M116,"")</f>
        <v>46294</v>
      </c>
      <c r="C30" s="45" t="str">
        <f>IFERROR('Inward Register'!C116,"")</f>
        <v>5M Moulding and Technologies</v>
      </c>
      <c r="D30" s="77" t="str">
        <f>IFERROR('Inward Register'!B116,"")</f>
        <v>5M-CM/0619/26-27</v>
      </c>
      <c r="E30" s="78" t="str">
        <f>IFERROR('Inward Register'!F116,"")</f>
        <v>Nutset</v>
      </c>
      <c r="F30" s="79" t="str">
        <f>IFERROR('Inward Register'!E116,"")</f>
        <v>-</v>
      </c>
      <c r="G30" s="78" t="str">
        <f>IFERROR('Inward Register'!G116,"")</f>
        <v>M-Cap</v>
      </c>
      <c r="H30" s="60" t="str">
        <f>IFERROR('Inward Register'!H116,"")</f>
        <v>13.5mm</v>
      </c>
      <c r="I30" s="73">
        <f>IFERROR('Inward Register'!I116,"")</f>
        <v>180000</v>
      </c>
      <c r="J30" s="78" t="str">
        <f>IFERROR('Inward Register'!J116,"")</f>
        <v>Pcs</v>
      </c>
      <c r="K30" s="43">
        <v>50.0</v>
      </c>
      <c r="L30" s="43">
        <v>50.0</v>
      </c>
      <c r="M30" s="74">
        <f t="shared" si="1"/>
        <v>0</v>
      </c>
      <c r="N30" s="75" t="s">
        <v>97</v>
      </c>
      <c r="O30" s="75" t="s">
        <v>97</v>
      </c>
      <c r="P30" s="75" t="s">
        <v>97</v>
      </c>
      <c r="Q30" s="74" t="str">
        <f t="shared" si="2"/>
        <v>PASS</v>
      </c>
      <c r="R30" s="80">
        <f t="shared" si="3"/>
        <v>1</v>
      </c>
      <c r="S30" s="74"/>
    </row>
    <row r="31" ht="22.5" customHeight="1">
      <c r="A31" s="77">
        <f>IFERROR('Inward Register'!A117,"")</f>
        <v>46293</v>
      </c>
      <c r="B31" s="77">
        <f>IFERROR('Inward Register'!M117,"")</f>
        <v>46294</v>
      </c>
      <c r="C31" s="45" t="str">
        <f>IFERROR('Inward Register'!C117,"")</f>
        <v>5M Moulding and Technologies</v>
      </c>
      <c r="D31" s="77" t="str">
        <f>IFERROR('Inward Register'!B117,"")</f>
        <v>5M-CM/0619/26-27</v>
      </c>
      <c r="E31" s="78" t="str">
        <f>IFERROR('Inward Register'!F117,"")</f>
        <v>Nutset</v>
      </c>
      <c r="F31" s="79" t="str">
        <f>IFERROR('Inward Register'!E117,"")</f>
        <v>-</v>
      </c>
      <c r="G31" s="78" t="str">
        <f>IFERROR('Inward Register'!G117,"")</f>
        <v>Inner</v>
      </c>
      <c r="H31" s="60" t="str">
        <f>IFERROR('Inward Register'!H117,"")</f>
        <v/>
      </c>
      <c r="I31" s="73">
        <f>IFERROR('Inward Register'!I117,"")</f>
        <v>500000</v>
      </c>
      <c r="J31" s="78" t="str">
        <f>IFERROR('Inward Register'!J117,"")</f>
        <v>Pcs</v>
      </c>
      <c r="K31" s="43">
        <v>43.0</v>
      </c>
      <c r="L31" s="43">
        <v>42.0</v>
      </c>
      <c r="M31" s="74">
        <f t="shared" si="1"/>
        <v>1</v>
      </c>
      <c r="N31" s="75" t="s">
        <v>98</v>
      </c>
      <c r="O31" s="75" t="s">
        <v>97</v>
      </c>
      <c r="P31" s="75" t="s">
        <v>97</v>
      </c>
      <c r="Q31" s="74" t="str">
        <f t="shared" si="2"/>
        <v>FAIL</v>
      </c>
      <c r="R31" s="80">
        <f t="shared" si="3"/>
        <v>0.5</v>
      </c>
      <c r="S31" s="74"/>
    </row>
    <row r="32" ht="22.5" customHeight="1">
      <c r="A32" s="77">
        <f>IFERROR('Inward Register'!A118,"")</f>
        <v>46295</v>
      </c>
      <c r="B32" s="77" t="str">
        <f>IFERROR('Inward Register'!M118,"")</f>
        <v/>
      </c>
      <c r="C32" s="45" t="str">
        <f>IFERROR('Inward Register'!C118,"")</f>
        <v>Enflow2</v>
      </c>
      <c r="D32" s="77">
        <f>IFERROR('Inward Register'!B118,"")</f>
        <v>46270</v>
      </c>
      <c r="E32" s="78" t="str">
        <f>IFERROR('Inward Register'!F118,"")</f>
        <v>Pipe</v>
      </c>
      <c r="F32" s="79" t="str">
        <f>IFERROR('Inward Register'!E118,"")</f>
        <v>CS</v>
      </c>
      <c r="G32" s="78" t="str">
        <f>IFERROR('Inward Register'!G118,"")</f>
        <v>Non-Braded 13mm</v>
      </c>
      <c r="H32" s="60" t="str">
        <f>IFERROR('Inward Register'!H118,"")</f>
        <v>1mtr</v>
      </c>
      <c r="I32" s="73">
        <f>IFERROR('Inward Register'!I118,"")</f>
        <v>750</v>
      </c>
      <c r="J32" s="78" t="str">
        <f>IFERROR('Inward Register'!J118,"")</f>
        <v>Pcs</v>
      </c>
      <c r="K32" s="43"/>
      <c r="L32" s="43"/>
      <c r="M32" s="74">
        <f t="shared" si="1"/>
        <v>0</v>
      </c>
      <c r="N32" s="75"/>
      <c r="O32" s="75"/>
      <c r="P32" s="75"/>
      <c r="Q32" s="74" t="str">
        <f t="shared" si="2"/>
        <v>PASS</v>
      </c>
      <c r="R32" s="80">
        <f t="shared" si="3"/>
        <v>0.25</v>
      </c>
      <c r="S32" s="74"/>
    </row>
    <row r="33" ht="22.5" customHeight="1">
      <c r="A33" s="77">
        <f>IFERROR('Inward Register'!A119,"")</f>
        <v>46295</v>
      </c>
      <c r="B33" s="77" t="str">
        <f>IFERROR('Inward Register'!M119,"")</f>
        <v/>
      </c>
      <c r="C33" s="45" t="str">
        <f>IFERROR('Inward Register'!C119,"")</f>
        <v>Enflow2</v>
      </c>
      <c r="D33" s="77">
        <f>IFERROR('Inward Register'!B119,"")</f>
        <v>46270</v>
      </c>
      <c r="E33" s="78" t="str">
        <f>IFERROR('Inward Register'!F119,"")</f>
        <v>Pipe</v>
      </c>
      <c r="F33" s="79" t="str">
        <f>IFERROR('Inward Register'!E119,"")</f>
        <v>Enflow</v>
      </c>
      <c r="G33" s="78" t="str">
        <f>IFERROR('Inward Register'!G119,"")</f>
        <v>Non-Braded 13mm</v>
      </c>
      <c r="H33" s="60" t="str">
        <f>IFERROR('Inward Register'!H119,"")</f>
        <v>24 inch</v>
      </c>
      <c r="I33" s="73">
        <f>IFERROR('Inward Register'!I119,"")</f>
        <v>500</v>
      </c>
      <c r="J33" s="78" t="str">
        <f>IFERROR('Inward Register'!J119,"")</f>
        <v>Pcs</v>
      </c>
      <c r="K33" s="43"/>
      <c r="L33" s="43"/>
      <c r="M33" s="74">
        <f t="shared" si="1"/>
        <v>0</v>
      </c>
      <c r="N33" s="75"/>
      <c r="O33" s="75"/>
      <c r="P33" s="75"/>
      <c r="Q33" s="74" t="str">
        <f t="shared" si="2"/>
        <v>PASS</v>
      </c>
      <c r="R33" s="80">
        <f t="shared" si="3"/>
        <v>0.25</v>
      </c>
      <c r="S33" s="74"/>
    </row>
    <row r="34" ht="22.5" customHeight="1">
      <c r="A34" s="77">
        <f>IFERROR('Inward Register'!A120,"")</f>
        <v>46295</v>
      </c>
      <c r="B34" s="77" t="str">
        <f>IFERROR('Inward Register'!M120,"")</f>
        <v/>
      </c>
      <c r="C34" s="45" t="str">
        <f>IFERROR('Inward Register'!C120,"")</f>
        <v>Enflow2</v>
      </c>
      <c r="D34" s="77">
        <f>IFERROR('Inward Register'!B120,"")</f>
        <v>46270</v>
      </c>
      <c r="E34" s="78" t="str">
        <f>IFERROR('Inward Register'!F120,"")</f>
        <v>Pipe</v>
      </c>
      <c r="F34" s="79" t="str">
        <f>IFERROR('Inward Register'!E120,"")</f>
        <v>Enflow</v>
      </c>
      <c r="G34" s="78" t="str">
        <f>IFERROR('Inward Register'!G120,"")</f>
        <v>Non-Braded 13mm</v>
      </c>
      <c r="H34" s="60" t="str">
        <f>IFERROR('Inward Register'!H120,"")</f>
        <v>1mtr</v>
      </c>
      <c r="I34" s="73">
        <f>IFERROR('Inward Register'!I120,"")</f>
        <v>2000</v>
      </c>
      <c r="J34" s="78" t="str">
        <f>IFERROR('Inward Register'!J120,"")</f>
        <v>Pcs</v>
      </c>
      <c r="K34" s="43"/>
      <c r="L34" s="43"/>
      <c r="M34" s="74">
        <f t="shared" si="1"/>
        <v>0</v>
      </c>
      <c r="N34" s="75"/>
      <c r="O34" s="75"/>
      <c r="P34" s="75"/>
      <c r="Q34" s="74" t="str">
        <f t="shared" si="2"/>
        <v>PASS</v>
      </c>
      <c r="R34" s="80">
        <f t="shared" si="3"/>
        <v>0.25</v>
      </c>
      <c r="S34" s="74"/>
    </row>
    <row r="35" ht="22.5" customHeight="1">
      <c r="A35" s="77">
        <f>IFERROR('Inward Register'!A121,"")</f>
        <v>46295</v>
      </c>
      <c r="B35" s="77" t="str">
        <f>IFERROR('Inward Register'!M121,"")</f>
        <v/>
      </c>
      <c r="C35" s="45" t="str">
        <f>IFERROR('Inward Register'!C121,"")</f>
        <v>Enflow2</v>
      </c>
      <c r="D35" s="77">
        <f>IFERROR('Inward Register'!B121,"")</f>
        <v>46270</v>
      </c>
      <c r="E35" s="78" t="str">
        <f>IFERROR('Inward Register'!F121,"")</f>
        <v>Pipe</v>
      </c>
      <c r="F35" s="79" t="str">
        <f>IFERROR('Inward Register'!E121,"")</f>
        <v>Enflow</v>
      </c>
      <c r="G35" s="78" t="str">
        <f>IFERROR('Inward Register'!G121,"")</f>
        <v>Non-Braded 13mm</v>
      </c>
      <c r="H35" s="60" t="str">
        <f>IFERROR('Inward Register'!H121,"")</f>
        <v>1.5mtr</v>
      </c>
      <c r="I35" s="73">
        <f>IFERROR('Inward Register'!I121,"")</f>
        <v>500</v>
      </c>
      <c r="J35" s="78" t="str">
        <f>IFERROR('Inward Register'!J121,"")</f>
        <v>Pcs</v>
      </c>
      <c r="K35" s="43"/>
      <c r="L35" s="43"/>
      <c r="M35" s="74">
        <f t="shared" si="1"/>
        <v>0</v>
      </c>
      <c r="N35" s="75"/>
      <c r="O35" s="75"/>
      <c r="P35" s="75"/>
      <c r="Q35" s="74" t="str">
        <f t="shared" si="2"/>
        <v>PASS</v>
      </c>
      <c r="R35" s="80">
        <f t="shared" si="3"/>
        <v>0.25</v>
      </c>
      <c r="S35" s="74"/>
    </row>
    <row r="36" ht="22.5" customHeight="1">
      <c r="A36" s="77">
        <f>IFERROR('Inward Register'!A122,"")</f>
        <v>46295</v>
      </c>
      <c r="B36" s="77" t="str">
        <f>IFERROR('Inward Register'!M122,"")</f>
        <v/>
      </c>
      <c r="C36" s="45" t="str">
        <f>IFERROR('Inward Register'!C122,"")</f>
        <v>Enflow2</v>
      </c>
      <c r="D36" s="77">
        <f>IFERROR('Inward Register'!B122,"")</f>
        <v>46270</v>
      </c>
      <c r="E36" s="78" t="str">
        <f>IFERROR('Inward Register'!F122,"")</f>
        <v>Pipe</v>
      </c>
      <c r="F36" s="79" t="str">
        <f>IFERROR('Inward Register'!E122,"")</f>
        <v>Enflow</v>
      </c>
      <c r="G36" s="78" t="str">
        <f>IFERROR('Inward Register'!G122,"")</f>
        <v>Non-Braded 13mm</v>
      </c>
      <c r="H36" s="60" t="str">
        <f>IFERROR('Inward Register'!H122,"")</f>
        <v>2mtr</v>
      </c>
      <c r="I36" s="73">
        <f>IFERROR('Inward Register'!I122,"")</f>
        <v>500</v>
      </c>
      <c r="J36" s="78" t="str">
        <f>IFERROR('Inward Register'!J122,"")</f>
        <v>Pcs</v>
      </c>
      <c r="K36" s="43"/>
      <c r="L36" s="43"/>
      <c r="M36" s="74">
        <f t="shared" si="1"/>
        <v>0</v>
      </c>
      <c r="N36" s="75"/>
      <c r="O36" s="75"/>
      <c r="P36" s="75"/>
      <c r="Q36" s="74" t="str">
        <f t="shared" si="2"/>
        <v>PASS</v>
      </c>
      <c r="R36" s="80">
        <f t="shared" si="3"/>
        <v>0.25</v>
      </c>
      <c r="S36" s="74"/>
    </row>
    <row r="37" ht="22.5" customHeight="1">
      <c r="A37" s="77">
        <f>IFERROR('Inward Register'!A123,"")</f>
        <v>46295</v>
      </c>
      <c r="B37" s="77" t="str">
        <f>IFERROR('Inward Register'!M123,"")</f>
        <v/>
      </c>
      <c r="C37" s="45" t="str">
        <f>IFERROR('Inward Register'!C123,"")</f>
        <v>Enflow2</v>
      </c>
      <c r="D37" s="77">
        <f>IFERROR('Inward Register'!B123,"")</f>
        <v>46270</v>
      </c>
      <c r="E37" s="78" t="str">
        <f>IFERROR('Inward Register'!F123,"")</f>
        <v>Pipe</v>
      </c>
      <c r="F37" s="79" t="str">
        <f>IFERROR('Inward Register'!E123,"")</f>
        <v>Enflow</v>
      </c>
      <c r="G37" s="78" t="str">
        <f>IFERROR('Inward Register'!G123,"")</f>
        <v>Non-Braded 13mm</v>
      </c>
      <c r="H37" s="60" t="str">
        <f>IFERROR('Inward Register'!H123,"")</f>
        <v>18 inch</v>
      </c>
      <c r="I37" s="73">
        <f>IFERROR('Inward Register'!I123,"")</f>
        <v>500</v>
      </c>
      <c r="J37" s="78" t="str">
        <f>IFERROR('Inward Register'!J123,"")</f>
        <v>Pcs</v>
      </c>
      <c r="K37" s="43"/>
      <c r="L37" s="43"/>
      <c r="M37" s="74">
        <f t="shared" si="1"/>
        <v>0</v>
      </c>
      <c r="N37" s="75"/>
      <c r="O37" s="75"/>
      <c r="P37" s="75"/>
      <c r="Q37" s="74" t="str">
        <f t="shared" si="2"/>
        <v>PASS</v>
      </c>
      <c r="R37" s="80">
        <f t="shared" si="3"/>
        <v>0.25</v>
      </c>
      <c r="S37" s="74"/>
    </row>
    <row r="38" ht="22.5" customHeight="1">
      <c r="A38" s="77">
        <f>IFERROR('Inward Register'!A124,"")</f>
        <v>46295</v>
      </c>
      <c r="B38" s="77">
        <f>IFERROR('Inward Register'!M124,"")</f>
        <v>46300</v>
      </c>
      <c r="C38" s="45" t="str">
        <f>IFERROR('Inward Register'!C124,"")</f>
        <v>Enflow2</v>
      </c>
      <c r="D38" s="77">
        <f>IFERROR('Inward Register'!B124,"")</f>
        <v>46270</v>
      </c>
      <c r="E38" s="78" t="str">
        <f>IFERROR('Inward Register'!F124,"")</f>
        <v>Pipe</v>
      </c>
      <c r="F38" s="79" t="str">
        <f>IFERROR('Inward Register'!E124,"")</f>
        <v>Waterflo</v>
      </c>
      <c r="G38" s="78" t="str">
        <f>IFERROR('Inward Register'!G124,"")</f>
        <v>Braded 13.5mm</v>
      </c>
      <c r="H38" s="60" t="str">
        <f>IFERROR('Inward Register'!H124,"")</f>
        <v>18 inch</v>
      </c>
      <c r="I38" s="73">
        <f>IFERROR('Inward Register'!I124,"")</f>
        <v>4000</v>
      </c>
      <c r="J38" s="78" t="str">
        <f>IFERROR('Inward Register'!J124,"")</f>
        <v>Pcs</v>
      </c>
      <c r="K38" s="43">
        <v>40.0</v>
      </c>
      <c r="L38" s="43">
        <v>35.0</v>
      </c>
      <c r="M38" s="74">
        <f t="shared" si="1"/>
        <v>5</v>
      </c>
      <c r="N38" s="75" t="s">
        <v>97</v>
      </c>
      <c r="O38" s="75" t="s">
        <v>97</v>
      </c>
      <c r="P38" s="75" t="s">
        <v>98</v>
      </c>
      <c r="Q38" s="74" t="str">
        <f t="shared" si="2"/>
        <v>FAIL</v>
      </c>
      <c r="R38" s="80">
        <f t="shared" si="3"/>
        <v>0.5</v>
      </c>
      <c r="S38" s="43" t="s">
        <v>153</v>
      </c>
    </row>
    <row r="39" ht="22.5" customHeight="1">
      <c r="A39" s="77">
        <f>IFERROR('Inward Register'!A125,"")</f>
        <v>46295</v>
      </c>
      <c r="B39" s="77">
        <f>IFERROR('Inward Register'!M125,"")</f>
        <v>46296</v>
      </c>
      <c r="C39" s="45" t="str">
        <f>IFERROR('Inward Register'!C125,"")</f>
        <v>Enflow2</v>
      </c>
      <c r="D39" s="77">
        <f>IFERROR('Inward Register'!B125,"")</f>
        <v>46270</v>
      </c>
      <c r="E39" s="78" t="str">
        <f>IFERROR('Inward Register'!F125,"")</f>
        <v>Pipe</v>
      </c>
      <c r="F39" s="79" t="str">
        <f>IFERROR('Inward Register'!E125,"")</f>
        <v>Waterflo</v>
      </c>
      <c r="G39" s="78" t="str">
        <f>IFERROR('Inward Register'!G125,"")</f>
        <v>Braded 13.5mm</v>
      </c>
      <c r="H39" s="60" t="str">
        <f>IFERROR('Inward Register'!H125,"")</f>
        <v>24 inch</v>
      </c>
      <c r="I39" s="73">
        <f>IFERROR('Inward Register'!I125,"")</f>
        <v>9960</v>
      </c>
      <c r="J39" s="78" t="str">
        <f>IFERROR('Inward Register'!J125,"")</f>
        <v>Pcs</v>
      </c>
      <c r="K39" s="43">
        <v>50.0</v>
      </c>
      <c r="L39" s="43">
        <v>40.0</v>
      </c>
      <c r="M39" s="74">
        <f t="shared" si="1"/>
        <v>10</v>
      </c>
      <c r="N39" s="75" t="s">
        <v>98</v>
      </c>
      <c r="O39" s="75" t="s">
        <v>97</v>
      </c>
      <c r="P39" s="75" t="s">
        <v>98</v>
      </c>
      <c r="Q39" s="74" t="str">
        <f t="shared" si="2"/>
        <v>FAIL</v>
      </c>
      <c r="R39" s="80">
        <f t="shared" si="3"/>
        <v>0.25</v>
      </c>
      <c r="S39" s="43" t="s">
        <v>153</v>
      </c>
    </row>
    <row r="40" ht="22.5" customHeight="1">
      <c r="A40" s="77">
        <f>IFERROR('Inward Register'!A126,"")</f>
        <v>46295</v>
      </c>
      <c r="B40" s="77">
        <f>IFERROR('Inward Register'!M126,"")</f>
        <v>46298</v>
      </c>
      <c r="C40" s="45" t="str">
        <f>IFERROR('Inward Register'!C126,"")</f>
        <v>Enflow2</v>
      </c>
      <c r="D40" s="77">
        <f>IFERROR('Inward Register'!B126,"")</f>
        <v>46270</v>
      </c>
      <c r="E40" s="78" t="str">
        <f>IFERROR('Inward Register'!F126,"")</f>
        <v>Pipe</v>
      </c>
      <c r="F40" s="79" t="str">
        <f>IFERROR('Inward Register'!E126,"")</f>
        <v>Waterflo</v>
      </c>
      <c r="G40" s="78" t="str">
        <f>IFERROR('Inward Register'!G126,"")</f>
        <v>Braded 13.5mm</v>
      </c>
      <c r="H40" s="60" t="str">
        <f>IFERROR('Inward Register'!H126,"")</f>
        <v>1mtr</v>
      </c>
      <c r="I40" s="73">
        <f>IFERROR('Inward Register'!I126,"")</f>
        <v>2000</v>
      </c>
      <c r="J40" s="78" t="str">
        <f>IFERROR('Inward Register'!J126,"")</f>
        <v>Pcs</v>
      </c>
      <c r="K40" s="43">
        <v>50.0</v>
      </c>
      <c r="L40" s="43">
        <v>40.0</v>
      </c>
      <c r="M40" s="74">
        <f t="shared" si="1"/>
        <v>10</v>
      </c>
      <c r="N40" s="75" t="s">
        <v>98</v>
      </c>
      <c r="O40" s="75" t="s">
        <v>97</v>
      </c>
      <c r="P40" s="75" t="s">
        <v>97</v>
      </c>
      <c r="Q40" s="74" t="str">
        <f t="shared" si="2"/>
        <v>FAIL</v>
      </c>
      <c r="R40" s="80">
        <f t="shared" si="3"/>
        <v>0.5</v>
      </c>
      <c r="S40" s="43" t="s">
        <v>153</v>
      </c>
    </row>
    <row r="41" ht="22.5" customHeight="1">
      <c r="A41" s="77">
        <f>IFERROR('Inward Register'!A127,"")</f>
        <v>46296</v>
      </c>
      <c r="B41" s="77">
        <f>IFERROR('Inward Register'!M127,"")</f>
        <v>46300</v>
      </c>
      <c r="C41" s="45" t="str">
        <f>IFERROR('Inward Register'!C127,"")</f>
        <v>Sri Tex Engineers</v>
      </c>
      <c r="D41" s="77">
        <f>IFERROR('Inward Register'!B127,"")</f>
        <v>46296</v>
      </c>
      <c r="E41" s="78" t="str">
        <f>IFERROR('Inward Register'!F127,"")</f>
        <v>Nutset</v>
      </c>
      <c r="F41" s="79" t="str">
        <f>IFERROR('Inward Register'!E127,"")</f>
        <v>-</v>
      </c>
      <c r="G41" s="78" t="str">
        <f>IFERROR('Inward Register'!G127,"")</f>
        <v>L-Cap</v>
      </c>
      <c r="H41" s="60" t="str">
        <f>IFERROR('Inward Register'!H127,"")</f>
        <v>13mm</v>
      </c>
      <c r="I41" s="73">
        <f>IFERROR('Inward Register'!I127,"")</f>
        <v>100000</v>
      </c>
      <c r="J41" s="78" t="str">
        <f>IFERROR('Inward Register'!J127,"")</f>
        <v>Pcs</v>
      </c>
      <c r="K41" s="43"/>
      <c r="L41" s="43"/>
      <c r="M41" s="74">
        <f t="shared" si="1"/>
        <v>0</v>
      </c>
      <c r="N41" s="75" t="s">
        <v>97</v>
      </c>
      <c r="O41" s="75" t="s">
        <v>97</v>
      </c>
      <c r="P41" s="75" t="s">
        <v>97</v>
      </c>
      <c r="Q41" s="74" t="str">
        <f t="shared" si="2"/>
        <v>PASS</v>
      </c>
      <c r="R41" s="80">
        <f t="shared" si="3"/>
        <v>1</v>
      </c>
      <c r="S41" s="74"/>
    </row>
    <row r="42">
      <c r="D42" s="71"/>
      <c r="I42" s="83"/>
    </row>
    <row r="43">
      <c r="D43" s="71"/>
      <c r="I43" s="83"/>
    </row>
    <row r="44">
      <c r="D44" s="71"/>
      <c r="I44" s="83"/>
    </row>
    <row r="45">
      <c r="D45" s="71"/>
      <c r="I45" s="83"/>
    </row>
    <row r="46">
      <c r="D46" s="71"/>
      <c r="I46" s="83"/>
    </row>
    <row r="47">
      <c r="D47" s="71"/>
      <c r="I47" s="83"/>
    </row>
    <row r="48">
      <c r="D48" s="71"/>
      <c r="I48" s="83"/>
    </row>
    <row r="49">
      <c r="D49" s="71"/>
      <c r="I49" s="83"/>
    </row>
    <row r="50">
      <c r="D50" s="71"/>
      <c r="I50" s="83"/>
    </row>
    <row r="51">
      <c r="D51" s="71"/>
      <c r="I51" s="83"/>
    </row>
    <row r="52">
      <c r="D52" s="71"/>
      <c r="I52" s="83"/>
    </row>
    <row r="53">
      <c r="D53" s="71"/>
      <c r="I53" s="83"/>
    </row>
    <row r="54">
      <c r="D54" s="71"/>
      <c r="I54" s="83"/>
    </row>
    <row r="55">
      <c r="D55" s="71"/>
      <c r="I55" s="83"/>
    </row>
    <row r="56">
      <c r="D56" s="71"/>
      <c r="I56" s="83"/>
    </row>
    <row r="57">
      <c r="D57" s="71"/>
      <c r="I57" s="83"/>
    </row>
    <row r="58">
      <c r="D58" s="71"/>
      <c r="I58" s="83"/>
    </row>
    <row r="59">
      <c r="D59" s="71"/>
      <c r="I59" s="83"/>
    </row>
    <row r="60">
      <c r="D60" s="71"/>
      <c r="I60" s="83"/>
    </row>
    <row r="61">
      <c r="D61" s="71"/>
      <c r="I61" s="83"/>
    </row>
    <row r="62">
      <c r="D62" s="71"/>
      <c r="I62" s="83"/>
    </row>
    <row r="63">
      <c r="D63" s="71"/>
      <c r="I63" s="83"/>
    </row>
    <row r="64">
      <c r="D64" s="71"/>
      <c r="I64" s="83"/>
    </row>
    <row r="65">
      <c r="D65" s="71"/>
      <c r="I65" s="83"/>
    </row>
    <row r="66">
      <c r="D66" s="71"/>
      <c r="I66" s="83"/>
    </row>
    <row r="67">
      <c r="D67" s="71"/>
      <c r="I67" s="83"/>
    </row>
    <row r="68">
      <c r="D68" s="71"/>
      <c r="I68" s="83"/>
    </row>
    <row r="69">
      <c r="D69" s="71"/>
      <c r="I69" s="83"/>
    </row>
    <row r="70">
      <c r="D70" s="71"/>
      <c r="I70" s="83"/>
    </row>
    <row r="71">
      <c r="D71" s="71"/>
      <c r="I71" s="83"/>
    </row>
    <row r="72">
      <c r="D72" s="71"/>
      <c r="I72" s="83"/>
    </row>
    <row r="73">
      <c r="D73" s="71"/>
      <c r="I73" s="83"/>
    </row>
    <row r="74">
      <c r="D74" s="71"/>
      <c r="I74" s="83"/>
    </row>
    <row r="75">
      <c r="D75" s="71"/>
      <c r="I75" s="83"/>
    </row>
    <row r="76">
      <c r="D76" s="71"/>
      <c r="I76" s="83"/>
    </row>
    <row r="77">
      <c r="D77" s="71"/>
      <c r="I77" s="83"/>
    </row>
    <row r="78">
      <c r="D78" s="71"/>
      <c r="I78" s="83"/>
    </row>
    <row r="79">
      <c r="D79" s="71"/>
      <c r="I79" s="83"/>
    </row>
    <row r="80">
      <c r="D80" s="71"/>
      <c r="I80" s="83"/>
    </row>
    <row r="81">
      <c r="D81" s="71"/>
      <c r="I81" s="83"/>
    </row>
    <row r="82">
      <c r="D82" s="71"/>
      <c r="I82" s="83"/>
    </row>
    <row r="83">
      <c r="D83" s="71"/>
      <c r="I83" s="83"/>
    </row>
    <row r="84">
      <c r="D84" s="71"/>
      <c r="I84" s="83"/>
    </row>
    <row r="85">
      <c r="D85" s="71"/>
      <c r="I85" s="83"/>
    </row>
    <row r="86">
      <c r="D86" s="71"/>
      <c r="I86" s="83"/>
    </row>
    <row r="87">
      <c r="D87" s="71"/>
      <c r="I87" s="83"/>
    </row>
    <row r="88">
      <c r="D88" s="71"/>
      <c r="I88" s="83"/>
    </row>
    <row r="89">
      <c r="D89" s="71"/>
      <c r="I89" s="83"/>
    </row>
    <row r="90">
      <c r="D90" s="71"/>
      <c r="I90" s="83"/>
    </row>
    <row r="91">
      <c r="D91" s="71"/>
      <c r="I91" s="83"/>
    </row>
    <row r="92">
      <c r="D92" s="71"/>
      <c r="I92" s="83"/>
    </row>
    <row r="93">
      <c r="D93" s="71"/>
      <c r="I93" s="83"/>
    </row>
    <row r="94">
      <c r="D94" s="71"/>
      <c r="I94" s="83"/>
    </row>
    <row r="95">
      <c r="D95" s="71"/>
      <c r="I95" s="83"/>
    </row>
    <row r="96">
      <c r="D96" s="71"/>
      <c r="I96" s="83"/>
    </row>
    <row r="97">
      <c r="D97" s="71"/>
      <c r="I97" s="83"/>
    </row>
    <row r="98">
      <c r="D98" s="71"/>
      <c r="I98" s="83"/>
    </row>
    <row r="99">
      <c r="D99" s="71"/>
      <c r="I99" s="83"/>
    </row>
    <row r="100">
      <c r="D100" s="71"/>
      <c r="I100" s="83"/>
    </row>
    <row r="101">
      <c r="D101" s="71"/>
      <c r="I101" s="83"/>
    </row>
    <row r="102">
      <c r="D102" s="71"/>
      <c r="I102" s="83"/>
    </row>
    <row r="103">
      <c r="D103" s="71"/>
      <c r="I103" s="83"/>
    </row>
    <row r="104">
      <c r="D104" s="71"/>
      <c r="I104" s="83"/>
    </row>
    <row r="105">
      <c r="D105" s="71"/>
      <c r="I105" s="83"/>
    </row>
    <row r="106">
      <c r="D106" s="71"/>
      <c r="I106" s="83"/>
    </row>
    <row r="107">
      <c r="D107" s="71"/>
      <c r="I107" s="83"/>
    </row>
    <row r="108">
      <c r="D108" s="71"/>
      <c r="I108" s="83"/>
    </row>
    <row r="109">
      <c r="D109" s="71"/>
      <c r="I109" s="83"/>
    </row>
    <row r="110">
      <c r="D110" s="71"/>
      <c r="I110" s="83"/>
    </row>
    <row r="111">
      <c r="D111" s="71"/>
      <c r="I111" s="83"/>
    </row>
    <row r="112">
      <c r="D112" s="71"/>
      <c r="I112" s="83"/>
    </row>
    <row r="113">
      <c r="D113" s="71"/>
      <c r="I113" s="83"/>
    </row>
    <row r="114">
      <c r="D114" s="71"/>
      <c r="I114" s="83"/>
    </row>
    <row r="115">
      <c r="D115" s="71"/>
      <c r="I115" s="83"/>
    </row>
    <row r="116">
      <c r="D116" s="71"/>
      <c r="I116" s="83"/>
    </row>
    <row r="117">
      <c r="D117" s="71"/>
      <c r="I117" s="83"/>
    </row>
    <row r="118">
      <c r="D118" s="71"/>
      <c r="I118" s="83"/>
    </row>
    <row r="119">
      <c r="D119" s="71"/>
      <c r="I119" s="83"/>
    </row>
    <row r="120">
      <c r="D120" s="71"/>
      <c r="I120" s="83"/>
    </row>
    <row r="121">
      <c r="D121" s="71"/>
      <c r="I121" s="83"/>
    </row>
    <row r="122">
      <c r="D122" s="71"/>
      <c r="I122" s="83"/>
    </row>
    <row r="123">
      <c r="D123" s="71"/>
      <c r="I123" s="83"/>
    </row>
    <row r="124">
      <c r="D124" s="71"/>
      <c r="I124" s="83"/>
    </row>
    <row r="125">
      <c r="D125" s="71"/>
      <c r="I125" s="83"/>
    </row>
    <row r="126">
      <c r="D126" s="71"/>
      <c r="I126" s="83"/>
    </row>
    <row r="127">
      <c r="D127" s="71"/>
      <c r="I127" s="83"/>
    </row>
    <row r="128">
      <c r="D128" s="71"/>
      <c r="I128" s="83"/>
    </row>
    <row r="129">
      <c r="D129" s="71"/>
      <c r="I129" s="83"/>
    </row>
    <row r="130">
      <c r="D130" s="71"/>
      <c r="I130" s="83"/>
    </row>
    <row r="131">
      <c r="D131" s="71"/>
      <c r="I131" s="83"/>
    </row>
    <row r="132">
      <c r="D132" s="71"/>
      <c r="I132" s="83"/>
    </row>
    <row r="133">
      <c r="D133" s="71"/>
      <c r="I133" s="83"/>
    </row>
    <row r="134">
      <c r="D134" s="71"/>
      <c r="I134" s="83"/>
    </row>
    <row r="135">
      <c r="D135" s="71"/>
      <c r="I135" s="83"/>
    </row>
    <row r="136">
      <c r="D136" s="71"/>
      <c r="I136" s="83"/>
    </row>
    <row r="137">
      <c r="D137" s="71"/>
      <c r="I137" s="83"/>
    </row>
    <row r="138">
      <c r="D138" s="71"/>
      <c r="I138" s="83"/>
    </row>
    <row r="139">
      <c r="D139" s="71"/>
      <c r="I139" s="83"/>
    </row>
    <row r="140">
      <c r="D140" s="71"/>
      <c r="I140" s="83"/>
    </row>
    <row r="141">
      <c r="D141" s="71"/>
      <c r="I141" s="83"/>
    </row>
    <row r="142">
      <c r="D142" s="71"/>
      <c r="I142" s="83"/>
    </row>
    <row r="143">
      <c r="D143" s="71"/>
      <c r="I143" s="83"/>
    </row>
    <row r="144">
      <c r="D144" s="71"/>
      <c r="I144" s="83"/>
    </row>
    <row r="145">
      <c r="D145" s="71"/>
      <c r="I145" s="83"/>
    </row>
    <row r="146">
      <c r="D146" s="71"/>
      <c r="I146" s="83"/>
    </row>
    <row r="147">
      <c r="D147" s="71"/>
      <c r="I147" s="83"/>
    </row>
    <row r="148">
      <c r="D148" s="71"/>
      <c r="I148" s="83"/>
    </row>
    <row r="149">
      <c r="D149" s="71"/>
      <c r="I149" s="83"/>
    </row>
    <row r="150">
      <c r="D150" s="71"/>
      <c r="I150" s="83"/>
    </row>
    <row r="151">
      <c r="D151" s="71"/>
      <c r="I151" s="83"/>
    </row>
    <row r="152">
      <c r="D152" s="71"/>
      <c r="I152" s="83"/>
    </row>
    <row r="153">
      <c r="D153" s="71"/>
      <c r="I153" s="83"/>
    </row>
    <row r="154">
      <c r="D154" s="71"/>
      <c r="I154" s="83"/>
    </row>
    <row r="155">
      <c r="D155" s="71"/>
      <c r="I155" s="83"/>
    </row>
    <row r="156">
      <c r="D156" s="71"/>
      <c r="I156" s="83"/>
    </row>
    <row r="157">
      <c r="D157" s="71"/>
      <c r="I157" s="83"/>
    </row>
    <row r="158">
      <c r="D158" s="71"/>
      <c r="I158" s="83"/>
    </row>
    <row r="159">
      <c r="D159" s="71"/>
      <c r="I159" s="83"/>
    </row>
    <row r="160">
      <c r="D160" s="71"/>
      <c r="I160" s="83"/>
    </row>
    <row r="161">
      <c r="D161" s="71"/>
      <c r="I161" s="83"/>
    </row>
    <row r="162">
      <c r="D162" s="71"/>
      <c r="I162" s="83"/>
    </row>
    <row r="163">
      <c r="D163" s="71"/>
      <c r="I163" s="83"/>
    </row>
    <row r="164">
      <c r="D164" s="71"/>
      <c r="I164" s="83"/>
    </row>
    <row r="165">
      <c r="D165" s="71"/>
      <c r="I165" s="83"/>
    </row>
    <row r="166">
      <c r="D166" s="71"/>
      <c r="I166" s="83"/>
    </row>
    <row r="167">
      <c r="D167" s="71"/>
      <c r="I167" s="83"/>
    </row>
    <row r="168">
      <c r="D168" s="71"/>
      <c r="I168" s="83"/>
    </row>
    <row r="169">
      <c r="D169" s="71"/>
      <c r="I169" s="83"/>
    </row>
    <row r="170">
      <c r="D170" s="71"/>
      <c r="I170" s="83"/>
    </row>
    <row r="171">
      <c r="D171" s="71"/>
      <c r="I171" s="83"/>
    </row>
    <row r="172">
      <c r="D172" s="71"/>
      <c r="I172" s="83"/>
    </row>
    <row r="173">
      <c r="D173" s="71"/>
      <c r="I173" s="83"/>
    </row>
    <row r="174">
      <c r="D174" s="71"/>
      <c r="I174" s="83"/>
    </row>
    <row r="175">
      <c r="D175" s="71"/>
      <c r="I175" s="83"/>
    </row>
    <row r="176">
      <c r="D176" s="71"/>
      <c r="I176" s="83"/>
    </row>
    <row r="177">
      <c r="D177" s="71"/>
      <c r="I177" s="83"/>
    </row>
    <row r="178">
      <c r="D178" s="71"/>
      <c r="I178" s="83"/>
    </row>
    <row r="179">
      <c r="D179" s="71"/>
      <c r="I179" s="83"/>
    </row>
    <row r="180">
      <c r="D180" s="71"/>
      <c r="I180" s="83"/>
    </row>
    <row r="181">
      <c r="D181" s="71"/>
      <c r="I181" s="83"/>
    </row>
    <row r="182">
      <c r="D182" s="71"/>
      <c r="I182" s="83"/>
    </row>
    <row r="183">
      <c r="D183" s="71"/>
      <c r="I183" s="83"/>
    </row>
    <row r="184">
      <c r="D184" s="71"/>
      <c r="I184" s="83"/>
    </row>
    <row r="185">
      <c r="D185" s="71"/>
      <c r="I185" s="83"/>
    </row>
    <row r="186">
      <c r="D186" s="71"/>
      <c r="I186" s="83"/>
    </row>
    <row r="187">
      <c r="D187" s="71"/>
      <c r="I187" s="83"/>
    </row>
    <row r="188">
      <c r="D188" s="71"/>
      <c r="I188" s="83"/>
    </row>
    <row r="189">
      <c r="D189" s="71"/>
      <c r="I189" s="83"/>
    </row>
    <row r="190">
      <c r="D190" s="71"/>
      <c r="I190" s="83"/>
    </row>
    <row r="191">
      <c r="D191" s="71"/>
      <c r="I191" s="83"/>
    </row>
    <row r="192">
      <c r="D192" s="71"/>
      <c r="I192" s="83"/>
    </row>
    <row r="193">
      <c r="D193" s="71"/>
      <c r="I193" s="83"/>
    </row>
    <row r="194">
      <c r="D194" s="71"/>
      <c r="I194" s="83"/>
    </row>
    <row r="195">
      <c r="D195" s="71"/>
      <c r="I195" s="83"/>
    </row>
    <row r="196">
      <c r="D196" s="71"/>
      <c r="I196" s="83"/>
    </row>
    <row r="197">
      <c r="D197" s="71"/>
      <c r="I197" s="83"/>
    </row>
    <row r="198">
      <c r="D198" s="71"/>
      <c r="I198" s="83"/>
    </row>
    <row r="199">
      <c r="D199" s="71"/>
      <c r="I199" s="83"/>
    </row>
    <row r="200">
      <c r="D200" s="71"/>
      <c r="I200" s="83"/>
    </row>
    <row r="201">
      <c r="D201" s="71"/>
      <c r="I201" s="83"/>
    </row>
    <row r="202">
      <c r="D202" s="71"/>
      <c r="I202" s="83"/>
    </row>
    <row r="203">
      <c r="D203" s="71"/>
      <c r="I203" s="83"/>
    </row>
    <row r="204">
      <c r="D204" s="71"/>
      <c r="I204" s="83"/>
    </row>
    <row r="205">
      <c r="D205" s="71"/>
      <c r="I205" s="83"/>
    </row>
    <row r="206">
      <c r="D206" s="71"/>
      <c r="I206" s="83"/>
    </row>
    <row r="207">
      <c r="D207" s="71"/>
      <c r="I207" s="83"/>
    </row>
    <row r="208">
      <c r="D208" s="71"/>
      <c r="I208" s="83"/>
    </row>
    <row r="209">
      <c r="D209" s="71"/>
      <c r="I209" s="83"/>
    </row>
    <row r="210">
      <c r="D210" s="71"/>
      <c r="I210" s="83"/>
    </row>
    <row r="211">
      <c r="D211" s="71"/>
      <c r="I211" s="83"/>
    </row>
    <row r="212">
      <c r="D212" s="71"/>
      <c r="I212" s="83"/>
    </row>
    <row r="213">
      <c r="D213" s="71"/>
      <c r="I213" s="83"/>
    </row>
    <row r="214">
      <c r="D214" s="71"/>
      <c r="I214" s="83"/>
    </row>
    <row r="215">
      <c r="D215" s="71"/>
      <c r="I215" s="83"/>
    </row>
    <row r="216">
      <c r="D216" s="71"/>
      <c r="I216" s="83"/>
    </row>
    <row r="217">
      <c r="D217" s="71"/>
      <c r="I217" s="83"/>
    </row>
    <row r="218">
      <c r="D218" s="71"/>
      <c r="I218" s="83"/>
    </row>
    <row r="219">
      <c r="D219" s="71"/>
      <c r="I219" s="83"/>
    </row>
    <row r="220">
      <c r="D220" s="71"/>
      <c r="I220" s="83"/>
    </row>
    <row r="221">
      <c r="D221" s="71"/>
      <c r="I221" s="83"/>
    </row>
    <row r="222">
      <c r="D222" s="71"/>
      <c r="I222" s="83"/>
    </row>
    <row r="223">
      <c r="D223" s="71"/>
      <c r="I223" s="83"/>
    </row>
    <row r="224">
      <c r="D224" s="71"/>
      <c r="I224" s="83"/>
    </row>
    <row r="225">
      <c r="D225" s="71"/>
      <c r="I225" s="83"/>
    </row>
    <row r="226">
      <c r="D226" s="71"/>
      <c r="I226" s="83"/>
    </row>
    <row r="227">
      <c r="D227" s="71"/>
      <c r="I227" s="83"/>
    </row>
    <row r="228">
      <c r="D228" s="71"/>
      <c r="I228" s="83"/>
    </row>
    <row r="229">
      <c r="D229" s="71"/>
      <c r="I229" s="83"/>
    </row>
    <row r="230">
      <c r="D230" s="71"/>
      <c r="I230" s="83"/>
    </row>
    <row r="231">
      <c r="D231" s="71"/>
      <c r="I231" s="83"/>
    </row>
    <row r="232">
      <c r="D232" s="71"/>
      <c r="I232" s="83"/>
    </row>
    <row r="233">
      <c r="D233" s="71"/>
      <c r="I233" s="83"/>
    </row>
    <row r="234">
      <c r="D234" s="71"/>
      <c r="I234" s="83"/>
    </row>
    <row r="235">
      <c r="D235" s="71"/>
      <c r="I235" s="83"/>
    </row>
    <row r="236">
      <c r="D236" s="71"/>
      <c r="I236" s="83"/>
    </row>
    <row r="237">
      <c r="D237" s="71"/>
      <c r="I237" s="83"/>
    </row>
    <row r="238">
      <c r="D238" s="71"/>
      <c r="I238" s="83"/>
    </row>
    <row r="239">
      <c r="D239" s="71"/>
      <c r="I239" s="83"/>
    </row>
    <row r="240">
      <c r="D240" s="71"/>
      <c r="I240" s="83"/>
    </row>
    <row r="241">
      <c r="D241" s="71"/>
      <c r="I241" s="83"/>
    </row>
    <row r="242">
      <c r="D242" s="71"/>
      <c r="I242" s="83"/>
    </row>
    <row r="243">
      <c r="D243" s="71"/>
      <c r="I243" s="83"/>
    </row>
    <row r="244">
      <c r="D244" s="71"/>
      <c r="I244" s="83"/>
    </row>
    <row r="245">
      <c r="D245" s="71"/>
      <c r="I245" s="83"/>
    </row>
    <row r="246">
      <c r="D246" s="71"/>
      <c r="I246" s="83"/>
    </row>
    <row r="247">
      <c r="D247" s="71"/>
      <c r="I247" s="83"/>
    </row>
    <row r="248">
      <c r="D248" s="71"/>
      <c r="I248" s="83"/>
    </row>
    <row r="249">
      <c r="D249" s="71"/>
      <c r="I249" s="83"/>
    </row>
    <row r="250">
      <c r="D250" s="71"/>
      <c r="I250" s="83"/>
    </row>
    <row r="251">
      <c r="D251" s="71"/>
      <c r="I251" s="83"/>
    </row>
    <row r="252">
      <c r="D252" s="71"/>
      <c r="I252" s="83"/>
    </row>
    <row r="253">
      <c r="D253" s="71"/>
      <c r="I253" s="83"/>
    </row>
    <row r="254">
      <c r="D254" s="71"/>
      <c r="I254" s="83"/>
    </row>
    <row r="255">
      <c r="D255" s="71"/>
      <c r="I255" s="83"/>
    </row>
    <row r="256">
      <c r="D256" s="71"/>
      <c r="I256" s="83"/>
    </row>
    <row r="257">
      <c r="D257" s="71"/>
      <c r="I257" s="83"/>
    </row>
    <row r="258">
      <c r="D258" s="71"/>
      <c r="I258" s="83"/>
    </row>
    <row r="259">
      <c r="D259" s="71"/>
      <c r="I259" s="83"/>
    </row>
    <row r="260">
      <c r="D260" s="71"/>
      <c r="I260" s="83"/>
    </row>
    <row r="261">
      <c r="D261" s="71"/>
      <c r="I261" s="83"/>
    </row>
    <row r="262">
      <c r="D262" s="71"/>
      <c r="I262" s="83"/>
    </row>
    <row r="263">
      <c r="D263" s="71"/>
      <c r="I263" s="83"/>
    </row>
    <row r="264">
      <c r="D264" s="71"/>
      <c r="I264" s="83"/>
    </row>
    <row r="265">
      <c r="D265" s="71"/>
      <c r="I265" s="83"/>
    </row>
    <row r="266">
      <c r="D266" s="71"/>
      <c r="I266" s="83"/>
    </row>
    <row r="267">
      <c r="D267" s="71"/>
      <c r="I267" s="83"/>
    </row>
    <row r="268">
      <c r="D268" s="71"/>
      <c r="I268" s="83"/>
    </row>
    <row r="269">
      <c r="D269" s="71"/>
      <c r="I269" s="83"/>
    </row>
    <row r="270">
      <c r="D270" s="71"/>
      <c r="I270" s="83"/>
    </row>
    <row r="271">
      <c r="D271" s="71"/>
      <c r="I271" s="83"/>
    </row>
    <row r="272">
      <c r="D272" s="71"/>
      <c r="I272" s="83"/>
    </row>
    <row r="273">
      <c r="D273" s="71"/>
      <c r="I273" s="83"/>
    </row>
    <row r="274">
      <c r="D274" s="71"/>
      <c r="I274" s="83"/>
    </row>
    <row r="275">
      <c r="D275" s="71"/>
      <c r="I275" s="83"/>
    </row>
    <row r="276">
      <c r="D276" s="71"/>
      <c r="I276" s="83"/>
    </row>
    <row r="277">
      <c r="D277" s="71"/>
      <c r="I277" s="83"/>
    </row>
    <row r="278">
      <c r="D278" s="71"/>
      <c r="I278" s="83"/>
    </row>
    <row r="279">
      <c r="D279" s="71"/>
      <c r="I279" s="83"/>
    </row>
    <row r="280">
      <c r="D280" s="71"/>
      <c r="I280" s="83"/>
    </row>
    <row r="281">
      <c r="D281" s="71"/>
      <c r="I281" s="83"/>
    </row>
    <row r="282">
      <c r="D282" s="71"/>
      <c r="I282" s="83"/>
    </row>
    <row r="283">
      <c r="D283" s="71"/>
      <c r="I283" s="83"/>
    </row>
    <row r="284">
      <c r="D284" s="71"/>
      <c r="I284" s="83"/>
    </row>
    <row r="285">
      <c r="D285" s="71"/>
      <c r="I285" s="83"/>
    </row>
    <row r="286">
      <c r="D286" s="71"/>
      <c r="I286" s="83"/>
    </row>
    <row r="287">
      <c r="D287" s="71"/>
      <c r="I287" s="83"/>
    </row>
    <row r="288">
      <c r="D288" s="71"/>
      <c r="I288" s="83"/>
    </row>
    <row r="289">
      <c r="D289" s="71"/>
      <c r="I289" s="83"/>
    </row>
    <row r="290">
      <c r="D290" s="71"/>
      <c r="I290" s="83"/>
    </row>
    <row r="291">
      <c r="D291" s="71"/>
      <c r="I291" s="83"/>
    </row>
    <row r="292">
      <c r="D292" s="71"/>
      <c r="I292" s="83"/>
    </row>
    <row r="293">
      <c r="D293" s="71"/>
      <c r="I293" s="83"/>
    </row>
    <row r="294">
      <c r="D294" s="71"/>
      <c r="I294" s="83"/>
    </row>
    <row r="295">
      <c r="D295" s="71"/>
      <c r="I295" s="83"/>
    </row>
    <row r="296">
      <c r="D296" s="71"/>
      <c r="I296" s="83"/>
    </row>
    <row r="297">
      <c r="D297" s="71"/>
      <c r="I297" s="83"/>
    </row>
    <row r="298">
      <c r="D298" s="71"/>
      <c r="I298" s="83"/>
    </row>
    <row r="299">
      <c r="D299" s="71"/>
      <c r="I299" s="83"/>
    </row>
    <row r="300">
      <c r="D300" s="71"/>
      <c r="I300" s="83"/>
    </row>
    <row r="301">
      <c r="D301" s="71"/>
      <c r="I301" s="83"/>
    </row>
    <row r="302">
      <c r="D302" s="71"/>
      <c r="I302" s="83"/>
    </row>
    <row r="303">
      <c r="D303" s="71"/>
      <c r="I303" s="83"/>
    </row>
    <row r="304">
      <c r="D304" s="71"/>
      <c r="I304" s="83"/>
    </row>
    <row r="305">
      <c r="D305" s="71"/>
      <c r="I305" s="83"/>
    </row>
    <row r="306">
      <c r="D306" s="71"/>
      <c r="I306" s="83"/>
    </row>
    <row r="307">
      <c r="D307" s="71"/>
      <c r="I307" s="83"/>
    </row>
    <row r="308">
      <c r="D308" s="71"/>
      <c r="I308" s="83"/>
    </row>
    <row r="309">
      <c r="D309" s="71"/>
      <c r="I309" s="83"/>
    </row>
    <row r="310">
      <c r="D310" s="71"/>
      <c r="I310" s="83"/>
    </row>
    <row r="311">
      <c r="D311" s="71"/>
      <c r="I311" s="83"/>
    </row>
    <row r="312">
      <c r="D312" s="71"/>
      <c r="I312" s="83"/>
    </row>
    <row r="313">
      <c r="D313" s="71"/>
      <c r="I313" s="83"/>
    </row>
    <row r="314">
      <c r="D314" s="71"/>
      <c r="I314" s="83"/>
    </row>
    <row r="315">
      <c r="D315" s="71"/>
      <c r="I315" s="83"/>
    </row>
    <row r="316">
      <c r="D316" s="71"/>
      <c r="I316" s="83"/>
    </row>
    <row r="317">
      <c r="D317" s="71"/>
      <c r="I317" s="83"/>
    </row>
    <row r="318">
      <c r="D318" s="71"/>
      <c r="I318" s="83"/>
    </row>
    <row r="319">
      <c r="D319" s="71"/>
      <c r="I319" s="83"/>
    </row>
    <row r="320">
      <c r="D320" s="71"/>
      <c r="I320" s="83"/>
    </row>
    <row r="321">
      <c r="D321" s="71"/>
      <c r="I321" s="83"/>
    </row>
    <row r="322">
      <c r="D322" s="71"/>
      <c r="I322" s="83"/>
    </row>
    <row r="323">
      <c r="D323" s="71"/>
      <c r="I323" s="83"/>
    </row>
    <row r="324">
      <c r="D324" s="71"/>
      <c r="I324" s="83"/>
    </row>
    <row r="325">
      <c r="D325" s="71"/>
      <c r="I325" s="83"/>
    </row>
    <row r="326">
      <c r="D326" s="71"/>
      <c r="I326" s="83"/>
    </row>
    <row r="327">
      <c r="D327" s="71"/>
      <c r="I327" s="83"/>
    </row>
    <row r="328">
      <c r="D328" s="71"/>
      <c r="I328" s="83"/>
    </row>
    <row r="329">
      <c r="D329" s="71"/>
      <c r="I329" s="83"/>
    </row>
    <row r="330">
      <c r="D330" s="71"/>
      <c r="I330" s="83"/>
    </row>
    <row r="331">
      <c r="D331" s="71"/>
      <c r="I331" s="83"/>
    </row>
    <row r="332">
      <c r="D332" s="71"/>
      <c r="I332" s="83"/>
    </row>
    <row r="333">
      <c r="D333" s="71"/>
      <c r="I333" s="83"/>
    </row>
    <row r="334">
      <c r="D334" s="71"/>
      <c r="I334" s="83"/>
    </row>
    <row r="335">
      <c r="D335" s="71"/>
      <c r="I335" s="83"/>
    </row>
    <row r="336">
      <c r="D336" s="71"/>
      <c r="I336" s="83"/>
    </row>
    <row r="337">
      <c r="D337" s="71"/>
      <c r="I337" s="83"/>
    </row>
    <row r="338">
      <c r="D338" s="71"/>
      <c r="I338" s="83"/>
    </row>
    <row r="339">
      <c r="D339" s="71"/>
      <c r="I339" s="83"/>
    </row>
    <row r="340">
      <c r="D340" s="71"/>
      <c r="I340" s="83"/>
    </row>
    <row r="341">
      <c r="D341" s="71"/>
      <c r="I341" s="83"/>
    </row>
    <row r="342">
      <c r="D342" s="71"/>
      <c r="I342" s="83"/>
    </row>
    <row r="343">
      <c r="D343" s="71"/>
      <c r="I343" s="83"/>
    </row>
    <row r="344">
      <c r="D344" s="71"/>
      <c r="I344" s="83"/>
    </row>
    <row r="345">
      <c r="D345" s="71"/>
      <c r="I345" s="83"/>
    </row>
    <row r="346">
      <c r="D346" s="71"/>
      <c r="I346" s="83"/>
    </row>
    <row r="347">
      <c r="D347" s="71"/>
      <c r="I347" s="83"/>
    </row>
    <row r="348">
      <c r="D348" s="71"/>
      <c r="I348" s="83"/>
    </row>
    <row r="349">
      <c r="D349" s="71"/>
      <c r="I349" s="83"/>
    </row>
    <row r="350">
      <c r="D350" s="71"/>
      <c r="I350" s="83"/>
    </row>
    <row r="351">
      <c r="D351" s="71"/>
      <c r="I351" s="83"/>
    </row>
    <row r="352">
      <c r="D352" s="71"/>
      <c r="I352" s="83"/>
    </row>
    <row r="353">
      <c r="D353" s="71"/>
      <c r="I353" s="83"/>
    </row>
    <row r="354">
      <c r="D354" s="71"/>
      <c r="I354" s="83"/>
    </row>
    <row r="355">
      <c r="D355" s="71"/>
      <c r="I355" s="83"/>
    </row>
    <row r="356">
      <c r="D356" s="71"/>
      <c r="I356" s="83"/>
    </row>
    <row r="357">
      <c r="D357" s="71"/>
      <c r="I357" s="83"/>
    </row>
    <row r="358">
      <c r="D358" s="71"/>
      <c r="I358" s="83"/>
    </row>
    <row r="359">
      <c r="D359" s="71"/>
      <c r="I359" s="83"/>
    </row>
    <row r="360">
      <c r="D360" s="71"/>
      <c r="I360" s="83"/>
    </row>
    <row r="361">
      <c r="D361" s="71"/>
      <c r="I361" s="83"/>
    </row>
    <row r="362">
      <c r="D362" s="71"/>
      <c r="I362" s="83"/>
    </row>
    <row r="363">
      <c r="D363" s="71"/>
      <c r="I363" s="83"/>
    </row>
    <row r="364">
      <c r="D364" s="71"/>
      <c r="I364" s="83"/>
    </row>
    <row r="365">
      <c r="D365" s="71"/>
      <c r="I365" s="83"/>
    </row>
    <row r="366">
      <c r="D366" s="71"/>
      <c r="I366" s="83"/>
    </row>
    <row r="367">
      <c r="D367" s="71"/>
      <c r="I367" s="83"/>
    </row>
    <row r="368">
      <c r="D368" s="71"/>
      <c r="I368" s="83"/>
    </row>
    <row r="369">
      <c r="D369" s="71"/>
      <c r="I369" s="83"/>
    </row>
    <row r="370">
      <c r="D370" s="71"/>
      <c r="I370" s="83"/>
    </row>
    <row r="371">
      <c r="D371" s="71"/>
      <c r="I371" s="83"/>
    </row>
    <row r="372">
      <c r="D372" s="71"/>
      <c r="I372" s="83"/>
    </row>
    <row r="373">
      <c r="D373" s="71"/>
      <c r="I373" s="83"/>
    </row>
    <row r="374">
      <c r="D374" s="71"/>
      <c r="I374" s="83"/>
    </row>
    <row r="375">
      <c r="D375" s="71"/>
      <c r="I375" s="83"/>
    </row>
    <row r="376">
      <c r="D376" s="71"/>
      <c r="I376" s="83"/>
    </row>
    <row r="377">
      <c r="D377" s="71"/>
      <c r="I377" s="83"/>
    </row>
    <row r="378">
      <c r="D378" s="71"/>
      <c r="I378" s="83"/>
    </row>
    <row r="379">
      <c r="D379" s="71"/>
      <c r="I379" s="83"/>
    </row>
    <row r="380">
      <c r="D380" s="71"/>
      <c r="I380" s="83"/>
    </row>
    <row r="381">
      <c r="D381" s="71"/>
      <c r="I381" s="83"/>
    </row>
    <row r="382">
      <c r="D382" s="71"/>
      <c r="I382" s="83"/>
    </row>
    <row r="383">
      <c r="D383" s="71"/>
      <c r="I383" s="83"/>
    </row>
    <row r="384">
      <c r="D384" s="71"/>
      <c r="I384" s="83"/>
    </row>
    <row r="385">
      <c r="D385" s="71"/>
      <c r="I385" s="83"/>
    </row>
    <row r="386">
      <c r="D386" s="71"/>
      <c r="I386" s="83"/>
    </row>
    <row r="387">
      <c r="D387" s="71"/>
      <c r="I387" s="83"/>
    </row>
    <row r="388">
      <c r="D388" s="71"/>
      <c r="I388" s="83"/>
    </row>
    <row r="389">
      <c r="D389" s="71"/>
      <c r="I389" s="83"/>
    </row>
    <row r="390">
      <c r="D390" s="71"/>
      <c r="I390" s="83"/>
    </row>
    <row r="391">
      <c r="D391" s="71"/>
      <c r="I391" s="83"/>
    </row>
    <row r="392">
      <c r="D392" s="71"/>
      <c r="I392" s="83"/>
    </row>
    <row r="393">
      <c r="D393" s="71"/>
      <c r="I393" s="83"/>
    </row>
    <row r="394">
      <c r="D394" s="71"/>
      <c r="I394" s="83"/>
    </row>
    <row r="395">
      <c r="D395" s="71"/>
      <c r="I395" s="83"/>
    </row>
    <row r="396">
      <c r="D396" s="71"/>
      <c r="I396" s="83"/>
    </row>
    <row r="397">
      <c r="D397" s="71"/>
      <c r="I397" s="83"/>
    </row>
    <row r="398">
      <c r="D398" s="71"/>
      <c r="I398" s="83"/>
    </row>
    <row r="399">
      <c r="D399" s="71"/>
      <c r="I399" s="83"/>
    </row>
    <row r="400">
      <c r="D400" s="71"/>
      <c r="I400" s="83"/>
    </row>
    <row r="401">
      <c r="D401" s="71"/>
      <c r="I401" s="83"/>
    </row>
    <row r="402">
      <c r="D402" s="71"/>
      <c r="I402" s="83"/>
    </row>
    <row r="403">
      <c r="D403" s="71"/>
      <c r="I403" s="83"/>
    </row>
    <row r="404">
      <c r="D404" s="71"/>
      <c r="I404" s="83"/>
    </row>
    <row r="405">
      <c r="D405" s="71"/>
      <c r="I405" s="83"/>
    </row>
    <row r="406">
      <c r="D406" s="71"/>
      <c r="I406" s="83"/>
    </row>
    <row r="407">
      <c r="D407" s="71"/>
      <c r="I407" s="83"/>
    </row>
    <row r="408">
      <c r="D408" s="71"/>
      <c r="I408" s="83"/>
    </row>
    <row r="409">
      <c r="D409" s="71"/>
      <c r="I409" s="83"/>
    </row>
    <row r="410">
      <c r="D410" s="71"/>
      <c r="I410" s="83"/>
    </row>
    <row r="411">
      <c r="D411" s="71"/>
      <c r="I411" s="83"/>
    </row>
    <row r="412">
      <c r="D412" s="71"/>
      <c r="I412" s="83"/>
    </row>
    <row r="413">
      <c r="D413" s="71"/>
      <c r="I413" s="83"/>
    </row>
    <row r="414">
      <c r="D414" s="71"/>
      <c r="I414" s="83"/>
    </row>
    <row r="415">
      <c r="D415" s="71"/>
      <c r="I415" s="83"/>
    </row>
    <row r="416">
      <c r="D416" s="71"/>
      <c r="I416" s="83"/>
    </row>
    <row r="417">
      <c r="D417" s="71"/>
      <c r="I417" s="83"/>
    </row>
    <row r="418">
      <c r="D418" s="71"/>
      <c r="I418" s="83"/>
    </row>
    <row r="419">
      <c r="D419" s="71"/>
      <c r="I419" s="83"/>
    </row>
    <row r="420">
      <c r="D420" s="71"/>
      <c r="I420" s="83"/>
    </row>
    <row r="421">
      <c r="D421" s="71"/>
      <c r="I421" s="83"/>
    </row>
    <row r="422">
      <c r="D422" s="71"/>
      <c r="I422" s="83"/>
    </row>
    <row r="423">
      <c r="D423" s="71"/>
      <c r="I423" s="83"/>
    </row>
    <row r="424">
      <c r="D424" s="71"/>
      <c r="I424" s="83"/>
    </row>
    <row r="425">
      <c r="D425" s="71"/>
      <c r="I425" s="83"/>
    </row>
    <row r="426">
      <c r="D426" s="71"/>
      <c r="I426" s="83"/>
    </row>
    <row r="427">
      <c r="D427" s="71"/>
      <c r="I427" s="83"/>
    </row>
    <row r="428">
      <c r="D428" s="71"/>
      <c r="I428" s="83"/>
    </row>
    <row r="429">
      <c r="D429" s="71"/>
      <c r="I429" s="83"/>
    </row>
    <row r="430">
      <c r="D430" s="71"/>
      <c r="I430" s="83"/>
    </row>
    <row r="431">
      <c r="D431" s="71"/>
      <c r="I431" s="83"/>
    </row>
    <row r="432">
      <c r="D432" s="71"/>
      <c r="I432" s="83"/>
    </row>
    <row r="433">
      <c r="D433" s="71"/>
      <c r="I433" s="83"/>
    </row>
    <row r="434">
      <c r="D434" s="71"/>
      <c r="I434" s="83"/>
    </row>
    <row r="435">
      <c r="D435" s="71"/>
      <c r="I435" s="83"/>
    </row>
    <row r="436">
      <c r="D436" s="71"/>
      <c r="I436" s="83"/>
    </row>
    <row r="437">
      <c r="D437" s="71"/>
      <c r="I437" s="83"/>
    </row>
    <row r="438">
      <c r="D438" s="71"/>
      <c r="I438" s="83"/>
    </row>
    <row r="439">
      <c r="D439" s="71"/>
      <c r="I439" s="83"/>
    </row>
    <row r="440">
      <c r="D440" s="71"/>
      <c r="I440" s="83"/>
    </row>
    <row r="441">
      <c r="D441" s="71"/>
      <c r="I441" s="83"/>
    </row>
    <row r="442">
      <c r="D442" s="71"/>
      <c r="I442" s="83"/>
    </row>
    <row r="443">
      <c r="D443" s="71"/>
      <c r="I443" s="83"/>
    </row>
    <row r="444">
      <c r="D444" s="71"/>
      <c r="I444" s="83"/>
    </row>
    <row r="445">
      <c r="D445" s="71"/>
      <c r="I445" s="83"/>
    </row>
    <row r="446">
      <c r="D446" s="71"/>
      <c r="I446" s="83"/>
    </row>
    <row r="447">
      <c r="D447" s="71"/>
      <c r="I447" s="83"/>
    </row>
    <row r="448">
      <c r="D448" s="71"/>
      <c r="I448" s="83"/>
    </row>
    <row r="449">
      <c r="D449" s="71"/>
      <c r="I449" s="83"/>
    </row>
    <row r="450">
      <c r="D450" s="71"/>
      <c r="I450" s="83"/>
    </row>
    <row r="451">
      <c r="D451" s="71"/>
      <c r="I451" s="83"/>
    </row>
    <row r="452">
      <c r="D452" s="71"/>
      <c r="I452" s="83"/>
    </row>
    <row r="453">
      <c r="D453" s="71"/>
      <c r="I453" s="83"/>
    </row>
    <row r="454">
      <c r="D454" s="71"/>
      <c r="I454" s="83"/>
    </row>
    <row r="455">
      <c r="D455" s="71"/>
      <c r="I455" s="83"/>
    </row>
    <row r="456">
      <c r="D456" s="71"/>
      <c r="I456" s="83"/>
    </row>
    <row r="457">
      <c r="D457" s="71"/>
      <c r="I457" s="83"/>
    </row>
    <row r="458">
      <c r="D458" s="71"/>
      <c r="I458" s="83"/>
    </row>
    <row r="459">
      <c r="D459" s="71"/>
      <c r="I459" s="83"/>
    </row>
    <row r="460">
      <c r="D460" s="71"/>
      <c r="I460" s="83"/>
    </row>
    <row r="461">
      <c r="D461" s="71"/>
      <c r="I461" s="83"/>
    </row>
    <row r="462">
      <c r="D462" s="71"/>
      <c r="I462" s="83"/>
    </row>
    <row r="463">
      <c r="D463" s="71"/>
      <c r="I463" s="83"/>
    </row>
    <row r="464">
      <c r="D464" s="71"/>
      <c r="I464" s="83"/>
    </row>
    <row r="465">
      <c r="D465" s="71"/>
      <c r="I465" s="83"/>
    </row>
    <row r="466">
      <c r="D466" s="71"/>
      <c r="I466" s="83"/>
    </row>
    <row r="467">
      <c r="D467" s="71"/>
      <c r="I467" s="83"/>
    </row>
    <row r="468">
      <c r="D468" s="71"/>
      <c r="I468" s="83"/>
    </row>
    <row r="469">
      <c r="D469" s="71"/>
      <c r="I469" s="83"/>
    </row>
    <row r="470">
      <c r="D470" s="71"/>
      <c r="I470" s="83"/>
    </row>
    <row r="471">
      <c r="D471" s="71"/>
      <c r="I471" s="83"/>
    </row>
    <row r="472">
      <c r="D472" s="71"/>
      <c r="I472" s="83"/>
    </row>
    <row r="473">
      <c r="D473" s="71"/>
      <c r="I473" s="83"/>
    </row>
    <row r="474">
      <c r="D474" s="71"/>
      <c r="I474" s="83"/>
    </row>
    <row r="475">
      <c r="D475" s="71"/>
      <c r="I475" s="83"/>
    </row>
    <row r="476">
      <c r="D476" s="71"/>
      <c r="I476" s="83"/>
    </row>
    <row r="477">
      <c r="D477" s="71"/>
      <c r="I477" s="83"/>
    </row>
    <row r="478">
      <c r="D478" s="71"/>
      <c r="I478" s="83"/>
    </row>
    <row r="479">
      <c r="D479" s="71"/>
      <c r="I479" s="83"/>
    </row>
    <row r="480">
      <c r="D480" s="71"/>
      <c r="I480" s="83"/>
    </row>
    <row r="481">
      <c r="D481" s="71"/>
      <c r="I481" s="83"/>
    </row>
    <row r="482">
      <c r="D482" s="71"/>
      <c r="I482" s="83"/>
    </row>
    <row r="483">
      <c r="D483" s="71"/>
      <c r="I483" s="83"/>
    </row>
    <row r="484">
      <c r="D484" s="71"/>
      <c r="I484" s="83"/>
    </row>
    <row r="485">
      <c r="D485" s="71"/>
      <c r="I485" s="83"/>
    </row>
    <row r="486">
      <c r="D486" s="71"/>
      <c r="I486" s="83"/>
    </row>
    <row r="487">
      <c r="D487" s="71"/>
      <c r="I487" s="83"/>
    </row>
    <row r="488">
      <c r="D488" s="71"/>
      <c r="I488" s="83"/>
    </row>
    <row r="489">
      <c r="D489" s="71"/>
      <c r="I489" s="83"/>
    </row>
    <row r="490">
      <c r="D490" s="71"/>
      <c r="I490" s="83"/>
    </row>
    <row r="491">
      <c r="D491" s="71"/>
      <c r="I491" s="83"/>
    </row>
    <row r="492">
      <c r="D492" s="71"/>
      <c r="I492" s="83"/>
    </row>
    <row r="493">
      <c r="D493" s="71"/>
      <c r="I493" s="83"/>
    </row>
    <row r="494">
      <c r="D494" s="71"/>
      <c r="I494" s="83"/>
    </row>
    <row r="495">
      <c r="D495" s="71"/>
      <c r="I495" s="83"/>
    </row>
    <row r="496">
      <c r="D496" s="71"/>
      <c r="I496" s="83"/>
    </row>
    <row r="497">
      <c r="D497" s="71"/>
      <c r="I497" s="83"/>
    </row>
    <row r="498">
      <c r="D498" s="71"/>
      <c r="I498" s="83"/>
    </row>
    <row r="499">
      <c r="D499" s="71"/>
      <c r="I499" s="83"/>
    </row>
    <row r="500">
      <c r="D500" s="71"/>
      <c r="I500" s="83"/>
    </row>
    <row r="501">
      <c r="D501" s="71"/>
      <c r="I501" s="83"/>
    </row>
    <row r="502">
      <c r="D502" s="71"/>
      <c r="I502" s="83"/>
    </row>
    <row r="503">
      <c r="D503" s="71"/>
      <c r="I503" s="83"/>
    </row>
    <row r="504">
      <c r="D504" s="71"/>
      <c r="I504" s="83"/>
    </row>
    <row r="505">
      <c r="D505" s="71"/>
      <c r="I505" s="83"/>
    </row>
    <row r="506">
      <c r="D506" s="71"/>
      <c r="I506" s="83"/>
    </row>
    <row r="507">
      <c r="D507" s="71"/>
      <c r="I507" s="83"/>
    </row>
    <row r="508">
      <c r="D508" s="71"/>
      <c r="I508" s="83"/>
    </row>
    <row r="509">
      <c r="D509" s="71"/>
      <c r="I509" s="83"/>
    </row>
    <row r="510">
      <c r="D510" s="71"/>
      <c r="I510" s="83"/>
    </row>
    <row r="511">
      <c r="D511" s="71"/>
      <c r="I511" s="83"/>
    </row>
    <row r="512">
      <c r="D512" s="71"/>
      <c r="I512" s="83"/>
    </row>
    <row r="513">
      <c r="D513" s="71"/>
      <c r="I513" s="83"/>
    </row>
    <row r="514">
      <c r="D514" s="71"/>
      <c r="I514" s="83"/>
    </row>
    <row r="515">
      <c r="D515" s="71"/>
      <c r="I515" s="83"/>
    </row>
    <row r="516">
      <c r="D516" s="71"/>
      <c r="I516" s="83"/>
    </row>
    <row r="517">
      <c r="D517" s="71"/>
      <c r="I517" s="83"/>
    </row>
    <row r="518">
      <c r="D518" s="71"/>
      <c r="I518" s="83"/>
    </row>
    <row r="519">
      <c r="D519" s="71"/>
      <c r="I519" s="83"/>
    </row>
    <row r="520">
      <c r="D520" s="71"/>
      <c r="I520" s="83"/>
    </row>
    <row r="521">
      <c r="D521" s="71"/>
      <c r="I521" s="83"/>
    </row>
    <row r="522">
      <c r="D522" s="71"/>
      <c r="I522" s="83"/>
    </row>
    <row r="523">
      <c r="D523" s="71"/>
      <c r="I523" s="83"/>
    </row>
    <row r="524">
      <c r="D524" s="71"/>
      <c r="I524" s="83"/>
    </row>
    <row r="525">
      <c r="D525" s="71"/>
      <c r="I525" s="83"/>
    </row>
    <row r="526">
      <c r="D526" s="71"/>
      <c r="I526" s="83"/>
    </row>
    <row r="527">
      <c r="D527" s="71"/>
      <c r="I527" s="83"/>
    </row>
    <row r="528">
      <c r="D528" s="71"/>
      <c r="I528" s="83"/>
    </row>
    <row r="529">
      <c r="D529" s="71"/>
      <c r="I529" s="83"/>
    </row>
    <row r="530">
      <c r="D530" s="71"/>
      <c r="I530" s="83"/>
    </row>
    <row r="531">
      <c r="D531" s="71"/>
      <c r="I531" s="83"/>
    </row>
    <row r="532">
      <c r="D532" s="71"/>
      <c r="I532" s="83"/>
    </row>
    <row r="533">
      <c r="D533" s="71"/>
      <c r="I533" s="83"/>
    </row>
    <row r="534">
      <c r="D534" s="71"/>
      <c r="I534" s="83"/>
    </row>
    <row r="535">
      <c r="D535" s="71"/>
      <c r="I535" s="83"/>
    </row>
    <row r="536">
      <c r="D536" s="71"/>
      <c r="I536" s="83"/>
    </row>
    <row r="537">
      <c r="D537" s="71"/>
      <c r="I537" s="83"/>
    </row>
    <row r="538">
      <c r="D538" s="71"/>
      <c r="I538" s="83"/>
    </row>
    <row r="539">
      <c r="D539" s="71"/>
      <c r="I539" s="83"/>
    </row>
    <row r="540">
      <c r="D540" s="71"/>
      <c r="I540" s="83"/>
    </row>
    <row r="541">
      <c r="D541" s="71"/>
      <c r="I541" s="83"/>
    </row>
    <row r="542">
      <c r="D542" s="71"/>
      <c r="I542" s="83"/>
    </row>
    <row r="543">
      <c r="D543" s="71"/>
      <c r="I543" s="83"/>
    </row>
    <row r="544">
      <c r="D544" s="71"/>
      <c r="I544" s="83"/>
    </row>
    <row r="545">
      <c r="D545" s="71"/>
      <c r="I545" s="83"/>
    </row>
    <row r="546">
      <c r="D546" s="71"/>
      <c r="I546" s="83"/>
    </row>
    <row r="547">
      <c r="D547" s="71"/>
      <c r="I547" s="83"/>
    </row>
    <row r="548">
      <c r="D548" s="71"/>
      <c r="I548" s="83"/>
    </row>
    <row r="549">
      <c r="D549" s="71"/>
      <c r="I549" s="83"/>
    </row>
    <row r="550">
      <c r="D550" s="71"/>
      <c r="I550" s="83"/>
    </row>
    <row r="551">
      <c r="D551" s="71"/>
      <c r="I551" s="83"/>
    </row>
    <row r="552">
      <c r="D552" s="71"/>
      <c r="I552" s="83"/>
    </row>
    <row r="553">
      <c r="D553" s="71"/>
      <c r="I553" s="83"/>
    </row>
    <row r="554">
      <c r="D554" s="71"/>
      <c r="I554" s="83"/>
    </row>
    <row r="555">
      <c r="D555" s="71"/>
      <c r="I555" s="83"/>
    </row>
    <row r="556">
      <c r="D556" s="71"/>
      <c r="I556" s="83"/>
    </row>
    <row r="557">
      <c r="D557" s="71"/>
      <c r="I557" s="83"/>
    </row>
    <row r="558">
      <c r="D558" s="71"/>
      <c r="I558" s="83"/>
    </row>
    <row r="559">
      <c r="D559" s="71"/>
      <c r="I559" s="83"/>
    </row>
    <row r="560">
      <c r="D560" s="71"/>
      <c r="I560" s="83"/>
    </row>
    <row r="561">
      <c r="D561" s="71"/>
      <c r="I561" s="83"/>
    </row>
    <row r="562">
      <c r="D562" s="71"/>
      <c r="I562" s="83"/>
    </row>
    <row r="563">
      <c r="D563" s="71"/>
      <c r="I563" s="83"/>
    </row>
    <row r="564">
      <c r="D564" s="71"/>
      <c r="I564" s="83"/>
    </row>
    <row r="565">
      <c r="D565" s="71"/>
      <c r="I565" s="83"/>
    </row>
    <row r="566">
      <c r="D566" s="71"/>
      <c r="I566" s="83"/>
    </row>
    <row r="567">
      <c r="D567" s="71"/>
      <c r="I567" s="83"/>
    </row>
    <row r="568">
      <c r="D568" s="71"/>
      <c r="I568" s="83"/>
    </row>
    <row r="569">
      <c r="D569" s="71"/>
      <c r="I569" s="83"/>
    </row>
    <row r="570">
      <c r="D570" s="71"/>
      <c r="I570" s="83"/>
    </row>
    <row r="571">
      <c r="D571" s="71"/>
      <c r="I571" s="83"/>
    </row>
    <row r="572">
      <c r="D572" s="71"/>
      <c r="I572" s="83"/>
    </row>
    <row r="573">
      <c r="D573" s="71"/>
      <c r="I573" s="83"/>
    </row>
    <row r="574">
      <c r="D574" s="71"/>
      <c r="I574" s="83"/>
    </row>
    <row r="575">
      <c r="D575" s="71"/>
      <c r="I575" s="83"/>
    </row>
    <row r="576">
      <c r="D576" s="71"/>
      <c r="I576" s="83"/>
    </row>
    <row r="577">
      <c r="D577" s="71"/>
      <c r="I577" s="83"/>
    </row>
    <row r="578">
      <c r="D578" s="71"/>
      <c r="I578" s="83"/>
    </row>
    <row r="579">
      <c r="D579" s="71"/>
      <c r="I579" s="83"/>
    </row>
    <row r="580">
      <c r="D580" s="71"/>
      <c r="I580" s="83"/>
    </row>
    <row r="581">
      <c r="D581" s="71"/>
      <c r="I581" s="83"/>
    </row>
    <row r="582">
      <c r="D582" s="71"/>
      <c r="I582" s="83"/>
    </row>
    <row r="583">
      <c r="D583" s="71"/>
      <c r="I583" s="83"/>
    </row>
    <row r="584">
      <c r="D584" s="71"/>
      <c r="I584" s="83"/>
    </row>
    <row r="585">
      <c r="D585" s="71"/>
      <c r="I585" s="83"/>
    </row>
    <row r="586">
      <c r="D586" s="71"/>
      <c r="I586" s="83"/>
    </row>
    <row r="587">
      <c r="D587" s="71"/>
      <c r="I587" s="83"/>
    </row>
    <row r="588">
      <c r="D588" s="71"/>
      <c r="I588" s="83"/>
    </row>
    <row r="589">
      <c r="D589" s="71"/>
      <c r="I589" s="83"/>
    </row>
    <row r="590">
      <c r="D590" s="71"/>
      <c r="I590" s="83"/>
    </row>
    <row r="591">
      <c r="D591" s="71"/>
      <c r="I591" s="83"/>
    </row>
    <row r="592">
      <c r="D592" s="71"/>
      <c r="I592" s="83"/>
    </row>
    <row r="593">
      <c r="D593" s="71"/>
      <c r="I593" s="83"/>
    </row>
    <row r="594">
      <c r="D594" s="71"/>
      <c r="I594" s="83"/>
    </row>
    <row r="595">
      <c r="D595" s="71"/>
      <c r="I595" s="83"/>
    </row>
    <row r="596">
      <c r="D596" s="71"/>
      <c r="I596" s="83"/>
    </row>
    <row r="597">
      <c r="D597" s="71"/>
      <c r="I597" s="83"/>
    </row>
    <row r="598">
      <c r="D598" s="71"/>
      <c r="I598" s="83"/>
    </row>
    <row r="599">
      <c r="D599" s="71"/>
      <c r="I599" s="83"/>
    </row>
    <row r="600">
      <c r="D600" s="71"/>
      <c r="I600" s="83"/>
    </row>
    <row r="601">
      <c r="D601" s="71"/>
      <c r="I601" s="83"/>
    </row>
    <row r="602">
      <c r="D602" s="71"/>
      <c r="I602" s="83"/>
    </row>
    <row r="603">
      <c r="D603" s="71"/>
      <c r="I603" s="83"/>
    </row>
    <row r="604">
      <c r="D604" s="71"/>
      <c r="I604" s="83"/>
    </row>
    <row r="605">
      <c r="D605" s="71"/>
      <c r="I605" s="83"/>
    </row>
    <row r="606">
      <c r="D606" s="71"/>
      <c r="I606" s="83"/>
    </row>
    <row r="607">
      <c r="D607" s="71"/>
      <c r="I607" s="83"/>
    </row>
    <row r="608">
      <c r="D608" s="71"/>
      <c r="I608" s="83"/>
    </row>
    <row r="609">
      <c r="D609" s="71"/>
      <c r="I609" s="83"/>
    </row>
    <row r="610">
      <c r="D610" s="71"/>
      <c r="I610" s="83"/>
    </row>
    <row r="611">
      <c r="D611" s="71"/>
      <c r="I611" s="83"/>
    </row>
    <row r="612">
      <c r="D612" s="71"/>
      <c r="I612" s="83"/>
    </row>
    <row r="613">
      <c r="D613" s="71"/>
      <c r="I613" s="83"/>
    </row>
    <row r="614">
      <c r="D614" s="71"/>
      <c r="I614" s="83"/>
    </row>
    <row r="615">
      <c r="D615" s="71"/>
      <c r="I615" s="83"/>
    </row>
    <row r="616">
      <c r="D616" s="71"/>
      <c r="I616" s="83"/>
    </row>
    <row r="617">
      <c r="D617" s="71"/>
      <c r="I617" s="83"/>
    </row>
    <row r="618">
      <c r="D618" s="71"/>
      <c r="I618" s="83"/>
    </row>
    <row r="619">
      <c r="D619" s="71"/>
      <c r="I619" s="83"/>
    </row>
    <row r="620">
      <c r="D620" s="71"/>
      <c r="I620" s="83"/>
    </row>
    <row r="621">
      <c r="D621" s="71"/>
      <c r="I621" s="83"/>
    </row>
    <row r="622">
      <c r="D622" s="71"/>
      <c r="I622" s="83"/>
    </row>
    <row r="623">
      <c r="D623" s="71"/>
      <c r="I623" s="83"/>
    </row>
    <row r="624">
      <c r="D624" s="71"/>
      <c r="I624" s="83"/>
    </row>
    <row r="625">
      <c r="D625" s="71"/>
      <c r="I625" s="83"/>
    </row>
    <row r="626">
      <c r="D626" s="71"/>
      <c r="I626" s="83"/>
    </row>
    <row r="627">
      <c r="D627" s="71"/>
      <c r="I627" s="83"/>
    </row>
    <row r="628">
      <c r="D628" s="71"/>
      <c r="I628" s="83"/>
    </row>
    <row r="629">
      <c r="D629" s="71"/>
      <c r="I629" s="83"/>
    </row>
    <row r="630">
      <c r="D630" s="71"/>
      <c r="I630" s="83"/>
    </row>
    <row r="631">
      <c r="D631" s="71"/>
      <c r="I631" s="83"/>
    </row>
    <row r="632">
      <c r="D632" s="71"/>
      <c r="I632" s="83"/>
    </row>
    <row r="633">
      <c r="D633" s="71"/>
      <c r="I633" s="83"/>
    </row>
    <row r="634">
      <c r="D634" s="71"/>
      <c r="I634" s="83"/>
    </row>
    <row r="635">
      <c r="D635" s="71"/>
      <c r="I635" s="83"/>
    </row>
    <row r="636">
      <c r="D636" s="71"/>
      <c r="I636" s="83"/>
    </row>
    <row r="637">
      <c r="D637" s="71"/>
      <c r="I637" s="83"/>
    </row>
    <row r="638">
      <c r="D638" s="71"/>
      <c r="I638" s="83"/>
    </row>
    <row r="639">
      <c r="D639" s="71"/>
      <c r="I639" s="83"/>
    </row>
    <row r="640">
      <c r="D640" s="71"/>
      <c r="I640" s="83"/>
    </row>
    <row r="641">
      <c r="D641" s="71"/>
      <c r="I641" s="83"/>
    </row>
    <row r="642">
      <c r="D642" s="71"/>
      <c r="I642" s="83"/>
    </row>
    <row r="643">
      <c r="D643" s="71"/>
      <c r="I643" s="83"/>
    </row>
    <row r="644">
      <c r="D644" s="71"/>
      <c r="I644" s="83"/>
    </row>
    <row r="645">
      <c r="D645" s="71"/>
      <c r="I645" s="83"/>
    </row>
    <row r="646">
      <c r="D646" s="71"/>
      <c r="I646" s="83"/>
    </row>
    <row r="647">
      <c r="D647" s="71"/>
      <c r="I647" s="83"/>
    </row>
    <row r="648">
      <c r="D648" s="71"/>
      <c r="I648" s="83"/>
    </row>
    <row r="649">
      <c r="D649" s="71"/>
      <c r="I649" s="83"/>
    </row>
    <row r="650">
      <c r="D650" s="71"/>
      <c r="I650" s="83"/>
    </row>
    <row r="651">
      <c r="D651" s="71"/>
      <c r="I651" s="83"/>
    </row>
    <row r="652">
      <c r="D652" s="71"/>
      <c r="I652" s="83"/>
    </row>
    <row r="653">
      <c r="D653" s="71"/>
      <c r="I653" s="83"/>
    </row>
    <row r="654">
      <c r="D654" s="71"/>
      <c r="I654" s="83"/>
    </row>
    <row r="655">
      <c r="D655" s="71"/>
      <c r="I655" s="83"/>
    </row>
    <row r="656">
      <c r="D656" s="71"/>
      <c r="I656" s="83"/>
    </row>
    <row r="657">
      <c r="D657" s="71"/>
      <c r="I657" s="83"/>
    </row>
    <row r="658">
      <c r="D658" s="71"/>
      <c r="I658" s="83"/>
    </row>
    <row r="659">
      <c r="D659" s="71"/>
      <c r="I659" s="83"/>
    </row>
    <row r="660">
      <c r="D660" s="71"/>
      <c r="I660" s="83"/>
    </row>
    <row r="661">
      <c r="D661" s="71"/>
      <c r="I661" s="83"/>
    </row>
    <row r="662">
      <c r="D662" s="71"/>
      <c r="I662" s="83"/>
    </row>
    <row r="663">
      <c r="D663" s="71"/>
      <c r="I663" s="83"/>
    </row>
    <row r="664">
      <c r="D664" s="71"/>
      <c r="I664" s="83"/>
    </row>
    <row r="665">
      <c r="D665" s="71"/>
      <c r="I665" s="83"/>
    </row>
    <row r="666">
      <c r="D666" s="71"/>
      <c r="I666" s="83"/>
    </row>
    <row r="667">
      <c r="D667" s="71"/>
      <c r="I667" s="83"/>
    </row>
    <row r="668">
      <c r="D668" s="71"/>
      <c r="I668" s="83"/>
    </row>
    <row r="669">
      <c r="D669" s="71"/>
      <c r="I669" s="83"/>
    </row>
    <row r="670">
      <c r="D670" s="71"/>
      <c r="I670" s="83"/>
    </row>
    <row r="671">
      <c r="D671" s="71"/>
      <c r="I671" s="83"/>
    </row>
    <row r="672">
      <c r="D672" s="71"/>
      <c r="I672" s="83"/>
    </row>
    <row r="673">
      <c r="D673" s="71"/>
      <c r="I673" s="83"/>
    </row>
    <row r="674">
      <c r="D674" s="71"/>
      <c r="I674" s="83"/>
    </row>
    <row r="675">
      <c r="D675" s="71"/>
      <c r="I675" s="83"/>
    </row>
    <row r="676">
      <c r="D676" s="71"/>
      <c r="I676" s="83"/>
    </row>
    <row r="677">
      <c r="D677" s="71"/>
      <c r="I677" s="83"/>
    </row>
    <row r="678">
      <c r="D678" s="71"/>
      <c r="I678" s="83"/>
    </row>
    <row r="679">
      <c r="D679" s="71"/>
      <c r="I679" s="83"/>
    </row>
    <row r="680">
      <c r="D680" s="71"/>
      <c r="I680" s="83"/>
    </row>
    <row r="681">
      <c r="D681" s="71"/>
      <c r="I681" s="83"/>
    </row>
    <row r="682">
      <c r="D682" s="71"/>
      <c r="I682" s="83"/>
    </row>
    <row r="683">
      <c r="D683" s="71"/>
      <c r="I683" s="83"/>
    </row>
    <row r="684">
      <c r="D684" s="71"/>
      <c r="I684" s="83"/>
    </row>
    <row r="685">
      <c r="D685" s="71"/>
      <c r="I685" s="83"/>
    </row>
    <row r="686">
      <c r="D686" s="71"/>
      <c r="I686" s="83"/>
    </row>
    <row r="687">
      <c r="D687" s="71"/>
      <c r="I687" s="83"/>
    </row>
    <row r="688">
      <c r="D688" s="71"/>
      <c r="I688" s="83"/>
    </row>
    <row r="689">
      <c r="D689" s="71"/>
      <c r="I689" s="83"/>
    </row>
    <row r="690">
      <c r="D690" s="71"/>
      <c r="I690" s="83"/>
    </row>
    <row r="691">
      <c r="D691" s="71"/>
      <c r="I691" s="83"/>
    </row>
    <row r="692">
      <c r="D692" s="71"/>
      <c r="I692" s="83"/>
    </row>
    <row r="693">
      <c r="D693" s="71"/>
      <c r="I693" s="83"/>
    </row>
    <row r="694">
      <c r="D694" s="71"/>
      <c r="I694" s="83"/>
    </row>
    <row r="695">
      <c r="D695" s="71"/>
      <c r="I695" s="83"/>
    </row>
    <row r="696">
      <c r="D696" s="71"/>
      <c r="I696" s="83"/>
    </row>
    <row r="697">
      <c r="D697" s="71"/>
      <c r="I697" s="83"/>
    </row>
    <row r="698">
      <c r="D698" s="71"/>
      <c r="I698" s="83"/>
    </row>
    <row r="699">
      <c r="D699" s="71"/>
      <c r="I699" s="83"/>
    </row>
    <row r="700">
      <c r="D700" s="71"/>
      <c r="I700" s="83"/>
    </row>
    <row r="701">
      <c r="D701" s="71"/>
      <c r="I701" s="83"/>
    </row>
    <row r="702">
      <c r="D702" s="71"/>
      <c r="I702" s="83"/>
    </row>
    <row r="703">
      <c r="D703" s="71"/>
      <c r="I703" s="83"/>
    </row>
    <row r="704">
      <c r="D704" s="71"/>
      <c r="I704" s="83"/>
    </row>
    <row r="705">
      <c r="D705" s="71"/>
      <c r="I705" s="83"/>
    </row>
    <row r="706">
      <c r="D706" s="71"/>
      <c r="I706" s="83"/>
    </row>
    <row r="707">
      <c r="D707" s="71"/>
      <c r="I707" s="83"/>
    </row>
    <row r="708">
      <c r="D708" s="71"/>
      <c r="I708" s="83"/>
    </row>
    <row r="709">
      <c r="D709" s="71"/>
      <c r="I709" s="83"/>
    </row>
    <row r="710">
      <c r="D710" s="71"/>
      <c r="I710" s="83"/>
    </row>
    <row r="711">
      <c r="D711" s="71"/>
      <c r="I711" s="83"/>
    </row>
    <row r="712">
      <c r="D712" s="71"/>
      <c r="I712" s="83"/>
    </row>
    <row r="713">
      <c r="D713" s="71"/>
      <c r="I713" s="83"/>
    </row>
    <row r="714">
      <c r="D714" s="71"/>
      <c r="I714" s="83"/>
    </row>
    <row r="715">
      <c r="D715" s="71"/>
      <c r="I715" s="83"/>
    </row>
    <row r="716">
      <c r="D716" s="71"/>
      <c r="I716" s="83"/>
    </row>
    <row r="717">
      <c r="D717" s="71"/>
      <c r="I717" s="83"/>
    </row>
    <row r="718">
      <c r="D718" s="71"/>
      <c r="I718" s="83"/>
    </row>
    <row r="719">
      <c r="D719" s="71"/>
      <c r="I719" s="83"/>
    </row>
    <row r="720">
      <c r="D720" s="71"/>
      <c r="I720" s="83"/>
    </row>
    <row r="721">
      <c r="D721" s="71"/>
      <c r="I721" s="83"/>
    </row>
    <row r="722">
      <c r="D722" s="71"/>
      <c r="I722" s="83"/>
    </row>
    <row r="723">
      <c r="D723" s="71"/>
      <c r="I723" s="83"/>
    </row>
    <row r="724">
      <c r="D724" s="71"/>
      <c r="I724" s="83"/>
    </row>
    <row r="725">
      <c r="D725" s="71"/>
      <c r="I725" s="83"/>
    </row>
    <row r="726">
      <c r="D726" s="71"/>
      <c r="I726" s="83"/>
    </row>
    <row r="727">
      <c r="D727" s="71"/>
      <c r="I727" s="83"/>
    </row>
    <row r="728">
      <c r="D728" s="71"/>
      <c r="I728" s="83"/>
    </row>
    <row r="729">
      <c r="D729" s="71"/>
      <c r="I729" s="83"/>
    </row>
    <row r="730">
      <c r="D730" s="71"/>
      <c r="I730" s="83"/>
    </row>
    <row r="731">
      <c r="D731" s="71"/>
      <c r="I731" s="83"/>
    </row>
    <row r="732">
      <c r="D732" s="71"/>
      <c r="I732" s="83"/>
    </row>
    <row r="733">
      <c r="D733" s="71"/>
      <c r="I733" s="83"/>
    </row>
    <row r="734">
      <c r="D734" s="71"/>
      <c r="I734" s="83"/>
    </row>
    <row r="735">
      <c r="D735" s="71"/>
      <c r="I735" s="83"/>
    </row>
    <row r="736">
      <c r="D736" s="71"/>
      <c r="I736" s="83"/>
    </row>
    <row r="737">
      <c r="D737" s="71"/>
      <c r="I737" s="83"/>
    </row>
    <row r="738">
      <c r="D738" s="71"/>
      <c r="I738" s="83"/>
    </row>
    <row r="739">
      <c r="D739" s="71"/>
      <c r="I739" s="83"/>
    </row>
    <row r="740">
      <c r="D740" s="71"/>
      <c r="I740" s="83"/>
    </row>
    <row r="741">
      <c r="D741" s="71"/>
      <c r="I741" s="83"/>
    </row>
    <row r="742">
      <c r="D742" s="71"/>
      <c r="I742" s="83"/>
    </row>
    <row r="743">
      <c r="D743" s="71"/>
      <c r="I743" s="83"/>
    </row>
    <row r="744">
      <c r="D744" s="71"/>
      <c r="I744" s="83"/>
    </row>
    <row r="745">
      <c r="D745" s="71"/>
      <c r="I745" s="83"/>
    </row>
    <row r="746">
      <c r="D746" s="71"/>
      <c r="I746" s="83"/>
    </row>
    <row r="747">
      <c r="D747" s="71"/>
      <c r="I747" s="83"/>
    </row>
    <row r="748">
      <c r="D748" s="71"/>
      <c r="I748" s="83"/>
    </row>
    <row r="749">
      <c r="D749" s="71"/>
      <c r="I749" s="83"/>
    </row>
    <row r="750">
      <c r="D750" s="71"/>
      <c r="I750" s="83"/>
    </row>
    <row r="751">
      <c r="D751" s="71"/>
      <c r="I751" s="83"/>
    </row>
    <row r="752">
      <c r="D752" s="71"/>
      <c r="I752" s="83"/>
    </row>
    <row r="753">
      <c r="D753" s="71"/>
      <c r="I753" s="83"/>
    </row>
    <row r="754">
      <c r="D754" s="71"/>
      <c r="I754" s="83"/>
    </row>
    <row r="755">
      <c r="D755" s="71"/>
      <c r="I755" s="83"/>
    </row>
    <row r="756">
      <c r="D756" s="71"/>
      <c r="I756" s="83"/>
    </row>
    <row r="757">
      <c r="D757" s="71"/>
      <c r="I757" s="83"/>
    </row>
    <row r="758">
      <c r="D758" s="71"/>
      <c r="I758" s="83"/>
    </row>
    <row r="759">
      <c r="D759" s="71"/>
      <c r="I759" s="83"/>
    </row>
    <row r="760">
      <c r="D760" s="71"/>
      <c r="I760" s="83"/>
    </row>
    <row r="761">
      <c r="D761" s="71"/>
      <c r="I761" s="83"/>
    </row>
    <row r="762">
      <c r="D762" s="71"/>
      <c r="I762" s="83"/>
    </row>
    <row r="763">
      <c r="D763" s="71"/>
      <c r="I763" s="83"/>
    </row>
    <row r="764">
      <c r="D764" s="71"/>
      <c r="I764" s="83"/>
    </row>
    <row r="765">
      <c r="D765" s="71"/>
      <c r="I765" s="83"/>
    </row>
    <row r="766">
      <c r="D766" s="71"/>
      <c r="I766" s="83"/>
    </row>
    <row r="767">
      <c r="D767" s="71"/>
      <c r="I767" s="83"/>
    </row>
    <row r="768">
      <c r="D768" s="71"/>
      <c r="I768" s="83"/>
    </row>
    <row r="769">
      <c r="D769" s="71"/>
      <c r="I769" s="83"/>
    </row>
    <row r="770">
      <c r="D770" s="71"/>
      <c r="I770" s="83"/>
    </row>
    <row r="771">
      <c r="D771" s="71"/>
      <c r="I771" s="83"/>
    </row>
    <row r="772">
      <c r="D772" s="71"/>
      <c r="I772" s="83"/>
    </row>
    <row r="773">
      <c r="D773" s="71"/>
      <c r="I773" s="83"/>
    </row>
    <row r="774">
      <c r="D774" s="71"/>
      <c r="I774" s="83"/>
    </row>
    <row r="775">
      <c r="D775" s="71"/>
      <c r="I775" s="83"/>
    </row>
    <row r="776">
      <c r="D776" s="71"/>
      <c r="I776" s="83"/>
    </row>
    <row r="777">
      <c r="D777" s="71"/>
      <c r="I777" s="83"/>
    </row>
    <row r="778">
      <c r="D778" s="71"/>
      <c r="I778" s="83"/>
    </row>
    <row r="779">
      <c r="D779" s="71"/>
      <c r="I779" s="83"/>
    </row>
    <row r="780">
      <c r="D780" s="71"/>
      <c r="I780" s="83"/>
    </row>
    <row r="781">
      <c r="D781" s="71"/>
      <c r="I781" s="83"/>
    </row>
    <row r="782">
      <c r="D782" s="71"/>
      <c r="I782" s="83"/>
    </row>
    <row r="783">
      <c r="D783" s="71"/>
      <c r="I783" s="83"/>
    </row>
    <row r="784">
      <c r="D784" s="71"/>
      <c r="I784" s="83"/>
    </row>
    <row r="785">
      <c r="D785" s="71"/>
      <c r="I785" s="83"/>
    </row>
    <row r="786">
      <c r="D786" s="71"/>
      <c r="I786" s="83"/>
    </row>
    <row r="787">
      <c r="D787" s="71"/>
      <c r="I787" s="83"/>
    </row>
    <row r="788">
      <c r="D788" s="71"/>
      <c r="I788" s="83"/>
    </row>
    <row r="789">
      <c r="D789" s="71"/>
      <c r="I789" s="83"/>
    </row>
    <row r="790">
      <c r="D790" s="71"/>
      <c r="I790" s="83"/>
    </row>
    <row r="791">
      <c r="D791" s="71"/>
      <c r="I791" s="83"/>
    </row>
    <row r="792">
      <c r="D792" s="71"/>
      <c r="I792" s="83"/>
    </row>
    <row r="793">
      <c r="D793" s="71"/>
      <c r="I793" s="83"/>
    </row>
    <row r="794">
      <c r="D794" s="71"/>
      <c r="I794" s="83"/>
    </row>
    <row r="795">
      <c r="D795" s="71"/>
      <c r="I795" s="83"/>
    </row>
    <row r="796">
      <c r="D796" s="71"/>
      <c r="I796" s="83"/>
    </row>
    <row r="797">
      <c r="D797" s="71"/>
      <c r="I797" s="83"/>
    </row>
    <row r="798">
      <c r="D798" s="71"/>
      <c r="I798" s="83"/>
    </row>
    <row r="799">
      <c r="D799" s="71"/>
      <c r="I799" s="83"/>
    </row>
    <row r="800">
      <c r="D800" s="71"/>
      <c r="I800" s="83"/>
    </row>
    <row r="801">
      <c r="D801" s="71"/>
      <c r="I801" s="83"/>
    </row>
    <row r="802">
      <c r="D802" s="71"/>
      <c r="I802" s="83"/>
    </row>
    <row r="803">
      <c r="D803" s="71"/>
      <c r="I803" s="83"/>
    </row>
    <row r="804">
      <c r="D804" s="71"/>
      <c r="I804" s="83"/>
    </row>
    <row r="805">
      <c r="D805" s="71"/>
      <c r="I805" s="83"/>
    </row>
    <row r="806">
      <c r="D806" s="71"/>
      <c r="I806" s="83"/>
    </row>
    <row r="807">
      <c r="D807" s="71"/>
      <c r="I807" s="83"/>
    </row>
    <row r="808">
      <c r="D808" s="71"/>
      <c r="I808" s="83"/>
    </row>
    <row r="809">
      <c r="D809" s="71"/>
      <c r="I809" s="83"/>
    </row>
    <row r="810">
      <c r="D810" s="71"/>
      <c r="I810" s="83"/>
    </row>
    <row r="811">
      <c r="D811" s="71"/>
      <c r="I811" s="83"/>
    </row>
    <row r="812">
      <c r="D812" s="71"/>
      <c r="I812" s="83"/>
    </row>
    <row r="813">
      <c r="D813" s="71"/>
      <c r="I813" s="83"/>
    </row>
    <row r="814">
      <c r="D814" s="71"/>
      <c r="I814" s="83"/>
    </row>
    <row r="815">
      <c r="D815" s="71"/>
      <c r="I815" s="83"/>
    </row>
    <row r="816">
      <c r="D816" s="71"/>
      <c r="I816" s="83"/>
    </row>
    <row r="817">
      <c r="D817" s="71"/>
      <c r="I817" s="83"/>
    </row>
    <row r="818">
      <c r="D818" s="71"/>
      <c r="I818" s="83"/>
    </row>
    <row r="819">
      <c r="D819" s="71"/>
      <c r="I819" s="83"/>
    </row>
    <row r="820">
      <c r="D820" s="71"/>
      <c r="I820" s="83"/>
    </row>
    <row r="821">
      <c r="D821" s="71"/>
      <c r="I821" s="83"/>
    </row>
    <row r="822">
      <c r="D822" s="71"/>
      <c r="I822" s="83"/>
    </row>
    <row r="823">
      <c r="D823" s="71"/>
      <c r="I823" s="83"/>
    </row>
    <row r="824">
      <c r="D824" s="71"/>
      <c r="I824" s="83"/>
    </row>
    <row r="825">
      <c r="D825" s="71"/>
      <c r="I825" s="83"/>
    </row>
    <row r="826">
      <c r="D826" s="71"/>
      <c r="I826" s="83"/>
    </row>
    <row r="827">
      <c r="D827" s="71"/>
      <c r="I827" s="83"/>
    </row>
    <row r="828">
      <c r="D828" s="71"/>
      <c r="I828" s="83"/>
    </row>
    <row r="829">
      <c r="D829" s="71"/>
      <c r="I829" s="83"/>
    </row>
    <row r="830">
      <c r="D830" s="71"/>
      <c r="I830" s="83"/>
    </row>
    <row r="831">
      <c r="D831" s="71"/>
      <c r="I831" s="83"/>
    </row>
    <row r="832">
      <c r="D832" s="71"/>
      <c r="I832" s="83"/>
    </row>
    <row r="833">
      <c r="D833" s="71"/>
      <c r="I833" s="83"/>
    </row>
    <row r="834">
      <c r="D834" s="71"/>
      <c r="I834" s="83"/>
    </row>
    <row r="835">
      <c r="D835" s="71"/>
      <c r="I835" s="83"/>
    </row>
    <row r="836">
      <c r="D836" s="71"/>
      <c r="I836" s="83"/>
    </row>
    <row r="837">
      <c r="D837" s="71"/>
      <c r="I837" s="83"/>
    </row>
    <row r="838">
      <c r="D838" s="71"/>
      <c r="I838" s="83"/>
    </row>
    <row r="839">
      <c r="D839" s="71"/>
      <c r="I839" s="83"/>
    </row>
    <row r="840">
      <c r="D840" s="71"/>
      <c r="I840" s="83"/>
    </row>
    <row r="841">
      <c r="D841" s="71"/>
      <c r="I841" s="83"/>
    </row>
    <row r="842">
      <c r="D842" s="71"/>
      <c r="I842" s="83"/>
    </row>
    <row r="843">
      <c r="D843" s="71"/>
      <c r="I843" s="83"/>
    </row>
    <row r="844">
      <c r="D844" s="71"/>
      <c r="I844" s="83"/>
    </row>
    <row r="845">
      <c r="D845" s="71"/>
      <c r="I845" s="83"/>
    </row>
    <row r="846">
      <c r="D846" s="71"/>
      <c r="I846" s="83"/>
    </row>
    <row r="847">
      <c r="D847" s="71"/>
      <c r="I847" s="83"/>
    </row>
    <row r="848">
      <c r="D848" s="71"/>
      <c r="I848" s="83"/>
    </row>
    <row r="849">
      <c r="D849" s="71"/>
      <c r="I849" s="83"/>
    </row>
    <row r="850">
      <c r="D850" s="71"/>
      <c r="I850" s="83"/>
    </row>
    <row r="851">
      <c r="D851" s="71"/>
      <c r="I851" s="83"/>
    </row>
    <row r="852">
      <c r="D852" s="71"/>
      <c r="I852" s="83"/>
    </row>
    <row r="853">
      <c r="D853" s="71"/>
      <c r="I853" s="83"/>
    </row>
    <row r="854">
      <c r="D854" s="71"/>
      <c r="I854" s="83"/>
    </row>
    <row r="855">
      <c r="D855" s="71"/>
      <c r="I855" s="83"/>
    </row>
    <row r="856">
      <c r="D856" s="71"/>
      <c r="I856" s="83"/>
    </row>
    <row r="857">
      <c r="D857" s="71"/>
      <c r="I857" s="83"/>
    </row>
    <row r="858">
      <c r="D858" s="71"/>
      <c r="I858" s="83"/>
    </row>
    <row r="859">
      <c r="D859" s="71"/>
      <c r="I859" s="83"/>
    </row>
    <row r="860">
      <c r="D860" s="71"/>
      <c r="I860" s="83"/>
    </row>
    <row r="861">
      <c r="D861" s="71"/>
      <c r="I861" s="83"/>
    </row>
    <row r="862">
      <c r="D862" s="71"/>
      <c r="I862" s="83"/>
    </row>
    <row r="863">
      <c r="D863" s="71"/>
      <c r="I863" s="83"/>
    </row>
    <row r="864">
      <c r="D864" s="71"/>
      <c r="I864" s="83"/>
    </row>
    <row r="865">
      <c r="D865" s="71"/>
      <c r="I865" s="83"/>
    </row>
    <row r="866">
      <c r="D866" s="71"/>
      <c r="I866" s="83"/>
    </row>
    <row r="867">
      <c r="D867" s="71"/>
      <c r="I867" s="83"/>
    </row>
    <row r="868">
      <c r="D868" s="71"/>
      <c r="I868" s="83"/>
    </row>
    <row r="869">
      <c r="D869" s="71"/>
      <c r="I869" s="83"/>
    </row>
    <row r="870">
      <c r="D870" s="71"/>
      <c r="I870" s="83"/>
    </row>
    <row r="871">
      <c r="D871" s="71"/>
      <c r="I871" s="83"/>
    </row>
    <row r="872">
      <c r="D872" s="71"/>
      <c r="I872" s="83"/>
    </row>
    <row r="873">
      <c r="D873" s="71"/>
      <c r="I873" s="83"/>
    </row>
    <row r="874">
      <c r="D874" s="71"/>
      <c r="I874" s="83"/>
    </row>
    <row r="875">
      <c r="D875" s="71"/>
      <c r="I875" s="83"/>
    </row>
    <row r="876">
      <c r="D876" s="71"/>
      <c r="I876" s="83"/>
    </row>
    <row r="877">
      <c r="D877" s="71"/>
      <c r="I877" s="83"/>
    </row>
    <row r="878">
      <c r="D878" s="71"/>
      <c r="I878" s="83"/>
    </row>
    <row r="879">
      <c r="D879" s="71"/>
      <c r="I879" s="83"/>
    </row>
    <row r="880">
      <c r="D880" s="71"/>
      <c r="I880" s="83"/>
    </row>
    <row r="881">
      <c r="D881" s="71"/>
      <c r="I881" s="83"/>
    </row>
    <row r="882">
      <c r="D882" s="71"/>
      <c r="I882" s="83"/>
    </row>
    <row r="883">
      <c r="D883" s="71"/>
      <c r="I883" s="83"/>
    </row>
    <row r="884">
      <c r="D884" s="71"/>
      <c r="I884" s="83"/>
    </row>
    <row r="885">
      <c r="D885" s="71"/>
      <c r="I885" s="83"/>
    </row>
    <row r="886">
      <c r="D886" s="71"/>
      <c r="I886" s="83"/>
    </row>
    <row r="887">
      <c r="D887" s="71"/>
      <c r="I887" s="83"/>
    </row>
    <row r="888">
      <c r="D888" s="71"/>
      <c r="I888" s="83"/>
    </row>
    <row r="889">
      <c r="D889" s="71"/>
      <c r="I889" s="83"/>
    </row>
    <row r="890">
      <c r="D890" s="71"/>
      <c r="I890" s="83"/>
    </row>
    <row r="891">
      <c r="D891" s="71"/>
      <c r="I891" s="83"/>
    </row>
    <row r="892">
      <c r="D892" s="71"/>
      <c r="I892" s="83"/>
    </row>
    <row r="893">
      <c r="D893" s="71"/>
      <c r="I893" s="83"/>
    </row>
    <row r="894">
      <c r="D894" s="71"/>
      <c r="I894" s="83"/>
    </row>
    <row r="895">
      <c r="D895" s="71"/>
      <c r="I895" s="83"/>
    </row>
    <row r="896">
      <c r="D896" s="71"/>
      <c r="I896" s="83"/>
    </row>
    <row r="897">
      <c r="D897" s="71"/>
      <c r="I897" s="83"/>
    </row>
    <row r="898">
      <c r="D898" s="71"/>
      <c r="I898" s="83"/>
    </row>
    <row r="899">
      <c r="D899" s="71"/>
      <c r="I899" s="83"/>
    </row>
    <row r="900">
      <c r="D900" s="71"/>
      <c r="I900" s="83"/>
    </row>
    <row r="901">
      <c r="D901" s="71"/>
      <c r="I901" s="83"/>
    </row>
    <row r="902">
      <c r="D902" s="71"/>
      <c r="I902" s="83"/>
    </row>
    <row r="903">
      <c r="D903" s="71"/>
      <c r="I903" s="83"/>
    </row>
    <row r="904">
      <c r="D904" s="71"/>
      <c r="I904" s="83"/>
    </row>
    <row r="905">
      <c r="D905" s="71"/>
      <c r="I905" s="83"/>
    </row>
    <row r="906">
      <c r="D906" s="71"/>
      <c r="I906" s="83"/>
    </row>
    <row r="907">
      <c r="D907" s="71"/>
      <c r="I907" s="83"/>
    </row>
    <row r="908">
      <c r="D908" s="71"/>
      <c r="I908" s="83"/>
    </row>
    <row r="909">
      <c r="D909" s="71"/>
      <c r="I909" s="83"/>
    </row>
    <row r="910">
      <c r="D910" s="71"/>
      <c r="I910" s="83"/>
    </row>
    <row r="911">
      <c r="D911" s="71"/>
      <c r="I911" s="83"/>
    </row>
    <row r="912">
      <c r="D912" s="71"/>
      <c r="I912" s="83"/>
    </row>
    <row r="913">
      <c r="D913" s="71"/>
      <c r="I913" s="83"/>
    </row>
    <row r="914">
      <c r="D914" s="71"/>
      <c r="I914" s="83"/>
    </row>
    <row r="915">
      <c r="D915" s="71"/>
      <c r="I915" s="83"/>
    </row>
    <row r="916">
      <c r="D916" s="71"/>
      <c r="I916" s="83"/>
    </row>
    <row r="917">
      <c r="D917" s="71"/>
      <c r="I917" s="83"/>
    </row>
    <row r="918">
      <c r="D918" s="71"/>
      <c r="I918" s="83"/>
    </row>
    <row r="919">
      <c r="D919" s="71"/>
      <c r="I919" s="83"/>
    </row>
    <row r="920">
      <c r="D920" s="71"/>
      <c r="I920" s="83"/>
    </row>
    <row r="921">
      <c r="D921" s="71"/>
      <c r="I921" s="83"/>
    </row>
    <row r="922">
      <c r="D922" s="71"/>
      <c r="I922" s="83"/>
    </row>
    <row r="923">
      <c r="D923" s="71"/>
      <c r="I923" s="83"/>
    </row>
    <row r="924">
      <c r="D924" s="71"/>
      <c r="I924" s="83"/>
    </row>
    <row r="925">
      <c r="D925" s="71"/>
      <c r="I925" s="83"/>
    </row>
    <row r="926">
      <c r="D926" s="71"/>
      <c r="I926" s="83"/>
    </row>
    <row r="927">
      <c r="D927" s="71"/>
      <c r="I927" s="83"/>
    </row>
    <row r="928">
      <c r="D928" s="71"/>
      <c r="I928" s="83"/>
    </row>
    <row r="929">
      <c r="D929" s="71"/>
      <c r="I929" s="83"/>
    </row>
    <row r="930">
      <c r="D930" s="71"/>
      <c r="I930" s="83"/>
    </row>
    <row r="931">
      <c r="D931" s="71"/>
      <c r="I931" s="83"/>
    </row>
    <row r="932">
      <c r="D932" s="71"/>
      <c r="I932" s="83"/>
    </row>
    <row r="933">
      <c r="D933" s="71"/>
      <c r="I933" s="83"/>
    </row>
    <row r="934">
      <c r="D934" s="71"/>
      <c r="I934" s="83"/>
    </row>
    <row r="935">
      <c r="D935" s="71"/>
      <c r="I935" s="83"/>
    </row>
    <row r="936">
      <c r="D936" s="71"/>
      <c r="I936" s="83"/>
    </row>
    <row r="937">
      <c r="D937" s="71"/>
      <c r="I937" s="83"/>
    </row>
    <row r="938">
      <c r="D938" s="71"/>
      <c r="I938" s="83"/>
    </row>
    <row r="939">
      <c r="D939" s="71"/>
      <c r="I939" s="83"/>
    </row>
    <row r="940">
      <c r="D940" s="71"/>
      <c r="I940" s="83"/>
    </row>
    <row r="941">
      <c r="D941" s="71"/>
      <c r="I941" s="83"/>
    </row>
    <row r="942">
      <c r="D942" s="71"/>
      <c r="I942" s="83"/>
    </row>
    <row r="943">
      <c r="D943" s="71"/>
      <c r="I943" s="83"/>
    </row>
    <row r="944">
      <c r="D944" s="71"/>
      <c r="I944" s="83"/>
    </row>
    <row r="945">
      <c r="D945" s="71"/>
      <c r="I945" s="83"/>
    </row>
    <row r="946">
      <c r="D946" s="71"/>
      <c r="I946" s="83"/>
    </row>
    <row r="947">
      <c r="D947" s="71"/>
      <c r="I947" s="83"/>
    </row>
    <row r="948">
      <c r="D948" s="71"/>
      <c r="I948" s="83"/>
    </row>
    <row r="949">
      <c r="D949" s="71"/>
      <c r="I949" s="83"/>
    </row>
    <row r="950">
      <c r="D950" s="71"/>
      <c r="I950" s="83"/>
    </row>
    <row r="951">
      <c r="D951" s="71"/>
      <c r="I951" s="83"/>
    </row>
    <row r="952">
      <c r="D952" s="71"/>
      <c r="I952" s="83"/>
    </row>
    <row r="953">
      <c r="D953" s="71"/>
      <c r="I953" s="83"/>
    </row>
    <row r="954">
      <c r="D954" s="71"/>
      <c r="I954" s="83"/>
    </row>
    <row r="955">
      <c r="D955" s="71"/>
      <c r="I955" s="83"/>
    </row>
    <row r="956">
      <c r="D956" s="71"/>
      <c r="I956" s="83"/>
    </row>
    <row r="957">
      <c r="D957" s="71"/>
      <c r="I957" s="83"/>
    </row>
    <row r="958">
      <c r="D958" s="71"/>
      <c r="I958" s="83"/>
    </row>
    <row r="959">
      <c r="D959" s="71"/>
      <c r="I959" s="83"/>
    </row>
    <row r="960">
      <c r="D960" s="71"/>
      <c r="I960" s="83"/>
    </row>
    <row r="961">
      <c r="D961" s="71"/>
      <c r="I961" s="83"/>
    </row>
    <row r="962">
      <c r="D962" s="71"/>
      <c r="I962" s="83"/>
    </row>
    <row r="963">
      <c r="D963" s="71"/>
      <c r="I963" s="83"/>
    </row>
    <row r="964">
      <c r="D964" s="71"/>
      <c r="I964" s="83"/>
    </row>
    <row r="965">
      <c r="D965" s="71"/>
      <c r="I965" s="83"/>
    </row>
    <row r="966">
      <c r="D966" s="71"/>
      <c r="I966" s="83"/>
    </row>
    <row r="967">
      <c r="D967" s="71"/>
      <c r="I967" s="83"/>
    </row>
    <row r="968">
      <c r="D968" s="71"/>
      <c r="I968" s="83"/>
    </row>
    <row r="969">
      <c r="D969" s="71"/>
      <c r="I969" s="83"/>
    </row>
    <row r="970">
      <c r="D970" s="71"/>
      <c r="I970" s="83"/>
    </row>
    <row r="971">
      <c r="D971" s="71"/>
      <c r="I971" s="83"/>
    </row>
    <row r="972">
      <c r="D972" s="71"/>
      <c r="I972" s="83"/>
    </row>
    <row r="973">
      <c r="D973" s="71"/>
      <c r="I973" s="83"/>
    </row>
    <row r="974">
      <c r="D974" s="71"/>
      <c r="I974" s="83"/>
    </row>
    <row r="975">
      <c r="D975" s="71"/>
      <c r="I975" s="83"/>
    </row>
    <row r="976">
      <c r="D976" s="71"/>
      <c r="I976" s="83"/>
    </row>
    <row r="977">
      <c r="D977" s="71"/>
      <c r="I977" s="83"/>
    </row>
    <row r="978">
      <c r="D978" s="71"/>
      <c r="I978" s="83"/>
    </row>
    <row r="979">
      <c r="D979" s="71"/>
      <c r="I979" s="83"/>
    </row>
    <row r="980">
      <c r="D980" s="71"/>
      <c r="I980" s="83"/>
    </row>
    <row r="981">
      <c r="D981" s="71"/>
      <c r="I981" s="83"/>
    </row>
    <row r="982">
      <c r="D982" s="71"/>
      <c r="I982" s="83"/>
    </row>
    <row r="983">
      <c r="D983" s="71"/>
      <c r="I983" s="83"/>
    </row>
    <row r="984">
      <c r="D984" s="71"/>
      <c r="I984" s="83"/>
    </row>
    <row r="985">
      <c r="D985" s="71"/>
      <c r="I985" s="83"/>
    </row>
    <row r="986">
      <c r="D986" s="71"/>
      <c r="I986" s="83"/>
    </row>
    <row r="987">
      <c r="D987" s="71"/>
      <c r="I987" s="83"/>
    </row>
    <row r="988">
      <c r="D988" s="71"/>
      <c r="I988" s="83"/>
    </row>
    <row r="989">
      <c r="D989" s="71"/>
      <c r="I989" s="83"/>
    </row>
    <row r="990">
      <c r="D990" s="71"/>
      <c r="I990" s="83"/>
    </row>
    <row r="991">
      <c r="D991" s="71"/>
      <c r="I991" s="83"/>
    </row>
    <row r="992">
      <c r="D992" s="71"/>
      <c r="I992" s="83"/>
    </row>
    <row r="993">
      <c r="D993" s="71"/>
      <c r="I993" s="83"/>
    </row>
    <row r="994">
      <c r="D994" s="71"/>
      <c r="I994" s="83"/>
    </row>
    <row r="995">
      <c r="D995" s="71"/>
      <c r="I995" s="83"/>
    </row>
    <row r="996">
      <c r="D996" s="71"/>
      <c r="I996" s="83"/>
    </row>
    <row r="997">
      <c r="D997" s="71"/>
      <c r="I997" s="83"/>
    </row>
    <row r="998">
      <c r="D998" s="71"/>
      <c r="I998" s="83"/>
    </row>
    <row r="999">
      <c r="D999" s="71"/>
      <c r="I999" s="83"/>
    </row>
    <row r="1000">
      <c r="D1000" s="71"/>
      <c r="I1000" s="83"/>
    </row>
    <row r="1001">
      <c r="D1001" s="71"/>
      <c r="I1001" s="83"/>
    </row>
    <row r="1002">
      <c r="D1002" s="71"/>
      <c r="I1002" s="83"/>
    </row>
    <row r="1003">
      <c r="D1003" s="71"/>
      <c r="I1003" s="83"/>
    </row>
    <row r="1004">
      <c r="D1004" s="71"/>
      <c r="I1004" s="83"/>
    </row>
    <row r="1005">
      <c r="D1005" s="71"/>
      <c r="I1005" s="83"/>
    </row>
    <row r="1006">
      <c r="D1006" s="71"/>
      <c r="I1006" s="83"/>
    </row>
    <row r="1007">
      <c r="D1007" s="71"/>
      <c r="I1007" s="83"/>
    </row>
    <row r="1008">
      <c r="D1008" s="71"/>
      <c r="I1008" s="83"/>
    </row>
    <row r="1009">
      <c r="D1009" s="71"/>
      <c r="I1009" s="83"/>
    </row>
    <row r="1010">
      <c r="D1010" s="71"/>
      <c r="I1010" s="83"/>
    </row>
    <row r="1011">
      <c r="D1011" s="71"/>
      <c r="I1011" s="83"/>
    </row>
  </sheetData>
  <mergeCells count="1">
    <mergeCell ref="B1:N1"/>
  </mergeCells>
  <conditionalFormatting sqref="Q4:R19">
    <cfRule type="containsText" dxfId="5" priority="1" operator="containsText" text="PASS">
      <formula>NOT(ISERROR(SEARCH(("PASS"),(Q4))))</formula>
    </cfRule>
  </conditionalFormatting>
  <conditionalFormatting sqref="Q4:R19">
    <cfRule type="containsText" dxfId="6" priority="2" operator="containsText" text="FAIL">
      <formula>NOT(ISERROR(SEARCH(("FAIL"),(Q4))))</formula>
    </cfRule>
  </conditionalFormatting>
  <dataValidations>
    <dataValidation type="list" allowBlank="1" sqref="G4:G41">
      <formula1>#REF!</formula1>
    </dataValidation>
    <dataValidation type="custom" allowBlank="1" showDropDown="1" sqref="A4:B41">
      <formula1>OR(NOT(ISERROR(DATEVALUE(A4))), AND(ISNUMBER(A4), LEFT(CELL("format", A4))="D"))</formula1>
    </dataValidation>
    <dataValidation type="list" allowBlank="1" sqref="H4:H41">
      <formula1>#REF!</formula1>
    </dataValidation>
    <dataValidation type="list" allowBlank="1" sqref="N4:P41">
      <formula1>"PASS,FAIL"</formula1>
    </dataValidation>
    <dataValidation type="list" allowBlank="1" sqref="E4:E41">
      <formula1>#REF!</formula1>
    </dataValidation>
    <dataValidation type="custom" allowBlank="1" showDropDown="1" sqref="I4:I41 R4:R41">
      <formula1>AND(ISNUMBER(I4),(NOT(OR(NOT(ISERROR(DATEVALUE(I4))), AND(ISNUMBER(I4), LEFT(CELL("format", I4))="D")))))</formula1>
    </dataValidation>
    <dataValidation type="list" allowBlank="1" sqref="J4:J41">
      <formula1>#REF!</formula1>
    </dataValidation>
    <dataValidation type="list" allowBlank="1" showErrorMessage="1" sqref="C4:C41">
      <formula1>#REF!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43"/>
  </cols>
  <sheetData>
    <row r="2">
      <c r="A2" s="3" t="s">
        <v>1</v>
      </c>
      <c r="B2" s="5" t="s">
        <v>2</v>
      </c>
      <c r="C2" s="5" t="s">
        <v>4</v>
      </c>
      <c r="D2" s="6" t="s">
        <v>5</v>
      </c>
      <c r="E2" s="7" t="s">
        <v>6</v>
      </c>
      <c r="J2" s="9"/>
    </row>
    <row r="3">
      <c r="A3" s="11" t="s">
        <v>7</v>
      </c>
      <c r="B3" s="11" t="s">
        <v>8</v>
      </c>
      <c r="C3" s="11" t="s">
        <v>9</v>
      </c>
      <c r="D3" s="13" t="s">
        <v>11</v>
      </c>
      <c r="E3" s="11" t="s">
        <v>13</v>
      </c>
    </row>
    <row r="4">
      <c r="A4" s="11" t="s">
        <v>16</v>
      </c>
      <c r="B4" s="11" t="s">
        <v>18</v>
      </c>
      <c r="C4" s="11" t="s">
        <v>19</v>
      </c>
      <c r="D4" s="11" t="s">
        <v>20</v>
      </c>
      <c r="E4" s="11" t="s">
        <v>21</v>
      </c>
    </row>
    <row r="5">
      <c r="A5" s="11" t="s">
        <v>22</v>
      </c>
      <c r="B5" s="11" t="s">
        <v>23</v>
      </c>
      <c r="C5" s="11" t="s">
        <v>8</v>
      </c>
      <c r="D5" s="11" t="s">
        <v>24</v>
      </c>
      <c r="E5" s="11" t="s">
        <v>25</v>
      </c>
    </row>
    <row r="6">
      <c r="A6" s="11" t="s">
        <v>27</v>
      </c>
      <c r="B6" s="11" t="s">
        <v>28</v>
      </c>
      <c r="C6" s="11" t="s">
        <v>29</v>
      </c>
      <c r="D6" s="11" t="s">
        <v>30</v>
      </c>
      <c r="E6" s="11" t="s">
        <v>31</v>
      </c>
    </row>
    <row r="7">
      <c r="A7" s="11" t="s">
        <v>32</v>
      </c>
      <c r="B7" s="11" t="s">
        <v>33</v>
      </c>
      <c r="C7" s="11" t="s">
        <v>35</v>
      </c>
      <c r="D7" s="11" t="s">
        <v>36</v>
      </c>
      <c r="E7" s="18"/>
    </row>
    <row r="8">
      <c r="A8" s="11" t="s">
        <v>40</v>
      </c>
      <c r="B8" s="11" t="s">
        <v>42</v>
      </c>
      <c r="C8" s="11" t="s">
        <v>43</v>
      </c>
      <c r="D8" s="11" t="s">
        <v>44</v>
      </c>
      <c r="E8" s="18"/>
    </row>
    <row r="9">
      <c r="A9" s="11" t="s">
        <v>45</v>
      </c>
      <c r="B9" s="11" t="s">
        <v>46</v>
      </c>
      <c r="C9" s="11" t="s">
        <v>47</v>
      </c>
      <c r="D9" s="11" t="s">
        <v>48</v>
      </c>
      <c r="E9" s="18"/>
    </row>
    <row r="10">
      <c r="A10" s="11" t="s">
        <v>49</v>
      </c>
      <c r="B10" s="11" t="s">
        <v>50</v>
      </c>
      <c r="C10" s="11" t="s">
        <v>50</v>
      </c>
      <c r="D10" s="11" t="s">
        <v>51</v>
      </c>
      <c r="E10" s="18"/>
    </row>
    <row r="11">
      <c r="A11" s="11" t="s">
        <v>52</v>
      </c>
      <c r="B11" s="18"/>
      <c r="C11" s="11" t="s">
        <v>53</v>
      </c>
      <c r="D11" s="18"/>
      <c r="E11" s="18"/>
    </row>
    <row r="12">
      <c r="A12" s="11" t="s">
        <v>54</v>
      </c>
      <c r="B12" s="18"/>
      <c r="C12" s="11" t="s">
        <v>55</v>
      </c>
      <c r="D12" s="11" t="s">
        <v>56</v>
      </c>
      <c r="E12" s="18"/>
    </row>
    <row r="13">
      <c r="A13" s="11" t="s">
        <v>57</v>
      </c>
      <c r="B13" s="18"/>
      <c r="C13" s="11" t="s">
        <v>58</v>
      </c>
      <c r="D13" s="11" t="s">
        <v>60</v>
      </c>
      <c r="E13" s="18"/>
    </row>
    <row r="14">
      <c r="A14" s="11" t="s">
        <v>61</v>
      </c>
      <c r="B14" s="18"/>
      <c r="C14" s="11" t="s">
        <v>63</v>
      </c>
      <c r="D14" s="11" t="s">
        <v>64</v>
      </c>
      <c r="E14" s="18"/>
    </row>
    <row r="15">
      <c r="A15" s="18"/>
      <c r="B15" s="18"/>
      <c r="C15" s="11" t="s">
        <v>46</v>
      </c>
      <c r="D15" s="11" t="s">
        <v>65</v>
      </c>
      <c r="E15" s="18"/>
    </row>
    <row r="16">
      <c r="A16" s="18"/>
      <c r="B16" s="18"/>
      <c r="C16" s="11" t="s">
        <v>18</v>
      </c>
      <c r="D16" s="11" t="s">
        <v>66</v>
      </c>
      <c r="E16" s="18"/>
    </row>
    <row r="17">
      <c r="A17" s="18"/>
      <c r="B17" s="18"/>
      <c r="C17" s="11" t="s">
        <v>33</v>
      </c>
      <c r="D17" s="18"/>
      <c r="E17" s="18"/>
    </row>
    <row r="18">
      <c r="A18" s="18"/>
      <c r="B18" s="18"/>
      <c r="C18" s="18"/>
      <c r="D18" s="18"/>
      <c r="E18" s="18"/>
    </row>
    <row r="19">
      <c r="A19" s="18"/>
      <c r="B19" s="18"/>
      <c r="C19" s="18"/>
      <c r="D19" s="18"/>
      <c r="E19" s="18"/>
    </row>
    <row r="20">
      <c r="A20" s="18"/>
      <c r="B20" s="18"/>
      <c r="C20" s="18"/>
      <c r="D20" s="18"/>
      <c r="E20" s="18"/>
    </row>
    <row r="21">
      <c r="A21" s="18"/>
      <c r="B21" s="18"/>
      <c r="C21" s="18"/>
      <c r="D21" s="18"/>
      <c r="E21" s="18"/>
    </row>
    <row r="22">
      <c r="A22" s="18"/>
      <c r="B22" s="18"/>
      <c r="C22" s="18"/>
      <c r="D22" s="18"/>
      <c r="E22" s="18"/>
    </row>
    <row r="23">
      <c r="A23" s="18"/>
      <c r="B23" s="18"/>
      <c r="C23" s="18"/>
      <c r="D23" s="18"/>
      <c r="E23" s="18"/>
    </row>
    <row r="24">
      <c r="A24" s="18"/>
      <c r="B24" s="18"/>
      <c r="C24" s="18"/>
      <c r="D24" s="18"/>
      <c r="E24" s="18"/>
    </row>
    <row r="25">
      <c r="A25" s="18"/>
      <c r="B25" s="18"/>
      <c r="C25" s="18"/>
      <c r="D25" s="18"/>
      <c r="E25" s="18"/>
    </row>
    <row r="26">
      <c r="A26" s="18"/>
      <c r="B26" s="18"/>
      <c r="C26" s="18"/>
      <c r="D26" s="18"/>
      <c r="E26" s="18"/>
    </row>
    <row r="27">
      <c r="A27" s="18"/>
      <c r="B27" s="18"/>
      <c r="C27" s="18"/>
      <c r="D27" s="18"/>
      <c r="E27" s="18"/>
    </row>
    <row r="28">
      <c r="A28" s="18"/>
      <c r="B28" s="18"/>
      <c r="C28" s="18"/>
      <c r="D28" s="18"/>
      <c r="E28" s="18"/>
    </row>
    <row r="29">
      <c r="A29" s="18"/>
      <c r="B29" s="18"/>
      <c r="C29" s="18"/>
      <c r="D29" s="18"/>
      <c r="E29" s="18"/>
    </row>
    <row r="30">
      <c r="A30" s="18"/>
      <c r="B30" s="18"/>
      <c r="C30" s="18"/>
      <c r="D30" s="18"/>
      <c r="E30" s="18"/>
    </row>
    <row r="31">
      <c r="A31" s="18"/>
      <c r="B31" s="18"/>
      <c r="C31" s="18"/>
      <c r="D31" s="18"/>
      <c r="E31" s="18"/>
    </row>
    <row r="32">
      <c r="A32" s="18"/>
      <c r="B32" s="18"/>
      <c r="C32" s="18"/>
      <c r="D32" s="18"/>
      <c r="E32" s="18"/>
    </row>
    <row r="33">
      <c r="A33" s="18"/>
      <c r="B33" s="18"/>
      <c r="C33" s="18"/>
      <c r="D33" s="18"/>
      <c r="E33" s="18"/>
    </row>
    <row r="34">
      <c r="A34" s="18"/>
      <c r="B34" s="18"/>
      <c r="C34" s="18"/>
      <c r="D34" s="18"/>
      <c r="E34" s="18"/>
    </row>
    <row r="35">
      <c r="A35" s="18"/>
      <c r="B35" s="18"/>
      <c r="C35" s="18"/>
      <c r="D35" s="18"/>
      <c r="E35" s="18"/>
    </row>
    <row r="36">
      <c r="A36" s="18"/>
      <c r="B36" s="18"/>
      <c r="C36" s="18"/>
      <c r="D36" s="18"/>
      <c r="E36" s="18"/>
    </row>
    <row r="37">
      <c r="A37" s="18"/>
      <c r="B37" s="18"/>
      <c r="C37" s="18"/>
      <c r="D37" s="18"/>
      <c r="E37" s="18"/>
    </row>
    <row r="38">
      <c r="A38" s="18"/>
      <c r="B38" s="18"/>
      <c r="C38" s="18"/>
      <c r="D38" s="18"/>
      <c r="E38" s="18"/>
    </row>
    <row r="39">
      <c r="A39" s="18"/>
      <c r="B39" s="18"/>
      <c r="C39" s="18"/>
      <c r="D39" s="18"/>
      <c r="E39" s="18"/>
    </row>
    <row r="40">
      <c r="A40" s="18"/>
      <c r="B40" s="18"/>
      <c r="C40" s="18"/>
      <c r="D40" s="18"/>
      <c r="E40" s="18"/>
    </row>
    <row r="41">
      <c r="A41" s="18"/>
      <c r="B41" s="18"/>
      <c r="C41" s="18"/>
      <c r="D41" s="18"/>
      <c r="E41" s="18"/>
    </row>
    <row r="42">
      <c r="A42" s="18"/>
      <c r="B42" s="18"/>
      <c r="C42" s="18"/>
      <c r="D42" s="18"/>
      <c r="E42" s="18"/>
    </row>
    <row r="43">
      <c r="A43" s="18"/>
      <c r="B43" s="18"/>
      <c r="C43" s="18"/>
      <c r="D43" s="18"/>
      <c r="E43" s="18"/>
    </row>
    <row r="44">
      <c r="A44" s="18"/>
      <c r="B44" s="18"/>
      <c r="C44" s="18"/>
      <c r="D44" s="18"/>
      <c r="E44" s="18"/>
    </row>
    <row r="45">
      <c r="A45" s="18"/>
      <c r="B45" s="18"/>
      <c r="C45" s="18"/>
      <c r="D45" s="18"/>
      <c r="E45" s="18"/>
    </row>
    <row r="46">
      <c r="A46" s="18"/>
      <c r="B46" s="18"/>
      <c r="C46" s="18"/>
      <c r="D46" s="18"/>
      <c r="E46" s="18"/>
    </row>
    <row r="47">
      <c r="A47" s="18"/>
      <c r="B47" s="18"/>
      <c r="C47" s="18"/>
      <c r="D47" s="18"/>
      <c r="E47" s="18"/>
    </row>
    <row r="48">
      <c r="A48" s="18"/>
      <c r="B48" s="18"/>
      <c r="C48" s="18"/>
      <c r="D48" s="18"/>
      <c r="E48" s="18"/>
    </row>
    <row r="49">
      <c r="A49" s="18"/>
      <c r="B49" s="18"/>
      <c r="C49" s="18"/>
      <c r="D49" s="18"/>
      <c r="E49" s="18"/>
    </row>
    <row r="50">
      <c r="A50" s="18"/>
      <c r="B50" s="18"/>
      <c r="C50" s="18"/>
      <c r="D50" s="18"/>
      <c r="E50" s="1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2026-07-23T07:22:58Z</dcterms:created>
  <dc:creator>openpyxl</dc:creator>
</cp:coreProperties>
</file>