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Finished Goods Outward" sheetId="2" r:id="rId5"/>
    <sheet state="visible" name="Data" sheetId="3" r:id="rId6"/>
  </sheets>
  <definedNames>
    <definedName hidden="1" localSheetId="1" name="_xlnm._FilterDatabase">'Finished Goods Outward'!$A$1:$V$55</definedName>
  </definedNames>
  <calcPr/>
  <extLst>
    <ext uri="GoogleSheetsCustomDataVersion2">
      <go:sheetsCustomData xmlns:go="http://customooxmlschemas.google.com/" r:id="rId7" roundtripDataChecksum="xQvMbIKswr2rxofkXJVwhEwIN1Si60kcgTpNjrbi/pU="/>
    </ext>
  </extLst>
</workbook>
</file>

<file path=xl/sharedStrings.xml><?xml version="1.0" encoding="utf-8"?>
<sst xmlns="http://schemas.openxmlformats.org/spreadsheetml/2006/main" count="583" uniqueCount="202">
  <si>
    <t>Customer</t>
  </si>
  <si>
    <t>FINISHED GOODS OUTWARD INSPECTION</t>
  </si>
  <si>
    <t>Product</t>
  </si>
  <si>
    <t>Product type</t>
  </si>
  <si>
    <t>Size</t>
  </si>
  <si>
    <t>UOM</t>
  </si>
  <si>
    <t>Transporter</t>
  </si>
  <si>
    <t>Connection pipe with label</t>
  </si>
  <si>
    <t>Category</t>
  </si>
  <si>
    <t>Braded 13.5mm</t>
  </si>
  <si>
    <t>Entries</t>
  </si>
  <si>
    <t>12 inch</t>
  </si>
  <si>
    <t>Outward Qty</t>
  </si>
  <si>
    <t>Kgs</t>
  </si>
  <si>
    <t>Items Checked</t>
  </si>
  <si>
    <t>VRL Attibele</t>
  </si>
  <si>
    <t>Un checked</t>
  </si>
  <si>
    <t>Connection pipe with cover</t>
  </si>
  <si>
    <t>Non-Braded 13mm</t>
  </si>
  <si>
    <t>18 inch</t>
  </si>
  <si>
    <t>Rolls</t>
  </si>
  <si>
    <t>Porter</t>
  </si>
  <si>
    <t>Connection pipe with nut</t>
  </si>
  <si>
    <t>Nutset</t>
  </si>
  <si>
    <t>24 inch</t>
  </si>
  <si>
    <t>Pcs</t>
  </si>
  <si>
    <t>Result</t>
  </si>
  <si>
    <t>-</t>
  </si>
  <si>
    <t>Count</t>
  </si>
  <si>
    <t>Connection pipe</t>
  </si>
  <si>
    <t>L-Round nut</t>
  </si>
  <si>
    <t>30 inch</t>
  </si>
  <si>
    <t>Bags</t>
  </si>
  <si>
    <t>Kerala Roadways</t>
  </si>
  <si>
    <t>L-Hex nut</t>
  </si>
  <si>
    <t>36 inch</t>
  </si>
  <si>
    <t>Set</t>
  </si>
  <si>
    <t>L-Key</t>
  </si>
  <si>
    <t>40 inch</t>
  </si>
  <si>
    <t>L-Cap</t>
  </si>
  <si>
    <t>1mtr</t>
  </si>
  <si>
    <t>Inner</t>
  </si>
  <si>
    <t>1.5mtr</t>
  </si>
  <si>
    <t>M-Round nut</t>
  </si>
  <si>
    <t>2mtr</t>
  </si>
  <si>
    <t>M-Hex nut</t>
  </si>
  <si>
    <t>3mtr</t>
  </si>
  <si>
    <t>M-Key</t>
  </si>
  <si>
    <t>13mm</t>
  </si>
  <si>
    <t>M-Cap</t>
  </si>
  <si>
    <t>13.5mm</t>
  </si>
  <si>
    <t>Label</t>
  </si>
  <si>
    <t>3x21</t>
  </si>
  <si>
    <t>Cover</t>
  </si>
  <si>
    <t>3x26</t>
  </si>
  <si>
    <t>Washer</t>
  </si>
  <si>
    <t>8x10</t>
  </si>
  <si>
    <t>Date</t>
  </si>
  <si>
    <t>Customer name</t>
  </si>
  <si>
    <t>Brand</t>
  </si>
  <si>
    <t>Invoice no</t>
  </si>
  <si>
    <t>Packed qty</t>
  </si>
  <si>
    <t>Unit (Pcs/Kgs)</t>
  </si>
  <si>
    <t>Packing</t>
  </si>
  <si>
    <t>QC check</t>
  </si>
  <si>
    <t>Weight check</t>
  </si>
  <si>
    <t>Dispatched</t>
  </si>
  <si>
    <t>Dispatched Date</t>
  </si>
  <si>
    <t>Dispatched days</t>
  </si>
  <si>
    <t>Dispatched Qty</t>
  </si>
  <si>
    <t xml:space="preserve">Yet to Dispatched </t>
  </si>
  <si>
    <t>No. bags</t>
  </si>
  <si>
    <t>Column 19</t>
  </si>
  <si>
    <t>Vehicle No.</t>
  </si>
  <si>
    <t>Remark</t>
  </si>
  <si>
    <t>JJ Marketing</t>
  </si>
  <si>
    <t>INV-0720</t>
  </si>
  <si>
    <t>L-Round nut, L-Hex nut</t>
  </si>
  <si>
    <t>KA01AF1037</t>
  </si>
  <si>
    <t>Total</t>
  </si>
  <si>
    <t>Alpha Sanitary</t>
  </si>
  <si>
    <t>INV-0718</t>
  </si>
  <si>
    <t>MATERIAL OUTWARD &amp; DISPATCH QC DASHBOARD</t>
  </si>
  <si>
    <t>Total Dispatch Entries</t>
  </si>
  <si>
    <t>Approved Dispatches</t>
  </si>
  <si>
    <t>On Hold</t>
  </si>
  <si>
    <t>On REJECTED</t>
  </si>
  <si>
    <t>Total Quantity Dispatched Cp</t>
  </si>
  <si>
    <t xml:space="preserve">Total Quantity Dispatched Pipe rolls </t>
  </si>
  <si>
    <t>EZIYFLO POLYPLAST INDUSTRIES</t>
  </si>
  <si>
    <t>INV-0721</t>
  </si>
  <si>
    <t xml:space="preserve">Total Quantity Dispatched Pipe in pcs </t>
  </si>
  <si>
    <t>Total Quantity Dispatched Nut set</t>
  </si>
  <si>
    <t xml:space="preserve">Aura industries </t>
  </si>
  <si>
    <t>INV-0722</t>
  </si>
  <si>
    <t>18 inch, 24 inch, 1mtr, 1.5mtr</t>
  </si>
  <si>
    <t>GJ03BV9118</t>
  </si>
  <si>
    <t>INV-0723</t>
  </si>
  <si>
    <t>1mtr, 1.5mtr</t>
  </si>
  <si>
    <t>Vojal engineering</t>
  </si>
  <si>
    <t>INV-0719</t>
  </si>
  <si>
    <t>KA51C6596</t>
  </si>
  <si>
    <t>Schintler Glassware Pvt Ltd</t>
  </si>
  <si>
    <t>INV-0724</t>
  </si>
  <si>
    <t>KL17Y9957</t>
  </si>
  <si>
    <t>MAHALAKSHMI ENTERPRISES</t>
  </si>
  <si>
    <t>INV-0725</t>
  </si>
  <si>
    <t>ZERA COATS</t>
  </si>
  <si>
    <t>INV-0726</t>
  </si>
  <si>
    <t>Mathaji electrical hardware</t>
  </si>
  <si>
    <t>INV-0728</t>
  </si>
  <si>
    <t>KA51AG3979</t>
  </si>
  <si>
    <t>Sri Ashapura Industries</t>
  </si>
  <si>
    <t>INV-0730</t>
  </si>
  <si>
    <t>KA05AL3733</t>
  </si>
  <si>
    <t>Bharuchi Industries</t>
  </si>
  <si>
    <t>INV-0729</t>
  </si>
  <si>
    <t>SK Trader</t>
  </si>
  <si>
    <t>INV-0731</t>
  </si>
  <si>
    <t>IDOL PLASTO PRIVATE LIMITED</t>
  </si>
  <si>
    <t>Idol</t>
  </si>
  <si>
    <t>INV-0732</t>
  </si>
  <si>
    <t>30 inch, 36 inch</t>
  </si>
  <si>
    <t>KA02AH9326</t>
  </si>
  <si>
    <t xml:space="preserve">CS WATER TAP </t>
  </si>
  <si>
    <t>CS Watertap</t>
  </si>
  <si>
    <t>INV-0734</t>
  </si>
  <si>
    <t>KA51AG6880</t>
  </si>
  <si>
    <t>Enflow</t>
  </si>
  <si>
    <t>24 inch, 1mtr, 2mtr</t>
  </si>
  <si>
    <t>Previous 18" 50pcs sent</t>
  </si>
  <si>
    <t>Hari Enterprises</t>
  </si>
  <si>
    <t>INV-0735</t>
  </si>
  <si>
    <t>18 inch, 24 inch, 1mtr, 1.5mtr, 2mtr</t>
  </si>
  <si>
    <t xml:space="preserve"> INV-0736
</t>
  </si>
  <si>
    <t>Misri superior</t>
  </si>
  <si>
    <t>Vojal</t>
  </si>
  <si>
    <t>Vojal, Artimis</t>
  </si>
  <si>
    <t>INV-0738</t>
  </si>
  <si>
    <t>12 inch, 18 inch, 24 inch, 1mtr, 1.5mtr</t>
  </si>
  <si>
    <t>INV-0739</t>
  </si>
  <si>
    <t>SHRI SAI SAMARTH ENTERPRISES</t>
  </si>
  <si>
    <t>SSS</t>
  </si>
  <si>
    <t>INV-0737</t>
  </si>
  <si>
    <t>24 inch, 1mtr</t>
  </si>
  <si>
    <t>Schintler</t>
  </si>
  <si>
    <t>INV-0740</t>
  </si>
  <si>
    <t>18 inch, 24 inch</t>
  </si>
  <si>
    <t>INV-0760</t>
  </si>
  <si>
    <t>Rework</t>
  </si>
  <si>
    <t>Laxmi Metaplast Industries</t>
  </si>
  <si>
    <t>INV-0741</t>
  </si>
  <si>
    <t>INV-0742</t>
  </si>
  <si>
    <t>Bluemount</t>
  </si>
  <si>
    <t>Aura industries</t>
  </si>
  <si>
    <t>Waterflo, Marino</t>
  </si>
  <si>
    <t>INV-0743</t>
  </si>
  <si>
    <t>GJ03CU8508</t>
  </si>
  <si>
    <t>Waterflo, Marino, Plain</t>
  </si>
  <si>
    <t>INV-0744</t>
  </si>
  <si>
    <t>INV-0745</t>
  </si>
  <si>
    <t>KA01AB7118</t>
  </si>
  <si>
    <t>Gupta sales corporation</t>
  </si>
  <si>
    <t>INV-0746</t>
  </si>
  <si>
    <t>PIPEART BATHWARE</t>
  </si>
  <si>
    <t>INV-0747</t>
  </si>
  <si>
    <t>Shri Ambika Plast</t>
  </si>
  <si>
    <t>INV-0748</t>
  </si>
  <si>
    <t>18 inch, 24 inch, 1mtr, 1.5mtr, 2mtr, 3mtr</t>
  </si>
  <si>
    <t>51 kgs</t>
  </si>
  <si>
    <t>Futura Kitchen Sinks India Pvt Ltd</t>
  </si>
  <si>
    <t>Futura</t>
  </si>
  <si>
    <t>INV-0749</t>
  </si>
  <si>
    <t>18 inch, 36 inch</t>
  </si>
  <si>
    <t>INV-0753</t>
  </si>
  <si>
    <t>Taiba traders</t>
  </si>
  <si>
    <t>INV-0752</t>
  </si>
  <si>
    <t>18 inch, 24 inch, 1mtr</t>
  </si>
  <si>
    <t>Riyyo Industries</t>
  </si>
  <si>
    <t>INV-0751</t>
  </si>
  <si>
    <t>ASHVA POLYPLAST PRIVATE LIMITED</t>
  </si>
  <si>
    <t>Akant</t>
  </si>
  <si>
    <t>INV-0754</t>
  </si>
  <si>
    <t>KA51AM5697</t>
  </si>
  <si>
    <t>Parasflow</t>
  </si>
  <si>
    <t>INV-0757</t>
  </si>
  <si>
    <t>INV-0755</t>
  </si>
  <si>
    <t>KA598660</t>
  </si>
  <si>
    <t>Ceraflo Bathware</t>
  </si>
  <si>
    <t>Ceraflo</t>
  </si>
  <si>
    <t>INV-0756</t>
  </si>
  <si>
    <t>INV-0758</t>
  </si>
  <si>
    <t>KA52C6015</t>
  </si>
  <si>
    <t>NIRMAL SALES AND SERVICES</t>
  </si>
  <si>
    <t>INV-0759</t>
  </si>
  <si>
    <t>INV-0760 - INV-0760</t>
  </si>
  <si>
    <t>New poonam hardwares</t>
  </si>
  <si>
    <t>INV-0762</t>
  </si>
  <si>
    <t>24 inch, 1mtr, 1.5mtr</t>
  </si>
  <si>
    <t>INV-0763</t>
  </si>
  <si>
    <t>Sent to Envision</t>
  </si>
  <si>
    <t>Bhoomi Enterprises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</si>
</sst>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3">
    <font>
      <sz val="11.0"/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b/>
      <sz val="12.0"/>
      <color rgb="FFFFFFFF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Roboto"/>
    </font>
    <font>
      <sz val="11.0"/>
      <color rgb="FF434343"/>
      <name val="Roboto"/>
    </font>
    <font>
      <sz val="11.0"/>
      <color rgb="FFC6DBE1"/>
      <name val="Roboto"/>
    </font>
    <font>
      <b/>
      <sz val="16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4BD97"/>
        <bgColor rgb="FFC4BD97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bottom"/>
    </xf>
    <xf borderId="3" fillId="0" fontId="4" numFmtId="0" xfId="0" applyBorder="1" applyFont="1"/>
    <xf borderId="1" fillId="0" fontId="3" numFmtId="0" xfId="0" applyAlignment="1" applyBorder="1" applyFont="1">
      <alignment horizontal="center" vertical="bottom"/>
    </xf>
    <xf borderId="4" fillId="0" fontId="4" numFmtId="0" xfId="0" applyBorder="1" applyFont="1"/>
    <xf borderId="1" fillId="0" fontId="3" numFmtId="0" xfId="0" applyAlignment="1" applyBorder="1" applyFont="1">
      <alignment horizontal="center" readingOrder="0" vertical="bottom"/>
    </xf>
    <xf borderId="5" fillId="0" fontId="4" numFmtId="0" xfId="0" applyBorder="1" applyFont="1"/>
    <xf borderId="6" fillId="0" fontId="4" numFmtId="0" xfId="0" applyBorder="1" applyFont="1"/>
    <xf borderId="1" fillId="0" fontId="5" numFmtId="0" xfId="0" applyBorder="1" applyFont="1"/>
    <xf borderId="1" fillId="0" fontId="5" numFmtId="0" xfId="0" applyAlignment="1" applyBorder="1" applyFont="1">
      <alignment readingOrder="0"/>
    </xf>
    <xf borderId="7" fillId="2" fontId="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vertical="bottom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horizontal="center" shrinkToFit="0" wrapText="1"/>
    </xf>
    <xf borderId="1" fillId="0" fontId="5" numFmtId="0" xfId="0" applyAlignment="1" applyBorder="1" applyFont="1">
      <alignment horizontal="left" readingOrder="0"/>
    </xf>
    <xf borderId="1" fillId="2" fontId="6" numFmtId="0" xfId="0" applyAlignment="1" applyBorder="1" applyFill="1" applyFont="1">
      <alignment horizontal="center" readingOrder="0" shrinkToFit="0" wrapText="1"/>
    </xf>
    <xf borderId="1" fillId="2" fontId="7" numFmtId="0" xfId="0" applyBorder="1" applyFill="1" applyFont="1"/>
    <xf borderId="1" fillId="0" fontId="5" numFmtId="0" xfId="0" applyAlignment="1" applyBorder="1" applyFont="1">
      <alignment horizontal="center" readingOrder="0"/>
    </xf>
    <xf borderId="8" fillId="2" fontId="6" numFmtId="0" xfId="0" applyAlignment="1" applyBorder="1" applyFill="1" applyFont="1">
      <alignment horizontal="center" shrinkToFit="0" wrapText="1"/>
    </xf>
    <xf borderId="7" fillId="0" fontId="8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right" vertical="bottom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textRotation="90" vertical="center" wrapText="0"/>
    </xf>
    <xf borderId="1" fillId="0" fontId="8" numFmtId="0" xfId="0" applyAlignment="1" applyBorder="1" applyFont="1">
      <alignment vertical="bottom"/>
    </xf>
    <xf borderId="8" fillId="0" fontId="8" numFmtId="0" xfId="0" applyAlignment="1" applyBorder="1" applyFont="1">
      <alignment horizontal="right" vertical="bottom"/>
    </xf>
    <xf borderId="0" fillId="3" fontId="10" numFmtId="49" xfId="0" applyAlignment="1" applyFill="1" applyFont="1" applyNumberForma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textRotation="0" vertical="center" wrapText="0"/>
    </xf>
    <xf borderId="0" fillId="3" fontId="10" numFmtId="164" xfId="0" applyAlignment="1" applyFill="1" applyFont="1" applyNumberFormat="1">
      <alignment horizontal="right" readingOrder="0" shrinkToFit="0" vertical="center" wrapText="0"/>
    </xf>
    <xf borderId="0" fillId="3" fontId="10" numFmtId="0" xfId="0" applyAlignment="1" applyFill="1" applyFont="1">
      <alignment readingOrder="0" shrinkToFit="0" vertical="center" wrapText="0"/>
    </xf>
    <xf borderId="0" fillId="3" fontId="10" numFmtId="0" xfId="0" applyAlignment="1" applyFill="1" applyFont="1">
      <alignment readingOrder="0" shrinkToFit="0" vertical="center" wrapText="0"/>
    </xf>
    <xf borderId="0" fillId="3" fontId="11" numFmtId="0" xfId="0" applyAlignment="1" applyFill="1" applyFont="1">
      <alignment readingOrder="0" shrinkToFit="0" vertical="center" wrapText="0"/>
    </xf>
    <xf borderId="0" fillId="3" fontId="10" numFmtId="0" xfId="0" applyAlignment="1" applyFill="1" applyFont="1">
      <alignment readingOrder="0" shrinkToFit="0" vertical="center" wrapText="0"/>
    </xf>
    <xf borderId="0" fillId="3" fontId="10" numFmtId="0" xfId="0" applyAlignment="1" applyFill="1" applyFont="1">
      <alignment horizontal="right" readingOrder="0" shrinkToFit="0" vertical="center" wrapText="0"/>
    </xf>
    <xf borderId="0" fillId="3" fontId="10" numFmtId="0" xfId="0" applyAlignment="1" applyFill="1" applyFont="1">
      <alignment horizontal="center" readingOrder="0" shrinkToFit="0" vertical="center" wrapText="0"/>
    </xf>
    <xf borderId="8" fillId="0" fontId="7" numFmtId="0" xfId="0" applyAlignment="1" applyBorder="1" applyFont="1">
      <alignment vertical="bottom"/>
    </xf>
    <xf borderId="0" fillId="3" fontId="10" numFmtId="0" xfId="0" applyAlignment="1" applyFill="1" applyFont="1">
      <alignment horizontal="center" shrinkToFit="0" vertical="center" wrapText="0"/>
    </xf>
    <xf borderId="0" fillId="3" fontId="10" numFmtId="0" xfId="0" applyAlignment="1" applyFill="1" applyFont="1">
      <alignment horizontal="right" shrinkToFit="0" vertical="center" wrapText="0"/>
    </xf>
    <xf borderId="0" fillId="3" fontId="10" numFmtId="0" xfId="0" applyAlignment="1" applyFill="1" applyFont="1">
      <alignment horizontal="center" readingOrder="0" shrinkToFit="0" vertical="center" wrapText="0"/>
    </xf>
    <xf borderId="0" fillId="3" fontId="10" numFmtId="0" xfId="0" applyAlignment="1" applyFill="1" applyFont="1">
      <alignment shrinkToFit="0" vertical="center" wrapText="0"/>
    </xf>
    <xf borderId="0" fillId="3" fontId="7" numFmtId="0" xfId="0" applyAlignment="1" applyFill="1" applyFont="1">
      <alignment shrinkToFit="0" vertical="center" wrapText="0"/>
    </xf>
    <xf borderId="9" fillId="0" fontId="7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7" numFmtId="10" xfId="0" applyAlignment="1" applyBorder="1" applyFont="1" applyNumberFormat="1">
      <alignment vertical="bottom"/>
    </xf>
    <xf borderId="11" fillId="0" fontId="7" numFmtId="0" xfId="0" applyAlignment="1" applyBorder="1" applyFont="1">
      <alignment vertical="bottom"/>
    </xf>
    <xf borderId="12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right" vertical="bottom"/>
    </xf>
    <xf borderId="13" fillId="0" fontId="8" numFmtId="10" xfId="0" applyAlignment="1" applyBorder="1" applyFont="1" applyNumberFormat="1">
      <alignment horizontal="right" vertical="bottom"/>
    </xf>
    <xf borderId="13" fillId="0" fontId="7" numFmtId="0" xfId="0" applyAlignment="1" applyBorder="1" applyFont="1">
      <alignment vertical="bottom"/>
    </xf>
    <xf borderId="14" fillId="0" fontId="7" numFmtId="0" xfId="0" applyAlignment="1" applyBorder="1" applyFont="1">
      <alignment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/>
    </xf>
    <xf borderId="15" fillId="4" fontId="12" numFmtId="0" xfId="0" applyAlignment="1" applyBorder="1" applyFill="1" applyFont="1">
      <alignment horizontal="center"/>
    </xf>
    <xf borderId="16" fillId="0" fontId="4" numFmtId="0" xfId="0" applyBorder="1" applyFont="1"/>
    <xf borderId="17" fillId="0" fontId="4" numFmtId="0" xfId="0" applyBorder="1" applyFont="1"/>
    <xf borderId="1" fillId="0" fontId="3" numFmtId="0" xfId="0" applyBorder="1" applyFont="1"/>
    <xf borderId="1" fillId="0" fontId="7" numFmtId="0" xfId="0" applyAlignment="1" applyBorder="1" applyFont="1">
      <alignment horizontal="left"/>
    </xf>
    <xf borderId="18" fillId="0" fontId="3" numFmtId="0" xfId="0" applyAlignment="1" applyBorder="1" applyFont="1">
      <alignment horizontal="center"/>
    </xf>
    <xf borderId="19" fillId="0" fontId="4" numFmtId="0" xfId="0" applyBorder="1" applyFont="1"/>
    <xf borderId="0" fillId="3" fontId="10" numFmtId="0" xfId="0" applyAlignment="1" applyFill="1" applyFont="1">
      <alignment shrinkToFit="0" vertical="center" wrapText="0"/>
    </xf>
    <xf borderId="1" fillId="5" fontId="3" numFmtId="0" xfId="0" applyBorder="1" applyFill="1" applyFont="1"/>
    <xf borderId="1" fillId="5" fontId="3" numFmtId="0" xfId="0" applyAlignment="1" applyBorder="1" applyFill="1" applyFont="1">
      <alignment horizontal="center"/>
    </xf>
    <xf borderId="0" fillId="3" fontId="10" numFmtId="0" xfId="0" applyAlignment="1" applyFill="1" applyFont="1">
      <alignment horizontal="center" readingOrder="0" shrinkToFit="0" vertical="center" wrapText="0"/>
    </xf>
    <xf borderId="0" fillId="3" fontId="11" numFmtId="0" xfId="0" applyAlignment="1" applyFill="1" applyFont="1">
      <alignment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3" fontId="10" numFmtId="164" xfId="0" applyAlignment="1" applyFill="1" applyFont="1" applyNumberFormat="1">
      <alignment readingOrder="0" shrinkToFit="0" vertical="center" wrapText="0"/>
    </xf>
    <xf borderId="0" fillId="3" fontId="10" numFmtId="0" xfId="0" applyAlignment="1" applyFill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Finished Goods Outw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55" displayName="Table1" name="Table1" id="1">
  <autoFilter ref="$A$1:$V$55"/>
  <tableColumns count="22">
    <tableColumn name="Date" id="1"/>
    <tableColumn name="Customer name" id="2"/>
    <tableColumn name="Brand" id="3"/>
    <tableColumn name="Invoice no" id="4"/>
    <tableColumn name="Product" id="5"/>
    <tableColumn name="Product type" id="6"/>
    <tableColumn name="Size" id="7"/>
    <tableColumn name="Packed qty" id="8"/>
    <tableColumn name="Unit (Pcs/Kgs)" id="9"/>
    <tableColumn name="Packing" id="10"/>
    <tableColumn name="QC check" id="11"/>
    <tableColumn name="Weight check" id="12"/>
    <tableColumn name="Dispatched" id="13"/>
    <tableColumn name="Dispatched Date" id="14"/>
    <tableColumn name="Dispatched days" id="15"/>
    <tableColumn name="Dispatched Qty" id="16"/>
    <tableColumn name="Yet to Dispatched " id="17"/>
    <tableColumn name="No. bags" id="18"/>
    <tableColumn name="Column 19" id="19"/>
    <tableColumn name="Transporter" id="20"/>
    <tableColumn name="Vehicle No." id="21"/>
    <tableColumn name="Remark" id="22"/>
  </tableColumns>
  <tableStyleInfo name="Finished Goods Outw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71"/>
    <col customWidth="1" min="2" max="2" width="8.71"/>
    <col customWidth="1" min="3" max="3" width="11.57"/>
    <col customWidth="1" min="4" max="5" width="10.14"/>
    <col customWidth="1" min="6" max="6" width="5.71"/>
    <col customWidth="1" min="7" max="8" width="14.43"/>
    <col customWidth="1" min="9" max="9" width="41.86"/>
    <col customWidth="1" min="10" max="10" width="5.71"/>
    <col customWidth="1" min="11" max="26" width="8.71"/>
  </cols>
  <sheetData>
    <row r="1">
      <c r="A1" s="2" t="s">
        <v>1</v>
      </c>
      <c r="B1" s="4"/>
      <c r="C1" s="4"/>
      <c r="D1" s="4"/>
      <c r="E1" s="4"/>
      <c r="F1" s="4"/>
      <c r="G1" s="4"/>
      <c r="H1" s="6"/>
    </row>
    <row r="2">
      <c r="A2" s="8"/>
      <c r="H2" s="9"/>
    </row>
    <row r="3">
      <c r="A3" s="12" t="s">
        <v>8</v>
      </c>
      <c r="B3" s="14" t="s">
        <v>10</v>
      </c>
      <c r="C3" s="14" t="s">
        <v>12</v>
      </c>
      <c r="D3" s="16" t="s">
        <v>14</v>
      </c>
      <c r="E3" s="18" t="s">
        <v>16</v>
      </c>
      <c r="F3" s="19"/>
      <c r="G3" s="16" t="s">
        <v>26</v>
      </c>
      <c r="H3" s="21" t="s">
        <v>28</v>
      </c>
    </row>
    <row r="4">
      <c r="A4" s="22" t="s">
        <v>7</v>
      </c>
      <c r="B4" s="25">
        <f>COUNTIF(Table1[Product],"Connection pipe with label")</f>
        <v>12</v>
      </c>
      <c r="C4" s="25">
        <f>IF(A4="","",SUMIF(Table1[Product],A4,Table1[Packed qty]))</f>
        <v>88585</v>
      </c>
      <c r="D4" s="25">
        <f>COUNTIFS(Table1[Product],"Connection pipe with label",Table1[QC check],"TRUE")</f>
        <v>9</v>
      </c>
      <c r="E4" s="25">
        <f>COUNTIFS(Table1[Product],"Connection pipe with label",Table1[QC check],"FALSE")</f>
        <v>3</v>
      </c>
      <c r="F4" s="13"/>
      <c r="G4" s="29"/>
      <c r="H4" s="30"/>
    </row>
    <row r="5">
      <c r="A5" s="22" t="s">
        <v>17</v>
      </c>
      <c r="B5" s="25">
        <f>COUNTIF(Table1[Product],"Connection pipe with cover")</f>
        <v>5</v>
      </c>
      <c r="C5" s="25">
        <f>IF(A5="","",SUMIF(Table1[Product],A5,Table1[Packed qty]))</f>
        <v>4898</v>
      </c>
      <c r="D5" s="25">
        <f>COUNTIFS(Table1[Product],"Connection pipe with cover",Table1[QC check],"TRUE")</f>
        <v>5</v>
      </c>
      <c r="E5" s="25">
        <f>COUNTIFS(Table1[Product],"Connection pipe with cover",Table1[QC check],"FALSE")</f>
        <v>0</v>
      </c>
      <c r="F5" s="13"/>
      <c r="G5" s="29"/>
      <c r="H5" s="30"/>
    </row>
    <row r="6">
      <c r="A6" s="22" t="s">
        <v>22</v>
      </c>
      <c r="B6" s="25">
        <f>COUNTIF(Table1[Product],"Connection pipe with nut")</f>
        <v>10</v>
      </c>
      <c r="C6" s="25">
        <f>IF(A6="","",SUMIF(Table1[Product],A6,Table1[Packed qty]))</f>
        <v>71911</v>
      </c>
      <c r="D6" s="25">
        <f>COUNTIFS(Table1[Product],"Connection pipe with nut",Table1[QC check],"TRUE")</f>
        <v>10</v>
      </c>
      <c r="E6" s="25">
        <f>COUNTIFS(Table1[Product],"Connection pipe with nut",Table1[QC check],"FALSE")</f>
        <v>0</v>
      </c>
      <c r="F6" s="13"/>
      <c r="G6" s="13"/>
      <c r="H6" s="40"/>
    </row>
    <row r="7">
      <c r="A7" s="22" t="s">
        <v>29</v>
      </c>
      <c r="B7" s="25">
        <f>COUNTIF(Table1[Product],"Connection pipe")</f>
        <v>7</v>
      </c>
      <c r="C7" s="25">
        <f>IF(A7="","",SUMIF(Table1[Product],A7,Table1[Packed qty]))</f>
        <v>8455</v>
      </c>
      <c r="D7" s="25">
        <f>COUNTIFS(Table1[Product],"Connection pipe",Table1[QC check],"TRUE")</f>
        <v>7</v>
      </c>
      <c r="E7" s="25">
        <f>COUNTIFS(Table1[Product],"Connection pipe",Table1[QC check],"FALSE")</f>
        <v>0</v>
      </c>
      <c r="F7" s="13"/>
      <c r="G7" s="13"/>
      <c r="H7" s="40"/>
    </row>
    <row r="8">
      <c r="A8" s="22" t="s">
        <v>23</v>
      </c>
      <c r="B8" s="25">
        <f>COUNTIF(Table1[Product],"Nutset")</f>
        <v>20</v>
      </c>
      <c r="C8" s="25">
        <f>IF(A8="","",SUMIF(Table1[Product],A8,Table1[Packed qty]))</f>
        <v>253924</v>
      </c>
      <c r="D8" s="25">
        <f>COUNTIFS(Table1[Product],"Nutset",Table1[QC check],"TRUE")</f>
        <v>15</v>
      </c>
      <c r="E8" s="25">
        <f>COUNTIFS(Table1[Product],"Nutset",Table1[QC check],"FALSE")</f>
        <v>5</v>
      </c>
      <c r="F8" s="13"/>
      <c r="G8" s="13"/>
      <c r="H8" s="40"/>
    </row>
    <row r="9">
      <c r="A9" s="46"/>
      <c r="B9" s="13"/>
      <c r="C9" s="47"/>
      <c r="D9" s="47"/>
      <c r="E9" s="48"/>
      <c r="F9" s="47"/>
      <c r="G9" s="47"/>
      <c r="H9" s="49"/>
    </row>
    <row r="10">
      <c r="A10" s="50" t="s">
        <v>79</v>
      </c>
      <c r="B10" s="51">
        <f t="shared" ref="B10:C10" si="1">sum(B4:B9)</f>
        <v>54</v>
      </c>
      <c r="C10" s="51">
        <f t="shared" si="1"/>
        <v>427773</v>
      </c>
      <c r="D10" s="51"/>
      <c r="E10" s="52"/>
      <c r="F10" s="53"/>
      <c r="G10" s="53"/>
      <c r="H10" s="54"/>
      <c r="J10" s="55"/>
    </row>
    <row r="11">
      <c r="B11" s="55"/>
      <c r="F11" s="55"/>
      <c r="J11" s="55"/>
    </row>
    <row r="12">
      <c r="B12" s="55"/>
      <c r="F12" s="55"/>
      <c r="J12" s="55"/>
    </row>
    <row r="13">
      <c r="B13" s="55"/>
      <c r="F13" s="55"/>
      <c r="J13" s="55"/>
    </row>
    <row r="14">
      <c r="B14" s="55"/>
      <c r="F14" s="55"/>
      <c r="J14" s="55"/>
    </row>
    <row r="15">
      <c r="B15" s="55"/>
      <c r="F15" s="55"/>
      <c r="J15" s="55"/>
    </row>
    <row r="16">
      <c r="B16" s="55"/>
      <c r="F16" s="55"/>
      <c r="J16" s="55"/>
    </row>
    <row r="17">
      <c r="B17" s="55"/>
      <c r="F17" s="55"/>
      <c r="J17" s="55"/>
    </row>
    <row r="18">
      <c r="B18" s="55"/>
      <c r="F18" s="55"/>
      <c r="J18" s="55"/>
    </row>
    <row r="19">
      <c r="B19" s="55"/>
      <c r="F19" s="55"/>
      <c r="J19" s="55"/>
    </row>
    <row r="20">
      <c r="B20" s="55"/>
      <c r="F20" s="55"/>
      <c r="J20" s="56"/>
    </row>
    <row r="21" ht="15.75" customHeight="1">
      <c r="B21" s="55"/>
      <c r="F21" s="55"/>
      <c r="J21" s="55"/>
    </row>
    <row r="22" ht="15.75" customHeight="1">
      <c r="B22" s="55"/>
      <c r="F22" s="55"/>
      <c r="J22" s="55"/>
    </row>
    <row r="23" ht="15.75" customHeight="1">
      <c r="B23" s="55"/>
      <c r="F23" s="55"/>
      <c r="J23" s="55"/>
    </row>
    <row r="24" ht="15.75" customHeight="1">
      <c r="B24" s="55"/>
      <c r="F24" s="55"/>
      <c r="J24" s="55"/>
    </row>
    <row r="25" ht="15.75" customHeight="1">
      <c r="B25" s="55"/>
      <c r="F25" s="55"/>
      <c r="J25" s="55"/>
    </row>
    <row r="26" ht="15.75" customHeight="1">
      <c r="B26" s="55"/>
      <c r="F26" s="55"/>
      <c r="J26" s="55"/>
    </row>
    <row r="27" ht="15.75" customHeight="1">
      <c r="B27" s="55"/>
      <c r="F27" s="55"/>
      <c r="J27" s="55"/>
    </row>
    <row r="28" ht="15.75" customHeight="1">
      <c r="B28" s="55"/>
      <c r="F28" s="55"/>
      <c r="J28" s="55"/>
    </row>
    <row r="29" ht="15.75" customHeight="1">
      <c r="B29" s="55"/>
      <c r="F29" s="55"/>
      <c r="J29" s="55"/>
    </row>
    <row r="30" ht="15.75" customHeight="1">
      <c r="B30" s="55"/>
      <c r="F30" s="55"/>
      <c r="J30" s="55"/>
    </row>
    <row r="31" ht="15.75" customHeight="1">
      <c r="B31" s="55"/>
      <c r="F31" s="55"/>
      <c r="J31" s="55"/>
    </row>
    <row r="32" ht="15.75" customHeight="1">
      <c r="B32" s="55"/>
      <c r="F32" s="55"/>
      <c r="J32" s="55"/>
    </row>
    <row r="33" ht="15.75" customHeight="1">
      <c r="B33" s="55"/>
      <c r="F33" s="55"/>
      <c r="J33" s="55"/>
    </row>
    <row r="34" ht="15.75" customHeight="1">
      <c r="B34" s="55"/>
      <c r="F34" s="55"/>
      <c r="J34" s="55"/>
    </row>
    <row r="35" ht="15.75" customHeight="1">
      <c r="B35" s="55"/>
      <c r="F35" s="55"/>
      <c r="J35" s="55"/>
    </row>
    <row r="36" ht="15.75" customHeight="1">
      <c r="B36" s="55"/>
      <c r="F36" s="55"/>
      <c r="J36" s="55"/>
    </row>
    <row r="37" ht="15.75" customHeight="1">
      <c r="B37" s="55"/>
      <c r="F37" s="55"/>
      <c r="J37" s="55"/>
    </row>
    <row r="38" ht="15.75" customHeight="1">
      <c r="B38" s="55"/>
      <c r="F38" s="55"/>
      <c r="J38" s="55"/>
    </row>
    <row r="39" ht="15.75" customHeight="1">
      <c r="B39" s="55"/>
      <c r="F39" s="55"/>
      <c r="J39" s="55"/>
    </row>
    <row r="40" ht="15.75" customHeight="1">
      <c r="B40" s="55"/>
      <c r="F40" s="55"/>
      <c r="J40" s="55"/>
    </row>
    <row r="41" ht="15.75" customHeight="1">
      <c r="B41" s="55"/>
      <c r="F41" s="55"/>
      <c r="J41" s="55"/>
    </row>
    <row r="42" ht="15.75" customHeight="1">
      <c r="B42" s="55"/>
      <c r="F42" s="55"/>
      <c r="J42" s="55"/>
    </row>
    <row r="43">
      <c r="A43" s="57" t="s">
        <v>82</v>
      </c>
      <c r="B43" s="58"/>
      <c r="C43" s="58"/>
      <c r="D43" s="59"/>
      <c r="F43" s="55"/>
      <c r="J43" s="55"/>
    </row>
    <row r="44">
      <c r="B44" s="55"/>
    </row>
    <row r="45">
      <c r="A45" s="60" t="s">
        <v>83</v>
      </c>
      <c r="B45" s="61">
        <f>COUNTA('Finished Goods Outward'!B3:B102)</f>
        <v>1</v>
      </c>
      <c r="E45" s="62"/>
      <c r="F45" s="63"/>
      <c r="I45" s="62"/>
      <c r="J45" s="63"/>
    </row>
    <row r="46">
      <c r="A46" s="65" t="s">
        <v>84</v>
      </c>
      <c r="B46" s="61" t="str">
        <f>COUNTIF('Finished Goods Outward'!K3:K102,"APPROVED")</f>
        <v>#REF!</v>
      </c>
      <c r="E46" s="66" t="s">
        <v>85</v>
      </c>
      <c r="F46" s="61" t="str">
        <f>COUNTIF('Finished Goods Outward'!K3:K102,"HOLD")</f>
        <v>#REF!</v>
      </c>
      <c r="I46" s="66" t="s">
        <v>86</v>
      </c>
      <c r="J46" s="61" t="str">
        <f>COUNTIF('Finished Goods Outward'!K3:K102,"REJECTED")</f>
        <v>#REF!</v>
      </c>
    </row>
    <row r="47">
      <c r="A47" s="60" t="s">
        <v>87</v>
      </c>
      <c r="B47" s="61" t="str">
        <f>SUMIFS('Finished Goods Outward'!H:H,'Finished Goods Outward'!E:E,"CP",'Finished Goods Outward'!K:K,"APPROVED")</f>
        <v>#N/A</v>
      </c>
      <c r="E47" s="60" t="s">
        <v>87</v>
      </c>
      <c r="F47" s="61" t="str">
        <f>SUMIFS('Finished Goods Outward'!H:H,'Finished Goods Outward'!E:E,"CP",'Finished Goods Outward'!K:K,"HOLD")</f>
        <v>#N/A</v>
      </c>
      <c r="I47" s="60" t="s">
        <v>87</v>
      </c>
      <c r="J47" s="61" t="str">
        <f>SUMIFS('Finished Goods Outward'!H:H,'Finished Goods Outward'!E:E,"CP",'Finished Goods Outward'!K:K,"REJECTED")</f>
        <v>#N/A</v>
      </c>
    </row>
    <row r="48">
      <c r="A48" s="60" t="s">
        <v>88</v>
      </c>
      <c r="B48" s="61" t="str">
        <f>SUMIFS('Finished Goods Outward'!H:H,'Finished Goods Outward'!E:E,"Pipe rolls",'Finished Goods Outward'!K:K,"APPROVED")</f>
        <v>#N/A</v>
      </c>
      <c r="E48" s="60" t="s">
        <v>88</v>
      </c>
      <c r="F48" s="61" t="str">
        <f>SUMIFS('Finished Goods Outward'!H:H,'Finished Goods Outward'!E:E,"Pipe rolls",'Finished Goods Outward'!K:K,"HOLD")</f>
        <v>#N/A</v>
      </c>
      <c r="I48" s="60" t="s">
        <v>88</v>
      </c>
      <c r="J48" s="61" t="str">
        <f>SUMIFS('Finished Goods Outward'!H:H,'Finished Goods Outward'!E:E,"Pipe rolls",'Finished Goods Outward'!K:K,"REJECTED")</f>
        <v>#N/A</v>
      </c>
    </row>
    <row r="49">
      <c r="A49" s="60" t="s">
        <v>91</v>
      </c>
      <c r="B49" s="61" t="str">
        <f>SUMIFS('Finished Goods Outward'!H:H,'Finished Goods Outward'!E:E,"Pipe in pcs",'Finished Goods Outward'!K:K,"APPROVED")</f>
        <v>#N/A</v>
      </c>
      <c r="E49" s="60" t="s">
        <v>91</v>
      </c>
      <c r="F49" s="61" t="str">
        <f>SUMIFS('Finished Goods Outward'!H:H,'Finished Goods Outward'!E:E,"Pipe in pcs",'Finished Goods Outward'!K:K,"HOLD")</f>
        <v>#N/A</v>
      </c>
      <c r="I49" s="60" t="s">
        <v>91</v>
      </c>
      <c r="J49" s="61" t="str">
        <f>SUMIFS('Finished Goods Outward'!H:H,'Finished Goods Outward'!E:E,"Pipe in pcs",'Finished Goods Outward'!K:K,"REJECTED")</f>
        <v>#N/A</v>
      </c>
    </row>
    <row r="50">
      <c r="A50" s="60" t="s">
        <v>92</v>
      </c>
      <c r="B50" s="61" t="str">
        <f>SUMIFS('Finished Goods Outward'!H:H,'Finished Goods Outward'!E:E,"Nut set",'Finished Goods Outward'!K:K,"APPROVED")</f>
        <v>#N/A</v>
      </c>
      <c r="E50" s="60" t="s">
        <v>92</v>
      </c>
      <c r="F50" s="61" t="str">
        <f>SUMIFS('Finished Goods Outward'!H:H,'Finished Goods Outward'!E:E,"Nut set",'Finished Goods Outward'!K:K,"HOLD")</f>
        <v>#N/A</v>
      </c>
      <c r="I50" s="60" t="s">
        <v>92</v>
      </c>
      <c r="J50" s="61" t="str">
        <f>SUMIFS('Finished Goods Outward'!H:H,'Finished Goods Outward'!E:E,"Nut set",'Finished Goods Outward'!K:K,"REJECTED")</f>
        <v>#N/A</v>
      </c>
    </row>
    <row r="51">
      <c r="B51" s="55"/>
      <c r="F51" s="55"/>
      <c r="J51" s="55"/>
    </row>
    <row r="52" ht="15.75" customHeight="1">
      <c r="B52" s="55"/>
      <c r="F52" s="55"/>
      <c r="J52" s="55"/>
    </row>
    <row r="53" ht="15.75" customHeight="1">
      <c r="B53" s="55"/>
      <c r="F53" s="55"/>
      <c r="J53" s="55"/>
    </row>
    <row r="54" ht="15.75" customHeight="1">
      <c r="B54" s="55"/>
      <c r="F54" s="55"/>
      <c r="J54" s="55"/>
    </row>
    <row r="55" ht="15.75" customHeight="1">
      <c r="B55" s="55"/>
      <c r="F55" s="55"/>
      <c r="J55" s="55"/>
    </row>
    <row r="56" ht="15.75" customHeight="1">
      <c r="B56" s="55"/>
      <c r="F56" s="55"/>
      <c r="J56" s="55"/>
    </row>
    <row r="57" ht="15.75" customHeight="1">
      <c r="B57" s="55"/>
      <c r="F57" s="55"/>
      <c r="J57" s="55"/>
    </row>
    <row r="58" ht="15.75" customHeight="1">
      <c r="B58" s="55"/>
      <c r="F58" s="55"/>
      <c r="J58" s="55"/>
    </row>
    <row r="59" ht="15.75" customHeight="1">
      <c r="B59" s="55"/>
      <c r="F59" s="55"/>
      <c r="J59" s="55"/>
    </row>
    <row r="60" ht="15.75" customHeight="1">
      <c r="B60" s="55"/>
      <c r="F60" s="55"/>
      <c r="J60" s="55"/>
    </row>
    <row r="61" ht="15.75" customHeight="1">
      <c r="B61" s="55"/>
      <c r="F61" s="55"/>
      <c r="J61" s="55"/>
    </row>
    <row r="62" ht="15.75" customHeight="1">
      <c r="B62" s="55"/>
      <c r="F62" s="55"/>
      <c r="J62" s="55"/>
    </row>
    <row r="63" ht="15.75" customHeight="1">
      <c r="B63" s="55"/>
      <c r="F63" s="55"/>
      <c r="J63" s="55"/>
    </row>
    <row r="64" ht="15.75" customHeight="1">
      <c r="B64" s="55"/>
      <c r="F64" s="55"/>
      <c r="J64" s="55"/>
    </row>
    <row r="65" ht="15.75" customHeight="1">
      <c r="B65" s="55"/>
      <c r="F65" s="55"/>
      <c r="J65" s="55"/>
    </row>
    <row r="66" ht="15.75" customHeight="1">
      <c r="B66" s="55"/>
      <c r="F66" s="55"/>
      <c r="J66" s="55"/>
    </row>
    <row r="67" ht="15.75" customHeight="1">
      <c r="B67" s="55"/>
      <c r="F67" s="55"/>
      <c r="J67" s="55"/>
    </row>
    <row r="68" ht="15.75" customHeight="1">
      <c r="B68" s="55"/>
      <c r="F68" s="55"/>
      <c r="J68" s="55"/>
    </row>
    <row r="69" ht="15.75" customHeight="1">
      <c r="B69" s="55"/>
      <c r="F69" s="55"/>
      <c r="J69" s="55"/>
    </row>
    <row r="70" ht="15.75" customHeight="1">
      <c r="B70" s="55"/>
      <c r="F70" s="55"/>
      <c r="J70" s="55"/>
    </row>
    <row r="71" ht="15.75" customHeight="1">
      <c r="B71" s="55"/>
      <c r="F71" s="55"/>
      <c r="J71" s="55"/>
    </row>
    <row r="72" ht="15.75" customHeight="1">
      <c r="B72" s="55"/>
      <c r="F72" s="55"/>
      <c r="J72" s="55"/>
    </row>
    <row r="73" ht="15.75" customHeight="1">
      <c r="B73" s="55"/>
      <c r="F73" s="55"/>
      <c r="J73" s="55"/>
    </row>
    <row r="74" ht="15.75" customHeight="1">
      <c r="B74" s="55"/>
      <c r="F74" s="55"/>
      <c r="J74" s="55"/>
    </row>
    <row r="75" ht="15.75" customHeight="1">
      <c r="B75" s="55"/>
      <c r="F75" s="55"/>
      <c r="J75" s="55"/>
    </row>
    <row r="76" ht="15.75" customHeight="1">
      <c r="B76" s="55"/>
      <c r="F76" s="55"/>
      <c r="J76" s="55"/>
    </row>
    <row r="77" ht="15.75" customHeight="1">
      <c r="B77" s="55"/>
      <c r="F77" s="55"/>
      <c r="J77" s="55"/>
    </row>
    <row r="78" ht="15.75" customHeight="1">
      <c r="B78" s="55"/>
      <c r="F78" s="55"/>
      <c r="J78" s="55"/>
    </row>
    <row r="79" ht="15.75" customHeight="1">
      <c r="B79" s="55"/>
      <c r="F79" s="55"/>
      <c r="J79" s="55"/>
    </row>
    <row r="80" ht="15.75" customHeight="1">
      <c r="B80" s="55"/>
      <c r="F80" s="55"/>
      <c r="J80" s="55"/>
    </row>
    <row r="81" ht="15.75" customHeight="1">
      <c r="B81" s="55"/>
      <c r="F81" s="55"/>
      <c r="J81" s="55"/>
    </row>
    <row r="82" ht="15.75" customHeight="1">
      <c r="B82" s="55"/>
      <c r="F82" s="55"/>
      <c r="J82" s="55"/>
    </row>
    <row r="83" ht="15.75" customHeight="1">
      <c r="B83" s="55"/>
      <c r="F83" s="55"/>
      <c r="J83" s="55"/>
    </row>
    <row r="84" ht="15.75" customHeight="1">
      <c r="B84" s="55"/>
      <c r="F84" s="55"/>
      <c r="J84" s="55"/>
    </row>
    <row r="85" ht="15.75" customHeight="1">
      <c r="B85" s="55"/>
      <c r="F85" s="55"/>
      <c r="J85" s="55"/>
    </row>
    <row r="86" ht="15.75" customHeight="1">
      <c r="B86" s="55"/>
      <c r="F86" s="55"/>
      <c r="J86" s="55"/>
    </row>
    <row r="87" ht="15.75" customHeight="1">
      <c r="B87" s="55"/>
      <c r="F87" s="55"/>
      <c r="J87" s="55"/>
    </row>
    <row r="88" ht="15.75" customHeight="1">
      <c r="B88" s="55"/>
      <c r="F88" s="55"/>
      <c r="J88" s="55"/>
    </row>
    <row r="89" ht="15.75" customHeight="1">
      <c r="B89" s="55"/>
      <c r="F89" s="55"/>
      <c r="J89" s="55"/>
    </row>
    <row r="90" ht="15.75" customHeight="1">
      <c r="B90" s="55"/>
      <c r="F90" s="55"/>
      <c r="J90" s="55"/>
    </row>
    <row r="91" ht="15.75" customHeight="1">
      <c r="B91" s="55"/>
      <c r="F91" s="55"/>
      <c r="J91" s="55"/>
    </row>
    <row r="92" ht="15.75" customHeight="1">
      <c r="B92" s="55"/>
      <c r="F92" s="55"/>
      <c r="J92" s="55"/>
    </row>
    <row r="93" ht="15.75" customHeight="1">
      <c r="B93" s="55"/>
      <c r="F93" s="55"/>
      <c r="J93" s="55"/>
    </row>
    <row r="94" ht="15.75" customHeight="1">
      <c r="B94" s="55"/>
      <c r="F94" s="55"/>
      <c r="J94" s="55"/>
    </row>
    <row r="95" ht="15.75" customHeight="1">
      <c r="B95" s="55"/>
      <c r="F95" s="55"/>
      <c r="J95" s="55"/>
    </row>
    <row r="96" ht="15.75" customHeight="1">
      <c r="B96" s="55"/>
      <c r="F96" s="55"/>
      <c r="J96" s="55"/>
    </row>
    <row r="97" ht="15.75" customHeight="1">
      <c r="B97" s="55"/>
      <c r="F97" s="55"/>
      <c r="J97" s="55"/>
    </row>
    <row r="98" ht="15.75" customHeight="1">
      <c r="B98" s="55"/>
      <c r="F98" s="55"/>
      <c r="J98" s="55"/>
    </row>
    <row r="99" ht="15.75" customHeight="1">
      <c r="B99" s="55"/>
      <c r="F99" s="55"/>
      <c r="J99" s="55"/>
    </row>
    <row r="100" ht="15.75" customHeight="1">
      <c r="B100" s="55"/>
      <c r="F100" s="55"/>
      <c r="J100" s="55"/>
    </row>
    <row r="101" ht="15.75" customHeight="1">
      <c r="B101" s="55"/>
      <c r="F101" s="55"/>
      <c r="J101" s="55"/>
    </row>
    <row r="102" ht="15.75" customHeight="1">
      <c r="B102" s="55"/>
      <c r="F102" s="55"/>
      <c r="J102" s="55"/>
    </row>
    <row r="103" ht="15.75" customHeight="1">
      <c r="B103" s="55"/>
      <c r="F103" s="55"/>
      <c r="J103" s="55"/>
    </row>
    <row r="104" ht="15.75" customHeight="1">
      <c r="B104" s="55"/>
      <c r="F104" s="55"/>
      <c r="J104" s="55"/>
    </row>
    <row r="105" ht="15.75" customHeight="1">
      <c r="B105" s="55"/>
      <c r="F105" s="55"/>
      <c r="J105" s="55"/>
    </row>
    <row r="106" ht="15.75" customHeight="1">
      <c r="B106" s="55"/>
      <c r="F106" s="55"/>
      <c r="J106" s="55"/>
    </row>
    <row r="107" ht="15.75" customHeight="1">
      <c r="B107" s="55"/>
      <c r="F107" s="55"/>
      <c r="J107" s="55"/>
    </row>
    <row r="108" ht="15.75" customHeight="1">
      <c r="B108" s="55"/>
      <c r="F108" s="55"/>
      <c r="J108" s="55"/>
    </row>
    <row r="109" ht="15.75" customHeight="1">
      <c r="B109" s="55"/>
      <c r="F109" s="55"/>
      <c r="J109" s="55"/>
    </row>
    <row r="110" ht="15.75" customHeight="1">
      <c r="B110" s="55"/>
      <c r="F110" s="55"/>
      <c r="J110" s="55"/>
    </row>
    <row r="111" ht="15.75" customHeight="1">
      <c r="B111" s="55"/>
      <c r="F111" s="55"/>
      <c r="J111" s="55"/>
    </row>
    <row r="112" ht="15.75" customHeight="1">
      <c r="B112" s="55"/>
      <c r="F112" s="55"/>
      <c r="J112" s="55"/>
    </row>
    <row r="113" ht="15.75" customHeight="1">
      <c r="B113" s="55"/>
      <c r="F113" s="55"/>
      <c r="J113" s="55"/>
    </row>
    <row r="114" ht="15.75" customHeight="1">
      <c r="B114" s="55"/>
      <c r="F114" s="55"/>
      <c r="J114" s="55"/>
    </row>
    <row r="115" ht="15.75" customHeight="1">
      <c r="B115" s="55"/>
      <c r="F115" s="55"/>
      <c r="J115" s="55"/>
    </row>
    <row r="116" ht="15.75" customHeight="1">
      <c r="B116" s="55"/>
      <c r="F116" s="55"/>
      <c r="J116" s="55"/>
    </row>
    <row r="117" ht="15.75" customHeight="1">
      <c r="B117" s="55"/>
      <c r="F117" s="55"/>
      <c r="J117" s="55"/>
    </row>
    <row r="118" ht="15.75" customHeight="1">
      <c r="B118" s="55"/>
      <c r="F118" s="55"/>
      <c r="J118" s="55"/>
    </row>
    <row r="119" ht="15.75" customHeight="1">
      <c r="B119" s="55"/>
      <c r="F119" s="55"/>
      <c r="J119" s="55"/>
    </row>
    <row r="120" ht="15.75" customHeight="1">
      <c r="B120" s="55"/>
      <c r="F120" s="55"/>
      <c r="J120" s="55"/>
    </row>
    <row r="121" ht="15.75" customHeight="1">
      <c r="B121" s="55"/>
      <c r="F121" s="55"/>
      <c r="J121" s="55"/>
    </row>
    <row r="122" ht="15.75" customHeight="1">
      <c r="B122" s="55"/>
      <c r="F122" s="55"/>
      <c r="J122" s="55"/>
    </row>
    <row r="123" ht="15.75" customHeight="1">
      <c r="B123" s="55"/>
      <c r="F123" s="55"/>
      <c r="J123" s="55"/>
    </row>
    <row r="124" ht="15.75" customHeight="1">
      <c r="B124" s="55"/>
      <c r="F124" s="55"/>
      <c r="J124" s="55"/>
    </row>
    <row r="125" ht="15.75" customHeight="1">
      <c r="B125" s="55"/>
      <c r="F125" s="55"/>
      <c r="J125" s="55"/>
    </row>
    <row r="126" ht="15.75" customHeight="1">
      <c r="B126" s="55"/>
      <c r="F126" s="55"/>
      <c r="J126" s="55"/>
    </row>
    <row r="127" ht="15.75" customHeight="1">
      <c r="B127" s="55"/>
      <c r="F127" s="55"/>
      <c r="J127" s="55"/>
    </row>
    <row r="128" ht="15.75" customHeight="1">
      <c r="B128" s="55"/>
      <c r="F128" s="55"/>
      <c r="J128" s="55"/>
    </row>
    <row r="129" ht="15.75" customHeight="1">
      <c r="B129" s="55"/>
      <c r="F129" s="55"/>
      <c r="J129" s="55"/>
    </row>
    <row r="130" ht="15.75" customHeight="1">
      <c r="B130" s="55"/>
      <c r="F130" s="55"/>
      <c r="J130" s="55"/>
    </row>
    <row r="131" ht="15.75" customHeight="1">
      <c r="B131" s="55"/>
      <c r="F131" s="55"/>
      <c r="J131" s="55"/>
    </row>
    <row r="132" ht="15.75" customHeight="1">
      <c r="B132" s="55"/>
      <c r="F132" s="55"/>
      <c r="J132" s="55"/>
    </row>
    <row r="133" ht="15.75" customHeight="1">
      <c r="B133" s="55"/>
      <c r="F133" s="55"/>
      <c r="J133" s="55"/>
    </row>
    <row r="134" ht="15.75" customHeight="1">
      <c r="B134" s="55"/>
      <c r="F134" s="55"/>
      <c r="J134" s="55"/>
    </row>
    <row r="135" ht="15.75" customHeight="1">
      <c r="B135" s="55"/>
      <c r="F135" s="55"/>
      <c r="J135" s="55"/>
    </row>
    <row r="136" ht="15.75" customHeight="1">
      <c r="B136" s="55"/>
      <c r="F136" s="55"/>
      <c r="J136" s="55"/>
    </row>
    <row r="137" ht="15.75" customHeight="1">
      <c r="B137" s="55"/>
      <c r="F137" s="55"/>
      <c r="J137" s="55"/>
    </row>
    <row r="138" ht="15.75" customHeight="1">
      <c r="B138" s="55"/>
      <c r="F138" s="55"/>
      <c r="J138" s="55"/>
    </row>
    <row r="139" ht="15.75" customHeight="1">
      <c r="B139" s="55"/>
      <c r="F139" s="55"/>
      <c r="J139" s="55"/>
    </row>
    <row r="140" ht="15.75" customHeight="1">
      <c r="B140" s="55"/>
      <c r="F140" s="55"/>
      <c r="J140" s="55"/>
    </row>
    <row r="141" ht="15.75" customHeight="1">
      <c r="B141" s="55"/>
      <c r="F141" s="55"/>
      <c r="J141" s="55"/>
    </row>
    <row r="142" ht="15.75" customHeight="1">
      <c r="B142" s="55"/>
      <c r="F142" s="55"/>
      <c r="J142" s="55"/>
    </row>
    <row r="143" ht="15.75" customHeight="1">
      <c r="B143" s="55"/>
      <c r="F143" s="55"/>
      <c r="J143" s="55"/>
    </row>
    <row r="144" ht="15.75" customHeight="1">
      <c r="B144" s="55"/>
      <c r="F144" s="55"/>
      <c r="J144" s="55"/>
    </row>
    <row r="145" ht="15.75" customHeight="1">
      <c r="B145" s="55"/>
      <c r="F145" s="55"/>
      <c r="J145" s="55"/>
    </row>
    <row r="146" ht="15.75" customHeight="1">
      <c r="B146" s="55"/>
      <c r="F146" s="55"/>
      <c r="J146" s="55"/>
    </row>
    <row r="147" ht="15.75" customHeight="1">
      <c r="B147" s="55"/>
      <c r="F147" s="55"/>
      <c r="J147" s="55"/>
    </row>
    <row r="148" ht="15.75" customHeight="1">
      <c r="B148" s="55"/>
      <c r="F148" s="55"/>
      <c r="J148" s="55"/>
    </row>
    <row r="149" ht="15.75" customHeight="1">
      <c r="B149" s="55"/>
      <c r="F149" s="55"/>
      <c r="J149" s="55"/>
    </row>
    <row r="150" ht="15.75" customHeight="1">
      <c r="B150" s="55"/>
      <c r="F150" s="55"/>
      <c r="J150" s="55"/>
    </row>
    <row r="151" ht="15.75" customHeight="1">
      <c r="B151" s="55"/>
      <c r="F151" s="55"/>
      <c r="J151" s="55"/>
    </row>
    <row r="152" ht="15.75" customHeight="1">
      <c r="B152" s="55"/>
      <c r="F152" s="55"/>
      <c r="J152" s="55"/>
    </row>
    <row r="153" ht="15.75" customHeight="1">
      <c r="B153" s="55"/>
      <c r="F153" s="55"/>
      <c r="J153" s="55"/>
    </row>
    <row r="154" ht="15.75" customHeight="1">
      <c r="B154" s="55"/>
      <c r="F154" s="55"/>
      <c r="J154" s="55"/>
    </row>
    <row r="155" ht="15.75" customHeight="1">
      <c r="B155" s="55"/>
      <c r="F155" s="55"/>
      <c r="J155" s="55"/>
    </row>
    <row r="156" ht="15.75" customHeight="1">
      <c r="B156" s="55"/>
      <c r="F156" s="55"/>
      <c r="J156" s="55"/>
    </row>
    <row r="157" ht="15.75" customHeight="1">
      <c r="B157" s="55"/>
      <c r="F157" s="55"/>
      <c r="J157" s="55"/>
    </row>
    <row r="158" ht="15.75" customHeight="1">
      <c r="B158" s="55"/>
      <c r="F158" s="55"/>
      <c r="J158" s="55"/>
    </row>
    <row r="159" ht="15.75" customHeight="1">
      <c r="B159" s="55"/>
      <c r="F159" s="55"/>
      <c r="J159" s="55"/>
    </row>
    <row r="160" ht="15.75" customHeight="1">
      <c r="B160" s="55"/>
      <c r="F160" s="55"/>
      <c r="J160" s="55"/>
    </row>
    <row r="161" ht="15.75" customHeight="1">
      <c r="B161" s="55"/>
      <c r="F161" s="55"/>
      <c r="J161" s="55"/>
    </row>
    <row r="162" ht="15.75" customHeight="1">
      <c r="B162" s="55"/>
      <c r="F162" s="55"/>
      <c r="J162" s="55"/>
    </row>
    <row r="163" ht="15.75" customHeight="1">
      <c r="B163" s="55"/>
      <c r="F163" s="55"/>
      <c r="J163" s="55"/>
    </row>
    <row r="164" ht="15.75" customHeight="1">
      <c r="B164" s="55"/>
      <c r="F164" s="55"/>
      <c r="J164" s="55"/>
    </row>
    <row r="165" ht="15.75" customHeight="1">
      <c r="B165" s="55"/>
      <c r="F165" s="55"/>
      <c r="J165" s="55"/>
    </row>
    <row r="166" ht="15.75" customHeight="1">
      <c r="B166" s="55"/>
      <c r="F166" s="55"/>
      <c r="J166" s="55"/>
    </row>
    <row r="167" ht="15.75" customHeight="1">
      <c r="B167" s="55"/>
      <c r="F167" s="55"/>
      <c r="J167" s="55"/>
    </row>
    <row r="168" ht="15.75" customHeight="1">
      <c r="B168" s="55"/>
      <c r="F168" s="55"/>
      <c r="J168" s="55"/>
    </row>
    <row r="169" ht="15.75" customHeight="1">
      <c r="B169" s="55"/>
      <c r="F169" s="55"/>
      <c r="J169" s="55"/>
    </row>
    <row r="170" ht="15.75" customHeight="1">
      <c r="B170" s="55"/>
      <c r="F170" s="55"/>
      <c r="J170" s="55"/>
    </row>
    <row r="171" ht="15.75" customHeight="1">
      <c r="B171" s="55"/>
      <c r="F171" s="55"/>
      <c r="J171" s="55"/>
    </row>
    <row r="172" ht="15.75" customHeight="1">
      <c r="B172" s="55"/>
      <c r="F172" s="55"/>
      <c r="J172" s="55"/>
    </row>
    <row r="173" ht="15.75" customHeight="1">
      <c r="B173" s="55"/>
      <c r="F173" s="55"/>
      <c r="J173" s="55"/>
    </row>
    <row r="174" ht="15.75" customHeight="1">
      <c r="B174" s="55"/>
      <c r="F174" s="55"/>
      <c r="J174" s="55"/>
    </row>
    <row r="175" ht="15.75" customHeight="1">
      <c r="B175" s="55"/>
      <c r="F175" s="55"/>
      <c r="J175" s="55"/>
    </row>
    <row r="176" ht="15.75" customHeight="1">
      <c r="B176" s="55"/>
      <c r="F176" s="55"/>
      <c r="J176" s="55"/>
    </row>
    <row r="177" ht="15.75" customHeight="1">
      <c r="B177" s="55"/>
      <c r="F177" s="55"/>
      <c r="J177" s="55"/>
    </row>
    <row r="178" ht="15.75" customHeight="1">
      <c r="B178" s="55"/>
      <c r="F178" s="55"/>
      <c r="J178" s="55"/>
    </row>
    <row r="179" ht="15.75" customHeight="1">
      <c r="B179" s="55"/>
      <c r="F179" s="55"/>
      <c r="J179" s="55"/>
    </row>
    <row r="180" ht="15.75" customHeight="1">
      <c r="B180" s="55"/>
      <c r="F180" s="55"/>
      <c r="J180" s="55"/>
    </row>
    <row r="181" ht="15.75" customHeight="1">
      <c r="B181" s="55"/>
      <c r="F181" s="55"/>
      <c r="J181" s="55"/>
    </row>
    <row r="182" ht="15.75" customHeight="1">
      <c r="B182" s="55"/>
      <c r="F182" s="55"/>
      <c r="J182" s="55"/>
    </row>
    <row r="183" ht="15.75" customHeight="1">
      <c r="B183" s="55"/>
      <c r="F183" s="55"/>
      <c r="J183" s="55"/>
    </row>
    <row r="184" ht="15.75" customHeight="1">
      <c r="B184" s="55"/>
      <c r="F184" s="55"/>
      <c r="J184" s="55"/>
    </row>
    <row r="185" ht="15.75" customHeight="1">
      <c r="B185" s="55"/>
      <c r="F185" s="55"/>
      <c r="J185" s="55"/>
    </row>
    <row r="186" ht="15.75" customHeight="1">
      <c r="B186" s="55"/>
      <c r="F186" s="55"/>
      <c r="J186" s="55"/>
    </row>
    <row r="187" ht="15.75" customHeight="1">
      <c r="B187" s="55"/>
      <c r="F187" s="55"/>
      <c r="J187" s="55"/>
    </row>
    <row r="188" ht="15.75" customHeight="1">
      <c r="B188" s="55"/>
      <c r="F188" s="55"/>
      <c r="J188" s="55"/>
    </row>
    <row r="189" ht="15.75" customHeight="1">
      <c r="B189" s="55"/>
      <c r="F189" s="55"/>
      <c r="J189" s="55"/>
    </row>
    <row r="190" ht="15.75" customHeight="1">
      <c r="B190" s="55"/>
      <c r="F190" s="55"/>
      <c r="J190" s="55"/>
    </row>
    <row r="191" ht="15.75" customHeight="1">
      <c r="B191" s="55"/>
      <c r="F191" s="55"/>
      <c r="J191" s="55"/>
    </row>
    <row r="192" ht="15.75" customHeight="1">
      <c r="B192" s="55"/>
      <c r="F192" s="55"/>
      <c r="J192" s="55"/>
    </row>
    <row r="193" ht="15.75" customHeight="1">
      <c r="B193" s="55"/>
      <c r="F193" s="55"/>
      <c r="J193" s="55"/>
    </row>
    <row r="194" ht="15.75" customHeight="1">
      <c r="B194" s="55"/>
      <c r="F194" s="55"/>
      <c r="J194" s="55"/>
    </row>
    <row r="195" ht="15.75" customHeight="1">
      <c r="B195" s="55"/>
      <c r="F195" s="55"/>
      <c r="J195" s="55"/>
    </row>
    <row r="196" ht="15.75" customHeight="1">
      <c r="B196" s="55"/>
      <c r="F196" s="55"/>
      <c r="J196" s="55"/>
    </row>
    <row r="197" ht="15.75" customHeight="1">
      <c r="B197" s="55"/>
      <c r="F197" s="55"/>
      <c r="J197" s="55"/>
    </row>
    <row r="198" ht="15.75" customHeight="1">
      <c r="B198" s="55"/>
      <c r="F198" s="55"/>
      <c r="J198" s="55"/>
    </row>
    <row r="199" ht="15.75" customHeight="1">
      <c r="B199" s="55"/>
      <c r="F199" s="55"/>
      <c r="J199" s="55"/>
    </row>
    <row r="200" ht="15.75" customHeight="1">
      <c r="B200" s="55"/>
      <c r="F200" s="55"/>
      <c r="J200" s="55"/>
    </row>
    <row r="201" ht="15.75" customHeight="1">
      <c r="B201" s="55"/>
      <c r="F201" s="55"/>
      <c r="J201" s="55"/>
    </row>
    <row r="202" ht="15.75" customHeight="1">
      <c r="B202" s="55"/>
      <c r="F202" s="55"/>
      <c r="J202" s="55"/>
    </row>
    <row r="203" ht="15.75" customHeight="1">
      <c r="B203" s="55"/>
      <c r="F203" s="55"/>
      <c r="J203" s="55"/>
    </row>
    <row r="204" ht="15.75" customHeight="1">
      <c r="B204" s="55"/>
      <c r="F204" s="55"/>
      <c r="J204" s="55"/>
    </row>
    <row r="205" ht="15.75" customHeight="1">
      <c r="B205" s="55"/>
      <c r="F205" s="55"/>
      <c r="J205" s="55"/>
    </row>
    <row r="206" ht="15.75" customHeight="1">
      <c r="B206" s="55"/>
      <c r="F206" s="55"/>
      <c r="J206" s="55"/>
    </row>
    <row r="207" ht="15.75" customHeight="1">
      <c r="B207" s="55"/>
      <c r="F207" s="55"/>
      <c r="J207" s="55"/>
    </row>
    <row r="208" ht="15.75" customHeight="1">
      <c r="B208" s="55"/>
      <c r="F208" s="55"/>
      <c r="J208" s="55"/>
    </row>
    <row r="209" ht="15.75" customHeight="1">
      <c r="B209" s="55"/>
      <c r="F209" s="55"/>
      <c r="J209" s="55"/>
    </row>
    <row r="210" ht="15.75" customHeight="1">
      <c r="B210" s="55"/>
      <c r="F210" s="55"/>
      <c r="J210" s="55"/>
    </row>
    <row r="211" ht="15.75" customHeight="1">
      <c r="B211" s="55"/>
      <c r="F211" s="55"/>
      <c r="J211" s="55"/>
    </row>
    <row r="212" ht="15.75" customHeight="1">
      <c r="B212" s="55"/>
      <c r="F212" s="55"/>
      <c r="J212" s="55"/>
    </row>
    <row r="213" ht="15.75" customHeight="1">
      <c r="B213" s="55"/>
      <c r="F213" s="55"/>
      <c r="J213" s="55"/>
    </row>
    <row r="214" ht="15.75" customHeight="1">
      <c r="B214" s="55"/>
      <c r="F214" s="55"/>
      <c r="J214" s="55"/>
    </row>
    <row r="215" ht="15.75" customHeight="1">
      <c r="B215" s="55"/>
      <c r="F215" s="55"/>
      <c r="J215" s="55"/>
    </row>
    <row r="216" ht="15.75" customHeight="1">
      <c r="B216" s="55"/>
      <c r="F216" s="55"/>
      <c r="J216" s="55"/>
    </row>
    <row r="217" ht="15.75" customHeight="1">
      <c r="B217" s="55"/>
      <c r="F217" s="55"/>
      <c r="J217" s="55"/>
    </row>
    <row r="218" ht="15.75" customHeight="1">
      <c r="B218" s="55"/>
      <c r="F218" s="55"/>
      <c r="J218" s="55"/>
    </row>
    <row r="219" ht="15.75" customHeight="1">
      <c r="B219" s="55"/>
      <c r="F219" s="55"/>
      <c r="J219" s="55"/>
    </row>
    <row r="220" ht="15.75" customHeight="1">
      <c r="B220" s="55"/>
      <c r="F220" s="55"/>
      <c r="J220" s="55"/>
    </row>
    <row r="221" ht="15.75" customHeight="1">
      <c r="B221" s="55"/>
      <c r="F221" s="55"/>
      <c r="J221" s="55"/>
    </row>
    <row r="222" ht="15.75" customHeight="1">
      <c r="B222" s="55"/>
      <c r="F222" s="55"/>
      <c r="J222" s="55"/>
    </row>
    <row r="223" ht="15.75" customHeight="1">
      <c r="B223" s="55"/>
      <c r="F223" s="55"/>
      <c r="J223" s="55"/>
    </row>
    <row r="224" ht="15.75" customHeight="1">
      <c r="B224" s="55"/>
      <c r="F224" s="55"/>
      <c r="J224" s="55"/>
    </row>
    <row r="225" ht="15.75" customHeight="1">
      <c r="B225" s="55"/>
      <c r="F225" s="55"/>
      <c r="J225" s="55"/>
    </row>
    <row r="226" ht="15.75" customHeight="1">
      <c r="B226" s="55"/>
      <c r="F226" s="55"/>
      <c r="J226" s="55"/>
    </row>
    <row r="227" ht="15.75" customHeight="1">
      <c r="B227" s="55"/>
      <c r="F227" s="55"/>
      <c r="J227" s="55"/>
    </row>
    <row r="228" ht="15.75" customHeight="1">
      <c r="B228" s="55"/>
      <c r="F228" s="55"/>
      <c r="J228" s="55"/>
    </row>
    <row r="229" ht="15.75" customHeight="1">
      <c r="B229" s="55"/>
      <c r="F229" s="55"/>
      <c r="J229" s="55"/>
    </row>
    <row r="230" ht="15.75" customHeight="1">
      <c r="B230" s="55"/>
      <c r="F230" s="55"/>
      <c r="J230" s="55"/>
    </row>
    <row r="231" ht="15.75" customHeight="1">
      <c r="B231" s="55"/>
      <c r="F231" s="55"/>
      <c r="J231" s="55"/>
    </row>
    <row r="232" ht="15.75" customHeight="1">
      <c r="B232" s="55"/>
      <c r="F232" s="55"/>
      <c r="J232" s="55"/>
    </row>
    <row r="233" ht="15.75" customHeight="1">
      <c r="B233" s="55"/>
      <c r="F233" s="55"/>
      <c r="J233" s="55"/>
    </row>
    <row r="234" ht="15.75" customHeight="1">
      <c r="B234" s="55"/>
      <c r="F234" s="55"/>
      <c r="J234" s="55"/>
    </row>
    <row r="235" ht="15.75" customHeight="1">
      <c r="B235" s="55"/>
      <c r="F235" s="55"/>
      <c r="J235" s="55"/>
    </row>
    <row r="236" ht="15.75" customHeight="1">
      <c r="B236" s="55"/>
      <c r="F236" s="55"/>
      <c r="J236" s="55"/>
    </row>
    <row r="237" ht="15.75" customHeight="1">
      <c r="B237" s="55"/>
      <c r="F237" s="55"/>
      <c r="J237" s="55"/>
    </row>
    <row r="238" ht="15.75" customHeight="1">
      <c r="B238" s="55"/>
      <c r="F238" s="55"/>
      <c r="J238" s="55"/>
    </row>
    <row r="239" ht="15.75" customHeight="1">
      <c r="B239" s="55"/>
      <c r="F239" s="55"/>
      <c r="J239" s="55"/>
    </row>
    <row r="240" ht="15.75" customHeight="1">
      <c r="B240" s="55"/>
      <c r="F240" s="55"/>
      <c r="J240" s="55"/>
    </row>
    <row r="241" ht="15.75" customHeight="1">
      <c r="B241" s="55"/>
      <c r="F241" s="55"/>
      <c r="J241" s="55"/>
    </row>
    <row r="242" ht="15.75" customHeight="1">
      <c r="B242" s="55"/>
      <c r="F242" s="55"/>
      <c r="J242" s="55"/>
    </row>
    <row r="243" ht="15.75" customHeight="1">
      <c r="B243" s="55"/>
      <c r="F243" s="55"/>
      <c r="J243" s="55"/>
    </row>
    <row r="244" ht="15.75" customHeight="1">
      <c r="B244" s="55"/>
      <c r="F244" s="55"/>
      <c r="J244" s="55"/>
    </row>
    <row r="245" ht="15.75" customHeight="1">
      <c r="B245" s="55"/>
      <c r="F245" s="55"/>
      <c r="J245" s="55"/>
    </row>
    <row r="246" ht="15.75" customHeight="1">
      <c r="B246" s="55"/>
      <c r="F246" s="55"/>
      <c r="J246" s="55"/>
    </row>
    <row r="247" ht="15.75" customHeight="1">
      <c r="B247" s="55"/>
      <c r="F247" s="55"/>
      <c r="J247" s="55"/>
    </row>
    <row r="248" ht="15.75" customHeight="1">
      <c r="B248" s="55"/>
      <c r="F248" s="55"/>
      <c r="J248" s="55"/>
    </row>
    <row r="249" ht="15.75" customHeight="1">
      <c r="B249" s="55"/>
      <c r="F249" s="55"/>
      <c r="J249" s="55"/>
    </row>
    <row r="250" ht="15.75" customHeight="1">
      <c r="B250" s="55"/>
      <c r="F250" s="55"/>
      <c r="J250" s="55"/>
    </row>
    <row r="251" ht="15.75" customHeight="1">
      <c r="B251" s="55"/>
      <c r="F251" s="55"/>
      <c r="J251" s="55"/>
    </row>
    <row r="252" ht="15.75" customHeight="1">
      <c r="B252" s="55"/>
      <c r="F252" s="55"/>
      <c r="J252" s="55"/>
    </row>
    <row r="253" ht="15.75" customHeight="1">
      <c r="B253" s="55"/>
      <c r="F253" s="55"/>
      <c r="J253" s="55"/>
    </row>
    <row r="254" ht="15.75" customHeight="1">
      <c r="B254" s="55"/>
      <c r="F254" s="55"/>
      <c r="J254" s="55"/>
    </row>
    <row r="255" ht="15.75" customHeight="1">
      <c r="B255" s="55"/>
      <c r="F255" s="55"/>
      <c r="J255" s="55"/>
    </row>
    <row r="256" ht="15.75" customHeight="1">
      <c r="B256" s="55"/>
      <c r="F256" s="55"/>
      <c r="J256" s="55"/>
    </row>
    <row r="257" ht="15.75" customHeight="1">
      <c r="B257" s="55"/>
      <c r="F257" s="55"/>
      <c r="J257" s="55"/>
    </row>
    <row r="258" ht="15.75" customHeight="1">
      <c r="B258" s="55"/>
      <c r="F258" s="55"/>
      <c r="J258" s="55"/>
    </row>
    <row r="259" ht="15.75" customHeight="1">
      <c r="B259" s="55"/>
      <c r="F259" s="55"/>
      <c r="J259" s="55"/>
    </row>
    <row r="260" ht="15.75" customHeight="1">
      <c r="B260" s="55"/>
      <c r="F260" s="55"/>
      <c r="J260" s="55"/>
    </row>
    <row r="261" ht="15.75" customHeight="1">
      <c r="B261" s="55"/>
      <c r="F261" s="55"/>
      <c r="J261" s="55"/>
    </row>
    <row r="262" ht="15.75" customHeight="1">
      <c r="B262" s="55"/>
      <c r="F262" s="55"/>
      <c r="J262" s="55"/>
    </row>
    <row r="263" ht="15.75" customHeight="1">
      <c r="B263" s="55"/>
      <c r="F263" s="55"/>
      <c r="J263" s="55"/>
    </row>
    <row r="264" ht="15.75" customHeight="1">
      <c r="B264" s="55"/>
      <c r="F264" s="55"/>
      <c r="J264" s="55"/>
    </row>
    <row r="265" ht="15.75" customHeight="1">
      <c r="B265" s="55"/>
      <c r="F265" s="55"/>
      <c r="J265" s="55"/>
    </row>
    <row r="266" ht="15.75" customHeight="1">
      <c r="B266" s="55"/>
      <c r="F266" s="55"/>
      <c r="J266" s="55"/>
    </row>
    <row r="267" ht="15.75" customHeight="1">
      <c r="B267" s="55"/>
      <c r="F267" s="55"/>
      <c r="J267" s="55"/>
    </row>
    <row r="268" ht="15.75" customHeight="1">
      <c r="B268" s="55"/>
      <c r="F268" s="55"/>
      <c r="J268" s="55"/>
    </row>
    <row r="269" ht="15.75" customHeight="1">
      <c r="B269" s="55"/>
      <c r="F269" s="55"/>
      <c r="J269" s="55"/>
    </row>
    <row r="270" ht="15.75" customHeight="1">
      <c r="B270" s="55"/>
      <c r="F270" s="55"/>
      <c r="J270" s="55"/>
    </row>
    <row r="271" ht="15.75" customHeight="1">
      <c r="B271" s="55"/>
      <c r="F271" s="55"/>
      <c r="J271" s="55"/>
    </row>
    <row r="272" ht="15.75" customHeight="1">
      <c r="B272" s="55"/>
      <c r="F272" s="55"/>
      <c r="J272" s="55"/>
    </row>
    <row r="273" ht="15.75" customHeight="1">
      <c r="B273" s="55"/>
      <c r="F273" s="55"/>
      <c r="J273" s="55"/>
    </row>
    <row r="274" ht="15.75" customHeight="1">
      <c r="B274" s="55"/>
      <c r="F274" s="55"/>
      <c r="J274" s="55"/>
    </row>
    <row r="275" ht="15.75" customHeight="1">
      <c r="B275" s="55"/>
      <c r="F275" s="55"/>
      <c r="J275" s="55"/>
    </row>
    <row r="276" ht="15.75" customHeight="1">
      <c r="B276" s="55"/>
      <c r="F276" s="55"/>
      <c r="J276" s="55"/>
    </row>
    <row r="277" ht="15.75" customHeight="1">
      <c r="B277" s="55"/>
      <c r="F277" s="55"/>
      <c r="J277" s="55"/>
    </row>
    <row r="278" ht="15.75" customHeight="1">
      <c r="B278" s="55"/>
      <c r="F278" s="55"/>
      <c r="J278" s="55"/>
    </row>
    <row r="279" ht="15.75" customHeight="1">
      <c r="B279" s="55"/>
      <c r="F279" s="55"/>
      <c r="J279" s="55"/>
    </row>
    <row r="280" ht="15.75" customHeight="1">
      <c r="B280" s="55"/>
      <c r="F280" s="55"/>
      <c r="J280" s="55"/>
    </row>
    <row r="281" ht="15.75" customHeight="1">
      <c r="B281" s="55"/>
      <c r="F281" s="55"/>
      <c r="J281" s="55"/>
    </row>
    <row r="282" ht="15.75" customHeight="1">
      <c r="B282" s="55"/>
      <c r="F282" s="55"/>
      <c r="J282" s="55"/>
    </row>
    <row r="283" ht="15.75" customHeight="1">
      <c r="B283" s="55"/>
      <c r="F283" s="55"/>
      <c r="J283" s="55"/>
    </row>
    <row r="284" ht="15.75" customHeight="1">
      <c r="B284" s="55"/>
      <c r="F284" s="55"/>
      <c r="J284" s="55"/>
    </row>
    <row r="285" ht="15.75" customHeight="1">
      <c r="B285" s="55"/>
      <c r="F285" s="55"/>
      <c r="J285" s="55"/>
    </row>
    <row r="286" ht="15.75" customHeight="1">
      <c r="B286" s="55"/>
      <c r="F286" s="55"/>
      <c r="J286" s="55"/>
    </row>
    <row r="287" ht="15.75" customHeight="1">
      <c r="B287" s="55"/>
      <c r="F287" s="55"/>
      <c r="J287" s="55"/>
    </row>
    <row r="288" ht="15.75" customHeight="1">
      <c r="B288" s="55"/>
      <c r="F288" s="55"/>
      <c r="J288" s="55"/>
    </row>
    <row r="289" ht="15.75" customHeight="1">
      <c r="B289" s="55"/>
      <c r="F289" s="55"/>
      <c r="J289" s="55"/>
    </row>
    <row r="290" ht="15.75" customHeight="1">
      <c r="B290" s="55"/>
      <c r="F290" s="55"/>
      <c r="J290" s="55"/>
    </row>
    <row r="291" ht="15.75" customHeight="1">
      <c r="B291" s="55"/>
      <c r="F291" s="55"/>
      <c r="J291" s="55"/>
    </row>
    <row r="292" ht="15.75" customHeight="1">
      <c r="B292" s="55"/>
      <c r="F292" s="55"/>
      <c r="J292" s="55"/>
    </row>
    <row r="293" ht="15.75" customHeight="1">
      <c r="B293" s="55"/>
      <c r="F293" s="55"/>
      <c r="J293" s="55"/>
    </row>
    <row r="294" ht="15.75" customHeight="1">
      <c r="B294" s="55"/>
      <c r="F294" s="55"/>
      <c r="J294" s="55"/>
    </row>
    <row r="295" ht="15.75" customHeight="1">
      <c r="B295" s="55"/>
      <c r="F295" s="55"/>
      <c r="J295" s="55"/>
    </row>
    <row r="296" ht="15.75" customHeight="1">
      <c r="B296" s="55"/>
      <c r="F296" s="55"/>
      <c r="J296" s="55"/>
    </row>
    <row r="297" ht="15.75" customHeight="1">
      <c r="B297" s="55"/>
      <c r="F297" s="55"/>
      <c r="J297" s="55"/>
    </row>
    <row r="298" ht="15.75" customHeight="1">
      <c r="B298" s="55"/>
      <c r="F298" s="55"/>
      <c r="J298" s="55"/>
    </row>
    <row r="299" ht="15.75" customHeight="1">
      <c r="B299" s="55"/>
      <c r="F299" s="55"/>
      <c r="J299" s="55"/>
    </row>
    <row r="300" ht="15.75" customHeight="1">
      <c r="B300" s="55"/>
      <c r="F300" s="55"/>
      <c r="J300" s="55"/>
    </row>
    <row r="301" ht="15.75" customHeight="1">
      <c r="B301" s="55"/>
      <c r="F301" s="55"/>
      <c r="J301" s="55"/>
    </row>
    <row r="302" ht="15.75" customHeight="1">
      <c r="B302" s="55"/>
      <c r="F302" s="55"/>
      <c r="J302" s="55"/>
    </row>
    <row r="303" ht="15.75" customHeight="1">
      <c r="B303" s="55"/>
      <c r="F303" s="55"/>
      <c r="J303" s="55"/>
    </row>
    <row r="304" ht="15.75" customHeight="1">
      <c r="B304" s="55"/>
      <c r="F304" s="55"/>
      <c r="J304" s="55"/>
    </row>
    <row r="305" ht="15.75" customHeight="1">
      <c r="B305" s="55"/>
      <c r="F305" s="55"/>
      <c r="J305" s="55"/>
    </row>
    <row r="306" ht="15.75" customHeight="1">
      <c r="B306" s="55"/>
      <c r="F306" s="55"/>
      <c r="J306" s="55"/>
    </row>
    <row r="307" ht="15.75" customHeight="1">
      <c r="B307" s="55"/>
      <c r="F307" s="55"/>
      <c r="J307" s="55"/>
    </row>
    <row r="308" ht="15.75" customHeight="1">
      <c r="B308" s="55"/>
      <c r="F308" s="55"/>
      <c r="J308" s="55"/>
    </row>
    <row r="309" ht="15.75" customHeight="1">
      <c r="B309" s="55"/>
      <c r="F309" s="55"/>
      <c r="J309" s="55"/>
    </row>
    <row r="310" ht="15.75" customHeight="1">
      <c r="B310" s="55"/>
      <c r="F310" s="55"/>
      <c r="J310" s="55"/>
    </row>
    <row r="311" ht="15.75" customHeight="1">
      <c r="B311" s="55"/>
      <c r="F311" s="55"/>
      <c r="J311" s="55"/>
    </row>
    <row r="312" ht="15.75" customHeight="1">
      <c r="B312" s="55"/>
      <c r="F312" s="55"/>
      <c r="J312" s="55"/>
    </row>
    <row r="313" ht="15.75" customHeight="1">
      <c r="B313" s="55"/>
      <c r="F313" s="55"/>
      <c r="J313" s="55"/>
    </row>
    <row r="314" ht="15.75" customHeight="1">
      <c r="B314" s="55"/>
      <c r="F314" s="55"/>
      <c r="J314" s="55"/>
    </row>
    <row r="315" ht="15.75" customHeight="1">
      <c r="B315" s="55"/>
      <c r="F315" s="55"/>
      <c r="J315" s="55"/>
    </row>
    <row r="316" ht="15.75" customHeight="1">
      <c r="B316" s="55"/>
      <c r="F316" s="55"/>
      <c r="J316" s="55"/>
    </row>
    <row r="317" ht="15.75" customHeight="1">
      <c r="B317" s="55"/>
      <c r="F317" s="55"/>
      <c r="J317" s="55"/>
    </row>
    <row r="318" ht="15.75" customHeight="1">
      <c r="B318" s="55"/>
      <c r="F318" s="55"/>
      <c r="J318" s="55"/>
    </row>
    <row r="319" ht="15.75" customHeight="1">
      <c r="B319" s="55"/>
      <c r="F319" s="55"/>
      <c r="J319" s="55"/>
    </row>
    <row r="320" ht="15.75" customHeight="1">
      <c r="B320" s="55"/>
      <c r="F320" s="55"/>
      <c r="J320" s="55"/>
    </row>
    <row r="321" ht="15.75" customHeight="1">
      <c r="B321" s="55"/>
      <c r="F321" s="55"/>
      <c r="J321" s="55"/>
    </row>
    <row r="322" ht="15.75" customHeight="1">
      <c r="B322" s="55"/>
      <c r="F322" s="55"/>
      <c r="J322" s="55"/>
    </row>
    <row r="323" ht="15.75" customHeight="1">
      <c r="B323" s="55"/>
      <c r="F323" s="55"/>
      <c r="J323" s="55"/>
    </row>
    <row r="324" ht="15.75" customHeight="1">
      <c r="B324" s="55"/>
      <c r="F324" s="55"/>
      <c r="J324" s="55"/>
    </row>
    <row r="325" ht="15.75" customHeight="1">
      <c r="B325" s="55"/>
      <c r="F325" s="55"/>
      <c r="J325" s="55"/>
    </row>
    <row r="326" ht="15.75" customHeight="1">
      <c r="B326" s="55"/>
      <c r="F326" s="55"/>
      <c r="J326" s="55"/>
    </row>
    <row r="327" ht="15.75" customHeight="1">
      <c r="B327" s="55"/>
      <c r="F327" s="55"/>
      <c r="J327" s="55"/>
    </row>
    <row r="328" ht="15.75" customHeight="1">
      <c r="B328" s="55"/>
      <c r="F328" s="55"/>
      <c r="J328" s="55"/>
    </row>
    <row r="329" ht="15.75" customHeight="1">
      <c r="B329" s="55"/>
      <c r="F329" s="55"/>
      <c r="J329" s="55"/>
    </row>
    <row r="330" ht="15.75" customHeight="1">
      <c r="B330" s="55"/>
      <c r="F330" s="55"/>
      <c r="J330" s="55"/>
    </row>
    <row r="331" ht="15.75" customHeight="1">
      <c r="B331" s="55"/>
      <c r="F331" s="55"/>
      <c r="J331" s="55"/>
    </row>
    <row r="332" ht="15.75" customHeight="1">
      <c r="B332" s="55"/>
      <c r="F332" s="55"/>
      <c r="J332" s="55"/>
    </row>
    <row r="333" ht="15.75" customHeight="1">
      <c r="B333" s="55"/>
      <c r="F333" s="55"/>
      <c r="J333" s="55"/>
    </row>
    <row r="334" ht="15.75" customHeight="1">
      <c r="B334" s="55"/>
      <c r="F334" s="55"/>
      <c r="J334" s="55"/>
    </row>
    <row r="335" ht="15.75" customHeight="1">
      <c r="B335" s="55"/>
      <c r="F335" s="55"/>
      <c r="J335" s="55"/>
    </row>
    <row r="336" ht="15.75" customHeight="1">
      <c r="B336" s="55"/>
      <c r="F336" s="55"/>
      <c r="J336" s="55"/>
    </row>
    <row r="337" ht="15.75" customHeight="1">
      <c r="B337" s="55"/>
      <c r="F337" s="55"/>
      <c r="J337" s="55"/>
    </row>
    <row r="338" ht="15.75" customHeight="1">
      <c r="B338" s="55"/>
      <c r="F338" s="55"/>
      <c r="J338" s="55"/>
    </row>
    <row r="339" ht="15.75" customHeight="1">
      <c r="B339" s="55"/>
      <c r="F339" s="55"/>
      <c r="J339" s="55"/>
    </row>
    <row r="340" ht="15.75" customHeight="1">
      <c r="B340" s="55"/>
      <c r="F340" s="55"/>
      <c r="J340" s="55"/>
    </row>
    <row r="341" ht="15.75" customHeight="1">
      <c r="B341" s="55"/>
      <c r="F341" s="55"/>
      <c r="J341" s="55"/>
    </row>
    <row r="342" ht="15.75" customHeight="1">
      <c r="B342" s="55"/>
      <c r="F342" s="55"/>
      <c r="J342" s="55"/>
    </row>
    <row r="343" ht="15.75" customHeight="1">
      <c r="B343" s="55"/>
      <c r="F343" s="55"/>
      <c r="J343" s="55"/>
    </row>
    <row r="344" ht="15.75" customHeight="1">
      <c r="B344" s="55"/>
      <c r="F344" s="55"/>
      <c r="J344" s="55"/>
    </row>
    <row r="345" ht="15.75" customHeight="1">
      <c r="B345" s="55"/>
      <c r="F345" s="55"/>
      <c r="J345" s="55"/>
    </row>
    <row r="346" ht="15.75" customHeight="1">
      <c r="B346" s="55"/>
      <c r="F346" s="55"/>
      <c r="J346" s="55"/>
    </row>
    <row r="347" ht="15.75" customHeight="1">
      <c r="B347" s="55"/>
      <c r="F347" s="55"/>
      <c r="J347" s="55"/>
    </row>
    <row r="348" ht="15.75" customHeight="1">
      <c r="B348" s="55"/>
      <c r="F348" s="55"/>
      <c r="J348" s="55"/>
    </row>
    <row r="349" ht="15.75" customHeight="1">
      <c r="B349" s="55"/>
      <c r="F349" s="55"/>
      <c r="J349" s="55"/>
    </row>
    <row r="350" ht="15.75" customHeight="1">
      <c r="B350" s="55"/>
      <c r="F350" s="55"/>
      <c r="J350" s="55"/>
    </row>
    <row r="351" ht="15.75" customHeight="1">
      <c r="B351" s="55"/>
      <c r="F351" s="55"/>
      <c r="J351" s="55"/>
    </row>
    <row r="352" ht="15.75" customHeight="1">
      <c r="B352" s="55"/>
      <c r="F352" s="55"/>
      <c r="J352" s="55"/>
    </row>
    <row r="353" ht="15.75" customHeight="1">
      <c r="B353" s="55"/>
      <c r="F353" s="55"/>
      <c r="J353" s="55"/>
    </row>
    <row r="354" ht="15.75" customHeight="1">
      <c r="B354" s="55"/>
      <c r="F354" s="55"/>
      <c r="J354" s="55"/>
    </row>
    <row r="355" ht="15.75" customHeight="1">
      <c r="B355" s="55"/>
      <c r="F355" s="55"/>
      <c r="J355" s="55"/>
    </row>
    <row r="356" ht="15.75" customHeight="1">
      <c r="B356" s="55"/>
      <c r="F356" s="55"/>
      <c r="J356" s="55"/>
    </row>
    <row r="357" ht="15.75" customHeight="1">
      <c r="B357" s="55"/>
      <c r="F357" s="55"/>
      <c r="J357" s="55"/>
    </row>
    <row r="358" ht="15.75" customHeight="1">
      <c r="B358" s="55"/>
      <c r="F358" s="55"/>
      <c r="J358" s="55"/>
    </row>
    <row r="359" ht="15.75" customHeight="1">
      <c r="B359" s="55"/>
      <c r="F359" s="55"/>
      <c r="J359" s="55"/>
    </row>
    <row r="360" ht="15.75" customHeight="1">
      <c r="B360" s="55"/>
      <c r="F360" s="55"/>
      <c r="J360" s="55"/>
    </row>
    <row r="361" ht="15.75" customHeight="1">
      <c r="B361" s="55"/>
      <c r="F361" s="55"/>
      <c r="J361" s="55"/>
    </row>
    <row r="362" ht="15.75" customHeight="1">
      <c r="B362" s="55"/>
      <c r="F362" s="55"/>
      <c r="J362" s="55"/>
    </row>
    <row r="363" ht="15.75" customHeight="1">
      <c r="B363" s="55"/>
      <c r="F363" s="55"/>
      <c r="J363" s="55"/>
    </row>
    <row r="364" ht="15.75" customHeight="1">
      <c r="B364" s="55"/>
      <c r="F364" s="55"/>
      <c r="J364" s="55"/>
    </row>
    <row r="365" ht="15.75" customHeight="1">
      <c r="B365" s="55"/>
      <c r="F365" s="55"/>
      <c r="J365" s="55"/>
    </row>
    <row r="366" ht="15.75" customHeight="1">
      <c r="B366" s="55"/>
      <c r="F366" s="55"/>
      <c r="J366" s="55"/>
    </row>
    <row r="367" ht="15.75" customHeight="1">
      <c r="B367" s="55"/>
      <c r="F367" s="55"/>
      <c r="J367" s="55"/>
    </row>
    <row r="368" ht="15.75" customHeight="1">
      <c r="B368" s="55"/>
      <c r="F368" s="55"/>
      <c r="J368" s="55"/>
    </row>
    <row r="369" ht="15.75" customHeight="1">
      <c r="B369" s="55"/>
      <c r="F369" s="55"/>
      <c r="J369" s="55"/>
    </row>
    <row r="370" ht="15.75" customHeight="1">
      <c r="B370" s="55"/>
      <c r="F370" s="55"/>
      <c r="J370" s="55"/>
    </row>
    <row r="371" ht="15.75" customHeight="1">
      <c r="B371" s="55"/>
      <c r="F371" s="55"/>
      <c r="J371" s="55"/>
    </row>
    <row r="372" ht="15.75" customHeight="1">
      <c r="B372" s="55"/>
      <c r="F372" s="55"/>
      <c r="J372" s="55"/>
    </row>
    <row r="373" ht="15.75" customHeight="1">
      <c r="B373" s="55"/>
      <c r="F373" s="55"/>
      <c r="J373" s="55"/>
    </row>
    <row r="374" ht="15.75" customHeight="1">
      <c r="B374" s="55"/>
      <c r="F374" s="55"/>
      <c r="J374" s="55"/>
    </row>
    <row r="375" ht="15.75" customHeight="1">
      <c r="B375" s="55"/>
      <c r="F375" s="55"/>
      <c r="J375" s="55"/>
    </row>
    <row r="376" ht="15.75" customHeight="1">
      <c r="B376" s="55"/>
      <c r="F376" s="55"/>
      <c r="J376" s="55"/>
    </row>
    <row r="377" ht="15.75" customHeight="1">
      <c r="B377" s="55"/>
      <c r="F377" s="55"/>
      <c r="J377" s="55"/>
    </row>
    <row r="378" ht="15.75" customHeight="1">
      <c r="B378" s="55"/>
      <c r="F378" s="55"/>
      <c r="J378" s="55"/>
    </row>
    <row r="379" ht="15.75" customHeight="1">
      <c r="B379" s="55"/>
      <c r="F379" s="55"/>
      <c r="J379" s="55"/>
    </row>
    <row r="380" ht="15.75" customHeight="1">
      <c r="B380" s="55"/>
      <c r="F380" s="55"/>
      <c r="J380" s="55"/>
    </row>
    <row r="381" ht="15.75" customHeight="1">
      <c r="B381" s="55"/>
      <c r="F381" s="55"/>
      <c r="J381" s="55"/>
    </row>
    <row r="382" ht="15.75" customHeight="1">
      <c r="B382" s="55"/>
      <c r="F382" s="55"/>
      <c r="J382" s="55"/>
    </row>
    <row r="383" ht="15.75" customHeight="1">
      <c r="B383" s="55"/>
      <c r="F383" s="55"/>
      <c r="J383" s="55"/>
    </row>
    <row r="384" ht="15.75" customHeight="1">
      <c r="B384" s="55"/>
      <c r="F384" s="55"/>
      <c r="J384" s="55"/>
    </row>
    <row r="385" ht="15.75" customHeight="1">
      <c r="B385" s="55"/>
      <c r="F385" s="55"/>
      <c r="J385" s="55"/>
    </row>
    <row r="386" ht="15.75" customHeight="1">
      <c r="B386" s="55"/>
      <c r="F386" s="55"/>
      <c r="J386" s="55"/>
    </row>
    <row r="387" ht="15.75" customHeight="1">
      <c r="B387" s="55"/>
      <c r="F387" s="55"/>
      <c r="J387" s="55"/>
    </row>
    <row r="388" ht="15.75" customHeight="1">
      <c r="B388" s="55"/>
      <c r="F388" s="55"/>
      <c r="J388" s="55"/>
    </row>
    <row r="389" ht="15.75" customHeight="1">
      <c r="B389" s="55"/>
      <c r="F389" s="55"/>
      <c r="J389" s="55"/>
    </row>
    <row r="390" ht="15.75" customHeight="1">
      <c r="B390" s="55"/>
      <c r="F390" s="55"/>
      <c r="J390" s="55"/>
    </row>
    <row r="391" ht="15.75" customHeight="1">
      <c r="B391" s="55"/>
      <c r="F391" s="55"/>
      <c r="J391" s="55"/>
    </row>
    <row r="392" ht="15.75" customHeight="1">
      <c r="B392" s="55"/>
      <c r="F392" s="55"/>
      <c r="J392" s="55"/>
    </row>
    <row r="393" ht="15.75" customHeight="1">
      <c r="B393" s="55"/>
      <c r="F393" s="55"/>
      <c r="J393" s="55"/>
    </row>
    <row r="394" ht="15.75" customHeight="1">
      <c r="B394" s="55"/>
      <c r="F394" s="55"/>
      <c r="J394" s="55"/>
    </row>
    <row r="395" ht="15.75" customHeight="1">
      <c r="B395" s="55"/>
      <c r="F395" s="55"/>
      <c r="J395" s="55"/>
    </row>
    <row r="396" ht="15.75" customHeight="1">
      <c r="B396" s="55"/>
      <c r="F396" s="55"/>
      <c r="J396" s="55"/>
    </row>
    <row r="397" ht="15.75" customHeight="1">
      <c r="B397" s="55"/>
      <c r="F397" s="55"/>
      <c r="J397" s="55"/>
    </row>
    <row r="398" ht="15.75" customHeight="1">
      <c r="B398" s="55"/>
      <c r="F398" s="55"/>
      <c r="J398" s="55"/>
    </row>
    <row r="399" ht="15.75" customHeight="1">
      <c r="B399" s="55"/>
      <c r="F399" s="55"/>
      <c r="J399" s="55"/>
    </row>
    <row r="400" ht="15.75" customHeight="1">
      <c r="B400" s="55"/>
      <c r="F400" s="55"/>
      <c r="J400" s="55"/>
    </row>
    <row r="401" ht="15.75" customHeight="1">
      <c r="B401" s="55"/>
      <c r="F401" s="55"/>
      <c r="J401" s="55"/>
    </row>
    <row r="402" ht="15.75" customHeight="1">
      <c r="B402" s="55"/>
      <c r="F402" s="55"/>
      <c r="J402" s="55"/>
    </row>
    <row r="403" ht="15.75" customHeight="1">
      <c r="B403" s="55"/>
      <c r="F403" s="55"/>
      <c r="J403" s="55"/>
    </row>
    <row r="404" ht="15.75" customHeight="1">
      <c r="B404" s="55"/>
      <c r="F404" s="55"/>
      <c r="J404" s="55"/>
    </row>
    <row r="405" ht="15.75" customHeight="1">
      <c r="B405" s="55"/>
      <c r="F405" s="55"/>
      <c r="J405" s="55"/>
    </row>
    <row r="406" ht="15.75" customHeight="1">
      <c r="B406" s="55"/>
      <c r="F406" s="55"/>
      <c r="J406" s="55"/>
    </row>
    <row r="407" ht="15.75" customHeight="1">
      <c r="B407" s="55"/>
      <c r="F407" s="55"/>
      <c r="J407" s="55"/>
    </row>
    <row r="408" ht="15.75" customHeight="1">
      <c r="B408" s="55"/>
      <c r="F408" s="55"/>
      <c r="J408" s="55"/>
    </row>
    <row r="409" ht="15.75" customHeight="1">
      <c r="B409" s="55"/>
      <c r="F409" s="55"/>
      <c r="J409" s="55"/>
    </row>
    <row r="410" ht="15.75" customHeight="1">
      <c r="B410" s="55"/>
      <c r="F410" s="55"/>
      <c r="J410" s="55"/>
    </row>
    <row r="411" ht="15.75" customHeight="1">
      <c r="B411" s="55"/>
      <c r="F411" s="55"/>
      <c r="J411" s="55"/>
    </row>
    <row r="412" ht="15.75" customHeight="1">
      <c r="B412" s="55"/>
      <c r="F412" s="55"/>
      <c r="J412" s="55"/>
    </row>
    <row r="413" ht="15.75" customHeight="1">
      <c r="B413" s="55"/>
      <c r="F413" s="55"/>
      <c r="J413" s="55"/>
    </row>
    <row r="414" ht="15.75" customHeight="1">
      <c r="B414" s="55"/>
      <c r="F414" s="55"/>
      <c r="J414" s="55"/>
    </row>
    <row r="415" ht="15.75" customHeight="1">
      <c r="B415" s="55"/>
      <c r="F415" s="55"/>
      <c r="J415" s="55"/>
    </row>
    <row r="416" ht="15.75" customHeight="1">
      <c r="B416" s="55"/>
      <c r="F416" s="55"/>
      <c r="J416" s="55"/>
    </row>
    <row r="417" ht="15.75" customHeight="1">
      <c r="B417" s="55"/>
      <c r="F417" s="55"/>
      <c r="J417" s="55"/>
    </row>
    <row r="418" ht="15.75" customHeight="1">
      <c r="B418" s="55"/>
      <c r="F418" s="55"/>
      <c r="J418" s="55"/>
    </row>
    <row r="419" ht="15.75" customHeight="1">
      <c r="B419" s="55"/>
      <c r="F419" s="55"/>
      <c r="J419" s="55"/>
    </row>
    <row r="420" ht="15.75" customHeight="1">
      <c r="B420" s="55"/>
      <c r="F420" s="55"/>
      <c r="J420" s="55"/>
    </row>
    <row r="421" ht="15.75" customHeight="1">
      <c r="B421" s="55"/>
      <c r="F421" s="55"/>
      <c r="J421" s="55"/>
    </row>
    <row r="422" ht="15.75" customHeight="1">
      <c r="B422" s="55"/>
      <c r="F422" s="55"/>
      <c r="J422" s="55"/>
    </row>
    <row r="423" ht="15.75" customHeight="1">
      <c r="B423" s="55"/>
      <c r="F423" s="55"/>
      <c r="J423" s="55"/>
    </row>
    <row r="424" ht="15.75" customHeight="1">
      <c r="B424" s="55"/>
      <c r="F424" s="55"/>
      <c r="J424" s="55"/>
    </row>
    <row r="425" ht="15.75" customHeight="1">
      <c r="B425" s="55"/>
      <c r="F425" s="55"/>
      <c r="J425" s="55"/>
    </row>
    <row r="426" ht="15.75" customHeight="1">
      <c r="B426" s="55"/>
      <c r="F426" s="55"/>
      <c r="J426" s="55"/>
    </row>
    <row r="427" ht="15.75" customHeight="1">
      <c r="B427" s="55"/>
      <c r="F427" s="55"/>
      <c r="J427" s="55"/>
    </row>
    <row r="428" ht="15.75" customHeight="1">
      <c r="B428" s="55"/>
      <c r="F428" s="55"/>
      <c r="J428" s="55"/>
    </row>
    <row r="429" ht="15.75" customHeight="1">
      <c r="B429" s="55"/>
      <c r="F429" s="55"/>
      <c r="J429" s="55"/>
    </row>
    <row r="430" ht="15.75" customHeight="1">
      <c r="B430" s="55"/>
      <c r="F430" s="55"/>
      <c r="J430" s="55"/>
    </row>
    <row r="431" ht="15.75" customHeight="1">
      <c r="B431" s="55"/>
      <c r="F431" s="55"/>
      <c r="J431" s="55"/>
    </row>
    <row r="432" ht="15.75" customHeight="1">
      <c r="B432" s="55"/>
      <c r="F432" s="55"/>
      <c r="J432" s="55"/>
    </row>
    <row r="433" ht="15.75" customHeight="1">
      <c r="B433" s="55"/>
      <c r="F433" s="55"/>
      <c r="J433" s="55"/>
    </row>
    <row r="434" ht="15.75" customHeight="1">
      <c r="B434" s="55"/>
      <c r="F434" s="55"/>
      <c r="J434" s="55"/>
    </row>
    <row r="435" ht="15.75" customHeight="1">
      <c r="B435" s="55"/>
      <c r="F435" s="55"/>
      <c r="J435" s="55"/>
    </row>
    <row r="436" ht="15.75" customHeight="1">
      <c r="B436" s="55"/>
      <c r="F436" s="55"/>
      <c r="J436" s="55"/>
    </row>
    <row r="437" ht="15.75" customHeight="1">
      <c r="B437" s="55"/>
      <c r="F437" s="55"/>
      <c r="J437" s="55"/>
    </row>
    <row r="438" ht="15.75" customHeight="1">
      <c r="B438" s="55"/>
      <c r="F438" s="55"/>
      <c r="J438" s="55"/>
    </row>
    <row r="439" ht="15.75" customHeight="1">
      <c r="B439" s="55"/>
      <c r="F439" s="55"/>
      <c r="J439" s="55"/>
    </row>
    <row r="440" ht="15.75" customHeight="1">
      <c r="B440" s="55"/>
      <c r="F440" s="55"/>
      <c r="J440" s="55"/>
    </row>
    <row r="441" ht="15.75" customHeight="1">
      <c r="B441" s="55"/>
      <c r="F441" s="55"/>
      <c r="J441" s="55"/>
    </row>
    <row r="442" ht="15.75" customHeight="1">
      <c r="B442" s="55"/>
      <c r="F442" s="55"/>
      <c r="J442" s="55"/>
    </row>
    <row r="443" ht="15.75" customHeight="1">
      <c r="B443" s="55"/>
      <c r="F443" s="55"/>
      <c r="J443" s="55"/>
    </row>
    <row r="444" ht="15.75" customHeight="1">
      <c r="B444" s="55"/>
      <c r="F444" s="55"/>
      <c r="J444" s="55"/>
    </row>
    <row r="445" ht="15.75" customHeight="1">
      <c r="B445" s="55"/>
      <c r="F445" s="55"/>
      <c r="J445" s="55"/>
    </row>
    <row r="446" ht="15.75" customHeight="1">
      <c r="B446" s="55"/>
      <c r="F446" s="55"/>
      <c r="J446" s="55"/>
    </row>
    <row r="447" ht="15.75" customHeight="1">
      <c r="B447" s="55"/>
      <c r="F447" s="55"/>
      <c r="J447" s="55"/>
    </row>
    <row r="448" ht="15.75" customHeight="1">
      <c r="B448" s="55"/>
      <c r="F448" s="55"/>
      <c r="J448" s="55"/>
    </row>
    <row r="449" ht="15.75" customHeight="1">
      <c r="B449" s="55"/>
      <c r="F449" s="55"/>
      <c r="J449" s="55"/>
    </row>
    <row r="450" ht="15.75" customHeight="1">
      <c r="B450" s="55"/>
      <c r="F450" s="55"/>
      <c r="J450" s="55"/>
    </row>
    <row r="451" ht="15.75" customHeight="1">
      <c r="B451" s="55"/>
      <c r="F451" s="55"/>
      <c r="J451" s="55"/>
    </row>
    <row r="452" ht="15.75" customHeight="1">
      <c r="B452" s="55"/>
      <c r="F452" s="55"/>
      <c r="J452" s="55"/>
    </row>
    <row r="453" ht="15.75" customHeight="1">
      <c r="B453" s="55"/>
      <c r="F453" s="55"/>
      <c r="J453" s="55"/>
    </row>
    <row r="454" ht="15.75" customHeight="1">
      <c r="B454" s="55"/>
      <c r="F454" s="55"/>
      <c r="J454" s="55"/>
    </row>
    <row r="455" ht="15.75" customHeight="1">
      <c r="B455" s="55"/>
      <c r="F455" s="55"/>
      <c r="J455" s="55"/>
    </row>
    <row r="456" ht="15.75" customHeight="1">
      <c r="B456" s="55"/>
      <c r="F456" s="55"/>
      <c r="J456" s="55"/>
    </row>
    <row r="457" ht="15.75" customHeight="1">
      <c r="B457" s="55"/>
      <c r="F457" s="55"/>
      <c r="J457" s="55"/>
    </row>
    <row r="458" ht="15.75" customHeight="1">
      <c r="B458" s="55"/>
      <c r="F458" s="55"/>
      <c r="J458" s="55"/>
    </row>
    <row r="459" ht="15.75" customHeight="1">
      <c r="B459" s="55"/>
      <c r="F459" s="55"/>
      <c r="J459" s="55"/>
    </row>
    <row r="460" ht="15.75" customHeight="1">
      <c r="B460" s="55"/>
      <c r="F460" s="55"/>
      <c r="J460" s="55"/>
    </row>
    <row r="461" ht="15.75" customHeight="1">
      <c r="B461" s="55"/>
      <c r="F461" s="55"/>
      <c r="J461" s="55"/>
    </row>
    <row r="462" ht="15.75" customHeight="1">
      <c r="B462" s="55"/>
      <c r="F462" s="55"/>
      <c r="J462" s="55"/>
    </row>
    <row r="463" ht="15.75" customHeight="1">
      <c r="B463" s="55"/>
      <c r="F463" s="55"/>
      <c r="J463" s="55"/>
    </row>
    <row r="464" ht="15.75" customHeight="1">
      <c r="B464" s="55"/>
      <c r="F464" s="55"/>
      <c r="J464" s="55"/>
    </row>
    <row r="465" ht="15.75" customHeight="1">
      <c r="B465" s="55"/>
      <c r="F465" s="55"/>
      <c r="J465" s="55"/>
    </row>
    <row r="466" ht="15.75" customHeight="1">
      <c r="B466" s="55"/>
      <c r="F466" s="55"/>
      <c r="J466" s="55"/>
    </row>
    <row r="467" ht="15.75" customHeight="1">
      <c r="B467" s="55"/>
      <c r="F467" s="55"/>
      <c r="J467" s="55"/>
    </row>
    <row r="468" ht="15.75" customHeight="1">
      <c r="B468" s="55"/>
      <c r="F468" s="55"/>
      <c r="J468" s="55"/>
    </row>
    <row r="469" ht="15.75" customHeight="1">
      <c r="B469" s="55"/>
      <c r="F469" s="55"/>
      <c r="J469" s="55"/>
    </row>
    <row r="470" ht="15.75" customHeight="1">
      <c r="B470" s="55"/>
      <c r="F470" s="55"/>
      <c r="J470" s="55"/>
    </row>
    <row r="471" ht="15.75" customHeight="1">
      <c r="B471" s="55"/>
      <c r="F471" s="55"/>
      <c r="J471" s="55"/>
    </row>
    <row r="472" ht="15.75" customHeight="1">
      <c r="B472" s="55"/>
      <c r="F472" s="55"/>
      <c r="J472" s="55"/>
    </row>
    <row r="473" ht="15.75" customHeight="1">
      <c r="B473" s="55"/>
      <c r="F473" s="55"/>
      <c r="J473" s="55"/>
    </row>
    <row r="474" ht="15.75" customHeight="1">
      <c r="B474" s="55"/>
      <c r="F474" s="55"/>
      <c r="J474" s="55"/>
    </row>
    <row r="475" ht="15.75" customHeight="1">
      <c r="B475" s="55"/>
      <c r="F475" s="55"/>
      <c r="J475" s="55"/>
    </row>
    <row r="476" ht="15.75" customHeight="1">
      <c r="B476" s="55"/>
      <c r="F476" s="55"/>
      <c r="J476" s="55"/>
    </row>
    <row r="477" ht="15.75" customHeight="1">
      <c r="B477" s="55"/>
      <c r="F477" s="55"/>
      <c r="J477" s="55"/>
    </row>
    <row r="478" ht="15.75" customHeight="1">
      <c r="B478" s="55"/>
      <c r="F478" s="55"/>
      <c r="J478" s="55"/>
    </row>
    <row r="479" ht="15.75" customHeight="1">
      <c r="B479" s="55"/>
      <c r="F479" s="55"/>
      <c r="J479" s="55"/>
    </row>
    <row r="480" ht="15.75" customHeight="1">
      <c r="B480" s="55"/>
      <c r="F480" s="55"/>
      <c r="J480" s="55"/>
    </row>
    <row r="481" ht="15.75" customHeight="1">
      <c r="B481" s="55"/>
      <c r="F481" s="55"/>
      <c r="J481" s="55"/>
    </row>
    <row r="482" ht="15.75" customHeight="1">
      <c r="B482" s="55"/>
      <c r="F482" s="55"/>
      <c r="J482" s="55"/>
    </row>
    <row r="483" ht="15.75" customHeight="1">
      <c r="B483" s="55"/>
      <c r="F483" s="55"/>
      <c r="J483" s="55"/>
    </row>
    <row r="484" ht="15.75" customHeight="1">
      <c r="B484" s="55"/>
      <c r="F484" s="55"/>
      <c r="J484" s="55"/>
    </row>
    <row r="485" ht="15.75" customHeight="1">
      <c r="B485" s="55"/>
      <c r="F485" s="55"/>
      <c r="J485" s="55"/>
    </row>
    <row r="486" ht="15.75" customHeight="1">
      <c r="B486" s="55"/>
      <c r="F486" s="55"/>
      <c r="J486" s="55"/>
    </row>
    <row r="487" ht="15.75" customHeight="1">
      <c r="B487" s="55"/>
      <c r="F487" s="55"/>
      <c r="J487" s="55"/>
    </row>
    <row r="488" ht="15.75" customHeight="1">
      <c r="B488" s="55"/>
      <c r="F488" s="55"/>
      <c r="J488" s="55"/>
    </row>
    <row r="489" ht="15.75" customHeight="1">
      <c r="B489" s="55"/>
      <c r="F489" s="55"/>
      <c r="J489" s="55"/>
    </row>
    <row r="490" ht="15.75" customHeight="1">
      <c r="B490" s="55"/>
      <c r="F490" s="55"/>
      <c r="J490" s="55"/>
    </row>
    <row r="491" ht="15.75" customHeight="1">
      <c r="B491" s="55"/>
      <c r="F491" s="55"/>
      <c r="J491" s="55"/>
    </row>
    <row r="492" ht="15.75" customHeight="1">
      <c r="B492" s="55"/>
      <c r="F492" s="55"/>
      <c r="J492" s="55"/>
    </row>
    <row r="493" ht="15.75" customHeight="1">
      <c r="B493" s="55"/>
      <c r="F493" s="55"/>
      <c r="J493" s="55"/>
    </row>
    <row r="494" ht="15.75" customHeight="1">
      <c r="B494" s="55"/>
      <c r="F494" s="55"/>
      <c r="J494" s="55"/>
    </row>
    <row r="495" ht="15.75" customHeight="1">
      <c r="B495" s="55"/>
      <c r="F495" s="55"/>
      <c r="J495" s="55"/>
    </row>
    <row r="496" ht="15.75" customHeight="1">
      <c r="B496" s="55"/>
      <c r="F496" s="55"/>
      <c r="J496" s="55"/>
    </row>
    <row r="497" ht="15.75" customHeight="1">
      <c r="B497" s="55"/>
      <c r="F497" s="55"/>
      <c r="J497" s="55"/>
    </row>
    <row r="498" ht="15.75" customHeight="1">
      <c r="B498" s="55"/>
      <c r="F498" s="55"/>
      <c r="J498" s="55"/>
    </row>
    <row r="499" ht="15.75" customHeight="1">
      <c r="B499" s="55"/>
      <c r="F499" s="55"/>
      <c r="J499" s="55"/>
    </row>
    <row r="500" ht="15.75" customHeight="1">
      <c r="B500" s="55"/>
      <c r="F500" s="55"/>
      <c r="J500" s="55"/>
    </row>
    <row r="501" ht="15.75" customHeight="1">
      <c r="B501" s="55"/>
      <c r="F501" s="55"/>
      <c r="J501" s="55"/>
    </row>
    <row r="502" ht="15.75" customHeight="1">
      <c r="B502" s="55"/>
      <c r="F502" s="55"/>
      <c r="J502" s="55"/>
    </row>
    <row r="503" ht="15.75" customHeight="1">
      <c r="B503" s="55"/>
      <c r="F503" s="55"/>
      <c r="J503" s="55"/>
    </row>
    <row r="504" ht="15.75" customHeight="1">
      <c r="B504" s="55"/>
      <c r="F504" s="55"/>
      <c r="J504" s="55"/>
    </row>
    <row r="505" ht="15.75" customHeight="1">
      <c r="B505" s="55"/>
      <c r="F505" s="55"/>
      <c r="J505" s="55"/>
    </row>
    <row r="506" ht="15.75" customHeight="1">
      <c r="B506" s="55"/>
      <c r="F506" s="55"/>
      <c r="J506" s="55"/>
    </row>
    <row r="507" ht="15.75" customHeight="1">
      <c r="B507" s="55"/>
      <c r="F507" s="55"/>
      <c r="J507" s="55"/>
    </row>
    <row r="508" ht="15.75" customHeight="1">
      <c r="B508" s="55"/>
      <c r="F508" s="55"/>
      <c r="J508" s="55"/>
    </row>
    <row r="509" ht="15.75" customHeight="1">
      <c r="B509" s="55"/>
      <c r="F509" s="55"/>
      <c r="J509" s="55"/>
    </row>
    <row r="510" ht="15.75" customHeight="1">
      <c r="B510" s="55"/>
      <c r="F510" s="55"/>
      <c r="J510" s="55"/>
    </row>
    <row r="511" ht="15.75" customHeight="1">
      <c r="B511" s="55"/>
      <c r="F511" s="55"/>
      <c r="J511" s="55"/>
    </row>
    <row r="512" ht="15.75" customHeight="1">
      <c r="B512" s="55"/>
      <c r="F512" s="55"/>
      <c r="J512" s="55"/>
    </row>
    <row r="513" ht="15.75" customHeight="1">
      <c r="B513" s="55"/>
      <c r="F513" s="55"/>
      <c r="J513" s="55"/>
    </row>
    <row r="514" ht="15.75" customHeight="1">
      <c r="B514" s="55"/>
      <c r="F514" s="55"/>
      <c r="J514" s="55"/>
    </row>
    <row r="515" ht="15.75" customHeight="1">
      <c r="B515" s="55"/>
      <c r="F515" s="55"/>
      <c r="J515" s="55"/>
    </row>
    <row r="516" ht="15.75" customHeight="1">
      <c r="B516" s="55"/>
      <c r="F516" s="55"/>
      <c r="J516" s="55"/>
    </row>
    <row r="517" ht="15.75" customHeight="1">
      <c r="B517" s="55"/>
      <c r="F517" s="55"/>
      <c r="J517" s="55"/>
    </row>
    <row r="518" ht="15.75" customHeight="1">
      <c r="B518" s="55"/>
      <c r="F518" s="55"/>
      <c r="J518" s="55"/>
    </row>
    <row r="519" ht="15.75" customHeight="1">
      <c r="B519" s="55"/>
      <c r="F519" s="55"/>
      <c r="J519" s="55"/>
    </row>
    <row r="520" ht="15.75" customHeight="1">
      <c r="B520" s="55"/>
      <c r="F520" s="55"/>
      <c r="J520" s="55"/>
    </row>
    <row r="521" ht="15.75" customHeight="1">
      <c r="B521" s="55"/>
      <c r="F521" s="55"/>
      <c r="J521" s="55"/>
    </row>
    <row r="522" ht="15.75" customHeight="1">
      <c r="B522" s="55"/>
      <c r="F522" s="55"/>
      <c r="J522" s="55"/>
    </row>
    <row r="523" ht="15.75" customHeight="1">
      <c r="B523" s="55"/>
      <c r="F523" s="55"/>
      <c r="J523" s="55"/>
    </row>
    <row r="524" ht="15.75" customHeight="1">
      <c r="B524" s="55"/>
      <c r="F524" s="55"/>
      <c r="J524" s="55"/>
    </row>
    <row r="525" ht="15.75" customHeight="1">
      <c r="B525" s="55"/>
      <c r="F525" s="55"/>
      <c r="J525" s="55"/>
    </row>
    <row r="526" ht="15.75" customHeight="1">
      <c r="B526" s="55"/>
      <c r="F526" s="55"/>
      <c r="J526" s="55"/>
    </row>
    <row r="527" ht="15.75" customHeight="1">
      <c r="B527" s="55"/>
      <c r="F527" s="55"/>
      <c r="J527" s="55"/>
    </row>
    <row r="528" ht="15.75" customHeight="1">
      <c r="B528" s="55"/>
      <c r="F528" s="55"/>
      <c r="J528" s="55"/>
    </row>
    <row r="529" ht="15.75" customHeight="1">
      <c r="B529" s="55"/>
      <c r="F529" s="55"/>
      <c r="J529" s="55"/>
    </row>
    <row r="530" ht="15.75" customHeight="1">
      <c r="B530" s="55"/>
      <c r="F530" s="55"/>
      <c r="J530" s="55"/>
    </row>
    <row r="531" ht="15.75" customHeight="1">
      <c r="B531" s="55"/>
      <c r="F531" s="55"/>
      <c r="J531" s="55"/>
    </row>
    <row r="532" ht="15.75" customHeight="1">
      <c r="B532" s="55"/>
      <c r="F532" s="55"/>
      <c r="J532" s="55"/>
    </row>
    <row r="533" ht="15.75" customHeight="1">
      <c r="B533" s="55"/>
      <c r="F533" s="55"/>
      <c r="J533" s="55"/>
    </row>
    <row r="534" ht="15.75" customHeight="1">
      <c r="B534" s="55"/>
      <c r="F534" s="55"/>
      <c r="J534" s="55"/>
    </row>
    <row r="535" ht="15.75" customHeight="1">
      <c r="B535" s="55"/>
      <c r="F535" s="55"/>
      <c r="J535" s="55"/>
    </row>
    <row r="536" ht="15.75" customHeight="1">
      <c r="B536" s="55"/>
      <c r="F536" s="55"/>
      <c r="J536" s="55"/>
    </row>
    <row r="537" ht="15.75" customHeight="1">
      <c r="B537" s="55"/>
      <c r="F537" s="55"/>
      <c r="J537" s="55"/>
    </row>
    <row r="538" ht="15.75" customHeight="1">
      <c r="B538" s="55"/>
      <c r="F538" s="55"/>
      <c r="J538" s="55"/>
    </row>
    <row r="539" ht="15.75" customHeight="1">
      <c r="B539" s="55"/>
      <c r="F539" s="55"/>
      <c r="J539" s="55"/>
    </row>
    <row r="540" ht="15.75" customHeight="1">
      <c r="B540" s="55"/>
      <c r="F540" s="55"/>
      <c r="J540" s="55"/>
    </row>
    <row r="541" ht="15.75" customHeight="1">
      <c r="B541" s="55"/>
      <c r="F541" s="55"/>
      <c r="J541" s="55"/>
    </row>
    <row r="542" ht="15.75" customHeight="1">
      <c r="B542" s="55"/>
      <c r="F542" s="55"/>
      <c r="J542" s="55"/>
    </row>
    <row r="543" ht="15.75" customHeight="1">
      <c r="B543" s="55"/>
      <c r="F543" s="55"/>
      <c r="J543" s="55"/>
    </row>
    <row r="544" ht="15.75" customHeight="1">
      <c r="B544" s="55"/>
      <c r="F544" s="55"/>
      <c r="J544" s="55"/>
    </row>
    <row r="545" ht="15.75" customHeight="1">
      <c r="B545" s="55"/>
      <c r="F545" s="55"/>
      <c r="J545" s="55"/>
    </row>
    <row r="546" ht="15.75" customHeight="1">
      <c r="B546" s="55"/>
      <c r="F546" s="55"/>
      <c r="J546" s="55"/>
    </row>
    <row r="547" ht="15.75" customHeight="1">
      <c r="B547" s="55"/>
      <c r="F547" s="55"/>
      <c r="J547" s="55"/>
    </row>
    <row r="548" ht="15.75" customHeight="1">
      <c r="B548" s="55"/>
      <c r="F548" s="55"/>
      <c r="J548" s="55"/>
    </row>
    <row r="549" ht="15.75" customHeight="1">
      <c r="B549" s="55"/>
      <c r="F549" s="55"/>
      <c r="J549" s="55"/>
    </row>
    <row r="550" ht="15.75" customHeight="1">
      <c r="B550" s="55"/>
      <c r="F550" s="55"/>
      <c r="J550" s="55"/>
    </row>
    <row r="551" ht="15.75" customHeight="1">
      <c r="B551" s="55"/>
      <c r="F551" s="55"/>
      <c r="J551" s="55"/>
    </row>
    <row r="552" ht="15.75" customHeight="1">
      <c r="B552" s="55"/>
      <c r="F552" s="55"/>
      <c r="J552" s="55"/>
    </row>
    <row r="553" ht="15.75" customHeight="1">
      <c r="B553" s="55"/>
      <c r="F553" s="55"/>
      <c r="J553" s="55"/>
    </row>
    <row r="554" ht="15.75" customHeight="1">
      <c r="B554" s="55"/>
      <c r="F554" s="55"/>
      <c r="J554" s="55"/>
    </row>
    <row r="555" ht="15.75" customHeight="1">
      <c r="B555" s="55"/>
      <c r="F555" s="55"/>
      <c r="J555" s="55"/>
    </row>
    <row r="556" ht="15.75" customHeight="1">
      <c r="B556" s="55"/>
      <c r="F556" s="55"/>
      <c r="J556" s="55"/>
    </row>
    <row r="557" ht="15.75" customHeight="1">
      <c r="B557" s="55"/>
      <c r="F557" s="55"/>
      <c r="J557" s="55"/>
    </row>
    <row r="558" ht="15.75" customHeight="1">
      <c r="B558" s="55"/>
      <c r="F558" s="55"/>
      <c r="J558" s="55"/>
    </row>
    <row r="559" ht="15.75" customHeight="1">
      <c r="B559" s="55"/>
      <c r="F559" s="55"/>
      <c r="J559" s="55"/>
    </row>
    <row r="560" ht="15.75" customHeight="1">
      <c r="B560" s="55"/>
      <c r="F560" s="55"/>
      <c r="J560" s="55"/>
    </row>
    <row r="561" ht="15.75" customHeight="1">
      <c r="B561" s="55"/>
      <c r="F561" s="55"/>
      <c r="J561" s="55"/>
    </row>
    <row r="562" ht="15.75" customHeight="1">
      <c r="B562" s="55"/>
      <c r="F562" s="55"/>
      <c r="J562" s="55"/>
    </row>
    <row r="563" ht="15.75" customHeight="1">
      <c r="B563" s="55"/>
      <c r="F563" s="55"/>
      <c r="J563" s="55"/>
    </row>
    <row r="564" ht="15.75" customHeight="1">
      <c r="B564" s="55"/>
      <c r="F564" s="55"/>
      <c r="J564" s="55"/>
    </row>
    <row r="565" ht="15.75" customHeight="1">
      <c r="B565" s="55"/>
      <c r="F565" s="55"/>
      <c r="J565" s="55"/>
    </row>
    <row r="566" ht="15.75" customHeight="1">
      <c r="B566" s="55"/>
      <c r="F566" s="55"/>
      <c r="J566" s="55"/>
    </row>
    <row r="567" ht="15.75" customHeight="1">
      <c r="B567" s="55"/>
      <c r="F567" s="55"/>
      <c r="J567" s="55"/>
    </row>
    <row r="568" ht="15.75" customHeight="1">
      <c r="B568" s="55"/>
      <c r="F568" s="55"/>
      <c r="J568" s="55"/>
    </row>
    <row r="569" ht="15.75" customHeight="1">
      <c r="B569" s="55"/>
      <c r="F569" s="55"/>
      <c r="J569" s="55"/>
    </row>
    <row r="570" ht="15.75" customHeight="1">
      <c r="B570" s="55"/>
      <c r="F570" s="55"/>
      <c r="J570" s="55"/>
    </row>
    <row r="571" ht="15.75" customHeight="1">
      <c r="B571" s="55"/>
      <c r="F571" s="55"/>
      <c r="J571" s="55"/>
    </row>
    <row r="572" ht="15.75" customHeight="1">
      <c r="B572" s="55"/>
      <c r="F572" s="55"/>
      <c r="J572" s="55"/>
    </row>
    <row r="573" ht="15.75" customHeight="1">
      <c r="B573" s="55"/>
      <c r="F573" s="55"/>
      <c r="J573" s="55"/>
    </row>
    <row r="574" ht="15.75" customHeight="1">
      <c r="B574" s="55"/>
      <c r="F574" s="55"/>
      <c r="J574" s="55"/>
    </row>
    <row r="575" ht="15.75" customHeight="1">
      <c r="B575" s="55"/>
      <c r="F575" s="55"/>
      <c r="J575" s="55"/>
    </row>
    <row r="576" ht="15.75" customHeight="1">
      <c r="B576" s="55"/>
      <c r="F576" s="55"/>
      <c r="J576" s="55"/>
    </row>
    <row r="577" ht="15.75" customHeight="1">
      <c r="B577" s="55"/>
      <c r="F577" s="55"/>
      <c r="J577" s="55"/>
    </row>
    <row r="578" ht="15.75" customHeight="1">
      <c r="B578" s="55"/>
      <c r="F578" s="55"/>
      <c r="J578" s="55"/>
    </row>
    <row r="579" ht="15.75" customHeight="1">
      <c r="B579" s="55"/>
      <c r="F579" s="55"/>
      <c r="J579" s="55"/>
    </row>
    <row r="580" ht="15.75" customHeight="1">
      <c r="B580" s="55"/>
      <c r="F580" s="55"/>
      <c r="J580" s="55"/>
    </row>
    <row r="581" ht="15.75" customHeight="1">
      <c r="B581" s="55"/>
      <c r="F581" s="55"/>
      <c r="J581" s="55"/>
    </row>
    <row r="582" ht="15.75" customHeight="1">
      <c r="B582" s="55"/>
      <c r="F582" s="55"/>
      <c r="J582" s="55"/>
    </row>
    <row r="583" ht="15.75" customHeight="1">
      <c r="B583" s="55"/>
      <c r="F583" s="55"/>
      <c r="J583" s="55"/>
    </row>
    <row r="584" ht="15.75" customHeight="1">
      <c r="B584" s="55"/>
      <c r="F584" s="55"/>
      <c r="J584" s="55"/>
    </row>
    <row r="585" ht="15.75" customHeight="1">
      <c r="B585" s="55"/>
      <c r="F585" s="55"/>
      <c r="J585" s="55"/>
    </row>
    <row r="586" ht="15.75" customHeight="1">
      <c r="B586" s="55"/>
      <c r="F586" s="55"/>
      <c r="J586" s="55"/>
    </row>
    <row r="587" ht="15.75" customHeight="1">
      <c r="B587" s="55"/>
      <c r="F587" s="55"/>
      <c r="J587" s="55"/>
    </row>
    <row r="588" ht="15.75" customHeight="1">
      <c r="B588" s="55"/>
      <c r="F588" s="55"/>
      <c r="J588" s="55"/>
    </row>
    <row r="589" ht="15.75" customHeight="1">
      <c r="B589" s="55"/>
      <c r="F589" s="55"/>
      <c r="J589" s="55"/>
    </row>
    <row r="590" ht="15.75" customHeight="1">
      <c r="B590" s="55"/>
      <c r="F590" s="55"/>
      <c r="J590" s="55"/>
    </row>
    <row r="591" ht="15.75" customHeight="1">
      <c r="B591" s="55"/>
      <c r="F591" s="55"/>
      <c r="J591" s="55"/>
    </row>
    <row r="592" ht="15.75" customHeight="1">
      <c r="B592" s="55"/>
      <c r="F592" s="55"/>
      <c r="J592" s="55"/>
    </row>
    <row r="593" ht="15.75" customHeight="1">
      <c r="B593" s="55"/>
      <c r="F593" s="55"/>
      <c r="J593" s="55"/>
    </row>
    <row r="594" ht="15.75" customHeight="1">
      <c r="B594" s="55"/>
      <c r="F594" s="55"/>
      <c r="J594" s="55"/>
    </row>
    <row r="595" ht="15.75" customHeight="1">
      <c r="B595" s="55"/>
      <c r="F595" s="55"/>
      <c r="J595" s="55"/>
    </row>
    <row r="596" ht="15.75" customHeight="1">
      <c r="B596" s="55"/>
      <c r="F596" s="55"/>
      <c r="J596" s="55"/>
    </row>
    <row r="597" ht="15.75" customHeight="1">
      <c r="B597" s="55"/>
      <c r="F597" s="55"/>
      <c r="J597" s="55"/>
    </row>
    <row r="598" ht="15.75" customHeight="1">
      <c r="B598" s="55"/>
      <c r="F598" s="55"/>
      <c r="J598" s="55"/>
    </row>
    <row r="599" ht="15.75" customHeight="1">
      <c r="B599" s="55"/>
      <c r="F599" s="55"/>
      <c r="J599" s="55"/>
    </row>
    <row r="600" ht="15.75" customHeight="1">
      <c r="B600" s="55"/>
      <c r="F600" s="55"/>
      <c r="J600" s="55"/>
    </row>
    <row r="601" ht="15.75" customHeight="1">
      <c r="B601" s="55"/>
      <c r="F601" s="55"/>
      <c r="J601" s="55"/>
    </row>
    <row r="602" ht="15.75" customHeight="1">
      <c r="B602" s="55"/>
      <c r="F602" s="55"/>
      <c r="J602" s="55"/>
    </row>
    <row r="603" ht="15.75" customHeight="1">
      <c r="B603" s="55"/>
      <c r="F603" s="55"/>
      <c r="J603" s="55"/>
    </row>
    <row r="604" ht="15.75" customHeight="1">
      <c r="B604" s="55"/>
      <c r="F604" s="55"/>
      <c r="J604" s="55"/>
    </row>
    <row r="605" ht="15.75" customHeight="1">
      <c r="B605" s="55"/>
      <c r="F605" s="55"/>
      <c r="J605" s="55"/>
    </row>
    <row r="606" ht="15.75" customHeight="1">
      <c r="B606" s="55"/>
      <c r="F606" s="55"/>
      <c r="J606" s="55"/>
    </row>
    <row r="607" ht="15.75" customHeight="1">
      <c r="B607" s="55"/>
      <c r="F607" s="55"/>
      <c r="J607" s="55"/>
    </row>
    <row r="608" ht="15.75" customHeight="1">
      <c r="B608" s="55"/>
      <c r="F608" s="55"/>
      <c r="J608" s="55"/>
    </row>
    <row r="609" ht="15.75" customHeight="1">
      <c r="B609" s="55"/>
      <c r="F609" s="55"/>
      <c r="J609" s="55"/>
    </row>
    <row r="610" ht="15.75" customHeight="1">
      <c r="B610" s="55"/>
      <c r="F610" s="55"/>
      <c r="J610" s="55"/>
    </row>
    <row r="611" ht="15.75" customHeight="1">
      <c r="B611" s="55"/>
      <c r="F611" s="55"/>
      <c r="J611" s="55"/>
    </row>
    <row r="612" ht="15.75" customHeight="1">
      <c r="B612" s="55"/>
      <c r="F612" s="55"/>
      <c r="J612" s="55"/>
    </row>
    <row r="613" ht="15.75" customHeight="1">
      <c r="B613" s="55"/>
      <c r="F613" s="55"/>
      <c r="J613" s="55"/>
    </row>
    <row r="614" ht="15.75" customHeight="1">
      <c r="B614" s="55"/>
      <c r="F614" s="55"/>
      <c r="J614" s="55"/>
    </row>
    <row r="615" ht="15.75" customHeight="1">
      <c r="B615" s="55"/>
      <c r="F615" s="55"/>
      <c r="J615" s="55"/>
    </row>
    <row r="616" ht="15.75" customHeight="1">
      <c r="B616" s="55"/>
      <c r="F616" s="55"/>
      <c r="J616" s="55"/>
    </row>
    <row r="617" ht="15.75" customHeight="1">
      <c r="B617" s="55"/>
      <c r="F617" s="55"/>
      <c r="J617" s="55"/>
    </row>
    <row r="618" ht="15.75" customHeight="1">
      <c r="B618" s="55"/>
      <c r="F618" s="55"/>
      <c r="J618" s="55"/>
    </row>
    <row r="619" ht="15.75" customHeight="1">
      <c r="B619" s="55"/>
      <c r="F619" s="55"/>
      <c r="J619" s="55"/>
    </row>
    <row r="620" ht="15.75" customHeight="1">
      <c r="B620" s="55"/>
      <c r="F620" s="55"/>
      <c r="J620" s="55"/>
    </row>
    <row r="621" ht="15.75" customHeight="1">
      <c r="B621" s="55"/>
      <c r="F621" s="55"/>
      <c r="J621" s="55"/>
    </row>
    <row r="622" ht="15.75" customHeight="1">
      <c r="B622" s="55"/>
      <c r="F622" s="55"/>
      <c r="J622" s="55"/>
    </row>
    <row r="623" ht="15.75" customHeight="1">
      <c r="B623" s="55"/>
      <c r="F623" s="55"/>
      <c r="J623" s="55"/>
    </row>
    <row r="624" ht="15.75" customHeight="1">
      <c r="B624" s="55"/>
      <c r="F624" s="55"/>
      <c r="J624" s="55"/>
    </row>
    <row r="625" ht="15.75" customHeight="1">
      <c r="B625" s="55"/>
      <c r="F625" s="55"/>
      <c r="J625" s="55"/>
    </row>
    <row r="626" ht="15.75" customHeight="1">
      <c r="B626" s="55"/>
      <c r="F626" s="55"/>
      <c r="J626" s="55"/>
    </row>
    <row r="627" ht="15.75" customHeight="1">
      <c r="B627" s="55"/>
      <c r="F627" s="55"/>
      <c r="J627" s="55"/>
    </row>
    <row r="628" ht="15.75" customHeight="1">
      <c r="B628" s="55"/>
      <c r="F628" s="55"/>
      <c r="J628" s="55"/>
    </row>
    <row r="629" ht="15.75" customHeight="1">
      <c r="B629" s="55"/>
      <c r="F629" s="55"/>
      <c r="J629" s="55"/>
    </row>
    <row r="630" ht="15.75" customHeight="1">
      <c r="B630" s="55"/>
      <c r="F630" s="55"/>
      <c r="J630" s="55"/>
    </row>
    <row r="631" ht="15.75" customHeight="1">
      <c r="B631" s="55"/>
      <c r="F631" s="55"/>
      <c r="J631" s="55"/>
    </row>
    <row r="632" ht="15.75" customHeight="1">
      <c r="B632" s="55"/>
      <c r="F632" s="55"/>
      <c r="J632" s="55"/>
    </row>
    <row r="633" ht="15.75" customHeight="1">
      <c r="B633" s="55"/>
      <c r="F633" s="55"/>
      <c r="J633" s="55"/>
    </row>
    <row r="634" ht="15.75" customHeight="1">
      <c r="B634" s="55"/>
      <c r="F634" s="55"/>
      <c r="J634" s="55"/>
    </row>
    <row r="635" ht="15.75" customHeight="1">
      <c r="B635" s="55"/>
      <c r="F635" s="55"/>
      <c r="J635" s="55"/>
    </row>
    <row r="636" ht="15.75" customHeight="1">
      <c r="B636" s="55"/>
      <c r="F636" s="55"/>
      <c r="J636" s="55"/>
    </row>
    <row r="637" ht="15.75" customHeight="1">
      <c r="B637" s="55"/>
      <c r="F637" s="55"/>
      <c r="J637" s="55"/>
    </row>
    <row r="638" ht="15.75" customHeight="1">
      <c r="B638" s="55"/>
      <c r="F638" s="55"/>
      <c r="J638" s="55"/>
    </row>
    <row r="639" ht="15.75" customHeight="1">
      <c r="B639" s="55"/>
      <c r="F639" s="55"/>
      <c r="J639" s="55"/>
    </row>
    <row r="640" ht="15.75" customHeight="1">
      <c r="B640" s="55"/>
      <c r="F640" s="55"/>
      <c r="J640" s="55"/>
    </row>
    <row r="641" ht="15.75" customHeight="1">
      <c r="B641" s="55"/>
      <c r="F641" s="55"/>
      <c r="J641" s="55"/>
    </row>
    <row r="642" ht="15.75" customHeight="1">
      <c r="B642" s="55"/>
      <c r="F642" s="55"/>
      <c r="J642" s="55"/>
    </row>
    <row r="643" ht="15.75" customHeight="1">
      <c r="B643" s="55"/>
      <c r="F643" s="55"/>
      <c r="J643" s="55"/>
    </row>
    <row r="644" ht="15.75" customHeight="1">
      <c r="B644" s="55"/>
      <c r="F644" s="55"/>
      <c r="J644" s="55"/>
    </row>
    <row r="645" ht="15.75" customHeight="1">
      <c r="B645" s="55"/>
      <c r="F645" s="55"/>
      <c r="J645" s="55"/>
    </row>
    <row r="646" ht="15.75" customHeight="1">
      <c r="B646" s="55"/>
      <c r="F646" s="55"/>
      <c r="J646" s="55"/>
    </row>
    <row r="647" ht="15.75" customHeight="1">
      <c r="B647" s="55"/>
      <c r="F647" s="55"/>
      <c r="J647" s="55"/>
    </row>
    <row r="648" ht="15.75" customHeight="1">
      <c r="B648" s="55"/>
      <c r="F648" s="55"/>
      <c r="J648" s="55"/>
    </row>
    <row r="649" ht="15.75" customHeight="1">
      <c r="B649" s="55"/>
      <c r="F649" s="55"/>
      <c r="J649" s="55"/>
    </row>
    <row r="650" ht="15.75" customHeight="1">
      <c r="B650" s="55"/>
      <c r="F650" s="55"/>
      <c r="J650" s="55"/>
    </row>
    <row r="651" ht="15.75" customHeight="1">
      <c r="B651" s="55"/>
      <c r="F651" s="55"/>
      <c r="J651" s="55"/>
    </row>
    <row r="652" ht="15.75" customHeight="1">
      <c r="B652" s="55"/>
      <c r="F652" s="55"/>
      <c r="J652" s="55"/>
    </row>
    <row r="653" ht="15.75" customHeight="1">
      <c r="B653" s="55"/>
      <c r="F653" s="55"/>
      <c r="J653" s="55"/>
    </row>
    <row r="654" ht="15.75" customHeight="1">
      <c r="B654" s="55"/>
      <c r="F654" s="55"/>
      <c r="J654" s="55"/>
    </row>
    <row r="655" ht="15.75" customHeight="1">
      <c r="B655" s="55"/>
      <c r="F655" s="55"/>
      <c r="J655" s="55"/>
    </row>
    <row r="656" ht="15.75" customHeight="1">
      <c r="B656" s="55"/>
      <c r="F656" s="55"/>
      <c r="J656" s="55"/>
    </row>
    <row r="657" ht="15.75" customHeight="1">
      <c r="B657" s="55"/>
      <c r="F657" s="55"/>
      <c r="J657" s="55"/>
    </row>
    <row r="658" ht="15.75" customHeight="1">
      <c r="B658" s="55"/>
      <c r="F658" s="55"/>
      <c r="J658" s="55"/>
    </row>
    <row r="659" ht="15.75" customHeight="1">
      <c r="B659" s="55"/>
      <c r="F659" s="55"/>
      <c r="J659" s="55"/>
    </row>
    <row r="660" ht="15.75" customHeight="1">
      <c r="B660" s="55"/>
      <c r="F660" s="55"/>
      <c r="J660" s="55"/>
    </row>
    <row r="661" ht="15.75" customHeight="1">
      <c r="B661" s="55"/>
      <c r="F661" s="55"/>
      <c r="J661" s="55"/>
    </row>
    <row r="662" ht="15.75" customHeight="1">
      <c r="B662" s="55"/>
      <c r="F662" s="55"/>
      <c r="J662" s="55"/>
    </row>
    <row r="663" ht="15.75" customHeight="1">
      <c r="B663" s="55"/>
      <c r="F663" s="55"/>
      <c r="J663" s="55"/>
    </row>
    <row r="664" ht="15.75" customHeight="1">
      <c r="B664" s="55"/>
      <c r="F664" s="55"/>
      <c r="J664" s="55"/>
    </row>
    <row r="665" ht="15.75" customHeight="1">
      <c r="B665" s="55"/>
      <c r="F665" s="55"/>
      <c r="J665" s="55"/>
    </row>
    <row r="666" ht="15.75" customHeight="1">
      <c r="B666" s="55"/>
      <c r="F666" s="55"/>
      <c r="J666" s="55"/>
    </row>
    <row r="667" ht="15.75" customHeight="1">
      <c r="B667" s="55"/>
      <c r="F667" s="55"/>
      <c r="J667" s="55"/>
    </row>
    <row r="668" ht="15.75" customHeight="1">
      <c r="B668" s="55"/>
      <c r="F668" s="55"/>
      <c r="J668" s="55"/>
    </row>
    <row r="669" ht="15.75" customHeight="1">
      <c r="B669" s="55"/>
      <c r="F669" s="55"/>
      <c r="J669" s="55"/>
    </row>
    <row r="670" ht="15.75" customHeight="1">
      <c r="B670" s="55"/>
      <c r="F670" s="55"/>
      <c r="J670" s="55"/>
    </row>
    <row r="671" ht="15.75" customHeight="1">
      <c r="B671" s="55"/>
      <c r="F671" s="55"/>
      <c r="J671" s="55"/>
    </row>
    <row r="672" ht="15.75" customHeight="1">
      <c r="B672" s="55"/>
      <c r="F672" s="55"/>
      <c r="J672" s="55"/>
    </row>
    <row r="673" ht="15.75" customHeight="1">
      <c r="B673" s="55"/>
      <c r="F673" s="55"/>
      <c r="J673" s="55"/>
    </row>
    <row r="674" ht="15.75" customHeight="1">
      <c r="B674" s="55"/>
      <c r="F674" s="55"/>
      <c r="J674" s="55"/>
    </row>
    <row r="675" ht="15.75" customHeight="1">
      <c r="B675" s="55"/>
      <c r="F675" s="55"/>
      <c r="J675" s="55"/>
    </row>
    <row r="676" ht="15.75" customHeight="1">
      <c r="B676" s="55"/>
      <c r="F676" s="55"/>
      <c r="J676" s="55"/>
    </row>
    <row r="677" ht="15.75" customHeight="1">
      <c r="B677" s="55"/>
      <c r="F677" s="55"/>
      <c r="J677" s="55"/>
    </row>
    <row r="678" ht="15.75" customHeight="1">
      <c r="B678" s="55"/>
      <c r="F678" s="55"/>
      <c r="J678" s="55"/>
    </row>
    <row r="679" ht="15.75" customHeight="1">
      <c r="B679" s="55"/>
      <c r="F679" s="55"/>
      <c r="J679" s="55"/>
    </row>
    <row r="680" ht="15.75" customHeight="1">
      <c r="B680" s="55"/>
      <c r="F680" s="55"/>
      <c r="J680" s="55"/>
    </row>
    <row r="681" ht="15.75" customHeight="1">
      <c r="B681" s="55"/>
      <c r="F681" s="55"/>
      <c r="J681" s="55"/>
    </row>
    <row r="682" ht="15.75" customHeight="1">
      <c r="B682" s="55"/>
      <c r="F682" s="55"/>
      <c r="J682" s="55"/>
    </row>
    <row r="683" ht="15.75" customHeight="1">
      <c r="B683" s="55"/>
      <c r="F683" s="55"/>
      <c r="J683" s="55"/>
    </row>
    <row r="684" ht="15.75" customHeight="1">
      <c r="B684" s="55"/>
      <c r="F684" s="55"/>
      <c r="J684" s="55"/>
    </row>
    <row r="685" ht="15.75" customHeight="1">
      <c r="B685" s="55"/>
      <c r="F685" s="55"/>
      <c r="J685" s="55"/>
    </row>
    <row r="686" ht="15.75" customHeight="1">
      <c r="B686" s="55"/>
      <c r="F686" s="55"/>
      <c r="J686" s="55"/>
    </row>
    <row r="687" ht="15.75" customHeight="1">
      <c r="B687" s="55"/>
      <c r="F687" s="55"/>
      <c r="J687" s="55"/>
    </row>
    <row r="688" ht="15.75" customHeight="1">
      <c r="B688" s="55"/>
      <c r="F688" s="55"/>
      <c r="J688" s="55"/>
    </row>
    <row r="689" ht="15.75" customHeight="1">
      <c r="B689" s="55"/>
      <c r="F689" s="55"/>
      <c r="J689" s="55"/>
    </row>
    <row r="690" ht="15.75" customHeight="1">
      <c r="B690" s="55"/>
      <c r="F690" s="55"/>
      <c r="J690" s="55"/>
    </row>
    <row r="691" ht="15.75" customHeight="1">
      <c r="B691" s="55"/>
      <c r="F691" s="55"/>
      <c r="J691" s="55"/>
    </row>
    <row r="692" ht="15.75" customHeight="1">
      <c r="B692" s="55"/>
      <c r="F692" s="55"/>
      <c r="J692" s="55"/>
    </row>
    <row r="693" ht="15.75" customHeight="1">
      <c r="B693" s="55"/>
      <c r="F693" s="55"/>
      <c r="J693" s="55"/>
    </row>
    <row r="694" ht="15.75" customHeight="1">
      <c r="B694" s="55"/>
      <c r="F694" s="55"/>
      <c r="J694" s="55"/>
    </row>
    <row r="695" ht="15.75" customHeight="1">
      <c r="B695" s="55"/>
      <c r="F695" s="55"/>
      <c r="J695" s="55"/>
    </row>
    <row r="696" ht="15.75" customHeight="1">
      <c r="B696" s="55"/>
      <c r="F696" s="55"/>
      <c r="J696" s="55"/>
    </row>
    <row r="697" ht="15.75" customHeight="1">
      <c r="B697" s="55"/>
      <c r="F697" s="55"/>
      <c r="J697" s="55"/>
    </row>
    <row r="698" ht="15.75" customHeight="1">
      <c r="B698" s="55"/>
      <c r="F698" s="55"/>
      <c r="J698" s="55"/>
    </row>
    <row r="699" ht="15.75" customHeight="1">
      <c r="B699" s="55"/>
      <c r="F699" s="55"/>
      <c r="J699" s="55"/>
    </row>
    <row r="700" ht="15.75" customHeight="1">
      <c r="B700" s="55"/>
      <c r="F700" s="55"/>
      <c r="J700" s="55"/>
    </row>
    <row r="701" ht="15.75" customHeight="1">
      <c r="B701" s="55"/>
      <c r="F701" s="55"/>
      <c r="J701" s="55"/>
    </row>
    <row r="702" ht="15.75" customHeight="1">
      <c r="B702" s="55"/>
      <c r="F702" s="55"/>
      <c r="J702" s="55"/>
    </row>
    <row r="703" ht="15.75" customHeight="1">
      <c r="B703" s="55"/>
      <c r="F703" s="55"/>
      <c r="J703" s="55"/>
    </row>
    <row r="704" ht="15.75" customHeight="1">
      <c r="B704" s="55"/>
      <c r="F704" s="55"/>
      <c r="J704" s="55"/>
    </row>
    <row r="705" ht="15.75" customHeight="1">
      <c r="B705" s="55"/>
      <c r="F705" s="55"/>
      <c r="J705" s="55"/>
    </row>
    <row r="706" ht="15.75" customHeight="1">
      <c r="B706" s="55"/>
      <c r="F706" s="55"/>
      <c r="J706" s="55"/>
    </row>
    <row r="707" ht="15.75" customHeight="1">
      <c r="B707" s="55"/>
      <c r="F707" s="55"/>
      <c r="J707" s="55"/>
    </row>
    <row r="708" ht="15.75" customHeight="1">
      <c r="B708" s="55"/>
      <c r="F708" s="55"/>
      <c r="J708" s="55"/>
    </row>
    <row r="709" ht="15.75" customHeight="1">
      <c r="B709" s="55"/>
      <c r="F709" s="55"/>
      <c r="J709" s="55"/>
    </row>
    <row r="710" ht="15.75" customHeight="1">
      <c r="B710" s="55"/>
      <c r="F710" s="55"/>
      <c r="J710" s="55"/>
    </row>
    <row r="711" ht="15.75" customHeight="1">
      <c r="B711" s="55"/>
      <c r="F711" s="55"/>
      <c r="J711" s="55"/>
    </row>
    <row r="712" ht="15.75" customHeight="1">
      <c r="B712" s="55"/>
      <c r="F712" s="55"/>
      <c r="J712" s="55"/>
    </row>
    <row r="713" ht="15.75" customHeight="1">
      <c r="B713" s="55"/>
      <c r="F713" s="55"/>
      <c r="J713" s="55"/>
    </row>
    <row r="714" ht="15.75" customHeight="1">
      <c r="B714" s="55"/>
      <c r="F714" s="55"/>
      <c r="J714" s="55"/>
    </row>
    <row r="715" ht="15.75" customHeight="1">
      <c r="B715" s="55"/>
      <c r="F715" s="55"/>
      <c r="J715" s="55"/>
    </row>
    <row r="716" ht="15.75" customHeight="1">
      <c r="B716" s="55"/>
      <c r="F716" s="55"/>
      <c r="J716" s="55"/>
    </row>
    <row r="717" ht="15.75" customHeight="1">
      <c r="B717" s="55"/>
      <c r="F717" s="55"/>
      <c r="J717" s="55"/>
    </row>
    <row r="718" ht="15.75" customHeight="1">
      <c r="B718" s="55"/>
      <c r="F718" s="55"/>
      <c r="J718" s="55"/>
    </row>
    <row r="719" ht="15.75" customHeight="1">
      <c r="B719" s="55"/>
      <c r="F719" s="55"/>
      <c r="J719" s="55"/>
    </row>
    <row r="720" ht="15.75" customHeight="1">
      <c r="B720" s="55"/>
      <c r="F720" s="55"/>
      <c r="J720" s="55"/>
    </row>
    <row r="721" ht="15.75" customHeight="1">
      <c r="B721" s="55"/>
      <c r="F721" s="55"/>
      <c r="J721" s="55"/>
    </row>
    <row r="722" ht="15.75" customHeight="1">
      <c r="B722" s="55"/>
      <c r="F722" s="55"/>
      <c r="J722" s="55"/>
    </row>
    <row r="723" ht="15.75" customHeight="1">
      <c r="B723" s="55"/>
      <c r="F723" s="55"/>
      <c r="J723" s="55"/>
    </row>
    <row r="724" ht="15.75" customHeight="1">
      <c r="B724" s="55"/>
      <c r="F724" s="55"/>
      <c r="J724" s="55"/>
    </row>
    <row r="725" ht="15.75" customHeight="1">
      <c r="B725" s="55"/>
      <c r="F725" s="55"/>
      <c r="J725" s="55"/>
    </row>
    <row r="726" ht="15.75" customHeight="1">
      <c r="B726" s="55"/>
      <c r="F726" s="55"/>
      <c r="J726" s="55"/>
    </row>
    <row r="727" ht="15.75" customHeight="1">
      <c r="B727" s="55"/>
      <c r="F727" s="55"/>
      <c r="J727" s="55"/>
    </row>
    <row r="728" ht="15.75" customHeight="1">
      <c r="B728" s="55"/>
      <c r="F728" s="55"/>
      <c r="J728" s="55"/>
    </row>
    <row r="729" ht="15.75" customHeight="1">
      <c r="B729" s="55"/>
      <c r="F729" s="55"/>
      <c r="J729" s="55"/>
    </row>
    <row r="730" ht="15.75" customHeight="1">
      <c r="B730" s="55"/>
      <c r="F730" s="55"/>
      <c r="J730" s="55"/>
    </row>
    <row r="731" ht="15.75" customHeight="1">
      <c r="B731" s="55"/>
      <c r="F731" s="55"/>
      <c r="J731" s="55"/>
    </row>
    <row r="732" ht="15.75" customHeight="1">
      <c r="B732" s="55"/>
      <c r="F732" s="55"/>
      <c r="J732" s="55"/>
    </row>
    <row r="733" ht="15.75" customHeight="1">
      <c r="B733" s="55"/>
      <c r="F733" s="55"/>
      <c r="J733" s="55"/>
    </row>
    <row r="734" ht="15.75" customHeight="1">
      <c r="B734" s="55"/>
      <c r="F734" s="55"/>
      <c r="J734" s="55"/>
    </row>
    <row r="735" ht="15.75" customHeight="1">
      <c r="B735" s="55"/>
      <c r="F735" s="55"/>
      <c r="J735" s="55"/>
    </row>
    <row r="736" ht="15.75" customHeight="1">
      <c r="B736" s="55"/>
      <c r="F736" s="55"/>
      <c r="J736" s="55"/>
    </row>
    <row r="737" ht="15.75" customHeight="1">
      <c r="B737" s="55"/>
      <c r="F737" s="55"/>
      <c r="J737" s="55"/>
    </row>
    <row r="738" ht="15.75" customHeight="1">
      <c r="B738" s="55"/>
      <c r="F738" s="55"/>
      <c r="J738" s="55"/>
    </row>
    <row r="739" ht="15.75" customHeight="1">
      <c r="B739" s="55"/>
      <c r="F739" s="55"/>
      <c r="J739" s="55"/>
    </row>
    <row r="740" ht="15.75" customHeight="1">
      <c r="B740" s="55"/>
      <c r="F740" s="55"/>
      <c r="J740" s="55"/>
    </row>
    <row r="741" ht="15.75" customHeight="1">
      <c r="B741" s="55"/>
      <c r="F741" s="55"/>
      <c r="J741" s="55"/>
    </row>
    <row r="742" ht="15.75" customHeight="1">
      <c r="B742" s="55"/>
      <c r="F742" s="55"/>
      <c r="J742" s="55"/>
    </row>
    <row r="743" ht="15.75" customHeight="1">
      <c r="B743" s="55"/>
      <c r="F743" s="55"/>
      <c r="J743" s="55"/>
    </row>
    <row r="744" ht="15.75" customHeight="1">
      <c r="B744" s="55"/>
      <c r="F744" s="55"/>
      <c r="J744" s="55"/>
    </row>
    <row r="745" ht="15.75" customHeight="1">
      <c r="B745" s="55"/>
      <c r="F745" s="55"/>
      <c r="J745" s="55"/>
    </row>
    <row r="746" ht="15.75" customHeight="1">
      <c r="B746" s="55"/>
      <c r="F746" s="55"/>
      <c r="J746" s="55"/>
    </row>
    <row r="747" ht="15.75" customHeight="1">
      <c r="B747" s="55"/>
      <c r="F747" s="55"/>
      <c r="J747" s="55"/>
    </row>
    <row r="748" ht="15.75" customHeight="1">
      <c r="B748" s="55"/>
      <c r="F748" s="55"/>
      <c r="J748" s="55"/>
    </row>
    <row r="749" ht="15.75" customHeight="1">
      <c r="B749" s="55"/>
      <c r="F749" s="55"/>
      <c r="J749" s="55"/>
    </row>
    <row r="750" ht="15.75" customHeight="1">
      <c r="B750" s="55"/>
      <c r="F750" s="55"/>
      <c r="J750" s="55"/>
    </row>
    <row r="751" ht="15.75" customHeight="1">
      <c r="B751" s="55"/>
      <c r="F751" s="55"/>
      <c r="J751" s="55"/>
    </row>
    <row r="752" ht="15.75" customHeight="1">
      <c r="B752" s="55"/>
      <c r="F752" s="55"/>
      <c r="J752" s="55"/>
    </row>
    <row r="753" ht="15.75" customHeight="1">
      <c r="B753" s="55"/>
      <c r="F753" s="55"/>
      <c r="J753" s="55"/>
    </row>
    <row r="754" ht="15.75" customHeight="1">
      <c r="B754" s="55"/>
      <c r="F754" s="55"/>
      <c r="J754" s="55"/>
    </row>
    <row r="755" ht="15.75" customHeight="1">
      <c r="B755" s="55"/>
      <c r="F755" s="55"/>
      <c r="J755" s="55"/>
    </row>
    <row r="756" ht="15.75" customHeight="1">
      <c r="B756" s="55"/>
      <c r="F756" s="55"/>
      <c r="J756" s="55"/>
    </row>
    <row r="757" ht="15.75" customHeight="1">
      <c r="B757" s="55"/>
      <c r="F757" s="55"/>
      <c r="J757" s="55"/>
    </row>
    <row r="758" ht="15.75" customHeight="1">
      <c r="B758" s="55"/>
      <c r="F758" s="55"/>
      <c r="J758" s="55"/>
    </row>
    <row r="759" ht="15.75" customHeight="1">
      <c r="B759" s="55"/>
      <c r="F759" s="55"/>
      <c r="J759" s="55"/>
    </row>
    <row r="760" ht="15.75" customHeight="1">
      <c r="B760" s="55"/>
      <c r="F760" s="55"/>
      <c r="J760" s="55"/>
    </row>
    <row r="761" ht="15.75" customHeight="1">
      <c r="B761" s="55"/>
      <c r="F761" s="55"/>
      <c r="J761" s="55"/>
    </row>
    <row r="762" ht="15.75" customHeight="1">
      <c r="B762" s="55"/>
      <c r="F762" s="55"/>
      <c r="J762" s="55"/>
    </row>
    <row r="763" ht="15.75" customHeight="1">
      <c r="B763" s="55"/>
      <c r="F763" s="55"/>
      <c r="J763" s="55"/>
    </row>
    <row r="764" ht="15.75" customHeight="1">
      <c r="B764" s="55"/>
      <c r="F764" s="55"/>
      <c r="J764" s="55"/>
    </row>
    <row r="765" ht="15.75" customHeight="1">
      <c r="B765" s="55"/>
      <c r="F765" s="55"/>
      <c r="J765" s="55"/>
    </row>
    <row r="766" ht="15.75" customHeight="1">
      <c r="B766" s="55"/>
      <c r="F766" s="55"/>
      <c r="J766" s="55"/>
    </row>
    <row r="767" ht="15.75" customHeight="1">
      <c r="B767" s="55"/>
      <c r="F767" s="55"/>
      <c r="J767" s="55"/>
    </row>
    <row r="768" ht="15.75" customHeight="1">
      <c r="B768" s="55"/>
      <c r="F768" s="55"/>
      <c r="J768" s="55"/>
    </row>
    <row r="769" ht="15.75" customHeight="1">
      <c r="B769" s="55"/>
      <c r="F769" s="55"/>
      <c r="J769" s="55"/>
    </row>
    <row r="770" ht="15.75" customHeight="1">
      <c r="B770" s="55"/>
      <c r="F770" s="55"/>
      <c r="J770" s="55"/>
    </row>
    <row r="771" ht="15.75" customHeight="1">
      <c r="B771" s="55"/>
      <c r="F771" s="55"/>
      <c r="J771" s="55"/>
    </row>
    <row r="772" ht="15.75" customHeight="1">
      <c r="B772" s="55"/>
      <c r="F772" s="55"/>
      <c r="J772" s="55"/>
    </row>
    <row r="773" ht="15.75" customHeight="1">
      <c r="B773" s="55"/>
      <c r="F773" s="55"/>
      <c r="J773" s="55"/>
    </row>
    <row r="774" ht="15.75" customHeight="1">
      <c r="B774" s="55"/>
      <c r="F774" s="55"/>
      <c r="J774" s="55"/>
    </row>
    <row r="775" ht="15.75" customHeight="1">
      <c r="B775" s="55"/>
      <c r="F775" s="55"/>
      <c r="J775" s="55"/>
    </row>
    <row r="776" ht="15.75" customHeight="1">
      <c r="B776" s="55"/>
      <c r="F776" s="55"/>
      <c r="J776" s="55"/>
    </row>
    <row r="777" ht="15.75" customHeight="1">
      <c r="B777" s="55"/>
      <c r="F777" s="55"/>
      <c r="J777" s="55"/>
    </row>
    <row r="778" ht="15.75" customHeight="1">
      <c r="B778" s="55"/>
      <c r="F778" s="55"/>
      <c r="J778" s="55"/>
    </row>
    <row r="779" ht="15.75" customHeight="1">
      <c r="B779" s="55"/>
      <c r="F779" s="55"/>
      <c r="J779" s="55"/>
    </row>
    <row r="780" ht="15.75" customHeight="1">
      <c r="B780" s="55"/>
      <c r="F780" s="55"/>
      <c r="J780" s="55"/>
    </row>
    <row r="781" ht="15.75" customHeight="1">
      <c r="B781" s="55"/>
      <c r="F781" s="55"/>
      <c r="J781" s="55"/>
    </row>
    <row r="782" ht="15.75" customHeight="1">
      <c r="B782" s="55"/>
      <c r="F782" s="55"/>
      <c r="J782" s="55"/>
    </row>
    <row r="783" ht="15.75" customHeight="1">
      <c r="B783" s="55"/>
      <c r="F783" s="55"/>
      <c r="J783" s="55"/>
    </row>
    <row r="784" ht="15.75" customHeight="1">
      <c r="B784" s="55"/>
      <c r="F784" s="55"/>
      <c r="J784" s="55"/>
    </row>
    <row r="785" ht="15.75" customHeight="1">
      <c r="B785" s="55"/>
      <c r="F785" s="55"/>
      <c r="J785" s="55"/>
    </row>
    <row r="786" ht="15.75" customHeight="1">
      <c r="B786" s="55"/>
      <c r="F786" s="55"/>
      <c r="J786" s="55"/>
    </row>
    <row r="787" ht="15.75" customHeight="1">
      <c r="B787" s="55"/>
      <c r="F787" s="55"/>
      <c r="J787" s="55"/>
    </row>
    <row r="788" ht="15.75" customHeight="1">
      <c r="B788" s="55"/>
      <c r="F788" s="55"/>
      <c r="J788" s="55"/>
    </row>
    <row r="789" ht="15.75" customHeight="1">
      <c r="B789" s="55"/>
      <c r="F789" s="55"/>
      <c r="J789" s="55"/>
    </row>
    <row r="790" ht="15.75" customHeight="1">
      <c r="B790" s="55"/>
      <c r="F790" s="55"/>
      <c r="J790" s="55"/>
    </row>
    <row r="791" ht="15.75" customHeight="1">
      <c r="B791" s="55"/>
      <c r="F791" s="55"/>
      <c r="J791" s="55"/>
    </row>
    <row r="792" ht="15.75" customHeight="1">
      <c r="B792" s="55"/>
      <c r="F792" s="55"/>
      <c r="J792" s="55"/>
    </row>
    <row r="793" ht="15.75" customHeight="1">
      <c r="B793" s="55"/>
      <c r="F793" s="55"/>
      <c r="J793" s="55"/>
    </row>
    <row r="794" ht="15.75" customHeight="1">
      <c r="B794" s="55"/>
      <c r="F794" s="55"/>
      <c r="J794" s="55"/>
    </row>
    <row r="795" ht="15.75" customHeight="1">
      <c r="B795" s="55"/>
      <c r="F795" s="55"/>
      <c r="J795" s="55"/>
    </row>
    <row r="796" ht="15.75" customHeight="1">
      <c r="B796" s="55"/>
      <c r="F796" s="55"/>
      <c r="J796" s="55"/>
    </row>
    <row r="797" ht="15.75" customHeight="1">
      <c r="B797" s="55"/>
      <c r="F797" s="55"/>
      <c r="J797" s="55"/>
    </row>
    <row r="798" ht="15.75" customHeight="1">
      <c r="B798" s="55"/>
      <c r="F798" s="55"/>
      <c r="J798" s="55"/>
    </row>
    <row r="799" ht="15.75" customHeight="1">
      <c r="B799" s="55"/>
      <c r="F799" s="55"/>
      <c r="J799" s="55"/>
    </row>
    <row r="800" ht="15.75" customHeight="1">
      <c r="B800" s="55"/>
      <c r="F800" s="55"/>
      <c r="J800" s="55"/>
    </row>
    <row r="801" ht="15.75" customHeight="1">
      <c r="B801" s="55"/>
      <c r="F801" s="55"/>
      <c r="J801" s="55"/>
    </row>
    <row r="802" ht="15.75" customHeight="1">
      <c r="B802" s="55"/>
      <c r="F802" s="55"/>
      <c r="J802" s="55"/>
    </row>
    <row r="803" ht="15.75" customHeight="1">
      <c r="B803" s="55"/>
      <c r="F803" s="55"/>
      <c r="J803" s="55"/>
    </row>
    <row r="804" ht="15.75" customHeight="1">
      <c r="B804" s="55"/>
      <c r="F804" s="55"/>
      <c r="J804" s="55"/>
    </row>
    <row r="805" ht="15.75" customHeight="1">
      <c r="B805" s="55"/>
      <c r="F805" s="55"/>
      <c r="J805" s="55"/>
    </row>
    <row r="806" ht="15.75" customHeight="1">
      <c r="B806" s="55"/>
      <c r="F806" s="55"/>
      <c r="J806" s="55"/>
    </row>
    <row r="807" ht="15.75" customHeight="1">
      <c r="B807" s="55"/>
      <c r="F807" s="55"/>
      <c r="J807" s="55"/>
    </row>
    <row r="808" ht="15.75" customHeight="1">
      <c r="B808" s="55"/>
      <c r="F808" s="55"/>
      <c r="J808" s="55"/>
    </row>
    <row r="809" ht="15.75" customHeight="1">
      <c r="B809" s="55"/>
      <c r="F809" s="55"/>
      <c r="J809" s="55"/>
    </row>
    <row r="810" ht="15.75" customHeight="1">
      <c r="B810" s="55"/>
      <c r="F810" s="55"/>
      <c r="J810" s="55"/>
    </row>
    <row r="811" ht="15.75" customHeight="1">
      <c r="B811" s="55"/>
      <c r="F811" s="55"/>
      <c r="J811" s="55"/>
    </row>
    <row r="812" ht="15.75" customHeight="1">
      <c r="B812" s="55"/>
      <c r="F812" s="55"/>
      <c r="J812" s="55"/>
    </row>
    <row r="813" ht="15.75" customHeight="1">
      <c r="B813" s="55"/>
      <c r="F813" s="55"/>
      <c r="J813" s="55"/>
    </row>
    <row r="814" ht="15.75" customHeight="1">
      <c r="B814" s="55"/>
      <c r="F814" s="55"/>
      <c r="J814" s="55"/>
    </row>
    <row r="815" ht="15.75" customHeight="1">
      <c r="B815" s="55"/>
      <c r="F815" s="55"/>
      <c r="J815" s="55"/>
    </row>
    <row r="816" ht="15.75" customHeight="1">
      <c r="B816" s="55"/>
      <c r="F816" s="55"/>
      <c r="J816" s="55"/>
    </row>
    <row r="817" ht="15.75" customHeight="1">
      <c r="B817" s="55"/>
      <c r="F817" s="55"/>
      <c r="J817" s="55"/>
    </row>
    <row r="818" ht="15.75" customHeight="1">
      <c r="B818" s="55"/>
      <c r="F818" s="55"/>
      <c r="J818" s="55"/>
    </row>
    <row r="819" ht="15.75" customHeight="1">
      <c r="B819" s="55"/>
      <c r="F819" s="55"/>
      <c r="J819" s="55"/>
    </row>
    <row r="820" ht="15.75" customHeight="1">
      <c r="B820" s="55"/>
      <c r="F820" s="55"/>
      <c r="J820" s="55"/>
    </row>
    <row r="821" ht="15.75" customHeight="1">
      <c r="B821" s="55"/>
      <c r="F821" s="55"/>
      <c r="J821" s="55"/>
    </row>
    <row r="822" ht="15.75" customHeight="1">
      <c r="B822" s="55"/>
      <c r="F822" s="55"/>
      <c r="J822" s="55"/>
    </row>
    <row r="823" ht="15.75" customHeight="1">
      <c r="B823" s="55"/>
      <c r="F823" s="55"/>
      <c r="J823" s="55"/>
    </row>
    <row r="824" ht="15.75" customHeight="1">
      <c r="B824" s="55"/>
      <c r="F824" s="55"/>
      <c r="J824" s="55"/>
    </row>
    <row r="825" ht="15.75" customHeight="1">
      <c r="B825" s="55"/>
      <c r="F825" s="55"/>
      <c r="J825" s="55"/>
    </row>
    <row r="826" ht="15.75" customHeight="1">
      <c r="B826" s="55"/>
      <c r="F826" s="55"/>
      <c r="J826" s="55"/>
    </row>
    <row r="827" ht="15.75" customHeight="1">
      <c r="B827" s="55"/>
      <c r="F827" s="55"/>
      <c r="J827" s="55"/>
    </row>
    <row r="828" ht="15.75" customHeight="1">
      <c r="B828" s="55"/>
      <c r="F828" s="55"/>
      <c r="J828" s="55"/>
    </row>
    <row r="829" ht="15.75" customHeight="1">
      <c r="B829" s="55"/>
      <c r="F829" s="55"/>
      <c r="J829" s="55"/>
    </row>
    <row r="830" ht="15.75" customHeight="1">
      <c r="B830" s="55"/>
      <c r="F830" s="55"/>
      <c r="J830" s="55"/>
    </row>
    <row r="831" ht="15.75" customHeight="1">
      <c r="B831" s="55"/>
      <c r="F831" s="55"/>
      <c r="J831" s="55"/>
    </row>
    <row r="832" ht="15.75" customHeight="1">
      <c r="B832" s="55"/>
      <c r="F832" s="55"/>
      <c r="J832" s="55"/>
    </row>
    <row r="833" ht="15.75" customHeight="1">
      <c r="B833" s="55"/>
      <c r="F833" s="55"/>
      <c r="J833" s="55"/>
    </row>
    <row r="834" ht="15.75" customHeight="1">
      <c r="B834" s="55"/>
      <c r="F834" s="55"/>
      <c r="J834" s="55"/>
    </row>
    <row r="835" ht="15.75" customHeight="1">
      <c r="B835" s="55"/>
      <c r="F835" s="55"/>
      <c r="J835" s="55"/>
    </row>
    <row r="836" ht="15.75" customHeight="1">
      <c r="B836" s="55"/>
      <c r="F836" s="55"/>
      <c r="J836" s="55"/>
    </row>
    <row r="837" ht="15.75" customHeight="1">
      <c r="B837" s="55"/>
      <c r="F837" s="55"/>
      <c r="J837" s="55"/>
    </row>
    <row r="838" ht="15.75" customHeight="1">
      <c r="B838" s="55"/>
      <c r="F838" s="55"/>
      <c r="J838" s="55"/>
    </row>
    <row r="839" ht="15.75" customHeight="1">
      <c r="B839" s="55"/>
      <c r="F839" s="55"/>
      <c r="J839" s="55"/>
    </row>
    <row r="840" ht="15.75" customHeight="1">
      <c r="B840" s="55"/>
      <c r="F840" s="55"/>
      <c r="J840" s="55"/>
    </row>
    <row r="841" ht="15.75" customHeight="1">
      <c r="B841" s="55"/>
      <c r="F841" s="55"/>
      <c r="J841" s="55"/>
    </row>
    <row r="842" ht="15.75" customHeight="1">
      <c r="B842" s="55"/>
      <c r="F842" s="55"/>
      <c r="J842" s="55"/>
    </row>
    <row r="843" ht="15.75" customHeight="1">
      <c r="B843" s="55"/>
      <c r="F843" s="55"/>
      <c r="J843" s="55"/>
    </row>
    <row r="844" ht="15.75" customHeight="1">
      <c r="B844" s="55"/>
      <c r="F844" s="55"/>
      <c r="J844" s="55"/>
    </row>
    <row r="845" ht="15.75" customHeight="1">
      <c r="B845" s="55"/>
      <c r="F845" s="55"/>
      <c r="J845" s="55"/>
    </row>
    <row r="846" ht="15.75" customHeight="1">
      <c r="B846" s="55"/>
      <c r="F846" s="55"/>
      <c r="J846" s="55"/>
    </row>
    <row r="847" ht="15.75" customHeight="1">
      <c r="B847" s="55"/>
      <c r="F847" s="55"/>
      <c r="J847" s="55"/>
    </row>
    <row r="848" ht="15.75" customHeight="1">
      <c r="B848" s="55"/>
      <c r="F848" s="55"/>
      <c r="J848" s="55"/>
    </row>
    <row r="849" ht="15.75" customHeight="1">
      <c r="B849" s="55"/>
      <c r="F849" s="55"/>
      <c r="J849" s="55"/>
    </row>
    <row r="850" ht="15.75" customHeight="1">
      <c r="B850" s="55"/>
      <c r="F850" s="55"/>
      <c r="J850" s="55"/>
    </row>
    <row r="851" ht="15.75" customHeight="1">
      <c r="B851" s="55"/>
      <c r="F851" s="55"/>
      <c r="J851" s="55"/>
    </row>
    <row r="852" ht="15.75" customHeight="1">
      <c r="B852" s="55"/>
      <c r="F852" s="55"/>
      <c r="J852" s="55"/>
    </row>
    <row r="853" ht="15.75" customHeight="1">
      <c r="B853" s="55"/>
      <c r="F853" s="55"/>
      <c r="J853" s="55"/>
    </row>
    <row r="854" ht="15.75" customHeight="1">
      <c r="B854" s="55"/>
      <c r="F854" s="55"/>
      <c r="J854" s="55"/>
    </row>
    <row r="855" ht="15.75" customHeight="1">
      <c r="B855" s="55"/>
      <c r="F855" s="55"/>
      <c r="J855" s="55"/>
    </row>
    <row r="856" ht="15.75" customHeight="1">
      <c r="B856" s="55"/>
      <c r="F856" s="55"/>
      <c r="J856" s="55"/>
    </row>
    <row r="857" ht="15.75" customHeight="1">
      <c r="B857" s="55"/>
      <c r="F857" s="55"/>
      <c r="J857" s="55"/>
    </row>
    <row r="858" ht="15.75" customHeight="1">
      <c r="B858" s="55"/>
      <c r="F858" s="55"/>
      <c r="J858" s="55"/>
    </row>
    <row r="859" ht="15.75" customHeight="1">
      <c r="B859" s="55"/>
      <c r="F859" s="55"/>
      <c r="J859" s="55"/>
    </row>
    <row r="860" ht="15.75" customHeight="1">
      <c r="B860" s="55"/>
      <c r="F860" s="55"/>
      <c r="J860" s="55"/>
    </row>
    <row r="861" ht="15.75" customHeight="1">
      <c r="B861" s="55"/>
      <c r="F861" s="55"/>
      <c r="J861" s="55"/>
    </row>
    <row r="862" ht="15.75" customHeight="1">
      <c r="B862" s="55"/>
      <c r="F862" s="55"/>
      <c r="J862" s="55"/>
    </row>
    <row r="863" ht="15.75" customHeight="1">
      <c r="B863" s="55"/>
      <c r="F863" s="55"/>
      <c r="J863" s="55"/>
    </row>
    <row r="864" ht="15.75" customHeight="1">
      <c r="B864" s="55"/>
      <c r="F864" s="55"/>
      <c r="J864" s="55"/>
    </row>
    <row r="865" ht="15.75" customHeight="1">
      <c r="B865" s="55"/>
      <c r="F865" s="55"/>
      <c r="J865" s="55"/>
    </row>
    <row r="866" ht="15.75" customHeight="1">
      <c r="B866" s="55"/>
      <c r="F866" s="55"/>
      <c r="J866" s="55"/>
    </row>
    <row r="867" ht="15.75" customHeight="1">
      <c r="B867" s="55"/>
      <c r="F867" s="55"/>
      <c r="J867" s="55"/>
    </row>
    <row r="868" ht="15.75" customHeight="1">
      <c r="B868" s="55"/>
      <c r="F868" s="55"/>
      <c r="J868" s="55"/>
    </row>
    <row r="869" ht="15.75" customHeight="1">
      <c r="B869" s="55"/>
      <c r="F869" s="55"/>
      <c r="J869" s="55"/>
    </row>
    <row r="870" ht="15.75" customHeight="1">
      <c r="B870" s="55"/>
      <c r="F870" s="55"/>
      <c r="J870" s="55"/>
    </row>
    <row r="871" ht="15.75" customHeight="1">
      <c r="B871" s="55"/>
      <c r="F871" s="55"/>
      <c r="J871" s="55"/>
    </row>
    <row r="872" ht="15.75" customHeight="1">
      <c r="B872" s="55"/>
      <c r="F872" s="55"/>
      <c r="J872" s="55"/>
    </row>
    <row r="873" ht="15.75" customHeight="1">
      <c r="B873" s="55"/>
      <c r="F873" s="55"/>
      <c r="J873" s="55"/>
    </row>
    <row r="874" ht="15.75" customHeight="1">
      <c r="B874" s="55"/>
      <c r="F874" s="55"/>
      <c r="J874" s="55"/>
    </row>
    <row r="875" ht="15.75" customHeight="1">
      <c r="B875" s="55"/>
      <c r="F875" s="55"/>
      <c r="J875" s="55"/>
    </row>
    <row r="876" ht="15.75" customHeight="1">
      <c r="B876" s="55"/>
      <c r="F876" s="55"/>
      <c r="J876" s="55"/>
    </row>
    <row r="877" ht="15.75" customHeight="1">
      <c r="B877" s="55"/>
      <c r="F877" s="55"/>
      <c r="J877" s="55"/>
    </row>
    <row r="878" ht="15.75" customHeight="1">
      <c r="B878" s="55"/>
      <c r="F878" s="55"/>
      <c r="J878" s="55"/>
    </row>
    <row r="879" ht="15.75" customHeight="1">
      <c r="B879" s="55"/>
      <c r="F879" s="55"/>
      <c r="J879" s="55"/>
    </row>
    <row r="880" ht="15.75" customHeight="1">
      <c r="B880" s="55"/>
      <c r="F880" s="55"/>
      <c r="J880" s="55"/>
    </row>
    <row r="881" ht="15.75" customHeight="1">
      <c r="B881" s="55"/>
      <c r="F881" s="55"/>
      <c r="J881" s="55"/>
    </row>
    <row r="882" ht="15.75" customHeight="1">
      <c r="B882" s="55"/>
      <c r="F882" s="55"/>
      <c r="J882" s="55"/>
    </row>
    <row r="883" ht="15.75" customHeight="1">
      <c r="B883" s="55"/>
      <c r="F883" s="55"/>
      <c r="J883" s="55"/>
    </row>
    <row r="884" ht="15.75" customHeight="1">
      <c r="B884" s="55"/>
      <c r="F884" s="55"/>
      <c r="J884" s="55"/>
    </row>
    <row r="885" ht="15.75" customHeight="1">
      <c r="B885" s="55"/>
      <c r="F885" s="55"/>
      <c r="J885" s="55"/>
    </row>
    <row r="886" ht="15.75" customHeight="1">
      <c r="B886" s="55"/>
      <c r="F886" s="55"/>
      <c r="J886" s="55"/>
    </row>
    <row r="887" ht="15.75" customHeight="1">
      <c r="B887" s="55"/>
      <c r="F887" s="55"/>
      <c r="J887" s="55"/>
    </row>
    <row r="888" ht="15.75" customHeight="1">
      <c r="B888" s="55"/>
      <c r="F888" s="55"/>
      <c r="J888" s="55"/>
    </row>
    <row r="889" ht="15.75" customHeight="1">
      <c r="B889" s="55"/>
      <c r="F889" s="55"/>
      <c r="J889" s="55"/>
    </row>
    <row r="890" ht="15.75" customHeight="1">
      <c r="B890" s="55"/>
      <c r="F890" s="55"/>
      <c r="J890" s="55"/>
    </row>
    <row r="891" ht="15.75" customHeight="1">
      <c r="B891" s="55"/>
      <c r="F891" s="55"/>
      <c r="J891" s="55"/>
    </row>
    <row r="892" ht="15.75" customHeight="1">
      <c r="B892" s="55"/>
      <c r="F892" s="55"/>
      <c r="J892" s="55"/>
    </row>
    <row r="893" ht="15.75" customHeight="1">
      <c r="B893" s="55"/>
      <c r="F893" s="55"/>
      <c r="J893" s="55"/>
    </row>
    <row r="894" ht="15.75" customHeight="1">
      <c r="B894" s="55"/>
      <c r="F894" s="55"/>
      <c r="J894" s="55"/>
    </row>
    <row r="895" ht="15.75" customHeight="1">
      <c r="B895" s="55"/>
      <c r="F895" s="55"/>
      <c r="J895" s="55"/>
    </row>
    <row r="896" ht="15.75" customHeight="1">
      <c r="B896" s="55"/>
      <c r="F896" s="55"/>
      <c r="J896" s="55"/>
    </row>
    <row r="897" ht="15.75" customHeight="1">
      <c r="B897" s="55"/>
      <c r="F897" s="55"/>
      <c r="J897" s="55"/>
    </row>
    <row r="898" ht="15.75" customHeight="1">
      <c r="B898" s="55"/>
      <c r="F898" s="55"/>
      <c r="J898" s="55"/>
    </row>
    <row r="899" ht="15.75" customHeight="1">
      <c r="B899" s="55"/>
      <c r="F899" s="55"/>
      <c r="J899" s="55"/>
    </row>
    <row r="900" ht="15.75" customHeight="1">
      <c r="B900" s="55"/>
      <c r="F900" s="55"/>
      <c r="J900" s="55"/>
    </row>
    <row r="901" ht="15.75" customHeight="1">
      <c r="B901" s="55"/>
      <c r="F901" s="55"/>
      <c r="J901" s="55"/>
    </row>
    <row r="902" ht="15.75" customHeight="1">
      <c r="B902" s="55"/>
      <c r="F902" s="55"/>
      <c r="J902" s="55"/>
    </row>
    <row r="903" ht="15.75" customHeight="1">
      <c r="B903" s="55"/>
      <c r="F903" s="55"/>
      <c r="J903" s="55"/>
    </row>
    <row r="904" ht="15.75" customHeight="1">
      <c r="B904" s="55"/>
      <c r="F904" s="55"/>
      <c r="J904" s="55"/>
    </row>
    <row r="905" ht="15.75" customHeight="1">
      <c r="B905" s="55"/>
      <c r="F905" s="55"/>
      <c r="J905" s="55"/>
    </row>
    <row r="906" ht="15.75" customHeight="1">
      <c r="B906" s="55"/>
      <c r="F906" s="55"/>
      <c r="J906" s="55"/>
    </row>
    <row r="907" ht="15.75" customHeight="1">
      <c r="B907" s="55"/>
      <c r="F907" s="55"/>
      <c r="J907" s="55"/>
    </row>
    <row r="908" ht="15.75" customHeight="1">
      <c r="B908" s="55"/>
      <c r="F908" s="55"/>
      <c r="J908" s="55"/>
    </row>
    <row r="909" ht="15.75" customHeight="1">
      <c r="B909" s="55"/>
      <c r="F909" s="55"/>
      <c r="J909" s="55"/>
    </row>
    <row r="910" ht="15.75" customHeight="1">
      <c r="B910" s="55"/>
      <c r="F910" s="55"/>
      <c r="J910" s="55"/>
    </row>
    <row r="911" ht="15.75" customHeight="1">
      <c r="B911" s="55"/>
      <c r="F911" s="55"/>
      <c r="J911" s="55"/>
    </row>
    <row r="912" ht="15.75" customHeight="1">
      <c r="B912" s="55"/>
      <c r="F912" s="55"/>
      <c r="J912" s="55"/>
    </row>
    <row r="913" ht="15.75" customHeight="1">
      <c r="B913" s="55"/>
      <c r="F913" s="55"/>
      <c r="J913" s="55"/>
    </row>
    <row r="914" ht="15.75" customHeight="1">
      <c r="B914" s="55"/>
      <c r="F914" s="55"/>
      <c r="J914" s="55"/>
    </row>
    <row r="915" ht="15.75" customHeight="1">
      <c r="B915" s="55"/>
      <c r="F915" s="55"/>
      <c r="J915" s="55"/>
    </row>
    <row r="916" ht="15.75" customHeight="1">
      <c r="B916" s="55"/>
      <c r="F916" s="55"/>
      <c r="J916" s="55"/>
    </row>
    <row r="917" ht="15.75" customHeight="1">
      <c r="B917" s="55"/>
      <c r="F917" s="55"/>
      <c r="J917" s="55"/>
    </row>
    <row r="918" ht="15.75" customHeight="1">
      <c r="B918" s="55"/>
      <c r="F918" s="55"/>
      <c r="J918" s="55"/>
    </row>
    <row r="919" ht="15.75" customHeight="1">
      <c r="B919" s="55"/>
      <c r="F919" s="55"/>
      <c r="J919" s="55"/>
    </row>
    <row r="920" ht="15.75" customHeight="1">
      <c r="B920" s="55"/>
      <c r="F920" s="55"/>
      <c r="J920" s="55"/>
    </row>
    <row r="921" ht="15.75" customHeight="1">
      <c r="B921" s="55"/>
      <c r="F921" s="55"/>
      <c r="J921" s="55"/>
    </row>
    <row r="922" ht="15.75" customHeight="1">
      <c r="B922" s="55"/>
      <c r="F922" s="55"/>
      <c r="J922" s="55"/>
    </row>
    <row r="923" ht="15.75" customHeight="1">
      <c r="B923" s="55"/>
      <c r="F923" s="55"/>
      <c r="J923" s="55"/>
    </row>
    <row r="924" ht="15.75" customHeight="1">
      <c r="B924" s="55"/>
      <c r="F924" s="55"/>
      <c r="J924" s="55"/>
    </row>
    <row r="925" ht="15.75" customHeight="1">
      <c r="B925" s="55"/>
      <c r="F925" s="55"/>
      <c r="J925" s="55"/>
    </row>
    <row r="926" ht="15.75" customHeight="1">
      <c r="B926" s="55"/>
      <c r="F926" s="55"/>
      <c r="J926" s="55"/>
    </row>
    <row r="927" ht="15.75" customHeight="1">
      <c r="B927" s="55"/>
      <c r="F927" s="55"/>
      <c r="J927" s="55"/>
    </row>
    <row r="928" ht="15.75" customHeight="1">
      <c r="B928" s="55"/>
      <c r="F928" s="55"/>
      <c r="J928" s="55"/>
    </row>
    <row r="929" ht="15.75" customHeight="1">
      <c r="B929" s="55"/>
      <c r="F929" s="55"/>
      <c r="J929" s="55"/>
    </row>
    <row r="930" ht="15.75" customHeight="1">
      <c r="B930" s="55"/>
      <c r="F930" s="55"/>
      <c r="J930" s="55"/>
    </row>
    <row r="931" ht="15.75" customHeight="1">
      <c r="B931" s="55"/>
      <c r="F931" s="55"/>
      <c r="J931" s="55"/>
    </row>
    <row r="932" ht="15.75" customHeight="1">
      <c r="B932" s="55"/>
      <c r="F932" s="55"/>
      <c r="J932" s="55"/>
    </row>
    <row r="933" ht="15.75" customHeight="1">
      <c r="B933" s="55"/>
      <c r="F933" s="55"/>
      <c r="J933" s="55"/>
    </row>
    <row r="934" ht="15.75" customHeight="1">
      <c r="B934" s="55"/>
      <c r="F934" s="55"/>
      <c r="J934" s="55"/>
    </row>
    <row r="935" ht="15.75" customHeight="1">
      <c r="B935" s="55"/>
      <c r="F935" s="55"/>
      <c r="J935" s="55"/>
    </row>
    <row r="936" ht="15.75" customHeight="1">
      <c r="B936" s="55"/>
      <c r="F936" s="55"/>
      <c r="J936" s="55"/>
    </row>
    <row r="937" ht="15.75" customHeight="1">
      <c r="B937" s="55"/>
      <c r="F937" s="55"/>
      <c r="J937" s="55"/>
    </row>
    <row r="938" ht="15.75" customHeight="1">
      <c r="B938" s="55"/>
      <c r="F938" s="55"/>
      <c r="J938" s="55"/>
    </row>
    <row r="939" ht="15.75" customHeight="1">
      <c r="B939" s="55"/>
      <c r="F939" s="55"/>
      <c r="J939" s="55"/>
    </row>
    <row r="940" ht="15.75" customHeight="1">
      <c r="B940" s="55"/>
      <c r="F940" s="55"/>
      <c r="J940" s="55"/>
    </row>
    <row r="941" ht="15.75" customHeight="1">
      <c r="B941" s="55"/>
      <c r="F941" s="55"/>
      <c r="J941" s="55"/>
    </row>
    <row r="942" ht="15.75" customHeight="1">
      <c r="B942" s="55"/>
      <c r="F942" s="55"/>
      <c r="J942" s="55"/>
    </row>
    <row r="943" ht="15.75" customHeight="1">
      <c r="B943" s="55"/>
      <c r="F943" s="55"/>
      <c r="J943" s="55"/>
    </row>
    <row r="944" ht="15.75" customHeight="1">
      <c r="B944" s="55"/>
      <c r="F944" s="55"/>
      <c r="J944" s="55"/>
    </row>
    <row r="945" ht="15.75" customHeight="1">
      <c r="B945" s="55"/>
      <c r="F945" s="55"/>
      <c r="J945" s="55"/>
    </row>
    <row r="946" ht="15.75" customHeight="1">
      <c r="B946" s="55"/>
      <c r="F946" s="55"/>
      <c r="J946" s="55"/>
    </row>
    <row r="947" ht="15.75" customHeight="1">
      <c r="B947" s="55"/>
      <c r="F947" s="55"/>
      <c r="J947" s="55"/>
    </row>
    <row r="948" ht="15.75" customHeight="1">
      <c r="B948" s="55"/>
      <c r="F948" s="55"/>
      <c r="J948" s="55"/>
    </row>
    <row r="949" ht="15.75" customHeight="1">
      <c r="B949" s="55"/>
      <c r="F949" s="55"/>
      <c r="J949" s="55"/>
    </row>
    <row r="950" ht="15.75" customHeight="1">
      <c r="B950" s="55"/>
      <c r="F950" s="55"/>
      <c r="J950" s="55"/>
    </row>
    <row r="951" ht="15.75" customHeight="1">
      <c r="B951" s="55"/>
      <c r="F951" s="55"/>
      <c r="J951" s="55"/>
    </row>
    <row r="952" ht="15.75" customHeight="1">
      <c r="B952" s="55"/>
      <c r="F952" s="55"/>
      <c r="J952" s="55"/>
    </row>
    <row r="953" ht="15.75" customHeight="1">
      <c r="B953" s="55"/>
      <c r="F953" s="55"/>
      <c r="J953" s="55"/>
    </row>
    <row r="954" ht="15.75" customHeight="1">
      <c r="B954" s="55"/>
      <c r="F954" s="55"/>
      <c r="J954" s="55"/>
    </row>
    <row r="955" ht="15.75" customHeight="1">
      <c r="B955" s="55"/>
      <c r="F955" s="55"/>
      <c r="J955" s="55"/>
    </row>
    <row r="956" ht="15.75" customHeight="1">
      <c r="B956" s="55"/>
      <c r="F956" s="55"/>
      <c r="J956" s="55"/>
    </row>
    <row r="957" ht="15.75" customHeight="1">
      <c r="B957" s="55"/>
      <c r="F957" s="55"/>
      <c r="J957" s="55"/>
    </row>
    <row r="958" ht="15.75" customHeight="1">
      <c r="B958" s="55"/>
      <c r="F958" s="55"/>
      <c r="J958" s="55"/>
    </row>
    <row r="959" ht="15.75" customHeight="1">
      <c r="B959" s="55"/>
      <c r="F959" s="55"/>
      <c r="J959" s="55"/>
    </row>
    <row r="960" ht="15.75" customHeight="1">
      <c r="B960" s="55"/>
      <c r="F960" s="55"/>
      <c r="J960" s="55"/>
    </row>
    <row r="961" ht="15.75" customHeight="1">
      <c r="B961" s="55"/>
      <c r="F961" s="55"/>
      <c r="J961" s="55"/>
    </row>
    <row r="962" ht="15.75" customHeight="1">
      <c r="B962" s="55"/>
      <c r="F962" s="55"/>
      <c r="J962" s="55"/>
    </row>
    <row r="963" ht="15.75" customHeight="1">
      <c r="B963" s="55"/>
      <c r="F963" s="55"/>
      <c r="J963" s="55"/>
    </row>
    <row r="964" ht="15.75" customHeight="1">
      <c r="B964" s="55"/>
      <c r="F964" s="55"/>
      <c r="J964" s="55"/>
    </row>
    <row r="965" ht="15.75" customHeight="1">
      <c r="B965" s="55"/>
      <c r="F965" s="55"/>
      <c r="J965" s="55"/>
    </row>
    <row r="966" ht="15.75" customHeight="1">
      <c r="B966" s="55"/>
      <c r="F966" s="55"/>
      <c r="J966" s="55"/>
    </row>
    <row r="967" ht="15.75" customHeight="1">
      <c r="B967" s="55"/>
      <c r="F967" s="55"/>
      <c r="J967" s="55"/>
    </row>
    <row r="968" ht="15.75" customHeight="1">
      <c r="B968" s="55"/>
      <c r="F968" s="55"/>
      <c r="J968" s="55"/>
    </row>
    <row r="969" ht="15.75" customHeight="1">
      <c r="B969" s="55"/>
      <c r="F969" s="55"/>
      <c r="J969" s="55"/>
    </row>
    <row r="970" ht="15.75" customHeight="1">
      <c r="B970" s="55"/>
      <c r="F970" s="55"/>
      <c r="J970" s="55"/>
    </row>
    <row r="971" ht="15.75" customHeight="1">
      <c r="B971" s="55"/>
      <c r="F971" s="55"/>
      <c r="J971" s="55"/>
    </row>
    <row r="972" ht="15.75" customHeight="1">
      <c r="B972" s="55"/>
      <c r="F972" s="55"/>
      <c r="J972" s="55"/>
    </row>
    <row r="973" ht="15.75" customHeight="1">
      <c r="B973" s="55"/>
      <c r="F973" s="55"/>
      <c r="J973" s="55"/>
    </row>
    <row r="974" ht="15.75" customHeight="1">
      <c r="B974" s="55"/>
      <c r="F974" s="55"/>
      <c r="J974" s="55"/>
    </row>
    <row r="975" ht="15.75" customHeight="1">
      <c r="B975" s="55"/>
      <c r="F975" s="55"/>
      <c r="J975" s="55"/>
    </row>
    <row r="976" ht="15.75" customHeight="1">
      <c r="B976" s="55"/>
      <c r="F976" s="55"/>
      <c r="J976" s="55"/>
    </row>
    <row r="977" ht="15.75" customHeight="1">
      <c r="B977" s="55"/>
      <c r="F977" s="55"/>
      <c r="J977" s="55"/>
    </row>
    <row r="978" ht="15.75" customHeight="1">
      <c r="B978" s="55"/>
      <c r="F978" s="55"/>
      <c r="J978" s="55"/>
    </row>
    <row r="979" ht="15.75" customHeight="1">
      <c r="B979" s="55"/>
      <c r="F979" s="55"/>
      <c r="J979" s="55"/>
    </row>
    <row r="980" ht="15.75" customHeight="1">
      <c r="B980" s="55"/>
      <c r="F980" s="55"/>
      <c r="J980" s="55"/>
    </row>
    <row r="981" ht="15.75" customHeight="1">
      <c r="B981" s="55"/>
      <c r="F981" s="55"/>
      <c r="J981" s="55"/>
    </row>
    <row r="982" ht="15.75" customHeight="1">
      <c r="B982" s="55"/>
      <c r="F982" s="55"/>
      <c r="J982" s="55"/>
    </row>
    <row r="983" ht="15.75" customHeight="1">
      <c r="B983" s="55"/>
      <c r="F983" s="55"/>
      <c r="J983" s="55"/>
    </row>
    <row r="984" ht="15.75" customHeight="1">
      <c r="B984" s="55"/>
      <c r="F984" s="55"/>
      <c r="J984" s="55"/>
    </row>
    <row r="985" ht="15.75" customHeight="1">
      <c r="B985" s="55"/>
      <c r="F985" s="55"/>
      <c r="J985" s="55"/>
    </row>
    <row r="986" ht="15.75" customHeight="1">
      <c r="B986" s="55"/>
      <c r="F986" s="55"/>
      <c r="J986" s="55"/>
    </row>
    <row r="987" ht="15.75" customHeight="1">
      <c r="B987" s="55"/>
      <c r="F987" s="55"/>
      <c r="J987" s="55"/>
    </row>
    <row r="988" ht="15.75" customHeight="1">
      <c r="B988" s="55"/>
      <c r="F988" s="55"/>
      <c r="J988" s="55"/>
    </row>
    <row r="989" ht="15.75" customHeight="1">
      <c r="B989" s="55"/>
      <c r="F989" s="55"/>
      <c r="J989" s="55"/>
    </row>
    <row r="990" ht="15.75" customHeight="1">
      <c r="B990" s="55"/>
      <c r="F990" s="55"/>
      <c r="J990" s="55"/>
    </row>
    <row r="991" ht="15.75" customHeight="1">
      <c r="B991" s="55"/>
      <c r="F991" s="55"/>
      <c r="J991" s="55"/>
    </row>
    <row r="992" ht="15.75" customHeight="1">
      <c r="B992" s="55"/>
      <c r="F992" s="55"/>
      <c r="J992" s="55"/>
    </row>
    <row r="993" ht="15.75" customHeight="1">
      <c r="B993" s="55"/>
      <c r="F993" s="55"/>
      <c r="J993" s="55"/>
    </row>
    <row r="994" ht="15.75" customHeight="1">
      <c r="B994" s="55"/>
      <c r="F994" s="55"/>
      <c r="J994" s="55"/>
    </row>
    <row r="995" ht="15.75" customHeight="1">
      <c r="B995" s="55"/>
      <c r="F995" s="55"/>
      <c r="J995" s="55"/>
    </row>
    <row r="996" ht="15.75" customHeight="1">
      <c r="B996" s="55"/>
      <c r="F996" s="55"/>
      <c r="J996" s="55"/>
    </row>
    <row r="997" ht="15.75" customHeight="1">
      <c r="B997" s="55"/>
      <c r="F997" s="55"/>
      <c r="J997" s="55"/>
    </row>
    <row r="998" ht="15.75" customHeight="1">
      <c r="B998" s="55"/>
      <c r="F998" s="55"/>
      <c r="J998" s="55"/>
    </row>
    <row r="999" ht="15.75" customHeight="1">
      <c r="B999" s="55"/>
      <c r="F999" s="55"/>
      <c r="J999" s="55"/>
    </row>
    <row r="1000" ht="15.75" customHeight="1">
      <c r="B1000" s="55"/>
      <c r="F1000" s="55"/>
      <c r="J1000" s="55"/>
    </row>
  </sheetData>
  <mergeCells count="4">
    <mergeCell ref="A1:H2"/>
    <mergeCell ref="A43:D43"/>
    <mergeCell ref="E45:F45"/>
    <mergeCell ref="I45:J4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1.29"/>
    <col customWidth="1" min="3" max="3" width="14.43"/>
    <col customWidth="1" min="4" max="4" width="16.0"/>
    <col customWidth="1" min="5" max="5" width="18.71"/>
    <col customWidth="1" min="6" max="6" width="25.86"/>
    <col customWidth="1" min="8" max="8" width="16.71"/>
    <col customWidth="1" min="10" max="13" width="7.29"/>
    <col customWidth="1" min="15" max="15" width="8.71"/>
    <col customWidth="1" min="16" max="16" width="11.57"/>
    <col customWidth="1" min="18" max="18" width="8.71"/>
    <col customWidth="1" min="22" max="22" width="22.86"/>
  </cols>
  <sheetData>
    <row r="1" ht="22.5" customHeight="1">
      <c r="A1" s="26" t="s">
        <v>57</v>
      </c>
      <c r="B1" s="26" t="s">
        <v>58</v>
      </c>
      <c r="C1" s="27" t="s">
        <v>59</v>
      </c>
      <c r="D1" s="26" t="s">
        <v>60</v>
      </c>
      <c r="E1" s="27" t="s">
        <v>2</v>
      </c>
      <c r="F1" s="27" t="s">
        <v>3</v>
      </c>
      <c r="G1" s="27" t="s">
        <v>4</v>
      </c>
      <c r="H1" s="26" t="s">
        <v>61</v>
      </c>
      <c r="I1" s="28" t="s">
        <v>62</v>
      </c>
      <c r="J1" s="28" t="s">
        <v>63</v>
      </c>
      <c r="K1" s="28" t="s">
        <v>64</v>
      </c>
      <c r="L1" s="28" t="s">
        <v>65</v>
      </c>
      <c r="M1" s="28" t="s">
        <v>66</v>
      </c>
      <c r="N1" s="28" t="s">
        <v>67</v>
      </c>
      <c r="O1" s="28" t="s">
        <v>68</v>
      </c>
      <c r="P1" s="28" t="s">
        <v>69</v>
      </c>
      <c r="Q1" s="28" t="s">
        <v>70</v>
      </c>
      <c r="R1" s="28" t="s">
        <v>71</v>
      </c>
      <c r="S1" s="31" t="s">
        <v>72</v>
      </c>
      <c r="T1" s="28" t="s">
        <v>6</v>
      </c>
      <c r="U1" s="28" t="s">
        <v>73</v>
      </c>
      <c r="V1" s="32" t="s">
        <v>74</v>
      </c>
    </row>
    <row r="2" ht="22.5" customHeight="1">
      <c r="A2" s="33">
        <v>46234.0</v>
      </c>
      <c r="B2" s="34" t="s">
        <v>75</v>
      </c>
      <c r="C2" s="34"/>
      <c r="D2" s="34" t="s">
        <v>76</v>
      </c>
      <c r="E2" s="35" t="s">
        <v>23</v>
      </c>
      <c r="F2" s="36" t="s">
        <v>77</v>
      </c>
      <c r="G2" s="37" t="s">
        <v>48</v>
      </c>
      <c r="H2" s="38">
        <v>10000.0</v>
      </c>
      <c r="I2" s="35" t="s">
        <v>36</v>
      </c>
      <c r="J2" s="39" t="b">
        <v>1</v>
      </c>
      <c r="K2" s="39" t="b">
        <v>1</v>
      </c>
      <c r="L2" s="39" t="b">
        <v>0</v>
      </c>
      <c r="M2" s="39" t="b">
        <v>1</v>
      </c>
      <c r="N2" s="33">
        <v>46239.0</v>
      </c>
      <c r="O2" s="41">
        <f t="shared" ref="O2:O55" si="1">IF(A2="","",IF(N2="",TODAY()-A2,N2-A2))</f>
        <v>5</v>
      </c>
      <c r="P2" s="38">
        <v>10000.0</v>
      </c>
      <c r="Q2" s="42">
        <f>max(Table1[Packed qty]-Table1[Dispatched Qty],0)</f>
        <v>0</v>
      </c>
      <c r="R2" s="38">
        <v>5.0</v>
      </c>
      <c r="S2" s="35" t="s">
        <v>32</v>
      </c>
      <c r="T2" s="43"/>
      <c r="U2" s="44" t="s">
        <v>78</v>
      </c>
      <c r="V2" s="45"/>
    </row>
    <row r="3" ht="22.5" customHeight="1">
      <c r="A3" s="33">
        <v>46237.0</v>
      </c>
      <c r="B3" s="34" t="s">
        <v>80</v>
      </c>
      <c r="C3" s="34"/>
      <c r="D3" s="34" t="s">
        <v>81</v>
      </c>
      <c r="E3" s="35" t="s">
        <v>23</v>
      </c>
      <c r="F3" s="36" t="s">
        <v>34</v>
      </c>
      <c r="G3" s="37" t="s">
        <v>48</v>
      </c>
      <c r="H3" s="38">
        <v>2000.0</v>
      </c>
      <c r="I3" s="35" t="s">
        <v>36</v>
      </c>
      <c r="J3" s="39" t="b">
        <v>1</v>
      </c>
      <c r="K3" s="39" t="b">
        <v>1</v>
      </c>
      <c r="L3" s="39" t="b">
        <v>1</v>
      </c>
      <c r="M3" s="39" t="b">
        <v>1</v>
      </c>
      <c r="N3" s="33">
        <v>46239.0</v>
      </c>
      <c r="O3" s="41">
        <f t="shared" si="1"/>
        <v>2</v>
      </c>
      <c r="P3" s="38">
        <v>2000.0</v>
      </c>
      <c r="Q3" s="42">
        <f>max(Table1[Packed qty]-Table1[Dispatched Qty],0)</f>
        <v>0</v>
      </c>
      <c r="R3" s="38">
        <v>1.0</v>
      </c>
      <c r="S3" s="35" t="s">
        <v>32</v>
      </c>
      <c r="T3" s="43" t="s">
        <v>15</v>
      </c>
      <c r="U3" s="64" t="s">
        <v>78</v>
      </c>
      <c r="V3" s="45"/>
    </row>
    <row r="4" ht="22.5" customHeight="1">
      <c r="A4" s="33">
        <v>46237.0</v>
      </c>
      <c r="B4" s="34" t="s">
        <v>89</v>
      </c>
      <c r="C4" s="34"/>
      <c r="D4" s="34" t="s">
        <v>90</v>
      </c>
      <c r="E4" s="35" t="s">
        <v>23</v>
      </c>
      <c r="F4" s="36" t="s">
        <v>55</v>
      </c>
      <c r="G4" s="37"/>
      <c r="H4" s="38">
        <v>20000.0</v>
      </c>
      <c r="I4" s="35" t="s">
        <v>25</v>
      </c>
      <c r="J4" s="39" t="b">
        <v>1</v>
      </c>
      <c r="K4" s="39" t="b">
        <v>1</v>
      </c>
      <c r="L4" s="39" t="b">
        <v>0</v>
      </c>
      <c r="M4" s="39" t="b">
        <v>1</v>
      </c>
      <c r="N4" s="33">
        <v>46239.0</v>
      </c>
      <c r="O4" s="41">
        <f t="shared" si="1"/>
        <v>2</v>
      </c>
      <c r="P4" s="38">
        <v>20000.0</v>
      </c>
      <c r="Q4" s="42">
        <f>max(Table1[Packed qty]-Table1[Dispatched Qty],0)</f>
        <v>0</v>
      </c>
      <c r="R4" s="38">
        <v>1.0</v>
      </c>
      <c r="S4" s="35" t="s">
        <v>32</v>
      </c>
      <c r="T4" s="67"/>
      <c r="U4" s="64" t="s">
        <v>78</v>
      </c>
      <c r="V4" s="45"/>
    </row>
    <row r="5" ht="22.5" customHeight="1">
      <c r="A5" s="33">
        <v>46225.0</v>
      </c>
      <c r="B5" s="34" t="s">
        <v>93</v>
      </c>
      <c r="C5" s="34"/>
      <c r="D5" s="34" t="s">
        <v>94</v>
      </c>
      <c r="E5" s="35" t="s">
        <v>7</v>
      </c>
      <c r="F5" s="36" t="s">
        <v>9</v>
      </c>
      <c r="G5" s="37" t="s">
        <v>95</v>
      </c>
      <c r="H5" s="38">
        <v>27373.0</v>
      </c>
      <c r="I5" s="35" t="s">
        <v>25</v>
      </c>
      <c r="J5" s="39" t="b">
        <v>1</v>
      </c>
      <c r="K5" s="39" t="b">
        <v>1</v>
      </c>
      <c r="L5" s="39" t="b">
        <v>1</v>
      </c>
      <c r="M5" s="39" t="b">
        <v>1</v>
      </c>
      <c r="N5" s="33">
        <v>46244.0</v>
      </c>
      <c r="O5" s="41">
        <f t="shared" si="1"/>
        <v>19</v>
      </c>
      <c r="P5" s="38">
        <v>27373.0</v>
      </c>
      <c r="Q5" s="42">
        <f>max(Table1[Packed qty]-Table1[Dispatched Qty],0)</f>
        <v>0</v>
      </c>
      <c r="R5" s="38">
        <v>96.0</v>
      </c>
      <c r="S5" s="35" t="s">
        <v>32</v>
      </c>
      <c r="T5" s="67"/>
      <c r="U5" s="64" t="s">
        <v>96</v>
      </c>
      <c r="V5" s="45"/>
    </row>
    <row r="6" ht="22.5" customHeight="1">
      <c r="A6" s="33">
        <v>46225.0</v>
      </c>
      <c r="B6" s="34" t="s">
        <v>93</v>
      </c>
      <c r="C6" s="34"/>
      <c r="D6" s="34" t="s">
        <v>97</v>
      </c>
      <c r="E6" s="35" t="s">
        <v>22</v>
      </c>
      <c r="F6" s="36" t="s">
        <v>18</v>
      </c>
      <c r="G6" s="37" t="s">
        <v>98</v>
      </c>
      <c r="H6" s="38">
        <v>10675.0</v>
      </c>
      <c r="I6" s="35" t="s">
        <v>25</v>
      </c>
      <c r="J6" s="39" t="b">
        <v>1</v>
      </c>
      <c r="K6" s="39" t="b">
        <v>1</v>
      </c>
      <c r="L6" s="39" t="b">
        <v>1</v>
      </c>
      <c r="M6" s="39" t="b">
        <v>1</v>
      </c>
      <c r="N6" s="33">
        <v>46244.0</v>
      </c>
      <c r="O6" s="41">
        <f t="shared" si="1"/>
        <v>19</v>
      </c>
      <c r="P6" s="38">
        <v>10675.0</v>
      </c>
      <c r="Q6" s="42">
        <f>max(Table1[Packed qty]-Table1[Dispatched Qty],0)</f>
        <v>0</v>
      </c>
      <c r="R6" s="38">
        <v>21.0</v>
      </c>
      <c r="S6" s="35" t="s">
        <v>32</v>
      </c>
      <c r="T6" s="67"/>
      <c r="U6" s="64" t="s">
        <v>96</v>
      </c>
      <c r="V6" s="45"/>
    </row>
    <row r="7" ht="22.5" customHeight="1">
      <c r="A7" s="33"/>
      <c r="B7" s="34" t="s">
        <v>99</v>
      </c>
      <c r="C7" s="34"/>
      <c r="D7" s="34" t="s">
        <v>100</v>
      </c>
      <c r="E7" s="35" t="s">
        <v>23</v>
      </c>
      <c r="F7" s="36"/>
      <c r="G7" s="37"/>
      <c r="H7" s="38">
        <v>2204.0</v>
      </c>
      <c r="I7" s="35" t="s">
        <v>25</v>
      </c>
      <c r="J7" s="39" t="b">
        <v>0</v>
      </c>
      <c r="K7" s="39" t="b">
        <v>0</v>
      </c>
      <c r="L7" s="39" t="b">
        <v>0</v>
      </c>
      <c r="M7" s="39" t="b">
        <v>0</v>
      </c>
      <c r="N7" s="33">
        <v>46247.0</v>
      </c>
      <c r="O7" s="41" t="str">
        <f t="shared" si="1"/>
        <v/>
      </c>
      <c r="P7" s="38">
        <v>2204.0</v>
      </c>
      <c r="Q7" s="42">
        <f>max(Table1[Packed qty]-Table1[Dispatched Qty],0)</f>
        <v>0</v>
      </c>
      <c r="R7" s="38">
        <v>10.0</v>
      </c>
      <c r="S7" s="35" t="s">
        <v>32</v>
      </c>
      <c r="T7" s="43" t="s">
        <v>15</v>
      </c>
      <c r="U7" s="64" t="s">
        <v>101</v>
      </c>
      <c r="V7" s="45"/>
    </row>
    <row r="8" ht="22.5" customHeight="1">
      <c r="A8" s="33"/>
      <c r="B8" s="34" t="s">
        <v>102</v>
      </c>
      <c r="C8" s="34"/>
      <c r="D8" s="34" t="s">
        <v>103</v>
      </c>
      <c r="E8" s="35" t="s">
        <v>23</v>
      </c>
      <c r="F8" s="36"/>
      <c r="G8" s="37"/>
      <c r="H8" s="38">
        <v>10720.0</v>
      </c>
      <c r="I8" s="35" t="s">
        <v>25</v>
      </c>
      <c r="J8" s="39" t="b">
        <v>0</v>
      </c>
      <c r="K8" s="39" t="b">
        <v>0</v>
      </c>
      <c r="L8" s="39" t="b">
        <v>0</v>
      </c>
      <c r="M8" s="39" t="b">
        <v>0</v>
      </c>
      <c r="N8" s="33">
        <v>46254.0</v>
      </c>
      <c r="O8" s="41" t="str">
        <f t="shared" si="1"/>
        <v/>
      </c>
      <c r="P8" s="38">
        <v>10720.0</v>
      </c>
      <c r="Q8" s="42">
        <f>max(Table1[Packed qty]-Table1[Dispatched Qty],0)</f>
        <v>0</v>
      </c>
      <c r="R8" s="38">
        <v>23.0</v>
      </c>
      <c r="S8" s="35" t="s">
        <v>32</v>
      </c>
      <c r="T8" s="67"/>
      <c r="U8" s="64" t="s">
        <v>104</v>
      </c>
      <c r="V8" s="45"/>
    </row>
    <row r="9" ht="22.5" customHeight="1">
      <c r="A9" s="33"/>
      <c r="B9" s="34" t="s">
        <v>105</v>
      </c>
      <c r="C9" s="34"/>
      <c r="D9" s="34" t="s">
        <v>106</v>
      </c>
      <c r="E9" s="35" t="s">
        <v>7</v>
      </c>
      <c r="F9" s="36"/>
      <c r="G9" s="37"/>
      <c r="H9" s="38">
        <v>1600.0</v>
      </c>
      <c r="I9" s="35" t="s">
        <v>25</v>
      </c>
      <c r="J9" s="39" t="b">
        <v>0</v>
      </c>
      <c r="K9" s="39" t="b">
        <v>0</v>
      </c>
      <c r="L9" s="39" t="b">
        <v>0</v>
      </c>
      <c r="M9" s="39" t="b">
        <v>0</v>
      </c>
      <c r="N9" s="33">
        <v>46255.0</v>
      </c>
      <c r="O9" s="41" t="str">
        <f t="shared" si="1"/>
        <v/>
      </c>
      <c r="P9" s="38">
        <v>1600.0</v>
      </c>
      <c r="Q9" s="42">
        <f>max(Table1[Packed qty]-Table1[Dispatched Qty],0)</f>
        <v>0</v>
      </c>
      <c r="R9" s="38">
        <v>7.0</v>
      </c>
      <c r="S9" s="35" t="s">
        <v>32</v>
      </c>
      <c r="T9" s="67"/>
      <c r="U9" s="64" t="s">
        <v>78</v>
      </c>
      <c r="V9" s="45"/>
    </row>
    <row r="10" ht="22.5" customHeight="1">
      <c r="A10" s="33"/>
      <c r="B10" s="34" t="s">
        <v>107</v>
      </c>
      <c r="C10" s="34"/>
      <c r="D10" s="34" t="s">
        <v>108</v>
      </c>
      <c r="E10" s="35" t="s">
        <v>23</v>
      </c>
      <c r="F10" s="36"/>
      <c r="G10" s="37"/>
      <c r="H10" s="38">
        <v>26000.0</v>
      </c>
      <c r="I10" s="35" t="s">
        <v>36</v>
      </c>
      <c r="J10" s="39" t="b">
        <v>0</v>
      </c>
      <c r="K10" s="39" t="b">
        <v>0</v>
      </c>
      <c r="L10" s="39" t="b">
        <v>0</v>
      </c>
      <c r="M10" s="39" t="b">
        <v>0</v>
      </c>
      <c r="N10" s="33">
        <v>46255.0</v>
      </c>
      <c r="O10" s="41" t="str">
        <f t="shared" si="1"/>
        <v/>
      </c>
      <c r="P10" s="38">
        <v>26000.0</v>
      </c>
      <c r="Q10" s="42">
        <f>max(Table1[Packed qty]-Table1[Dispatched Qty],0)</f>
        <v>0</v>
      </c>
      <c r="R10" s="38">
        <v>13.0</v>
      </c>
      <c r="S10" s="35" t="s">
        <v>32</v>
      </c>
      <c r="T10" s="67"/>
      <c r="U10" s="64" t="s">
        <v>78</v>
      </c>
      <c r="V10" s="45"/>
    </row>
    <row r="11" ht="22.5" customHeight="1">
      <c r="A11" s="33"/>
      <c r="B11" s="34" t="s">
        <v>109</v>
      </c>
      <c r="C11" s="34"/>
      <c r="D11" s="34" t="s">
        <v>110</v>
      </c>
      <c r="E11" s="35" t="s">
        <v>7</v>
      </c>
      <c r="F11" s="36"/>
      <c r="G11" s="37"/>
      <c r="H11" s="38">
        <v>1500.0</v>
      </c>
      <c r="I11" s="35" t="s">
        <v>25</v>
      </c>
      <c r="J11" s="39" t="b">
        <v>0</v>
      </c>
      <c r="K11" s="39" t="b">
        <v>0</v>
      </c>
      <c r="L11" s="39" t="b">
        <v>0</v>
      </c>
      <c r="M11" s="39" t="b">
        <v>0</v>
      </c>
      <c r="N11" s="33">
        <v>46259.0</v>
      </c>
      <c r="O11" s="41" t="str">
        <f t="shared" si="1"/>
        <v/>
      </c>
      <c r="P11" s="38">
        <v>1500.0</v>
      </c>
      <c r="Q11" s="42">
        <f>max(Table1[Packed qty]-Table1[Dispatched Qty],0)</f>
        <v>0</v>
      </c>
      <c r="R11" s="38">
        <v>8.0</v>
      </c>
      <c r="S11" s="35" t="s">
        <v>32</v>
      </c>
      <c r="T11" s="67"/>
      <c r="U11" s="64" t="s">
        <v>111</v>
      </c>
      <c r="V11" s="45"/>
    </row>
    <row r="12" ht="22.5" customHeight="1">
      <c r="A12" s="33"/>
      <c r="B12" s="34" t="s">
        <v>112</v>
      </c>
      <c r="C12" s="34"/>
      <c r="D12" s="34" t="s">
        <v>113</v>
      </c>
      <c r="E12" s="35" t="s">
        <v>23</v>
      </c>
      <c r="F12" s="36"/>
      <c r="G12" s="37"/>
      <c r="H12" s="38">
        <v>50000.0</v>
      </c>
      <c r="I12" s="35" t="s">
        <v>36</v>
      </c>
      <c r="J12" s="39" t="b">
        <v>0</v>
      </c>
      <c r="K12" s="39" t="b">
        <v>0</v>
      </c>
      <c r="L12" s="39" t="b">
        <v>0</v>
      </c>
      <c r="M12" s="39" t="b">
        <v>0</v>
      </c>
      <c r="N12" s="33">
        <v>46261.0</v>
      </c>
      <c r="O12" s="41" t="str">
        <f t="shared" si="1"/>
        <v/>
      </c>
      <c r="P12" s="38">
        <v>50000.0</v>
      </c>
      <c r="Q12" s="42">
        <f>max(Table1[Packed qty]-Table1[Dispatched Qty],0)</f>
        <v>0</v>
      </c>
      <c r="R12" s="38">
        <v>25.0</v>
      </c>
      <c r="S12" s="35" t="s">
        <v>32</v>
      </c>
      <c r="T12" s="67"/>
      <c r="U12" s="64" t="s">
        <v>114</v>
      </c>
      <c r="V12" s="45"/>
    </row>
    <row r="13" ht="22.5" customHeight="1">
      <c r="A13" s="33"/>
      <c r="B13" s="34" t="s">
        <v>115</v>
      </c>
      <c r="C13" s="34"/>
      <c r="D13" s="34" t="s">
        <v>116</v>
      </c>
      <c r="E13" s="35" t="s">
        <v>23</v>
      </c>
      <c r="F13" s="36"/>
      <c r="G13" s="37"/>
      <c r="H13" s="38">
        <v>5000.0</v>
      </c>
      <c r="I13" s="35" t="s">
        <v>36</v>
      </c>
      <c r="J13" s="39" t="b">
        <v>0</v>
      </c>
      <c r="K13" s="39" t="b">
        <v>0</v>
      </c>
      <c r="L13" s="39" t="b">
        <v>0</v>
      </c>
      <c r="M13" s="39" t="b">
        <v>0</v>
      </c>
      <c r="N13" s="33">
        <v>46261.0</v>
      </c>
      <c r="O13" s="41" t="str">
        <f t="shared" si="1"/>
        <v/>
      </c>
      <c r="P13" s="38">
        <v>5000.0</v>
      </c>
      <c r="Q13" s="42">
        <f>max(Table1[Packed qty]-Table1[Dispatched Qty],0)</f>
        <v>0</v>
      </c>
      <c r="R13" s="38">
        <v>3.0</v>
      </c>
      <c r="S13" s="35" t="s">
        <v>32</v>
      </c>
      <c r="T13" s="67"/>
      <c r="U13" s="64" t="s">
        <v>78</v>
      </c>
      <c r="V13" s="45"/>
    </row>
    <row r="14" ht="22.5" customHeight="1">
      <c r="A14" s="33"/>
      <c r="B14" s="34" t="s">
        <v>117</v>
      </c>
      <c r="C14" s="34"/>
      <c r="D14" s="34" t="s">
        <v>118</v>
      </c>
      <c r="E14" s="35" t="s">
        <v>7</v>
      </c>
      <c r="F14" s="36"/>
      <c r="G14" s="37"/>
      <c r="H14" s="38">
        <v>580.0</v>
      </c>
      <c r="I14" s="35" t="s">
        <v>25</v>
      </c>
      <c r="J14" s="39" t="b">
        <v>0</v>
      </c>
      <c r="K14" s="39" t="b">
        <v>0</v>
      </c>
      <c r="L14" s="39" t="b">
        <v>0</v>
      </c>
      <c r="M14" s="39" t="b">
        <v>0</v>
      </c>
      <c r="N14" s="33">
        <v>46262.0</v>
      </c>
      <c r="O14" s="41" t="str">
        <f t="shared" si="1"/>
        <v/>
      </c>
      <c r="P14" s="38">
        <v>580.0</v>
      </c>
      <c r="Q14" s="42">
        <f>max(Table1[Packed qty]-Table1[Dispatched Qty],0)</f>
        <v>0</v>
      </c>
      <c r="R14" s="38">
        <v>2.0</v>
      </c>
      <c r="S14" s="35" t="s">
        <v>32</v>
      </c>
      <c r="T14" s="43" t="s">
        <v>27</v>
      </c>
      <c r="U14" s="64"/>
      <c r="V14" s="45"/>
    </row>
    <row r="15" ht="22.5" customHeight="1">
      <c r="A15" s="33">
        <v>46244.0</v>
      </c>
      <c r="B15" s="34" t="s">
        <v>119</v>
      </c>
      <c r="C15" s="34" t="s">
        <v>120</v>
      </c>
      <c r="D15" s="34" t="s">
        <v>121</v>
      </c>
      <c r="E15" s="35" t="s">
        <v>7</v>
      </c>
      <c r="F15" s="68" t="s">
        <v>18</v>
      </c>
      <c r="G15" s="34" t="s">
        <v>122</v>
      </c>
      <c r="H15" s="38">
        <v>10102.0</v>
      </c>
      <c r="I15" s="35" t="s">
        <v>25</v>
      </c>
      <c r="J15" s="39" t="b">
        <v>1</v>
      </c>
      <c r="K15" s="39" t="b">
        <v>1</v>
      </c>
      <c r="L15" s="39" t="b">
        <v>1</v>
      </c>
      <c r="M15" s="39" t="b">
        <v>1</v>
      </c>
      <c r="N15" s="33">
        <v>46267.0</v>
      </c>
      <c r="O15" s="41">
        <f t="shared" si="1"/>
        <v>23</v>
      </c>
      <c r="P15" s="38">
        <v>10102.0</v>
      </c>
      <c r="Q15" s="42">
        <f>max(Table1[Packed qty]-Table1[Dispatched Qty],0)</f>
        <v>0</v>
      </c>
      <c r="R15" s="38">
        <v>51.0</v>
      </c>
      <c r="S15" s="35" t="s">
        <v>32</v>
      </c>
      <c r="T15" s="67"/>
      <c r="U15" s="64" t="s">
        <v>123</v>
      </c>
      <c r="V15" s="45"/>
    </row>
    <row r="16" ht="22.5" customHeight="1">
      <c r="A16" s="33">
        <v>46261.0</v>
      </c>
      <c r="B16" s="34" t="s">
        <v>124</v>
      </c>
      <c r="C16" s="34" t="s">
        <v>125</v>
      </c>
      <c r="D16" s="34" t="s">
        <v>126</v>
      </c>
      <c r="E16" s="35" t="s">
        <v>7</v>
      </c>
      <c r="F16" s="68" t="s">
        <v>18</v>
      </c>
      <c r="G16" s="37" t="s">
        <v>40</v>
      </c>
      <c r="H16" s="38">
        <v>2400.0</v>
      </c>
      <c r="I16" s="35" t="s">
        <v>25</v>
      </c>
      <c r="J16" s="39" t="b">
        <v>1</v>
      </c>
      <c r="K16" s="39" t="b">
        <v>1</v>
      </c>
      <c r="L16" s="39" t="b">
        <v>1</v>
      </c>
      <c r="M16" s="39" t="b">
        <v>1</v>
      </c>
      <c r="N16" s="33">
        <v>46270.0</v>
      </c>
      <c r="O16" s="41">
        <f t="shared" si="1"/>
        <v>9</v>
      </c>
      <c r="P16" s="38">
        <v>2400.0</v>
      </c>
      <c r="Q16" s="42">
        <f>max(Table1[Packed qty]-Table1[Dispatched Qty],0)</f>
        <v>0</v>
      </c>
      <c r="R16" s="38">
        <v>8.0</v>
      </c>
      <c r="S16" s="35" t="s">
        <v>32</v>
      </c>
      <c r="T16" s="67"/>
      <c r="U16" s="64" t="s">
        <v>127</v>
      </c>
      <c r="V16" s="45"/>
    </row>
    <row r="17" ht="22.5" customHeight="1">
      <c r="A17" s="33">
        <v>46261.0</v>
      </c>
      <c r="B17" s="34" t="s">
        <v>117</v>
      </c>
      <c r="C17" s="34" t="s">
        <v>128</v>
      </c>
      <c r="D17" s="34" t="s">
        <v>121</v>
      </c>
      <c r="E17" s="35" t="s">
        <v>7</v>
      </c>
      <c r="F17" s="68" t="s">
        <v>18</v>
      </c>
      <c r="G17" s="37" t="s">
        <v>129</v>
      </c>
      <c r="H17" s="38">
        <v>4100.0</v>
      </c>
      <c r="I17" s="35" t="s">
        <v>25</v>
      </c>
      <c r="J17" s="39" t="b">
        <v>1</v>
      </c>
      <c r="K17" s="39" t="b">
        <v>1</v>
      </c>
      <c r="L17" s="39" t="b">
        <v>0</v>
      </c>
      <c r="M17" s="39" t="b">
        <v>1</v>
      </c>
      <c r="N17" s="33">
        <v>46272.0</v>
      </c>
      <c r="O17" s="41">
        <f t="shared" si="1"/>
        <v>11</v>
      </c>
      <c r="P17" s="38">
        <v>4100.0</v>
      </c>
      <c r="Q17" s="42">
        <f>max(Table1[Packed qty]-Table1[Dispatched Qty],0)</f>
        <v>0</v>
      </c>
      <c r="R17" s="38">
        <v>10.0</v>
      </c>
      <c r="S17" s="35" t="s">
        <v>32</v>
      </c>
      <c r="T17" s="67"/>
      <c r="U17" s="64" t="s">
        <v>78</v>
      </c>
      <c r="V17" s="69" t="s">
        <v>130</v>
      </c>
    </row>
    <row r="18" ht="22.5" customHeight="1">
      <c r="A18" s="33">
        <v>46265.0</v>
      </c>
      <c r="B18" s="34" t="s">
        <v>131</v>
      </c>
      <c r="C18" s="34" t="s">
        <v>128</v>
      </c>
      <c r="D18" s="34" t="s">
        <v>132</v>
      </c>
      <c r="E18" s="35" t="s">
        <v>7</v>
      </c>
      <c r="F18" s="68" t="s">
        <v>18</v>
      </c>
      <c r="G18" s="37" t="s">
        <v>133</v>
      </c>
      <c r="H18" s="38">
        <v>1000.0</v>
      </c>
      <c r="I18" s="35" t="s">
        <v>25</v>
      </c>
      <c r="J18" s="39" t="b">
        <v>1</v>
      </c>
      <c r="K18" s="39" t="b">
        <v>1</v>
      </c>
      <c r="L18" s="39" t="b">
        <v>0</v>
      </c>
      <c r="M18" s="39" t="b">
        <v>1</v>
      </c>
      <c r="N18" s="33">
        <v>46272.0</v>
      </c>
      <c r="O18" s="41">
        <f t="shared" si="1"/>
        <v>7</v>
      </c>
      <c r="P18" s="38">
        <v>1000.0</v>
      </c>
      <c r="Q18" s="42">
        <f>max(Table1[Packed qty]-Table1[Dispatched Qty],0)</f>
        <v>0</v>
      </c>
      <c r="R18" s="38">
        <v>5.0</v>
      </c>
      <c r="S18" s="35" t="s">
        <v>32</v>
      </c>
      <c r="T18" s="67"/>
      <c r="U18" s="64" t="s">
        <v>78</v>
      </c>
      <c r="V18" s="45"/>
    </row>
    <row r="19" ht="22.5" customHeight="1">
      <c r="A19" s="33">
        <v>46265.0</v>
      </c>
      <c r="B19" s="34" t="s">
        <v>80</v>
      </c>
      <c r="C19" s="39"/>
      <c r="D19" s="34" t="s">
        <v>134</v>
      </c>
      <c r="E19" s="35" t="s">
        <v>29</v>
      </c>
      <c r="F19" s="68" t="s">
        <v>18</v>
      </c>
      <c r="G19" s="37" t="s">
        <v>24</v>
      </c>
      <c r="H19" s="38">
        <v>500.0</v>
      </c>
      <c r="I19" s="35" t="s">
        <v>25</v>
      </c>
      <c r="J19" s="39" t="b">
        <v>1</v>
      </c>
      <c r="K19" s="39" t="b">
        <v>1</v>
      </c>
      <c r="L19" s="39" t="b">
        <v>1</v>
      </c>
      <c r="M19" s="39" t="b">
        <v>1</v>
      </c>
      <c r="N19" s="33">
        <v>46273.0</v>
      </c>
      <c r="O19" s="41">
        <f t="shared" si="1"/>
        <v>8</v>
      </c>
      <c r="P19" s="38">
        <v>500.0</v>
      </c>
      <c r="Q19" s="42">
        <f>max(Table1[Packed qty]-Table1[Dispatched Qty],0)</f>
        <v>0</v>
      </c>
      <c r="R19" s="38">
        <v>1.0</v>
      </c>
      <c r="S19" s="35" t="s">
        <v>32</v>
      </c>
      <c r="T19" s="43" t="s">
        <v>15</v>
      </c>
      <c r="U19" s="34" t="s">
        <v>78</v>
      </c>
      <c r="V19" s="45"/>
    </row>
    <row r="20" ht="22.5" customHeight="1">
      <c r="A20" s="33">
        <v>46265.0</v>
      </c>
      <c r="B20" s="34" t="s">
        <v>80</v>
      </c>
      <c r="C20" s="39"/>
      <c r="D20" s="34" t="s">
        <v>134</v>
      </c>
      <c r="E20" s="35" t="s">
        <v>29</v>
      </c>
      <c r="F20" s="68" t="s">
        <v>9</v>
      </c>
      <c r="G20" s="37" t="s">
        <v>24</v>
      </c>
      <c r="H20" s="38">
        <v>500.0</v>
      </c>
      <c r="I20" s="35" t="s">
        <v>25</v>
      </c>
      <c r="J20" s="39" t="b">
        <v>1</v>
      </c>
      <c r="K20" s="39" t="b">
        <v>1</v>
      </c>
      <c r="L20" s="39" t="b">
        <v>1</v>
      </c>
      <c r="M20" s="39" t="b">
        <v>1</v>
      </c>
      <c r="N20" s="33">
        <v>46273.0</v>
      </c>
      <c r="O20" s="41">
        <f t="shared" si="1"/>
        <v>8</v>
      </c>
      <c r="P20" s="38">
        <v>500.0</v>
      </c>
      <c r="Q20" s="42">
        <f>max(Table1[Packed qty]-Table1[Dispatched Qty],0)</f>
        <v>0</v>
      </c>
      <c r="R20" s="38">
        <v>1.0</v>
      </c>
      <c r="S20" s="35" t="s">
        <v>32</v>
      </c>
      <c r="T20" s="43" t="s">
        <v>15</v>
      </c>
      <c r="U20" s="34" t="s">
        <v>78</v>
      </c>
      <c r="V20" s="45"/>
    </row>
    <row r="21" ht="22.5" customHeight="1">
      <c r="A21" s="33">
        <v>46269.0</v>
      </c>
      <c r="B21" s="34" t="s">
        <v>80</v>
      </c>
      <c r="C21" s="34" t="s">
        <v>135</v>
      </c>
      <c r="D21" s="34" t="s">
        <v>134</v>
      </c>
      <c r="E21" s="35" t="s">
        <v>29</v>
      </c>
      <c r="F21" s="68" t="s">
        <v>18</v>
      </c>
      <c r="G21" s="37" t="s">
        <v>24</v>
      </c>
      <c r="H21" s="38">
        <v>500.0</v>
      </c>
      <c r="I21" s="35" t="s">
        <v>25</v>
      </c>
      <c r="J21" s="39" t="b">
        <v>1</v>
      </c>
      <c r="K21" s="39" t="b">
        <v>1</v>
      </c>
      <c r="L21" s="39" t="b">
        <v>1</v>
      </c>
      <c r="M21" s="39" t="b">
        <v>1</v>
      </c>
      <c r="N21" s="33">
        <v>46273.0</v>
      </c>
      <c r="O21" s="41">
        <f t="shared" si="1"/>
        <v>4</v>
      </c>
      <c r="P21" s="38">
        <v>500.0</v>
      </c>
      <c r="Q21" s="42">
        <f>max(Table1[Packed qty]-Table1[Dispatched Qty],0)</f>
        <v>0</v>
      </c>
      <c r="R21" s="38">
        <v>1.0</v>
      </c>
      <c r="S21" s="35" t="s">
        <v>32</v>
      </c>
      <c r="T21" s="43" t="s">
        <v>15</v>
      </c>
      <c r="U21" s="34" t="s">
        <v>78</v>
      </c>
      <c r="V21" s="69"/>
    </row>
    <row r="22" ht="22.5" customHeight="1">
      <c r="A22" s="33">
        <v>46265.0</v>
      </c>
      <c r="B22" s="34" t="s">
        <v>80</v>
      </c>
      <c r="C22" s="39" t="s">
        <v>27</v>
      </c>
      <c r="D22" s="34" t="s">
        <v>134</v>
      </c>
      <c r="E22" s="35" t="s">
        <v>23</v>
      </c>
      <c r="F22" s="68" t="s">
        <v>45</v>
      </c>
      <c r="G22" s="37" t="s">
        <v>50</v>
      </c>
      <c r="H22" s="38">
        <v>1000.0</v>
      </c>
      <c r="I22" s="35" t="s">
        <v>36</v>
      </c>
      <c r="J22" s="39" t="b">
        <v>1</v>
      </c>
      <c r="K22" s="39" t="b">
        <v>1</v>
      </c>
      <c r="L22" s="39" t="b">
        <v>0</v>
      </c>
      <c r="M22" s="39" t="b">
        <v>1</v>
      </c>
      <c r="N22" s="33">
        <v>46273.0</v>
      </c>
      <c r="O22" s="41">
        <f t="shared" si="1"/>
        <v>8</v>
      </c>
      <c r="P22" s="38">
        <v>1000.0</v>
      </c>
      <c r="Q22" s="42">
        <f>max(Table1[Packed qty]-Table1[Dispatched Qty],0)</f>
        <v>0</v>
      </c>
      <c r="R22" s="38">
        <v>1.0</v>
      </c>
      <c r="S22" s="35" t="s">
        <v>32</v>
      </c>
      <c r="T22" s="43" t="s">
        <v>15</v>
      </c>
      <c r="U22" s="34" t="s">
        <v>78</v>
      </c>
      <c r="V22" s="69"/>
    </row>
    <row r="23" ht="22.5" customHeight="1">
      <c r="A23" s="33">
        <v>46254.0</v>
      </c>
      <c r="B23" s="34" t="s">
        <v>136</v>
      </c>
      <c r="C23" s="34" t="s">
        <v>137</v>
      </c>
      <c r="D23" s="34" t="s">
        <v>138</v>
      </c>
      <c r="E23" s="35" t="s">
        <v>22</v>
      </c>
      <c r="F23" s="68" t="s">
        <v>18</v>
      </c>
      <c r="G23" s="37" t="s">
        <v>139</v>
      </c>
      <c r="H23" s="38">
        <v>2315.0</v>
      </c>
      <c r="I23" s="35" t="s">
        <v>25</v>
      </c>
      <c r="J23" s="39" t="b">
        <v>1</v>
      </c>
      <c r="K23" s="39" t="b">
        <v>1</v>
      </c>
      <c r="L23" s="39" t="b">
        <v>1</v>
      </c>
      <c r="M23" s="39" t="b">
        <v>1</v>
      </c>
      <c r="N23" s="33">
        <v>46273.0</v>
      </c>
      <c r="O23" s="41">
        <f t="shared" si="1"/>
        <v>19</v>
      </c>
      <c r="P23" s="38">
        <v>2315.0</v>
      </c>
      <c r="Q23" s="42">
        <f>max(Table1[Packed qty]-Table1[Dispatched Qty],0)</f>
        <v>0</v>
      </c>
      <c r="R23" s="38">
        <v>8.0</v>
      </c>
      <c r="S23" s="35" t="s">
        <v>32</v>
      </c>
      <c r="T23" s="67"/>
      <c r="U23" s="37"/>
      <c r="V23" s="69"/>
    </row>
    <row r="24" ht="22.5" customHeight="1">
      <c r="A24" s="33">
        <v>46272.0</v>
      </c>
      <c r="B24" s="34" t="s">
        <v>89</v>
      </c>
      <c r="C24" s="39" t="s">
        <v>27</v>
      </c>
      <c r="D24" s="34" t="s">
        <v>140</v>
      </c>
      <c r="E24" s="35" t="s">
        <v>23</v>
      </c>
      <c r="F24" s="68" t="s">
        <v>55</v>
      </c>
      <c r="G24" s="37"/>
      <c r="H24" s="38">
        <v>20000.0</v>
      </c>
      <c r="I24" s="35" t="s">
        <v>25</v>
      </c>
      <c r="J24" s="39" t="b">
        <v>1</v>
      </c>
      <c r="K24" s="39" t="b">
        <v>1</v>
      </c>
      <c r="L24" s="39" t="b">
        <v>0</v>
      </c>
      <c r="M24" s="39" t="b">
        <v>1</v>
      </c>
      <c r="N24" s="33">
        <v>46273.0</v>
      </c>
      <c r="O24" s="41">
        <f t="shared" si="1"/>
        <v>1</v>
      </c>
      <c r="P24" s="38">
        <v>20000.0</v>
      </c>
      <c r="Q24" s="42">
        <f>max(Table1[Packed qty]-Table1[Dispatched Qty],0)</f>
        <v>0</v>
      </c>
      <c r="R24" s="38">
        <v>1.0</v>
      </c>
      <c r="S24" s="35" t="s">
        <v>32</v>
      </c>
      <c r="T24" s="67"/>
      <c r="U24" s="37"/>
      <c r="V24" s="69"/>
    </row>
    <row r="25" ht="22.5" customHeight="1">
      <c r="A25" s="33">
        <v>46254.0</v>
      </c>
      <c r="B25" s="34" t="s">
        <v>141</v>
      </c>
      <c r="C25" s="34" t="s">
        <v>142</v>
      </c>
      <c r="D25" s="34" t="s">
        <v>143</v>
      </c>
      <c r="E25" s="35" t="s">
        <v>29</v>
      </c>
      <c r="F25" s="68" t="s">
        <v>18</v>
      </c>
      <c r="G25" s="37" t="s">
        <v>144</v>
      </c>
      <c r="H25" s="38">
        <v>2350.0</v>
      </c>
      <c r="I25" s="35" t="s">
        <v>25</v>
      </c>
      <c r="J25" s="39" t="b">
        <v>1</v>
      </c>
      <c r="K25" s="39" t="b">
        <v>1</v>
      </c>
      <c r="L25" s="39" t="b">
        <v>1</v>
      </c>
      <c r="M25" s="39" t="b">
        <v>1</v>
      </c>
      <c r="N25" s="33">
        <v>46273.0</v>
      </c>
      <c r="O25" s="41">
        <f t="shared" si="1"/>
        <v>19</v>
      </c>
      <c r="P25" s="38">
        <v>2350.0</v>
      </c>
      <c r="Q25" s="42">
        <f>max(Table1[Packed qty]-Table1[Dispatched Qty],0)</f>
        <v>0</v>
      </c>
      <c r="R25" s="38">
        <v>5.0</v>
      </c>
      <c r="S25" s="35" t="s">
        <v>32</v>
      </c>
      <c r="T25" s="67"/>
      <c r="U25" s="37"/>
      <c r="V25" s="69"/>
    </row>
    <row r="26" ht="22.5" customHeight="1">
      <c r="A26" s="33">
        <v>46251.0</v>
      </c>
      <c r="B26" s="34" t="s">
        <v>102</v>
      </c>
      <c r="C26" s="34" t="s">
        <v>145</v>
      </c>
      <c r="D26" s="34" t="s">
        <v>146</v>
      </c>
      <c r="E26" s="35" t="s">
        <v>22</v>
      </c>
      <c r="F26" s="68" t="s">
        <v>18</v>
      </c>
      <c r="G26" s="37" t="s">
        <v>147</v>
      </c>
      <c r="H26" s="38">
        <v>9345.0</v>
      </c>
      <c r="I26" s="35" t="s">
        <v>25</v>
      </c>
      <c r="J26" s="39" t="b">
        <v>1</v>
      </c>
      <c r="K26" s="39" t="b">
        <v>1</v>
      </c>
      <c r="L26" s="39" t="b">
        <v>1</v>
      </c>
      <c r="M26" s="39" t="b">
        <v>1</v>
      </c>
      <c r="N26" s="33">
        <v>46274.0</v>
      </c>
      <c r="O26" s="41">
        <f t="shared" si="1"/>
        <v>23</v>
      </c>
      <c r="P26" s="38">
        <v>9345.0</v>
      </c>
      <c r="Q26" s="42">
        <f>max(Table1[Packed qty]-Table1[Dispatched Qty],0)</f>
        <v>0</v>
      </c>
      <c r="R26" s="38">
        <v>19.0</v>
      </c>
      <c r="S26" s="35" t="s">
        <v>32</v>
      </c>
      <c r="T26" s="43" t="s">
        <v>33</v>
      </c>
      <c r="U26" s="34" t="s">
        <v>78</v>
      </c>
      <c r="V26" s="69"/>
    </row>
    <row r="27" ht="22.5" customHeight="1">
      <c r="A27" s="33"/>
      <c r="B27" s="34" t="s">
        <v>102</v>
      </c>
      <c r="C27" s="34" t="s">
        <v>145</v>
      </c>
      <c r="D27" s="39" t="s">
        <v>148</v>
      </c>
      <c r="E27" s="35" t="s">
        <v>22</v>
      </c>
      <c r="F27" s="68" t="s">
        <v>18</v>
      </c>
      <c r="G27" s="37" t="s">
        <v>40</v>
      </c>
      <c r="H27" s="38">
        <v>1400.0</v>
      </c>
      <c r="I27" s="35" t="s">
        <v>25</v>
      </c>
      <c r="J27" s="39" t="b">
        <v>1</v>
      </c>
      <c r="K27" s="39" t="b">
        <v>1</v>
      </c>
      <c r="L27" s="39" t="b">
        <v>1</v>
      </c>
      <c r="M27" s="39" t="b">
        <v>1</v>
      </c>
      <c r="N27" s="33">
        <v>46274.0</v>
      </c>
      <c r="O27" s="41" t="str">
        <f t="shared" si="1"/>
        <v/>
      </c>
      <c r="P27" s="38">
        <v>1400.0</v>
      </c>
      <c r="Q27" s="42">
        <f>max(Table1[Packed qty]-Table1[Dispatched Qty],0)</f>
        <v>0</v>
      </c>
      <c r="R27" s="38">
        <v>7.0</v>
      </c>
      <c r="S27" s="35" t="s">
        <v>32</v>
      </c>
      <c r="T27" s="43" t="s">
        <v>33</v>
      </c>
      <c r="U27" s="34" t="s">
        <v>78</v>
      </c>
      <c r="V27" s="69" t="s">
        <v>149</v>
      </c>
    </row>
    <row r="28" ht="22.5" customHeight="1">
      <c r="A28" s="33">
        <v>46277.0</v>
      </c>
      <c r="B28" s="34" t="s">
        <v>150</v>
      </c>
      <c r="C28" s="39" t="s">
        <v>27</v>
      </c>
      <c r="D28" s="34" t="s">
        <v>151</v>
      </c>
      <c r="E28" s="35" t="s">
        <v>23</v>
      </c>
      <c r="F28" s="68" t="s">
        <v>34</v>
      </c>
      <c r="G28" s="37" t="s">
        <v>48</v>
      </c>
      <c r="H28" s="38">
        <v>6000.0</v>
      </c>
      <c r="I28" s="35" t="s">
        <v>36</v>
      </c>
      <c r="J28" s="39" t="b">
        <v>1</v>
      </c>
      <c r="K28" s="39" t="b">
        <v>1</v>
      </c>
      <c r="L28" s="39" t="b">
        <v>0</v>
      </c>
      <c r="M28" s="39" t="b">
        <v>1</v>
      </c>
      <c r="N28" s="33">
        <v>46281.0</v>
      </c>
      <c r="O28" s="41">
        <f t="shared" si="1"/>
        <v>4</v>
      </c>
      <c r="P28" s="38">
        <v>6000.0</v>
      </c>
      <c r="Q28" s="42">
        <f>max(Table1[Packed qty]-Table1[Dispatched Qty],0)</f>
        <v>0</v>
      </c>
      <c r="R28" s="38">
        <v>3.0</v>
      </c>
      <c r="S28" s="35" t="s">
        <v>32</v>
      </c>
      <c r="T28" s="67"/>
      <c r="U28" s="37"/>
      <c r="V28" s="69"/>
    </row>
    <row r="29" ht="22.5" customHeight="1">
      <c r="A29" s="33">
        <v>46275.0</v>
      </c>
      <c r="B29" s="34" t="s">
        <v>107</v>
      </c>
      <c r="C29" s="39" t="s">
        <v>27</v>
      </c>
      <c r="D29" s="34" t="s">
        <v>152</v>
      </c>
      <c r="E29" s="35" t="s">
        <v>23</v>
      </c>
      <c r="F29" s="68" t="s">
        <v>45</v>
      </c>
      <c r="G29" s="37" t="s">
        <v>50</v>
      </c>
      <c r="H29" s="38">
        <v>2000.0</v>
      </c>
      <c r="I29" s="35" t="s">
        <v>36</v>
      </c>
      <c r="J29" s="39" t="b">
        <v>1</v>
      </c>
      <c r="K29" s="39" t="b">
        <v>1</v>
      </c>
      <c r="L29" s="39" t="b">
        <v>0</v>
      </c>
      <c r="M29" s="39" t="b">
        <v>1</v>
      </c>
      <c r="N29" s="33">
        <v>46281.0</v>
      </c>
      <c r="O29" s="41">
        <f t="shared" si="1"/>
        <v>6</v>
      </c>
      <c r="P29" s="38">
        <v>2000.0</v>
      </c>
      <c r="Q29" s="42">
        <f>max(Table1[Packed qty]-Table1[Dispatched Qty],0)</f>
        <v>0</v>
      </c>
      <c r="R29" s="38">
        <v>1.0</v>
      </c>
      <c r="S29" s="35" t="s">
        <v>32</v>
      </c>
      <c r="T29" s="43" t="s">
        <v>15</v>
      </c>
      <c r="U29" s="37"/>
      <c r="V29" s="69"/>
    </row>
    <row r="30" ht="22.5" customHeight="1">
      <c r="A30" s="33">
        <v>46275.0</v>
      </c>
      <c r="B30" s="34" t="s">
        <v>107</v>
      </c>
      <c r="C30" s="34" t="s">
        <v>153</v>
      </c>
      <c r="D30" s="34" t="s">
        <v>152</v>
      </c>
      <c r="E30" s="35" t="s">
        <v>29</v>
      </c>
      <c r="F30" s="68" t="s">
        <v>9</v>
      </c>
      <c r="G30" s="37" t="s">
        <v>147</v>
      </c>
      <c r="H30" s="38">
        <v>2000.0</v>
      </c>
      <c r="I30" s="35" t="s">
        <v>25</v>
      </c>
      <c r="J30" s="39" t="b">
        <v>1</v>
      </c>
      <c r="K30" s="39" t="b">
        <v>1</v>
      </c>
      <c r="L30" s="39" t="b">
        <v>0</v>
      </c>
      <c r="M30" s="39" t="b">
        <v>1</v>
      </c>
      <c r="N30" s="33">
        <v>46281.0</v>
      </c>
      <c r="O30" s="41">
        <f t="shared" si="1"/>
        <v>6</v>
      </c>
      <c r="P30" s="38">
        <v>2000.0</v>
      </c>
      <c r="Q30" s="42">
        <f>max(Table1[Packed qty]-Table1[Dispatched Qty],0)</f>
        <v>0</v>
      </c>
      <c r="R30" s="38">
        <v>4.0</v>
      </c>
      <c r="S30" s="35" t="s">
        <v>32</v>
      </c>
      <c r="T30" s="43" t="s">
        <v>15</v>
      </c>
      <c r="U30" s="37"/>
      <c r="V30" s="69"/>
    </row>
    <row r="31" ht="22.5" customHeight="1">
      <c r="A31" s="33">
        <v>46251.0</v>
      </c>
      <c r="B31" s="34" t="s">
        <v>154</v>
      </c>
      <c r="C31" s="34" t="s">
        <v>155</v>
      </c>
      <c r="D31" s="34" t="s">
        <v>156</v>
      </c>
      <c r="E31" s="35" t="s">
        <v>7</v>
      </c>
      <c r="F31" s="68" t="s">
        <v>9</v>
      </c>
      <c r="G31" s="37" t="s">
        <v>133</v>
      </c>
      <c r="H31" s="38">
        <v>29530.0</v>
      </c>
      <c r="I31" s="35" t="s">
        <v>25</v>
      </c>
      <c r="J31" s="39" t="b">
        <v>1</v>
      </c>
      <c r="K31" s="39" t="b">
        <v>1</v>
      </c>
      <c r="L31" s="39" t="b">
        <v>1</v>
      </c>
      <c r="M31" s="39" t="b">
        <v>1</v>
      </c>
      <c r="N31" s="33">
        <v>46281.0</v>
      </c>
      <c r="O31" s="41">
        <f t="shared" si="1"/>
        <v>30</v>
      </c>
      <c r="P31" s="38">
        <v>29530.0</v>
      </c>
      <c r="Q31" s="42">
        <f>max(Table1[Packed qty]-Table1[Dispatched Qty],0)</f>
        <v>0</v>
      </c>
      <c r="R31" s="38">
        <v>104.0</v>
      </c>
      <c r="S31" s="35" t="s">
        <v>32</v>
      </c>
      <c r="T31" s="43" t="s">
        <v>27</v>
      </c>
      <c r="U31" s="34" t="s">
        <v>157</v>
      </c>
      <c r="V31" s="69"/>
    </row>
    <row r="32" ht="22.5" customHeight="1">
      <c r="A32" s="33">
        <v>46251.0</v>
      </c>
      <c r="B32" s="34" t="s">
        <v>154</v>
      </c>
      <c r="C32" s="34" t="s">
        <v>158</v>
      </c>
      <c r="D32" s="34" t="s">
        <v>159</v>
      </c>
      <c r="E32" s="35" t="s">
        <v>22</v>
      </c>
      <c r="F32" s="68" t="s">
        <v>18</v>
      </c>
      <c r="G32" s="37" t="s">
        <v>98</v>
      </c>
      <c r="H32" s="38">
        <v>17104.0</v>
      </c>
      <c r="I32" s="35" t="s">
        <v>25</v>
      </c>
      <c r="J32" s="39" t="b">
        <v>1</v>
      </c>
      <c r="K32" s="39" t="b">
        <v>1</v>
      </c>
      <c r="L32" s="39" t="b">
        <v>1</v>
      </c>
      <c r="M32" s="39" t="b">
        <v>1</v>
      </c>
      <c r="N32" s="33">
        <v>46281.0</v>
      </c>
      <c r="O32" s="41">
        <f t="shared" si="1"/>
        <v>30</v>
      </c>
      <c r="P32" s="38">
        <v>17104.0</v>
      </c>
      <c r="Q32" s="42">
        <f>max(Table1[Packed qty]-Table1[Dispatched Qty],0)</f>
        <v>0</v>
      </c>
      <c r="R32" s="38">
        <v>62.0</v>
      </c>
      <c r="S32" s="35" t="s">
        <v>32</v>
      </c>
      <c r="T32" s="43" t="s">
        <v>27</v>
      </c>
      <c r="U32" s="34" t="s">
        <v>157</v>
      </c>
      <c r="V32" s="69"/>
    </row>
    <row r="33" ht="22.5" customHeight="1">
      <c r="A33" s="33">
        <v>46261.0</v>
      </c>
      <c r="B33" s="34" t="s">
        <v>124</v>
      </c>
      <c r="C33" s="34" t="s">
        <v>125</v>
      </c>
      <c r="D33" s="34" t="s">
        <v>160</v>
      </c>
      <c r="E33" s="35" t="s">
        <v>22</v>
      </c>
      <c r="F33" s="68" t="s">
        <v>18</v>
      </c>
      <c r="G33" s="37" t="s">
        <v>24</v>
      </c>
      <c r="H33" s="38">
        <v>5850.0</v>
      </c>
      <c r="I33" s="35" t="s">
        <v>25</v>
      </c>
      <c r="J33" s="39" t="b">
        <v>1</v>
      </c>
      <c r="K33" s="39" t="b">
        <v>1</v>
      </c>
      <c r="L33" s="39" t="b">
        <v>1</v>
      </c>
      <c r="M33" s="39" t="b">
        <v>1</v>
      </c>
      <c r="N33" s="33">
        <v>46282.0</v>
      </c>
      <c r="O33" s="41">
        <f t="shared" si="1"/>
        <v>21</v>
      </c>
      <c r="P33" s="38">
        <v>5850.0</v>
      </c>
      <c r="Q33" s="42">
        <f>max(Table1[Packed qty]-Table1[Dispatched Qty],0)</f>
        <v>0</v>
      </c>
      <c r="R33" s="38">
        <v>12.0</v>
      </c>
      <c r="S33" s="35" t="s">
        <v>32</v>
      </c>
      <c r="T33" s="43" t="s">
        <v>21</v>
      </c>
      <c r="U33" s="34" t="s">
        <v>161</v>
      </c>
      <c r="V33" s="69"/>
    </row>
    <row r="34" ht="22.5" customHeight="1">
      <c r="A34" s="33">
        <v>46282.0</v>
      </c>
      <c r="B34" s="34" t="s">
        <v>162</v>
      </c>
      <c r="C34" s="39" t="s">
        <v>27</v>
      </c>
      <c r="D34" s="34" t="s">
        <v>163</v>
      </c>
      <c r="E34" s="35" t="s">
        <v>23</v>
      </c>
      <c r="F34" s="68" t="s">
        <v>30</v>
      </c>
      <c r="G34" s="37" t="s">
        <v>48</v>
      </c>
      <c r="H34" s="38">
        <v>10000.0</v>
      </c>
      <c r="I34" s="35" t="s">
        <v>36</v>
      </c>
      <c r="J34" s="39" t="b">
        <v>1</v>
      </c>
      <c r="K34" s="39" t="b">
        <v>1</v>
      </c>
      <c r="L34" s="39" t="b">
        <v>0</v>
      </c>
      <c r="M34" s="39" t="b">
        <v>1</v>
      </c>
      <c r="N34" s="33">
        <v>46284.0</v>
      </c>
      <c r="O34" s="41">
        <f t="shared" si="1"/>
        <v>2</v>
      </c>
      <c r="P34" s="38">
        <v>10000.0</v>
      </c>
      <c r="Q34" s="42">
        <f>max(Table1[Packed qty]-Table1[Dispatched Qty],0)</f>
        <v>0</v>
      </c>
      <c r="R34" s="38">
        <v>5.0</v>
      </c>
      <c r="S34" s="35" t="s">
        <v>32</v>
      </c>
      <c r="T34" s="43" t="s">
        <v>15</v>
      </c>
      <c r="U34" s="34" t="s">
        <v>101</v>
      </c>
      <c r="V34" s="69"/>
    </row>
    <row r="35" ht="22.5" customHeight="1">
      <c r="A35" s="33">
        <v>46282.0</v>
      </c>
      <c r="B35" s="34" t="s">
        <v>162</v>
      </c>
      <c r="C35" s="39" t="s">
        <v>27</v>
      </c>
      <c r="D35" s="34" t="s">
        <v>163</v>
      </c>
      <c r="E35" s="35" t="s">
        <v>23</v>
      </c>
      <c r="F35" s="68" t="s">
        <v>34</v>
      </c>
      <c r="G35" s="37" t="s">
        <v>48</v>
      </c>
      <c r="H35" s="38">
        <v>10000.0</v>
      </c>
      <c r="I35" s="35" t="s">
        <v>36</v>
      </c>
      <c r="J35" s="39" t="b">
        <v>1</v>
      </c>
      <c r="K35" s="39" t="b">
        <v>1</v>
      </c>
      <c r="L35" s="39" t="b">
        <v>0</v>
      </c>
      <c r="M35" s="39" t="b">
        <v>1</v>
      </c>
      <c r="N35" s="33">
        <v>46284.0</v>
      </c>
      <c r="O35" s="41">
        <f t="shared" si="1"/>
        <v>2</v>
      </c>
      <c r="P35" s="38">
        <v>10000.0</v>
      </c>
      <c r="Q35" s="42">
        <f>max(Table1[Packed qty]-Table1[Dispatched Qty],0)</f>
        <v>0</v>
      </c>
      <c r="R35" s="38">
        <v>3.0</v>
      </c>
      <c r="S35" s="35" t="s">
        <v>32</v>
      </c>
      <c r="T35" s="43" t="s">
        <v>15</v>
      </c>
      <c r="U35" s="34" t="s">
        <v>101</v>
      </c>
      <c r="V35" s="69"/>
    </row>
    <row r="36" ht="22.5" customHeight="1">
      <c r="A36" s="33">
        <v>46281.0</v>
      </c>
      <c r="B36" s="34" t="s">
        <v>164</v>
      </c>
      <c r="C36" s="39" t="s">
        <v>27</v>
      </c>
      <c r="D36" s="34" t="s">
        <v>165</v>
      </c>
      <c r="E36" s="35" t="s">
        <v>23</v>
      </c>
      <c r="F36" s="68" t="s">
        <v>34</v>
      </c>
      <c r="G36" s="37" t="s">
        <v>48</v>
      </c>
      <c r="H36" s="38">
        <v>5000.0</v>
      </c>
      <c r="I36" s="35" t="s">
        <v>36</v>
      </c>
      <c r="J36" s="39" t="b">
        <v>1</v>
      </c>
      <c r="K36" s="39" t="b">
        <v>1</v>
      </c>
      <c r="L36" s="39" t="b">
        <v>0</v>
      </c>
      <c r="M36" s="39" t="b">
        <v>1</v>
      </c>
      <c r="N36" s="33">
        <v>46284.0</v>
      </c>
      <c r="O36" s="41">
        <f t="shared" si="1"/>
        <v>3</v>
      </c>
      <c r="P36" s="38">
        <v>5000.0</v>
      </c>
      <c r="Q36" s="42">
        <f>max(Table1[Packed qty]-Table1[Dispatched Qty],0)</f>
        <v>0</v>
      </c>
      <c r="R36" s="38">
        <v>3.0</v>
      </c>
      <c r="S36" s="35" t="s">
        <v>32</v>
      </c>
      <c r="T36" s="43" t="s">
        <v>15</v>
      </c>
      <c r="U36" s="34" t="s">
        <v>101</v>
      </c>
      <c r="V36" s="69"/>
    </row>
    <row r="37" ht="22.5" customHeight="1">
      <c r="A37" s="33">
        <v>46281.0</v>
      </c>
      <c r="B37" s="34" t="s">
        <v>166</v>
      </c>
      <c r="C37" s="34" t="s">
        <v>128</v>
      </c>
      <c r="D37" s="34" t="s">
        <v>167</v>
      </c>
      <c r="E37" s="35" t="s">
        <v>17</v>
      </c>
      <c r="F37" s="68" t="s">
        <v>18</v>
      </c>
      <c r="G37" s="37" t="s">
        <v>168</v>
      </c>
      <c r="H37" s="38">
        <v>310.0</v>
      </c>
      <c r="I37" s="35" t="s">
        <v>25</v>
      </c>
      <c r="J37" s="39" t="b">
        <v>1</v>
      </c>
      <c r="K37" s="39" t="b">
        <v>1</v>
      </c>
      <c r="L37" s="39" t="b">
        <v>1</v>
      </c>
      <c r="M37" s="39" t="b">
        <v>1</v>
      </c>
      <c r="N37" s="33">
        <v>46286.0</v>
      </c>
      <c r="O37" s="41">
        <f t="shared" si="1"/>
        <v>5</v>
      </c>
      <c r="P37" s="38">
        <v>310.0</v>
      </c>
      <c r="Q37" s="42">
        <f>max(Table1[Packed qty]-Table1[Dispatched Qty],0)</f>
        <v>0</v>
      </c>
      <c r="R37" s="38">
        <v>2.0</v>
      </c>
      <c r="S37" s="35" t="s">
        <v>32</v>
      </c>
      <c r="T37" s="43" t="s">
        <v>21</v>
      </c>
      <c r="U37" s="39" t="s">
        <v>27</v>
      </c>
      <c r="V37" s="69"/>
    </row>
    <row r="38" ht="22.5" customHeight="1">
      <c r="A38" s="33">
        <v>46261.0</v>
      </c>
      <c r="B38" s="34" t="s">
        <v>117</v>
      </c>
      <c r="C38" s="34" t="s">
        <v>128</v>
      </c>
      <c r="D38" s="34" t="s">
        <v>121</v>
      </c>
      <c r="E38" s="35" t="s">
        <v>7</v>
      </c>
      <c r="F38" s="68" t="s">
        <v>18</v>
      </c>
      <c r="G38" s="37" t="s">
        <v>144</v>
      </c>
      <c r="H38" s="38">
        <v>1000.0</v>
      </c>
      <c r="I38" s="35" t="s">
        <v>25</v>
      </c>
      <c r="J38" s="39" t="b">
        <v>1</v>
      </c>
      <c r="K38" s="39" t="b">
        <v>1</v>
      </c>
      <c r="L38" s="39" t="b">
        <v>1</v>
      </c>
      <c r="M38" s="39" t="b">
        <v>1</v>
      </c>
      <c r="N38" s="33">
        <v>46287.0</v>
      </c>
      <c r="O38" s="41">
        <f t="shared" si="1"/>
        <v>26</v>
      </c>
      <c r="P38" s="38">
        <v>1000.0</v>
      </c>
      <c r="Q38" s="42">
        <f>max(Table1[Packed qty]-Table1[Dispatched Qty],0)</f>
        <v>0</v>
      </c>
      <c r="R38" s="38">
        <v>4.0</v>
      </c>
      <c r="S38" s="35" t="s">
        <v>32</v>
      </c>
      <c r="T38" s="43" t="s">
        <v>27</v>
      </c>
      <c r="U38" s="39" t="s">
        <v>27</v>
      </c>
      <c r="V38" s="69" t="s">
        <v>169</v>
      </c>
    </row>
    <row r="39" ht="22.5" customHeight="1">
      <c r="A39" s="33">
        <v>46282.0</v>
      </c>
      <c r="B39" s="34" t="s">
        <v>170</v>
      </c>
      <c r="C39" s="34" t="s">
        <v>171</v>
      </c>
      <c r="D39" s="34" t="s">
        <v>172</v>
      </c>
      <c r="E39" s="35" t="s">
        <v>22</v>
      </c>
      <c r="F39" s="68" t="s">
        <v>18</v>
      </c>
      <c r="G39" s="37" t="s">
        <v>173</v>
      </c>
      <c r="H39" s="38">
        <v>3021.0</v>
      </c>
      <c r="I39" s="35" t="s">
        <v>25</v>
      </c>
      <c r="J39" s="39" t="b">
        <v>1</v>
      </c>
      <c r="K39" s="39" t="b">
        <v>1</v>
      </c>
      <c r="L39" s="39" t="b">
        <v>1</v>
      </c>
      <c r="M39" s="39" t="b">
        <v>1</v>
      </c>
      <c r="N39" s="33">
        <v>46287.0</v>
      </c>
      <c r="O39" s="41">
        <f t="shared" si="1"/>
        <v>5</v>
      </c>
      <c r="P39" s="38">
        <v>3021.0</v>
      </c>
      <c r="Q39" s="42">
        <f>max(Table1[Packed qty]-Table1[Dispatched Qty],0)</f>
        <v>0</v>
      </c>
      <c r="R39" s="38">
        <v>7.0</v>
      </c>
      <c r="S39" s="35" t="s">
        <v>32</v>
      </c>
      <c r="T39" s="43" t="s">
        <v>27</v>
      </c>
      <c r="U39" s="34" t="s">
        <v>101</v>
      </c>
      <c r="V39" s="69"/>
    </row>
    <row r="40" ht="22.5" customHeight="1">
      <c r="A40" s="33">
        <v>46276.0</v>
      </c>
      <c r="B40" s="34" t="s">
        <v>99</v>
      </c>
      <c r="C40" s="34" t="s">
        <v>136</v>
      </c>
      <c r="D40" s="34" t="s">
        <v>174</v>
      </c>
      <c r="E40" s="35" t="s">
        <v>22</v>
      </c>
      <c r="F40" s="68" t="s">
        <v>18</v>
      </c>
      <c r="G40" s="37" t="s">
        <v>133</v>
      </c>
      <c r="H40" s="38">
        <v>2107.0</v>
      </c>
      <c r="I40" s="35" t="s">
        <v>25</v>
      </c>
      <c r="J40" s="39" t="b">
        <v>1</v>
      </c>
      <c r="K40" s="39" t="b">
        <v>1</v>
      </c>
      <c r="L40" s="39" t="b">
        <v>1</v>
      </c>
      <c r="M40" s="39" t="b">
        <v>1</v>
      </c>
      <c r="N40" s="33">
        <v>46288.0</v>
      </c>
      <c r="O40" s="41">
        <f t="shared" si="1"/>
        <v>12</v>
      </c>
      <c r="P40" s="38">
        <v>2107.0</v>
      </c>
      <c r="Q40" s="42">
        <f>max(Table1[Packed qty]-Table1[Dispatched Qty],0)</f>
        <v>0</v>
      </c>
      <c r="R40" s="38">
        <v>8.0</v>
      </c>
      <c r="S40" s="35" t="s">
        <v>32</v>
      </c>
      <c r="T40" s="43" t="s">
        <v>15</v>
      </c>
      <c r="U40" s="34" t="s">
        <v>101</v>
      </c>
      <c r="V40" s="69"/>
    </row>
    <row r="41" ht="22.5" customHeight="1">
      <c r="A41" s="33">
        <v>46281.0</v>
      </c>
      <c r="B41" s="34" t="s">
        <v>175</v>
      </c>
      <c r="C41" s="34" t="s">
        <v>128</v>
      </c>
      <c r="D41" s="34" t="s">
        <v>176</v>
      </c>
      <c r="E41" s="35" t="s">
        <v>17</v>
      </c>
      <c r="F41" s="68" t="s">
        <v>18</v>
      </c>
      <c r="G41" s="37" t="s">
        <v>177</v>
      </c>
      <c r="H41" s="38">
        <v>500.0</v>
      </c>
      <c r="I41" s="35" t="s">
        <v>25</v>
      </c>
      <c r="J41" s="39" t="b">
        <v>1</v>
      </c>
      <c r="K41" s="39" t="b">
        <v>1</v>
      </c>
      <c r="L41" s="39" t="b">
        <v>0</v>
      </c>
      <c r="M41" s="39" t="b">
        <v>1</v>
      </c>
      <c r="N41" s="33">
        <v>46288.0</v>
      </c>
      <c r="O41" s="41">
        <f t="shared" si="1"/>
        <v>7</v>
      </c>
      <c r="P41" s="38">
        <v>500.0</v>
      </c>
      <c r="Q41" s="42">
        <f>max(Table1[Packed qty]-Table1[Dispatched Qty],0)</f>
        <v>0</v>
      </c>
      <c r="R41" s="38">
        <v>3.0</v>
      </c>
      <c r="S41" s="35" t="s">
        <v>32</v>
      </c>
      <c r="T41" s="43" t="s">
        <v>15</v>
      </c>
      <c r="U41" s="34" t="s">
        <v>101</v>
      </c>
      <c r="V41" s="69"/>
    </row>
    <row r="42" ht="22.5" customHeight="1">
      <c r="A42" s="70">
        <v>46284.0</v>
      </c>
      <c r="B42" s="34" t="s">
        <v>178</v>
      </c>
      <c r="C42" s="39" t="s">
        <v>27</v>
      </c>
      <c r="D42" s="34" t="s">
        <v>179</v>
      </c>
      <c r="E42" s="35" t="s">
        <v>23</v>
      </c>
      <c r="F42" s="36" t="s">
        <v>30</v>
      </c>
      <c r="G42" s="37" t="s">
        <v>48</v>
      </c>
      <c r="H42" s="38">
        <v>1000.0</v>
      </c>
      <c r="I42" s="35" t="s">
        <v>36</v>
      </c>
      <c r="J42" s="39" t="b">
        <v>1</v>
      </c>
      <c r="K42" s="39" t="b">
        <v>1</v>
      </c>
      <c r="L42" s="39" t="b">
        <v>0</v>
      </c>
      <c r="M42" s="39" t="b">
        <v>1</v>
      </c>
      <c r="N42" s="33">
        <v>46288.0</v>
      </c>
      <c r="O42" s="41">
        <f t="shared" si="1"/>
        <v>4</v>
      </c>
      <c r="P42" s="38">
        <v>1000.0</v>
      </c>
      <c r="Q42" s="42">
        <f>max(Table1[Packed qty]-Table1[Dispatched Qty],0)</f>
        <v>0</v>
      </c>
      <c r="R42" s="38">
        <v>1.0</v>
      </c>
      <c r="S42" s="35" t="s">
        <v>32</v>
      </c>
      <c r="T42" s="43" t="s">
        <v>15</v>
      </c>
      <c r="U42" s="34" t="s">
        <v>101</v>
      </c>
      <c r="V42" s="69"/>
    </row>
    <row r="43" ht="22.5" customHeight="1">
      <c r="A43" s="70">
        <v>46270.0</v>
      </c>
      <c r="B43" s="34" t="s">
        <v>180</v>
      </c>
      <c r="C43" s="71" t="s">
        <v>181</v>
      </c>
      <c r="D43" s="34" t="s">
        <v>182</v>
      </c>
      <c r="E43" s="35" t="s">
        <v>7</v>
      </c>
      <c r="F43" s="36" t="s">
        <v>18</v>
      </c>
      <c r="G43" s="37" t="s">
        <v>24</v>
      </c>
      <c r="H43" s="38">
        <v>2900.0</v>
      </c>
      <c r="I43" s="35" t="s">
        <v>25</v>
      </c>
      <c r="J43" s="39" t="b">
        <v>1</v>
      </c>
      <c r="K43" s="39" t="b">
        <v>1</v>
      </c>
      <c r="L43" s="39" t="b">
        <v>1</v>
      </c>
      <c r="M43" s="39" t="b">
        <v>1</v>
      </c>
      <c r="N43" s="33">
        <v>46288.0</v>
      </c>
      <c r="O43" s="41">
        <f t="shared" si="1"/>
        <v>18</v>
      </c>
      <c r="P43" s="38">
        <v>2900.0</v>
      </c>
      <c r="Q43" s="42">
        <f>max(Table1[Packed qty]-Table1[Dispatched Qty],0)</f>
        <v>0</v>
      </c>
      <c r="R43" s="38">
        <v>6.0</v>
      </c>
      <c r="S43" s="35" t="s">
        <v>32</v>
      </c>
      <c r="T43" s="43" t="s">
        <v>27</v>
      </c>
      <c r="U43" s="34" t="s">
        <v>183</v>
      </c>
      <c r="V43" s="69"/>
    </row>
    <row r="44" ht="22.5" customHeight="1">
      <c r="A44" s="70">
        <v>46270.0</v>
      </c>
      <c r="B44" s="34" t="s">
        <v>180</v>
      </c>
      <c r="C44" s="71" t="s">
        <v>181</v>
      </c>
      <c r="D44" s="34"/>
      <c r="E44" s="35" t="s">
        <v>17</v>
      </c>
      <c r="F44" s="36" t="s">
        <v>18</v>
      </c>
      <c r="G44" s="37" t="s">
        <v>38</v>
      </c>
      <c r="H44" s="38">
        <v>1487.0</v>
      </c>
      <c r="I44" s="35" t="s">
        <v>25</v>
      </c>
      <c r="J44" s="39" t="b">
        <v>1</v>
      </c>
      <c r="K44" s="39" t="b">
        <v>1</v>
      </c>
      <c r="L44" s="39" t="b">
        <v>1</v>
      </c>
      <c r="M44" s="39" t="b">
        <v>0</v>
      </c>
      <c r="N44" s="33"/>
      <c r="O44" s="41">
        <f t="shared" si="1"/>
        <v>31</v>
      </c>
      <c r="P44" s="38"/>
      <c r="Q44" s="42">
        <f>max(Table1[Packed qty]-Table1[Dispatched Qty],0)</f>
        <v>1487</v>
      </c>
      <c r="R44" s="38">
        <v>8.0</v>
      </c>
      <c r="S44" s="35" t="s">
        <v>32</v>
      </c>
      <c r="T44" s="43"/>
      <c r="U44" s="37"/>
      <c r="V44" s="69"/>
    </row>
    <row r="45" ht="22.5" customHeight="1">
      <c r="A45" s="70">
        <v>46280.0</v>
      </c>
      <c r="B45" s="34" t="s">
        <v>80</v>
      </c>
      <c r="C45" s="71" t="s">
        <v>184</v>
      </c>
      <c r="D45" s="34" t="s">
        <v>185</v>
      </c>
      <c r="E45" s="35" t="s">
        <v>29</v>
      </c>
      <c r="F45" s="36" t="s">
        <v>9</v>
      </c>
      <c r="G45" s="37" t="s">
        <v>147</v>
      </c>
      <c r="H45" s="38">
        <v>2600.0</v>
      </c>
      <c r="I45" s="35" t="s">
        <v>25</v>
      </c>
      <c r="J45" s="39" t="b">
        <v>1</v>
      </c>
      <c r="K45" s="39" t="b">
        <v>1</v>
      </c>
      <c r="L45" s="39" t="b">
        <v>1</v>
      </c>
      <c r="M45" s="39" t="b">
        <v>1</v>
      </c>
      <c r="N45" s="33">
        <v>46293.0</v>
      </c>
      <c r="O45" s="41">
        <f t="shared" si="1"/>
        <v>13</v>
      </c>
      <c r="P45" s="38">
        <v>2574.0</v>
      </c>
      <c r="Q45" s="42">
        <f>max(Table1[Packed qty]-Table1[Dispatched Qty],0)</f>
        <v>26</v>
      </c>
      <c r="R45" s="38">
        <v>5.0</v>
      </c>
      <c r="S45" s="35" t="s">
        <v>32</v>
      </c>
      <c r="T45" s="43" t="s">
        <v>15</v>
      </c>
      <c r="U45" s="64" t="s">
        <v>78</v>
      </c>
      <c r="V45" s="69"/>
    </row>
    <row r="46" ht="22.5" customHeight="1">
      <c r="A46" s="70">
        <v>46280.0</v>
      </c>
      <c r="B46" s="34" t="s">
        <v>80</v>
      </c>
      <c r="C46" s="71" t="s">
        <v>184</v>
      </c>
      <c r="D46" s="34" t="s">
        <v>185</v>
      </c>
      <c r="E46" s="35" t="s">
        <v>29</v>
      </c>
      <c r="F46" s="36" t="s">
        <v>9</v>
      </c>
      <c r="G46" s="37" t="s">
        <v>24</v>
      </c>
      <c r="H46" s="38">
        <v>5.0</v>
      </c>
      <c r="I46" s="35" t="s">
        <v>20</v>
      </c>
      <c r="J46" s="39" t="b">
        <v>1</v>
      </c>
      <c r="K46" s="39" t="b">
        <v>1</v>
      </c>
      <c r="L46" s="39" t="b">
        <v>1</v>
      </c>
      <c r="M46" s="39" t="b">
        <v>1</v>
      </c>
      <c r="N46" s="33">
        <v>46293.0</v>
      </c>
      <c r="O46" s="41">
        <f t="shared" si="1"/>
        <v>13</v>
      </c>
      <c r="P46" s="38">
        <v>5.0</v>
      </c>
      <c r="Q46" s="42">
        <f>max(Table1[Packed qty]-Table1[Dispatched Qty],0)</f>
        <v>0</v>
      </c>
      <c r="R46" s="38">
        <v>1.0</v>
      </c>
      <c r="S46" s="35" t="s">
        <v>32</v>
      </c>
      <c r="T46" s="43" t="s">
        <v>15</v>
      </c>
      <c r="U46" s="64" t="s">
        <v>78</v>
      </c>
      <c r="V46" s="69"/>
    </row>
    <row r="47" ht="22.5" customHeight="1">
      <c r="A47" s="70">
        <v>46280.0</v>
      </c>
      <c r="B47" s="34" t="s">
        <v>80</v>
      </c>
      <c r="C47" s="39" t="s">
        <v>27</v>
      </c>
      <c r="D47" s="34" t="s">
        <v>185</v>
      </c>
      <c r="E47" s="35" t="s">
        <v>23</v>
      </c>
      <c r="F47" s="36" t="s">
        <v>34</v>
      </c>
      <c r="G47" s="37" t="s">
        <v>48</v>
      </c>
      <c r="H47" s="38">
        <v>2000.0</v>
      </c>
      <c r="I47" s="35" t="s">
        <v>36</v>
      </c>
      <c r="J47" s="39" t="b">
        <v>1</v>
      </c>
      <c r="K47" s="39" t="b">
        <v>1</v>
      </c>
      <c r="L47" s="39" t="b">
        <v>0</v>
      </c>
      <c r="M47" s="39" t="b">
        <v>1</v>
      </c>
      <c r="N47" s="33">
        <v>46293.0</v>
      </c>
      <c r="O47" s="41">
        <f t="shared" si="1"/>
        <v>13</v>
      </c>
      <c r="P47" s="38">
        <v>2000.0</v>
      </c>
      <c r="Q47" s="42">
        <f>max(Table1[Packed qty]-Table1[Dispatched Qty],0)</f>
        <v>0</v>
      </c>
      <c r="R47" s="38">
        <v>1.0</v>
      </c>
      <c r="S47" s="35" t="s">
        <v>32</v>
      </c>
      <c r="T47" s="43" t="s">
        <v>15</v>
      </c>
      <c r="U47" s="64" t="s">
        <v>78</v>
      </c>
      <c r="V47" s="69"/>
    </row>
    <row r="48" ht="22.5" customHeight="1">
      <c r="A48" s="33">
        <v>46261.0</v>
      </c>
      <c r="B48" s="34" t="s">
        <v>124</v>
      </c>
      <c r="C48" s="34" t="s">
        <v>125</v>
      </c>
      <c r="D48" s="34" t="s">
        <v>186</v>
      </c>
      <c r="E48" s="35" t="s">
        <v>22</v>
      </c>
      <c r="F48" s="36" t="s">
        <v>18</v>
      </c>
      <c r="G48" s="37" t="s">
        <v>133</v>
      </c>
      <c r="H48" s="38">
        <v>18294.0</v>
      </c>
      <c r="I48" s="35" t="s">
        <v>25</v>
      </c>
      <c r="J48" s="39" t="b">
        <v>1</v>
      </c>
      <c r="K48" s="39" t="b">
        <v>1</v>
      </c>
      <c r="L48" s="39" t="b">
        <v>1</v>
      </c>
      <c r="M48" s="39" t="b">
        <v>1</v>
      </c>
      <c r="N48" s="33">
        <v>46293.0</v>
      </c>
      <c r="O48" s="41">
        <f t="shared" si="1"/>
        <v>32</v>
      </c>
      <c r="P48" s="38">
        <v>18294.0</v>
      </c>
      <c r="Q48" s="42">
        <f>max(Table1[Packed qty]-Table1[Dispatched Qty],0)</f>
        <v>0</v>
      </c>
      <c r="R48" s="38">
        <v>47.0</v>
      </c>
      <c r="S48" s="35" t="s">
        <v>32</v>
      </c>
      <c r="T48" s="43" t="s">
        <v>21</v>
      </c>
      <c r="U48" s="34" t="s">
        <v>187</v>
      </c>
      <c r="V48" s="69"/>
    </row>
    <row r="49" ht="22.5" customHeight="1">
      <c r="A49" s="33">
        <v>46286.0</v>
      </c>
      <c r="B49" s="34" t="s">
        <v>188</v>
      </c>
      <c r="C49" s="34" t="s">
        <v>189</v>
      </c>
      <c r="D49" s="34" t="s">
        <v>190</v>
      </c>
      <c r="E49" s="35" t="s">
        <v>17</v>
      </c>
      <c r="F49" s="36" t="s">
        <v>18</v>
      </c>
      <c r="G49" s="37" t="s">
        <v>177</v>
      </c>
      <c r="H49" s="38">
        <v>2001.0</v>
      </c>
      <c r="I49" s="35" t="s">
        <v>25</v>
      </c>
      <c r="J49" s="39" t="b">
        <v>1</v>
      </c>
      <c r="K49" s="39" t="b">
        <v>1</v>
      </c>
      <c r="L49" s="39" t="b">
        <v>1</v>
      </c>
      <c r="M49" s="39" t="b">
        <v>1</v>
      </c>
      <c r="N49" s="33">
        <v>46293.0</v>
      </c>
      <c r="O49" s="41">
        <f t="shared" si="1"/>
        <v>7</v>
      </c>
      <c r="P49" s="38">
        <v>2001.0</v>
      </c>
      <c r="Q49" s="42">
        <f>max(Table1[Packed qty]-Table1[Dispatched Qty],0)</f>
        <v>0</v>
      </c>
      <c r="R49" s="38">
        <v>7.0</v>
      </c>
      <c r="S49" s="35" t="s">
        <v>32</v>
      </c>
      <c r="T49" s="43" t="s">
        <v>15</v>
      </c>
      <c r="U49" s="64" t="s">
        <v>78</v>
      </c>
      <c r="V49" s="69"/>
    </row>
    <row r="50" ht="22.5" customHeight="1">
      <c r="A50" s="33">
        <v>46293.0</v>
      </c>
      <c r="B50" s="34" t="s">
        <v>112</v>
      </c>
      <c r="C50" s="39" t="s">
        <v>27</v>
      </c>
      <c r="D50" s="34" t="s">
        <v>191</v>
      </c>
      <c r="E50" s="35" t="s">
        <v>23</v>
      </c>
      <c r="F50" s="36" t="s">
        <v>30</v>
      </c>
      <c r="G50" s="37" t="s">
        <v>48</v>
      </c>
      <c r="H50" s="38">
        <v>50000.0</v>
      </c>
      <c r="I50" s="35" t="s">
        <v>36</v>
      </c>
      <c r="J50" s="39" t="b">
        <v>1</v>
      </c>
      <c r="K50" s="39" t="b">
        <v>1</v>
      </c>
      <c r="L50" s="39" t="b">
        <v>1</v>
      </c>
      <c r="M50" s="39" t="b">
        <v>1</v>
      </c>
      <c r="N50" s="33">
        <v>46294.0</v>
      </c>
      <c r="O50" s="41">
        <f t="shared" si="1"/>
        <v>1</v>
      </c>
      <c r="P50" s="38">
        <v>50000.0</v>
      </c>
      <c r="Q50" s="42">
        <f>max(Table1[Packed qty]-Table1[Dispatched Qty],0)</f>
        <v>0</v>
      </c>
      <c r="R50" s="38">
        <v>25.0</v>
      </c>
      <c r="S50" s="35" t="s">
        <v>32</v>
      </c>
      <c r="T50" s="43" t="s">
        <v>21</v>
      </c>
      <c r="U50" s="34" t="s">
        <v>192</v>
      </c>
      <c r="V50" s="69"/>
    </row>
    <row r="51" ht="22.5" customHeight="1">
      <c r="A51" s="33">
        <v>46295.0</v>
      </c>
      <c r="B51" s="34" t="s">
        <v>193</v>
      </c>
      <c r="C51" s="39" t="s">
        <v>27</v>
      </c>
      <c r="D51" s="34" t="s">
        <v>194</v>
      </c>
      <c r="E51" s="35" t="s">
        <v>23</v>
      </c>
      <c r="F51" s="36" t="s">
        <v>34</v>
      </c>
      <c r="G51" s="37" t="s">
        <v>48</v>
      </c>
      <c r="H51" s="38">
        <v>1000.0</v>
      </c>
      <c r="I51" s="35" t="s">
        <v>36</v>
      </c>
      <c r="J51" s="39" t="b">
        <v>1</v>
      </c>
      <c r="K51" s="39" t="b">
        <v>1</v>
      </c>
      <c r="L51" s="39" t="b">
        <v>0</v>
      </c>
      <c r="M51" s="39" t="b">
        <v>1</v>
      </c>
      <c r="N51" s="33">
        <v>46295.0</v>
      </c>
      <c r="O51" s="41">
        <f t="shared" si="1"/>
        <v>0</v>
      </c>
      <c r="P51" s="38">
        <v>1000.0</v>
      </c>
      <c r="Q51" s="42">
        <f>max(Table1[Packed qty]-Table1[Dispatched Qty],0)</f>
        <v>0</v>
      </c>
      <c r="R51" s="38">
        <v>1.0</v>
      </c>
      <c r="S51" s="35" t="s">
        <v>32</v>
      </c>
      <c r="T51" s="43" t="s">
        <v>27</v>
      </c>
      <c r="U51" s="39" t="s">
        <v>27</v>
      </c>
      <c r="V51" s="69"/>
    </row>
    <row r="52" ht="22.5" customHeight="1">
      <c r="A52" s="33"/>
      <c r="B52" s="34" t="s">
        <v>102</v>
      </c>
      <c r="C52" s="34" t="s">
        <v>145</v>
      </c>
      <c r="D52" s="71" t="s">
        <v>195</v>
      </c>
      <c r="E52" s="35" t="s">
        <v>22</v>
      </c>
      <c r="F52" s="68" t="s">
        <v>18</v>
      </c>
      <c r="G52" s="37" t="s">
        <v>40</v>
      </c>
      <c r="H52" s="38">
        <v>1800.0</v>
      </c>
      <c r="I52" s="35" t="s">
        <v>25</v>
      </c>
      <c r="J52" s="39" t="b">
        <v>1</v>
      </c>
      <c r="K52" s="39" t="b">
        <v>1</v>
      </c>
      <c r="L52" s="39" t="b">
        <v>1</v>
      </c>
      <c r="M52" s="39" t="b">
        <v>1</v>
      </c>
      <c r="N52" s="33">
        <v>46296.0</v>
      </c>
      <c r="O52" s="41" t="str">
        <f t="shared" si="1"/>
        <v/>
      </c>
      <c r="P52" s="38">
        <v>1800.0</v>
      </c>
      <c r="Q52" s="42">
        <f>max(Table1[Packed qty]-Table1[Dispatched Qty],0)</f>
        <v>0</v>
      </c>
      <c r="R52" s="38">
        <v>9.0</v>
      </c>
      <c r="S52" s="35" t="s">
        <v>32</v>
      </c>
      <c r="T52" s="43" t="s">
        <v>15</v>
      </c>
      <c r="U52" s="34" t="s">
        <v>101</v>
      </c>
      <c r="V52" s="69" t="s">
        <v>149</v>
      </c>
    </row>
    <row r="53" ht="22.5" customHeight="1">
      <c r="A53" s="33">
        <v>46286.0</v>
      </c>
      <c r="B53" s="34" t="s">
        <v>196</v>
      </c>
      <c r="C53" s="34" t="s">
        <v>128</v>
      </c>
      <c r="D53" s="71" t="s">
        <v>197</v>
      </c>
      <c r="E53" s="35" t="s">
        <v>17</v>
      </c>
      <c r="F53" s="68" t="s">
        <v>18</v>
      </c>
      <c r="G53" s="37" t="s">
        <v>198</v>
      </c>
      <c r="H53" s="38">
        <v>600.0</v>
      </c>
      <c r="I53" s="35" t="s">
        <v>25</v>
      </c>
      <c r="J53" s="39" t="b">
        <v>1</v>
      </c>
      <c r="K53" s="39" t="b">
        <v>1</v>
      </c>
      <c r="L53" s="39" t="b">
        <v>1</v>
      </c>
      <c r="M53" s="39" t="b">
        <v>1</v>
      </c>
      <c r="N53" s="33">
        <v>46298.0</v>
      </c>
      <c r="O53" s="41">
        <f t="shared" si="1"/>
        <v>12</v>
      </c>
      <c r="P53" s="38">
        <v>600.0</v>
      </c>
      <c r="Q53" s="42">
        <f>max(Table1[Packed qty]-Table1[Dispatched Qty],0)</f>
        <v>0</v>
      </c>
      <c r="R53" s="38">
        <v>3.0</v>
      </c>
      <c r="S53" s="35" t="s">
        <v>32</v>
      </c>
      <c r="T53" s="43" t="s">
        <v>27</v>
      </c>
      <c r="U53" s="39" t="s">
        <v>27</v>
      </c>
      <c r="V53" s="69"/>
    </row>
    <row r="54" ht="22.5" customHeight="1">
      <c r="A54" s="33">
        <v>46300.0</v>
      </c>
      <c r="B54" s="34" t="s">
        <v>89</v>
      </c>
      <c r="C54" s="34" t="s">
        <v>27</v>
      </c>
      <c r="D54" s="71" t="s">
        <v>199</v>
      </c>
      <c r="E54" s="35" t="s">
        <v>23</v>
      </c>
      <c r="F54" s="68" t="s">
        <v>55</v>
      </c>
      <c r="G54" s="37"/>
      <c r="H54" s="38">
        <v>20000.0</v>
      </c>
      <c r="I54" s="35" t="s">
        <v>25</v>
      </c>
      <c r="J54" s="39" t="b">
        <v>1</v>
      </c>
      <c r="K54" s="39" t="b">
        <v>1</v>
      </c>
      <c r="L54" s="39" t="b">
        <v>1</v>
      </c>
      <c r="M54" s="39" t="b">
        <v>1</v>
      </c>
      <c r="N54" s="33">
        <v>46301.0</v>
      </c>
      <c r="O54" s="41">
        <f t="shared" si="1"/>
        <v>1</v>
      </c>
      <c r="P54" s="38">
        <v>20000.0</v>
      </c>
      <c r="Q54" s="42">
        <f>max(Table1[Packed qty]-Table1[Dispatched Qty],0)</f>
        <v>0</v>
      </c>
      <c r="R54" s="38">
        <v>1.0</v>
      </c>
      <c r="S54" s="35" t="s">
        <v>32</v>
      </c>
      <c r="T54" s="43" t="s">
        <v>27</v>
      </c>
      <c r="U54" s="39" t="s">
        <v>27</v>
      </c>
      <c r="V54" s="69" t="s">
        <v>200</v>
      </c>
    </row>
    <row r="55" ht="22.5" customHeight="1">
      <c r="A55" s="33"/>
      <c r="B55" s="34" t="s">
        <v>201</v>
      </c>
      <c r="C55" s="34" t="s">
        <v>128</v>
      </c>
      <c r="D55" s="71"/>
      <c r="E55" s="35" t="s">
        <v>7</v>
      </c>
      <c r="F55" s="68" t="s">
        <v>18</v>
      </c>
      <c r="G55" s="37" t="s">
        <v>133</v>
      </c>
      <c r="H55" s="38">
        <v>6500.0</v>
      </c>
      <c r="I55" s="35" t="s">
        <v>25</v>
      </c>
      <c r="J55" s="39" t="b">
        <v>1</v>
      </c>
      <c r="K55" s="39" t="b">
        <v>1</v>
      </c>
      <c r="L55" s="39" t="b">
        <v>1</v>
      </c>
      <c r="M55" s="39" t="b">
        <v>0</v>
      </c>
      <c r="N55" s="33"/>
      <c r="O55" s="41" t="str">
        <f t="shared" si="1"/>
        <v/>
      </c>
      <c r="P55" s="38"/>
      <c r="Q55" s="42">
        <f>max(Table1[Packed qty]-Table1[Dispatched Qty],0)</f>
        <v>6500</v>
      </c>
      <c r="R55" s="38">
        <v>25.0</v>
      </c>
      <c r="S55" s="35" t="s">
        <v>32</v>
      </c>
      <c r="T55" s="43"/>
      <c r="U55" s="39"/>
      <c r="V55" s="69"/>
    </row>
  </sheetData>
  <dataValidations>
    <dataValidation type="list" allowBlank="1" sqref="S2:S55">
      <formula1>"Bags,Rolls"</formula1>
    </dataValidation>
    <dataValidation type="list" allowBlank="1" sqref="I2:I55">
      <formula1>#REF!</formula1>
    </dataValidation>
    <dataValidation type="list" allowBlank="1" sqref="E2:E55">
      <formula1>#REF!</formula1>
    </dataValidation>
    <dataValidation type="list" allowBlank="1" sqref="G2:G55">
      <formula1>#REF!</formula1>
    </dataValidation>
    <dataValidation type="custom" allowBlank="1" showDropDown="1" sqref="A2:A55">
      <formula1>OR(NOT(ISERROR(DATEVALUE(A2))), AND(ISNUMBER(A2), LEFT(CELL("format", A2))="D"))</formula1>
    </dataValidation>
    <dataValidation type="list" allowBlank="1" sqref="F2:F55">
      <formula1>#REF!</formula1>
    </dataValidation>
    <dataValidation type="list" allowBlank="1" sqref="T2:T55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5.86"/>
  </cols>
  <sheetData>
    <row r="1">
      <c r="A1" s="1" t="s">
        <v>0</v>
      </c>
      <c r="B1" s="3" t="s">
        <v>2</v>
      </c>
      <c r="C1" s="3" t="s">
        <v>3</v>
      </c>
      <c r="D1" s="5" t="s">
        <v>4</v>
      </c>
      <c r="E1" s="3" t="s">
        <v>5</v>
      </c>
      <c r="F1" s="7" t="s">
        <v>6</v>
      </c>
    </row>
    <row r="2">
      <c r="A2" s="10"/>
      <c r="B2" s="11" t="s">
        <v>7</v>
      </c>
      <c r="C2" s="13" t="s">
        <v>9</v>
      </c>
      <c r="D2" s="15" t="s">
        <v>11</v>
      </c>
      <c r="E2" s="13" t="s">
        <v>13</v>
      </c>
      <c r="F2" s="17" t="s">
        <v>15</v>
      </c>
    </row>
    <row r="3">
      <c r="A3" s="10"/>
      <c r="B3" s="11" t="s">
        <v>17</v>
      </c>
      <c r="C3" s="13" t="s">
        <v>18</v>
      </c>
      <c r="D3" s="13" t="s">
        <v>19</v>
      </c>
      <c r="E3" s="13" t="s">
        <v>20</v>
      </c>
      <c r="F3" s="17" t="s">
        <v>21</v>
      </c>
    </row>
    <row r="4">
      <c r="A4" s="10"/>
      <c r="B4" s="11" t="s">
        <v>22</v>
      </c>
      <c r="C4" s="13" t="s">
        <v>23</v>
      </c>
      <c r="D4" s="13" t="s">
        <v>24</v>
      </c>
      <c r="E4" s="13" t="s">
        <v>25</v>
      </c>
      <c r="F4" s="20" t="s">
        <v>27</v>
      </c>
    </row>
    <row r="5">
      <c r="A5" s="10"/>
      <c r="B5" s="11" t="s">
        <v>29</v>
      </c>
      <c r="C5" s="13" t="s">
        <v>30</v>
      </c>
      <c r="D5" s="13" t="s">
        <v>31</v>
      </c>
      <c r="E5" s="13" t="s">
        <v>32</v>
      </c>
      <c r="F5" s="17" t="s">
        <v>33</v>
      </c>
    </row>
    <row r="6">
      <c r="A6" s="10"/>
      <c r="B6" s="11" t="s">
        <v>23</v>
      </c>
      <c r="C6" s="13" t="s">
        <v>34</v>
      </c>
      <c r="D6" s="13" t="s">
        <v>35</v>
      </c>
      <c r="E6" s="11" t="s">
        <v>36</v>
      </c>
      <c r="F6" s="23"/>
    </row>
    <row r="7">
      <c r="A7" s="10"/>
      <c r="B7" s="10"/>
      <c r="C7" s="13" t="s">
        <v>37</v>
      </c>
      <c r="D7" s="24" t="s">
        <v>38</v>
      </c>
      <c r="E7" s="10"/>
      <c r="F7" s="23"/>
    </row>
    <row r="8">
      <c r="A8" s="10"/>
      <c r="B8" s="10"/>
      <c r="C8" s="13" t="s">
        <v>39</v>
      </c>
      <c r="D8" s="13" t="s">
        <v>40</v>
      </c>
      <c r="E8" s="10"/>
      <c r="F8" s="23"/>
    </row>
    <row r="9">
      <c r="A9" s="10"/>
      <c r="B9" s="10"/>
      <c r="C9" s="13" t="s">
        <v>41</v>
      </c>
      <c r="D9" s="13" t="s">
        <v>42</v>
      </c>
      <c r="E9" s="10"/>
      <c r="F9" s="23"/>
    </row>
    <row r="10">
      <c r="A10" s="10"/>
      <c r="B10" s="10"/>
      <c r="C10" s="13" t="s">
        <v>43</v>
      </c>
      <c r="D10" s="13" t="s">
        <v>44</v>
      </c>
      <c r="E10" s="10"/>
      <c r="F10" s="23"/>
    </row>
    <row r="11">
      <c r="A11" s="10"/>
      <c r="B11" s="10"/>
      <c r="C11" s="13" t="s">
        <v>45</v>
      </c>
      <c r="D11" s="24" t="s">
        <v>46</v>
      </c>
      <c r="E11" s="10"/>
      <c r="F11" s="23"/>
    </row>
    <row r="12">
      <c r="A12" s="10"/>
      <c r="B12" s="10"/>
      <c r="C12" s="13" t="s">
        <v>47</v>
      </c>
      <c r="D12" s="13" t="s">
        <v>48</v>
      </c>
      <c r="E12" s="10"/>
      <c r="F12" s="23"/>
    </row>
    <row r="13">
      <c r="A13" s="10"/>
      <c r="B13" s="10"/>
      <c r="C13" s="13" t="s">
        <v>49</v>
      </c>
      <c r="D13" s="13" t="s">
        <v>50</v>
      </c>
      <c r="E13" s="10"/>
      <c r="F13" s="23"/>
    </row>
    <row r="14">
      <c r="A14" s="10"/>
      <c r="B14" s="10"/>
      <c r="C14" s="13" t="s">
        <v>51</v>
      </c>
      <c r="D14" s="13" t="s">
        <v>52</v>
      </c>
      <c r="E14" s="10"/>
      <c r="F14" s="23"/>
    </row>
    <row r="15">
      <c r="A15" s="10"/>
      <c r="B15" s="10"/>
      <c r="C15" s="13" t="s">
        <v>53</v>
      </c>
      <c r="D15" s="13" t="s">
        <v>54</v>
      </c>
      <c r="E15" s="10"/>
      <c r="F15" s="23"/>
    </row>
    <row r="16">
      <c r="A16" s="10"/>
      <c r="B16" s="10"/>
      <c r="C16" s="13" t="s">
        <v>55</v>
      </c>
      <c r="D16" s="13" t="s">
        <v>56</v>
      </c>
      <c r="E16" s="10"/>
      <c r="F16" s="23"/>
    </row>
    <row r="17">
      <c r="A17" s="10"/>
      <c r="B17" s="10"/>
      <c r="C17" s="10"/>
      <c r="D17" s="10"/>
      <c r="E17" s="10"/>
      <c r="F17" s="23"/>
    </row>
    <row r="18">
      <c r="A18" s="10"/>
      <c r="B18" s="10"/>
      <c r="C18" s="10"/>
      <c r="D18" s="10"/>
      <c r="E18" s="10"/>
      <c r="F18" s="23"/>
    </row>
    <row r="19">
      <c r="A19" s="10"/>
      <c r="B19" s="10"/>
      <c r="C19" s="10"/>
      <c r="D19" s="10"/>
      <c r="E19" s="10"/>
      <c r="F19" s="23"/>
    </row>
    <row r="20">
      <c r="A20" s="10"/>
      <c r="B20" s="10"/>
      <c r="C20" s="10"/>
      <c r="D20" s="10"/>
      <c r="E20" s="10"/>
      <c r="F20" s="23"/>
    </row>
    <row r="21">
      <c r="A21" s="10"/>
      <c r="B21" s="10"/>
      <c r="C21" s="10"/>
      <c r="D21" s="10"/>
      <c r="E21" s="10"/>
      <c r="F21" s="23"/>
    </row>
    <row r="22">
      <c r="A22" s="10"/>
      <c r="B22" s="10"/>
      <c r="C22" s="10"/>
      <c r="D22" s="10"/>
      <c r="E22" s="10"/>
      <c r="F22" s="23"/>
    </row>
    <row r="23">
      <c r="A23" s="10"/>
      <c r="B23" s="10"/>
      <c r="C23" s="10"/>
      <c r="D23" s="10"/>
      <c r="E23" s="10"/>
      <c r="F23" s="23"/>
    </row>
    <row r="24">
      <c r="A24" s="10"/>
      <c r="B24" s="10"/>
      <c r="C24" s="10"/>
      <c r="D24" s="10"/>
      <c r="E24" s="10"/>
      <c r="F24" s="23"/>
    </row>
    <row r="25">
      <c r="A25" s="10"/>
      <c r="B25" s="10"/>
      <c r="C25" s="10"/>
      <c r="D25" s="10"/>
      <c r="E25" s="10"/>
      <c r="F25" s="23"/>
    </row>
    <row r="26">
      <c r="A26" s="10"/>
      <c r="B26" s="10"/>
      <c r="C26" s="10"/>
      <c r="D26" s="10"/>
      <c r="E26" s="10"/>
      <c r="F26" s="23"/>
    </row>
    <row r="27">
      <c r="A27" s="10"/>
      <c r="B27" s="10"/>
      <c r="C27" s="10"/>
      <c r="D27" s="10"/>
      <c r="E27" s="10"/>
      <c r="F27" s="23"/>
    </row>
    <row r="28">
      <c r="A28" s="10"/>
      <c r="B28" s="10"/>
      <c r="C28" s="10"/>
      <c r="D28" s="10"/>
      <c r="E28" s="10"/>
      <c r="F28" s="23"/>
    </row>
    <row r="29">
      <c r="A29" s="10"/>
      <c r="B29" s="10"/>
      <c r="C29" s="10"/>
      <c r="D29" s="10"/>
      <c r="E29" s="10"/>
      <c r="F29" s="23"/>
    </row>
    <row r="30">
      <c r="A30" s="10"/>
      <c r="B30" s="10"/>
      <c r="C30" s="10"/>
      <c r="D30" s="10"/>
      <c r="E30" s="10"/>
      <c r="F30" s="23"/>
    </row>
    <row r="31">
      <c r="A31" s="10"/>
      <c r="B31" s="10"/>
      <c r="C31" s="10"/>
      <c r="D31" s="10"/>
      <c r="E31" s="10"/>
      <c r="F31" s="23"/>
    </row>
    <row r="32">
      <c r="A32" s="10"/>
      <c r="B32" s="10"/>
      <c r="C32" s="10"/>
      <c r="D32" s="10"/>
      <c r="E32" s="10"/>
      <c r="F32" s="23"/>
    </row>
    <row r="33">
      <c r="A33" s="10"/>
      <c r="B33" s="10"/>
      <c r="C33" s="10"/>
      <c r="D33" s="10"/>
      <c r="E33" s="10"/>
      <c r="F33" s="23"/>
    </row>
    <row r="34">
      <c r="A34" s="10"/>
      <c r="B34" s="10"/>
      <c r="C34" s="10"/>
      <c r="D34" s="10"/>
      <c r="E34" s="10"/>
      <c r="F34" s="23"/>
    </row>
    <row r="35">
      <c r="A35" s="10"/>
      <c r="B35" s="10"/>
      <c r="C35" s="10"/>
      <c r="D35" s="10"/>
      <c r="E35" s="10"/>
      <c r="F35" s="23"/>
    </row>
    <row r="36">
      <c r="A36" s="10"/>
      <c r="B36" s="10"/>
      <c r="C36" s="10"/>
      <c r="D36" s="10"/>
      <c r="E36" s="10"/>
      <c r="F36" s="23"/>
    </row>
    <row r="37">
      <c r="A37" s="10"/>
      <c r="B37" s="10"/>
      <c r="C37" s="10"/>
      <c r="D37" s="10"/>
      <c r="E37" s="10"/>
      <c r="F37" s="23"/>
    </row>
    <row r="38">
      <c r="A38" s="10"/>
      <c r="B38" s="10"/>
      <c r="C38" s="10"/>
      <c r="D38" s="10"/>
      <c r="E38" s="10"/>
      <c r="F38" s="23"/>
    </row>
    <row r="39">
      <c r="A39" s="10"/>
      <c r="B39" s="10"/>
      <c r="C39" s="10"/>
      <c r="D39" s="10"/>
      <c r="E39" s="10"/>
      <c r="F39" s="23"/>
    </row>
    <row r="40">
      <c r="A40" s="10"/>
      <c r="B40" s="10"/>
      <c r="C40" s="10"/>
      <c r="D40" s="10"/>
      <c r="E40" s="10"/>
      <c r="F40" s="23"/>
    </row>
    <row r="41">
      <c r="A41" s="10"/>
      <c r="B41" s="10"/>
      <c r="C41" s="10"/>
      <c r="D41" s="10"/>
      <c r="E41" s="10"/>
      <c r="F41" s="23"/>
    </row>
    <row r="42">
      <c r="A42" s="10"/>
      <c r="B42" s="10"/>
      <c r="C42" s="10"/>
      <c r="D42" s="10"/>
      <c r="E42" s="10"/>
      <c r="F42" s="23"/>
    </row>
    <row r="43">
      <c r="A43" s="10"/>
      <c r="B43" s="10"/>
      <c r="C43" s="10"/>
      <c r="D43" s="10"/>
      <c r="E43" s="10"/>
      <c r="F43" s="23"/>
    </row>
    <row r="44">
      <c r="A44" s="10"/>
      <c r="B44" s="10"/>
      <c r="C44" s="10"/>
      <c r="D44" s="10"/>
      <c r="E44" s="10"/>
      <c r="F44" s="23"/>
    </row>
    <row r="45">
      <c r="A45" s="10"/>
      <c r="B45" s="10"/>
      <c r="C45" s="10"/>
      <c r="D45" s="10"/>
      <c r="E45" s="10"/>
      <c r="F45" s="23"/>
    </row>
    <row r="46">
      <c r="A46" s="10"/>
      <c r="B46" s="10"/>
      <c r="C46" s="10"/>
      <c r="D46" s="10"/>
      <c r="E46" s="10"/>
      <c r="F46" s="23"/>
    </row>
    <row r="47">
      <c r="A47" s="10"/>
      <c r="B47" s="10"/>
      <c r="C47" s="10"/>
      <c r="D47" s="10"/>
      <c r="E47" s="10"/>
      <c r="F47" s="23"/>
    </row>
    <row r="48">
      <c r="A48" s="10"/>
      <c r="B48" s="10"/>
      <c r="C48" s="10"/>
      <c r="D48" s="10"/>
      <c r="E48" s="10"/>
      <c r="F48" s="23"/>
    </row>
    <row r="49">
      <c r="A49" s="10"/>
      <c r="B49" s="10"/>
      <c r="C49" s="10"/>
      <c r="D49" s="10"/>
      <c r="E49" s="10"/>
      <c r="F49" s="23"/>
    </row>
    <row r="50">
      <c r="A50" s="10"/>
      <c r="B50" s="10"/>
      <c r="C50" s="10"/>
      <c r="D50" s="10"/>
      <c r="E50" s="10"/>
      <c r="F50" s="2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2026-07-23T07:22:58Z</dcterms:created>
  <dc:creator>openpyxl</dc:creator>
</cp:coreProperties>
</file>