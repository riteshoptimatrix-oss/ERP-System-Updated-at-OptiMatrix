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" sheetId="1" r:id="rId5"/>
    <sheet state="visible" name="Aura" sheetId="2" r:id="rId6"/>
    <sheet state="visible" name="Enflow" sheetId="3" r:id="rId7"/>
    <sheet state="visible" name="CS" sheetId="4" r:id="rId8"/>
    <sheet state="visible" name="Futura" sheetId="5" r:id="rId9"/>
    <sheet state="visible" name="Schintler" sheetId="6" r:id="rId10"/>
    <sheet state="visible" name="Ceraflow" sheetId="7" r:id="rId11"/>
    <sheet state="visible" name="Vojal Artimis" sheetId="8" r:id="rId12"/>
    <sheet state="visible" name="Akant" sheetId="9" r:id="rId13"/>
    <sheet state="visible" name="Idol" sheetId="10" r:id="rId14"/>
  </sheets>
  <definedNames/>
  <calcPr/>
</workbook>
</file>

<file path=xl/sharedStrings.xml><?xml version="1.0" encoding="utf-8"?>
<sst xmlns="http://schemas.openxmlformats.org/spreadsheetml/2006/main" count="1785" uniqueCount="166">
  <si>
    <t>Enflow Sanitary</t>
  </si>
  <si>
    <t>Packing Slip</t>
  </si>
  <si>
    <t>Customer name</t>
  </si>
  <si>
    <t>Order date</t>
  </si>
  <si>
    <t>Customer name :</t>
  </si>
  <si>
    <t>Date :</t>
  </si>
  <si>
    <t>Type</t>
  </si>
  <si>
    <t>Brand</t>
  </si>
  <si>
    <t>Sizes</t>
  </si>
  <si>
    <t>Ordered</t>
  </si>
  <si>
    <t>NEED TO PROCESS</t>
  </si>
  <si>
    <t>READY TO DISPATCH</t>
  </si>
  <si>
    <t>Stock</t>
  </si>
  <si>
    <t>Dispatched</t>
  </si>
  <si>
    <t>Checked By :</t>
  </si>
  <si>
    <t>Invoice no :</t>
  </si>
  <si>
    <t>Approved by :</t>
  </si>
  <si>
    <t>PO no :</t>
  </si>
  <si>
    <t>Bag no</t>
  </si>
  <si>
    <t>Wt (kg)</t>
  </si>
  <si>
    <t>Items</t>
  </si>
  <si>
    <t>Qty (pc)</t>
  </si>
  <si>
    <t>Consolidated Quantity</t>
  </si>
  <si>
    <t>Sl no</t>
  </si>
  <si>
    <t>No. bags</t>
  </si>
  <si>
    <t>Total</t>
  </si>
  <si>
    <t>Note :</t>
  </si>
  <si>
    <t>1. All parts/item are counted using counter machine with accuracy and verified by our authorized peronnel</t>
  </si>
  <si>
    <t>2. Please count bag wise before using for production. In case of shortage or excess, Please notify us immediately.</t>
  </si>
  <si>
    <t>Waterflo</t>
  </si>
  <si>
    <t>Marino</t>
  </si>
  <si>
    <t>Waterflo, Marino</t>
  </si>
  <si>
    <t>With Label</t>
  </si>
  <si>
    <t>With Nut</t>
  </si>
  <si>
    <t>Order number</t>
  </si>
  <si>
    <t>Waterflow</t>
  </si>
  <si>
    <t>Waterflo, Marino, Plain</t>
  </si>
  <si>
    <t>Shivakumar</t>
  </si>
  <si>
    <t>Opening Stock</t>
  </si>
  <si>
    <t>PTMT</t>
  </si>
  <si>
    <t>18</t>
  </si>
  <si>
    <t>2500</t>
  </si>
  <si>
    <t>24</t>
  </si>
  <si>
    <t>8000</t>
  </si>
  <si>
    <r>
      <rPr>
        <rFont val="Calibri"/>
        <b/>
        <color theme="1"/>
        <sz val="11.0"/>
      </rPr>
      <t xml:space="preserve">With lable </t>
    </r>
    <r>
      <rPr>
        <rFont val="Calibri"/>
        <b/>
        <color theme="1"/>
        <sz val="15.0"/>
      </rPr>
      <t>Stock</t>
    </r>
  </si>
  <si>
    <r>
      <rPr>
        <rFont val="Calibri"/>
        <b/>
        <color theme="1"/>
        <sz val="11.0"/>
      </rPr>
      <t xml:space="preserve">With Nut </t>
    </r>
    <r>
      <rPr>
        <rFont val="Calibri"/>
        <b/>
        <color theme="1"/>
        <sz val="15.0"/>
      </rPr>
      <t>Stock</t>
    </r>
  </si>
  <si>
    <t>30</t>
  </si>
  <si>
    <t>18" Waterflo</t>
  </si>
  <si>
    <t>1.5mtr Plain</t>
  </si>
  <si>
    <t>1</t>
  </si>
  <si>
    <t>4000</t>
  </si>
  <si>
    <t>1.5</t>
  </si>
  <si>
    <t>1000</t>
  </si>
  <si>
    <t>-</t>
  </si>
  <si>
    <t>2</t>
  </si>
  <si>
    <t>500</t>
  </si>
  <si>
    <t>24" Waterflo</t>
  </si>
  <si>
    <t>1mtr Waterflo</t>
  </si>
  <si>
    <t>2000</t>
  </si>
  <si>
    <t>1.5mtr Waterflo</t>
  </si>
  <si>
    <t>7000</t>
  </si>
  <si>
    <t>2mtr Waterflo</t>
  </si>
  <si>
    <t>1mtr Marino</t>
  </si>
  <si>
    <t>3000</t>
  </si>
  <si>
    <t>18" Marino</t>
  </si>
  <si>
    <t>24" Marino</t>
  </si>
  <si>
    <t>1.5mtr Marino</t>
  </si>
  <si>
    <t>2mtr Marino</t>
  </si>
  <si>
    <t>Softube</t>
  </si>
  <si>
    <t>4500</t>
  </si>
  <si>
    <t>Plain</t>
  </si>
  <si>
    <t xml:space="preserve"> </t>
  </si>
  <si>
    <t>Pooja</t>
  </si>
  <si>
    <t>Aura</t>
  </si>
  <si>
    <t>REMAINING QTY</t>
  </si>
  <si>
    <t>Order No:</t>
  </si>
  <si>
    <t>Date: 06/10/2026</t>
  </si>
  <si>
    <t>PTMT CONNECTION TUBE</t>
  </si>
  <si>
    <t>Size</t>
  </si>
  <si>
    <t>18"</t>
  </si>
  <si>
    <t>24"</t>
  </si>
  <si>
    <t>1mtr</t>
  </si>
  <si>
    <t>1.5mtr</t>
  </si>
  <si>
    <t>2mtr</t>
  </si>
  <si>
    <t>SOFTUBE</t>
  </si>
  <si>
    <t>1mtr Plain</t>
  </si>
  <si>
    <t>SOFTUBE Butterfly cp</t>
  </si>
  <si>
    <t>1mtr Waterflo SN</t>
  </si>
  <si>
    <t>1.5mtr Waterflo SN</t>
  </si>
  <si>
    <t>Butterfly cp</t>
  </si>
  <si>
    <t>Bhoomi Enterprises</t>
  </si>
  <si>
    <t>Enflow</t>
  </si>
  <si>
    <t>INV-0764</t>
  </si>
  <si>
    <t>RTK</t>
  </si>
  <si>
    <t>EST-00123</t>
  </si>
  <si>
    <t>Balance</t>
  </si>
  <si>
    <t>1.5mtr Enflow</t>
  </si>
  <si>
    <t>18" Enflow</t>
  </si>
  <si>
    <t>24" Enflow</t>
  </si>
  <si>
    <t>1mtr Enflow</t>
  </si>
  <si>
    <t>2mtr Enflow</t>
  </si>
  <si>
    <t>CS</t>
  </si>
  <si>
    <t>With Nut RTK</t>
  </si>
  <si>
    <t>24" CS</t>
  </si>
  <si>
    <t>18" CS</t>
  </si>
  <si>
    <t>1mtr CS</t>
  </si>
  <si>
    <t>1.5mtr CS</t>
  </si>
  <si>
    <t>2mtr CS</t>
  </si>
  <si>
    <t>Futura</t>
  </si>
  <si>
    <t>Futura HTK</t>
  </si>
  <si>
    <t>36</t>
  </si>
  <si>
    <t>With nut</t>
  </si>
  <si>
    <t>18" Futura</t>
  </si>
  <si>
    <t>36" Futura</t>
  </si>
  <si>
    <t>REWORK SCHINTLER</t>
  </si>
  <si>
    <t xml:space="preserve">Schintler </t>
  </si>
  <si>
    <t>SO-00599</t>
  </si>
  <si>
    <t>1mtr Schintler</t>
  </si>
  <si>
    <t>SCHINTLER ORDER 17-Aug-2026</t>
  </si>
  <si>
    <t>With lable</t>
  </si>
  <si>
    <t>24" Schintler</t>
  </si>
  <si>
    <t>18" Schintler</t>
  </si>
  <si>
    <t>Schintler Rework</t>
  </si>
  <si>
    <t>1mtr Schintler RTK</t>
  </si>
  <si>
    <t>Ceraflow</t>
  </si>
  <si>
    <t>Ceraflo</t>
  </si>
  <si>
    <t>INV-0756</t>
  </si>
  <si>
    <t>200</t>
  </si>
  <si>
    <t>1500</t>
  </si>
  <si>
    <t>300</t>
  </si>
  <si>
    <t>24" Ceraflo</t>
  </si>
  <si>
    <t>18" Ceraflo</t>
  </si>
  <si>
    <t>1mtr Ceraflo</t>
  </si>
  <si>
    <t>VOJAL ORDER 20-Aug-2026</t>
  </si>
  <si>
    <t>VOJAL, ARTIMIS</t>
  </si>
  <si>
    <t>SO-00607</t>
  </si>
  <si>
    <t>24" Vojal RTK</t>
  </si>
  <si>
    <t>1.5mtr Vojal RTK</t>
  </si>
  <si>
    <t>1mtr Vojal RTK</t>
  </si>
  <si>
    <t>12" Vojal RTK</t>
  </si>
  <si>
    <t>18" Vojal RTK</t>
  </si>
  <si>
    <t>18" Vojal HTK</t>
  </si>
  <si>
    <t>12" Vojal HTK</t>
  </si>
  <si>
    <t>24" Vojal HTK</t>
  </si>
  <si>
    <t>Artimis</t>
  </si>
  <si>
    <t>24" Artimis RTK</t>
  </si>
  <si>
    <t>1mtr Artimis RTK</t>
  </si>
  <si>
    <t>Vojal</t>
  </si>
  <si>
    <t>Vojal HTK, RTK</t>
  </si>
  <si>
    <t>Vojal HTK</t>
  </si>
  <si>
    <t>Vojal RTK</t>
  </si>
  <si>
    <t>1mtr Vojal HTK</t>
  </si>
  <si>
    <t>2mtr Vojal HTK</t>
  </si>
  <si>
    <t>2mtr Vojal RTK</t>
  </si>
  <si>
    <t>Akant</t>
  </si>
  <si>
    <t xml:space="preserve">Akant				</t>
  </si>
  <si>
    <t>40</t>
  </si>
  <si>
    <t>24" Akant</t>
  </si>
  <si>
    <t>40" Akant</t>
  </si>
  <si>
    <t>IDOL ORDER 10-Aug-2026</t>
  </si>
  <si>
    <t>IDOL</t>
  </si>
  <si>
    <t>Taha</t>
  </si>
  <si>
    <t>SO-00595</t>
  </si>
  <si>
    <t>With label</t>
  </si>
  <si>
    <t>30" IDOL</t>
  </si>
  <si>
    <t>36" IDOL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</si>
</sst>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_(* #,##0_);_(* \(#,##0\);_(* &quot;-&quot;??_);_(@_)"/>
    <numFmt numFmtId="166" formatCode="0.0"/>
    <numFmt numFmtId="167" formatCode="d-mmm-yyyy"/>
  </numFmts>
  <fonts count="37">
    <font>
      <sz val="10.0"/>
      <color rgb="FF000000"/>
      <name val="Arial"/>
      <scheme val="minor"/>
    </font>
    <font>
      <b/>
      <sz val="18.0"/>
      <color theme="1"/>
      <name val="Calibri"/>
    </font>
    <font/>
    <font>
      <b/>
      <color theme="1"/>
      <name val="Arial"/>
    </font>
    <font>
      <b/>
      <sz val="12.0"/>
      <color theme="1"/>
      <name val="Arial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>
      <b/>
      <sz val="6.0"/>
      <color rgb="FFC53929"/>
      <name val="Arial"/>
    </font>
    <font>
      <b/>
      <sz val="6.0"/>
      <color theme="1"/>
      <name val="Arial"/>
    </font>
    <font>
      <sz val="13.0"/>
      <color theme="1"/>
      <name val="Calibri"/>
    </font>
    <font>
      <color theme="1"/>
      <name val="Arial"/>
      <scheme val="minor"/>
    </font>
    <font>
      <sz val="12.0"/>
      <color theme="1"/>
      <name val="Calibri"/>
    </font>
    <font>
      <b/>
      <sz val="15.0"/>
      <color rgb="FF0000FF"/>
      <name val="Arial"/>
      <scheme val="minor"/>
    </font>
    <font>
      <b/>
      <sz val="15.0"/>
      <color rgb="FF000000"/>
      <name val="Arial"/>
      <scheme val="minor"/>
    </font>
    <font>
      <b/>
      <sz val="12.0"/>
      <color rgb="FF0000FF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b/>
      <sz val="13.0"/>
      <color rgb="FFFF0000"/>
      <name val="Arial"/>
    </font>
    <font>
      <b/>
      <sz val="8.0"/>
      <color theme="1"/>
      <name val="Arial"/>
    </font>
    <font>
      <b/>
      <sz val="11.0"/>
      <color theme="1"/>
      <name val="Calibri"/>
    </font>
    <font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C53929"/>
      <name val="Arial"/>
      <scheme val="minor"/>
    </font>
    <font>
      <b/>
      <sz val="11.0"/>
      <color theme="0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</font>
    <font>
      <color rgb="FF000000"/>
      <name val="Arial"/>
    </font>
    <font>
      <b/>
      <sz val="14.0"/>
      <color theme="1"/>
      <name val="Arial"/>
      <scheme val="minor"/>
    </font>
    <font>
      <b/>
      <sz val="15.0"/>
      <color theme="1"/>
      <name val="Arial"/>
    </font>
    <font>
      <b/>
      <sz val="15.0"/>
      <color theme="1"/>
      <name val="Calibri"/>
    </font>
    <font>
      <b/>
      <sz val="12.0"/>
      <color rgb="FF38761D"/>
      <name val="Arial"/>
    </font>
    <font>
      <sz val="11.0"/>
      <color rgb="FFC53929"/>
      <name val="Calibri"/>
    </font>
    <font>
      <b/>
      <sz val="14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C53929"/>
        <bgColor rgb="FFC53929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theme="5"/>
        <bgColor theme="5"/>
      </patternFill>
    </fill>
    <fill>
      <patternFill patternType="solid">
        <fgColor rgb="FFB7E1CD"/>
        <bgColor rgb="FFB7E1CD"/>
      </patternFill>
    </fill>
    <fill>
      <patternFill patternType="solid">
        <fgColor rgb="FF333F4F"/>
        <bgColor rgb="FF333F4F"/>
      </patternFill>
    </fill>
    <fill>
      <patternFill patternType="solid">
        <fgColor rgb="FFFBBC04"/>
        <bgColor rgb="FFFBBC04"/>
      </patternFill>
    </fill>
  </fills>
  <borders count="42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2" fontId="3" numFmtId="49" xfId="0" applyAlignment="1" applyBorder="1" applyFill="1" applyFont="1" applyNumberFormat="1">
      <alignment vertical="bottom"/>
    </xf>
    <xf borderId="8" fillId="0" fontId="2" numFmtId="0" xfId="0" applyBorder="1" applyFont="1"/>
    <xf borderId="7" fillId="3" fontId="4" numFmtId="49" xfId="0" applyAlignment="1" applyBorder="1" applyFill="1" applyFont="1" applyNumberFormat="1">
      <alignment readingOrder="0" vertical="center"/>
    </xf>
    <xf borderId="9" fillId="0" fontId="5" numFmtId="0" xfId="0" applyAlignment="1" applyBorder="1" applyFont="1">
      <alignment vertical="bottom"/>
    </xf>
    <xf borderId="10" fillId="0" fontId="2" numFmtId="0" xfId="0" applyBorder="1" applyFont="1"/>
    <xf borderId="7" fillId="0" fontId="5" numFmtId="164" xfId="0" applyAlignment="1" applyBorder="1" applyFont="1" applyNumberFormat="1">
      <alignment horizontal="left" readingOrder="0" vertical="bottom"/>
    </xf>
    <xf borderId="4" fillId="0" fontId="6" numFmtId="0" xfId="0" applyAlignment="1" applyBorder="1" applyFont="1">
      <alignment vertical="bottom"/>
    </xf>
    <xf borderId="7" fillId="0" fontId="7" numFmtId="0" xfId="0" applyAlignment="1" applyBorder="1" applyFont="1">
      <alignment readingOrder="0" vertical="bottom"/>
    </xf>
    <xf borderId="7" fillId="0" fontId="6" numFmtId="0" xfId="0" applyAlignment="1" applyBorder="1" applyFont="1">
      <alignment horizontal="center" vertical="bottom"/>
    </xf>
    <xf borderId="7" fillId="0" fontId="7" numFmtId="164" xfId="0" applyAlignment="1" applyBorder="1" applyFont="1" applyNumberFormat="1">
      <alignment horizontal="right" readingOrder="0" vertical="bottom"/>
    </xf>
    <xf borderId="11" fillId="2" fontId="3" numFmtId="49" xfId="0" applyAlignment="1" applyBorder="1" applyFill="1" applyFont="1" applyNumberFormat="1">
      <alignment vertical="bottom"/>
    </xf>
    <xf borderId="11" fillId="2" fontId="3" numFmtId="49" xfId="0" applyAlignment="1" applyBorder="1" applyFill="1" applyFont="1" applyNumberFormat="1">
      <alignment horizontal="center" vertical="bottom"/>
    </xf>
    <xf borderId="11" fillId="2" fontId="8" numFmtId="49" xfId="0" applyAlignment="1" applyBorder="1" applyFill="1" applyFont="1" applyNumberFormat="1">
      <alignment vertical="bottom"/>
    </xf>
    <xf borderId="11" fillId="2" fontId="9" numFmtId="49" xfId="0" applyAlignment="1" applyBorder="1" applyFill="1" applyFont="1" applyNumberFormat="1">
      <alignment vertical="bottom"/>
    </xf>
    <xf borderId="7" fillId="0" fontId="5" numFmtId="0" xfId="0" applyAlignment="1" applyBorder="1" applyFont="1">
      <alignment vertical="bottom"/>
    </xf>
    <xf borderId="12" fillId="4" fontId="3" numFmtId="49" xfId="0" applyAlignment="1" applyBorder="1" applyFill="1" applyFont="1" applyNumberFormat="1">
      <alignment readingOrder="0" vertical="top"/>
    </xf>
    <xf borderId="11" fillId="3" fontId="3" numFmtId="49" xfId="0" applyAlignment="1" applyBorder="1" applyFill="1" applyFont="1" applyNumberFormat="1">
      <alignment horizontal="right" vertical="bottom"/>
    </xf>
    <xf borderId="11" fillId="3" fontId="5" numFmtId="49" xfId="0" applyAlignment="1" applyBorder="1" applyFill="1" applyFont="1" applyNumberFormat="1">
      <alignment readingOrder="0" vertical="bottom"/>
    </xf>
    <xf borderId="11" fillId="5" fontId="5" numFmtId="49" xfId="0" applyAlignment="1" applyBorder="1" applyFill="1" applyFont="1" applyNumberFormat="1">
      <alignment horizontal="right" vertical="bottom"/>
    </xf>
    <xf borderId="11" fillId="3" fontId="5" numFmtId="49" xfId="0" applyAlignment="1" applyBorder="1" applyFill="1" applyFont="1" applyNumberFormat="1">
      <alignment horizontal="center" vertical="bottom"/>
    </xf>
    <xf borderId="5" fillId="0" fontId="7" numFmtId="0" xfId="0" applyAlignment="1" applyBorder="1" applyFont="1">
      <alignment readingOrder="0" vertical="bottom"/>
    </xf>
    <xf borderId="13" fillId="0" fontId="2" numFmtId="0" xfId="0" applyBorder="1" applyFont="1"/>
    <xf borderId="11" fillId="0" fontId="5" numFmtId="49" xfId="0" applyAlignment="1" applyBorder="1" applyFont="1" applyNumberFormat="1">
      <alignment readingOrder="0" vertical="bottom"/>
    </xf>
    <xf borderId="11" fillId="3" fontId="3" numFmtId="49" xfId="0" applyAlignment="1" applyBorder="1" applyFill="1" applyFont="1" applyNumberFormat="1">
      <alignment horizontal="right" readingOrder="0" vertical="bottom"/>
    </xf>
    <xf borderId="14" fillId="6" fontId="6" numFmtId="0" xfId="0" applyAlignment="1" applyBorder="1" applyFill="1" applyFont="1">
      <alignment vertical="bottom"/>
    </xf>
    <xf borderId="11" fillId="6" fontId="6" numFmtId="165" xfId="0" applyAlignment="1" applyBorder="1" applyFill="1" applyFont="1" applyNumberFormat="1">
      <alignment vertical="bottom"/>
    </xf>
    <xf borderId="11" fillId="6" fontId="6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7" fillId="6" fontId="10" numFmtId="0" xfId="0" applyAlignment="1" applyBorder="1" applyFill="1" applyFont="1">
      <alignment readingOrder="0" vertical="bottom"/>
    </xf>
    <xf borderId="11" fillId="3" fontId="5" numFmtId="49" xfId="0" applyAlignment="1" applyBorder="1" applyFill="1" applyFont="1" applyNumberFormat="1">
      <alignment vertical="bottom"/>
    </xf>
    <xf borderId="14" fillId="0" fontId="7" numFmtId="0" xfId="0" applyAlignment="1" applyBorder="1" applyFont="1">
      <alignment horizontal="right" readingOrder="0" vertical="bottom"/>
    </xf>
    <xf borderId="11" fillId="0" fontId="5" numFmtId="166" xfId="0" applyAlignment="1" applyBorder="1" applyFont="1" applyNumberFormat="1">
      <alignment horizontal="center" vertical="bottom"/>
    </xf>
    <xf borderId="11" fillId="0" fontId="5" numFmtId="166" xfId="0" applyAlignment="1" applyBorder="1" applyFont="1" applyNumberFormat="1">
      <alignment horizontal="center" readingOrder="0" vertical="bottom"/>
    </xf>
    <xf borderId="11" fillId="0" fontId="7" numFmtId="165" xfId="0" applyAlignment="1" applyBorder="1" applyFont="1" applyNumberFormat="1">
      <alignment horizontal="right" vertical="bottom"/>
    </xf>
    <xf borderId="7" fillId="6" fontId="6" numFmtId="0" xfId="0" applyAlignment="1" applyBorder="1" applyFill="1" applyFont="1">
      <alignment horizontal="center" vertical="bottom"/>
    </xf>
    <xf borderId="11" fillId="0" fontId="5" numFmtId="0" xfId="0" applyAlignment="1" applyBorder="1" applyFont="1">
      <alignment readingOrder="0" vertical="bottom"/>
    </xf>
    <xf borderId="11" fillId="0" fontId="7" numFmtId="165" xfId="0" applyAlignment="1" applyBorder="1" applyFont="1" applyNumberFormat="1">
      <alignment horizontal="right" readingOrder="0" vertical="bottom"/>
    </xf>
    <xf borderId="15" fillId="0" fontId="2" numFmtId="0" xfId="0" applyBorder="1" applyFont="1"/>
    <xf borderId="16" fillId="6" fontId="6" numFmtId="0" xfId="0" applyAlignment="1" applyBorder="1" applyFill="1" applyFont="1">
      <alignment vertical="bottom"/>
    </xf>
    <xf borderId="11" fillId="6" fontId="6" numFmtId="0" xfId="0" applyAlignment="1" applyBorder="1" applyFill="1" applyFont="1">
      <alignment vertical="bottom"/>
    </xf>
    <xf borderId="16" fillId="6" fontId="6" numFmtId="0" xfId="0" applyAlignment="1" applyBorder="1" applyFill="1" applyFont="1">
      <alignment readingOrder="0" vertical="bottom"/>
    </xf>
    <xf borderId="11" fillId="0" fontId="5" numFmtId="0" xfId="0" applyAlignment="1" applyBorder="1" applyFont="1">
      <alignment vertical="bottom"/>
    </xf>
    <xf borderId="16" fillId="0" fontId="5" numFmtId="0" xfId="0" applyAlignment="1" applyBorder="1" applyFont="1">
      <alignment vertical="bottom"/>
    </xf>
    <xf borderId="14" fillId="0" fontId="7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vertical="bottom"/>
    </xf>
    <xf borderId="10" fillId="0" fontId="11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shrinkToFit="0" vertical="top" wrapText="1"/>
    </xf>
    <xf borderId="11" fillId="0" fontId="7" numFmtId="0" xfId="0" applyAlignment="1" applyBorder="1" applyFont="1">
      <alignment horizontal="right" vertical="bottom"/>
    </xf>
    <xf borderId="11" fillId="0" fontId="5" numFmtId="0" xfId="0" applyAlignment="1" applyBorder="1" applyFont="1">
      <alignment horizontal="right" vertical="bottom"/>
    </xf>
    <xf borderId="17" fillId="0" fontId="7" numFmtId="0" xfId="0" applyAlignment="1" applyBorder="1" applyFont="1">
      <alignment horizontal="right" vertical="bottom"/>
    </xf>
    <xf borderId="18" fillId="0" fontId="5" numFmtId="166" xfId="0" applyAlignment="1" applyBorder="1" applyFont="1" applyNumberFormat="1">
      <alignment horizontal="center" vertical="bottom"/>
    </xf>
    <xf borderId="18" fillId="0" fontId="5" numFmtId="0" xfId="0" applyAlignment="1" applyBorder="1" applyFont="1">
      <alignment horizontal="right" vertical="bottom"/>
    </xf>
    <xf borderId="19" fillId="0" fontId="5" numFmtId="0" xfId="0" applyAlignment="1" applyBorder="1" applyFont="1">
      <alignment vertical="bottom"/>
    </xf>
    <xf borderId="20" fillId="0" fontId="5" numFmtId="0" xfId="0" applyAlignment="1" applyBorder="1" applyFont="1">
      <alignment vertical="bottom"/>
    </xf>
    <xf borderId="19" fillId="0" fontId="11" numFmtId="0" xfId="0" applyBorder="1" applyFont="1"/>
    <xf borderId="20" fillId="0" fontId="11" numFmtId="0" xfId="0" applyBorder="1" applyFont="1"/>
    <xf borderId="1" fillId="7" fontId="13" numFmtId="0" xfId="0" applyAlignment="1" applyBorder="1" applyFill="1" applyFont="1">
      <alignment horizontal="center" readingOrder="0"/>
    </xf>
    <xf borderId="0" fillId="0" fontId="11" numFmtId="49" xfId="0" applyFont="1" applyNumberFormat="1"/>
    <xf borderId="1" fillId="8" fontId="14" numFmtId="0" xfId="0" applyAlignment="1" applyBorder="1" applyFill="1" applyFont="1">
      <alignment horizontal="center" readingOrder="0"/>
    </xf>
    <xf borderId="1" fillId="9" fontId="14" numFmtId="0" xfId="0" applyAlignment="1" applyBorder="1" applyFill="1" applyFont="1">
      <alignment horizontal="center" readingOrder="0"/>
    </xf>
    <xf borderId="14" fillId="7" fontId="15" numFmtId="0" xfId="0" applyAlignment="1" applyBorder="1" applyFill="1" applyFont="1">
      <alignment vertical="bottom"/>
    </xf>
    <xf borderId="11" fillId="7" fontId="15" numFmtId="0" xfId="0" applyAlignment="1" applyBorder="1" applyFill="1" applyFont="1">
      <alignment vertical="bottom"/>
    </xf>
    <xf borderId="7" fillId="10" fontId="16" numFmtId="0" xfId="0" applyAlignment="1" applyBorder="1" applyFill="1" applyFont="1">
      <alignment horizontal="center" readingOrder="0" vertical="bottom"/>
    </xf>
    <xf borderId="14" fillId="8" fontId="17" numFmtId="0" xfId="0" applyAlignment="1" applyBorder="1" applyFill="1" applyFont="1">
      <alignment vertical="bottom"/>
    </xf>
    <xf borderId="11" fillId="8" fontId="17" numFmtId="0" xfId="0" applyAlignment="1" applyBorder="1" applyFill="1" applyFont="1">
      <alignment vertical="bottom"/>
    </xf>
    <xf borderId="14" fillId="9" fontId="17" numFmtId="0" xfId="0" applyAlignment="1" applyBorder="1" applyFill="1" applyFont="1">
      <alignment vertical="bottom"/>
    </xf>
    <xf borderId="11" fillId="9" fontId="17" numFmtId="0" xfId="0" applyAlignment="1" applyBorder="1" applyFill="1" applyFont="1">
      <alignment vertical="bottom"/>
    </xf>
    <xf borderId="7" fillId="9" fontId="16" numFmtId="0" xfId="0" applyAlignment="1" applyBorder="1" applyFill="1" applyFont="1">
      <alignment horizontal="center" readingOrder="0" vertical="bottom"/>
    </xf>
    <xf borderId="7" fillId="7" fontId="15" numFmtId="0" xfId="0" applyAlignment="1" applyBorder="1" applyFill="1" applyFont="1">
      <alignment horizontal="center" vertical="bottom"/>
    </xf>
    <xf borderId="7" fillId="8" fontId="17" numFmtId="0" xfId="0" applyAlignment="1" applyBorder="1" applyFill="1" applyFont="1">
      <alignment horizontal="center" vertical="bottom"/>
    </xf>
    <xf borderId="7" fillId="9" fontId="17" numFmtId="0" xfId="0" applyAlignment="1" applyBorder="1" applyFill="1" applyFont="1">
      <alignment horizontal="center" vertical="bottom"/>
    </xf>
    <xf borderId="16" fillId="7" fontId="15" numFmtId="0" xfId="0" applyAlignment="1" applyBorder="1" applyFill="1" applyFont="1">
      <alignment vertical="bottom"/>
    </xf>
    <xf borderId="16" fillId="8" fontId="17" numFmtId="0" xfId="0" applyAlignment="1" applyBorder="1" applyFill="1" applyFont="1">
      <alignment vertical="bottom"/>
    </xf>
    <xf borderId="16" fillId="9" fontId="17" numFmtId="0" xfId="0" applyAlignment="1" applyBorder="1" applyFill="1" applyFont="1">
      <alignment vertical="bottom"/>
    </xf>
    <xf borderId="1" fillId="0" fontId="11" numFmtId="49" xfId="0" applyBorder="1" applyFont="1" applyNumberFormat="1"/>
    <xf borderId="21" fillId="0" fontId="11" numFmtId="49" xfId="0" applyBorder="1" applyFont="1" applyNumberFormat="1"/>
    <xf borderId="22" fillId="0" fontId="2" numFmtId="0" xfId="0" applyBorder="1" applyFont="1"/>
    <xf borderId="23" fillId="0" fontId="2" numFmtId="0" xfId="0" applyBorder="1" applyFont="1"/>
    <xf borderId="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5" numFmtId="49" xfId="0" applyAlignment="1" applyFill="1" applyFont="1" applyNumberFormat="1">
      <alignment vertical="bottom"/>
    </xf>
    <xf borderId="0" fillId="0" fontId="5" numFmtId="49" xfId="0" applyAlignment="1" applyFont="1" applyNumberFormat="1">
      <alignment vertical="bottom"/>
    </xf>
    <xf borderId="7" fillId="2" fontId="3" numFmtId="0" xfId="0" applyAlignment="1" applyBorder="1" applyFill="1" applyFont="1">
      <alignment vertical="bottom"/>
    </xf>
    <xf borderId="7" fillId="11" fontId="18" numFmtId="0" xfId="0" applyAlignment="1" applyBorder="1" applyFill="1" applyFont="1">
      <alignment horizontal="center" vertical="bottom"/>
    </xf>
    <xf borderId="9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5" numFmtId="0" xfId="0" applyAlignment="1" applyBorder="1" applyFont="1">
      <alignment vertical="bottom"/>
    </xf>
    <xf borderId="7" fillId="3" fontId="5" numFmtId="49" xfId="0" applyAlignment="1" applyBorder="1" applyFill="1" applyFont="1" applyNumberFormat="1">
      <alignment vertical="bottom"/>
    </xf>
    <xf borderId="4" fillId="0" fontId="6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7" fillId="0" fontId="6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7" fillId="0" fontId="5" numFmtId="49" xfId="0" applyAlignment="1" applyBorder="1" applyFont="1" applyNumberForma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readingOrder="0" vertical="bottom"/>
    </xf>
    <xf borderId="11" fillId="2" fontId="19" numFmtId="49" xfId="0" applyAlignment="1" applyBorder="1" applyFill="1" applyFont="1" applyNumberFormat="1">
      <alignment horizontal="center" vertical="bottom"/>
    </xf>
    <xf borderId="5" fillId="0" fontId="7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2" fillId="4" fontId="3" numFmtId="49" xfId="0" applyAlignment="1" applyBorder="1" applyFill="1" applyFont="1" applyNumberFormat="1">
      <alignment vertical="top"/>
    </xf>
    <xf borderId="11" fillId="3" fontId="5" numFmtId="49" xfId="0" applyAlignment="1" applyBorder="1" applyFill="1" applyFont="1" applyNumberFormat="1">
      <alignment horizontal="right" vertical="bottom"/>
    </xf>
    <xf borderId="14" fillId="6" fontId="6" numFmtId="0" xfId="0" applyAlignment="1" applyBorder="1" applyFill="1" applyFont="1">
      <alignment vertical="bottom"/>
    </xf>
    <xf borderId="11" fillId="6" fontId="6" numFmtId="0" xfId="0" applyAlignment="1" applyBorder="1" applyFill="1" applyFont="1">
      <alignment horizontal="right" vertical="bottom"/>
    </xf>
    <xf borderId="7" fillId="10" fontId="20" numFmtId="0" xfId="0" applyAlignment="1" applyBorder="1" applyFill="1" applyFont="1">
      <alignment vertical="bottom"/>
    </xf>
    <xf borderId="0" fillId="10" fontId="20" numFmtId="0" xfId="0" applyAlignment="1" applyFill="1" applyFont="1">
      <alignment vertical="bottom"/>
    </xf>
    <xf borderId="7" fillId="12" fontId="20" numFmtId="0" xfId="0" applyAlignment="1" applyBorder="1" applyFill="1" applyFont="1">
      <alignment vertical="bottom"/>
    </xf>
    <xf borderId="0" fillId="12" fontId="20" numFmtId="0" xfId="0" applyAlignment="1" applyFill="1" applyFont="1">
      <alignment vertical="bottom"/>
    </xf>
    <xf borderId="11" fillId="0" fontId="5" numFmtId="49" xfId="0" applyAlignment="1" applyBorder="1" applyFont="1" applyNumberFormat="1">
      <alignment vertical="bottom"/>
    </xf>
    <xf borderId="14" fillId="9" fontId="7" numFmtId="0" xfId="0" applyAlignment="1" applyBorder="1" applyFill="1" applyFont="1">
      <alignment horizontal="right" vertical="bottom"/>
    </xf>
    <xf borderId="11" fillId="9" fontId="5" numFmtId="0" xfId="0" applyAlignment="1" applyBorder="1" applyFill="1" applyFont="1">
      <alignment horizontal="center" vertical="bottom"/>
    </xf>
    <xf borderId="11" fillId="9" fontId="5" numFmtId="0" xfId="0" applyAlignment="1" applyBorder="1" applyFill="1" applyFont="1">
      <alignment horizontal="left" vertical="bottom"/>
    </xf>
    <xf borderId="11" fillId="9" fontId="7" numFmtId="0" xfId="0" applyAlignment="1" applyBorder="1" applyFill="1" applyFont="1">
      <alignment horizontal="right" vertical="bottom"/>
    </xf>
    <xf borderId="7" fillId="6" fontId="6" numFmtId="0" xfId="0" applyAlignment="1" applyBorder="1" applyFill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14" fillId="13" fontId="7" numFmtId="0" xfId="0" applyAlignment="1" applyBorder="1" applyFill="1" applyFont="1">
      <alignment horizontal="right" vertical="bottom"/>
    </xf>
    <xf borderId="11" fillId="13" fontId="7" numFmtId="0" xfId="0" applyAlignment="1" applyBorder="1" applyFill="1" applyFont="1">
      <alignment horizontal="center" vertical="bottom"/>
    </xf>
    <xf borderId="11" fillId="13" fontId="11" numFmtId="0" xfId="0" applyBorder="1" applyFill="1" applyFont="1"/>
    <xf borderId="11" fillId="13" fontId="7" numFmtId="0" xfId="0" applyAlignment="1" applyBorder="1" applyFill="1" applyFont="1">
      <alignment horizontal="right" vertical="bottom"/>
    </xf>
    <xf borderId="16" fillId="6" fontId="6" numFmtId="0" xfId="0" applyAlignment="1" applyBorder="1" applyFill="1" applyFont="1">
      <alignment horizontal="right" vertical="bottom"/>
    </xf>
    <xf borderId="0" fillId="6" fontId="6" numFmtId="0" xfId="0" applyAlignment="1" applyFill="1" applyFont="1">
      <alignment horizontal="right" vertical="bottom"/>
    </xf>
    <xf borderId="11" fillId="0" fontId="5" numFmtId="0" xfId="0" applyAlignment="1" applyBorder="1" applyFont="1">
      <alignment vertical="bottom"/>
    </xf>
    <xf borderId="16" fillId="0" fontId="7" numFmtId="0" xfId="0" applyAlignment="1" applyBorder="1" applyFont="1">
      <alignment horizontal="right" vertical="bottom"/>
    </xf>
    <xf borderId="11" fillId="0" fontId="7" numFmtId="0" xfId="0" applyAlignment="1" applyBorder="1" applyFont="1">
      <alignment horizontal="right" vertical="bottom"/>
    </xf>
    <xf borderId="16" fillId="0" fontId="7" numFmtId="0" xfId="0" applyAlignment="1" applyBorder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1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3" fontId="5" numFmtId="49" xfId="0" applyAlignment="1" applyFill="1" applyFont="1" applyNumberFormat="1">
      <alignment vertical="top"/>
    </xf>
    <xf borderId="24" fillId="3" fontId="5" numFmtId="49" xfId="0" applyAlignment="1" applyBorder="1" applyFill="1" applyFont="1" applyNumberFormat="1">
      <alignment vertical="top"/>
    </xf>
    <xf borderId="24" fillId="0" fontId="2" numFmtId="0" xfId="0" applyBorder="1" applyFont="1"/>
    <xf borderId="25" fillId="0" fontId="2" numFmtId="0" xfId="0" applyBorder="1" applyFont="1"/>
    <xf borderId="11" fillId="13" fontId="5" numFmtId="0" xfId="0" applyAlignment="1" applyBorder="1" applyFill="1" applyFont="1">
      <alignment horizontal="center" vertical="bottom"/>
    </xf>
    <xf borderId="11" fillId="13" fontId="5" numFmtId="0" xfId="0" applyAlignment="1" applyBorder="1" applyFill="1" applyFont="1">
      <alignment horizontal="left" vertical="bottom"/>
    </xf>
    <xf borderId="1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14" fillId="0" fontId="5" numFmtId="0" xfId="0" applyAlignment="1" applyBorder="1" applyFont="1">
      <alignment vertical="bottom"/>
    </xf>
    <xf borderId="11" fillId="0" fontId="11" numFmtId="0" xfId="0" applyBorder="1" applyFont="1"/>
    <xf borderId="26" fillId="0" fontId="5" numFmtId="49" xfId="0" applyAlignment="1" applyBorder="1" applyFont="1" applyNumberFormat="1">
      <alignment vertical="bottom"/>
    </xf>
    <xf borderId="27" fillId="0" fontId="2" numFmtId="0" xfId="0" applyBorder="1" applyFont="1"/>
    <xf borderId="28" fillId="0" fontId="2" numFmtId="0" xfId="0" applyBorder="1" applyFont="1"/>
    <xf borderId="29" fillId="0" fontId="5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0" fontId="11" numFmtId="0" xfId="0" applyBorder="1" applyFont="1"/>
    <xf borderId="30" fillId="0" fontId="2" numFmtId="0" xfId="0" applyBorder="1" applyFont="1"/>
    <xf borderId="7" fillId="3" fontId="5" numFmtId="49" xfId="0" applyAlignment="1" applyBorder="1" applyFill="1" applyFont="1" applyNumberFormat="1">
      <alignment vertical="top"/>
    </xf>
    <xf borderId="11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left" readingOrder="0" vertical="bottom"/>
    </xf>
    <xf borderId="11" fillId="0" fontId="7" numFmtId="0" xfId="0" applyAlignment="1" applyBorder="1" applyFont="1">
      <alignment horizontal="right" readingOrder="0" vertical="bottom"/>
    </xf>
    <xf borderId="11" fillId="0" fontId="5" numFmtId="0" xfId="0" applyAlignment="1" applyBorder="1" applyFont="1">
      <alignment horizontal="center" readingOrder="0" vertical="bottom"/>
    </xf>
    <xf borderId="12" fillId="3" fontId="3" numFmtId="49" xfId="0" applyAlignment="1" applyBorder="1" applyFill="1" applyFont="1" applyNumberFormat="1">
      <alignment vertical="top"/>
    </xf>
    <xf borderId="0" fillId="0" fontId="12" numFmtId="0" xfId="0" applyAlignment="1" applyFont="1">
      <alignment vertical="bottom"/>
    </xf>
    <xf borderId="0" fillId="0" fontId="12" numFmtId="0" xfId="0" applyAlignment="1" applyFont="1">
      <alignment shrinkToFit="0" vertical="top" wrapText="1"/>
    </xf>
    <xf borderId="0" fillId="0" fontId="11" numFmtId="0" xfId="0" applyAlignment="1" applyFont="1">
      <alignment readingOrder="0"/>
    </xf>
    <xf borderId="12" fillId="0" fontId="5" numFmtId="0" xfId="0" applyAlignment="1" applyBorder="1" applyFont="1">
      <alignment horizontal="center" readingOrder="0" vertical="bottom"/>
    </xf>
    <xf borderId="10" fillId="0" fontId="12" numFmtId="0" xfId="0" applyAlignment="1" applyBorder="1" applyFont="1">
      <alignment shrinkToFit="0" vertical="top" wrapText="1"/>
    </xf>
    <xf borderId="12" fillId="0" fontId="7" numFmtId="0" xfId="0" applyAlignment="1" applyBorder="1" applyFont="1">
      <alignment horizontal="right" readingOrder="0" vertical="bottom"/>
    </xf>
    <xf borderId="12" fillId="0" fontId="5" numFmtId="0" xfId="0" applyAlignment="1" applyBorder="1" applyFont="1">
      <alignment horizontal="left" readingOrder="0" vertical="bottom"/>
    </xf>
    <xf borderId="29" fillId="0" fontId="7" numFmtId="0" xfId="0" applyAlignment="1" applyBorder="1" applyFont="1">
      <alignment horizontal="right" readingOrder="0" vertical="bottom"/>
    </xf>
    <xf borderId="17" fillId="0" fontId="7" numFmtId="0" xfId="0" applyAlignment="1" applyBorder="1" applyFont="1">
      <alignment horizontal="right" readingOrder="0" vertical="bottom"/>
    </xf>
    <xf borderId="18" fillId="0" fontId="5" numFmtId="0" xfId="0" applyAlignment="1" applyBorder="1" applyFont="1">
      <alignment horizontal="center" readingOrder="0" vertical="bottom"/>
    </xf>
    <xf borderId="18" fillId="0" fontId="5" numFmtId="0" xfId="0" applyAlignment="1" applyBorder="1" applyFont="1">
      <alignment horizontal="left" readingOrder="0" vertical="bottom"/>
    </xf>
    <xf borderId="18" fillId="0" fontId="7" numFmtId="0" xfId="0" applyAlignment="1" applyBorder="1" applyFont="1">
      <alignment horizontal="right" readingOrder="0" vertical="bottom"/>
    </xf>
    <xf borderId="19" fillId="0" fontId="5" numFmtId="0" xfId="0" applyAlignment="1" applyBorder="1" applyFont="1">
      <alignment vertical="bottom"/>
    </xf>
    <xf borderId="20" fillId="0" fontId="5" numFmtId="0" xfId="0" applyAlignment="1" applyBorder="1" applyFont="1">
      <alignment vertical="bottom"/>
    </xf>
    <xf borderId="17" fillId="0" fontId="5" numFmtId="0" xfId="0" applyAlignment="1" applyBorder="1" applyFont="1">
      <alignment vertical="bottom"/>
    </xf>
    <xf borderId="18" fillId="0" fontId="5" numFmtId="0" xfId="0" applyAlignment="1" applyBorder="1" applyFont="1">
      <alignment vertical="bottom"/>
    </xf>
    <xf borderId="18" fillId="0" fontId="11" numFmtId="0" xfId="0" applyBorder="1" applyFont="1"/>
    <xf borderId="0" fillId="7" fontId="13" numFmtId="0" xfId="0" applyAlignment="1" applyFill="1" applyFont="1">
      <alignment horizontal="center" readingOrder="0"/>
    </xf>
    <xf borderId="0" fillId="8" fontId="14" numFmtId="0" xfId="0" applyAlignment="1" applyFill="1" applyFont="1">
      <alignment horizontal="center" readingOrder="0"/>
    </xf>
    <xf borderId="7" fillId="0" fontId="7" numFmtId="167" xfId="0" applyAlignment="1" applyBorder="1" applyFont="1" applyNumberFormat="1">
      <alignment horizontal="right" readingOrder="0" vertical="bottom"/>
    </xf>
    <xf borderId="0" fillId="0" fontId="7" numFmtId="167" xfId="0" applyAlignment="1" applyFont="1" applyNumberFormat="1">
      <alignment horizontal="right" readingOrder="0" vertical="bottom"/>
    </xf>
    <xf borderId="0" fillId="10" fontId="16" numFmtId="0" xfId="0" applyAlignment="1" applyFill="1" applyFont="1">
      <alignment horizontal="center" readingOrder="0" vertical="bottom"/>
    </xf>
    <xf borderId="14" fillId="0" fontId="7" numFmtId="0" xfId="0" applyAlignment="1" applyBorder="1" applyFont="1">
      <alignment horizontal="right" vertical="bottom"/>
    </xf>
    <xf borderId="11" fillId="0" fontId="5" numFmtId="0" xfId="0" applyAlignment="1" applyBorder="1" applyFont="1">
      <alignment horizontal="left" vertical="bottom"/>
    </xf>
    <xf borderId="0" fillId="7" fontId="15" numFmtId="0" xfId="0" applyAlignment="1" applyFill="1" applyFont="1">
      <alignment horizontal="center" vertical="bottom"/>
    </xf>
    <xf borderId="0" fillId="8" fontId="17" numFmtId="0" xfId="0" applyAlignment="1" applyFill="1" applyFont="1">
      <alignment horizontal="center" vertical="bottom"/>
    </xf>
    <xf borderId="0" fillId="7" fontId="15" numFmtId="0" xfId="0" applyAlignment="1" applyFill="1" applyFont="1">
      <alignment vertical="bottom"/>
    </xf>
    <xf borderId="0" fillId="8" fontId="17" numFmtId="0" xfId="0" applyAlignment="1" applyFill="1" applyFont="1">
      <alignment vertical="bottom"/>
    </xf>
    <xf borderId="11" fillId="0" fontId="5" numFmtId="0" xfId="0" applyAlignment="1" applyBorder="1" applyFont="1">
      <alignment horizontal="right" vertical="bottom"/>
    </xf>
    <xf borderId="0" fillId="0" fontId="21" numFmtId="0" xfId="0" applyFont="1"/>
    <xf borderId="16" fillId="0" fontId="5" numFmtId="0" xfId="0" applyAlignment="1" applyBorder="1" applyFont="1">
      <alignment vertical="bottom"/>
    </xf>
    <xf borderId="11" fillId="0" fontId="5" numFmtId="0" xfId="0" applyAlignment="1" applyBorder="1" applyFont="1">
      <alignment horizontal="right" readingOrder="0" vertical="bottom"/>
    </xf>
    <xf borderId="9" fillId="7" fontId="7" numFmtId="0" xfId="0" applyAlignment="1" applyBorder="1" applyFill="1" applyFont="1">
      <alignment horizontal="right" vertical="bottom"/>
    </xf>
    <xf borderId="0" fillId="7" fontId="5" numFmtId="0" xfId="0" applyAlignment="1" applyFill="1" applyFont="1">
      <alignment horizontal="center" vertical="bottom"/>
    </xf>
    <xf borderId="0" fillId="7" fontId="5" numFmtId="0" xfId="0" applyAlignment="1" applyFill="1" applyFont="1">
      <alignment horizontal="right" vertical="bottom"/>
    </xf>
    <xf borderId="17" fillId="0" fontId="7" numFmtId="0" xfId="0" applyAlignment="1" applyBorder="1" applyFont="1">
      <alignment horizontal="right" vertical="bottom"/>
    </xf>
    <xf borderId="18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right" vertical="bottom"/>
    </xf>
    <xf borderId="1" fillId="3" fontId="14" numFmtId="0" xfId="0" applyAlignment="1" applyBorder="1" applyFill="1" applyFont="1">
      <alignment horizontal="center" readingOrder="0"/>
    </xf>
    <xf borderId="0" fillId="3" fontId="14" numFmtId="0" xfId="0" applyAlignment="1" applyFill="1" applyFont="1">
      <alignment horizontal="center" readingOrder="0"/>
    </xf>
    <xf borderId="14" fillId="3" fontId="17" numFmtId="0" xfId="0" applyAlignment="1" applyBorder="1" applyFill="1" applyFont="1">
      <alignment vertical="bottom"/>
    </xf>
    <xf borderId="11" fillId="3" fontId="17" numFmtId="0" xfId="0" applyAlignment="1" applyBorder="1" applyFill="1" applyFont="1">
      <alignment vertical="bottom"/>
    </xf>
    <xf borderId="7" fillId="12" fontId="20" numFmtId="0" xfId="0" applyAlignment="1" applyBorder="1" applyFill="1" applyFont="1">
      <alignment readingOrder="0" vertical="bottom"/>
    </xf>
    <xf borderId="0" fillId="12" fontId="20" numFmtId="0" xfId="0" applyAlignment="1" applyFill="1" applyFont="1">
      <alignment readingOrder="0" vertical="bottom"/>
    </xf>
    <xf borderId="14" fillId="0" fontId="5" numFmtId="0" xfId="0" applyAlignment="1" applyBorder="1" applyFont="1">
      <alignment readingOrder="0" vertical="bottom"/>
    </xf>
    <xf borderId="11" fillId="0" fontId="11" numFmtId="0" xfId="0" applyAlignment="1" applyBorder="1" applyFont="1">
      <alignment readingOrder="0"/>
    </xf>
    <xf borderId="7" fillId="3" fontId="17" numFmtId="0" xfId="0" applyAlignment="1" applyBorder="1" applyFill="1" applyFont="1">
      <alignment horizontal="center" vertical="bottom"/>
    </xf>
    <xf borderId="0" fillId="3" fontId="17" numFmtId="0" xfId="0" applyAlignment="1" applyFill="1" applyFont="1">
      <alignment horizontal="center" vertical="bottom"/>
    </xf>
    <xf borderId="29" fillId="0" fontId="5" numFmtId="0" xfId="0" applyAlignment="1" applyBorder="1" applyFont="1">
      <alignment readingOrder="0" vertical="bottom"/>
    </xf>
    <xf borderId="12" fillId="0" fontId="11" numFmtId="0" xfId="0" applyAlignment="1" applyBorder="1" applyFont="1">
      <alignment readingOrder="0"/>
    </xf>
    <xf borderId="16" fillId="3" fontId="17" numFmtId="0" xfId="0" applyAlignment="1" applyBorder="1" applyFill="1" applyFont="1">
      <alignment vertical="bottom"/>
    </xf>
    <xf borderId="0" fillId="3" fontId="17" numFmtId="0" xfId="0" applyAlignment="1" applyFill="1" applyFont="1">
      <alignment vertical="bottom"/>
    </xf>
    <xf borderId="12" fillId="0" fontId="5" numFmtId="0" xfId="0" applyAlignment="1" applyBorder="1" applyFont="1">
      <alignment readingOrder="0" vertical="bottom"/>
    </xf>
    <xf borderId="11" fillId="0" fontId="7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right" readingOrder="0" vertical="bottom"/>
    </xf>
    <xf borderId="1" fillId="2" fontId="3" numFmtId="0" xfId="0" applyAlignment="1" applyBorder="1" applyFill="1" applyFont="1">
      <alignment vertical="bottom"/>
    </xf>
    <xf borderId="31" fillId="0" fontId="2" numFmtId="0" xfId="0" applyBorder="1" applyFont="1"/>
    <xf borderId="32" fillId="11" fontId="18" numFmtId="0" xfId="0" applyAlignment="1" applyBorder="1" applyFill="1" applyFont="1">
      <alignment horizontal="center" readingOrder="0" vertical="bottom"/>
    </xf>
    <xf borderId="4" fillId="2" fontId="3" numFmtId="49" xfId="0" applyAlignment="1" applyBorder="1" applyFill="1" applyFont="1" applyNumberFormat="1">
      <alignment vertical="bottom"/>
    </xf>
    <xf borderId="7" fillId="3" fontId="3" numFmtId="49" xfId="0" applyAlignment="1" applyBorder="1" applyFill="1" applyFont="1" applyNumberFormat="1">
      <alignment readingOrder="0" vertical="center"/>
    </xf>
    <xf borderId="1" fillId="0" fontId="22" numFmtId="0" xfId="0" applyAlignment="1" applyBorder="1" applyFont="1">
      <alignment horizontal="center" readingOrder="0"/>
    </xf>
    <xf borderId="7" fillId="0" fontId="7" numFmtId="164" xfId="0" applyAlignment="1" applyBorder="1" applyFont="1" applyNumberFormat="1">
      <alignment horizontal="left" readingOrder="0" vertical="bottom"/>
    </xf>
    <xf borderId="7" fillId="0" fontId="7" numFmtId="164" xfId="0" applyAlignment="1" applyBorder="1" applyFont="1" applyNumberFormat="1">
      <alignment horizontal="right" readingOrder="0" vertical="bottom"/>
    </xf>
    <xf borderId="14" fillId="2" fontId="3" numFmtId="49" xfId="0" applyAlignment="1" applyBorder="1" applyFill="1" applyFont="1" applyNumberFormat="1">
      <alignment vertical="bottom"/>
    </xf>
    <xf borderId="16" fillId="2" fontId="3" numFmtId="49" xfId="0" applyAlignment="1" applyBorder="1" applyFill="1" applyFont="1" applyNumberFormat="1">
      <alignment vertical="bottom"/>
    </xf>
    <xf borderId="14" fillId="0" fontId="22" numFmtId="0" xfId="0" applyAlignment="1" applyBorder="1" applyFont="1">
      <alignment readingOrder="0"/>
    </xf>
    <xf borderId="11" fillId="0" fontId="23" numFmtId="0" xfId="0" applyAlignment="1" applyBorder="1" applyFont="1">
      <alignment horizontal="center" readingOrder="0"/>
    </xf>
    <xf borderId="7" fillId="0" fontId="22" numFmtId="0" xfId="0" applyAlignment="1" applyBorder="1" applyFont="1">
      <alignment horizontal="left" readingOrder="0"/>
    </xf>
    <xf borderId="29" fillId="4" fontId="3" numFmtId="49" xfId="0" applyAlignment="1" applyBorder="1" applyFill="1" applyFont="1" applyNumberFormat="1">
      <alignment vertical="top"/>
    </xf>
    <xf borderId="11" fillId="3" fontId="5" numFmtId="0" xfId="0" applyAlignment="1" applyBorder="1" applyFill="1" applyFont="1">
      <alignment horizontal="right" readingOrder="0" vertical="bottom"/>
    </xf>
    <xf borderId="16" fillId="3" fontId="5" numFmtId="49" xfId="0" applyAlignment="1" applyBorder="1" applyFill="1" applyFont="1" applyNumberFormat="1">
      <alignment vertical="bottom"/>
    </xf>
    <xf borderId="4" fillId="14" fontId="24" numFmtId="0" xfId="0" applyAlignment="1" applyBorder="1" applyFill="1" applyFont="1">
      <alignment horizontal="center" readingOrder="0"/>
    </xf>
    <xf borderId="33" fillId="0" fontId="2" numFmtId="0" xfId="0" applyBorder="1" applyFont="1"/>
    <xf borderId="14" fillId="14" fontId="24" numFmtId="0" xfId="0" applyAlignment="1" applyBorder="1" applyFill="1" applyFont="1">
      <alignment horizontal="center" readingOrder="0"/>
    </xf>
    <xf borderId="11" fillId="14" fontId="24" numFmtId="0" xfId="0" applyAlignment="1" applyBorder="1" applyFill="1" applyFont="1">
      <alignment horizontal="center" readingOrder="0"/>
    </xf>
    <xf borderId="16" fillId="14" fontId="24" numFmtId="0" xfId="0" applyAlignment="1" applyBorder="1" applyFill="1" applyFont="1">
      <alignment horizontal="center" readingOrder="0"/>
    </xf>
    <xf borderId="11" fillId="3" fontId="5" numFmtId="0" xfId="0" applyAlignment="1" applyBorder="1" applyFill="1" applyFont="1">
      <alignment horizontal="right" vertical="bottom"/>
    </xf>
    <xf borderId="16" fillId="0" fontId="5" numFmtId="49" xfId="0" applyAlignment="1" applyBorder="1" applyFont="1" applyNumberFormat="1">
      <alignment vertical="bottom"/>
    </xf>
    <xf borderId="14" fillId="0" fontId="22" numFmtId="0" xfId="0" applyAlignment="1" applyBorder="1" applyFont="1">
      <alignment horizontal="center" readingOrder="0"/>
    </xf>
    <xf borderId="11" fillId="0" fontId="25" numFmtId="49" xfId="0" applyAlignment="1" applyBorder="1" applyFont="1" applyNumberFormat="1">
      <alignment horizontal="center" readingOrder="0"/>
    </xf>
    <xf borderId="16" fillId="0" fontId="25" numFmtId="0" xfId="0" applyAlignment="1" applyBorder="1" applyFont="1">
      <alignment horizontal="center"/>
    </xf>
    <xf borderId="14" fillId="15" fontId="6" numFmtId="0" xfId="0" applyAlignment="1" applyBorder="1" applyFill="1" applyFont="1">
      <alignment vertical="bottom"/>
    </xf>
    <xf borderId="11" fillId="15" fontId="6" numFmtId="0" xfId="0" applyAlignment="1" applyBorder="1" applyFill="1" applyFont="1">
      <alignment vertical="bottom"/>
    </xf>
    <xf borderId="14" fillId="9" fontId="6" numFmtId="0" xfId="0" applyAlignment="1" applyBorder="1" applyFill="1" applyFont="1">
      <alignment vertical="bottom"/>
    </xf>
    <xf borderId="11" fillId="9" fontId="6" numFmtId="0" xfId="0" applyAlignment="1" applyBorder="1" applyFill="1" applyFont="1">
      <alignment vertical="bottom"/>
    </xf>
    <xf borderId="7" fillId="15" fontId="6" numFmtId="0" xfId="0" applyAlignment="1" applyBorder="1" applyFill="1" applyFont="1">
      <alignment horizontal="center" vertical="bottom"/>
    </xf>
    <xf borderId="7" fillId="9" fontId="6" numFmtId="0" xfId="0" applyAlignment="1" applyBorder="1" applyFill="1" applyFont="1">
      <alignment horizontal="center" vertical="bottom"/>
    </xf>
    <xf borderId="16" fillId="7" fontId="15" numFmtId="0" xfId="0" applyAlignment="1" applyBorder="1" applyFill="1" applyFont="1">
      <alignment readingOrder="0" vertical="bottom"/>
    </xf>
    <xf borderId="16" fillId="15" fontId="6" numFmtId="0" xfId="0" applyAlignment="1" applyBorder="1" applyFill="1" applyFont="1">
      <alignment readingOrder="0" vertical="bottom"/>
    </xf>
    <xf borderId="16" fillId="9" fontId="6" numFmtId="0" xfId="0" applyAlignment="1" applyBorder="1" applyFill="1" applyFont="1">
      <alignment readingOrder="0" vertical="bottom"/>
    </xf>
    <xf borderId="24" fillId="3" fontId="5" numFmtId="0" xfId="0" applyAlignment="1" applyBorder="1" applyFill="1" applyFont="1">
      <alignment horizontal="right" vertical="top"/>
    </xf>
    <xf borderId="34" fillId="3" fontId="5" numFmtId="49" xfId="0" applyAlignment="1" applyBorder="1" applyFill="1" applyFont="1" applyNumberFormat="1">
      <alignment vertical="top"/>
    </xf>
    <xf borderId="11" fillId="0" fontId="25" numFmtId="49" xfId="0" applyAlignment="1" applyBorder="1" applyFont="1" applyNumberFormat="1">
      <alignment horizontal="center"/>
    </xf>
    <xf borderId="16" fillId="0" fontId="25" numFmtId="49" xfId="0" applyAlignment="1" applyBorder="1" applyFont="1" applyNumberFormat="1">
      <alignment horizontal="center" readingOrder="0"/>
    </xf>
    <xf borderId="35" fillId="0" fontId="2" numFmtId="0" xfId="0" applyBorder="1" applyFont="1"/>
    <xf borderId="16" fillId="0" fontId="25" numFmtId="49" xfId="0" applyAlignment="1" applyBorder="1" applyFont="1" applyNumberFormat="1">
      <alignment horizontal="center"/>
    </xf>
    <xf borderId="36" fillId="0" fontId="5" numFmtId="49" xfId="0" applyAlignment="1" applyBorder="1" applyFont="1" applyNumberFormat="1">
      <alignment vertical="bottom"/>
    </xf>
    <xf borderId="27" fillId="0" fontId="5" numFmtId="49" xfId="0" applyAlignment="1" applyBorder="1" applyFont="1" applyNumberFormat="1">
      <alignment vertical="bottom"/>
    </xf>
    <xf borderId="37" fillId="0" fontId="5" numFmtId="49" xfId="0" applyAlignment="1" applyBorder="1" applyFont="1" applyNumberFormat="1">
      <alignment vertical="bottom"/>
    </xf>
    <xf borderId="38" fillId="0" fontId="5" numFmtId="49" xfId="0" applyAlignment="1" applyBorder="1" applyFont="1" applyNumberFormat="1">
      <alignment vertical="bottom"/>
    </xf>
    <xf borderId="24" fillId="0" fontId="5" numFmtId="49" xfId="0" applyAlignment="1" applyBorder="1" applyFont="1" applyNumberFormat="1">
      <alignment vertical="bottom"/>
    </xf>
    <xf borderId="34" fillId="0" fontId="5" numFmtId="49" xfId="0" applyAlignment="1" applyBorder="1" applyFont="1" applyNumberFormat="1">
      <alignment vertical="bottom"/>
    </xf>
    <xf borderId="11" fillId="3" fontId="5" numFmtId="0" xfId="0" applyAlignment="1" applyBorder="1" applyFill="1" applyFont="1">
      <alignment readingOrder="0" vertical="bottom"/>
    </xf>
    <xf borderId="11" fillId="0" fontId="25" numFmtId="0" xfId="0" applyAlignment="1" applyBorder="1" applyFont="1">
      <alignment horizontal="center"/>
    </xf>
    <xf borderId="5" fillId="3" fontId="5" numFmtId="49" xfId="0" applyAlignment="1" applyBorder="1" applyFill="1" applyFont="1" applyNumberFormat="1">
      <alignment vertical="top"/>
    </xf>
    <xf borderId="5" fillId="3" fontId="5" numFmtId="0" xfId="0" applyAlignment="1" applyBorder="1" applyFill="1" applyFont="1">
      <alignment vertical="top"/>
    </xf>
    <xf borderId="6" fillId="3" fontId="5" numFmtId="49" xfId="0" applyAlignment="1" applyBorder="1" applyFill="1" applyFont="1" applyNumberFormat="1">
      <alignment vertical="top"/>
    </xf>
    <xf borderId="17" fillId="0" fontId="22" numFmtId="0" xfId="0" applyAlignment="1" applyBorder="1" applyFont="1">
      <alignment horizontal="center" readingOrder="0"/>
    </xf>
    <xf borderId="18" fillId="0" fontId="25" numFmtId="49" xfId="0" applyAlignment="1" applyBorder="1" applyFont="1" applyNumberFormat="1">
      <alignment horizontal="center"/>
    </xf>
    <xf borderId="18" fillId="0" fontId="25" numFmtId="0" xfId="0" applyAlignment="1" applyBorder="1" applyFont="1">
      <alignment horizontal="center"/>
    </xf>
    <xf borderId="39" fillId="0" fontId="25" numFmtId="0" xfId="0" applyAlignment="1" applyBorder="1" applyFont="1">
      <alignment horizontal="center"/>
    </xf>
    <xf borderId="0" fillId="0" fontId="11" numFmtId="0" xfId="0" applyFont="1"/>
    <xf borderId="10" fillId="0" fontId="11" numFmtId="0" xfId="0" applyBorder="1" applyFont="1"/>
    <xf borderId="5" fillId="3" fontId="5" numFmtId="49" xfId="0" applyAlignment="1" applyBorder="1" applyFill="1" applyFont="1" applyNumberFormat="1">
      <alignment vertical="bottom"/>
    </xf>
    <xf borderId="5" fillId="3" fontId="5" numFmtId="0" xfId="0" applyAlignment="1" applyBorder="1" applyFill="1" applyFont="1">
      <alignment vertical="bottom"/>
    </xf>
    <xf borderId="6" fillId="3" fontId="5" numFmtId="49" xfId="0" applyAlignment="1" applyBorder="1" applyFill="1" applyFont="1" applyNumberFormat="1">
      <alignment vertical="bottom"/>
    </xf>
    <xf borderId="9" fillId="0" fontId="11" numFmtId="0" xfId="0" applyBorder="1" applyFont="1"/>
    <xf borderId="9" fillId="0" fontId="26" numFmtId="0" xfId="0" applyAlignment="1" applyBorder="1" applyFont="1">
      <alignment readingOrder="0"/>
    </xf>
    <xf borderId="29" fillId="4" fontId="3" numFmtId="49" xfId="0" applyAlignment="1" applyBorder="1" applyFill="1" applyFont="1" applyNumberFormat="1">
      <alignment readingOrder="0" vertical="top"/>
    </xf>
    <xf borderId="40" fillId="0" fontId="2" numFmtId="0" xfId="0" applyBorder="1" applyFont="1"/>
    <xf borderId="41" fillId="0" fontId="2" numFmtId="0" xfId="0" applyBorder="1" applyFont="1"/>
    <xf borderId="18" fillId="3" fontId="3" numFmtId="49" xfId="0" applyAlignment="1" applyBorder="1" applyFill="1" applyFont="1" applyNumberFormat="1">
      <alignment horizontal="right" vertical="bottom"/>
    </xf>
    <xf borderId="18" fillId="3" fontId="5" numFmtId="0" xfId="0" applyAlignment="1" applyBorder="1" applyFill="1" applyFont="1">
      <alignment readingOrder="0" vertical="bottom"/>
    </xf>
    <xf borderId="18" fillId="3" fontId="5" numFmtId="49" xfId="0" applyAlignment="1" applyBorder="1" applyFill="1" applyFont="1" applyNumberFormat="1">
      <alignment horizontal="right" vertical="bottom"/>
    </xf>
    <xf borderId="18" fillId="3" fontId="5" numFmtId="49" xfId="0" applyAlignment="1" applyBorder="1" applyFill="1" applyFont="1" applyNumberFormat="1">
      <alignment vertical="bottom"/>
    </xf>
    <xf borderId="39" fillId="3" fontId="5" numFmtId="49" xfId="0" applyAlignment="1" applyBorder="1" applyFill="1" applyFont="1" applyNumberFormat="1">
      <alignment vertical="bottom"/>
    </xf>
    <xf borderId="18" fillId="0" fontId="5" numFmtId="165" xfId="0" applyAlignment="1" applyBorder="1" applyFont="1" applyNumberFormat="1">
      <alignment horizontal="right" vertical="bottom"/>
    </xf>
    <xf borderId="19" fillId="0" fontId="11" numFmtId="0" xfId="0" applyBorder="1" applyFont="1"/>
    <xf borderId="20" fillId="0" fontId="11" numFmtId="0" xfId="0" applyBorder="1" applyFont="1"/>
    <xf borderId="16" fillId="0" fontId="22" numFmtId="164" xfId="0" applyAlignment="1" applyBorder="1" applyFont="1" applyNumberFormat="1">
      <alignment horizontal="left" readingOrder="0"/>
    </xf>
    <xf borderId="11" fillId="14" fontId="27" numFmtId="0" xfId="0" applyAlignment="1" applyBorder="1" applyFill="1" applyFont="1">
      <alignment horizontal="center" readingOrder="0"/>
    </xf>
    <xf borderId="16" fillId="14" fontId="27" numFmtId="0" xfId="0" applyAlignment="1" applyBorder="1" applyFill="1" applyFont="1">
      <alignment horizontal="center" readingOrder="0"/>
    </xf>
    <xf borderId="11" fillId="0" fontId="25" numFmtId="0" xfId="0" applyAlignment="1" applyBorder="1" applyFont="1">
      <alignment horizontal="center" readingOrder="0"/>
    </xf>
    <xf borderId="18" fillId="0" fontId="25" numFmtId="0" xfId="0" applyAlignment="1" applyBorder="1" applyFont="1">
      <alignment horizontal="center"/>
    </xf>
    <xf borderId="39" fillId="0" fontId="25" numFmtId="49" xfId="0" applyAlignment="1" applyBorder="1" applyFont="1" applyNumberFormat="1">
      <alignment horizontal="center"/>
    </xf>
    <xf borderId="1" fillId="0" fontId="28" numFmtId="0" xfId="0" applyAlignment="1" applyBorder="1" applyFont="1">
      <alignment horizontal="center" readingOrder="0"/>
    </xf>
    <xf borderId="0" fillId="0" fontId="5" numFmtId="165" xfId="0" applyAlignment="1" applyFont="1" applyNumberFormat="1">
      <alignment vertical="bottom"/>
    </xf>
    <xf borderId="7" fillId="0" fontId="20" numFmtId="0" xfId="0" applyAlignment="1" applyBorder="1" applyFont="1">
      <alignment readingOrder="0" vertical="bottom"/>
    </xf>
    <xf borderId="7" fillId="0" fontId="29" numFmtId="164" xfId="0" applyAlignment="1" applyBorder="1" applyFont="1" applyNumberFormat="1">
      <alignment horizontal="left" readingOrder="0" vertical="bottom"/>
    </xf>
    <xf borderId="11" fillId="0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readingOrder="0" vertical="bottom"/>
    </xf>
    <xf borderId="14" fillId="0" fontId="28" numFmtId="0" xfId="0" applyAlignment="1" applyBorder="1" applyFont="1">
      <alignment horizontal="center" readingOrder="0"/>
    </xf>
    <xf borderId="11" fillId="0" fontId="28" numFmtId="0" xfId="0" applyAlignment="1" applyBorder="1" applyFont="1">
      <alignment horizontal="center" readingOrder="0"/>
    </xf>
    <xf borderId="0" fillId="0" fontId="28" numFmtId="0" xfId="0" applyAlignment="1" applyFont="1">
      <alignment horizontal="center" readingOrder="0"/>
    </xf>
    <xf borderId="10" fillId="0" fontId="28" numFmtId="0" xfId="0" applyAlignment="1" applyBorder="1" applyFont="1">
      <alignment horizontal="center" readingOrder="0"/>
    </xf>
    <xf borderId="17" fillId="0" fontId="28" numFmtId="0" xfId="0" applyAlignment="1" applyBorder="1" applyFont="1">
      <alignment horizontal="center" readingOrder="0"/>
    </xf>
    <xf borderId="18" fillId="0" fontId="28" numFmtId="0" xfId="0" applyAlignment="1" applyBorder="1" applyFont="1">
      <alignment horizontal="center" readingOrder="0"/>
    </xf>
    <xf borderId="19" fillId="0" fontId="28" numFmtId="0" xfId="0" applyAlignment="1" applyBorder="1" applyFont="1">
      <alignment horizontal="center" readingOrder="0"/>
    </xf>
    <xf borderId="20" fillId="0" fontId="28" numFmtId="0" xfId="0" applyAlignment="1" applyBorder="1" applyFont="1">
      <alignment horizontal="center" readingOrder="0"/>
    </xf>
    <xf borderId="0" fillId="0" fontId="11" numFmtId="0" xfId="0" applyAlignment="1" applyFont="1">
      <alignment horizontal="right"/>
    </xf>
    <xf borderId="14" fillId="6" fontId="7" numFmtId="0" xfId="0" applyAlignment="1" applyBorder="1" applyFill="1" applyFont="1">
      <alignment horizontal="right" readingOrder="0" vertical="bottom"/>
    </xf>
    <xf borderId="11" fillId="6" fontId="7" numFmtId="0" xfId="0" applyAlignment="1" applyBorder="1" applyFill="1" applyFont="1">
      <alignment horizontal="center" readingOrder="0" vertical="bottom"/>
    </xf>
    <xf borderId="11" fillId="6" fontId="7" numFmtId="0" xfId="0" applyAlignment="1" applyBorder="1" applyFill="1" applyFont="1">
      <alignment readingOrder="0" vertical="bottom"/>
    </xf>
    <xf borderId="11" fillId="6" fontId="7" numFmtId="0" xfId="0" applyAlignment="1" applyBorder="1" applyFill="1" applyFont="1">
      <alignment horizontal="right" readingOrder="0" vertical="bottom"/>
    </xf>
    <xf borderId="11" fillId="0" fontId="11" numFmtId="0" xfId="0" applyAlignment="1" applyBorder="1" applyFont="1">
      <alignment horizontal="center" readingOrder="0"/>
    </xf>
    <xf borderId="14" fillId="0" fontId="11" numFmtId="0" xfId="0" applyBorder="1" applyFont="1"/>
    <xf borderId="11" fillId="0" fontId="11" numFmtId="0" xfId="0" applyBorder="1" applyFont="1"/>
    <xf borderId="17" fillId="0" fontId="11" numFmtId="0" xfId="0" applyBorder="1" applyFont="1"/>
    <xf borderId="18" fillId="0" fontId="11" numFmtId="0" xfId="0" applyBorder="1" applyFont="1"/>
    <xf borderId="1" fillId="0" fontId="4" numFmtId="0" xfId="0" applyAlignment="1" applyBorder="1" applyFont="1">
      <alignment horizontal="center" vertical="bottom"/>
    </xf>
    <xf borderId="7" fillId="3" fontId="4" numFmtId="49" xfId="0" applyBorder="1" applyFill="1" applyFont="1" applyNumberFormat="1"/>
    <xf borderId="7" fillId="0" fontId="5" numFmtId="164" xfId="0" applyAlignment="1" applyBorder="1" applyFont="1" applyNumberFormat="1">
      <alignment vertical="bottom"/>
    </xf>
    <xf borderId="7" fillId="0" fontId="20" numFmtId="0" xfId="0" applyAlignment="1" applyBorder="1" applyFont="1">
      <alignment vertical="bottom"/>
    </xf>
    <xf borderId="7" fillId="0" fontId="29" numFmtId="164" xfId="0" applyAlignment="1" applyBorder="1" applyFont="1" applyNumberFormat="1">
      <alignment vertical="bottom"/>
    </xf>
    <xf borderId="7" fillId="0" fontId="7" numFmtId="0" xfId="0" applyAlignment="1" applyBorder="1" applyFont="1">
      <alignment vertical="bottom"/>
    </xf>
    <xf borderId="11" fillId="3" fontId="5" numFmtId="0" xfId="0" applyAlignment="1" applyBorder="1" applyFill="1" applyFont="1">
      <alignment horizontal="right" vertical="bottom"/>
    </xf>
    <xf borderId="11" fillId="3" fontId="30" numFmtId="49" xfId="0" applyAlignment="1" applyBorder="1" applyFill="1" applyFont="1" applyNumberFormat="1">
      <alignment horizontal="right" vertical="bottom"/>
    </xf>
    <xf borderId="5" fillId="0" fontId="7" numFmtId="0" xfId="0" applyAlignment="1" applyBorder="1" applyFont="1">
      <alignment vertical="bottom"/>
    </xf>
    <xf borderId="7" fillId="6" fontId="10" numFmtId="0" xfId="0" applyAlignment="1" applyBorder="1" applyFill="1" applyFont="1">
      <alignment vertical="bottom"/>
    </xf>
    <xf borderId="14" fillId="0" fontId="5" numFmtId="0" xfId="0" applyAlignment="1" applyBorder="1" applyFont="1">
      <alignment vertical="bottom"/>
    </xf>
    <xf borderId="16" fillId="6" fontId="6" numFmtId="0" xfId="0" applyAlignment="1" applyBorder="1" applyFill="1" applyFont="1">
      <alignment vertical="bottom"/>
    </xf>
    <xf borderId="16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center" vertical="bottom"/>
    </xf>
    <xf borderId="17" fillId="0" fontId="5" numFmtId="0" xfId="0" applyAlignment="1" applyBorder="1" applyFont="1">
      <alignment vertical="bottom"/>
    </xf>
    <xf borderId="18" fillId="0" fontId="5" numFmtId="0" xfId="0" applyAlignment="1" applyBorder="1" applyFont="1">
      <alignment vertical="bottom"/>
    </xf>
    <xf borderId="1" fillId="0" fontId="31" numFmtId="0" xfId="0" applyAlignment="1" applyBorder="1" applyFont="1">
      <alignment horizontal="center" readingOrder="0"/>
    </xf>
    <xf borderId="1" fillId="9" fontId="32" numFmtId="0" xfId="0" applyAlignment="1" applyBorder="1" applyFill="1" applyFont="1">
      <alignment horizontal="center" vertical="bottom"/>
    </xf>
    <xf borderId="7" fillId="3" fontId="3" numFmtId="0" xfId="0" applyAlignment="1" applyBorder="1" applyFill="1" applyFont="1">
      <alignment vertical="bottom"/>
    </xf>
    <xf borderId="7" fillId="0" fontId="7" numFmtId="164" xfId="0" applyAlignment="1" applyBorder="1" applyFont="1" applyNumberFormat="1">
      <alignment horizontal="right" vertical="bottom"/>
    </xf>
    <xf borderId="7" fillId="6" fontId="7" numFmtId="0" xfId="0" applyAlignment="1" applyBorder="1" applyFill="1" applyFont="1">
      <alignment vertical="bottom"/>
    </xf>
    <xf borderId="11" fillId="0" fontId="5" numFmtId="166" xfId="0" applyAlignment="1" applyBorder="1" applyFont="1" applyNumberFormat="1">
      <alignment horizontal="left" vertical="bottom"/>
    </xf>
    <xf borderId="16" fillId="0" fontId="11" numFmtId="165" xfId="0" applyBorder="1" applyFont="1" applyNumberFormat="1"/>
    <xf borderId="1" fillId="9" fontId="33" numFmtId="0" xfId="0" applyAlignment="1" applyBorder="1" applyFill="1" applyFont="1">
      <alignment horizontal="center" vertical="bottom"/>
    </xf>
    <xf borderId="7" fillId="3" fontId="34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11" fillId="0" fontId="7" numFmtId="166" xfId="0" applyAlignment="1" applyBorder="1" applyFont="1" applyNumberFormat="1">
      <alignment horizontal="center" vertical="bottom"/>
    </xf>
    <xf borderId="16" fillId="0" fontId="5" numFmtId="165" xfId="0" applyAlignment="1" applyBorder="1" applyFont="1" applyNumberFormat="1">
      <alignment horizontal="right" vertical="bottom"/>
    </xf>
    <xf borderId="16" fillId="0" fontId="7" numFmtId="165" xfId="0" applyAlignment="1" applyBorder="1" applyFont="1" applyNumberFormat="1">
      <alignment horizontal="right" vertical="bottom"/>
    </xf>
    <xf borderId="16" fillId="0" fontId="5" numFmtId="165" xfId="0" applyAlignment="1" applyBorder="1" applyFont="1" applyNumberFormat="1">
      <alignment vertical="bottom"/>
    </xf>
    <xf borderId="11" fillId="0" fontId="5" numFmtId="166" xfId="0" applyAlignment="1" applyBorder="1" applyFont="1" applyNumberFormat="1">
      <alignment vertical="bottom"/>
    </xf>
    <xf borderId="11" fillId="0" fontId="5" numFmtId="165" xfId="0" applyAlignment="1" applyBorder="1" applyFont="1" applyNumberFormat="1">
      <alignment vertical="bottom"/>
    </xf>
    <xf borderId="18" fillId="0" fontId="5" numFmtId="166" xfId="0" applyAlignment="1" applyBorder="1" applyFont="1" applyNumberFormat="1">
      <alignment vertical="bottom"/>
    </xf>
    <xf borderId="7" fillId="0" fontId="35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18" fillId="0" fontId="7" numFmtId="165" xfId="0" applyAlignment="1" applyBorder="1" applyFont="1" applyNumberFormat="1">
      <alignment horizontal="right" vertical="bottom"/>
    </xf>
    <xf borderId="1" fillId="3" fontId="32" numFmtId="0" xfId="0" applyAlignment="1" applyBorder="1" applyFill="1" applyFont="1">
      <alignment horizontal="center" vertical="bottom"/>
    </xf>
    <xf borderId="7" fillId="0" fontId="5" numFmtId="164" xfId="0" applyAlignment="1" applyBorder="1" applyFont="1" applyNumberFormat="1">
      <alignment readingOrder="0" vertical="bottom"/>
    </xf>
    <xf borderId="5" fillId="0" fontId="5" numFmtId="0" xfId="0" applyAlignment="1" applyBorder="1" applyFont="1">
      <alignment readingOrder="0" vertical="bottom"/>
    </xf>
    <xf borderId="11" fillId="0" fontId="5" numFmtId="165" xfId="0" applyAlignment="1" applyBorder="1" applyFont="1" applyNumberFormat="1">
      <alignment readingOrder="0" vertical="bottom"/>
    </xf>
    <xf borderId="29" fillId="0" fontId="5" numFmtId="0" xfId="0" applyAlignment="1" applyBorder="1" applyFont="1">
      <alignment horizontal="right" readingOrder="0" vertical="center"/>
    </xf>
    <xf borderId="12" fillId="0" fontId="5" numFmtId="166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bottom"/>
    </xf>
    <xf borderId="1" fillId="2" fontId="3" numFmtId="0" xfId="0" applyAlignment="1" applyBorder="1" applyFill="1" applyFont="1">
      <alignment vertical="bottom"/>
    </xf>
    <xf borderId="32" fillId="3" fontId="4" numFmtId="0" xfId="0" applyAlignment="1" applyBorder="1" applyFill="1" applyFont="1">
      <alignment readingOrder="0" vertical="center"/>
    </xf>
    <xf borderId="4" fillId="2" fontId="3" numFmtId="0" xfId="0" applyAlignment="1" applyBorder="1" applyFill="1" applyFont="1">
      <alignment vertical="bottom"/>
    </xf>
    <xf borderId="14" fillId="2" fontId="3" numFmtId="0" xfId="0" applyAlignment="1" applyBorder="1" applyFill="1" applyFont="1">
      <alignment vertical="bottom"/>
    </xf>
    <xf borderId="11" fillId="2" fontId="3" numFmtId="0" xfId="0" applyAlignment="1" applyBorder="1" applyFill="1" applyFont="1">
      <alignment vertical="bottom"/>
    </xf>
    <xf borderId="11" fillId="2" fontId="3" numFmtId="0" xfId="0" applyAlignment="1" applyBorder="1" applyFill="1" applyFont="1">
      <alignment horizontal="center" vertical="bottom"/>
    </xf>
    <xf borderId="11" fillId="2" fontId="8" numFmtId="0" xfId="0" applyAlignment="1" applyBorder="1" applyFill="1" applyFont="1">
      <alignment vertical="bottom"/>
    </xf>
    <xf borderId="11" fillId="2" fontId="9" numFmtId="0" xfId="0" applyAlignment="1" applyBorder="1" applyFill="1" applyFont="1">
      <alignment vertical="bottom"/>
    </xf>
    <xf borderId="16" fillId="2" fontId="3" numFmtId="0" xfId="0" applyAlignment="1" applyBorder="1" applyFill="1" applyFont="1">
      <alignment vertical="bottom"/>
    </xf>
    <xf borderId="29" fillId="4" fontId="3" numFmtId="0" xfId="0" applyAlignment="1" applyBorder="1" applyFill="1" applyFont="1">
      <alignment readingOrder="0" vertical="top"/>
    </xf>
    <xf borderId="12" fillId="4" fontId="3" numFmtId="0" xfId="0" applyAlignment="1" applyBorder="1" applyFill="1" applyFont="1">
      <alignment readingOrder="0" vertical="top"/>
    </xf>
    <xf borderId="11" fillId="3" fontId="3" numFmtId="0" xfId="0" applyAlignment="1" applyBorder="1" applyFill="1" applyFont="1">
      <alignment horizontal="right" vertical="bottom"/>
    </xf>
    <xf borderId="11" fillId="5" fontId="5" numFmtId="0" xfId="0" applyAlignment="1" applyBorder="1" applyFill="1" applyFont="1">
      <alignment horizontal="right" vertical="bottom"/>
    </xf>
    <xf borderId="11" fillId="3" fontId="5" numFmtId="0" xfId="0" applyAlignment="1" applyBorder="1" applyFill="1" applyFont="1">
      <alignment horizontal="center" vertical="bottom"/>
    </xf>
    <xf borderId="16" fillId="3" fontId="5" numFmtId="0" xfId="0" applyAlignment="1" applyBorder="1" applyFill="1" applyFont="1">
      <alignment readingOrder="0" vertical="bottom"/>
    </xf>
    <xf borderId="16" fillId="0" fontId="5" numFmtId="0" xfId="0" applyAlignment="1" applyBorder="1" applyFont="1">
      <alignment readingOrder="0" vertical="bottom"/>
    </xf>
    <xf borderId="11" fillId="3" fontId="3" numFmtId="0" xfId="0" applyAlignment="1" applyBorder="1" applyFill="1" applyFont="1">
      <alignment horizontal="right" readingOrder="0" vertical="bottom"/>
    </xf>
    <xf borderId="16" fillId="3" fontId="5" numFmtId="0" xfId="0" applyAlignment="1" applyBorder="1" applyFill="1" applyFont="1">
      <alignment vertical="bottom"/>
    </xf>
    <xf borderId="9" fillId="0" fontId="11" numFmtId="0" xfId="0" applyBorder="1" applyFont="1"/>
    <xf borderId="18" fillId="3" fontId="3" numFmtId="0" xfId="0" applyAlignment="1" applyBorder="1" applyFill="1" applyFont="1">
      <alignment horizontal="right" readingOrder="0" vertical="bottom"/>
    </xf>
    <xf borderId="18" fillId="5" fontId="5" numFmtId="0" xfId="0" applyAlignment="1" applyBorder="1" applyFill="1" applyFont="1">
      <alignment horizontal="right" vertical="bottom"/>
    </xf>
    <xf borderId="18" fillId="3" fontId="5" numFmtId="0" xfId="0" applyAlignment="1" applyBorder="1" applyFill="1" applyFont="1">
      <alignment horizontal="center" vertical="bottom"/>
    </xf>
    <xf borderId="18" fillId="3" fontId="3" numFmtId="0" xfId="0" applyAlignment="1" applyBorder="1" applyFill="1" applyFont="1">
      <alignment horizontal="right" vertical="bottom"/>
    </xf>
    <xf borderId="39" fillId="3" fontId="5" numFmtId="0" xfId="0" applyAlignment="1" applyBorder="1" applyFill="1" applyFont="1">
      <alignment vertical="bottom"/>
    </xf>
    <xf borderId="16" fillId="0" fontId="11" numFmtId="0" xfId="0" applyBorder="1" applyFont="1"/>
    <xf borderId="7" fillId="0" fontId="5" numFmtId="0" xfId="0" applyAlignment="1" applyBorder="1" applyFont="1">
      <alignment horizontal="center" readingOrder="0" vertical="bottom"/>
    </xf>
    <xf borderId="19" fillId="0" fontId="2" numFmtId="0" xfId="0" applyBorder="1" applyFont="1"/>
    <xf borderId="20" fillId="0" fontId="2" numFmtId="0" xfId="0" applyBorder="1" applyFont="1"/>
    <xf borderId="1" fillId="3" fontId="36" numFmtId="49" xfId="0" applyAlignment="1" applyBorder="1" applyFill="1" applyFont="1" applyNumberFormat="1">
      <alignment horizontal="center" readingOrder="0" vertical="center"/>
    </xf>
    <xf borderId="1" fillId="2" fontId="3" numFmtId="49" xfId="0" applyAlignment="1" applyBorder="1" applyFill="1" applyFont="1" applyNumberFormat="1">
      <alignment vertical="bottom"/>
    </xf>
    <xf borderId="32" fillId="3" fontId="4" numFmtId="49" xfId="0" applyAlignment="1" applyBorder="1" applyFill="1" applyFont="1" applyNumberFormat="1">
      <alignment readingOrder="0" vertical="center"/>
    </xf>
    <xf borderId="18" fillId="3" fontId="3" numFmtId="49" xfId="0" applyAlignment="1" applyBorder="1" applyFill="1" applyFont="1" applyNumberFormat="1">
      <alignment horizontal="right" readingOrder="0" vertical="bottom"/>
    </xf>
    <xf borderId="18" fillId="3" fontId="5" numFmtId="49" xfId="0" applyAlignment="1" applyBorder="1" applyFill="1" applyFont="1" applyNumberFormat="1">
      <alignment readingOrder="0" vertical="bottom"/>
    </xf>
    <xf borderId="18" fillId="5" fontId="5" numFmtId="49" xfId="0" applyAlignment="1" applyBorder="1" applyFill="1" applyFont="1" applyNumberFormat="1">
      <alignment horizontal="right" vertical="bottom"/>
    </xf>
    <xf borderId="18" fillId="3" fontId="5" numFmtId="49" xfId="0" applyAlignment="1" applyBorder="1" applyFill="1" applyFont="1" applyNumberFormat="1">
      <alignment horizontal="center" vertical="bottom"/>
    </xf>
    <xf borderId="1" fillId="13" fontId="33" numFmtId="0" xfId="0" applyAlignment="1" applyBorder="1" applyFill="1" applyFont="1">
      <alignment horizontal="center" vertical="bottom"/>
    </xf>
    <xf borderId="7" fillId="0" fontId="7" numFmtId="164" xfId="0" applyAlignment="1" applyBorder="1" applyFont="1" applyNumberFormat="1">
      <alignment vertical="bottom"/>
    </xf>
    <xf borderId="11" fillId="0" fontId="7" numFmtId="0" xfId="0" applyAlignment="1" applyBorder="1" applyFont="1">
      <alignment horizontal="center" vertical="bottom"/>
    </xf>
    <xf borderId="16" fillId="0" fontId="7" numFmtId="0" xfId="0" applyAlignment="1" applyBorder="1" applyFont="1">
      <alignment horizontal="center" vertical="bottom"/>
    </xf>
    <xf borderId="14" fillId="3" fontId="7" numFmtId="0" xfId="0" applyAlignment="1" applyBorder="1" applyFill="1" applyFont="1">
      <alignment horizontal="right" vertical="bottom"/>
    </xf>
    <xf borderId="11" fillId="3" fontId="7" numFmtId="0" xfId="0" applyAlignment="1" applyBorder="1" applyFill="1" applyFont="1">
      <alignment horizontal="center" vertical="bottom"/>
    </xf>
    <xf borderId="11" fillId="3" fontId="7" numFmtId="0" xfId="0" applyAlignment="1" applyBorder="1" applyFill="1" applyFont="1">
      <alignment horizontal="right" vertical="bottom"/>
    </xf>
    <xf borderId="11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C53929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6.38"/>
    <col customWidth="1" min="4" max="4" width="8.88"/>
    <col customWidth="1" min="5" max="5" width="5.13"/>
    <col customWidth="1" min="6" max="6" width="7.63"/>
    <col customWidth="1" min="7" max="7" width="16.38"/>
    <col customWidth="1" min="8" max="8" width="8.88"/>
    <col customWidth="1" min="10" max="10" width="7.63"/>
    <col customWidth="1" min="11" max="11" width="8.88"/>
    <col customWidth="1" min="12" max="12" width="16.38"/>
    <col customWidth="1" min="13" max="13" width="8.88"/>
    <col customWidth="1" min="14" max="14" width="5.13"/>
    <col customWidth="1" min="15" max="15" width="7.63"/>
    <col customWidth="1" min="16" max="16" width="16.38"/>
    <col customWidth="1" min="17" max="17" width="7.63"/>
    <col customWidth="1" min="18" max="18" width="8.88"/>
  </cols>
  <sheetData>
    <row r="2">
      <c r="A2" s="1" t="s">
        <v>0</v>
      </c>
      <c r="B2" s="2"/>
      <c r="C2" s="2"/>
      <c r="D2" s="2"/>
      <c r="E2" s="2"/>
      <c r="F2" s="2"/>
      <c r="G2" s="2"/>
      <c r="H2" s="3"/>
      <c r="J2" s="1" t="s">
        <v>0</v>
      </c>
      <c r="K2" s="2"/>
      <c r="L2" s="2"/>
      <c r="M2" s="2"/>
      <c r="N2" s="2"/>
      <c r="O2" s="2"/>
      <c r="P2" s="2"/>
      <c r="Q2" s="2"/>
      <c r="R2" s="3"/>
    </row>
    <row r="3">
      <c r="A3" s="4" t="s">
        <v>1</v>
      </c>
      <c r="B3" s="5"/>
      <c r="C3" s="5"/>
      <c r="D3" s="5"/>
      <c r="E3" s="5"/>
      <c r="F3" s="5"/>
      <c r="G3" s="5"/>
      <c r="H3" s="6"/>
      <c r="J3" s="4" t="s">
        <v>1</v>
      </c>
      <c r="K3" s="5"/>
      <c r="L3" s="5"/>
      <c r="M3" s="5"/>
      <c r="N3" s="5"/>
      <c r="O3" s="5"/>
      <c r="P3" s="5"/>
      <c r="Q3" s="5"/>
      <c r="R3" s="6"/>
      <c r="T3" s="7" t="s">
        <v>2</v>
      </c>
      <c r="U3" s="5"/>
      <c r="V3" s="8"/>
      <c r="W3" s="9"/>
      <c r="X3" s="5"/>
      <c r="Y3" s="5"/>
      <c r="Z3" s="5"/>
      <c r="AA3" s="8"/>
    </row>
    <row r="4">
      <c r="A4" s="10"/>
      <c r="H4" s="11"/>
      <c r="J4" s="10"/>
      <c r="R4" s="11"/>
      <c r="T4" s="7" t="s">
        <v>3</v>
      </c>
      <c r="U4" s="5"/>
      <c r="V4" s="8"/>
      <c r="W4" s="12"/>
      <c r="X4" s="5"/>
      <c r="Y4" s="5"/>
      <c r="Z4" s="5"/>
      <c r="AA4" s="8"/>
    </row>
    <row r="5">
      <c r="A5" s="13" t="s">
        <v>4</v>
      </c>
      <c r="B5" s="8"/>
      <c r="C5" s="14"/>
      <c r="D5" s="8"/>
      <c r="E5" s="15" t="s">
        <v>5</v>
      </c>
      <c r="F5" s="8"/>
      <c r="G5" s="16"/>
      <c r="H5" s="6"/>
      <c r="J5" s="13" t="s">
        <v>4</v>
      </c>
      <c r="K5" s="8"/>
      <c r="L5" s="14"/>
      <c r="M5" s="8"/>
      <c r="N5" s="15" t="s">
        <v>5</v>
      </c>
      <c r="O5" s="8"/>
      <c r="P5" s="16"/>
      <c r="Q5" s="5"/>
      <c r="R5" s="6"/>
      <c r="T5" s="17" t="s">
        <v>6</v>
      </c>
      <c r="U5" s="17" t="s">
        <v>7</v>
      </c>
      <c r="V5" s="17" t="s">
        <v>8</v>
      </c>
      <c r="W5" s="18" t="s">
        <v>9</v>
      </c>
      <c r="X5" s="19" t="s">
        <v>10</v>
      </c>
      <c r="Y5" s="20" t="s">
        <v>11</v>
      </c>
      <c r="Z5" s="17" t="s">
        <v>12</v>
      </c>
      <c r="AA5" s="17" t="s">
        <v>13</v>
      </c>
    </row>
    <row r="6">
      <c r="A6" s="13" t="s">
        <v>14</v>
      </c>
      <c r="B6" s="8"/>
      <c r="C6" s="14"/>
      <c r="D6" s="8"/>
      <c r="E6" s="15" t="s">
        <v>15</v>
      </c>
      <c r="F6" s="8"/>
      <c r="G6" s="21"/>
      <c r="H6" s="6"/>
      <c r="J6" s="13" t="s">
        <v>14</v>
      </c>
      <c r="K6" s="8"/>
      <c r="L6" s="14"/>
      <c r="M6" s="8"/>
      <c r="N6" s="15" t="s">
        <v>15</v>
      </c>
      <c r="O6" s="8"/>
      <c r="P6" s="21"/>
      <c r="Q6" s="5"/>
      <c r="R6" s="6"/>
      <c r="T6" s="22"/>
      <c r="U6" s="22"/>
      <c r="V6" s="23"/>
      <c r="W6" s="24"/>
      <c r="X6" s="25">
        <f t="shared" ref="X6:X10" si="1">IF(W6-Z6-AA6&lt;0,0,W6-Z6-AA6)</f>
        <v>0</v>
      </c>
      <c r="Y6" s="26"/>
      <c r="Z6" s="23">
        <f t="shared" ref="Z6:Z10" si="2">IF(Y6-AA6&lt;0,0,Y6-AA6)</f>
        <v>0</v>
      </c>
      <c r="AA6" s="24"/>
    </row>
    <row r="7">
      <c r="A7" s="13" t="s">
        <v>16</v>
      </c>
      <c r="B7" s="8"/>
      <c r="C7" s="27"/>
      <c r="D7" s="8"/>
      <c r="E7" s="15" t="s">
        <v>17</v>
      </c>
      <c r="F7" s="8"/>
      <c r="G7" s="21"/>
      <c r="H7" s="6"/>
      <c r="J7" s="13" t="s">
        <v>16</v>
      </c>
      <c r="K7" s="8"/>
      <c r="L7" s="27"/>
      <c r="M7" s="8"/>
      <c r="N7" s="15" t="s">
        <v>17</v>
      </c>
      <c r="O7" s="8"/>
      <c r="P7" s="21"/>
      <c r="Q7" s="5"/>
      <c r="R7" s="6"/>
      <c r="T7" s="28"/>
      <c r="U7" s="28"/>
      <c r="V7" s="23"/>
      <c r="W7" s="24"/>
      <c r="X7" s="25">
        <f t="shared" si="1"/>
        <v>0</v>
      </c>
      <c r="Y7" s="26"/>
      <c r="Z7" s="23">
        <f t="shared" si="2"/>
        <v>0</v>
      </c>
      <c r="AA7" s="29"/>
    </row>
    <row r="8">
      <c r="A8" s="10"/>
      <c r="H8" s="11"/>
      <c r="J8" s="10"/>
      <c r="R8" s="11"/>
      <c r="T8" s="28"/>
      <c r="U8" s="28"/>
      <c r="V8" s="30"/>
      <c r="W8" s="24"/>
      <c r="X8" s="25">
        <f t="shared" si="1"/>
        <v>0</v>
      </c>
      <c r="Y8" s="26"/>
      <c r="Z8" s="23">
        <f t="shared" si="2"/>
        <v>0</v>
      </c>
      <c r="AA8" s="29"/>
    </row>
    <row r="9">
      <c r="A9" s="31" t="s">
        <v>18</v>
      </c>
      <c r="B9" s="32" t="s">
        <v>19</v>
      </c>
      <c r="C9" s="33" t="s">
        <v>20</v>
      </c>
      <c r="D9" s="32" t="s">
        <v>21</v>
      </c>
      <c r="E9" s="34"/>
      <c r="F9" s="33" t="s">
        <v>6</v>
      </c>
      <c r="G9" s="35"/>
      <c r="H9" s="6"/>
      <c r="J9" s="31" t="s">
        <v>18</v>
      </c>
      <c r="K9" s="32" t="s">
        <v>19</v>
      </c>
      <c r="L9" s="33" t="s">
        <v>20</v>
      </c>
      <c r="M9" s="32" t="s">
        <v>21</v>
      </c>
      <c r="N9" s="34"/>
      <c r="O9" s="33" t="s">
        <v>6</v>
      </c>
      <c r="P9" s="35"/>
      <c r="Q9" s="5"/>
      <c r="R9" s="6"/>
      <c r="T9" s="28"/>
      <c r="U9" s="28"/>
      <c r="V9" s="30"/>
      <c r="W9" s="24"/>
      <c r="X9" s="25">
        <f t="shared" si="1"/>
        <v>0</v>
      </c>
      <c r="Y9" s="26"/>
      <c r="Z9" s="23">
        <f t="shared" si="2"/>
        <v>0</v>
      </c>
      <c r="AA9" s="36"/>
    </row>
    <row r="10">
      <c r="A10" s="37"/>
      <c r="B10" s="38"/>
      <c r="C10" s="39"/>
      <c r="D10" s="40"/>
      <c r="E10" s="34"/>
      <c r="F10" s="41" t="s">
        <v>22</v>
      </c>
      <c r="G10" s="5"/>
      <c r="H10" s="6"/>
      <c r="J10" s="37"/>
      <c r="K10" s="38"/>
      <c r="L10" s="42"/>
      <c r="M10" s="43"/>
      <c r="N10" s="34"/>
      <c r="O10" s="41" t="s">
        <v>22</v>
      </c>
      <c r="P10" s="5"/>
      <c r="Q10" s="5"/>
      <c r="R10" s="6"/>
      <c r="T10" s="44"/>
      <c r="U10" s="44"/>
      <c r="V10" s="30"/>
      <c r="W10" s="24"/>
      <c r="X10" s="25">
        <f t="shared" si="1"/>
        <v>0</v>
      </c>
      <c r="Y10" s="26"/>
      <c r="Z10" s="23">
        <f t="shared" si="2"/>
        <v>0</v>
      </c>
      <c r="AA10" s="36"/>
    </row>
    <row r="11">
      <c r="A11" s="37"/>
      <c r="B11" s="38"/>
      <c r="C11" s="38"/>
      <c r="D11" s="40"/>
      <c r="E11" s="34"/>
      <c r="F11" s="33" t="s">
        <v>23</v>
      </c>
      <c r="G11" s="33" t="s">
        <v>20</v>
      </c>
      <c r="H11" s="45" t="s">
        <v>21</v>
      </c>
      <c r="J11" s="37"/>
      <c r="K11" s="38"/>
      <c r="L11" s="38"/>
      <c r="M11" s="40"/>
      <c r="N11" s="34"/>
      <c r="O11" s="33" t="s">
        <v>23</v>
      </c>
      <c r="P11" s="33" t="s">
        <v>20</v>
      </c>
      <c r="Q11" s="46" t="s">
        <v>21</v>
      </c>
      <c r="R11" s="47" t="s">
        <v>24</v>
      </c>
    </row>
    <row r="12">
      <c r="A12" s="37"/>
      <c r="B12" s="38"/>
      <c r="C12" s="38"/>
      <c r="D12" s="40"/>
      <c r="E12" s="34"/>
      <c r="F12" s="48"/>
      <c r="G12" s="48"/>
      <c r="H12" s="49"/>
      <c r="J12" s="37"/>
      <c r="K12" s="38"/>
      <c r="L12" s="38"/>
      <c r="M12" s="40"/>
      <c r="N12" s="34"/>
      <c r="O12" s="42"/>
      <c r="P12" s="42"/>
      <c r="Q12" s="48" t="str">
        <f t="shared" ref="Q12:Q24" si="3">IF(P12="","",SUMIF($L$10:$L$45,P12,$M$10:$M$45))</f>
        <v/>
      </c>
      <c r="R12" s="49" t="str">
        <f t="shared" ref="R12:R24" si="4">IF(P12="","",COUNTIFS($L$10:$L$45,P12,$M$10:$M$45,"&gt;0"))</f>
        <v/>
      </c>
    </row>
    <row r="13">
      <c r="A13" s="37"/>
      <c r="B13" s="38"/>
      <c r="C13" s="38"/>
      <c r="D13" s="40"/>
      <c r="E13" s="34"/>
      <c r="F13" s="48"/>
      <c r="G13" s="48"/>
      <c r="H13" s="49"/>
      <c r="J13" s="37"/>
      <c r="K13" s="38"/>
      <c r="L13" s="38"/>
      <c r="M13" s="40"/>
      <c r="N13" s="34"/>
      <c r="O13" s="42"/>
      <c r="P13" s="42"/>
      <c r="Q13" s="48" t="str">
        <f t="shared" si="3"/>
        <v/>
      </c>
      <c r="R13" s="49" t="str">
        <f t="shared" si="4"/>
        <v/>
      </c>
    </row>
    <row r="14">
      <c r="A14" s="37"/>
      <c r="B14" s="38"/>
      <c r="C14" s="38"/>
      <c r="D14" s="40"/>
      <c r="E14" s="34"/>
      <c r="F14" s="48"/>
      <c r="G14" s="48"/>
      <c r="H14" s="49"/>
      <c r="J14" s="37"/>
      <c r="K14" s="38"/>
      <c r="L14" s="38"/>
      <c r="M14" s="40"/>
      <c r="N14" s="34"/>
      <c r="O14" s="42"/>
      <c r="P14" s="42"/>
      <c r="Q14" s="48" t="str">
        <f t="shared" si="3"/>
        <v/>
      </c>
      <c r="R14" s="49" t="str">
        <f t="shared" si="4"/>
        <v/>
      </c>
    </row>
    <row r="15">
      <c r="A15" s="37"/>
      <c r="B15" s="38"/>
      <c r="C15" s="38"/>
      <c r="D15" s="40"/>
      <c r="E15" s="34"/>
      <c r="F15" s="48"/>
      <c r="G15" s="48"/>
      <c r="H15" s="49"/>
      <c r="J15" s="37"/>
      <c r="K15" s="38"/>
      <c r="L15" s="38"/>
      <c r="M15" s="40"/>
      <c r="N15" s="34"/>
      <c r="O15" s="42"/>
      <c r="P15" s="42"/>
      <c r="Q15" s="48" t="str">
        <f t="shared" si="3"/>
        <v/>
      </c>
      <c r="R15" s="49" t="str">
        <f t="shared" si="4"/>
        <v/>
      </c>
    </row>
    <row r="16">
      <c r="A16" s="37"/>
      <c r="B16" s="38"/>
      <c r="C16" s="38"/>
      <c r="D16" s="40"/>
      <c r="E16" s="34"/>
      <c r="F16" s="48"/>
      <c r="G16" s="48"/>
      <c r="H16" s="49"/>
      <c r="J16" s="37"/>
      <c r="K16" s="38"/>
      <c r="L16" s="38"/>
      <c r="M16" s="40"/>
      <c r="N16" s="34"/>
      <c r="O16" s="42"/>
      <c r="P16" s="42"/>
      <c r="Q16" s="48" t="str">
        <f t="shared" si="3"/>
        <v/>
      </c>
      <c r="R16" s="49" t="str">
        <f t="shared" si="4"/>
        <v/>
      </c>
    </row>
    <row r="17">
      <c r="A17" s="37"/>
      <c r="B17" s="38"/>
      <c r="C17" s="38"/>
      <c r="D17" s="40"/>
      <c r="E17" s="34"/>
      <c r="F17" s="48"/>
      <c r="G17" s="48"/>
      <c r="H17" s="49"/>
      <c r="J17" s="37"/>
      <c r="K17" s="38"/>
      <c r="L17" s="38"/>
      <c r="M17" s="40"/>
      <c r="N17" s="34"/>
      <c r="O17" s="48"/>
      <c r="P17" s="48"/>
      <c r="Q17" s="48" t="str">
        <f t="shared" si="3"/>
        <v/>
      </c>
      <c r="R17" s="49" t="str">
        <f t="shared" si="4"/>
        <v/>
      </c>
    </row>
    <row r="18">
      <c r="A18" s="37"/>
      <c r="B18" s="38"/>
      <c r="C18" s="38"/>
      <c r="D18" s="40"/>
      <c r="E18" s="34"/>
      <c r="F18" s="48"/>
      <c r="G18" s="48"/>
      <c r="H18" s="49"/>
      <c r="J18" s="37"/>
      <c r="K18" s="38"/>
      <c r="L18" s="38"/>
      <c r="M18" s="40"/>
      <c r="N18" s="34"/>
      <c r="O18" s="42"/>
      <c r="P18" s="42"/>
      <c r="Q18" s="48" t="str">
        <f t="shared" si="3"/>
        <v/>
      </c>
      <c r="R18" s="49" t="str">
        <f t="shared" si="4"/>
        <v/>
      </c>
    </row>
    <row r="19">
      <c r="A19" s="37"/>
      <c r="B19" s="38"/>
      <c r="C19" s="38"/>
      <c r="D19" s="40"/>
      <c r="E19" s="34"/>
      <c r="F19" s="48"/>
      <c r="G19" s="48"/>
      <c r="H19" s="49"/>
      <c r="J19" s="37"/>
      <c r="K19" s="38"/>
      <c r="L19" s="38"/>
      <c r="M19" s="40"/>
      <c r="N19" s="34"/>
      <c r="O19" s="48"/>
      <c r="P19" s="48"/>
      <c r="Q19" s="48" t="str">
        <f t="shared" si="3"/>
        <v/>
      </c>
      <c r="R19" s="49" t="str">
        <f t="shared" si="4"/>
        <v/>
      </c>
    </row>
    <row r="20">
      <c r="A20" s="37"/>
      <c r="B20" s="38"/>
      <c r="C20" s="38"/>
      <c r="D20" s="40"/>
      <c r="E20" s="34"/>
      <c r="F20" s="48"/>
      <c r="G20" s="48"/>
      <c r="H20" s="49"/>
      <c r="J20" s="37"/>
      <c r="K20" s="38"/>
      <c r="L20" s="38"/>
      <c r="M20" s="40"/>
      <c r="N20" s="34"/>
      <c r="O20" s="48"/>
      <c r="P20" s="48"/>
      <c r="Q20" s="48" t="str">
        <f t="shared" si="3"/>
        <v/>
      </c>
      <c r="R20" s="49" t="str">
        <f t="shared" si="4"/>
        <v/>
      </c>
    </row>
    <row r="21">
      <c r="A21" s="37"/>
      <c r="B21" s="38"/>
      <c r="C21" s="38"/>
      <c r="D21" s="40"/>
      <c r="E21" s="34"/>
      <c r="F21" s="48"/>
      <c r="G21" s="48"/>
      <c r="H21" s="49"/>
      <c r="J21" s="37"/>
      <c r="K21" s="38"/>
      <c r="L21" s="38"/>
      <c r="M21" s="40"/>
      <c r="N21" s="34"/>
      <c r="O21" s="48"/>
      <c r="P21" s="48"/>
      <c r="Q21" s="48" t="str">
        <f t="shared" si="3"/>
        <v/>
      </c>
      <c r="R21" s="49" t="str">
        <f t="shared" si="4"/>
        <v/>
      </c>
    </row>
    <row r="22">
      <c r="A22" s="37"/>
      <c r="B22" s="38"/>
      <c r="C22" s="38"/>
      <c r="D22" s="40"/>
      <c r="E22" s="34"/>
      <c r="F22" s="48"/>
      <c r="G22" s="48"/>
      <c r="H22" s="49"/>
      <c r="J22" s="37"/>
      <c r="K22" s="38"/>
      <c r="L22" s="38"/>
      <c r="M22" s="40"/>
      <c r="N22" s="34"/>
      <c r="O22" s="48"/>
      <c r="P22" s="48"/>
      <c r="Q22" s="48" t="str">
        <f t="shared" si="3"/>
        <v/>
      </c>
      <c r="R22" s="49" t="str">
        <f t="shared" si="4"/>
        <v/>
      </c>
    </row>
    <row r="23">
      <c r="A23" s="50"/>
      <c r="B23" s="38"/>
      <c r="C23" s="38"/>
      <c r="D23" s="40"/>
      <c r="E23" s="34"/>
      <c r="F23" s="48"/>
      <c r="G23" s="48"/>
      <c r="H23" s="49"/>
      <c r="J23" s="50"/>
      <c r="K23" s="38"/>
      <c r="L23" s="38"/>
      <c r="M23" s="40"/>
      <c r="N23" s="34"/>
      <c r="O23" s="48"/>
      <c r="P23" s="48"/>
      <c r="Q23" s="48" t="str">
        <f t="shared" si="3"/>
        <v/>
      </c>
      <c r="R23" s="49" t="str">
        <f t="shared" si="4"/>
        <v/>
      </c>
    </row>
    <row r="24">
      <c r="A24" s="50"/>
      <c r="B24" s="38"/>
      <c r="C24" s="38"/>
      <c r="D24" s="40"/>
      <c r="E24" s="34"/>
      <c r="F24" s="48"/>
      <c r="G24" s="48"/>
      <c r="H24" s="49"/>
      <c r="J24" s="50"/>
      <c r="K24" s="38"/>
      <c r="L24" s="38"/>
      <c r="M24" s="40"/>
      <c r="N24" s="34"/>
      <c r="O24" s="48"/>
      <c r="P24" s="48"/>
      <c r="Q24" s="48" t="str">
        <f t="shared" si="3"/>
        <v/>
      </c>
      <c r="R24" s="49" t="str">
        <f t="shared" si="4"/>
        <v/>
      </c>
    </row>
    <row r="25">
      <c r="A25" s="50"/>
      <c r="B25" s="38"/>
      <c r="C25" s="38"/>
      <c r="D25" s="40"/>
      <c r="E25" s="34"/>
      <c r="F25" s="48"/>
      <c r="G25" s="48"/>
      <c r="H25" s="49"/>
      <c r="J25" s="50"/>
      <c r="K25" s="38"/>
      <c r="L25" s="38"/>
      <c r="M25" s="40"/>
      <c r="N25" s="34"/>
      <c r="O25" s="51" t="s">
        <v>25</v>
      </c>
      <c r="P25" s="8"/>
      <c r="Q25" s="48">
        <f t="shared" ref="Q25:R25" si="5">sum(Q12:Q24)</f>
        <v>0</v>
      </c>
      <c r="R25" s="49">
        <f t="shared" si="5"/>
        <v>0</v>
      </c>
    </row>
    <row r="26">
      <c r="A26" s="50"/>
      <c r="B26" s="38"/>
      <c r="C26" s="38"/>
      <c r="D26" s="40"/>
      <c r="E26" s="34"/>
      <c r="F26" s="34"/>
      <c r="G26" s="34"/>
      <c r="H26" s="52"/>
      <c r="J26" s="50"/>
      <c r="K26" s="38"/>
      <c r="L26" s="38"/>
      <c r="M26" s="40"/>
      <c r="N26" s="34"/>
      <c r="O26" s="34"/>
      <c r="P26" s="34"/>
      <c r="R26" s="53"/>
    </row>
    <row r="27">
      <c r="A27" s="50"/>
      <c r="B27" s="38"/>
      <c r="C27" s="38"/>
      <c r="D27" s="40"/>
      <c r="E27" s="34"/>
      <c r="F27" s="34"/>
      <c r="G27" s="34"/>
      <c r="H27" s="52"/>
      <c r="J27" s="50"/>
      <c r="K27" s="38"/>
      <c r="L27" s="38"/>
      <c r="M27" s="40"/>
      <c r="N27" s="34"/>
      <c r="O27" s="34"/>
      <c r="P27" s="34"/>
      <c r="R27" s="53"/>
    </row>
    <row r="28">
      <c r="A28" s="50"/>
      <c r="B28" s="38"/>
      <c r="C28" s="38"/>
      <c r="D28" s="40"/>
      <c r="E28" s="34"/>
      <c r="F28" s="34"/>
      <c r="G28" s="34"/>
      <c r="H28" s="52"/>
      <c r="J28" s="50"/>
      <c r="K28" s="38"/>
      <c r="L28" s="38"/>
      <c r="M28" s="40"/>
      <c r="N28" s="34"/>
      <c r="O28" s="34"/>
      <c r="P28" s="34"/>
      <c r="R28" s="53"/>
    </row>
    <row r="29">
      <c r="A29" s="50"/>
      <c r="B29" s="38"/>
      <c r="C29" s="38"/>
      <c r="D29" s="40"/>
      <c r="E29" s="34"/>
      <c r="F29" s="34"/>
      <c r="G29" s="34"/>
      <c r="H29" s="52"/>
      <c r="J29" s="50"/>
      <c r="K29" s="38"/>
      <c r="L29" s="38"/>
      <c r="M29" s="40"/>
      <c r="N29" s="34"/>
      <c r="O29" s="34"/>
      <c r="P29" s="34"/>
      <c r="R29" s="53"/>
    </row>
    <row r="30">
      <c r="A30" s="50"/>
      <c r="B30" s="38"/>
      <c r="C30" s="38"/>
      <c r="D30" s="40"/>
      <c r="E30" s="34"/>
      <c r="F30" s="54" t="s">
        <v>26</v>
      </c>
      <c r="G30" s="34"/>
      <c r="H30" s="52"/>
      <c r="J30" s="50"/>
      <c r="K30" s="38"/>
      <c r="L30" s="38"/>
      <c r="M30" s="40"/>
      <c r="N30" s="34"/>
      <c r="O30" s="54" t="s">
        <v>26</v>
      </c>
      <c r="P30" s="34"/>
      <c r="R30" s="53"/>
    </row>
    <row r="31">
      <c r="A31" s="50"/>
      <c r="B31" s="38"/>
      <c r="C31" s="38"/>
      <c r="D31" s="40"/>
      <c r="E31" s="34"/>
      <c r="F31" s="55" t="s">
        <v>27</v>
      </c>
      <c r="H31" s="11"/>
      <c r="J31" s="50"/>
      <c r="K31" s="38"/>
      <c r="L31" s="38"/>
      <c r="M31" s="40"/>
      <c r="N31" s="34"/>
      <c r="O31" s="55" t="s">
        <v>27</v>
      </c>
      <c r="R31" s="11"/>
    </row>
    <row r="32">
      <c r="A32" s="50"/>
      <c r="B32" s="38"/>
      <c r="C32" s="38"/>
      <c r="D32" s="40"/>
      <c r="E32" s="34"/>
      <c r="H32" s="11"/>
      <c r="J32" s="50"/>
      <c r="K32" s="38"/>
      <c r="L32" s="38"/>
      <c r="M32" s="40"/>
      <c r="N32" s="34"/>
      <c r="R32" s="11"/>
    </row>
    <row r="33">
      <c r="A33" s="50"/>
      <c r="B33" s="38"/>
      <c r="C33" s="38"/>
      <c r="D33" s="56"/>
      <c r="E33" s="34"/>
      <c r="H33" s="11"/>
      <c r="J33" s="50"/>
      <c r="K33" s="38"/>
      <c r="L33" s="38"/>
      <c r="M33" s="56"/>
      <c r="N33" s="34"/>
      <c r="R33" s="11"/>
    </row>
    <row r="34">
      <c r="A34" s="50"/>
      <c r="B34" s="38"/>
      <c r="C34" s="38"/>
      <c r="D34" s="56"/>
      <c r="E34" s="34"/>
      <c r="F34" s="55" t="s">
        <v>28</v>
      </c>
      <c r="H34" s="11"/>
      <c r="J34" s="50"/>
      <c r="K34" s="38"/>
      <c r="L34" s="38"/>
      <c r="M34" s="56"/>
      <c r="N34" s="34"/>
      <c r="O34" s="55" t="s">
        <v>28</v>
      </c>
      <c r="R34" s="11"/>
    </row>
    <row r="35">
      <c r="A35" s="50"/>
      <c r="B35" s="38"/>
      <c r="C35" s="38"/>
      <c r="D35" s="56"/>
      <c r="E35" s="34"/>
      <c r="H35" s="11"/>
      <c r="J35" s="50"/>
      <c r="K35" s="38"/>
      <c r="L35" s="38"/>
      <c r="M35" s="56"/>
      <c r="N35" s="34"/>
      <c r="R35" s="11"/>
    </row>
    <row r="36">
      <c r="A36" s="50"/>
      <c r="B36" s="38"/>
      <c r="C36" s="38"/>
      <c r="D36" s="40"/>
      <c r="E36" s="34"/>
      <c r="H36" s="11"/>
      <c r="J36" s="50"/>
      <c r="K36" s="38"/>
      <c r="L36" s="38"/>
      <c r="M36" s="40"/>
      <c r="N36" s="34"/>
      <c r="R36" s="11"/>
    </row>
    <row r="37">
      <c r="A37" s="50"/>
      <c r="B37" s="38"/>
      <c r="C37" s="38"/>
      <c r="D37" s="40"/>
      <c r="E37" s="34"/>
      <c r="F37" s="34"/>
      <c r="G37" s="34"/>
      <c r="H37" s="52"/>
      <c r="J37" s="50"/>
      <c r="K37" s="38"/>
      <c r="L37" s="38"/>
      <c r="M37" s="40"/>
      <c r="N37" s="34"/>
      <c r="O37" s="34"/>
      <c r="P37" s="34"/>
      <c r="R37" s="53"/>
    </row>
    <row r="38">
      <c r="A38" s="50"/>
      <c r="B38" s="38"/>
      <c r="C38" s="38"/>
      <c r="D38" s="40"/>
      <c r="E38" s="34"/>
      <c r="F38" s="34"/>
      <c r="G38" s="34"/>
      <c r="H38" s="52"/>
      <c r="J38" s="50"/>
      <c r="K38" s="38"/>
      <c r="L38" s="38"/>
      <c r="M38" s="40"/>
      <c r="N38" s="34"/>
      <c r="O38" s="34"/>
      <c r="P38" s="34"/>
      <c r="R38" s="53"/>
    </row>
    <row r="39">
      <c r="A39" s="50"/>
      <c r="B39" s="38"/>
      <c r="C39" s="38"/>
      <c r="D39" s="40"/>
      <c r="E39" s="34"/>
      <c r="F39" s="34"/>
      <c r="G39" s="34"/>
      <c r="H39" s="52"/>
      <c r="J39" s="50"/>
      <c r="K39" s="38"/>
      <c r="L39" s="38"/>
      <c r="M39" s="40"/>
      <c r="N39" s="34"/>
      <c r="O39" s="34"/>
      <c r="P39" s="34"/>
      <c r="R39" s="53"/>
    </row>
    <row r="40">
      <c r="A40" s="50"/>
      <c r="B40" s="38"/>
      <c r="C40" s="38"/>
      <c r="D40" s="40"/>
      <c r="E40" s="34"/>
      <c r="F40" s="34"/>
      <c r="G40" s="34"/>
      <c r="H40" s="52"/>
      <c r="J40" s="50"/>
      <c r="K40" s="38"/>
      <c r="L40" s="38"/>
      <c r="M40" s="40"/>
      <c r="N40" s="34"/>
      <c r="O40" s="34"/>
      <c r="P40" s="34"/>
      <c r="R40" s="53"/>
    </row>
    <row r="41">
      <c r="A41" s="50"/>
      <c r="B41" s="38"/>
      <c r="C41" s="38"/>
      <c r="D41" s="40"/>
      <c r="E41" s="34"/>
      <c r="F41" s="34"/>
      <c r="G41" s="34"/>
      <c r="H41" s="52"/>
      <c r="J41" s="50"/>
      <c r="K41" s="38"/>
      <c r="L41" s="38"/>
      <c r="M41" s="40"/>
      <c r="N41" s="34"/>
      <c r="O41" s="34"/>
      <c r="P41" s="34"/>
      <c r="R41" s="53"/>
    </row>
    <row r="42">
      <c r="A42" s="50"/>
      <c r="B42" s="38"/>
      <c r="C42" s="38"/>
      <c r="D42" s="57"/>
      <c r="E42" s="34"/>
      <c r="F42" s="34"/>
      <c r="G42" s="34"/>
      <c r="H42" s="52"/>
      <c r="J42" s="50"/>
      <c r="K42" s="38"/>
      <c r="L42" s="38"/>
      <c r="M42" s="57"/>
      <c r="N42" s="34"/>
      <c r="O42" s="34"/>
      <c r="P42" s="34"/>
      <c r="R42" s="53"/>
    </row>
    <row r="43">
      <c r="A43" s="50"/>
      <c r="B43" s="38"/>
      <c r="C43" s="38"/>
      <c r="D43" s="57"/>
      <c r="E43" s="34"/>
      <c r="F43" s="34"/>
      <c r="G43" s="34"/>
      <c r="H43" s="52"/>
      <c r="J43" s="50"/>
      <c r="K43" s="38"/>
      <c r="L43" s="38"/>
      <c r="M43" s="57"/>
      <c r="N43" s="34"/>
      <c r="O43" s="34"/>
      <c r="P43" s="34"/>
      <c r="R43" s="53"/>
    </row>
    <row r="44">
      <c r="A44" s="50"/>
      <c r="B44" s="38"/>
      <c r="C44" s="38"/>
      <c r="D44" s="57"/>
      <c r="E44" s="34"/>
      <c r="F44" s="34"/>
      <c r="G44" s="34"/>
      <c r="H44" s="52"/>
      <c r="J44" s="50"/>
      <c r="K44" s="38"/>
      <c r="L44" s="38"/>
      <c r="M44" s="57"/>
      <c r="N44" s="34"/>
      <c r="O44" s="34"/>
      <c r="P44" s="34"/>
      <c r="R44" s="53"/>
    </row>
    <row r="45">
      <c r="A45" s="58"/>
      <c r="B45" s="59"/>
      <c r="C45" s="59"/>
      <c r="D45" s="60"/>
      <c r="E45" s="61"/>
      <c r="F45" s="61"/>
      <c r="G45" s="61"/>
      <c r="H45" s="62"/>
      <c r="J45" s="58"/>
      <c r="K45" s="59"/>
      <c r="L45" s="59"/>
      <c r="M45" s="60"/>
      <c r="N45" s="61"/>
      <c r="O45" s="61"/>
      <c r="P45" s="61"/>
      <c r="Q45" s="63"/>
      <c r="R45" s="64"/>
    </row>
    <row r="46">
      <c r="E46" s="34"/>
      <c r="F46" s="34"/>
      <c r="G46" s="34"/>
      <c r="H46" s="34"/>
    </row>
    <row r="47">
      <c r="E47" s="34"/>
      <c r="F47" s="34"/>
      <c r="G47" s="34"/>
      <c r="H47" s="34"/>
    </row>
    <row r="48">
      <c r="E48" s="34"/>
      <c r="F48" s="34"/>
      <c r="G48" s="34"/>
      <c r="H48" s="34"/>
    </row>
    <row r="49">
      <c r="E49" s="34"/>
      <c r="F49" s="34"/>
      <c r="G49" s="34"/>
      <c r="H49" s="34"/>
    </row>
    <row r="50">
      <c r="E50" s="34"/>
      <c r="F50" s="34"/>
      <c r="G50" s="34"/>
      <c r="H50" s="34"/>
    </row>
    <row r="51">
      <c r="E51" s="34"/>
      <c r="F51" s="34"/>
      <c r="G51" s="34"/>
      <c r="H51" s="34"/>
    </row>
    <row r="52">
      <c r="E52" s="34"/>
      <c r="F52" s="34"/>
      <c r="G52" s="34"/>
      <c r="H52" s="34"/>
    </row>
    <row r="53">
      <c r="E53" s="34"/>
      <c r="F53" s="34"/>
      <c r="G53" s="34"/>
      <c r="H53" s="34"/>
    </row>
    <row r="54">
      <c r="E54" s="34"/>
      <c r="F54" s="34"/>
      <c r="G54" s="34"/>
      <c r="H54" s="34"/>
    </row>
    <row r="55">
      <c r="E55" s="34"/>
      <c r="F55" s="34"/>
      <c r="G55" s="34"/>
      <c r="H55" s="34"/>
    </row>
    <row r="56">
      <c r="E56" s="34"/>
      <c r="F56" s="34"/>
      <c r="G56" s="34"/>
      <c r="H56" s="34"/>
    </row>
    <row r="57">
      <c r="E57" s="34"/>
      <c r="F57" s="34"/>
      <c r="G57" s="34"/>
      <c r="H57" s="34"/>
    </row>
    <row r="58">
      <c r="E58" s="34"/>
      <c r="F58" s="34"/>
      <c r="G58" s="34"/>
      <c r="H58" s="34"/>
    </row>
    <row r="59">
      <c r="E59" s="34"/>
      <c r="F59" s="34"/>
      <c r="G59" s="34"/>
      <c r="H59" s="34"/>
    </row>
    <row r="60">
      <c r="E60" s="34"/>
      <c r="F60" s="34"/>
      <c r="G60" s="34"/>
      <c r="H60" s="34"/>
    </row>
    <row r="61">
      <c r="E61" s="34"/>
      <c r="F61" s="34"/>
      <c r="G61" s="34"/>
      <c r="H61" s="34"/>
    </row>
    <row r="62">
      <c r="E62" s="34"/>
      <c r="F62" s="34"/>
      <c r="G62" s="34"/>
      <c r="H62" s="34"/>
    </row>
    <row r="63">
      <c r="E63" s="34"/>
      <c r="F63" s="34"/>
      <c r="G63" s="34"/>
      <c r="H63" s="34"/>
    </row>
    <row r="64">
      <c r="E64" s="34"/>
      <c r="F64" s="34"/>
      <c r="G64" s="34"/>
      <c r="H64" s="34"/>
    </row>
    <row r="65">
      <c r="E65" s="34"/>
      <c r="F65" s="34"/>
      <c r="G65" s="34"/>
      <c r="H65" s="34"/>
    </row>
    <row r="66">
      <c r="E66" s="34"/>
      <c r="F66" s="34"/>
      <c r="G66" s="34"/>
      <c r="H66" s="34"/>
    </row>
    <row r="67">
      <c r="E67" s="34"/>
      <c r="F67" s="34"/>
      <c r="G67" s="34"/>
      <c r="H67" s="34"/>
    </row>
    <row r="68">
      <c r="E68" s="34"/>
      <c r="F68" s="34"/>
      <c r="G68" s="34"/>
      <c r="H68" s="34"/>
    </row>
    <row r="69">
      <c r="E69" s="34"/>
      <c r="F69" s="34"/>
      <c r="G69" s="34"/>
      <c r="H69" s="34"/>
    </row>
    <row r="70">
      <c r="E70" s="34"/>
      <c r="F70" s="34"/>
      <c r="G70" s="34"/>
      <c r="H70" s="34"/>
    </row>
    <row r="71">
      <c r="E71" s="34"/>
      <c r="F71" s="34"/>
      <c r="G71" s="34"/>
      <c r="H71" s="34"/>
    </row>
    <row r="72">
      <c r="E72" s="34"/>
      <c r="F72" s="34"/>
      <c r="G72" s="34"/>
      <c r="H72" s="34"/>
    </row>
    <row r="73">
      <c r="E73" s="34"/>
      <c r="F73" s="34"/>
      <c r="G73" s="34"/>
      <c r="H73" s="34"/>
    </row>
    <row r="74">
      <c r="E74" s="34"/>
      <c r="F74" s="34"/>
      <c r="G74" s="34"/>
      <c r="H74" s="34"/>
    </row>
    <row r="75">
      <c r="E75" s="34"/>
      <c r="F75" s="34"/>
      <c r="G75" s="34"/>
      <c r="H75" s="34"/>
    </row>
    <row r="76">
      <c r="E76" s="34"/>
      <c r="F76" s="34"/>
      <c r="G76" s="34"/>
      <c r="H76" s="34"/>
    </row>
    <row r="77">
      <c r="E77" s="34"/>
      <c r="F77" s="34"/>
      <c r="G77" s="34"/>
      <c r="H77" s="34"/>
    </row>
    <row r="78">
      <c r="E78" s="34"/>
      <c r="F78" s="34"/>
      <c r="G78" s="34"/>
      <c r="H78" s="34"/>
    </row>
    <row r="79">
      <c r="E79" s="34"/>
      <c r="F79" s="34"/>
      <c r="G79" s="34"/>
      <c r="H79" s="34"/>
    </row>
    <row r="80">
      <c r="E80" s="34"/>
      <c r="F80" s="34"/>
      <c r="G80" s="34"/>
      <c r="H80" s="34"/>
    </row>
    <row r="81">
      <c r="E81" s="34"/>
      <c r="F81" s="34"/>
      <c r="G81" s="34"/>
      <c r="H81" s="34"/>
    </row>
    <row r="82">
      <c r="E82" s="34"/>
      <c r="F82" s="34"/>
      <c r="G82" s="34"/>
      <c r="H82" s="34"/>
    </row>
    <row r="83">
      <c r="E83" s="34"/>
      <c r="F83" s="34"/>
      <c r="G83" s="34"/>
      <c r="H83" s="34"/>
    </row>
    <row r="84">
      <c r="E84" s="34"/>
      <c r="F84" s="34"/>
      <c r="G84" s="34"/>
      <c r="H84" s="34"/>
    </row>
    <row r="85">
      <c r="E85" s="34"/>
      <c r="F85" s="34"/>
      <c r="G85" s="34"/>
      <c r="H85" s="34"/>
    </row>
    <row r="86">
      <c r="E86" s="34"/>
      <c r="F86" s="34"/>
      <c r="G86" s="34"/>
      <c r="H86" s="34"/>
    </row>
    <row r="87">
      <c r="E87" s="34"/>
      <c r="F87" s="34"/>
      <c r="G87" s="34"/>
      <c r="H87" s="34"/>
    </row>
    <row r="88">
      <c r="E88" s="34"/>
      <c r="F88" s="34"/>
      <c r="G88" s="34"/>
      <c r="H88" s="34"/>
    </row>
    <row r="89">
      <c r="E89" s="34"/>
      <c r="F89" s="34"/>
      <c r="G89" s="34"/>
      <c r="H89" s="34"/>
    </row>
    <row r="90">
      <c r="E90" s="34"/>
      <c r="F90" s="34"/>
      <c r="G90" s="34"/>
      <c r="H90" s="34"/>
    </row>
    <row r="91">
      <c r="E91" s="34"/>
      <c r="F91" s="34"/>
      <c r="G91" s="34"/>
      <c r="H91" s="34"/>
    </row>
    <row r="92">
      <c r="E92" s="34"/>
      <c r="F92" s="34"/>
      <c r="G92" s="34"/>
      <c r="H92" s="34"/>
    </row>
    <row r="93">
      <c r="E93" s="34"/>
      <c r="F93" s="34"/>
      <c r="G93" s="34"/>
      <c r="H93" s="34"/>
    </row>
    <row r="94">
      <c r="E94" s="34"/>
      <c r="F94" s="34"/>
      <c r="G94" s="34"/>
      <c r="H94" s="34"/>
    </row>
    <row r="95">
      <c r="E95" s="34"/>
      <c r="F95" s="34"/>
      <c r="G95" s="34"/>
      <c r="H95" s="34"/>
    </row>
    <row r="96">
      <c r="E96" s="34"/>
      <c r="F96" s="34"/>
      <c r="G96" s="34"/>
      <c r="H96" s="34"/>
    </row>
    <row r="97">
      <c r="E97" s="34"/>
      <c r="F97" s="34"/>
      <c r="G97" s="34"/>
      <c r="H97" s="34"/>
    </row>
    <row r="98">
      <c r="E98" s="34"/>
      <c r="F98" s="34"/>
      <c r="G98" s="34"/>
      <c r="H98" s="34"/>
    </row>
    <row r="99">
      <c r="E99" s="34"/>
      <c r="F99" s="34"/>
      <c r="G99" s="34"/>
      <c r="H99" s="34"/>
    </row>
    <row r="100">
      <c r="E100" s="34"/>
      <c r="F100" s="34"/>
      <c r="G100" s="34"/>
      <c r="H100" s="34"/>
    </row>
    <row r="101">
      <c r="E101" s="34"/>
      <c r="F101" s="34"/>
      <c r="G101" s="34"/>
      <c r="H101" s="34"/>
    </row>
    <row r="102">
      <c r="E102" s="34"/>
      <c r="F102" s="34"/>
      <c r="G102" s="34"/>
      <c r="H102" s="34"/>
    </row>
    <row r="103">
      <c r="E103" s="34"/>
      <c r="F103" s="34"/>
      <c r="G103" s="34"/>
      <c r="H103" s="34"/>
    </row>
    <row r="104">
      <c r="E104" s="34"/>
      <c r="F104" s="34"/>
      <c r="G104" s="34"/>
      <c r="H104" s="34"/>
    </row>
    <row r="105">
      <c r="E105" s="34"/>
      <c r="F105" s="34"/>
      <c r="G105" s="34"/>
      <c r="H105" s="34"/>
    </row>
    <row r="106">
      <c r="E106" s="34"/>
      <c r="F106" s="34"/>
      <c r="G106" s="34"/>
      <c r="H106" s="34"/>
    </row>
  </sheetData>
  <mergeCells count="47">
    <mergeCell ref="T3:V3"/>
    <mergeCell ref="T4:V4"/>
    <mergeCell ref="T6:T10"/>
    <mergeCell ref="U6:U10"/>
    <mergeCell ref="A2:H2"/>
    <mergeCell ref="J2:R2"/>
    <mergeCell ref="A3:H3"/>
    <mergeCell ref="J3:R3"/>
    <mergeCell ref="W3:AA3"/>
    <mergeCell ref="J4:R4"/>
    <mergeCell ref="W4:AA4"/>
    <mergeCell ref="N5:O5"/>
    <mergeCell ref="P5:R5"/>
    <mergeCell ref="O25:P25"/>
    <mergeCell ref="O31:R33"/>
    <mergeCell ref="O34:R36"/>
    <mergeCell ref="A4:H4"/>
    <mergeCell ref="A5:B5"/>
    <mergeCell ref="C5:D5"/>
    <mergeCell ref="E5:F5"/>
    <mergeCell ref="G5:H5"/>
    <mergeCell ref="J5:K5"/>
    <mergeCell ref="L5:M5"/>
    <mergeCell ref="C6:D6"/>
    <mergeCell ref="E6:F6"/>
    <mergeCell ref="G6:H6"/>
    <mergeCell ref="J6:K6"/>
    <mergeCell ref="L6:M6"/>
    <mergeCell ref="N6:O6"/>
    <mergeCell ref="P6:R6"/>
    <mergeCell ref="N7:O7"/>
    <mergeCell ref="P7:R7"/>
    <mergeCell ref="J8:R8"/>
    <mergeCell ref="P9:R9"/>
    <mergeCell ref="O10:R10"/>
    <mergeCell ref="G7:H7"/>
    <mergeCell ref="G9:H9"/>
    <mergeCell ref="F10:H10"/>
    <mergeCell ref="F31:H33"/>
    <mergeCell ref="F34:H36"/>
    <mergeCell ref="A6:B6"/>
    <mergeCell ref="A7:B7"/>
    <mergeCell ref="C7:D7"/>
    <mergeCell ref="E7:F7"/>
    <mergeCell ref="J7:K7"/>
    <mergeCell ref="L7:M7"/>
    <mergeCell ref="A8:H8"/>
  </mergeCells>
  <conditionalFormatting sqref="X6:X10">
    <cfRule type="cellIs" dxfId="0" priority="1" operator="lessThanOrEqual">
      <formula>20</formula>
    </cfRule>
  </conditionalFormatting>
  <conditionalFormatting sqref="X6:X10">
    <cfRule type="cellIs" dxfId="1" priority="2" operator="greaterThanOrEqual">
      <formula>20</formula>
    </cfRule>
  </conditionalFormatting>
  <printOptions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7.63"/>
    <col customWidth="1" min="4" max="4" width="8.88"/>
    <col customWidth="1" min="5" max="5" width="5.13"/>
    <col customWidth="1" min="6" max="6" width="7.63"/>
    <col customWidth="1" min="7" max="7" width="15.13"/>
    <col customWidth="1" min="8" max="9" width="9.0"/>
    <col customWidth="1" min="10" max="10" width="5.13"/>
    <col customWidth="1" min="11" max="12" width="7.63"/>
    <col customWidth="1" min="13" max="13" width="17.63"/>
    <col customWidth="1" min="14" max="14" width="8.88"/>
    <col customWidth="1" min="15" max="15" width="5.13"/>
    <col customWidth="1" min="16" max="16" width="7.63"/>
    <col customWidth="1" min="17" max="17" width="15.13"/>
    <col customWidth="1" min="18" max="19" width="8.88"/>
    <col customWidth="1" min="20" max="20" width="5.13"/>
    <col customWidth="1" min="21" max="22" width="7.63"/>
    <col customWidth="1" min="23" max="23" width="17.63"/>
    <col customWidth="1" min="24" max="24" width="8.88"/>
    <col customWidth="1" min="25" max="25" width="5.13"/>
    <col customWidth="1" min="26" max="26" width="7.63"/>
    <col customWidth="1" min="27" max="27" width="15.13"/>
    <col customWidth="1" min="28" max="29" width="8.88"/>
    <col customWidth="1" min="30" max="58" width="12.63"/>
  </cols>
  <sheetData>
    <row r="1">
      <c r="A1" s="65" t="s">
        <v>29</v>
      </c>
      <c r="B1" s="2"/>
      <c r="C1" s="2"/>
      <c r="D1" s="2"/>
      <c r="E1" s="2"/>
      <c r="F1" s="2"/>
      <c r="G1" s="2"/>
      <c r="H1" s="3"/>
      <c r="I1" s="66"/>
      <c r="K1" s="67" t="s">
        <v>30</v>
      </c>
      <c r="L1" s="2"/>
      <c r="M1" s="2"/>
      <c r="N1" s="2"/>
      <c r="O1" s="2"/>
      <c r="P1" s="2"/>
      <c r="Q1" s="2"/>
      <c r="R1" s="3"/>
      <c r="S1" s="66"/>
      <c r="U1" s="68" t="s">
        <v>31</v>
      </c>
      <c r="V1" s="2"/>
      <c r="W1" s="2"/>
      <c r="X1" s="2"/>
      <c r="Y1" s="2"/>
      <c r="Z1" s="2"/>
      <c r="AA1" s="2"/>
      <c r="AB1" s="3"/>
    </row>
    <row r="2">
      <c r="A2" s="4" t="s">
        <v>0</v>
      </c>
      <c r="B2" s="5"/>
      <c r="C2" s="5"/>
      <c r="D2" s="5"/>
      <c r="E2" s="5"/>
      <c r="F2" s="5"/>
      <c r="G2" s="5"/>
      <c r="H2" s="6"/>
      <c r="I2" s="66"/>
      <c r="K2" s="4" t="s">
        <v>0</v>
      </c>
      <c r="L2" s="5"/>
      <c r="M2" s="5"/>
      <c r="N2" s="5"/>
      <c r="O2" s="5"/>
      <c r="P2" s="5"/>
      <c r="Q2" s="5"/>
      <c r="R2" s="6"/>
      <c r="S2" s="66"/>
      <c r="U2" s="4" t="s">
        <v>0</v>
      </c>
      <c r="V2" s="5"/>
      <c r="W2" s="5"/>
      <c r="X2" s="5"/>
      <c r="Y2" s="5"/>
      <c r="Z2" s="5"/>
      <c r="AA2" s="5"/>
      <c r="AB2" s="6"/>
    </row>
    <row r="3">
      <c r="A3" s="4" t="s">
        <v>1</v>
      </c>
      <c r="B3" s="5"/>
      <c r="C3" s="5"/>
      <c r="D3" s="5"/>
      <c r="E3" s="5"/>
      <c r="F3" s="5"/>
      <c r="G3" s="5"/>
      <c r="H3" s="6"/>
      <c r="I3" s="66"/>
      <c r="K3" s="4" t="s">
        <v>1</v>
      </c>
      <c r="L3" s="5"/>
      <c r="M3" s="5"/>
      <c r="N3" s="5"/>
      <c r="O3" s="5"/>
      <c r="P3" s="5"/>
      <c r="Q3" s="5"/>
      <c r="R3" s="6"/>
      <c r="S3" s="66"/>
      <c r="U3" s="4" t="s">
        <v>1</v>
      </c>
      <c r="V3" s="5"/>
      <c r="W3" s="5"/>
      <c r="X3" s="5"/>
      <c r="Y3" s="5"/>
      <c r="Z3" s="5"/>
      <c r="AA3" s="5"/>
      <c r="AB3" s="6"/>
    </row>
    <row r="4">
      <c r="A4" s="10"/>
      <c r="H4" s="11"/>
      <c r="I4" s="66"/>
      <c r="K4" s="10"/>
      <c r="R4" s="11"/>
      <c r="S4" s="66"/>
      <c r="U4" s="10"/>
      <c r="AB4" s="11"/>
    </row>
    <row r="5">
      <c r="A5" s="13" t="s">
        <v>4</v>
      </c>
      <c r="B5" s="8"/>
      <c r="C5" s="14"/>
      <c r="D5" s="8"/>
      <c r="E5" s="15" t="s">
        <v>5</v>
      </c>
      <c r="F5" s="8"/>
      <c r="G5" s="16"/>
      <c r="H5" s="6"/>
      <c r="I5" s="66"/>
      <c r="K5" s="13" t="s">
        <v>4</v>
      </c>
      <c r="L5" s="8"/>
      <c r="M5" s="14"/>
      <c r="N5" s="8"/>
      <c r="O5" s="15" t="s">
        <v>5</v>
      </c>
      <c r="P5" s="8"/>
      <c r="Q5" s="16"/>
      <c r="R5" s="6"/>
      <c r="S5" s="66"/>
      <c r="U5" s="13" t="s">
        <v>4</v>
      </c>
      <c r="V5" s="8"/>
      <c r="W5" s="14"/>
      <c r="X5" s="8"/>
      <c r="Y5" s="15" t="s">
        <v>5</v>
      </c>
      <c r="Z5" s="8"/>
      <c r="AA5" s="16"/>
      <c r="AB5" s="6"/>
    </row>
    <row r="6">
      <c r="A6" s="13" t="s">
        <v>14</v>
      </c>
      <c r="B6" s="8"/>
      <c r="C6" s="14"/>
      <c r="D6" s="8"/>
      <c r="E6" s="15" t="s">
        <v>15</v>
      </c>
      <c r="F6" s="8"/>
      <c r="G6" s="21"/>
      <c r="H6" s="6"/>
      <c r="I6" s="66"/>
      <c r="K6" s="13" t="s">
        <v>14</v>
      </c>
      <c r="L6" s="8"/>
      <c r="M6" s="14"/>
      <c r="N6" s="8"/>
      <c r="O6" s="15" t="s">
        <v>15</v>
      </c>
      <c r="P6" s="8"/>
      <c r="Q6" s="21"/>
      <c r="R6" s="6"/>
      <c r="S6" s="66"/>
      <c r="U6" s="13" t="s">
        <v>14</v>
      </c>
      <c r="V6" s="8"/>
      <c r="W6" s="14"/>
      <c r="X6" s="8"/>
      <c r="Y6" s="15" t="s">
        <v>15</v>
      </c>
      <c r="Z6" s="8"/>
      <c r="AA6" s="21"/>
      <c r="AB6" s="6"/>
    </row>
    <row r="7">
      <c r="A7" s="13" t="s">
        <v>16</v>
      </c>
      <c r="B7" s="8"/>
      <c r="C7" s="27"/>
      <c r="D7" s="8"/>
      <c r="E7" s="15" t="s">
        <v>17</v>
      </c>
      <c r="F7" s="8"/>
      <c r="G7" s="21"/>
      <c r="H7" s="6"/>
      <c r="I7" s="66"/>
      <c r="K7" s="13" t="s">
        <v>16</v>
      </c>
      <c r="L7" s="8"/>
      <c r="M7" s="27"/>
      <c r="N7" s="8"/>
      <c r="O7" s="15" t="s">
        <v>17</v>
      </c>
      <c r="P7" s="8"/>
      <c r="Q7" s="21"/>
      <c r="R7" s="6"/>
      <c r="S7" s="66"/>
      <c r="U7" s="13" t="s">
        <v>16</v>
      </c>
      <c r="V7" s="8"/>
      <c r="W7" s="27"/>
      <c r="X7" s="8"/>
      <c r="Y7" s="15" t="s">
        <v>17</v>
      </c>
      <c r="Z7" s="8"/>
      <c r="AA7" s="21"/>
      <c r="AB7" s="6"/>
    </row>
    <row r="8">
      <c r="A8" s="10"/>
      <c r="H8" s="11"/>
      <c r="I8" s="66"/>
      <c r="K8" s="10"/>
      <c r="R8" s="11"/>
      <c r="S8" s="66"/>
      <c r="U8" s="10"/>
      <c r="AB8" s="11"/>
    </row>
    <row r="9">
      <c r="A9" s="69" t="s">
        <v>18</v>
      </c>
      <c r="B9" s="70" t="s">
        <v>19</v>
      </c>
      <c r="C9" s="70" t="s">
        <v>20</v>
      </c>
      <c r="D9" s="70" t="s">
        <v>21</v>
      </c>
      <c r="E9" s="34"/>
      <c r="F9" s="70" t="s">
        <v>6</v>
      </c>
      <c r="G9" s="71" t="s">
        <v>32</v>
      </c>
      <c r="H9" s="6"/>
      <c r="I9" s="66"/>
      <c r="K9" s="72" t="s">
        <v>18</v>
      </c>
      <c r="L9" s="73" t="s">
        <v>19</v>
      </c>
      <c r="M9" s="73" t="s">
        <v>20</v>
      </c>
      <c r="N9" s="73" t="s">
        <v>21</v>
      </c>
      <c r="O9" s="34"/>
      <c r="P9" s="73" t="s">
        <v>6</v>
      </c>
      <c r="Q9" s="71" t="s">
        <v>32</v>
      </c>
      <c r="R9" s="6"/>
      <c r="S9" s="66"/>
      <c r="U9" s="74" t="s">
        <v>18</v>
      </c>
      <c r="V9" s="75" t="s">
        <v>19</v>
      </c>
      <c r="W9" s="75" t="s">
        <v>20</v>
      </c>
      <c r="X9" s="75" t="s">
        <v>21</v>
      </c>
      <c r="Y9" s="34"/>
      <c r="Z9" s="75" t="s">
        <v>6</v>
      </c>
      <c r="AA9" s="76" t="s">
        <v>33</v>
      </c>
      <c r="AB9" s="6"/>
    </row>
    <row r="10">
      <c r="A10" s="37"/>
      <c r="B10" s="38"/>
      <c r="C10" s="39"/>
      <c r="D10" s="40"/>
      <c r="E10" s="34"/>
      <c r="F10" s="77" t="s">
        <v>22</v>
      </c>
      <c r="G10" s="5"/>
      <c r="H10" s="6"/>
      <c r="I10" s="66"/>
      <c r="K10" s="37"/>
      <c r="L10" s="38"/>
      <c r="M10" s="39"/>
      <c r="N10" s="40"/>
      <c r="O10" s="34"/>
      <c r="P10" s="78" t="s">
        <v>22</v>
      </c>
      <c r="Q10" s="5"/>
      <c r="R10" s="6"/>
      <c r="S10" s="66"/>
      <c r="U10" s="37"/>
      <c r="V10" s="38"/>
      <c r="W10" s="39"/>
      <c r="X10" s="40"/>
      <c r="Y10" s="34"/>
      <c r="Z10" s="79" t="s">
        <v>22</v>
      </c>
      <c r="AA10" s="5"/>
      <c r="AB10" s="6"/>
    </row>
    <row r="11">
      <c r="A11" s="37"/>
      <c r="B11" s="38"/>
      <c r="C11" s="38"/>
      <c r="D11" s="40"/>
      <c r="E11" s="34"/>
      <c r="F11" s="70" t="s">
        <v>23</v>
      </c>
      <c r="G11" s="70" t="s">
        <v>20</v>
      </c>
      <c r="H11" s="80" t="s">
        <v>21</v>
      </c>
      <c r="I11" s="66"/>
      <c r="K11" s="37"/>
      <c r="L11" s="38"/>
      <c r="M11" s="38"/>
      <c r="N11" s="40"/>
      <c r="O11" s="34"/>
      <c r="P11" s="73" t="s">
        <v>23</v>
      </c>
      <c r="Q11" s="73" t="s">
        <v>20</v>
      </c>
      <c r="R11" s="81" t="s">
        <v>21</v>
      </c>
      <c r="S11" s="66"/>
      <c r="U11" s="37"/>
      <c r="V11" s="38"/>
      <c r="W11" s="38"/>
      <c r="X11" s="40"/>
      <c r="Y11" s="34"/>
      <c r="Z11" s="75" t="s">
        <v>23</v>
      </c>
      <c r="AA11" s="75" t="s">
        <v>20</v>
      </c>
      <c r="AB11" s="82" t="s">
        <v>21</v>
      </c>
    </row>
    <row r="12">
      <c r="A12" s="37"/>
      <c r="B12" s="38"/>
      <c r="C12" s="38"/>
      <c r="D12" s="40"/>
      <c r="E12" s="34"/>
      <c r="F12" s="48"/>
      <c r="G12" s="48"/>
      <c r="H12" s="49"/>
      <c r="I12" s="66"/>
      <c r="K12" s="37"/>
      <c r="L12" s="38"/>
      <c r="M12" s="38"/>
      <c r="N12" s="40"/>
      <c r="O12" s="34"/>
      <c r="P12" s="48"/>
      <c r="Q12" s="48"/>
      <c r="R12" s="49"/>
      <c r="S12" s="66"/>
      <c r="U12" s="37"/>
      <c r="V12" s="38"/>
      <c r="W12" s="38"/>
      <c r="X12" s="40"/>
      <c r="Y12" s="34"/>
      <c r="Z12" s="48"/>
      <c r="AA12" s="48"/>
      <c r="AB12" s="49"/>
    </row>
    <row r="13">
      <c r="A13" s="37"/>
      <c r="B13" s="38"/>
      <c r="C13" s="38"/>
      <c r="D13" s="40"/>
      <c r="E13" s="34"/>
      <c r="F13" s="48"/>
      <c r="G13" s="48"/>
      <c r="H13" s="49"/>
      <c r="I13" s="66"/>
      <c r="K13" s="37"/>
      <c r="L13" s="38"/>
      <c r="M13" s="38"/>
      <c r="N13" s="40"/>
      <c r="O13" s="34"/>
      <c r="P13" s="48"/>
      <c r="Q13" s="48"/>
      <c r="R13" s="49"/>
      <c r="S13" s="66"/>
      <c r="U13" s="37"/>
      <c r="V13" s="38"/>
      <c r="W13" s="38"/>
      <c r="X13" s="40"/>
      <c r="Y13" s="34"/>
      <c r="Z13" s="48"/>
      <c r="AA13" s="48"/>
      <c r="AB13" s="49"/>
    </row>
    <row r="14">
      <c r="A14" s="37"/>
      <c r="B14" s="38"/>
      <c r="C14" s="38"/>
      <c r="D14" s="40"/>
      <c r="E14" s="34"/>
      <c r="F14" s="48"/>
      <c r="G14" s="48"/>
      <c r="H14" s="49"/>
      <c r="I14" s="66"/>
      <c r="K14" s="37"/>
      <c r="L14" s="38"/>
      <c r="M14" s="38"/>
      <c r="N14" s="40"/>
      <c r="O14" s="34"/>
      <c r="P14" s="48"/>
      <c r="Q14" s="48"/>
      <c r="R14" s="49"/>
      <c r="S14" s="66"/>
      <c r="U14" s="37"/>
      <c r="V14" s="38"/>
      <c r="W14" s="38"/>
      <c r="X14" s="40"/>
      <c r="Y14" s="34"/>
      <c r="Z14" s="48"/>
      <c r="AA14" s="48"/>
      <c r="AB14" s="49"/>
    </row>
    <row r="15">
      <c r="A15" s="37"/>
      <c r="B15" s="38"/>
      <c r="C15" s="38"/>
      <c r="D15" s="40"/>
      <c r="E15" s="34"/>
      <c r="F15" s="48"/>
      <c r="G15" s="48"/>
      <c r="H15" s="49"/>
      <c r="I15" s="66"/>
      <c r="K15" s="37"/>
      <c r="L15" s="38"/>
      <c r="M15" s="38"/>
      <c r="N15" s="40"/>
      <c r="O15" s="34"/>
      <c r="P15" s="48"/>
      <c r="Q15" s="48"/>
      <c r="R15" s="49"/>
      <c r="S15" s="66"/>
      <c r="U15" s="37"/>
      <c r="V15" s="38"/>
      <c r="W15" s="38"/>
      <c r="X15" s="40"/>
      <c r="Y15" s="34"/>
      <c r="Z15" s="48"/>
      <c r="AA15" s="48"/>
      <c r="AB15" s="49"/>
    </row>
    <row r="16">
      <c r="A16" s="37"/>
      <c r="B16" s="38"/>
      <c r="C16" s="38"/>
      <c r="D16" s="40"/>
      <c r="E16" s="34"/>
      <c r="F16" s="48"/>
      <c r="G16" s="48"/>
      <c r="H16" s="49"/>
      <c r="I16" s="66"/>
      <c r="K16" s="37"/>
      <c r="L16" s="38"/>
      <c r="M16" s="38"/>
      <c r="N16" s="40"/>
      <c r="O16" s="34"/>
      <c r="P16" s="48"/>
      <c r="Q16" s="48"/>
      <c r="R16" s="49"/>
      <c r="S16" s="66"/>
      <c r="U16" s="37"/>
      <c r="V16" s="38"/>
      <c r="W16" s="38"/>
      <c r="X16" s="40"/>
      <c r="Y16" s="34"/>
      <c r="Z16" s="48"/>
      <c r="AA16" s="48"/>
      <c r="AB16" s="49"/>
    </row>
    <row r="17">
      <c r="A17" s="37"/>
      <c r="B17" s="38"/>
      <c r="C17" s="38"/>
      <c r="D17" s="40"/>
      <c r="E17" s="34"/>
      <c r="F17" s="48"/>
      <c r="G17" s="48"/>
      <c r="H17" s="49"/>
      <c r="I17" s="66"/>
      <c r="K17" s="37"/>
      <c r="L17" s="38"/>
      <c r="M17" s="38"/>
      <c r="N17" s="40"/>
      <c r="O17" s="34"/>
      <c r="P17" s="48"/>
      <c r="Q17" s="48"/>
      <c r="R17" s="49"/>
      <c r="S17" s="66"/>
      <c r="U17" s="37"/>
      <c r="V17" s="38"/>
      <c r="W17" s="38"/>
      <c r="X17" s="40"/>
      <c r="Y17" s="34"/>
      <c r="Z17" s="48"/>
      <c r="AA17" s="48"/>
      <c r="AB17" s="49"/>
    </row>
    <row r="18">
      <c r="A18" s="37"/>
      <c r="B18" s="38"/>
      <c r="C18" s="38"/>
      <c r="D18" s="40"/>
      <c r="E18" s="34"/>
      <c r="F18" s="48"/>
      <c r="G18" s="48"/>
      <c r="H18" s="49"/>
      <c r="I18" s="66"/>
      <c r="K18" s="37"/>
      <c r="L18" s="38"/>
      <c r="M18" s="38"/>
      <c r="N18" s="40"/>
      <c r="O18" s="34"/>
      <c r="P18" s="48"/>
      <c r="Q18" s="48"/>
      <c r="R18" s="49"/>
      <c r="S18" s="66"/>
      <c r="U18" s="37"/>
      <c r="V18" s="38"/>
      <c r="W18" s="38"/>
      <c r="X18" s="40"/>
      <c r="Y18" s="34"/>
      <c r="Z18" s="48"/>
      <c r="AA18" s="48"/>
      <c r="AB18" s="49"/>
    </row>
    <row r="19">
      <c r="A19" s="37"/>
      <c r="B19" s="38"/>
      <c r="C19" s="38"/>
      <c r="D19" s="40"/>
      <c r="E19" s="34"/>
      <c r="F19" s="48"/>
      <c r="G19" s="48"/>
      <c r="H19" s="49"/>
      <c r="I19" s="66"/>
      <c r="K19" s="37"/>
      <c r="L19" s="38"/>
      <c r="M19" s="38"/>
      <c r="N19" s="40"/>
      <c r="O19" s="34"/>
      <c r="P19" s="48"/>
      <c r="Q19" s="48"/>
      <c r="R19" s="49"/>
      <c r="S19" s="66"/>
      <c r="U19" s="37"/>
      <c r="V19" s="38"/>
      <c r="W19" s="38"/>
      <c r="X19" s="40"/>
      <c r="Y19" s="34"/>
      <c r="Z19" s="48"/>
      <c r="AA19" s="48"/>
      <c r="AB19" s="49"/>
    </row>
    <row r="20">
      <c r="A20" s="37"/>
      <c r="B20" s="38"/>
      <c r="C20" s="38"/>
      <c r="D20" s="40"/>
      <c r="E20" s="34"/>
      <c r="F20" s="48"/>
      <c r="G20" s="48"/>
      <c r="H20" s="49"/>
      <c r="I20" s="66"/>
      <c r="K20" s="37"/>
      <c r="L20" s="38"/>
      <c r="M20" s="38"/>
      <c r="N20" s="40"/>
      <c r="O20" s="34"/>
      <c r="P20" s="48"/>
      <c r="Q20" s="48"/>
      <c r="R20" s="49"/>
      <c r="S20" s="66"/>
      <c r="U20" s="37"/>
      <c r="V20" s="38"/>
      <c r="W20" s="38"/>
      <c r="X20" s="40"/>
      <c r="Y20" s="34"/>
      <c r="Z20" s="48"/>
      <c r="AA20" s="48"/>
      <c r="AB20" s="49"/>
    </row>
    <row r="21">
      <c r="A21" s="37"/>
      <c r="B21" s="38"/>
      <c r="C21" s="38"/>
      <c r="D21" s="40"/>
      <c r="E21" s="34"/>
      <c r="F21" s="48"/>
      <c r="G21" s="48"/>
      <c r="H21" s="49"/>
      <c r="I21" s="66"/>
      <c r="K21" s="37"/>
      <c r="L21" s="38"/>
      <c r="M21" s="38"/>
      <c r="N21" s="40"/>
      <c r="O21" s="34"/>
      <c r="P21" s="48"/>
      <c r="Q21" s="48"/>
      <c r="R21" s="49"/>
      <c r="S21" s="66"/>
      <c r="U21" s="37"/>
      <c r="V21" s="38"/>
      <c r="W21" s="38"/>
      <c r="X21" s="40"/>
      <c r="Y21" s="34"/>
      <c r="Z21" s="48"/>
      <c r="AA21" s="48"/>
      <c r="AB21" s="49"/>
    </row>
    <row r="22">
      <c r="A22" s="37"/>
      <c r="B22" s="38"/>
      <c r="C22" s="38"/>
      <c r="D22" s="40"/>
      <c r="E22" s="34"/>
      <c r="F22" s="48"/>
      <c r="G22" s="48"/>
      <c r="H22" s="49"/>
      <c r="I22" s="66"/>
      <c r="K22" s="37"/>
      <c r="L22" s="38"/>
      <c r="M22" s="38"/>
      <c r="N22" s="40"/>
      <c r="O22" s="34"/>
      <c r="P22" s="48"/>
      <c r="Q22" s="48"/>
      <c r="R22" s="49"/>
      <c r="S22" s="66"/>
      <c r="U22" s="37"/>
      <c r="V22" s="38"/>
      <c r="W22" s="38"/>
      <c r="X22" s="40"/>
      <c r="Y22" s="34"/>
      <c r="Z22" s="48"/>
      <c r="AA22" s="48"/>
      <c r="AB22" s="49"/>
    </row>
    <row r="23">
      <c r="A23" s="50"/>
      <c r="B23" s="38"/>
      <c r="C23" s="38"/>
      <c r="D23" s="40"/>
      <c r="E23" s="34"/>
      <c r="F23" s="48"/>
      <c r="G23" s="48"/>
      <c r="H23" s="49"/>
      <c r="I23" s="66"/>
      <c r="K23" s="50"/>
      <c r="L23" s="38"/>
      <c r="M23" s="38"/>
      <c r="N23" s="40"/>
      <c r="O23" s="34"/>
      <c r="P23" s="48"/>
      <c r="Q23" s="48"/>
      <c r="R23" s="49"/>
      <c r="S23" s="66"/>
      <c r="U23" s="50"/>
      <c r="V23" s="38"/>
      <c r="W23" s="38"/>
      <c r="X23" s="40"/>
      <c r="Y23" s="34"/>
      <c r="Z23" s="48"/>
      <c r="AA23" s="48"/>
      <c r="AB23" s="49"/>
    </row>
    <row r="24">
      <c r="A24" s="50"/>
      <c r="B24" s="38"/>
      <c r="C24" s="38"/>
      <c r="D24" s="40"/>
      <c r="E24" s="34"/>
      <c r="F24" s="48"/>
      <c r="G24" s="48"/>
      <c r="H24" s="49"/>
      <c r="I24" s="66"/>
      <c r="K24" s="50"/>
      <c r="L24" s="38"/>
      <c r="M24" s="38"/>
      <c r="N24" s="40"/>
      <c r="O24" s="34"/>
      <c r="P24" s="48"/>
      <c r="Q24" s="48"/>
      <c r="R24" s="49"/>
      <c r="S24" s="66"/>
      <c r="U24" s="50"/>
      <c r="V24" s="38"/>
      <c r="W24" s="38"/>
      <c r="X24" s="40"/>
      <c r="Y24" s="34"/>
      <c r="Z24" s="48"/>
      <c r="AA24" s="48"/>
      <c r="AB24" s="49"/>
    </row>
    <row r="25">
      <c r="A25" s="50"/>
      <c r="B25" s="38"/>
      <c r="C25" s="38"/>
      <c r="D25" s="40"/>
      <c r="E25" s="34"/>
      <c r="F25" s="48"/>
      <c r="G25" s="48"/>
      <c r="H25" s="49"/>
      <c r="I25" s="66"/>
      <c r="K25" s="50"/>
      <c r="L25" s="38"/>
      <c r="M25" s="38"/>
      <c r="N25" s="40"/>
      <c r="O25" s="34"/>
      <c r="P25" s="48"/>
      <c r="Q25" s="48"/>
      <c r="R25" s="49"/>
      <c r="S25" s="66"/>
      <c r="U25" s="50"/>
      <c r="V25" s="38"/>
      <c r="W25" s="38"/>
      <c r="X25" s="40"/>
      <c r="Y25" s="34"/>
      <c r="Z25" s="48"/>
      <c r="AA25" s="48"/>
      <c r="AB25" s="49"/>
    </row>
    <row r="26">
      <c r="A26" s="50"/>
      <c r="B26" s="38"/>
      <c r="C26" s="38"/>
      <c r="D26" s="40"/>
      <c r="E26" s="34"/>
      <c r="F26" s="34"/>
      <c r="G26" s="34"/>
      <c r="H26" s="52"/>
      <c r="I26" s="66"/>
      <c r="K26" s="50"/>
      <c r="L26" s="38"/>
      <c r="M26" s="38"/>
      <c r="N26" s="40"/>
      <c r="O26" s="34"/>
      <c r="P26" s="34"/>
      <c r="Q26" s="34"/>
      <c r="R26" s="52"/>
      <c r="S26" s="66"/>
      <c r="U26" s="50"/>
      <c r="V26" s="38"/>
      <c r="W26" s="38"/>
      <c r="X26" s="40"/>
      <c r="Y26" s="34"/>
      <c r="Z26" s="34"/>
      <c r="AA26" s="34"/>
      <c r="AB26" s="52"/>
    </row>
    <row r="27">
      <c r="A27" s="50"/>
      <c r="B27" s="38"/>
      <c r="C27" s="38"/>
      <c r="D27" s="40"/>
      <c r="E27" s="34"/>
      <c r="F27" s="34"/>
      <c r="G27" s="34"/>
      <c r="H27" s="52"/>
      <c r="I27" s="66"/>
      <c r="K27" s="50"/>
      <c r="L27" s="38"/>
      <c r="M27" s="38"/>
      <c r="N27" s="40"/>
      <c r="O27" s="34"/>
      <c r="P27" s="34"/>
      <c r="Q27" s="34"/>
      <c r="R27" s="52"/>
      <c r="S27" s="66"/>
      <c r="U27" s="50"/>
      <c r="V27" s="38"/>
      <c r="W27" s="38"/>
      <c r="X27" s="40"/>
      <c r="Y27" s="34"/>
      <c r="Z27" s="34"/>
      <c r="AA27" s="34"/>
      <c r="AB27" s="52"/>
    </row>
    <row r="28">
      <c r="A28" s="50"/>
      <c r="B28" s="38"/>
      <c r="C28" s="38"/>
      <c r="D28" s="40"/>
      <c r="E28" s="34"/>
      <c r="F28" s="34"/>
      <c r="G28" s="34"/>
      <c r="H28" s="52"/>
      <c r="I28" s="66"/>
      <c r="K28" s="50"/>
      <c r="L28" s="38"/>
      <c r="M28" s="38"/>
      <c r="N28" s="40"/>
      <c r="O28" s="34"/>
      <c r="P28" s="34"/>
      <c r="Q28" s="34"/>
      <c r="R28" s="52"/>
      <c r="S28" s="66"/>
      <c r="U28" s="50"/>
      <c r="V28" s="38"/>
      <c r="W28" s="38"/>
      <c r="X28" s="40"/>
      <c r="Y28" s="34"/>
      <c r="Z28" s="34"/>
      <c r="AA28" s="34"/>
      <c r="AB28" s="52"/>
    </row>
    <row r="29">
      <c r="A29" s="50"/>
      <c r="B29" s="38"/>
      <c r="C29" s="38"/>
      <c r="D29" s="40"/>
      <c r="E29" s="34"/>
      <c r="F29" s="34"/>
      <c r="G29" s="34"/>
      <c r="H29" s="52"/>
      <c r="I29" s="66"/>
      <c r="K29" s="50"/>
      <c r="L29" s="38"/>
      <c r="M29" s="38"/>
      <c r="N29" s="40"/>
      <c r="O29" s="34"/>
      <c r="P29" s="34"/>
      <c r="Q29" s="34"/>
      <c r="R29" s="52"/>
      <c r="S29" s="66"/>
      <c r="U29" s="50"/>
      <c r="V29" s="38"/>
      <c r="W29" s="38"/>
      <c r="X29" s="40"/>
      <c r="Y29" s="34"/>
      <c r="Z29" s="34"/>
      <c r="AA29" s="34"/>
      <c r="AB29" s="52"/>
    </row>
    <row r="30">
      <c r="A30" s="50"/>
      <c r="B30" s="38"/>
      <c r="C30" s="38"/>
      <c r="D30" s="40"/>
      <c r="E30" s="34"/>
      <c r="F30" s="54" t="s">
        <v>26</v>
      </c>
      <c r="G30" s="34"/>
      <c r="H30" s="52"/>
      <c r="I30" s="66"/>
      <c r="K30" s="50"/>
      <c r="L30" s="38"/>
      <c r="M30" s="38"/>
      <c r="N30" s="40"/>
      <c r="O30" s="34"/>
      <c r="P30" s="54" t="s">
        <v>26</v>
      </c>
      <c r="Q30" s="34"/>
      <c r="R30" s="52"/>
      <c r="S30" s="66"/>
      <c r="U30" s="50"/>
      <c r="V30" s="38"/>
      <c r="W30" s="38"/>
      <c r="X30" s="40"/>
      <c r="Y30" s="34"/>
      <c r="Z30" s="54" t="s">
        <v>26</v>
      </c>
      <c r="AA30" s="34"/>
      <c r="AB30" s="52"/>
    </row>
    <row r="31">
      <c r="A31" s="50"/>
      <c r="B31" s="38"/>
      <c r="C31" s="38"/>
      <c r="D31" s="40"/>
      <c r="E31" s="34"/>
      <c r="F31" s="55" t="s">
        <v>27</v>
      </c>
      <c r="H31" s="11"/>
      <c r="I31" s="66"/>
      <c r="K31" s="50"/>
      <c r="L31" s="38"/>
      <c r="M31" s="38"/>
      <c r="N31" s="40"/>
      <c r="O31" s="34"/>
      <c r="P31" s="55" t="s">
        <v>27</v>
      </c>
      <c r="R31" s="11"/>
      <c r="S31" s="66"/>
      <c r="U31" s="50"/>
      <c r="V31" s="38"/>
      <c r="W31" s="38"/>
      <c r="X31" s="40"/>
      <c r="Y31" s="34"/>
      <c r="Z31" s="55" t="s">
        <v>27</v>
      </c>
      <c r="AB31" s="11"/>
    </row>
    <row r="32">
      <c r="A32" s="50"/>
      <c r="B32" s="38"/>
      <c r="C32" s="38"/>
      <c r="D32" s="40"/>
      <c r="E32" s="34"/>
      <c r="H32" s="11"/>
      <c r="I32" s="66"/>
      <c r="K32" s="50"/>
      <c r="L32" s="38"/>
      <c r="M32" s="38"/>
      <c r="N32" s="40"/>
      <c r="O32" s="34"/>
      <c r="R32" s="11"/>
      <c r="S32" s="66"/>
      <c r="U32" s="50"/>
      <c r="V32" s="38"/>
      <c r="W32" s="38"/>
      <c r="X32" s="40"/>
      <c r="Y32" s="34"/>
      <c r="AB32" s="11"/>
    </row>
    <row r="33">
      <c r="A33" s="50"/>
      <c r="B33" s="38"/>
      <c r="C33" s="38"/>
      <c r="D33" s="56"/>
      <c r="E33" s="34"/>
      <c r="H33" s="11"/>
      <c r="I33" s="66"/>
      <c r="K33" s="50"/>
      <c r="L33" s="38"/>
      <c r="M33" s="38"/>
      <c r="N33" s="56"/>
      <c r="O33" s="34"/>
      <c r="R33" s="11"/>
      <c r="S33" s="66"/>
      <c r="U33" s="50"/>
      <c r="V33" s="38"/>
      <c r="W33" s="38"/>
      <c r="X33" s="56"/>
      <c r="Y33" s="34"/>
      <c r="AB33" s="11"/>
    </row>
    <row r="34">
      <c r="A34" s="50"/>
      <c r="B34" s="38"/>
      <c r="C34" s="38"/>
      <c r="D34" s="56"/>
      <c r="E34" s="34"/>
      <c r="F34" s="55" t="s">
        <v>28</v>
      </c>
      <c r="H34" s="11"/>
      <c r="I34" s="66"/>
      <c r="K34" s="50"/>
      <c r="L34" s="38"/>
      <c r="M34" s="38"/>
      <c r="N34" s="56"/>
      <c r="O34" s="34"/>
      <c r="P34" s="55" t="s">
        <v>28</v>
      </c>
      <c r="R34" s="11"/>
      <c r="S34" s="66"/>
      <c r="U34" s="50"/>
      <c r="V34" s="38"/>
      <c r="W34" s="38"/>
      <c r="X34" s="56"/>
      <c r="Y34" s="34"/>
      <c r="Z34" s="55" t="s">
        <v>28</v>
      </c>
      <c r="AB34" s="11"/>
    </row>
    <row r="35">
      <c r="A35" s="50"/>
      <c r="B35" s="38"/>
      <c r="C35" s="38"/>
      <c r="D35" s="56"/>
      <c r="E35" s="34"/>
      <c r="H35" s="11"/>
      <c r="I35" s="66"/>
      <c r="K35" s="50"/>
      <c r="L35" s="38"/>
      <c r="M35" s="38"/>
      <c r="N35" s="56"/>
      <c r="O35" s="34"/>
      <c r="R35" s="11"/>
      <c r="S35" s="66"/>
      <c r="U35" s="50"/>
      <c r="V35" s="38"/>
      <c r="W35" s="38"/>
      <c r="X35" s="56"/>
      <c r="Y35" s="34"/>
      <c r="AB35" s="11"/>
    </row>
    <row r="36">
      <c r="A36" s="50"/>
      <c r="B36" s="38"/>
      <c r="C36" s="38"/>
      <c r="D36" s="40"/>
      <c r="E36" s="34"/>
      <c r="H36" s="11"/>
      <c r="I36" s="66"/>
      <c r="K36" s="50"/>
      <c r="L36" s="38"/>
      <c r="M36" s="38"/>
      <c r="N36" s="40"/>
      <c r="O36" s="34"/>
      <c r="R36" s="11"/>
      <c r="S36" s="66"/>
      <c r="U36" s="50"/>
      <c r="V36" s="38"/>
      <c r="W36" s="38"/>
      <c r="X36" s="40"/>
      <c r="Y36" s="34"/>
      <c r="AB36" s="11"/>
    </row>
    <row r="37">
      <c r="A37" s="50"/>
      <c r="B37" s="38"/>
      <c r="C37" s="38"/>
      <c r="D37" s="40"/>
      <c r="E37" s="34"/>
      <c r="F37" s="34"/>
      <c r="G37" s="34"/>
      <c r="H37" s="52"/>
      <c r="I37" s="66"/>
      <c r="K37" s="50"/>
      <c r="L37" s="38"/>
      <c r="M37" s="38"/>
      <c r="N37" s="40"/>
      <c r="O37" s="34"/>
      <c r="P37" s="34"/>
      <c r="Q37" s="34"/>
      <c r="R37" s="52"/>
      <c r="S37" s="66"/>
      <c r="U37" s="50"/>
      <c r="V37" s="38"/>
      <c r="W37" s="38"/>
      <c r="X37" s="40"/>
      <c r="Y37" s="34"/>
      <c r="Z37" s="34"/>
      <c r="AA37" s="34"/>
      <c r="AB37" s="52"/>
    </row>
    <row r="38">
      <c r="A38" s="50"/>
      <c r="B38" s="38"/>
      <c r="C38" s="38"/>
      <c r="D38" s="40"/>
      <c r="E38" s="34"/>
      <c r="F38" s="34"/>
      <c r="G38" s="34"/>
      <c r="H38" s="52"/>
      <c r="I38" s="66"/>
      <c r="K38" s="50"/>
      <c r="L38" s="38"/>
      <c r="M38" s="38"/>
      <c r="N38" s="40"/>
      <c r="O38" s="34"/>
      <c r="P38" s="34"/>
      <c r="Q38" s="34"/>
      <c r="R38" s="52"/>
      <c r="S38" s="66"/>
      <c r="U38" s="50"/>
      <c r="V38" s="38"/>
      <c r="W38" s="38"/>
      <c r="X38" s="40"/>
      <c r="Y38" s="34"/>
      <c r="Z38" s="34"/>
      <c r="AA38" s="34"/>
      <c r="AB38" s="52"/>
    </row>
    <row r="39">
      <c r="A39" s="50"/>
      <c r="B39" s="38"/>
      <c r="C39" s="38"/>
      <c r="D39" s="40"/>
      <c r="E39" s="34"/>
      <c r="F39" s="34"/>
      <c r="G39" s="34"/>
      <c r="H39" s="52"/>
      <c r="I39" s="66"/>
      <c r="K39" s="50"/>
      <c r="L39" s="38"/>
      <c r="M39" s="38"/>
      <c r="N39" s="40"/>
      <c r="O39" s="34"/>
      <c r="P39" s="34"/>
      <c r="Q39" s="34"/>
      <c r="R39" s="52"/>
      <c r="S39" s="66"/>
      <c r="U39" s="50"/>
      <c r="V39" s="38"/>
      <c r="W39" s="38"/>
      <c r="X39" s="40"/>
      <c r="Y39" s="34"/>
      <c r="Z39" s="34"/>
      <c r="AA39" s="34"/>
      <c r="AB39" s="52"/>
    </row>
    <row r="40">
      <c r="A40" s="50"/>
      <c r="B40" s="38"/>
      <c r="C40" s="38"/>
      <c r="D40" s="40"/>
      <c r="E40" s="34"/>
      <c r="F40" s="34"/>
      <c r="G40" s="34"/>
      <c r="H40" s="52"/>
      <c r="I40" s="66"/>
      <c r="K40" s="50"/>
      <c r="L40" s="38"/>
      <c r="M40" s="38"/>
      <c r="N40" s="40"/>
      <c r="O40" s="34"/>
      <c r="P40" s="34"/>
      <c r="Q40" s="34"/>
      <c r="R40" s="52"/>
      <c r="S40" s="66"/>
      <c r="U40" s="50"/>
      <c r="V40" s="38"/>
      <c r="W40" s="38"/>
      <c r="X40" s="40"/>
      <c r="Y40" s="34"/>
      <c r="Z40" s="34"/>
      <c r="AA40" s="34"/>
      <c r="AB40" s="52"/>
    </row>
    <row r="41">
      <c r="A41" s="50"/>
      <c r="B41" s="38"/>
      <c r="C41" s="38"/>
      <c r="D41" s="40"/>
      <c r="E41" s="34"/>
      <c r="F41" s="34"/>
      <c r="G41" s="34"/>
      <c r="H41" s="52"/>
      <c r="I41" s="66"/>
      <c r="K41" s="50"/>
      <c r="L41" s="38"/>
      <c r="M41" s="38"/>
      <c r="N41" s="40"/>
      <c r="O41" s="34"/>
      <c r="P41" s="34"/>
      <c r="Q41" s="34"/>
      <c r="R41" s="52"/>
      <c r="S41" s="66"/>
      <c r="U41" s="50"/>
      <c r="V41" s="38"/>
      <c r="W41" s="38"/>
      <c r="X41" s="40"/>
      <c r="Y41" s="34"/>
      <c r="Z41" s="34"/>
      <c r="AA41" s="34"/>
      <c r="AB41" s="52"/>
    </row>
    <row r="42">
      <c r="A42" s="50"/>
      <c r="B42" s="38"/>
      <c r="C42" s="38"/>
      <c r="D42" s="57"/>
      <c r="E42" s="34"/>
      <c r="F42" s="34"/>
      <c r="G42" s="34"/>
      <c r="H42" s="52"/>
      <c r="I42" s="66"/>
      <c r="K42" s="50"/>
      <c r="L42" s="38"/>
      <c r="M42" s="38"/>
      <c r="N42" s="57"/>
      <c r="O42" s="34"/>
      <c r="P42" s="34"/>
      <c r="Q42" s="34"/>
      <c r="R42" s="52"/>
      <c r="S42" s="66"/>
      <c r="U42" s="50"/>
      <c r="V42" s="38"/>
      <c r="W42" s="38"/>
      <c r="X42" s="57"/>
      <c r="Y42" s="34"/>
      <c r="Z42" s="34"/>
      <c r="AA42" s="34"/>
      <c r="AB42" s="52"/>
    </row>
    <row r="43">
      <c r="A43" s="50"/>
      <c r="B43" s="38"/>
      <c r="C43" s="38"/>
      <c r="D43" s="57"/>
      <c r="E43" s="34"/>
      <c r="F43" s="34"/>
      <c r="G43" s="34"/>
      <c r="H43" s="52"/>
      <c r="I43" s="66"/>
      <c r="K43" s="50"/>
      <c r="L43" s="38"/>
      <c r="M43" s="38"/>
      <c r="N43" s="57"/>
      <c r="O43" s="34"/>
      <c r="P43" s="34"/>
      <c r="Q43" s="34"/>
      <c r="R43" s="52"/>
      <c r="S43" s="66"/>
      <c r="U43" s="50"/>
      <c r="V43" s="38"/>
      <c r="W43" s="38"/>
      <c r="X43" s="57"/>
      <c r="Y43" s="34"/>
      <c r="Z43" s="34"/>
      <c r="AA43" s="34"/>
      <c r="AB43" s="52"/>
    </row>
    <row r="44">
      <c r="A44" s="50"/>
      <c r="B44" s="38"/>
      <c r="C44" s="38"/>
      <c r="D44" s="57"/>
      <c r="E44" s="34"/>
      <c r="F44" s="34"/>
      <c r="G44" s="34"/>
      <c r="H44" s="52"/>
      <c r="I44" s="66"/>
      <c r="K44" s="50"/>
      <c r="L44" s="38"/>
      <c r="M44" s="38"/>
      <c r="N44" s="57"/>
      <c r="O44" s="34"/>
      <c r="P44" s="34"/>
      <c r="Q44" s="34"/>
      <c r="R44" s="52"/>
      <c r="S44" s="66"/>
      <c r="U44" s="50"/>
      <c r="V44" s="38"/>
      <c r="W44" s="38"/>
      <c r="X44" s="57"/>
      <c r="Y44" s="34"/>
      <c r="Z44" s="34"/>
      <c r="AA44" s="34"/>
      <c r="AB44" s="52"/>
    </row>
    <row r="45">
      <c r="A45" s="58"/>
      <c r="B45" s="59"/>
      <c r="C45" s="59"/>
      <c r="D45" s="60"/>
      <c r="E45" s="61"/>
      <c r="F45" s="61"/>
      <c r="G45" s="61"/>
      <c r="H45" s="62"/>
      <c r="I45" s="66"/>
      <c r="K45" s="58"/>
      <c r="L45" s="59"/>
      <c r="M45" s="59"/>
      <c r="N45" s="60"/>
      <c r="O45" s="61"/>
      <c r="P45" s="61"/>
      <c r="Q45" s="61"/>
      <c r="R45" s="62"/>
      <c r="S45" s="66"/>
      <c r="U45" s="58"/>
      <c r="V45" s="59"/>
      <c r="W45" s="59"/>
      <c r="X45" s="60"/>
      <c r="Y45" s="61"/>
      <c r="Z45" s="61"/>
      <c r="AA45" s="61"/>
      <c r="AB45" s="62"/>
    </row>
    <row r="46">
      <c r="A46" s="66"/>
      <c r="B46" s="66"/>
      <c r="C46" s="66"/>
      <c r="D46" s="66"/>
      <c r="E46" s="66"/>
      <c r="F46" s="66"/>
      <c r="G46" s="66"/>
      <c r="H46" s="66"/>
      <c r="I46" s="66"/>
      <c r="K46" s="66"/>
      <c r="L46" s="66"/>
      <c r="M46" s="66"/>
      <c r="N46" s="66"/>
      <c r="O46" s="66"/>
      <c r="P46" s="66"/>
      <c r="Q46" s="66"/>
      <c r="R46" s="66"/>
      <c r="S46" s="66"/>
    </row>
    <row r="47" hidden="1">
      <c r="A47" s="66"/>
      <c r="B47" s="66"/>
      <c r="C47" s="66"/>
      <c r="D47" s="66"/>
      <c r="E47" s="66"/>
      <c r="F47" s="66"/>
      <c r="G47" s="66"/>
      <c r="H47" s="66"/>
      <c r="I47" s="66"/>
      <c r="K47" s="66"/>
      <c r="L47" s="66"/>
      <c r="M47" s="66"/>
      <c r="N47" s="66"/>
      <c r="O47" s="66"/>
      <c r="P47" s="66"/>
      <c r="Q47" s="66"/>
      <c r="R47" s="66"/>
      <c r="S47" s="66"/>
    </row>
    <row r="48" hidden="1">
      <c r="A48" s="66"/>
      <c r="B48" s="66"/>
      <c r="C48" s="66"/>
      <c r="D48" s="66"/>
      <c r="E48" s="66"/>
      <c r="F48" s="66"/>
      <c r="G48" s="66"/>
      <c r="H48" s="66"/>
      <c r="I48" s="66"/>
      <c r="K48" s="66"/>
      <c r="L48" s="66"/>
      <c r="M48" s="66"/>
      <c r="N48" s="66"/>
      <c r="O48" s="66"/>
      <c r="P48" s="66"/>
      <c r="Q48" s="66"/>
      <c r="R48" s="66"/>
      <c r="S48" s="66"/>
    </row>
    <row r="49" hidden="1">
      <c r="A49" s="83"/>
      <c r="B49" s="2"/>
      <c r="C49" s="2"/>
      <c r="D49" s="2"/>
      <c r="E49" s="2"/>
      <c r="F49" s="2"/>
      <c r="G49" s="2"/>
      <c r="H49" s="3"/>
      <c r="I49" s="66"/>
      <c r="K49" s="84"/>
      <c r="L49" s="85"/>
      <c r="M49" s="85"/>
      <c r="N49" s="85"/>
      <c r="O49" s="85"/>
      <c r="P49" s="85"/>
      <c r="Q49" s="85"/>
      <c r="R49" s="86"/>
      <c r="S49" s="66"/>
    </row>
    <row r="50" hidden="1">
      <c r="A50" s="87" t="s">
        <v>0</v>
      </c>
      <c r="B50" s="5"/>
      <c r="C50" s="5"/>
      <c r="D50" s="5"/>
      <c r="E50" s="5"/>
      <c r="F50" s="5"/>
      <c r="G50" s="5"/>
      <c r="H50" s="6"/>
      <c r="I50" s="88"/>
      <c r="K50" s="87" t="s">
        <v>0</v>
      </c>
      <c r="L50" s="5"/>
      <c r="M50" s="5"/>
      <c r="N50" s="5"/>
      <c r="O50" s="5"/>
      <c r="P50" s="5"/>
      <c r="Q50" s="5"/>
      <c r="R50" s="6"/>
      <c r="S50" s="88"/>
      <c r="AD50" s="89"/>
      <c r="AE50" s="89"/>
    </row>
    <row r="51" hidden="1">
      <c r="A51" s="87" t="s">
        <v>1</v>
      </c>
      <c r="B51" s="5"/>
      <c r="C51" s="5"/>
      <c r="D51" s="5"/>
      <c r="E51" s="5"/>
      <c r="F51" s="5"/>
      <c r="G51" s="5"/>
      <c r="H51" s="6"/>
      <c r="I51" s="88"/>
      <c r="K51" s="87" t="s">
        <v>1</v>
      </c>
      <c r="L51" s="5"/>
      <c r="M51" s="5"/>
      <c r="N51" s="5"/>
      <c r="O51" s="5"/>
      <c r="P51" s="5"/>
      <c r="Q51" s="5"/>
      <c r="R51" s="6"/>
      <c r="S51" s="88"/>
      <c r="AD51" s="90"/>
      <c r="AE51" s="91" t="s">
        <v>34</v>
      </c>
      <c r="AF51" s="5"/>
      <c r="AG51" s="8"/>
      <c r="AH51" s="92">
        <v>9.0</v>
      </c>
      <c r="AI51" s="5"/>
      <c r="AJ51" s="5"/>
      <c r="AK51" s="5"/>
      <c r="AL51" s="5"/>
      <c r="AM51" s="8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</row>
    <row r="52" hidden="1">
      <c r="A52" s="93"/>
      <c r="B52" s="94"/>
      <c r="C52" s="94"/>
      <c r="D52" s="94"/>
      <c r="E52" s="94"/>
      <c r="F52" s="94"/>
      <c r="G52" s="94"/>
      <c r="H52" s="95"/>
      <c r="I52" s="94"/>
      <c r="K52" s="93"/>
      <c r="L52" s="94"/>
      <c r="M52" s="94"/>
      <c r="N52" s="94"/>
      <c r="O52" s="94"/>
      <c r="P52" s="94"/>
      <c r="Q52" s="94"/>
      <c r="R52" s="95"/>
      <c r="S52" s="94"/>
      <c r="AD52" s="89"/>
      <c r="AE52" s="7" t="s">
        <v>2</v>
      </c>
      <c r="AF52" s="5"/>
      <c r="AG52" s="8"/>
      <c r="AH52" s="96"/>
      <c r="AI52" s="5"/>
      <c r="AJ52" s="5"/>
      <c r="AK52" s="5"/>
      <c r="AL52" s="5"/>
      <c r="AM52" s="8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</row>
    <row r="53" hidden="1">
      <c r="A53" s="97" t="s">
        <v>4</v>
      </c>
      <c r="B53" s="8"/>
      <c r="C53" s="98" t="s">
        <v>35</v>
      </c>
      <c r="D53" s="8"/>
      <c r="E53" s="99" t="s">
        <v>5</v>
      </c>
      <c r="F53" s="8"/>
      <c r="G53" s="100"/>
      <c r="H53" s="6"/>
      <c r="I53" s="101"/>
      <c r="K53" s="97" t="s">
        <v>4</v>
      </c>
      <c r="L53" s="8"/>
      <c r="M53" s="98" t="s">
        <v>36</v>
      </c>
      <c r="N53" s="8"/>
      <c r="O53" s="99" t="s">
        <v>5</v>
      </c>
      <c r="P53" s="8"/>
      <c r="Q53" s="100"/>
      <c r="R53" s="6"/>
      <c r="S53" s="101"/>
      <c r="AD53" s="90"/>
      <c r="AE53" s="7" t="s">
        <v>3</v>
      </c>
      <c r="AF53" s="5"/>
      <c r="AG53" s="8"/>
      <c r="AH53" s="102"/>
      <c r="AI53" s="5"/>
      <c r="AJ53" s="5"/>
      <c r="AK53" s="5"/>
      <c r="AL53" s="5"/>
      <c r="AM53" s="8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</row>
    <row r="54" hidden="1">
      <c r="A54" s="97" t="s">
        <v>14</v>
      </c>
      <c r="B54" s="8"/>
      <c r="C54" s="14" t="s">
        <v>37</v>
      </c>
      <c r="D54" s="8"/>
      <c r="E54" s="99" t="s">
        <v>15</v>
      </c>
      <c r="F54" s="8"/>
      <c r="G54" s="103"/>
      <c r="H54" s="6"/>
      <c r="I54" s="94"/>
      <c r="K54" s="97" t="s">
        <v>14</v>
      </c>
      <c r="L54" s="8"/>
      <c r="M54" s="104" t="s">
        <v>37</v>
      </c>
      <c r="N54" s="8"/>
      <c r="O54" s="99" t="s">
        <v>15</v>
      </c>
      <c r="P54" s="8"/>
      <c r="Q54" s="103"/>
      <c r="R54" s="6"/>
      <c r="S54" s="94"/>
      <c r="AD54" s="89"/>
      <c r="AE54" s="17" t="s">
        <v>6</v>
      </c>
      <c r="AF54" s="17" t="s">
        <v>7</v>
      </c>
      <c r="AG54" s="17" t="s">
        <v>8</v>
      </c>
      <c r="AH54" s="18" t="s">
        <v>9</v>
      </c>
      <c r="AI54" s="19" t="s">
        <v>10</v>
      </c>
      <c r="AJ54" s="105" t="s">
        <v>38</v>
      </c>
      <c r="AK54" s="20" t="s">
        <v>11</v>
      </c>
      <c r="AL54" s="17" t="s">
        <v>12</v>
      </c>
      <c r="AM54" s="17" t="s">
        <v>13</v>
      </c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</row>
    <row r="55" hidden="1">
      <c r="A55" s="97" t="s">
        <v>16</v>
      </c>
      <c r="B55" s="8"/>
      <c r="C55" s="106"/>
      <c r="D55" s="8"/>
      <c r="E55" s="99" t="s">
        <v>17</v>
      </c>
      <c r="F55" s="8"/>
      <c r="G55" s="103"/>
      <c r="H55" s="6"/>
      <c r="I55" s="94"/>
      <c r="K55" s="97" t="s">
        <v>16</v>
      </c>
      <c r="L55" s="8"/>
      <c r="M55" s="107"/>
      <c r="N55" s="8"/>
      <c r="O55" s="99" t="s">
        <v>17</v>
      </c>
      <c r="P55" s="8"/>
      <c r="Q55" s="103"/>
      <c r="R55" s="6"/>
      <c r="S55" s="94"/>
      <c r="AD55" s="90"/>
      <c r="AE55" s="108" t="s">
        <v>39</v>
      </c>
      <c r="AF55" s="108" t="s">
        <v>29</v>
      </c>
      <c r="AG55" s="23" t="s">
        <v>40</v>
      </c>
      <c r="AH55" s="24" t="s">
        <v>41</v>
      </c>
      <c r="AI55" s="109">
        <f t="shared" ref="AI55:AI56" si="1">IF(AH55-AL55-AM55&lt;0,0,AH55-AL55-AM55)</f>
        <v>0</v>
      </c>
      <c r="AJ55" s="36"/>
      <c r="AK55" s="36">
        <f t="shared" ref="AK55:AK56" si="2">sum(H105)</f>
        <v>2525</v>
      </c>
      <c r="AL55" s="23">
        <f t="shared" ref="AL55:AL60" si="3">IF(AJ55+AK55-AM55&lt;0,0,AJ55+AK55-AM55)</f>
        <v>2525</v>
      </c>
      <c r="AM55" s="36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</row>
    <row r="56" hidden="1">
      <c r="A56" s="93"/>
      <c r="B56" s="94"/>
      <c r="C56" s="94"/>
      <c r="D56" s="94"/>
      <c r="E56" s="94"/>
      <c r="F56" s="94"/>
      <c r="G56" s="94"/>
      <c r="H56" s="95"/>
      <c r="I56" s="94"/>
      <c r="K56" s="93"/>
      <c r="L56" s="94"/>
      <c r="M56" s="94"/>
      <c r="N56" s="94"/>
      <c r="O56" s="94"/>
      <c r="P56" s="94"/>
      <c r="Q56" s="94"/>
      <c r="R56" s="95"/>
      <c r="S56" s="94"/>
      <c r="AD56" s="89"/>
      <c r="AE56" s="28"/>
      <c r="AF56" s="28"/>
      <c r="AG56" s="23" t="s">
        <v>42</v>
      </c>
      <c r="AH56" s="24" t="s">
        <v>43</v>
      </c>
      <c r="AI56" s="23">
        <f t="shared" si="1"/>
        <v>0</v>
      </c>
      <c r="AJ56" s="36"/>
      <c r="AK56" s="36">
        <f t="shared" si="2"/>
        <v>8148</v>
      </c>
      <c r="AL56" s="23">
        <f t="shared" si="3"/>
        <v>8148</v>
      </c>
      <c r="AM56" s="36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</row>
    <row r="57" hidden="1">
      <c r="A57" s="110" t="s">
        <v>18</v>
      </c>
      <c r="B57" s="46" t="s">
        <v>19</v>
      </c>
      <c r="C57" s="46" t="s">
        <v>20</v>
      </c>
      <c r="D57" s="111" t="s">
        <v>21</v>
      </c>
      <c r="E57" s="94"/>
      <c r="F57" s="46" t="s">
        <v>6</v>
      </c>
      <c r="G57" s="112" t="s">
        <v>44</v>
      </c>
      <c r="H57" s="6"/>
      <c r="I57" s="113"/>
      <c r="K57" s="110" t="s">
        <v>18</v>
      </c>
      <c r="L57" s="46" t="s">
        <v>19</v>
      </c>
      <c r="M57" s="46" t="s">
        <v>20</v>
      </c>
      <c r="N57" s="111" t="s">
        <v>21</v>
      </c>
      <c r="O57" s="94"/>
      <c r="P57" s="46" t="s">
        <v>6</v>
      </c>
      <c r="Q57" s="114" t="s">
        <v>45</v>
      </c>
      <c r="R57" s="6"/>
      <c r="S57" s="115"/>
      <c r="AD57" s="90"/>
      <c r="AE57" s="28"/>
      <c r="AF57" s="28"/>
      <c r="AG57" s="23" t="s">
        <v>46</v>
      </c>
      <c r="AH57" s="36"/>
      <c r="AI57" s="109">
        <f>IF(AH57-AL57-BW58&lt;0,0,AH57-AL57-BW58)</f>
        <v>0</v>
      </c>
      <c r="AJ57" s="36"/>
      <c r="AK57" s="36"/>
      <c r="AL57" s="23">
        <f t="shared" si="3"/>
        <v>0</v>
      </c>
      <c r="AM57" s="116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</row>
    <row r="58" hidden="1">
      <c r="A58" s="117">
        <v>1.0</v>
      </c>
      <c r="B58" s="118"/>
      <c r="C58" s="119" t="s">
        <v>47</v>
      </c>
      <c r="D58" s="120">
        <v>420.0</v>
      </c>
      <c r="E58" s="94"/>
      <c r="F58" s="121" t="s">
        <v>22</v>
      </c>
      <c r="G58" s="5"/>
      <c r="H58" s="6"/>
      <c r="I58" s="122"/>
      <c r="K58" s="123">
        <v>38.0</v>
      </c>
      <c r="L58" s="124">
        <v>44.8</v>
      </c>
      <c r="M58" s="125" t="s">
        <v>48</v>
      </c>
      <c r="N58" s="126">
        <v>250.0</v>
      </c>
      <c r="O58" s="94"/>
      <c r="P58" s="121" t="s">
        <v>22</v>
      </c>
      <c r="Q58" s="5"/>
      <c r="R58" s="6"/>
      <c r="S58" s="122"/>
      <c r="AD58" s="89"/>
      <c r="AE58" s="28"/>
      <c r="AF58" s="28"/>
      <c r="AG58" s="23" t="s">
        <v>49</v>
      </c>
      <c r="AH58" s="24" t="s">
        <v>50</v>
      </c>
      <c r="AI58" s="109">
        <f t="shared" ref="AI58:AI60" si="4">IF(AH58-AL58-AM58&lt;0,0,AH58-AL58-AM58)</f>
        <v>403</v>
      </c>
      <c r="AJ58" s="36"/>
      <c r="AK58" s="36">
        <f t="shared" ref="AK58:AK60" si="5">sum(H107)</f>
        <v>3597</v>
      </c>
      <c r="AL58" s="23">
        <f t="shared" si="3"/>
        <v>3597</v>
      </c>
      <c r="AM58" s="36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</row>
    <row r="59" hidden="1">
      <c r="A59" s="117">
        <v>2.0</v>
      </c>
      <c r="B59" s="118"/>
      <c r="C59" s="119" t="s">
        <v>47</v>
      </c>
      <c r="D59" s="120">
        <v>420.0</v>
      </c>
      <c r="E59" s="94"/>
      <c r="F59" s="46" t="s">
        <v>23</v>
      </c>
      <c r="G59" s="46" t="s">
        <v>20</v>
      </c>
      <c r="H59" s="127" t="s">
        <v>21</v>
      </c>
      <c r="I59" s="128"/>
      <c r="K59" s="123">
        <v>37.0</v>
      </c>
      <c r="L59" s="124">
        <v>44.8</v>
      </c>
      <c r="M59" s="125" t="s">
        <v>48</v>
      </c>
      <c r="N59" s="126">
        <v>250.0</v>
      </c>
      <c r="O59" s="94"/>
      <c r="P59" s="46" t="s">
        <v>23</v>
      </c>
      <c r="Q59" s="46" t="s">
        <v>20</v>
      </c>
      <c r="R59" s="127" t="s">
        <v>21</v>
      </c>
      <c r="S59" s="128"/>
      <c r="AD59" s="89"/>
      <c r="AE59" s="28"/>
      <c r="AF59" s="28"/>
      <c r="AG59" s="23" t="s">
        <v>51</v>
      </c>
      <c r="AH59" s="24" t="s">
        <v>52</v>
      </c>
      <c r="AI59" s="109">
        <f t="shared" si="4"/>
        <v>0</v>
      </c>
      <c r="AJ59" s="36"/>
      <c r="AK59" s="36">
        <f t="shared" si="5"/>
        <v>1033</v>
      </c>
      <c r="AL59" s="23">
        <f t="shared" si="3"/>
        <v>1033</v>
      </c>
      <c r="AM59" s="36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</row>
    <row r="60" hidden="1">
      <c r="A60" s="117">
        <v>3.0</v>
      </c>
      <c r="B60" s="118"/>
      <c r="C60" s="119" t="s">
        <v>47</v>
      </c>
      <c r="D60" s="120">
        <v>400.0</v>
      </c>
      <c r="E60" s="94"/>
      <c r="F60" s="129">
        <v>1.0</v>
      </c>
      <c r="G60" s="129" t="s">
        <v>47</v>
      </c>
      <c r="H60" s="130">
        <f>sum(D58:D64)</f>
        <v>2675</v>
      </c>
      <c r="I60" s="101"/>
      <c r="K60" s="123">
        <v>36.0</v>
      </c>
      <c r="L60" s="124">
        <v>45.0</v>
      </c>
      <c r="M60" s="125" t="s">
        <v>48</v>
      </c>
      <c r="N60" s="126">
        <v>250.0</v>
      </c>
      <c r="O60" s="94"/>
      <c r="P60" s="131">
        <v>1.0</v>
      </c>
      <c r="Q60" s="129" t="s">
        <v>47</v>
      </c>
      <c r="R60" s="132" t="s">
        <v>53</v>
      </c>
      <c r="S60" s="133"/>
      <c r="AD60" s="89"/>
      <c r="AE60" s="28"/>
      <c r="AF60" s="44"/>
      <c r="AG60" s="23" t="s">
        <v>54</v>
      </c>
      <c r="AH60" s="24" t="s">
        <v>55</v>
      </c>
      <c r="AI60" s="109">
        <f t="shared" si="4"/>
        <v>200</v>
      </c>
      <c r="AJ60" s="36"/>
      <c r="AK60" s="36">
        <f t="shared" si="5"/>
        <v>300</v>
      </c>
      <c r="AL60" s="23">
        <f t="shared" si="3"/>
        <v>300</v>
      </c>
      <c r="AM60" s="36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</row>
    <row r="61" hidden="1">
      <c r="A61" s="117">
        <v>4.0</v>
      </c>
      <c r="B61" s="118"/>
      <c r="C61" s="119" t="s">
        <v>47</v>
      </c>
      <c r="D61" s="120">
        <v>420.0</v>
      </c>
      <c r="E61" s="94"/>
      <c r="F61" s="129">
        <v>2.0</v>
      </c>
      <c r="G61" s="129" t="s">
        <v>56</v>
      </c>
      <c r="H61" s="134" t="s">
        <v>53</v>
      </c>
      <c r="I61" s="135"/>
      <c r="K61" s="123">
        <v>16.0</v>
      </c>
      <c r="L61" s="124">
        <v>44.9</v>
      </c>
      <c r="M61" s="125" t="s">
        <v>48</v>
      </c>
      <c r="N61" s="126">
        <v>250.0</v>
      </c>
      <c r="O61" s="94"/>
      <c r="P61" s="131">
        <v>2.0</v>
      </c>
      <c r="Q61" s="129" t="s">
        <v>56</v>
      </c>
      <c r="R61" s="134" t="s">
        <v>53</v>
      </c>
      <c r="S61" s="135"/>
      <c r="AD61" s="136"/>
      <c r="AE61" s="28"/>
      <c r="AF61" s="137"/>
      <c r="AG61" s="138"/>
      <c r="AH61" s="138"/>
      <c r="AI61" s="138"/>
      <c r="AJ61" s="138"/>
      <c r="AK61" s="138"/>
      <c r="AL61" s="138"/>
      <c r="AM61" s="139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</row>
    <row r="62" hidden="1">
      <c r="A62" s="117">
        <v>5.0</v>
      </c>
      <c r="B62" s="118"/>
      <c r="C62" s="119" t="s">
        <v>47</v>
      </c>
      <c r="D62" s="120">
        <v>347.0</v>
      </c>
      <c r="E62" s="94"/>
      <c r="F62" s="129">
        <v>3.0</v>
      </c>
      <c r="G62" s="129" t="s">
        <v>57</v>
      </c>
      <c r="H62" s="130">
        <f>sum(D69,D72)</f>
        <v>313</v>
      </c>
      <c r="I62" s="101"/>
      <c r="K62" s="123">
        <v>18.0</v>
      </c>
      <c r="L62" s="124">
        <v>44.6</v>
      </c>
      <c r="M62" s="125" t="s">
        <v>48</v>
      </c>
      <c r="N62" s="126">
        <v>250.0</v>
      </c>
      <c r="O62" s="94"/>
      <c r="P62" s="131">
        <v>3.0</v>
      </c>
      <c r="Q62" s="129" t="s">
        <v>57</v>
      </c>
      <c r="R62" s="130">
        <f>sum(N66:N67)</f>
        <v>604</v>
      </c>
      <c r="S62" s="101"/>
      <c r="AD62" s="89"/>
      <c r="AE62" s="28"/>
      <c r="AF62" s="108" t="s">
        <v>30</v>
      </c>
      <c r="AG62" s="23" t="s">
        <v>40</v>
      </c>
      <c r="AH62" s="24" t="s">
        <v>58</v>
      </c>
      <c r="AI62" s="23">
        <f t="shared" ref="AI62:AI67" si="6">IF(AH62-AL62-AM62&lt;0,0,AH62-AL62-AM62)</f>
        <v>20</v>
      </c>
      <c r="AJ62" s="36">
        <f t="shared" ref="AJ62:AJ63" si="7">sum(H66)</f>
        <v>0</v>
      </c>
      <c r="AK62" s="36">
        <f t="shared" ref="AK62:AK63" si="8">sum(R105)</f>
        <v>1980</v>
      </c>
      <c r="AL62" s="23">
        <f t="shared" ref="AL62:AL67" si="9">IF(AJ62+AK62-AM62&lt;0,0,AJ62+AK62-AM62)</f>
        <v>1980</v>
      </c>
      <c r="AM62" s="36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</row>
    <row r="63" hidden="1">
      <c r="A63" s="123">
        <v>6.0</v>
      </c>
      <c r="B63" s="140"/>
      <c r="C63" s="141" t="s">
        <v>47</v>
      </c>
      <c r="D63" s="126">
        <v>248.0</v>
      </c>
      <c r="E63" s="94"/>
      <c r="F63" s="129">
        <v>4.0</v>
      </c>
      <c r="G63" s="129" t="s">
        <v>59</v>
      </c>
      <c r="H63" s="130">
        <f>sum(D65:D68,D70:D71)</f>
        <v>833</v>
      </c>
      <c r="I63" s="101"/>
      <c r="K63" s="123">
        <v>17.0</v>
      </c>
      <c r="L63" s="124">
        <v>44.6</v>
      </c>
      <c r="M63" s="125" t="s">
        <v>48</v>
      </c>
      <c r="N63" s="126">
        <v>250.0</v>
      </c>
      <c r="O63" s="94"/>
      <c r="P63" s="131">
        <v>4.0</v>
      </c>
      <c r="Q63" s="129" t="s">
        <v>59</v>
      </c>
      <c r="R63" s="134" t="s">
        <v>53</v>
      </c>
      <c r="S63" s="135"/>
      <c r="AD63" s="89"/>
      <c r="AE63" s="28"/>
      <c r="AF63" s="28"/>
      <c r="AG63" s="23" t="s">
        <v>42</v>
      </c>
      <c r="AH63" s="24" t="s">
        <v>60</v>
      </c>
      <c r="AI63" s="23">
        <f t="shared" si="6"/>
        <v>0</v>
      </c>
      <c r="AJ63" s="36">
        <f t="shared" si="7"/>
        <v>0</v>
      </c>
      <c r="AK63" s="36">
        <f t="shared" si="8"/>
        <v>7534</v>
      </c>
      <c r="AL63" s="23">
        <f t="shared" si="9"/>
        <v>7534</v>
      </c>
      <c r="AM63" s="36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</row>
    <row r="64" hidden="1">
      <c r="A64" s="123">
        <v>8.0</v>
      </c>
      <c r="B64" s="140"/>
      <c r="C64" s="141" t="s">
        <v>47</v>
      </c>
      <c r="D64" s="126">
        <v>420.0</v>
      </c>
      <c r="E64" s="94"/>
      <c r="F64" s="129">
        <v>5.0</v>
      </c>
      <c r="G64" s="129" t="s">
        <v>61</v>
      </c>
      <c r="H64" s="134" t="s">
        <v>53</v>
      </c>
      <c r="I64" s="135"/>
      <c r="K64" s="123">
        <v>67.0</v>
      </c>
      <c r="L64" s="124">
        <v>19.3</v>
      </c>
      <c r="M64" s="125" t="s">
        <v>62</v>
      </c>
      <c r="N64" s="126">
        <v>150.0</v>
      </c>
      <c r="O64" s="94"/>
      <c r="P64" s="131">
        <v>5.0</v>
      </c>
      <c r="Q64" s="129" t="s">
        <v>61</v>
      </c>
      <c r="R64" s="134" t="s">
        <v>53</v>
      </c>
      <c r="S64" s="135"/>
      <c r="AD64" s="89"/>
      <c r="AE64" s="28"/>
      <c r="AF64" s="28"/>
      <c r="AG64" s="23" t="s">
        <v>46</v>
      </c>
      <c r="AH64" s="36"/>
      <c r="AI64" s="109">
        <f t="shared" si="6"/>
        <v>0</v>
      </c>
      <c r="AJ64" s="36"/>
      <c r="AK64" s="36"/>
      <c r="AL64" s="23">
        <f t="shared" si="9"/>
        <v>0</v>
      </c>
      <c r="AM64" s="36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</row>
    <row r="65" hidden="1">
      <c r="A65" s="123">
        <v>8.0</v>
      </c>
      <c r="B65" s="140">
        <v>32.7</v>
      </c>
      <c r="C65" s="141" t="s">
        <v>59</v>
      </c>
      <c r="D65" s="126">
        <v>150.0</v>
      </c>
      <c r="E65" s="94"/>
      <c r="F65" s="129"/>
      <c r="G65" s="129"/>
      <c r="H65" s="142"/>
      <c r="I65" s="143"/>
      <c r="K65" s="123">
        <v>1.0</v>
      </c>
      <c r="L65" s="124">
        <v>45.1</v>
      </c>
      <c r="M65" s="125" t="s">
        <v>62</v>
      </c>
      <c r="N65" s="126">
        <v>350.0</v>
      </c>
      <c r="O65" s="94"/>
      <c r="P65" s="131"/>
      <c r="Q65" s="129"/>
      <c r="R65" s="130"/>
      <c r="S65" s="101"/>
      <c r="AD65" s="89"/>
      <c r="AE65" s="28"/>
      <c r="AF65" s="28"/>
      <c r="AG65" s="23" t="s">
        <v>49</v>
      </c>
      <c r="AH65" s="24" t="s">
        <v>63</v>
      </c>
      <c r="AI65" s="23">
        <f t="shared" si="6"/>
        <v>2</v>
      </c>
      <c r="AJ65" s="36">
        <f t="shared" ref="AJ65:AJ67" si="10">sum(H68)</f>
        <v>0</v>
      </c>
      <c r="AK65" s="36">
        <f t="shared" ref="AK65:AK67" si="11">sum(R107)</f>
        <v>2998</v>
      </c>
      <c r="AL65" s="23">
        <f t="shared" si="9"/>
        <v>2998</v>
      </c>
      <c r="AM65" s="36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</row>
    <row r="66" hidden="1">
      <c r="A66" s="123">
        <v>9.0</v>
      </c>
      <c r="B66" s="140">
        <v>32.7</v>
      </c>
      <c r="C66" s="141" t="s">
        <v>59</v>
      </c>
      <c r="D66" s="126">
        <v>150.0</v>
      </c>
      <c r="E66" s="94"/>
      <c r="F66" s="129">
        <v>1.0</v>
      </c>
      <c r="G66" s="129" t="s">
        <v>64</v>
      </c>
      <c r="H66" s="134" t="s">
        <v>53</v>
      </c>
      <c r="I66" s="135"/>
      <c r="K66" s="123">
        <v>8.0</v>
      </c>
      <c r="L66" s="124">
        <v>44.5</v>
      </c>
      <c r="M66" s="125" t="s">
        <v>57</v>
      </c>
      <c r="N66" s="126">
        <v>350.0</v>
      </c>
      <c r="O66" s="94"/>
      <c r="P66" s="129">
        <v>1.0</v>
      </c>
      <c r="Q66" s="129" t="s">
        <v>64</v>
      </c>
      <c r="R66" s="134" t="s">
        <v>53</v>
      </c>
      <c r="S66" s="135"/>
      <c r="AD66" s="89"/>
      <c r="AE66" s="28"/>
      <c r="AF66" s="28"/>
      <c r="AG66" s="23" t="s">
        <v>51</v>
      </c>
      <c r="AH66" s="24" t="s">
        <v>52</v>
      </c>
      <c r="AI66" s="109">
        <f t="shared" si="6"/>
        <v>0</v>
      </c>
      <c r="AJ66" s="36">
        <f t="shared" si="10"/>
        <v>0</v>
      </c>
      <c r="AK66" s="36">
        <f t="shared" si="11"/>
        <v>1001</v>
      </c>
      <c r="AL66" s="23">
        <f t="shared" si="9"/>
        <v>1001</v>
      </c>
      <c r="AM66" s="36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</row>
    <row r="67" hidden="1">
      <c r="A67" s="123">
        <v>10.0</v>
      </c>
      <c r="B67" s="140">
        <v>21.5</v>
      </c>
      <c r="C67" s="141" t="s">
        <v>59</v>
      </c>
      <c r="D67" s="126">
        <v>100.0</v>
      </c>
      <c r="E67" s="94"/>
      <c r="F67" s="129">
        <v>2.0</v>
      </c>
      <c r="G67" s="129" t="s">
        <v>65</v>
      </c>
      <c r="H67" s="134" t="s">
        <v>53</v>
      </c>
      <c r="I67" s="135"/>
      <c r="K67" s="123">
        <v>65.0</v>
      </c>
      <c r="L67" s="140">
        <v>35.5</v>
      </c>
      <c r="M67" s="125" t="s">
        <v>57</v>
      </c>
      <c r="N67" s="126">
        <v>254.0</v>
      </c>
      <c r="O67" s="94"/>
      <c r="P67" s="129">
        <v>2.0</v>
      </c>
      <c r="Q67" s="129" t="s">
        <v>65</v>
      </c>
      <c r="R67" s="134" t="s">
        <v>53</v>
      </c>
      <c r="S67" s="135"/>
      <c r="AD67" s="89"/>
      <c r="AE67" s="44"/>
      <c r="AF67" s="44"/>
      <c r="AG67" s="23" t="s">
        <v>54</v>
      </c>
      <c r="AH67" s="24" t="s">
        <v>55</v>
      </c>
      <c r="AI67" s="109">
        <f t="shared" si="6"/>
        <v>86</v>
      </c>
      <c r="AJ67" s="36">
        <f t="shared" si="10"/>
        <v>0</v>
      </c>
      <c r="AK67" s="36">
        <f t="shared" si="11"/>
        <v>414</v>
      </c>
      <c r="AL67" s="23">
        <f t="shared" si="9"/>
        <v>414</v>
      </c>
      <c r="AM67" s="36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</row>
    <row r="68" hidden="1">
      <c r="A68" s="123">
        <v>12.0</v>
      </c>
      <c r="B68" s="140"/>
      <c r="C68" s="141" t="s">
        <v>59</v>
      </c>
      <c r="D68" s="126">
        <v>150.0</v>
      </c>
      <c r="E68" s="94"/>
      <c r="F68" s="129">
        <v>3.0</v>
      </c>
      <c r="G68" s="129" t="s">
        <v>62</v>
      </c>
      <c r="H68" s="134" t="s">
        <v>53</v>
      </c>
      <c r="I68" s="135"/>
      <c r="K68" s="144"/>
      <c r="L68" s="129"/>
      <c r="M68" s="145"/>
      <c r="N68" s="129"/>
      <c r="O68" s="94"/>
      <c r="P68" s="129">
        <v>3.0</v>
      </c>
      <c r="Q68" s="129" t="s">
        <v>62</v>
      </c>
      <c r="R68" s="142">
        <f>sum(N64:N65)</f>
        <v>500</v>
      </c>
      <c r="S68" s="143"/>
      <c r="AD68" s="90"/>
      <c r="AE68" s="146"/>
      <c r="AF68" s="147"/>
      <c r="AG68" s="147"/>
      <c r="AH68" s="147"/>
      <c r="AI68" s="147"/>
      <c r="AJ68" s="147"/>
      <c r="AK68" s="147"/>
      <c r="AL68" s="147"/>
      <c r="AM68" s="148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</row>
    <row r="69" hidden="1">
      <c r="A69" s="123">
        <v>13.0</v>
      </c>
      <c r="B69" s="140">
        <v>23.4</v>
      </c>
      <c r="C69" s="141" t="s">
        <v>57</v>
      </c>
      <c r="D69" s="126">
        <v>150.0</v>
      </c>
      <c r="E69" s="94"/>
      <c r="F69" s="129">
        <v>4.0</v>
      </c>
      <c r="G69" s="129" t="s">
        <v>66</v>
      </c>
      <c r="H69" s="134" t="s">
        <v>53</v>
      </c>
      <c r="I69" s="135"/>
      <c r="K69" s="149"/>
      <c r="L69" s="150"/>
      <c r="M69" s="151"/>
      <c r="N69" s="150"/>
      <c r="O69" s="94"/>
      <c r="P69" s="129">
        <v>4.0</v>
      </c>
      <c r="Q69" s="129" t="s">
        <v>66</v>
      </c>
      <c r="R69" s="134" t="s">
        <v>53</v>
      </c>
      <c r="S69" s="135"/>
      <c r="AD69" s="90"/>
      <c r="AE69" s="152"/>
      <c r="AF69" s="138"/>
      <c r="AG69" s="138"/>
      <c r="AH69" s="138"/>
      <c r="AI69" s="138"/>
      <c r="AJ69" s="138"/>
      <c r="AK69" s="138"/>
      <c r="AL69" s="138"/>
      <c r="AM69" s="139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</row>
    <row r="70" hidden="1">
      <c r="A70" s="123">
        <v>25.0</v>
      </c>
      <c r="B70" s="140">
        <v>33.2</v>
      </c>
      <c r="C70" s="141" t="s">
        <v>59</v>
      </c>
      <c r="D70" s="126">
        <v>150.0</v>
      </c>
      <c r="E70" s="94"/>
      <c r="F70" s="129">
        <v>5.0</v>
      </c>
      <c r="G70" s="129" t="s">
        <v>67</v>
      </c>
      <c r="H70" s="134" t="s">
        <v>53</v>
      </c>
      <c r="I70" s="135"/>
      <c r="K70" s="149"/>
      <c r="L70" s="150"/>
      <c r="M70" s="151"/>
      <c r="N70" s="150"/>
      <c r="O70" s="94"/>
      <c r="P70" s="129">
        <v>5.0</v>
      </c>
      <c r="Q70" s="129" t="s">
        <v>67</v>
      </c>
      <c r="R70" s="134" t="s">
        <v>53</v>
      </c>
      <c r="S70" s="135"/>
      <c r="AD70" s="89"/>
      <c r="AE70" s="108" t="s">
        <v>68</v>
      </c>
      <c r="AF70" s="108" t="s">
        <v>29</v>
      </c>
      <c r="AG70" s="23" t="s">
        <v>49</v>
      </c>
      <c r="AH70" s="24" t="s">
        <v>52</v>
      </c>
      <c r="AI70" s="109">
        <f t="shared" ref="AI70:AI71" si="12">IF(AH70-AL70-AM70&lt;0,0,AH70-AL70-AM70)</f>
        <v>0</v>
      </c>
      <c r="AJ70" s="36"/>
      <c r="AK70" s="36">
        <f t="shared" ref="AK70:AK71" si="13">sum(H188)</f>
        <v>2354</v>
      </c>
      <c r="AL70" s="23">
        <f t="shared" ref="AL70:AL71" si="14">IF(AJ70+AK70-AM70&lt;0,0,AJ70+AK70-AM70)</f>
        <v>2354</v>
      </c>
      <c r="AM70" s="36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</row>
    <row r="71" hidden="1">
      <c r="A71" s="123">
        <v>26.0</v>
      </c>
      <c r="B71" s="140">
        <v>29.4</v>
      </c>
      <c r="C71" s="141" t="s">
        <v>59</v>
      </c>
      <c r="D71" s="126">
        <v>133.0</v>
      </c>
      <c r="E71" s="94"/>
      <c r="F71" s="129"/>
      <c r="G71" s="129"/>
      <c r="H71" s="142"/>
      <c r="I71" s="143"/>
      <c r="K71" s="149"/>
      <c r="L71" s="150"/>
      <c r="M71" s="151"/>
      <c r="N71" s="150"/>
      <c r="O71" s="94"/>
      <c r="P71" s="129"/>
      <c r="Q71" s="129"/>
      <c r="R71" s="142"/>
      <c r="S71" s="143"/>
      <c r="AD71" s="89"/>
      <c r="AE71" s="28"/>
      <c r="AF71" s="44"/>
      <c r="AG71" s="23" t="s">
        <v>51</v>
      </c>
      <c r="AH71" s="24" t="s">
        <v>69</v>
      </c>
      <c r="AI71" s="109">
        <f t="shared" si="12"/>
        <v>0</v>
      </c>
      <c r="AJ71" s="36">
        <f>sum(R63)</f>
        <v>0</v>
      </c>
      <c r="AK71" s="36">
        <f t="shared" si="13"/>
        <v>4518</v>
      </c>
      <c r="AL71" s="23">
        <f t="shared" si="14"/>
        <v>4518</v>
      </c>
      <c r="AM71" s="36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</row>
    <row r="72" hidden="1">
      <c r="A72" s="123">
        <v>30.0</v>
      </c>
      <c r="B72" s="140">
        <v>25.2</v>
      </c>
      <c r="C72" s="141" t="s">
        <v>57</v>
      </c>
      <c r="D72" s="126">
        <v>163.0</v>
      </c>
      <c r="E72" s="94"/>
      <c r="F72" s="129"/>
      <c r="G72" s="129"/>
      <c r="H72" s="142"/>
      <c r="I72" s="143"/>
      <c r="K72" s="149"/>
      <c r="L72" s="150"/>
      <c r="M72" s="151"/>
      <c r="N72" s="150"/>
      <c r="O72" s="94"/>
      <c r="P72" s="42">
        <v>1.0</v>
      </c>
      <c r="Q72" s="145" t="s">
        <v>48</v>
      </c>
      <c r="R72" s="142">
        <f>sum(N58:N63)</f>
        <v>1500</v>
      </c>
      <c r="S72" s="143"/>
      <c r="AD72" s="136"/>
      <c r="AE72" s="28"/>
      <c r="AF72" s="153"/>
      <c r="AG72" s="5"/>
      <c r="AH72" s="5"/>
      <c r="AI72" s="5"/>
      <c r="AJ72" s="5"/>
      <c r="AK72" s="5"/>
      <c r="AL72" s="5"/>
      <c r="AM72" s="8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</row>
    <row r="73" hidden="1">
      <c r="A73" s="37"/>
      <c r="B73" s="154"/>
      <c r="C73" s="155"/>
      <c r="D73" s="156"/>
      <c r="E73" s="94"/>
      <c r="F73" s="129"/>
      <c r="G73" s="129"/>
      <c r="H73" s="142"/>
      <c r="I73" s="143"/>
      <c r="K73" s="149"/>
      <c r="L73" s="150"/>
      <c r="M73" s="151"/>
      <c r="N73" s="150"/>
      <c r="O73" s="94"/>
      <c r="P73" s="129"/>
      <c r="Q73" s="129"/>
      <c r="R73" s="142"/>
      <c r="S73" s="143"/>
      <c r="AD73" s="89"/>
      <c r="AE73" s="28"/>
      <c r="AF73" s="108" t="s">
        <v>30</v>
      </c>
      <c r="AG73" s="23" t="s">
        <v>49</v>
      </c>
      <c r="AH73" s="24" t="s">
        <v>50</v>
      </c>
      <c r="AI73" s="109">
        <f t="shared" ref="AI73:AI74" si="15">IF(AH73-AL73-AM73&lt;0,0,AH73-AL73-AM73)</f>
        <v>0</v>
      </c>
      <c r="AJ73" s="36"/>
      <c r="AK73" s="36">
        <f t="shared" ref="AK73:AK74" si="16">sum(H191)</f>
        <v>4000</v>
      </c>
      <c r="AL73" s="23">
        <f t="shared" ref="AL73:AL74" si="17">IF(AJ73+AK73-AM73&lt;0,0,AJ73+AK73-AM73)</f>
        <v>4000</v>
      </c>
      <c r="AM73" s="36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</row>
    <row r="74" hidden="1">
      <c r="A74" s="37"/>
      <c r="B74" s="154"/>
      <c r="C74" s="155"/>
      <c r="D74" s="156"/>
      <c r="E74" s="94"/>
      <c r="F74" s="94"/>
      <c r="G74" s="94"/>
      <c r="H74" s="95"/>
      <c r="I74" s="94"/>
      <c r="K74" s="149"/>
      <c r="L74" s="150"/>
      <c r="M74" s="151"/>
      <c r="N74" s="150"/>
      <c r="O74" s="94"/>
      <c r="P74" s="94"/>
      <c r="Q74" s="94"/>
      <c r="R74" s="95"/>
      <c r="S74" s="94"/>
      <c r="AD74" s="89"/>
      <c r="AE74" s="28"/>
      <c r="AF74" s="44"/>
      <c r="AG74" s="23" t="s">
        <v>51</v>
      </c>
      <c r="AH74" s="24" t="s">
        <v>69</v>
      </c>
      <c r="AI74" s="23">
        <f t="shared" si="15"/>
        <v>0</v>
      </c>
      <c r="AJ74" s="36">
        <f>sum(R69)</f>
        <v>0</v>
      </c>
      <c r="AK74" s="36">
        <f t="shared" si="16"/>
        <v>4732</v>
      </c>
      <c r="AL74" s="23">
        <f t="shared" si="17"/>
        <v>4732</v>
      </c>
      <c r="AM74" s="36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</row>
    <row r="75" hidden="1">
      <c r="A75" s="37"/>
      <c r="B75" s="154"/>
      <c r="C75" s="155"/>
      <c r="D75" s="156"/>
      <c r="E75" s="94"/>
      <c r="F75" s="94"/>
      <c r="G75" s="94"/>
      <c r="H75" s="95"/>
      <c r="I75" s="94"/>
      <c r="K75" s="149"/>
      <c r="L75" s="150"/>
      <c r="M75" s="151"/>
      <c r="N75" s="150"/>
      <c r="O75" s="94"/>
      <c r="P75" s="94"/>
      <c r="Q75" s="94"/>
      <c r="R75" s="95"/>
      <c r="S75" s="94"/>
      <c r="AD75" s="89"/>
      <c r="AE75" s="28"/>
      <c r="AF75" s="96"/>
      <c r="AG75" s="5"/>
      <c r="AH75" s="5"/>
      <c r="AI75" s="5"/>
      <c r="AJ75" s="5"/>
      <c r="AK75" s="5"/>
      <c r="AL75" s="5"/>
      <c r="AM75" s="8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</row>
    <row r="76" hidden="1">
      <c r="A76" s="37"/>
      <c r="B76" s="157"/>
      <c r="C76" s="155"/>
      <c r="D76" s="156"/>
      <c r="E76" s="94"/>
      <c r="F76" s="94"/>
      <c r="G76" s="94"/>
      <c r="H76" s="95"/>
      <c r="I76" s="94"/>
      <c r="K76" s="149"/>
      <c r="L76" s="150"/>
      <c r="M76" s="151"/>
      <c r="N76" s="150"/>
      <c r="O76" s="94"/>
      <c r="P76" s="94"/>
      <c r="Q76" s="94"/>
      <c r="R76" s="95"/>
      <c r="S76" s="94"/>
      <c r="AD76" s="89"/>
      <c r="AE76" s="28"/>
      <c r="AF76" s="158" t="s">
        <v>70</v>
      </c>
      <c r="AG76" s="23" t="s">
        <v>49</v>
      </c>
      <c r="AH76" s="36"/>
      <c r="AI76" s="109">
        <f t="shared" ref="AI76:AI77" si="18">IF(AH76-AL76-AM76&lt;0,0,AH76-AL76-AM76)</f>
        <v>0</v>
      </c>
      <c r="AJ76" s="36"/>
      <c r="AK76" s="36"/>
      <c r="AL76" s="23">
        <f t="shared" ref="AL76:AL77" si="19">IF(AJ76+AK76-AM76&lt;0,0,AJ76+AK76-AM76)</f>
        <v>0</v>
      </c>
      <c r="AM76" s="36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</row>
    <row r="77" hidden="1">
      <c r="A77" s="37"/>
      <c r="B77" s="157"/>
      <c r="C77" s="155"/>
      <c r="D77" s="156"/>
      <c r="E77" s="94"/>
      <c r="F77" s="94"/>
      <c r="G77" s="94"/>
      <c r="H77" s="95"/>
      <c r="I77" s="94"/>
      <c r="K77" s="149"/>
      <c r="L77" s="150"/>
      <c r="M77" s="151"/>
      <c r="N77" s="150"/>
      <c r="O77" s="94"/>
      <c r="P77" s="94"/>
      <c r="Q77" s="94"/>
      <c r="R77" s="95"/>
      <c r="S77" s="94"/>
      <c r="AD77" s="89"/>
      <c r="AE77" s="44"/>
      <c r="AF77" s="44"/>
      <c r="AG77" s="23" t="s">
        <v>51</v>
      </c>
      <c r="AH77" s="24" t="s">
        <v>52</v>
      </c>
      <c r="AI77" s="109">
        <f t="shared" si="18"/>
        <v>0</v>
      </c>
      <c r="AJ77" s="36">
        <f>sum(R72)</f>
        <v>1500</v>
      </c>
      <c r="AK77" s="36"/>
      <c r="AL77" s="23">
        <f t="shared" si="19"/>
        <v>1500</v>
      </c>
      <c r="AM77" s="36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</row>
    <row r="78" hidden="1">
      <c r="A78" s="37"/>
      <c r="B78" s="157"/>
      <c r="C78" s="155"/>
      <c r="D78" s="156"/>
      <c r="E78" s="94"/>
      <c r="F78" s="159" t="s">
        <v>26</v>
      </c>
      <c r="G78" s="94"/>
      <c r="H78" s="95"/>
      <c r="I78" s="94"/>
      <c r="K78" s="149"/>
      <c r="L78" s="150"/>
      <c r="M78" s="151"/>
      <c r="N78" s="150"/>
      <c r="O78" s="94"/>
      <c r="P78" s="159" t="s">
        <v>26</v>
      </c>
      <c r="Q78" s="94"/>
      <c r="R78" s="95"/>
      <c r="S78" s="9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</row>
    <row r="79" hidden="1">
      <c r="A79" s="37"/>
      <c r="B79" s="157"/>
      <c r="C79" s="155"/>
      <c r="D79" s="156"/>
      <c r="E79" s="94"/>
      <c r="F79" s="160" t="s">
        <v>27</v>
      </c>
      <c r="H79" s="11"/>
      <c r="I79" s="160"/>
      <c r="K79" s="149"/>
      <c r="L79" s="150"/>
      <c r="M79" s="151"/>
      <c r="N79" s="150"/>
      <c r="O79" s="94"/>
      <c r="P79" s="160" t="s">
        <v>27</v>
      </c>
      <c r="R79" s="11"/>
      <c r="S79" s="160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</row>
    <row r="80" hidden="1">
      <c r="A80" s="37"/>
      <c r="B80" s="157"/>
      <c r="C80" s="155"/>
      <c r="D80" s="156"/>
      <c r="E80" s="94"/>
      <c r="H80" s="11"/>
      <c r="I80" s="160"/>
      <c r="K80" s="149"/>
      <c r="L80" s="150"/>
      <c r="M80" s="151"/>
      <c r="N80" s="150"/>
      <c r="O80" s="94"/>
      <c r="R80" s="11"/>
      <c r="S80" s="160"/>
      <c r="U80" s="161" t="s">
        <v>71</v>
      </c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</row>
    <row r="81" hidden="1">
      <c r="A81" s="37"/>
      <c r="B81" s="157"/>
      <c r="C81" s="155"/>
      <c r="D81" s="156"/>
      <c r="E81" s="94"/>
      <c r="H81" s="11"/>
      <c r="I81" s="160"/>
      <c r="K81" s="149"/>
      <c r="L81" s="150"/>
      <c r="M81" s="151"/>
      <c r="N81" s="150"/>
      <c r="O81" s="94"/>
      <c r="R81" s="11"/>
      <c r="S81" s="160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</row>
    <row r="82" hidden="1">
      <c r="A82" s="37"/>
      <c r="B82" s="157"/>
      <c r="C82" s="155"/>
      <c r="D82" s="156"/>
      <c r="E82" s="94"/>
      <c r="F82" s="160" t="s">
        <v>28</v>
      </c>
      <c r="H82" s="11"/>
      <c r="I82" s="160"/>
      <c r="K82" s="149"/>
      <c r="L82" s="150"/>
      <c r="M82" s="151"/>
      <c r="N82" s="150"/>
      <c r="O82" s="94"/>
      <c r="P82" s="160" t="s">
        <v>28</v>
      </c>
      <c r="R82" s="11"/>
      <c r="S82" s="160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</row>
    <row r="83" hidden="1">
      <c r="A83" s="37"/>
      <c r="B83" s="157"/>
      <c r="C83" s="155"/>
      <c r="D83" s="156"/>
      <c r="E83" s="94"/>
      <c r="H83" s="11"/>
      <c r="I83" s="160"/>
      <c r="K83" s="149"/>
      <c r="L83" s="150"/>
      <c r="M83" s="151"/>
      <c r="N83" s="150"/>
      <c r="O83" s="94"/>
      <c r="R83" s="11"/>
      <c r="S83" s="160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</row>
    <row r="84" hidden="1">
      <c r="A84" s="37"/>
      <c r="B84" s="157"/>
      <c r="C84" s="155"/>
      <c r="D84" s="156"/>
      <c r="E84" s="94"/>
      <c r="H84" s="11"/>
      <c r="I84" s="160"/>
      <c r="K84" s="149"/>
      <c r="L84" s="150"/>
      <c r="M84" s="151"/>
      <c r="N84" s="150"/>
      <c r="O84" s="94"/>
      <c r="R84" s="11"/>
      <c r="S84" s="160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</row>
    <row r="85" hidden="1">
      <c r="A85" s="37"/>
      <c r="B85" s="162"/>
      <c r="C85" s="155"/>
      <c r="D85" s="156"/>
      <c r="E85" s="94"/>
      <c r="F85" s="160"/>
      <c r="G85" s="160"/>
      <c r="H85" s="163"/>
      <c r="I85" s="160"/>
      <c r="K85" s="149"/>
      <c r="L85" s="150"/>
      <c r="M85" s="151"/>
      <c r="N85" s="150"/>
      <c r="O85" s="94"/>
      <c r="P85" s="160"/>
      <c r="Q85" s="160"/>
      <c r="R85" s="163"/>
      <c r="S85" s="160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</row>
    <row r="86" hidden="1">
      <c r="A86" s="37"/>
      <c r="B86" s="162"/>
      <c r="C86" s="155"/>
      <c r="D86" s="156"/>
      <c r="E86" s="94"/>
      <c r="F86" s="160"/>
      <c r="G86" s="160"/>
      <c r="H86" s="163"/>
      <c r="I86" s="160"/>
      <c r="K86" s="149"/>
      <c r="L86" s="150"/>
      <c r="M86" s="151"/>
      <c r="N86" s="150"/>
      <c r="O86" s="94"/>
      <c r="P86" s="160"/>
      <c r="Q86" s="160"/>
      <c r="R86" s="163"/>
      <c r="S86" s="160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</row>
    <row r="87" hidden="1">
      <c r="A87" s="37"/>
      <c r="B87" s="162"/>
      <c r="C87" s="155"/>
      <c r="D87" s="156"/>
      <c r="E87" s="94"/>
      <c r="F87" s="160"/>
      <c r="G87" s="160"/>
      <c r="H87" s="163"/>
      <c r="I87" s="160"/>
      <c r="K87" s="149"/>
      <c r="L87" s="150"/>
      <c r="M87" s="151"/>
      <c r="N87" s="150"/>
      <c r="O87" s="94"/>
      <c r="P87" s="160"/>
      <c r="Q87" s="160"/>
      <c r="R87" s="163"/>
      <c r="S87" s="160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</row>
    <row r="88" hidden="1">
      <c r="A88" s="37"/>
      <c r="B88" s="162"/>
      <c r="C88" s="155"/>
      <c r="D88" s="164"/>
      <c r="E88" s="94"/>
      <c r="F88" s="160"/>
      <c r="G88" s="160"/>
      <c r="H88" s="163"/>
      <c r="I88" s="160"/>
      <c r="K88" s="149"/>
      <c r="L88" s="150"/>
      <c r="M88" s="151"/>
      <c r="N88" s="150"/>
      <c r="O88" s="94"/>
      <c r="P88" s="160"/>
      <c r="Q88" s="160"/>
      <c r="R88" s="163"/>
      <c r="S88" s="160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</row>
    <row r="89" hidden="1">
      <c r="A89" s="37"/>
      <c r="B89" s="162"/>
      <c r="C89" s="165"/>
      <c r="D89" s="164"/>
      <c r="E89" s="94"/>
      <c r="F89" s="160"/>
      <c r="G89" s="160"/>
      <c r="H89" s="163"/>
      <c r="I89" s="160"/>
      <c r="K89" s="149"/>
      <c r="L89" s="150"/>
      <c r="M89" s="151"/>
      <c r="N89" s="150"/>
      <c r="O89" s="94"/>
      <c r="P89" s="160"/>
      <c r="Q89" s="160"/>
      <c r="R89" s="163"/>
      <c r="S89" s="160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</row>
    <row r="90" hidden="1">
      <c r="A90" s="37"/>
      <c r="B90" s="162"/>
      <c r="C90" s="165"/>
      <c r="D90" s="164"/>
      <c r="E90" s="94"/>
      <c r="F90" s="160"/>
      <c r="G90" s="160"/>
      <c r="H90" s="163"/>
      <c r="I90" s="160"/>
      <c r="K90" s="149"/>
      <c r="L90" s="150"/>
      <c r="M90" s="151"/>
      <c r="N90" s="150"/>
      <c r="O90" s="94"/>
      <c r="P90" s="160"/>
      <c r="Q90" s="160"/>
      <c r="R90" s="163"/>
      <c r="S90" s="160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</row>
    <row r="91" hidden="1">
      <c r="A91" s="166"/>
      <c r="B91" s="162"/>
      <c r="C91" s="165"/>
      <c r="D91" s="164"/>
      <c r="E91" s="94"/>
      <c r="F91" s="160"/>
      <c r="G91" s="160"/>
      <c r="H91" s="163"/>
      <c r="I91" s="160"/>
      <c r="K91" s="149"/>
      <c r="L91" s="150"/>
      <c r="M91" s="151"/>
      <c r="N91" s="150"/>
      <c r="O91" s="94"/>
      <c r="P91" s="160"/>
      <c r="Q91" s="160"/>
      <c r="R91" s="163"/>
      <c r="S91" s="160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</row>
    <row r="92" hidden="1">
      <c r="A92" s="167"/>
      <c r="B92" s="168"/>
      <c r="C92" s="169"/>
      <c r="D92" s="170"/>
      <c r="E92" s="171"/>
      <c r="F92" s="171"/>
      <c r="G92" s="171"/>
      <c r="H92" s="172"/>
      <c r="I92" s="94"/>
      <c r="K92" s="173"/>
      <c r="L92" s="174"/>
      <c r="M92" s="175"/>
      <c r="N92" s="174"/>
      <c r="O92" s="171"/>
      <c r="P92" s="171"/>
      <c r="Q92" s="171"/>
      <c r="R92" s="172"/>
      <c r="S92" s="9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</row>
    <row r="93" hidden="1">
      <c r="F93" s="34"/>
      <c r="G93" s="34"/>
      <c r="H93" s="34"/>
      <c r="I93" s="34"/>
      <c r="P93" s="34"/>
      <c r="Q93" s="34"/>
      <c r="R93" s="34"/>
      <c r="S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</row>
    <row r="94" hidden="1">
      <c r="A94" s="65" t="s">
        <v>29</v>
      </c>
      <c r="B94" s="2"/>
      <c r="C94" s="2"/>
      <c r="D94" s="2"/>
      <c r="E94" s="2"/>
      <c r="F94" s="2"/>
      <c r="G94" s="2"/>
      <c r="H94" s="3"/>
      <c r="I94" s="176"/>
      <c r="K94" s="67" t="s">
        <v>30</v>
      </c>
      <c r="L94" s="2"/>
      <c r="M94" s="2"/>
      <c r="N94" s="2"/>
      <c r="O94" s="2"/>
      <c r="P94" s="2"/>
      <c r="Q94" s="2"/>
      <c r="R94" s="3"/>
      <c r="S94" s="177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</row>
    <row r="95" hidden="1">
      <c r="A95" s="87" t="s">
        <v>0</v>
      </c>
      <c r="B95" s="5"/>
      <c r="C95" s="5"/>
      <c r="D95" s="5"/>
      <c r="E95" s="5"/>
      <c r="F95" s="5"/>
      <c r="G95" s="5"/>
      <c r="H95" s="6"/>
      <c r="I95" s="88"/>
      <c r="K95" s="87" t="s">
        <v>0</v>
      </c>
      <c r="L95" s="5"/>
      <c r="M95" s="5"/>
      <c r="N95" s="5"/>
      <c r="O95" s="5"/>
      <c r="P95" s="5"/>
      <c r="Q95" s="5"/>
      <c r="R95" s="6"/>
      <c r="S95" s="88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</row>
    <row r="96" hidden="1">
      <c r="A96" s="87" t="s">
        <v>1</v>
      </c>
      <c r="B96" s="5"/>
      <c r="C96" s="5"/>
      <c r="D96" s="5"/>
      <c r="E96" s="5"/>
      <c r="F96" s="5"/>
      <c r="G96" s="5"/>
      <c r="H96" s="6"/>
      <c r="I96" s="88"/>
      <c r="K96" s="87" t="s">
        <v>1</v>
      </c>
      <c r="L96" s="5"/>
      <c r="M96" s="5"/>
      <c r="N96" s="5"/>
      <c r="O96" s="5"/>
      <c r="P96" s="5"/>
      <c r="Q96" s="5"/>
      <c r="R96" s="6"/>
      <c r="S96" s="88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</row>
    <row r="97" hidden="1">
      <c r="A97" s="93"/>
      <c r="H97" s="11"/>
      <c r="I97" s="94"/>
      <c r="K97" s="93"/>
      <c r="R97" s="11"/>
      <c r="S97" s="9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</row>
    <row r="98" hidden="1">
      <c r="A98" s="97" t="s">
        <v>4</v>
      </c>
      <c r="B98" s="8"/>
      <c r="C98" s="14" t="s">
        <v>29</v>
      </c>
      <c r="D98" s="8"/>
      <c r="E98" s="99" t="s">
        <v>5</v>
      </c>
      <c r="F98" s="8"/>
      <c r="G98" s="178">
        <v>46266.0</v>
      </c>
      <c r="H98" s="6"/>
      <c r="I98" s="179"/>
      <c r="K98" s="97" t="s">
        <v>4</v>
      </c>
      <c r="L98" s="8"/>
      <c r="M98" s="14" t="s">
        <v>30</v>
      </c>
      <c r="N98" s="8"/>
      <c r="O98" s="99" t="s">
        <v>5</v>
      </c>
      <c r="P98" s="8"/>
      <c r="Q98" s="178">
        <v>46254.0</v>
      </c>
      <c r="R98" s="6"/>
      <c r="S98" s="179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</row>
    <row r="99" hidden="1">
      <c r="A99" s="97" t="s">
        <v>14</v>
      </c>
      <c r="B99" s="8"/>
      <c r="C99" s="14" t="s">
        <v>72</v>
      </c>
      <c r="D99" s="8"/>
      <c r="E99" s="99" t="s">
        <v>15</v>
      </c>
      <c r="F99" s="8"/>
      <c r="G99" s="103"/>
      <c r="H99" s="6"/>
      <c r="I99" s="94"/>
      <c r="K99" s="97" t="s">
        <v>14</v>
      </c>
      <c r="L99" s="8"/>
      <c r="M99" s="14" t="s">
        <v>72</v>
      </c>
      <c r="N99" s="8"/>
      <c r="O99" s="99" t="s">
        <v>15</v>
      </c>
      <c r="P99" s="8"/>
      <c r="Q99" s="103"/>
      <c r="R99" s="6"/>
      <c r="S99" s="9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</row>
    <row r="100" hidden="1">
      <c r="A100" s="97" t="s">
        <v>16</v>
      </c>
      <c r="B100" s="8"/>
      <c r="C100" s="27" t="s">
        <v>37</v>
      </c>
      <c r="D100" s="8"/>
      <c r="E100" s="99" t="s">
        <v>17</v>
      </c>
      <c r="F100" s="8"/>
      <c r="G100" s="103"/>
      <c r="H100" s="6"/>
      <c r="I100" s="94"/>
      <c r="K100" s="97" t="s">
        <v>16</v>
      </c>
      <c r="L100" s="8"/>
      <c r="M100" s="27" t="s">
        <v>37</v>
      </c>
      <c r="N100" s="8"/>
      <c r="O100" s="99" t="s">
        <v>17</v>
      </c>
      <c r="P100" s="8"/>
      <c r="Q100" s="103"/>
      <c r="R100" s="6"/>
      <c r="S100" s="9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</row>
    <row r="101" hidden="1">
      <c r="A101" s="93"/>
      <c r="B101" s="94"/>
      <c r="C101" s="94"/>
      <c r="D101" s="94"/>
      <c r="E101" s="94"/>
      <c r="F101" s="94"/>
      <c r="G101" s="94"/>
      <c r="H101" s="95"/>
      <c r="I101" s="94"/>
      <c r="K101" s="93"/>
      <c r="L101" s="94"/>
      <c r="M101" s="94"/>
      <c r="N101" s="94"/>
      <c r="O101" s="94"/>
      <c r="P101" s="94"/>
      <c r="Q101" s="94"/>
      <c r="R101" s="95"/>
      <c r="S101" s="9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</row>
    <row r="102" hidden="1">
      <c r="A102" s="69" t="s">
        <v>18</v>
      </c>
      <c r="B102" s="70" t="s">
        <v>19</v>
      </c>
      <c r="C102" s="70" t="s">
        <v>20</v>
      </c>
      <c r="D102" s="70" t="s">
        <v>21</v>
      </c>
      <c r="E102" s="94"/>
      <c r="F102" s="70" t="s">
        <v>6</v>
      </c>
      <c r="G102" s="71" t="s">
        <v>32</v>
      </c>
      <c r="H102" s="6"/>
      <c r="I102" s="180"/>
      <c r="K102" s="72" t="s">
        <v>18</v>
      </c>
      <c r="L102" s="73" t="s">
        <v>19</v>
      </c>
      <c r="M102" s="73" t="s">
        <v>20</v>
      </c>
      <c r="N102" s="73" t="s">
        <v>21</v>
      </c>
      <c r="O102" s="94"/>
      <c r="P102" s="73" t="s">
        <v>6</v>
      </c>
      <c r="Q102" s="71" t="s">
        <v>32</v>
      </c>
      <c r="R102" s="6"/>
      <c r="S102" s="180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</row>
    <row r="103" hidden="1">
      <c r="A103" s="181">
        <v>1.0</v>
      </c>
      <c r="B103" s="154">
        <v>36.2</v>
      </c>
      <c r="C103" s="182" t="s">
        <v>47</v>
      </c>
      <c r="D103" s="131">
        <v>420.0</v>
      </c>
      <c r="E103" s="94"/>
      <c r="F103" s="77" t="s">
        <v>22</v>
      </c>
      <c r="G103" s="5"/>
      <c r="H103" s="6"/>
      <c r="I103" s="183"/>
      <c r="K103" s="181">
        <v>1.0</v>
      </c>
      <c r="L103" s="154">
        <v>34.9</v>
      </c>
      <c r="M103" s="182" t="s">
        <v>64</v>
      </c>
      <c r="N103" s="131">
        <v>420.0</v>
      </c>
      <c r="O103" s="94"/>
      <c r="P103" s="78" t="s">
        <v>22</v>
      </c>
      <c r="Q103" s="5"/>
      <c r="R103" s="6"/>
      <c r="S103" s="18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</row>
    <row r="104" hidden="1">
      <c r="A104" s="181">
        <v>2.0</v>
      </c>
      <c r="B104" s="154">
        <v>36.2</v>
      </c>
      <c r="C104" s="182" t="s">
        <v>47</v>
      </c>
      <c r="D104" s="131">
        <v>420.0</v>
      </c>
      <c r="E104" s="94"/>
      <c r="F104" s="70" t="s">
        <v>23</v>
      </c>
      <c r="G104" s="70" t="s">
        <v>20</v>
      </c>
      <c r="H104" s="80" t="s">
        <v>21</v>
      </c>
      <c r="I104" s="185"/>
      <c r="K104" s="181">
        <v>2.0</v>
      </c>
      <c r="L104" s="154">
        <v>34.8</v>
      </c>
      <c r="M104" s="182" t="s">
        <v>64</v>
      </c>
      <c r="N104" s="131">
        <v>420.0</v>
      </c>
      <c r="O104" s="94"/>
      <c r="P104" s="73" t="s">
        <v>23</v>
      </c>
      <c r="Q104" s="73" t="s">
        <v>20</v>
      </c>
      <c r="R104" s="81" t="s">
        <v>21</v>
      </c>
      <c r="S104" s="186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</row>
    <row r="105" hidden="1">
      <c r="A105" s="181">
        <v>3.0</v>
      </c>
      <c r="B105" s="154">
        <v>36.1</v>
      </c>
      <c r="C105" s="182" t="s">
        <v>47</v>
      </c>
      <c r="D105" s="131">
        <v>420.0</v>
      </c>
      <c r="E105" s="94"/>
      <c r="F105" s="187">
        <v>1.0</v>
      </c>
      <c r="G105" s="129" t="s">
        <v>47</v>
      </c>
      <c r="H105" s="142">
        <f>IF(G105="","",SUMIF($C$103:$C$173,G105,$D$103:$D$173))</f>
        <v>2525</v>
      </c>
      <c r="I105" s="143"/>
      <c r="K105" s="181">
        <v>3.0</v>
      </c>
      <c r="L105" s="154">
        <v>35.2</v>
      </c>
      <c r="M105" s="182" t="s">
        <v>64</v>
      </c>
      <c r="N105" s="131">
        <v>420.0</v>
      </c>
      <c r="O105" s="94"/>
      <c r="P105" s="187">
        <v>1.0</v>
      </c>
      <c r="Q105" s="129" t="s">
        <v>64</v>
      </c>
      <c r="R105" s="130">
        <f>sum(N103:N106,N150)</f>
        <v>1980</v>
      </c>
      <c r="S105" s="101"/>
      <c r="V105" s="188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</row>
    <row r="106" hidden="1">
      <c r="A106" s="181">
        <v>4.0</v>
      </c>
      <c r="B106" s="154">
        <v>36.1</v>
      </c>
      <c r="C106" s="182" t="s">
        <v>47</v>
      </c>
      <c r="D106" s="131">
        <v>420.0</v>
      </c>
      <c r="E106" s="94"/>
      <c r="F106" s="187">
        <v>2.0</v>
      </c>
      <c r="G106" s="129" t="s">
        <v>56</v>
      </c>
      <c r="H106" s="142">
        <f>sum(D110:D129)</f>
        <v>8148</v>
      </c>
      <c r="I106" s="143"/>
      <c r="K106" s="181">
        <v>4.0</v>
      </c>
      <c r="L106" s="157">
        <v>35.1</v>
      </c>
      <c r="M106" s="182" t="s">
        <v>64</v>
      </c>
      <c r="N106" s="156">
        <v>420.0</v>
      </c>
      <c r="O106" s="94"/>
      <c r="P106" s="187">
        <v>2.0</v>
      </c>
      <c r="Q106" s="129" t="s">
        <v>65</v>
      </c>
      <c r="R106" s="130">
        <f>sum(N110:N127)</f>
        <v>7534</v>
      </c>
      <c r="S106" s="101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</row>
    <row r="107" hidden="1">
      <c r="A107" s="181">
        <v>5.0</v>
      </c>
      <c r="B107" s="154">
        <v>43.3</v>
      </c>
      <c r="C107" s="182" t="s">
        <v>61</v>
      </c>
      <c r="D107" s="131">
        <v>150.0</v>
      </c>
      <c r="E107" s="94"/>
      <c r="F107" s="187">
        <v>3.0</v>
      </c>
      <c r="G107" s="129" t="s">
        <v>57</v>
      </c>
      <c r="H107" s="142">
        <f>sum(D132:D148,D156,D159)</f>
        <v>3597</v>
      </c>
      <c r="I107" s="143"/>
      <c r="K107" s="181">
        <v>5.0</v>
      </c>
      <c r="L107" s="154">
        <v>43.1</v>
      </c>
      <c r="M107" s="182" t="s">
        <v>67</v>
      </c>
      <c r="N107" s="131">
        <v>150.0</v>
      </c>
      <c r="O107" s="94"/>
      <c r="P107" s="187">
        <v>3.0</v>
      </c>
      <c r="Q107" s="129" t="s">
        <v>62</v>
      </c>
      <c r="R107" s="189">
        <f>sum(N128:N142)</f>
        <v>2998</v>
      </c>
      <c r="S107" s="9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</row>
    <row r="108" hidden="1">
      <c r="A108" s="181">
        <v>6.0</v>
      </c>
      <c r="B108" s="154">
        <v>43.1</v>
      </c>
      <c r="C108" s="182" t="s">
        <v>61</v>
      </c>
      <c r="D108" s="131">
        <v>150.0</v>
      </c>
      <c r="E108" s="94"/>
      <c r="F108" s="187">
        <v>4.0</v>
      </c>
      <c r="G108" s="129" t="s">
        <v>59</v>
      </c>
      <c r="H108" s="142">
        <f>sum(D130:D131,D152:D155,D157:D158)</f>
        <v>1033</v>
      </c>
      <c r="I108" s="143"/>
      <c r="K108" s="181">
        <v>6.0</v>
      </c>
      <c r="L108" s="154">
        <v>43.5</v>
      </c>
      <c r="M108" s="182" t="s">
        <v>67</v>
      </c>
      <c r="N108" s="131">
        <v>150.0</v>
      </c>
      <c r="O108" s="94"/>
      <c r="P108" s="187">
        <v>4.0</v>
      </c>
      <c r="Q108" s="129" t="s">
        <v>66</v>
      </c>
      <c r="R108" s="189">
        <f>sum(N143:N149)</f>
        <v>1001</v>
      </c>
      <c r="S108" s="94"/>
    </row>
    <row r="109" hidden="1">
      <c r="A109" s="181">
        <v>7.0</v>
      </c>
      <c r="B109" s="154">
        <v>15.1</v>
      </c>
      <c r="C109" s="182" t="s">
        <v>47</v>
      </c>
      <c r="D109" s="131">
        <v>177.0</v>
      </c>
      <c r="E109" s="94"/>
      <c r="F109" s="187">
        <v>5.0</v>
      </c>
      <c r="G109" s="129" t="s">
        <v>61</v>
      </c>
      <c r="H109" s="142">
        <f>sum(D107:D108)</f>
        <v>300</v>
      </c>
      <c r="I109" s="143"/>
      <c r="K109" s="181">
        <v>7.0</v>
      </c>
      <c r="L109" s="157">
        <v>33.1</v>
      </c>
      <c r="M109" s="182" t="s">
        <v>67</v>
      </c>
      <c r="N109" s="156">
        <v>114.0</v>
      </c>
      <c r="O109" s="94"/>
      <c r="P109" s="187">
        <v>5.0</v>
      </c>
      <c r="Q109" s="129" t="s">
        <v>67</v>
      </c>
      <c r="R109" s="130">
        <f>sum(N107:N109)</f>
        <v>414</v>
      </c>
      <c r="S109" s="101"/>
    </row>
    <row r="110" hidden="1">
      <c r="A110" s="37">
        <v>8.0</v>
      </c>
      <c r="B110" s="157">
        <v>43.7</v>
      </c>
      <c r="C110" s="129" t="s">
        <v>56</v>
      </c>
      <c r="D110" s="156">
        <v>420.0</v>
      </c>
      <c r="E110" s="94"/>
      <c r="F110" s="129"/>
      <c r="G110" s="129"/>
      <c r="H110" s="189"/>
      <c r="I110" s="94"/>
      <c r="K110" s="181">
        <v>8.0</v>
      </c>
      <c r="L110" s="154">
        <v>42.7</v>
      </c>
      <c r="M110" s="182" t="s">
        <v>65</v>
      </c>
      <c r="N110" s="131">
        <v>420.0</v>
      </c>
      <c r="O110" s="94"/>
      <c r="P110" s="129"/>
      <c r="Q110" s="129"/>
      <c r="R110" s="189"/>
      <c r="S110" s="94"/>
    </row>
    <row r="111" hidden="1">
      <c r="A111" s="37">
        <v>9.0</v>
      </c>
      <c r="B111" s="157">
        <v>42.8</v>
      </c>
      <c r="C111" s="129" t="s">
        <v>56</v>
      </c>
      <c r="D111" s="156">
        <v>420.0</v>
      </c>
      <c r="E111" s="94"/>
      <c r="F111" s="129"/>
      <c r="G111" s="129"/>
      <c r="H111" s="189"/>
      <c r="I111" s="94"/>
      <c r="K111" s="181">
        <v>9.0</v>
      </c>
      <c r="L111" s="154">
        <v>42.7</v>
      </c>
      <c r="M111" s="182" t="s">
        <v>65</v>
      </c>
      <c r="N111" s="131">
        <v>420.0</v>
      </c>
      <c r="O111" s="94"/>
      <c r="P111" s="129"/>
      <c r="Q111" s="129"/>
      <c r="R111" s="189"/>
      <c r="S111" s="94"/>
    </row>
    <row r="112" hidden="1">
      <c r="A112" s="37">
        <v>10.0</v>
      </c>
      <c r="B112" s="157">
        <v>43.8</v>
      </c>
      <c r="C112" s="129" t="s">
        <v>56</v>
      </c>
      <c r="D112" s="156">
        <v>420.0</v>
      </c>
      <c r="E112" s="94"/>
      <c r="F112" s="129"/>
      <c r="G112" s="129"/>
      <c r="H112" s="189"/>
      <c r="I112" s="94"/>
      <c r="K112" s="181">
        <v>10.0</v>
      </c>
      <c r="L112" s="154">
        <v>42.5</v>
      </c>
      <c r="M112" s="182" t="s">
        <v>65</v>
      </c>
      <c r="N112" s="131">
        <v>420.0</v>
      </c>
      <c r="O112" s="94"/>
      <c r="P112" s="129"/>
      <c r="Q112" s="129"/>
      <c r="R112" s="189"/>
      <c r="S112" s="94"/>
    </row>
    <row r="113" hidden="1">
      <c r="A113" s="37">
        <v>11.0</v>
      </c>
      <c r="B113" s="157">
        <v>43.8</v>
      </c>
      <c r="C113" s="129" t="s">
        <v>56</v>
      </c>
      <c r="D113" s="156">
        <v>420.0</v>
      </c>
      <c r="E113" s="94"/>
      <c r="F113" s="129"/>
      <c r="G113" s="129"/>
      <c r="H113" s="189"/>
      <c r="I113" s="94"/>
      <c r="K113" s="37">
        <v>11.0</v>
      </c>
      <c r="L113" s="157">
        <v>42.6</v>
      </c>
      <c r="M113" s="182" t="s">
        <v>65</v>
      </c>
      <c r="N113" s="131">
        <v>420.0</v>
      </c>
      <c r="O113" s="94"/>
      <c r="P113" s="129"/>
      <c r="Q113" s="129"/>
      <c r="R113" s="189"/>
      <c r="S113" s="94"/>
    </row>
    <row r="114" hidden="1">
      <c r="A114" s="37">
        <v>12.0</v>
      </c>
      <c r="B114" s="157">
        <v>42.7</v>
      </c>
      <c r="C114" s="129" t="s">
        <v>56</v>
      </c>
      <c r="D114" s="156">
        <v>420.0</v>
      </c>
      <c r="E114" s="94"/>
      <c r="F114" s="129"/>
      <c r="G114" s="129"/>
      <c r="H114" s="189"/>
      <c r="I114" s="94"/>
      <c r="K114" s="37">
        <v>12.0</v>
      </c>
      <c r="L114" s="157">
        <v>42.5</v>
      </c>
      <c r="M114" s="182" t="s">
        <v>65</v>
      </c>
      <c r="N114" s="131">
        <v>420.0</v>
      </c>
      <c r="O114" s="94"/>
      <c r="P114" s="129"/>
      <c r="Q114" s="129"/>
      <c r="R114" s="189"/>
      <c r="S114" s="94"/>
    </row>
    <row r="115" hidden="1">
      <c r="A115" s="37">
        <v>13.0</v>
      </c>
      <c r="B115" s="157">
        <v>42.9</v>
      </c>
      <c r="C115" s="129" t="s">
        <v>56</v>
      </c>
      <c r="D115" s="156">
        <v>420.0</v>
      </c>
      <c r="E115" s="94"/>
      <c r="F115" s="129"/>
      <c r="G115" s="129"/>
      <c r="H115" s="189"/>
      <c r="I115" s="94"/>
      <c r="K115" s="181">
        <v>13.0</v>
      </c>
      <c r="L115" s="157">
        <v>42.7</v>
      </c>
      <c r="M115" s="182" t="s">
        <v>65</v>
      </c>
      <c r="N115" s="131">
        <v>420.0</v>
      </c>
      <c r="O115" s="94"/>
      <c r="P115" s="129"/>
      <c r="Q115" s="129"/>
      <c r="R115" s="189"/>
      <c r="S115" s="94"/>
    </row>
    <row r="116" hidden="1">
      <c r="A116" s="37">
        <v>14.0</v>
      </c>
      <c r="B116" s="157">
        <v>42.9</v>
      </c>
      <c r="C116" s="129" t="s">
        <v>56</v>
      </c>
      <c r="D116" s="156">
        <v>420.0</v>
      </c>
      <c r="E116" s="94"/>
      <c r="F116" s="129"/>
      <c r="G116" s="129"/>
      <c r="H116" s="189"/>
      <c r="I116" s="94"/>
      <c r="K116" s="37">
        <v>14.0</v>
      </c>
      <c r="L116" s="157">
        <v>42.7</v>
      </c>
      <c r="M116" s="182" t="s">
        <v>65</v>
      </c>
      <c r="N116" s="131">
        <v>420.0</v>
      </c>
      <c r="O116" s="94"/>
      <c r="P116" s="129"/>
      <c r="Q116" s="129"/>
      <c r="R116" s="189"/>
      <c r="S116" s="94"/>
    </row>
    <row r="117" hidden="1">
      <c r="A117" s="37">
        <v>15.0</v>
      </c>
      <c r="B117" s="157">
        <v>43.1</v>
      </c>
      <c r="C117" s="129" t="s">
        <v>56</v>
      </c>
      <c r="D117" s="156">
        <v>420.0</v>
      </c>
      <c r="E117" s="94"/>
      <c r="F117" s="129"/>
      <c r="G117" s="129"/>
      <c r="H117" s="189"/>
      <c r="I117" s="94"/>
      <c r="K117" s="37">
        <v>15.0</v>
      </c>
      <c r="L117" s="157">
        <v>42.6</v>
      </c>
      <c r="M117" s="182" t="s">
        <v>65</v>
      </c>
      <c r="N117" s="131">
        <v>420.0</v>
      </c>
      <c r="O117" s="94"/>
      <c r="P117" s="129"/>
      <c r="Q117" s="129"/>
      <c r="R117" s="189"/>
      <c r="S117" s="94"/>
    </row>
    <row r="118" hidden="1">
      <c r="A118" s="37">
        <v>16.0</v>
      </c>
      <c r="B118" s="157">
        <v>42.8</v>
      </c>
      <c r="C118" s="129" t="s">
        <v>56</v>
      </c>
      <c r="D118" s="156">
        <v>420.0</v>
      </c>
      <c r="E118" s="94"/>
      <c r="F118" s="129"/>
      <c r="G118" s="129"/>
      <c r="H118" s="189"/>
      <c r="I118" s="94"/>
      <c r="K118" s="181">
        <v>16.0</v>
      </c>
      <c r="L118" s="157">
        <v>42.6</v>
      </c>
      <c r="M118" s="182" t="s">
        <v>65</v>
      </c>
      <c r="N118" s="131">
        <v>420.0</v>
      </c>
      <c r="O118" s="94"/>
      <c r="P118" s="129"/>
      <c r="Q118" s="129"/>
      <c r="R118" s="189"/>
      <c r="S118" s="94"/>
    </row>
    <row r="119" hidden="1">
      <c r="A119" s="37">
        <v>17.0</v>
      </c>
      <c r="B119" s="157">
        <v>43.7</v>
      </c>
      <c r="C119" s="129" t="s">
        <v>56</v>
      </c>
      <c r="D119" s="156">
        <v>420.0</v>
      </c>
      <c r="E119" s="94"/>
      <c r="F119" s="94"/>
      <c r="G119" s="94"/>
      <c r="H119" s="95"/>
      <c r="I119" s="94"/>
      <c r="K119" s="181">
        <v>17.0</v>
      </c>
      <c r="L119" s="157">
        <v>42.7</v>
      </c>
      <c r="M119" s="182" t="s">
        <v>65</v>
      </c>
      <c r="N119" s="131">
        <v>420.0</v>
      </c>
      <c r="O119" s="94"/>
      <c r="P119" s="94"/>
      <c r="Q119" s="94"/>
      <c r="R119" s="95"/>
      <c r="S119" s="94"/>
    </row>
    <row r="120" hidden="1">
      <c r="A120" s="37">
        <v>18.0</v>
      </c>
      <c r="B120" s="157">
        <v>43.1</v>
      </c>
      <c r="C120" s="129" t="s">
        <v>56</v>
      </c>
      <c r="D120" s="156">
        <v>420.0</v>
      </c>
      <c r="E120" s="94"/>
      <c r="F120" s="94"/>
      <c r="G120" s="94"/>
      <c r="H120" s="95"/>
      <c r="I120" s="94"/>
      <c r="K120" s="37">
        <v>18.0</v>
      </c>
      <c r="L120" s="157">
        <v>37.8</v>
      </c>
      <c r="M120" s="182" t="s">
        <v>65</v>
      </c>
      <c r="N120" s="156">
        <v>372.0</v>
      </c>
      <c r="O120" s="94"/>
      <c r="P120" s="94"/>
      <c r="Q120" s="94"/>
      <c r="R120" s="95"/>
      <c r="S120" s="94"/>
    </row>
    <row r="121" hidden="1">
      <c r="A121" s="37">
        <v>19.0</v>
      </c>
      <c r="B121" s="157">
        <v>42.6</v>
      </c>
      <c r="C121" s="129" t="s">
        <v>56</v>
      </c>
      <c r="D121" s="156">
        <v>420.0</v>
      </c>
      <c r="E121" s="94"/>
      <c r="F121" s="94"/>
      <c r="G121" s="94"/>
      <c r="H121" s="95"/>
      <c r="I121" s="94"/>
      <c r="K121" s="37">
        <v>19.0</v>
      </c>
      <c r="L121" s="157">
        <v>45.2</v>
      </c>
      <c r="M121" s="182" t="s">
        <v>65</v>
      </c>
      <c r="N121" s="156">
        <v>454.0</v>
      </c>
      <c r="O121" s="94"/>
      <c r="P121" s="94"/>
      <c r="Q121" s="94"/>
      <c r="R121" s="95"/>
      <c r="S121" s="94"/>
    </row>
    <row r="122" hidden="1">
      <c r="A122" s="37">
        <v>20.0</v>
      </c>
      <c r="B122" s="157">
        <v>42.6</v>
      </c>
      <c r="C122" s="129" t="s">
        <v>56</v>
      </c>
      <c r="D122" s="156">
        <v>420.0</v>
      </c>
      <c r="E122" s="94"/>
      <c r="F122" s="94"/>
      <c r="G122" s="94"/>
      <c r="H122" s="95"/>
      <c r="I122" s="94"/>
      <c r="K122" s="181">
        <v>20.0</v>
      </c>
      <c r="L122" s="157">
        <v>42.2</v>
      </c>
      <c r="M122" s="182" t="s">
        <v>65</v>
      </c>
      <c r="N122" s="156">
        <v>420.0</v>
      </c>
      <c r="O122" s="94"/>
      <c r="P122" s="94"/>
      <c r="Q122" s="94"/>
      <c r="R122" s="95"/>
      <c r="S122" s="94"/>
    </row>
    <row r="123" hidden="1">
      <c r="A123" s="37">
        <v>21.0</v>
      </c>
      <c r="B123" s="157">
        <v>42.7</v>
      </c>
      <c r="C123" s="129" t="s">
        <v>56</v>
      </c>
      <c r="D123" s="156">
        <v>420.0</v>
      </c>
      <c r="E123" s="94"/>
      <c r="F123" s="159" t="s">
        <v>26</v>
      </c>
      <c r="G123" s="94"/>
      <c r="H123" s="95"/>
      <c r="I123" s="94"/>
      <c r="K123" s="181">
        <v>21.0</v>
      </c>
      <c r="L123" s="157">
        <v>42.2</v>
      </c>
      <c r="M123" s="182" t="s">
        <v>65</v>
      </c>
      <c r="N123" s="156">
        <v>420.0</v>
      </c>
      <c r="O123" s="94"/>
      <c r="P123" s="159" t="s">
        <v>26</v>
      </c>
      <c r="Q123" s="94"/>
      <c r="R123" s="95"/>
      <c r="S123" s="94"/>
    </row>
    <row r="124" hidden="1">
      <c r="A124" s="37">
        <v>22.0</v>
      </c>
      <c r="B124" s="157">
        <v>42.5</v>
      </c>
      <c r="C124" s="129" t="s">
        <v>56</v>
      </c>
      <c r="D124" s="156">
        <v>420.0</v>
      </c>
      <c r="E124" s="94"/>
      <c r="F124" s="160" t="s">
        <v>27</v>
      </c>
      <c r="H124" s="11"/>
      <c r="I124" s="160"/>
      <c r="K124" s="37">
        <v>22.0</v>
      </c>
      <c r="L124" s="157">
        <v>42.3</v>
      </c>
      <c r="M124" s="182" t="s">
        <v>65</v>
      </c>
      <c r="N124" s="156">
        <v>420.0</v>
      </c>
      <c r="O124" s="94"/>
      <c r="P124" s="160" t="s">
        <v>27</v>
      </c>
      <c r="R124" s="11"/>
      <c r="S124" s="160"/>
    </row>
    <row r="125" hidden="1">
      <c r="A125" s="37">
        <v>23.0</v>
      </c>
      <c r="B125" s="157">
        <v>42.7</v>
      </c>
      <c r="C125" s="129" t="s">
        <v>56</v>
      </c>
      <c r="D125" s="156">
        <v>420.0</v>
      </c>
      <c r="E125" s="94"/>
      <c r="H125" s="11"/>
      <c r="I125" s="160"/>
      <c r="K125" s="37">
        <v>23.0</v>
      </c>
      <c r="L125" s="157">
        <v>42.2</v>
      </c>
      <c r="M125" s="182" t="s">
        <v>65</v>
      </c>
      <c r="N125" s="156">
        <v>420.0</v>
      </c>
      <c r="O125" s="94"/>
      <c r="R125" s="11"/>
      <c r="S125" s="160"/>
    </row>
    <row r="126" hidden="1">
      <c r="A126" s="37">
        <v>24.0</v>
      </c>
      <c r="B126" s="157">
        <v>42.5</v>
      </c>
      <c r="C126" s="129" t="s">
        <v>56</v>
      </c>
      <c r="D126" s="156">
        <v>420.0</v>
      </c>
      <c r="E126" s="94"/>
      <c r="H126" s="11"/>
      <c r="I126" s="160"/>
      <c r="K126" s="181">
        <v>24.0</v>
      </c>
      <c r="L126" s="157">
        <v>42.3</v>
      </c>
      <c r="M126" s="182" t="s">
        <v>65</v>
      </c>
      <c r="N126" s="156">
        <v>420.0</v>
      </c>
      <c r="O126" s="94"/>
      <c r="R126" s="11"/>
      <c r="S126" s="160"/>
    </row>
    <row r="127" hidden="1">
      <c r="A127" s="37">
        <v>25.0</v>
      </c>
      <c r="B127" s="157">
        <v>43.3</v>
      </c>
      <c r="C127" s="129" t="s">
        <v>56</v>
      </c>
      <c r="D127" s="156">
        <v>420.0</v>
      </c>
      <c r="E127" s="94"/>
      <c r="F127" s="160" t="s">
        <v>28</v>
      </c>
      <c r="H127" s="11"/>
      <c r="I127" s="160"/>
      <c r="K127" s="181">
        <v>25.0</v>
      </c>
      <c r="L127" s="157">
        <v>41.0</v>
      </c>
      <c r="M127" s="182" t="s">
        <v>65</v>
      </c>
      <c r="N127" s="156">
        <v>408.0</v>
      </c>
      <c r="O127" s="94"/>
      <c r="P127" s="160" t="s">
        <v>28</v>
      </c>
      <c r="R127" s="11"/>
      <c r="S127" s="160"/>
    </row>
    <row r="128" hidden="1">
      <c r="A128" s="37">
        <v>26.0</v>
      </c>
      <c r="B128" s="157">
        <v>43.1</v>
      </c>
      <c r="C128" s="129" t="s">
        <v>56</v>
      </c>
      <c r="D128" s="156">
        <v>420.0</v>
      </c>
      <c r="E128" s="94"/>
      <c r="H128" s="11"/>
      <c r="I128" s="160"/>
      <c r="K128" s="37">
        <v>26.0</v>
      </c>
      <c r="L128" s="157">
        <v>29.3</v>
      </c>
      <c r="M128" s="155" t="s">
        <v>62</v>
      </c>
      <c r="N128" s="156">
        <v>200.0</v>
      </c>
      <c r="O128" s="94"/>
      <c r="R128" s="11"/>
      <c r="S128" s="160"/>
    </row>
    <row r="129" hidden="1">
      <c r="A129" s="37">
        <v>27.0</v>
      </c>
      <c r="B129" s="157">
        <v>17.0</v>
      </c>
      <c r="C129" s="129" t="s">
        <v>56</v>
      </c>
      <c r="D129" s="156">
        <v>168.0</v>
      </c>
      <c r="E129" s="94"/>
      <c r="H129" s="11"/>
      <c r="I129" s="160"/>
      <c r="K129" s="37">
        <v>27.0</v>
      </c>
      <c r="L129" s="157">
        <v>29.5</v>
      </c>
      <c r="M129" s="155" t="s">
        <v>62</v>
      </c>
      <c r="N129" s="156">
        <v>200.0</v>
      </c>
      <c r="O129" s="94"/>
      <c r="R129" s="11"/>
      <c r="S129" s="160"/>
    </row>
    <row r="130" hidden="1">
      <c r="A130" s="37">
        <v>28.0</v>
      </c>
      <c r="B130" s="157">
        <v>30.6</v>
      </c>
      <c r="C130" s="155" t="s">
        <v>59</v>
      </c>
      <c r="D130" s="156">
        <v>150.0</v>
      </c>
      <c r="E130" s="94"/>
      <c r="F130" s="94"/>
      <c r="G130" s="94"/>
      <c r="H130" s="95"/>
      <c r="I130" s="94"/>
      <c r="K130" s="181">
        <v>28.0</v>
      </c>
      <c r="L130" s="157">
        <v>29.4</v>
      </c>
      <c r="M130" s="155" t="s">
        <v>62</v>
      </c>
      <c r="N130" s="156">
        <v>200.0</v>
      </c>
      <c r="O130" s="94"/>
      <c r="P130" s="94"/>
      <c r="Q130" s="94"/>
      <c r="R130" s="95"/>
      <c r="S130" s="94"/>
    </row>
    <row r="131" hidden="1">
      <c r="A131" s="37">
        <v>29.0</v>
      </c>
      <c r="B131" s="157">
        <v>10.2</v>
      </c>
      <c r="C131" s="155" t="s">
        <v>59</v>
      </c>
      <c r="D131" s="156">
        <v>50.0</v>
      </c>
      <c r="E131" s="94"/>
      <c r="F131" s="94"/>
      <c r="G131" s="94"/>
      <c r="H131" s="95"/>
      <c r="I131" s="94"/>
      <c r="K131" s="181">
        <v>29.0</v>
      </c>
      <c r="L131" s="157">
        <v>29.3</v>
      </c>
      <c r="M131" s="155" t="s">
        <v>62</v>
      </c>
      <c r="N131" s="156">
        <v>200.0</v>
      </c>
      <c r="O131" s="94"/>
      <c r="P131" s="94"/>
      <c r="Q131" s="94"/>
      <c r="R131" s="95"/>
      <c r="S131" s="94"/>
    </row>
    <row r="132" hidden="1">
      <c r="A132" s="37">
        <v>30.0</v>
      </c>
      <c r="B132" s="157">
        <v>29.0</v>
      </c>
      <c r="C132" s="129" t="s">
        <v>57</v>
      </c>
      <c r="D132" s="156">
        <v>200.0</v>
      </c>
      <c r="E132" s="94"/>
      <c r="F132" s="94"/>
      <c r="G132" s="94"/>
      <c r="H132" s="95"/>
      <c r="I132" s="94"/>
      <c r="K132" s="37">
        <v>30.0</v>
      </c>
      <c r="L132" s="157">
        <v>29.3</v>
      </c>
      <c r="M132" s="155" t="s">
        <v>62</v>
      </c>
      <c r="N132" s="156">
        <v>200.0</v>
      </c>
      <c r="O132" s="94"/>
      <c r="P132" s="94"/>
      <c r="Q132" s="94"/>
      <c r="R132" s="95"/>
      <c r="S132" s="94"/>
    </row>
    <row r="133" hidden="1">
      <c r="A133" s="37">
        <v>31.0</v>
      </c>
      <c r="B133" s="157">
        <v>29.3</v>
      </c>
      <c r="C133" s="129" t="s">
        <v>57</v>
      </c>
      <c r="D133" s="156">
        <v>200.0</v>
      </c>
      <c r="E133" s="94"/>
      <c r="F133" s="94"/>
      <c r="G133" s="94"/>
      <c r="H133" s="95"/>
      <c r="I133" s="94"/>
      <c r="K133" s="37">
        <v>31.0</v>
      </c>
      <c r="L133" s="157">
        <v>29.4</v>
      </c>
      <c r="M133" s="155" t="s">
        <v>62</v>
      </c>
      <c r="N133" s="156">
        <v>200.0</v>
      </c>
      <c r="O133" s="94"/>
      <c r="P133" s="94"/>
      <c r="Q133" s="94"/>
      <c r="R133" s="95"/>
      <c r="S133" s="94"/>
    </row>
    <row r="134" hidden="1">
      <c r="A134" s="37">
        <v>32.0</v>
      </c>
      <c r="B134" s="157">
        <v>29.0</v>
      </c>
      <c r="C134" s="129" t="s">
        <v>57</v>
      </c>
      <c r="D134" s="156">
        <v>200.0</v>
      </c>
      <c r="E134" s="94"/>
      <c r="F134" s="94"/>
      <c r="G134" s="94"/>
      <c r="H134" s="95"/>
      <c r="I134" s="94"/>
      <c r="K134" s="181">
        <v>32.0</v>
      </c>
      <c r="L134" s="157">
        <v>29.2</v>
      </c>
      <c r="M134" s="155" t="s">
        <v>62</v>
      </c>
      <c r="N134" s="156">
        <v>198.0</v>
      </c>
      <c r="O134" s="94"/>
      <c r="P134" s="94"/>
      <c r="Q134" s="94"/>
      <c r="R134" s="95"/>
      <c r="S134" s="94"/>
    </row>
    <row r="135" hidden="1">
      <c r="A135" s="37">
        <v>33.0</v>
      </c>
      <c r="B135" s="157">
        <v>29.0</v>
      </c>
      <c r="C135" s="129" t="s">
        <v>57</v>
      </c>
      <c r="D135" s="156">
        <v>200.0</v>
      </c>
      <c r="E135" s="94"/>
      <c r="F135" s="94"/>
      <c r="G135" s="94"/>
      <c r="H135" s="95"/>
      <c r="I135" s="94"/>
      <c r="K135" s="181">
        <v>33.0</v>
      </c>
      <c r="L135" s="157">
        <v>29.3</v>
      </c>
      <c r="M135" s="155" t="s">
        <v>62</v>
      </c>
      <c r="N135" s="190">
        <v>200.0</v>
      </c>
      <c r="O135" s="94"/>
      <c r="P135" s="94"/>
      <c r="Q135" s="94"/>
      <c r="R135" s="95"/>
      <c r="S135" s="94"/>
    </row>
    <row r="136" hidden="1">
      <c r="A136" s="37">
        <v>34.0</v>
      </c>
      <c r="B136" s="157">
        <v>29.3</v>
      </c>
      <c r="C136" s="129" t="s">
        <v>57</v>
      </c>
      <c r="D136" s="156">
        <v>200.0</v>
      </c>
      <c r="E136" s="94"/>
      <c r="F136" s="94"/>
      <c r="G136" s="94"/>
      <c r="H136" s="95"/>
      <c r="I136" s="94"/>
      <c r="K136" s="37">
        <v>34.0</v>
      </c>
      <c r="L136" s="157">
        <v>29.4</v>
      </c>
      <c r="M136" s="155" t="s">
        <v>62</v>
      </c>
      <c r="N136" s="190">
        <v>200.0</v>
      </c>
      <c r="O136" s="94"/>
      <c r="P136" s="94"/>
      <c r="Q136" s="94"/>
      <c r="R136" s="95"/>
      <c r="S136" s="94"/>
    </row>
    <row r="137" hidden="1">
      <c r="A137" s="37">
        <v>35.0</v>
      </c>
      <c r="B137" s="157">
        <v>29.2</v>
      </c>
      <c r="C137" s="129" t="s">
        <v>57</v>
      </c>
      <c r="D137" s="156">
        <v>200.0</v>
      </c>
      <c r="E137" s="94"/>
      <c r="F137" s="94"/>
      <c r="G137" s="94"/>
      <c r="H137" s="95"/>
      <c r="I137" s="94"/>
      <c r="K137" s="181">
        <v>35.0</v>
      </c>
      <c r="L137" s="157">
        <v>29.4</v>
      </c>
      <c r="M137" s="155" t="s">
        <v>62</v>
      </c>
      <c r="N137" s="190">
        <v>200.0</v>
      </c>
      <c r="O137" s="94"/>
      <c r="P137" s="94"/>
      <c r="Q137" s="94"/>
      <c r="R137" s="95"/>
      <c r="S137" s="94"/>
    </row>
    <row r="138" hidden="1">
      <c r="A138" s="37">
        <v>36.0</v>
      </c>
      <c r="B138" s="157">
        <v>29.2</v>
      </c>
      <c r="C138" s="129" t="s">
        <v>57</v>
      </c>
      <c r="D138" s="156">
        <v>200.0</v>
      </c>
      <c r="E138" s="94"/>
      <c r="F138" s="94"/>
      <c r="G138" s="94"/>
      <c r="H138" s="95"/>
      <c r="I138" s="94"/>
      <c r="K138" s="181">
        <v>36.0</v>
      </c>
      <c r="L138" s="157">
        <v>29.4</v>
      </c>
      <c r="M138" s="155" t="s">
        <v>62</v>
      </c>
      <c r="N138" s="190">
        <v>200.0</v>
      </c>
      <c r="O138" s="94"/>
      <c r="P138" s="94"/>
      <c r="Q138" s="94"/>
      <c r="R138" s="95"/>
      <c r="S138" s="94"/>
    </row>
    <row r="139" hidden="1">
      <c r="A139" s="37">
        <v>37.0</v>
      </c>
      <c r="B139" s="157">
        <v>29.2</v>
      </c>
      <c r="C139" s="129" t="s">
        <v>57</v>
      </c>
      <c r="D139" s="156">
        <v>200.0</v>
      </c>
      <c r="E139" s="94"/>
      <c r="F139" s="94"/>
      <c r="G139" s="94"/>
      <c r="H139" s="95"/>
      <c r="I139" s="94"/>
      <c r="K139" s="37">
        <v>37.0</v>
      </c>
      <c r="L139" s="157">
        <v>29.0</v>
      </c>
      <c r="M139" s="155" t="s">
        <v>62</v>
      </c>
      <c r="N139" s="190">
        <v>200.0</v>
      </c>
      <c r="O139" s="94"/>
      <c r="P139" s="94"/>
      <c r="Q139" s="94"/>
      <c r="R139" s="95"/>
      <c r="S139" s="94"/>
    </row>
    <row r="140" hidden="1">
      <c r="A140" s="37">
        <v>38.0</v>
      </c>
      <c r="B140" s="157">
        <v>29.2</v>
      </c>
      <c r="C140" s="129" t="s">
        <v>57</v>
      </c>
      <c r="D140" s="156">
        <v>200.0</v>
      </c>
      <c r="E140" s="94"/>
      <c r="F140" s="94"/>
      <c r="G140" s="94"/>
      <c r="H140" s="95"/>
      <c r="I140" s="94"/>
      <c r="K140" s="181">
        <v>38.0</v>
      </c>
      <c r="L140" s="157">
        <v>29.3</v>
      </c>
      <c r="M140" s="155" t="s">
        <v>62</v>
      </c>
      <c r="N140" s="190">
        <v>200.0</v>
      </c>
      <c r="O140" s="94"/>
      <c r="P140" s="94"/>
      <c r="Q140" s="94"/>
      <c r="R140" s="95"/>
      <c r="S140" s="94"/>
    </row>
    <row r="141" hidden="1">
      <c r="A141" s="37">
        <v>39.0</v>
      </c>
      <c r="B141" s="157">
        <v>29.0</v>
      </c>
      <c r="C141" s="129" t="s">
        <v>57</v>
      </c>
      <c r="D141" s="156">
        <v>200.0</v>
      </c>
      <c r="E141" s="94"/>
      <c r="F141" s="94"/>
      <c r="G141" s="94"/>
      <c r="H141" s="95"/>
      <c r="I141" s="94"/>
      <c r="K141" s="181">
        <v>39.0</v>
      </c>
      <c r="L141" s="157">
        <v>29.5</v>
      </c>
      <c r="M141" s="155" t="s">
        <v>62</v>
      </c>
      <c r="N141" s="190">
        <v>200.0</v>
      </c>
      <c r="O141" s="94"/>
      <c r="P141" s="94"/>
      <c r="Q141" s="94"/>
      <c r="R141" s="95"/>
      <c r="S141" s="94"/>
    </row>
    <row r="142" hidden="1">
      <c r="A142" s="37">
        <v>40.0</v>
      </c>
      <c r="B142" s="157">
        <v>29.0</v>
      </c>
      <c r="C142" s="129" t="s">
        <v>57</v>
      </c>
      <c r="D142" s="156">
        <v>200.0</v>
      </c>
      <c r="E142" s="94"/>
      <c r="F142" s="94"/>
      <c r="G142" s="94"/>
      <c r="H142" s="95"/>
      <c r="I142" s="94"/>
      <c r="K142" s="37">
        <v>40.0</v>
      </c>
      <c r="L142" s="157">
        <v>29.4</v>
      </c>
      <c r="M142" s="155" t="s">
        <v>62</v>
      </c>
      <c r="N142" s="190">
        <v>200.0</v>
      </c>
      <c r="O142" s="94"/>
      <c r="P142" s="94"/>
      <c r="Q142" s="94"/>
      <c r="R142" s="95"/>
      <c r="S142" s="94"/>
    </row>
    <row r="143" hidden="1">
      <c r="A143" s="37">
        <v>41.0</v>
      </c>
      <c r="B143" s="157">
        <v>29.0</v>
      </c>
      <c r="C143" s="129" t="s">
        <v>57</v>
      </c>
      <c r="D143" s="156">
        <v>200.0</v>
      </c>
      <c r="E143" s="94"/>
      <c r="F143" s="94"/>
      <c r="G143" s="94"/>
      <c r="H143" s="95"/>
      <c r="I143" s="94"/>
      <c r="K143" s="181">
        <v>41.0</v>
      </c>
      <c r="L143" s="157">
        <v>30.4</v>
      </c>
      <c r="M143" s="129" t="s">
        <v>66</v>
      </c>
      <c r="N143" s="190">
        <v>150.0</v>
      </c>
      <c r="O143" s="94"/>
      <c r="P143" s="94"/>
      <c r="Q143" s="94"/>
      <c r="R143" s="95"/>
      <c r="S143" s="94"/>
    </row>
    <row r="144" hidden="1">
      <c r="A144" s="37">
        <v>42.0</v>
      </c>
      <c r="B144" s="157">
        <v>29.1</v>
      </c>
      <c r="C144" s="129" t="s">
        <v>57</v>
      </c>
      <c r="D144" s="156">
        <v>200.0</v>
      </c>
      <c r="E144" s="94"/>
      <c r="F144" s="94"/>
      <c r="G144" s="94"/>
      <c r="H144" s="95"/>
      <c r="I144" s="94"/>
      <c r="K144" s="37">
        <v>42.0</v>
      </c>
      <c r="L144" s="157">
        <v>30.4</v>
      </c>
      <c r="M144" s="129" t="s">
        <v>66</v>
      </c>
      <c r="N144" s="190">
        <v>150.0</v>
      </c>
      <c r="O144" s="94"/>
      <c r="P144" s="94"/>
      <c r="Q144" s="94"/>
      <c r="R144" s="95"/>
      <c r="S144" s="94"/>
    </row>
    <row r="145" hidden="1">
      <c r="A145" s="37">
        <v>43.0</v>
      </c>
      <c r="B145" s="157">
        <v>29.2</v>
      </c>
      <c r="C145" s="129" t="s">
        <v>57</v>
      </c>
      <c r="D145" s="156">
        <v>200.0</v>
      </c>
      <c r="E145" s="94"/>
      <c r="F145" s="94"/>
      <c r="G145" s="94"/>
      <c r="H145" s="95"/>
      <c r="I145" s="94"/>
      <c r="K145" s="181">
        <v>43.0</v>
      </c>
      <c r="L145" s="157">
        <v>30.4</v>
      </c>
      <c r="M145" s="129" t="s">
        <v>66</v>
      </c>
      <c r="N145" s="190">
        <v>150.0</v>
      </c>
      <c r="O145" s="94"/>
      <c r="P145" s="94"/>
      <c r="Q145" s="94"/>
      <c r="R145" s="95"/>
      <c r="S145" s="94"/>
    </row>
    <row r="146" hidden="1">
      <c r="A146" s="37">
        <v>44.0</v>
      </c>
      <c r="B146" s="157">
        <v>29.3</v>
      </c>
      <c r="C146" s="129" t="s">
        <v>57</v>
      </c>
      <c r="D146" s="156">
        <v>200.0</v>
      </c>
      <c r="E146" s="94"/>
      <c r="F146" s="94"/>
      <c r="G146" s="94"/>
      <c r="H146" s="95"/>
      <c r="I146" s="94"/>
      <c r="K146" s="37">
        <v>44.0</v>
      </c>
      <c r="L146" s="157">
        <v>30.8</v>
      </c>
      <c r="M146" s="129" t="s">
        <v>66</v>
      </c>
      <c r="N146" s="190">
        <v>150.0</v>
      </c>
      <c r="O146" s="94"/>
      <c r="P146" s="94"/>
      <c r="Q146" s="94"/>
      <c r="R146" s="95"/>
      <c r="S146" s="94"/>
    </row>
    <row r="147" hidden="1">
      <c r="A147" s="37">
        <v>45.0</v>
      </c>
      <c r="B147" s="157">
        <v>29.0</v>
      </c>
      <c r="C147" s="129" t="s">
        <v>57</v>
      </c>
      <c r="D147" s="156">
        <v>200.0</v>
      </c>
      <c r="E147" s="94"/>
      <c r="F147" s="94"/>
      <c r="G147" s="94"/>
      <c r="H147" s="95"/>
      <c r="I147" s="94"/>
      <c r="K147" s="181">
        <v>45.0</v>
      </c>
      <c r="L147" s="157">
        <v>30.5</v>
      </c>
      <c r="M147" s="129" t="s">
        <v>66</v>
      </c>
      <c r="N147" s="190">
        <v>150.0</v>
      </c>
      <c r="O147" s="94"/>
      <c r="P147" s="94"/>
      <c r="Q147" s="94"/>
      <c r="R147" s="95"/>
      <c r="S147" s="94"/>
    </row>
    <row r="148" hidden="1">
      <c r="A148" s="37">
        <v>46.0</v>
      </c>
      <c r="B148" s="157">
        <v>12.2</v>
      </c>
      <c r="C148" s="129" t="s">
        <v>57</v>
      </c>
      <c r="D148" s="190">
        <v>84.0</v>
      </c>
      <c r="E148" s="94"/>
      <c r="F148" s="94"/>
      <c r="G148" s="94"/>
      <c r="H148" s="95"/>
      <c r="I148" s="94"/>
      <c r="K148" s="37">
        <v>46.0</v>
      </c>
      <c r="L148" s="157">
        <v>31.8</v>
      </c>
      <c r="M148" s="129" t="s">
        <v>66</v>
      </c>
      <c r="N148" s="190">
        <v>157.0</v>
      </c>
      <c r="O148" s="94"/>
      <c r="P148" s="94"/>
      <c r="Q148" s="94"/>
      <c r="R148" s="95"/>
      <c r="S148" s="94"/>
    </row>
    <row r="149" hidden="1">
      <c r="A149" s="191"/>
      <c r="B149" s="192"/>
      <c r="C149" s="192"/>
      <c r="D149" s="193"/>
      <c r="E149" s="94"/>
      <c r="F149" s="94"/>
      <c r="G149" s="94"/>
      <c r="H149" s="95"/>
      <c r="I149" s="94"/>
      <c r="K149" s="181">
        <v>47.0</v>
      </c>
      <c r="L149" s="157">
        <v>19.2</v>
      </c>
      <c r="M149" s="129" t="s">
        <v>66</v>
      </c>
      <c r="N149" s="190">
        <v>94.0</v>
      </c>
      <c r="O149" s="94"/>
      <c r="P149" s="94"/>
      <c r="Q149" s="94"/>
      <c r="R149" s="95"/>
      <c r="S149" s="94"/>
    </row>
    <row r="150" hidden="1">
      <c r="A150" s="181">
        <v>6.0</v>
      </c>
      <c r="B150" s="154"/>
      <c r="C150" s="182" t="s">
        <v>47</v>
      </c>
      <c r="D150" s="131">
        <v>248.0</v>
      </c>
      <c r="E150" s="94"/>
      <c r="F150" s="94"/>
      <c r="G150" s="94"/>
      <c r="H150" s="95"/>
      <c r="I150" s="94"/>
      <c r="K150" s="37">
        <v>48.0</v>
      </c>
      <c r="L150" s="157">
        <v>25.4</v>
      </c>
      <c r="M150" s="42" t="s">
        <v>64</v>
      </c>
      <c r="N150" s="190">
        <v>300.0</v>
      </c>
      <c r="O150" s="94"/>
      <c r="P150" s="94"/>
      <c r="Q150" s="94"/>
      <c r="R150" s="95"/>
      <c r="S150" s="94"/>
    </row>
    <row r="151" hidden="1">
      <c r="A151" s="181">
        <v>8.0</v>
      </c>
      <c r="B151" s="154"/>
      <c r="C151" s="182" t="s">
        <v>47</v>
      </c>
      <c r="D151" s="131">
        <v>420.0</v>
      </c>
      <c r="E151" s="94"/>
      <c r="F151" s="94"/>
      <c r="G151" s="94"/>
      <c r="H151" s="95"/>
      <c r="I151" s="94"/>
      <c r="K151" s="37"/>
      <c r="L151" s="154"/>
      <c r="M151" s="154"/>
      <c r="N151" s="187"/>
      <c r="O151" s="94"/>
      <c r="P151" s="94"/>
      <c r="Q151" s="94"/>
      <c r="R151" s="95"/>
      <c r="S151" s="94"/>
    </row>
    <row r="152" hidden="1">
      <c r="A152" s="181">
        <v>8.0</v>
      </c>
      <c r="B152" s="154">
        <v>32.7</v>
      </c>
      <c r="C152" s="182" t="s">
        <v>59</v>
      </c>
      <c r="D152" s="131">
        <v>150.0</v>
      </c>
      <c r="E152" s="94"/>
      <c r="F152" s="94"/>
      <c r="G152" s="94"/>
      <c r="H152" s="95"/>
      <c r="I152" s="94"/>
      <c r="K152" s="37"/>
      <c r="L152" s="154"/>
      <c r="M152" s="154"/>
      <c r="N152" s="187"/>
      <c r="O152" s="94"/>
      <c r="P152" s="94"/>
      <c r="Q152" s="94"/>
      <c r="R152" s="95"/>
      <c r="S152" s="94"/>
    </row>
    <row r="153" hidden="1">
      <c r="A153" s="181">
        <v>9.0</v>
      </c>
      <c r="B153" s="154">
        <v>32.7</v>
      </c>
      <c r="C153" s="182" t="s">
        <v>59</v>
      </c>
      <c r="D153" s="131">
        <v>150.0</v>
      </c>
      <c r="E153" s="94"/>
      <c r="F153" s="94"/>
      <c r="G153" s="94"/>
      <c r="H153" s="95"/>
      <c r="I153" s="94"/>
      <c r="K153" s="37"/>
      <c r="L153" s="154"/>
      <c r="M153" s="154"/>
      <c r="N153" s="187"/>
      <c r="O153" s="94"/>
      <c r="P153" s="94"/>
      <c r="Q153" s="94"/>
      <c r="R153" s="95"/>
      <c r="S153" s="94"/>
    </row>
    <row r="154" hidden="1">
      <c r="A154" s="181">
        <v>10.0</v>
      </c>
      <c r="B154" s="154">
        <v>21.5</v>
      </c>
      <c r="C154" s="182" t="s">
        <v>59</v>
      </c>
      <c r="D154" s="131">
        <v>100.0</v>
      </c>
      <c r="E154" s="94"/>
      <c r="F154" s="94"/>
      <c r="G154" s="94"/>
      <c r="H154" s="95"/>
      <c r="I154" s="94"/>
      <c r="K154" s="37"/>
      <c r="L154" s="154"/>
      <c r="M154" s="154"/>
      <c r="N154" s="187"/>
      <c r="O154" s="94"/>
      <c r="P154" s="94"/>
      <c r="Q154" s="94"/>
      <c r="R154" s="95"/>
      <c r="S154" s="94"/>
    </row>
    <row r="155" hidden="1">
      <c r="A155" s="181">
        <v>12.0</v>
      </c>
      <c r="B155" s="154"/>
      <c r="C155" s="182" t="s">
        <v>59</v>
      </c>
      <c r="D155" s="131">
        <v>150.0</v>
      </c>
      <c r="E155" s="94"/>
      <c r="F155" s="94"/>
      <c r="G155" s="94"/>
      <c r="H155" s="95"/>
      <c r="I155" s="94"/>
      <c r="K155" s="37"/>
      <c r="L155" s="154"/>
      <c r="M155" s="154"/>
      <c r="N155" s="187"/>
      <c r="O155" s="94"/>
      <c r="P155" s="94"/>
      <c r="Q155" s="94"/>
      <c r="R155" s="95"/>
      <c r="S155" s="94"/>
    </row>
    <row r="156" hidden="1">
      <c r="A156" s="181">
        <v>13.0</v>
      </c>
      <c r="B156" s="154">
        <v>23.4</v>
      </c>
      <c r="C156" s="182" t="s">
        <v>57</v>
      </c>
      <c r="D156" s="131">
        <v>150.0</v>
      </c>
      <c r="E156" s="94"/>
      <c r="F156" s="94"/>
      <c r="G156" s="94"/>
      <c r="H156" s="95"/>
      <c r="I156" s="94"/>
      <c r="K156" s="37"/>
      <c r="L156" s="154"/>
      <c r="M156" s="154"/>
      <c r="N156" s="187"/>
      <c r="O156" s="94"/>
      <c r="P156" s="94"/>
      <c r="Q156" s="94"/>
      <c r="R156" s="95"/>
      <c r="S156" s="94"/>
    </row>
    <row r="157" hidden="1">
      <c r="A157" s="181">
        <v>25.0</v>
      </c>
      <c r="B157" s="154">
        <v>33.2</v>
      </c>
      <c r="C157" s="182" t="s">
        <v>59</v>
      </c>
      <c r="D157" s="131">
        <v>150.0</v>
      </c>
      <c r="E157" s="94"/>
      <c r="F157" s="94"/>
      <c r="G157" s="94"/>
      <c r="H157" s="95"/>
      <c r="I157" s="94"/>
      <c r="K157" s="37"/>
      <c r="L157" s="154"/>
      <c r="M157" s="154"/>
      <c r="N157" s="187"/>
      <c r="O157" s="94"/>
      <c r="P157" s="94"/>
      <c r="Q157" s="94"/>
      <c r="R157" s="95"/>
      <c r="S157" s="94"/>
    </row>
    <row r="158" hidden="1">
      <c r="A158" s="181">
        <v>26.0</v>
      </c>
      <c r="B158" s="154">
        <v>29.4</v>
      </c>
      <c r="C158" s="182" t="s">
        <v>59</v>
      </c>
      <c r="D158" s="131">
        <v>133.0</v>
      </c>
      <c r="E158" s="94"/>
      <c r="F158" s="94"/>
      <c r="G158" s="94"/>
      <c r="H158" s="95"/>
      <c r="I158" s="94"/>
      <c r="K158" s="37"/>
      <c r="L158" s="154"/>
      <c r="M158" s="154"/>
      <c r="N158" s="187"/>
      <c r="O158" s="94"/>
      <c r="P158" s="94"/>
      <c r="Q158" s="94"/>
      <c r="R158" s="95"/>
      <c r="S158" s="94"/>
    </row>
    <row r="159" hidden="1">
      <c r="A159" s="181">
        <v>30.0</v>
      </c>
      <c r="B159" s="154">
        <v>25.2</v>
      </c>
      <c r="C159" s="182" t="s">
        <v>57</v>
      </c>
      <c r="D159" s="131">
        <v>163.0</v>
      </c>
      <c r="E159" s="94"/>
      <c r="F159" s="94"/>
      <c r="G159" s="94"/>
      <c r="H159" s="95"/>
      <c r="I159" s="94"/>
      <c r="K159" s="37"/>
      <c r="L159" s="154"/>
      <c r="M159" s="154"/>
      <c r="N159" s="187"/>
      <c r="O159" s="94"/>
      <c r="P159" s="94"/>
      <c r="Q159" s="94"/>
      <c r="R159" s="95"/>
      <c r="S159" s="94"/>
    </row>
    <row r="160" hidden="1">
      <c r="A160" s="181"/>
      <c r="B160" s="154"/>
      <c r="C160" s="154"/>
      <c r="D160" s="187"/>
      <c r="E160" s="94"/>
      <c r="F160" s="94"/>
      <c r="G160" s="94"/>
      <c r="H160" s="95"/>
      <c r="I160" s="94"/>
      <c r="K160" s="37"/>
      <c r="L160" s="154"/>
      <c r="M160" s="154"/>
      <c r="N160" s="187"/>
      <c r="O160" s="94"/>
      <c r="P160" s="94"/>
      <c r="Q160" s="94"/>
      <c r="R160" s="95"/>
      <c r="S160" s="94"/>
    </row>
    <row r="161" hidden="1">
      <c r="A161" s="181"/>
      <c r="B161" s="154"/>
      <c r="C161" s="154"/>
      <c r="D161" s="187"/>
      <c r="E161" s="94"/>
      <c r="F161" s="94"/>
      <c r="G161" s="94"/>
      <c r="H161" s="95"/>
      <c r="I161" s="94"/>
      <c r="K161" s="37"/>
      <c r="L161" s="154"/>
      <c r="M161" s="154"/>
      <c r="N161" s="187"/>
      <c r="O161" s="94"/>
      <c r="P161" s="94"/>
      <c r="Q161" s="94"/>
      <c r="R161" s="95"/>
      <c r="S161" s="94"/>
    </row>
    <row r="162" hidden="1">
      <c r="A162" s="181"/>
      <c r="B162" s="154"/>
      <c r="C162" s="154"/>
      <c r="D162" s="187"/>
      <c r="E162" s="94"/>
      <c r="F162" s="94"/>
      <c r="G162" s="94"/>
      <c r="H162" s="95"/>
      <c r="I162" s="94"/>
      <c r="K162" s="37"/>
      <c r="L162" s="154"/>
      <c r="M162" s="154"/>
      <c r="N162" s="187"/>
      <c r="O162" s="94"/>
      <c r="P162" s="94"/>
      <c r="Q162" s="94"/>
      <c r="R162" s="95"/>
      <c r="S162" s="94"/>
    </row>
    <row r="163" hidden="1">
      <c r="A163" s="181"/>
      <c r="B163" s="154"/>
      <c r="C163" s="154"/>
      <c r="D163" s="187"/>
      <c r="E163" s="94"/>
      <c r="F163" s="94"/>
      <c r="G163" s="94"/>
      <c r="H163" s="95"/>
      <c r="I163" s="94"/>
      <c r="K163" s="37"/>
      <c r="L163" s="154"/>
      <c r="M163" s="154"/>
      <c r="N163" s="187"/>
      <c r="O163" s="94"/>
      <c r="P163" s="94"/>
      <c r="Q163" s="94"/>
      <c r="R163" s="95"/>
      <c r="S163" s="94"/>
    </row>
    <row r="164" hidden="1">
      <c r="A164" s="181"/>
      <c r="B164" s="154"/>
      <c r="C164" s="182"/>
      <c r="D164" s="190"/>
      <c r="E164" s="94"/>
      <c r="F164" s="94"/>
      <c r="G164" s="94"/>
      <c r="H164" s="95"/>
      <c r="I164" s="94"/>
      <c r="K164" s="37"/>
      <c r="L164" s="154"/>
      <c r="M164" s="154"/>
      <c r="N164" s="187"/>
      <c r="O164" s="94"/>
      <c r="P164" s="94"/>
      <c r="Q164" s="94"/>
      <c r="R164" s="95"/>
      <c r="S164" s="94"/>
    </row>
    <row r="165" hidden="1">
      <c r="A165" s="181"/>
      <c r="B165" s="154"/>
      <c r="C165" s="154"/>
      <c r="D165" s="187"/>
      <c r="E165" s="94"/>
      <c r="F165" s="94"/>
      <c r="G165" s="94"/>
      <c r="H165" s="95"/>
      <c r="I165" s="94"/>
      <c r="K165" s="37"/>
      <c r="L165" s="154"/>
      <c r="M165" s="154"/>
      <c r="N165" s="187"/>
      <c r="O165" s="94"/>
      <c r="P165" s="94"/>
      <c r="Q165" s="94"/>
      <c r="R165" s="95"/>
      <c r="S165" s="94"/>
    </row>
    <row r="166" hidden="1">
      <c r="A166" s="181"/>
      <c r="B166" s="154"/>
      <c r="C166" s="154"/>
      <c r="D166" s="187"/>
      <c r="E166" s="94"/>
      <c r="F166" s="94"/>
      <c r="G166" s="94"/>
      <c r="H166" s="95"/>
      <c r="I166" s="94"/>
      <c r="K166" s="37"/>
      <c r="L166" s="154"/>
      <c r="M166" s="154"/>
      <c r="N166" s="187"/>
      <c r="O166" s="94"/>
      <c r="P166" s="94"/>
      <c r="Q166" s="94"/>
      <c r="R166" s="95"/>
      <c r="S166" s="94"/>
    </row>
    <row r="167" hidden="1">
      <c r="A167" s="181"/>
      <c r="B167" s="154"/>
      <c r="C167" s="154"/>
      <c r="D167" s="187"/>
      <c r="E167" s="94"/>
      <c r="F167" s="94"/>
      <c r="G167" s="94"/>
      <c r="H167" s="95"/>
      <c r="I167" s="94"/>
      <c r="K167" s="37"/>
      <c r="L167" s="154"/>
      <c r="M167" s="154"/>
      <c r="N167" s="187"/>
      <c r="O167" s="94"/>
      <c r="P167" s="94"/>
      <c r="Q167" s="94"/>
      <c r="R167" s="95"/>
      <c r="S167" s="94"/>
    </row>
    <row r="168" hidden="1">
      <c r="A168" s="181"/>
      <c r="B168" s="154"/>
      <c r="C168" s="154"/>
      <c r="D168" s="187"/>
      <c r="E168" s="94"/>
      <c r="F168" s="94"/>
      <c r="G168" s="94"/>
      <c r="H168" s="95"/>
      <c r="I168" s="94"/>
      <c r="K168" s="37"/>
      <c r="L168" s="154"/>
      <c r="M168" s="154"/>
      <c r="N168" s="187"/>
      <c r="O168" s="94"/>
      <c r="P168" s="94"/>
      <c r="Q168" s="94"/>
      <c r="R168" s="95"/>
      <c r="S168" s="94"/>
    </row>
    <row r="169" hidden="1">
      <c r="A169" s="181"/>
      <c r="B169" s="154"/>
      <c r="C169" s="154"/>
      <c r="D169" s="187"/>
      <c r="E169" s="94"/>
      <c r="F169" s="94"/>
      <c r="G169" s="94"/>
      <c r="H169" s="95"/>
      <c r="I169" s="94"/>
      <c r="K169" s="37"/>
      <c r="L169" s="154"/>
      <c r="M169" s="154"/>
      <c r="N169" s="187"/>
      <c r="O169" s="94"/>
      <c r="P169" s="94"/>
      <c r="Q169" s="94"/>
      <c r="R169" s="95"/>
      <c r="S169" s="94"/>
    </row>
    <row r="170" hidden="1">
      <c r="A170" s="181"/>
      <c r="B170" s="154"/>
      <c r="C170" s="154"/>
      <c r="D170" s="187"/>
      <c r="E170" s="94"/>
      <c r="F170" s="94"/>
      <c r="G170" s="94"/>
      <c r="H170" s="95"/>
      <c r="I170" s="94"/>
      <c r="K170" s="37"/>
      <c r="L170" s="154"/>
      <c r="M170" s="154"/>
      <c r="N170" s="187"/>
      <c r="O170" s="94"/>
      <c r="P170" s="94"/>
      <c r="Q170" s="94"/>
      <c r="R170" s="95"/>
      <c r="S170" s="94"/>
    </row>
    <row r="171" hidden="1">
      <c r="A171" s="181"/>
      <c r="B171" s="154"/>
      <c r="C171" s="154"/>
      <c r="D171" s="187"/>
      <c r="E171" s="94"/>
      <c r="F171" s="94"/>
      <c r="G171" s="94"/>
      <c r="H171" s="95"/>
      <c r="I171" s="94"/>
      <c r="K171" s="181"/>
      <c r="L171" s="154"/>
      <c r="M171" s="154"/>
      <c r="N171" s="187"/>
      <c r="O171" s="94"/>
      <c r="P171" s="94"/>
      <c r="Q171" s="94"/>
      <c r="R171" s="95"/>
      <c r="S171" s="94"/>
    </row>
    <row r="172" hidden="1">
      <c r="A172" s="181"/>
      <c r="B172" s="154"/>
      <c r="C172" s="154"/>
      <c r="D172" s="187"/>
      <c r="E172" s="94"/>
      <c r="F172" s="94"/>
      <c r="G172" s="94"/>
      <c r="H172" s="95"/>
      <c r="I172" s="94"/>
      <c r="K172" s="181"/>
      <c r="L172" s="154"/>
      <c r="M172" s="154"/>
      <c r="N172" s="187"/>
      <c r="O172" s="94"/>
      <c r="P172" s="94"/>
      <c r="Q172" s="94"/>
      <c r="R172" s="95"/>
      <c r="S172" s="94"/>
    </row>
    <row r="173" hidden="1">
      <c r="A173" s="194"/>
      <c r="B173" s="195"/>
      <c r="C173" s="195"/>
      <c r="D173" s="196"/>
      <c r="E173" s="171"/>
      <c r="F173" s="171"/>
      <c r="G173" s="171"/>
      <c r="H173" s="172"/>
      <c r="I173" s="94"/>
      <c r="K173" s="194"/>
      <c r="L173" s="195"/>
      <c r="M173" s="195"/>
      <c r="N173" s="196"/>
      <c r="O173" s="171"/>
      <c r="P173" s="171"/>
      <c r="Q173" s="171"/>
      <c r="R173" s="172"/>
      <c r="S173" s="94"/>
    </row>
    <row r="174" hidden="1"/>
    <row r="175" hidden="1"/>
    <row r="176" hidden="1"/>
    <row r="177" hidden="1">
      <c r="A177" s="197" t="s">
        <v>31</v>
      </c>
      <c r="B177" s="2"/>
      <c r="C177" s="2"/>
      <c r="D177" s="2"/>
      <c r="E177" s="2"/>
      <c r="F177" s="2"/>
      <c r="G177" s="2"/>
      <c r="H177" s="3"/>
      <c r="I177" s="198"/>
      <c r="K177" s="197" t="s">
        <v>31</v>
      </c>
      <c r="L177" s="2"/>
      <c r="M177" s="2"/>
      <c r="N177" s="2"/>
      <c r="O177" s="2"/>
      <c r="P177" s="2"/>
      <c r="Q177" s="2"/>
      <c r="R177" s="3"/>
      <c r="S177" s="198"/>
    </row>
    <row r="178" hidden="1">
      <c r="A178" s="87" t="s">
        <v>0</v>
      </c>
      <c r="B178" s="5"/>
      <c r="C178" s="5"/>
      <c r="D178" s="5"/>
      <c r="E178" s="5"/>
      <c r="F178" s="5"/>
      <c r="G178" s="5"/>
      <c r="H178" s="6"/>
      <c r="I178" s="88"/>
      <c r="K178" s="87" t="s">
        <v>0</v>
      </c>
      <c r="L178" s="5"/>
      <c r="M178" s="5"/>
      <c r="N178" s="5"/>
      <c r="O178" s="5"/>
      <c r="P178" s="5"/>
      <c r="Q178" s="5"/>
      <c r="R178" s="6"/>
      <c r="S178" s="88"/>
    </row>
    <row r="179" hidden="1">
      <c r="A179" s="87" t="s">
        <v>1</v>
      </c>
      <c r="B179" s="5"/>
      <c r="C179" s="5"/>
      <c r="D179" s="5"/>
      <c r="E179" s="5"/>
      <c r="F179" s="5"/>
      <c r="G179" s="5"/>
      <c r="H179" s="6"/>
      <c r="I179" s="88"/>
      <c r="K179" s="87" t="s">
        <v>1</v>
      </c>
      <c r="L179" s="5"/>
      <c r="M179" s="5"/>
      <c r="N179" s="5"/>
      <c r="O179" s="5"/>
      <c r="P179" s="5"/>
      <c r="Q179" s="5"/>
      <c r="R179" s="6"/>
      <c r="S179" s="88"/>
    </row>
    <row r="180" hidden="1">
      <c r="A180" s="93"/>
      <c r="H180" s="11"/>
      <c r="I180" s="94"/>
      <c r="K180" s="93"/>
      <c r="R180" s="11"/>
      <c r="S180" s="94"/>
    </row>
    <row r="181" hidden="1">
      <c r="A181" s="97" t="s">
        <v>4</v>
      </c>
      <c r="B181" s="8"/>
      <c r="C181" s="14" t="s">
        <v>31</v>
      </c>
      <c r="D181" s="8"/>
      <c r="E181" s="99" t="s">
        <v>5</v>
      </c>
      <c r="F181" s="8"/>
      <c r="G181" s="178">
        <v>46252.0</v>
      </c>
      <c r="H181" s="6"/>
      <c r="I181" s="179"/>
      <c r="K181" s="97" t="s">
        <v>4</v>
      </c>
      <c r="L181" s="8"/>
      <c r="M181" s="14" t="s">
        <v>31</v>
      </c>
      <c r="N181" s="8"/>
      <c r="O181" s="99" t="s">
        <v>5</v>
      </c>
      <c r="P181" s="8"/>
      <c r="Q181" s="178">
        <v>46252.0</v>
      </c>
      <c r="R181" s="6"/>
      <c r="S181" s="179"/>
    </row>
    <row r="182" hidden="1">
      <c r="A182" s="97" t="s">
        <v>14</v>
      </c>
      <c r="B182" s="8"/>
      <c r="C182" s="14" t="s">
        <v>72</v>
      </c>
      <c r="D182" s="8"/>
      <c r="E182" s="99" t="s">
        <v>15</v>
      </c>
      <c r="F182" s="8"/>
      <c r="G182" s="103"/>
      <c r="H182" s="6"/>
      <c r="I182" s="94"/>
      <c r="K182" s="97" t="s">
        <v>14</v>
      </c>
      <c r="L182" s="8"/>
      <c r="M182" s="14" t="s">
        <v>72</v>
      </c>
      <c r="N182" s="8"/>
      <c r="O182" s="99" t="s">
        <v>15</v>
      </c>
      <c r="P182" s="8"/>
      <c r="Q182" s="103"/>
      <c r="R182" s="6"/>
      <c r="S182" s="94"/>
    </row>
    <row r="183" hidden="1">
      <c r="A183" s="97" t="s">
        <v>16</v>
      </c>
      <c r="B183" s="8"/>
      <c r="C183" s="27" t="s">
        <v>37</v>
      </c>
      <c r="D183" s="8"/>
      <c r="E183" s="99" t="s">
        <v>17</v>
      </c>
      <c r="F183" s="8"/>
      <c r="G183" s="103"/>
      <c r="H183" s="6"/>
      <c r="I183" s="94"/>
      <c r="K183" s="97" t="s">
        <v>16</v>
      </c>
      <c r="L183" s="8"/>
      <c r="M183" s="27" t="s">
        <v>37</v>
      </c>
      <c r="N183" s="8"/>
      <c r="O183" s="99" t="s">
        <v>17</v>
      </c>
      <c r="P183" s="8"/>
      <c r="Q183" s="103"/>
      <c r="R183" s="6"/>
      <c r="S183" s="94"/>
    </row>
    <row r="184" hidden="1">
      <c r="A184" s="93"/>
      <c r="B184" s="94"/>
      <c r="C184" s="94"/>
      <c r="D184" s="94"/>
      <c r="E184" s="94"/>
      <c r="F184" s="94"/>
      <c r="G184" s="94"/>
      <c r="H184" s="95"/>
      <c r="I184" s="94"/>
      <c r="K184" s="93"/>
      <c r="L184" s="94"/>
      <c r="M184" s="94"/>
      <c r="N184" s="94"/>
      <c r="O184" s="94"/>
      <c r="P184" s="94"/>
      <c r="Q184" s="94"/>
      <c r="R184" s="95"/>
      <c r="S184" s="94"/>
    </row>
    <row r="185" hidden="1">
      <c r="A185" s="199" t="s">
        <v>18</v>
      </c>
      <c r="B185" s="200" t="s">
        <v>19</v>
      </c>
      <c r="C185" s="200" t="s">
        <v>20</v>
      </c>
      <c r="D185" s="200" t="s">
        <v>21</v>
      </c>
      <c r="E185" s="94"/>
      <c r="F185" s="200" t="s">
        <v>6</v>
      </c>
      <c r="G185" s="201" t="s">
        <v>33</v>
      </c>
      <c r="H185" s="6"/>
      <c r="I185" s="202"/>
      <c r="K185" s="199" t="s">
        <v>18</v>
      </c>
      <c r="L185" s="200" t="s">
        <v>19</v>
      </c>
      <c r="M185" s="200" t="s">
        <v>20</v>
      </c>
      <c r="N185" s="200" t="s">
        <v>21</v>
      </c>
      <c r="O185" s="94"/>
      <c r="P185" s="200" t="s">
        <v>6</v>
      </c>
      <c r="Q185" s="201" t="s">
        <v>33</v>
      </c>
      <c r="R185" s="6"/>
      <c r="S185" s="202"/>
    </row>
    <row r="186" hidden="1">
      <c r="A186" s="203"/>
      <c r="B186" s="154"/>
      <c r="C186" s="204"/>
      <c r="D186" s="42"/>
      <c r="E186" s="94"/>
      <c r="F186" s="205" t="s">
        <v>22</v>
      </c>
      <c r="G186" s="5"/>
      <c r="H186" s="6"/>
      <c r="I186" s="206"/>
      <c r="K186" s="207">
        <v>39.0</v>
      </c>
      <c r="L186" s="157">
        <v>42.9</v>
      </c>
      <c r="M186" s="208" t="s">
        <v>59</v>
      </c>
      <c r="N186" s="156">
        <v>250.0</v>
      </c>
      <c r="O186" s="94"/>
      <c r="P186" s="205" t="s">
        <v>22</v>
      </c>
      <c r="Q186" s="5"/>
      <c r="R186" s="6"/>
      <c r="S186" s="206"/>
    </row>
    <row r="187" hidden="1">
      <c r="A187" s="203"/>
      <c r="B187" s="154"/>
      <c r="C187" s="204"/>
      <c r="D187" s="42"/>
      <c r="E187" s="94"/>
      <c r="F187" s="200" t="s">
        <v>23</v>
      </c>
      <c r="G187" s="200" t="s">
        <v>20</v>
      </c>
      <c r="H187" s="209" t="s">
        <v>21</v>
      </c>
      <c r="I187" s="210"/>
      <c r="K187" s="37">
        <v>40.0</v>
      </c>
      <c r="L187" s="157">
        <v>43.0</v>
      </c>
      <c r="M187" s="208" t="s">
        <v>59</v>
      </c>
      <c r="N187" s="156">
        <v>250.0</v>
      </c>
      <c r="O187" s="94"/>
      <c r="P187" s="200" t="s">
        <v>23</v>
      </c>
      <c r="Q187" s="200" t="s">
        <v>20</v>
      </c>
      <c r="R187" s="209" t="s">
        <v>21</v>
      </c>
      <c r="S187" s="210"/>
    </row>
    <row r="188" hidden="1">
      <c r="A188" s="203">
        <v>3.0</v>
      </c>
      <c r="B188" s="157">
        <v>44.4</v>
      </c>
      <c r="C188" s="204" t="s">
        <v>57</v>
      </c>
      <c r="D188" s="42">
        <v>350.0</v>
      </c>
      <c r="E188" s="94"/>
      <c r="F188" s="190">
        <v>1.0</v>
      </c>
      <c r="G188" s="129" t="s">
        <v>57</v>
      </c>
      <c r="H188" s="142">
        <f>sum(D186:D192,N212:N213)</f>
        <v>2354</v>
      </c>
      <c r="I188" s="143"/>
      <c r="K188" s="207">
        <v>41.0</v>
      </c>
      <c r="L188" s="157">
        <v>44.6</v>
      </c>
      <c r="M188" s="208" t="s">
        <v>59</v>
      </c>
      <c r="N188" s="156">
        <v>250.0</v>
      </c>
      <c r="O188" s="94"/>
      <c r="P188" s="187"/>
      <c r="Q188" s="129"/>
      <c r="R188" s="189"/>
      <c r="S188" s="94"/>
    </row>
    <row r="189" hidden="1">
      <c r="A189" s="203">
        <v>4.0</v>
      </c>
      <c r="B189" s="157">
        <v>44.5</v>
      </c>
      <c r="C189" s="204" t="s">
        <v>57</v>
      </c>
      <c r="D189" s="42">
        <v>350.0</v>
      </c>
      <c r="E189" s="94"/>
      <c r="F189" s="190">
        <v>2.0</v>
      </c>
      <c r="G189" s="129" t="s">
        <v>59</v>
      </c>
      <c r="H189" s="134">
        <f>sum(D203:D204,D214:D223,N186:N191)</f>
        <v>4518</v>
      </c>
      <c r="I189" s="135"/>
      <c r="K189" s="37">
        <v>42.0</v>
      </c>
      <c r="L189" s="157">
        <v>42.8</v>
      </c>
      <c r="M189" s="208" t="s">
        <v>59</v>
      </c>
      <c r="N189" s="156">
        <v>250.0</v>
      </c>
      <c r="O189" s="94"/>
      <c r="P189" s="187"/>
      <c r="Q189" s="129"/>
      <c r="R189" s="189"/>
      <c r="S189" s="94"/>
    </row>
    <row r="190" hidden="1">
      <c r="A190" s="203">
        <v>5.0</v>
      </c>
      <c r="B190" s="157">
        <v>41.6</v>
      </c>
      <c r="C190" s="204" t="s">
        <v>57</v>
      </c>
      <c r="D190" s="42">
        <v>350.0</v>
      </c>
      <c r="E190" s="94"/>
      <c r="F190" s="187"/>
      <c r="G190" s="129"/>
      <c r="H190" s="142"/>
      <c r="I190" s="143"/>
      <c r="K190" s="207">
        <v>43.0</v>
      </c>
      <c r="L190" s="157">
        <v>42.8</v>
      </c>
      <c r="M190" s="208" t="s">
        <v>59</v>
      </c>
      <c r="N190" s="156">
        <v>250.0</v>
      </c>
      <c r="O190" s="94"/>
      <c r="P190" s="187"/>
      <c r="Q190" s="129"/>
      <c r="R190" s="189"/>
      <c r="S190" s="94"/>
    </row>
    <row r="191" hidden="1">
      <c r="A191" s="203">
        <v>6.0</v>
      </c>
      <c r="B191" s="157">
        <v>41.9</v>
      </c>
      <c r="C191" s="204" t="s">
        <v>57</v>
      </c>
      <c r="D191" s="42">
        <v>350.0</v>
      </c>
      <c r="E191" s="94"/>
      <c r="F191" s="190">
        <v>1.0</v>
      </c>
      <c r="G191" s="129" t="s">
        <v>62</v>
      </c>
      <c r="H191" s="142">
        <f>sum(D193:D200,N200:N201,N210:N211)</f>
        <v>4000</v>
      </c>
      <c r="I191" s="143"/>
      <c r="K191" s="37">
        <v>44.0</v>
      </c>
      <c r="L191" s="157">
        <v>45.7</v>
      </c>
      <c r="M191" s="208" t="s">
        <v>59</v>
      </c>
      <c r="N191" s="156">
        <v>266.0</v>
      </c>
      <c r="O191" s="94"/>
      <c r="P191" s="187"/>
      <c r="Q191" s="129"/>
      <c r="R191" s="189"/>
      <c r="S191" s="94"/>
    </row>
    <row r="192" hidden="1">
      <c r="A192" s="203">
        <v>7.0</v>
      </c>
      <c r="B192" s="157">
        <v>43.3</v>
      </c>
      <c r="C192" s="204" t="s">
        <v>57</v>
      </c>
      <c r="D192" s="42">
        <v>350.0</v>
      </c>
      <c r="E192" s="94"/>
      <c r="F192" s="190">
        <v>2.0</v>
      </c>
      <c r="G192" s="129" t="s">
        <v>66</v>
      </c>
      <c r="H192" s="142">
        <f>sum(D201:D202,D205:D213,N192:N199)</f>
        <v>4732</v>
      </c>
      <c r="I192" s="143"/>
      <c r="K192" s="207">
        <v>45.0</v>
      </c>
      <c r="L192" s="157">
        <v>42.9</v>
      </c>
      <c r="M192" s="208" t="s">
        <v>66</v>
      </c>
      <c r="N192" s="156">
        <v>250.0</v>
      </c>
      <c r="O192" s="94"/>
      <c r="P192" s="187"/>
      <c r="Q192" s="129"/>
      <c r="R192" s="130"/>
      <c r="S192" s="101"/>
    </row>
    <row r="193" hidden="1">
      <c r="A193" s="203">
        <v>8.0</v>
      </c>
      <c r="B193" s="157">
        <v>44.9</v>
      </c>
      <c r="C193" s="204" t="s">
        <v>62</v>
      </c>
      <c r="D193" s="42">
        <v>350.0</v>
      </c>
      <c r="E193" s="94"/>
      <c r="F193" s="129"/>
      <c r="G193" s="129"/>
      <c r="H193" s="189"/>
      <c r="I193" s="94"/>
      <c r="K193" s="37">
        <v>46.0</v>
      </c>
      <c r="L193" s="157">
        <v>42.8</v>
      </c>
      <c r="M193" s="208" t="s">
        <v>66</v>
      </c>
      <c r="N193" s="156">
        <v>250.0</v>
      </c>
      <c r="O193" s="94"/>
      <c r="P193" s="129"/>
      <c r="Q193" s="129"/>
      <c r="R193" s="189"/>
      <c r="S193" s="94"/>
    </row>
    <row r="194" hidden="1">
      <c r="A194" s="203">
        <v>9.0</v>
      </c>
      <c r="B194" s="157">
        <v>44.7</v>
      </c>
      <c r="C194" s="204" t="s">
        <v>62</v>
      </c>
      <c r="D194" s="42">
        <v>350.0</v>
      </c>
      <c r="E194" s="94"/>
      <c r="F194" s="42">
        <v>1.0</v>
      </c>
      <c r="G194" s="145" t="s">
        <v>48</v>
      </c>
      <c r="H194" s="189">
        <f>Sum(N204:N209)</f>
        <v>1500</v>
      </c>
      <c r="I194" s="94"/>
      <c r="K194" s="207">
        <v>47.0</v>
      </c>
      <c r="L194" s="157">
        <v>42.9</v>
      </c>
      <c r="M194" s="208" t="s">
        <v>66</v>
      </c>
      <c r="N194" s="156">
        <v>250.0</v>
      </c>
      <c r="O194" s="94"/>
      <c r="P194" s="129"/>
      <c r="Q194" s="129"/>
      <c r="R194" s="189"/>
      <c r="S194" s="94"/>
    </row>
    <row r="195" hidden="1">
      <c r="A195" s="203">
        <v>10.0</v>
      </c>
      <c r="B195" s="157">
        <v>44.5</v>
      </c>
      <c r="C195" s="204" t="s">
        <v>62</v>
      </c>
      <c r="D195" s="42">
        <v>350.0</v>
      </c>
      <c r="E195" s="94"/>
      <c r="F195" s="129"/>
      <c r="G195" s="129"/>
      <c r="H195" s="189"/>
      <c r="I195" s="94"/>
      <c r="K195" s="37">
        <v>48.0</v>
      </c>
      <c r="L195" s="157">
        <v>42.9</v>
      </c>
      <c r="M195" s="208" t="s">
        <v>66</v>
      </c>
      <c r="N195" s="156">
        <v>250.0</v>
      </c>
      <c r="O195" s="94"/>
      <c r="P195" s="129"/>
      <c r="Q195" s="129"/>
      <c r="R195" s="189"/>
      <c r="S195" s="94"/>
    </row>
    <row r="196" hidden="1">
      <c r="A196" s="203">
        <v>11.0</v>
      </c>
      <c r="B196" s="157">
        <v>43.5</v>
      </c>
      <c r="C196" s="204" t="s">
        <v>62</v>
      </c>
      <c r="D196" s="42">
        <v>350.0</v>
      </c>
      <c r="E196" s="94"/>
      <c r="F196" s="129"/>
      <c r="G196" s="129"/>
      <c r="H196" s="189"/>
      <c r="I196" s="94"/>
      <c r="K196" s="207">
        <v>49.0</v>
      </c>
      <c r="L196" s="157">
        <v>43.0</v>
      </c>
      <c r="M196" s="208" t="s">
        <v>66</v>
      </c>
      <c r="N196" s="156">
        <v>250.0</v>
      </c>
      <c r="O196" s="94"/>
      <c r="P196" s="129"/>
      <c r="Q196" s="129"/>
      <c r="R196" s="189"/>
      <c r="S196" s="94"/>
    </row>
    <row r="197" hidden="1">
      <c r="A197" s="203">
        <v>12.0</v>
      </c>
      <c r="B197" s="157">
        <v>42.1</v>
      </c>
      <c r="C197" s="204" t="s">
        <v>62</v>
      </c>
      <c r="D197" s="42">
        <v>350.0</v>
      </c>
      <c r="E197" s="94"/>
      <c r="F197" s="129"/>
      <c r="G197" s="129"/>
      <c r="H197" s="189"/>
      <c r="I197" s="94"/>
      <c r="K197" s="37">
        <v>50.0</v>
      </c>
      <c r="L197" s="157">
        <v>42.8</v>
      </c>
      <c r="M197" s="208" t="s">
        <v>66</v>
      </c>
      <c r="N197" s="156">
        <v>250.0</v>
      </c>
      <c r="O197" s="94"/>
      <c r="P197" s="129"/>
      <c r="Q197" s="129"/>
      <c r="R197" s="189"/>
      <c r="S197" s="94"/>
    </row>
    <row r="198" hidden="1">
      <c r="A198" s="203">
        <v>13.0</v>
      </c>
      <c r="B198" s="157">
        <v>42.5</v>
      </c>
      <c r="C198" s="204" t="s">
        <v>62</v>
      </c>
      <c r="D198" s="42">
        <v>350.0</v>
      </c>
      <c r="E198" s="94"/>
      <c r="F198" s="129"/>
      <c r="G198" s="129"/>
      <c r="H198" s="189"/>
      <c r="I198" s="94"/>
      <c r="K198" s="207">
        <v>51.0</v>
      </c>
      <c r="L198" s="157">
        <v>43.2</v>
      </c>
      <c r="M198" s="208" t="s">
        <v>66</v>
      </c>
      <c r="N198" s="156">
        <v>250.0</v>
      </c>
      <c r="O198" s="94"/>
      <c r="P198" s="129"/>
      <c r="Q198" s="129"/>
      <c r="R198" s="189"/>
      <c r="S198" s="94"/>
    </row>
    <row r="199" hidden="1">
      <c r="A199" s="203">
        <v>14.0</v>
      </c>
      <c r="B199" s="157">
        <v>41.8</v>
      </c>
      <c r="C199" s="204" t="s">
        <v>62</v>
      </c>
      <c r="D199" s="42">
        <v>350.0</v>
      </c>
      <c r="E199" s="94"/>
      <c r="F199" s="129"/>
      <c r="G199" s="129"/>
      <c r="H199" s="189"/>
      <c r="I199" s="94"/>
      <c r="K199" s="37">
        <v>52.0</v>
      </c>
      <c r="L199" s="157">
        <v>37.4</v>
      </c>
      <c r="M199" s="208" t="s">
        <v>66</v>
      </c>
      <c r="N199" s="156">
        <v>244.0</v>
      </c>
      <c r="O199" s="94"/>
      <c r="P199" s="129"/>
      <c r="Q199" s="129"/>
      <c r="R199" s="189"/>
      <c r="S199" s="94"/>
    </row>
    <row r="200" hidden="1">
      <c r="A200" s="203">
        <v>15.0</v>
      </c>
      <c r="B200" s="157">
        <v>30.3</v>
      </c>
      <c r="C200" s="204" t="s">
        <v>62</v>
      </c>
      <c r="D200" s="42">
        <v>250.0</v>
      </c>
      <c r="E200" s="94"/>
      <c r="F200" s="129"/>
      <c r="G200" s="129"/>
      <c r="H200" s="189"/>
      <c r="I200" s="94"/>
      <c r="K200" s="207">
        <v>53.0</v>
      </c>
      <c r="L200" s="157">
        <v>50.0</v>
      </c>
      <c r="M200" s="208" t="s">
        <v>62</v>
      </c>
      <c r="N200" s="156">
        <v>400.0</v>
      </c>
      <c r="O200" s="94"/>
      <c r="P200" s="129"/>
      <c r="Q200" s="129"/>
      <c r="R200" s="189"/>
      <c r="S200" s="94"/>
    </row>
    <row r="201" hidden="1">
      <c r="A201" s="203">
        <v>16.0</v>
      </c>
      <c r="B201" s="157">
        <v>41.5</v>
      </c>
      <c r="C201" s="204" t="s">
        <v>66</v>
      </c>
      <c r="D201" s="42">
        <v>250.0</v>
      </c>
      <c r="E201" s="94"/>
      <c r="F201" s="129"/>
      <c r="G201" s="129"/>
      <c r="H201" s="189"/>
      <c r="I201" s="94"/>
      <c r="K201" s="37">
        <v>54.0</v>
      </c>
      <c r="L201" s="157">
        <v>49.7</v>
      </c>
      <c r="M201" s="208" t="s">
        <v>62</v>
      </c>
      <c r="N201" s="156">
        <v>400.0</v>
      </c>
      <c r="O201" s="94"/>
      <c r="P201" s="129"/>
      <c r="Q201" s="129"/>
      <c r="R201" s="189"/>
      <c r="S201" s="94"/>
    </row>
    <row r="202" hidden="1">
      <c r="A202" s="207">
        <v>17.0</v>
      </c>
      <c r="B202" s="162">
        <v>40.0</v>
      </c>
      <c r="C202" s="208" t="s">
        <v>66</v>
      </c>
      <c r="D202" s="211">
        <v>238.0</v>
      </c>
      <c r="E202" s="94"/>
      <c r="F202" s="94"/>
      <c r="G202" s="94"/>
      <c r="H202" s="95"/>
      <c r="I202" s="94"/>
      <c r="K202" s="207"/>
      <c r="L202" s="157"/>
      <c r="M202" s="182"/>
      <c r="N202" s="131"/>
      <c r="O202" s="94"/>
      <c r="P202" s="94"/>
      <c r="Q202" s="94"/>
      <c r="R202" s="95"/>
      <c r="S202" s="94"/>
    </row>
    <row r="203" hidden="1">
      <c r="A203" s="207">
        <v>18.0</v>
      </c>
      <c r="B203" s="162">
        <v>41.1</v>
      </c>
      <c r="C203" s="208" t="s">
        <v>59</v>
      </c>
      <c r="D203" s="211">
        <v>250.0</v>
      </c>
      <c r="E203" s="94"/>
      <c r="F203" s="94"/>
      <c r="G203" s="94"/>
      <c r="H203" s="95"/>
      <c r="I203" s="94"/>
      <c r="K203" s="37"/>
      <c r="L203" s="157"/>
      <c r="M203" s="182"/>
      <c r="N203" s="156"/>
      <c r="O203" s="94"/>
      <c r="P203" s="94"/>
      <c r="Q203" s="94"/>
      <c r="R203" s="95"/>
      <c r="S203" s="94"/>
    </row>
    <row r="204" hidden="1">
      <c r="A204" s="207">
        <v>19.0</v>
      </c>
      <c r="B204" s="162">
        <v>41.6</v>
      </c>
      <c r="C204" s="208" t="s">
        <v>59</v>
      </c>
      <c r="D204" s="211">
        <v>252.0</v>
      </c>
      <c r="E204" s="94"/>
      <c r="F204" s="94"/>
      <c r="G204" s="94"/>
      <c r="H204" s="95"/>
      <c r="I204" s="94"/>
      <c r="K204" s="181">
        <v>38.0</v>
      </c>
      <c r="L204" s="212">
        <v>44.8</v>
      </c>
      <c r="M204" s="145" t="s">
        <v>48</v>
      </c>
      <c r="N204" s="131">
        <v>250.0</v>
      </c>
      <c r="O204" s="94"/>
      <c r="P204" s="94"/>
      <c r="Q204" s="94"/>
      <c r="R204" s="95"/>
      <c r="S204" s="94"/>
    </row>
    <row r="205" hidden="1">
      <c r="A205" s="207">
        <v>20.0</v>
      </c>
      <c r="B205" s="157">
        <v>43.1</v>
      </c>
      <c r="C205" s="208" t="s">
        <v>66</v>
      </c>
      <c r="D205" s="156">
        <v>250.0</v>
      </c>
      <c r="E205" s="94"/>
      <c r="F205" s="94"/>
      <c r="G205" s="94"/>
      <c r="H205" s="95"/>
      <c r="I205" s="94"/>
      <c r="K205" s="181">
        <v>37.0</v>
      </c>
      <c r="L205" s="212">
        <v>44.8</v>
      </c>
      <c r="M205" s="145" t="s">
        <v>48</v>
      </c>
      <c r="N205" s="131">
        <v>250.0</v>
      </c>
      <c r="O205" s="94"/>
      <c r="P205" s="94"/>
      <c r="Q205" s="94"/>
      <c r="R205" s="95"/>
      <c r="S205" s="94"/>
    </row>
    <row r="206" hidden="1">
      <c r="A206" s="207">
        <v>21.0</v>
      </c>
      <c r="B206" s="157">
        <v>43.3</v>
      </c>
      <c r="C206" s="208" t="s">
        <v>66</v>
      </c>
      <c r="D206" s="156">
        <v>250.0</v>
      </c>
      <c r="E206" s="94"/>
      <c r="F206" s="159" t="s">
        <v>26</v>
      </c>
      <c r="G206" s="94"/>
      <c r="H206" s="95"/>
      <c r="I206" s="94"/>
      <c r="K206" s="181">
        <v>36.0</v>
      </c>
      <c r="L206" s="212">
        <v>45.0</v>
      </c>
      <c r="M206" s="145" t="s">
        <v>48</v>
      </c>
      <c r="N206" s="131">
        <v>250.0</v>
      </c>
      <c r="O206" s="94"/>
      <c r="P206" s="159" t="s">
        <v>26</v>
      </c>
      <c r="Q206" s="94"/>
      <c r="R206" s="95"/>
      <c r="S206" s="94"/>
    </row>
    <row r="207" hidden="1">
      <c r="A207" s="207">
        <v>22.0</v>
      </c>
      <c r="B207" s="157">
        <v>43.0</v>
      </c>
      <c r="C207" s="208" t="s">
        <v>66</v>
      </c>
      <c r="D207" s="156">
        <v>250.0</v>
      </c>
      <c r="E207" s="94"/>
      <c r="F207" s="160" t="s">
        <v>27</v>
      </c>
      <c r="H207" s="11"/>
      <c r="I207" s="160"/>
      <c r="K207" s="181">
        <v>16.0</v>
      </c>
      <c r="L207" s="212">
        <v>44.9</v>
      </c>
      <c r="M207" s="145" t="s">
        <v>48</v>
      </c>
      <c r="N207" s="131">
        <v>250.0</v>
      </c>
      <c r="O207" s="94"/>
      <c r="P207" s="160" t="s">
        <v>27</v>
      </c>
      <c r="R207" s="11"/>
      <c r="S207" s="160"/>
    </row>
    <row r="208" hidden="1">
      <c r="A208" s="207">
        <v>23.0</v>
      </c>
      <c r="B208" s="157">
        <v>42.9</v>
      </c>
      <c r="C208" s="208" t="s">
        <v>66</v>
      </c>
      <c r="D208" s="156">
        <v>250.0</v>
      </c>
      <c r="E208" s="94"/>
      <c r="H208" s="11"/>
      <c r="I208" s="160"/>
      <c r="K208" s="181">
        <v>18.0</v>
      </c>
      <c r="L208" s="212">
        <v>44.6</v>
      </c>
      <c r="M208" s="145" t="s">
        <v>48</v>
      </c>
      <c r="N208" s="131">
        <v>250.0</v>
      </c>
      <c r="O208" s="94"/>
      <c r="R208" s="11"/>
      <c r="S208" s="160"/>
    </row>
    <row r="209" hidden="1">
      <c r="A209" s="207">
        <v>24.0</v>
      </c>
      <c r="B209" s="157">
        <v>43.0</v>
      </c>
      <c r="C209" s="208" t="s">
        <v>66</v>
      </c>
      <c r="D209" s="156">
        <v>250.0</v>
      </c>
      <c r="E209" s="94"/>
      <c r="H209" s="11"/>
      <c r="I209" s="160"/>
      <c r="K209" s="181">
        <v>17.0</v>
      </c>
      <c r="L209" s="212">
        <v>44.6</v>
      </c>
      <c r="M209" s="145" t="s">
        <v>48</v>
      </c>
      <c r="N209" s="131">
        <v>250.0</v>
      </c>
      <c r="O209" s="94"/>
      <c r="R209" s="11"/>
      <c r="S209" s="160"/>
    </row>
    <row r="210" hidden="1">
      <c r="A210" s="207">
        <v>25.0</v>
      </c>
      <c r="B210" s="157">
        <v>43.0</v>
      </c>
      <c r="C210" s="208" t="s">
        <v>66</v>
      </c>
      <c r="D210" s="156">
        <v>250.0</v>
      </c>
      <c r="E210" s="94"/>
      <c r="F210" s="160" t="s">
        <v>28</v>
      </c>
      <c r="H210" s="11"/>
      <c r="I210" s="160"/>
      <c r="K210" s="181">
        <v>67.0</v>
      </c>
      <c r="L210" s="212">
        <v>19.3</v>
      </c>
      <c r="M210" s="145" t="s">
        <v>62</v>
      </c>
      <c r="N210" s="131">
        <v>150.0</v>
      </c>
      <c r="O210" s="94"/>
      <c r="P210" s="160" t="s">
        <v>28</v>
      </c>
      <c r="R210" s="11"/>
      <c r="S210" s="160"/>
    </row>
    <row r="211" hidden="1">
      <c r="A211" s="207">
        <v>26.0</v>
      </c>
      <c r="B211" s="157">
        <v>43.0</v>
      </c>
      <c r="C211" s="208" t="s">
        <v>66</v>
      </c>
      <c r="D211" s="156">
        <v>250.0</v>
      </c>
      <c r="E211" s="94"/>
      <c r="H211" s="11"/>
      <c r="I211" s="160"/>
      <c r="K211" s="181">
        <v>1.0</v>
      </c>
      <c r="L211" s="212">
        <v>45.1</v>
      </c>
      <c r="M211" s="145" t="s">
        <v>62</v>
      </c>
      <c r="N211" s="131">
        <v>350.0</v>
      </c>
      <c r="O211" s="94"/>
      <c r="R211" s="11"/>
      <c r="S211" s="160"/>
    </row>
    <row r="212" hidden="1">
      <c r="A212" s="207">
        <v>27.0</v>
      </c>
      <c r="B212" s="157">
        <v>43.0</v>
      </c>
      <c r="C212" s="208" t="s">
        <v>66</v>
      </c>
      <c r="D212" s="156">
        <v>250.0</v>
      </c>
      <c r="E212" s="94"/>
      <c r="H212" s="11"/>
      <c r="I212" s="160"/>
      <c r="K212" s="181">
        <v>8.0</v>
      </c>
      <c r="L212" s="212">
        <v>44.5</v>
      </c>
      <c r="M212" s="145" t="s">
        <v>57</v>
      </c>
      <c r="N212" s="131">
        <v>350.0</v>
      </c>
      <c r="O212" s="94"/>
      <c r="R212" s="11"/>
      <c r="S212" s="160"/>
    </row>
    <row r="213" hidden="1">
      <c r="A213" s="207">
        <v>28.0</v>
      </c>
      <c r="B213" s="157">
        <v>43.0</v>
      </c>
      <c r="C213" s="208" t="s">
        <v>66</v>
      </c>
      <c r="D213" s="156">
        <v>250.0</v>
      </c>
      <c r="E213" s="94"/>
      <c r="F213" s="94"/>
      <c r="G213" s="94"/>
      <c r="H213" s="95"/>
      <c r="I213" s="94"/>
      <c r="K213" s="181">
        <v>65.0</v>
      </c>
      <c r="L213" s="154">
        <v>35.5</v>
      </c>
      <c r="M213" s="145" t="s">
        <v>57</v>
      </c>
      <c r="N213" s="131">
        <v>254.0</v>
      </c>
      <c r="O213" s="94"/>
      <c r="P213" s="94"/>
      <c r="Q213" s="94"/>
      <c r="R213" s="95"/>
      <c r="S213" s="94"/>
    </row>
    <row r="214" hidden="1">
      <c r="A214" s="207">
        <v>29.0</v>
      </c>
      <c r="B214" s="157">
        <v>42.8</v>
      </c>
      <c r="C214" s="208" t="s">
        <v>59</v>
      </c>
      <c r="D214" s="156">
        <v>250.0</v>
      </c>
      <c r="E214" s="94"/>
      <c r="F214" s="94"/>
      <c r="G214" s="94"/>
      <c r="H214" s="95"/>
      <c r="I214" s="94"/>
      <c r="K214" s="181"/>
      <c r="L214" s="154"/>
      <c r="M214" s="154"/>
      <c r="N214" s="131"/>
      <c r="O214" s="94"/>
      <c r="P214" s="94"/>
      <c r="Q214" s="94"/>
      <c r="R214" s="95"/>
      <c r="S214" s="94"/>
    </row>
    <row r="215" hidden="1">
      <c r="A215" s="207">
        <v>30.0</v>
      </c>
      <c r="B215" s="157">
        <v>42.8</v>
      </c>
      <c r="C215" s="208" t="s">
        <v>59</v>
      </c>
      <c r="D215" s="156">
        <v>250.0</v>
      </c>
      <c r="E215" s="94"/>
      <c r="F215" s="94"/>
      <c r="G215" s="94"/>
      <c r="H215" s="95"/>
      <c r="I215" s="94"/>
      <c r="K215" s="181"/>
      <c r="L215" s="154"/>
      <c r="M215" s="154"/>
      <c r="N215" s="131"/>
      <c r="O215" s="94"/>
      <c r="P215" s="94"/>
      <c r="Q215" s="94"/>
      <c r="R215" s="95"/>
      <c r="S215" s="94"/>
    </row>
    <row r="216" hidden="1">
      <c r="A216" s="207">
        <v>31.0</v>
      </c>
      <c r="B216" s="157">
        <v>42.9</v>
      </c>
      <c r="C216" s="208" t="s">
        <v>59</v>
      </c>
      <c r="D216" s="156">
        <v>250.0</v>
      </c>
      <c r="E216" s="94"/>
      <c r="F216" s="94"/>
      <c r="G216" s="94"/>
      <c r="H216" s="95"/>
      <c r="I216" s="94"/>
      <c r="K216" s="181"/>
      <c r="L216" s="154"/>
      <c r="M216" s="154"/>
      <c r="N216" s="131"/>
      <c r="O216" s="94"/>
      <c r="P216" s="94"/>
      <c r="Q216" s="94"/>
      <c r="R216" s="95"/>
      <c r="S216" s="94"/>
    </row>
    <row r="217" hidden="1">
      <c r="A217" s="207">
        <v>32.0</v>
      </c>
      <c r="B217" s="157">
        <v>42.8</v>
      </c>
      <c r="C217" s="208" t="s">
        <v>59</v>
      </c>
      <c r="D217" s="156">
        <v>250.0</v>
      </c>
      <c r="E217" s="94"/>
      <c r="F217" s="94"/>
      <c r="G217" s="94"/>
      <c r="H217" s="95"/>
      <c r="I217" s="94"/>
      <c r="K217" s="181"/>
      <c r="L217" s="154"/>
      <c r="M217" s="154"/>
      <c r="N217" s="131"/>
      <c r="O217" s="94"/>
      <c r="P217" s="94"/>
      <c r="Q217" s="94"/>
      <c r="R217" s="95"/>
      <c r="S217" s="94"/>
    </row>
    <row r="218" hidden="1">
      <c r="A218" s="207">
        <v>33.0</v>
      </c>
      <c r="B218" s="157">
        <v>42.8</v>
      </c>
      <c r="C218" s="208" t="s">
        <v>59</v>
      </c>
      <c r="D218" s="156">
        <v>250.0</v>
      </c>
      <c r="E218" s="94"/>
      <c r="F218" s="94"/>
      <c r="G218" s="94"/>
      <c r="H218" s="95"/>
      <c r="I218" s="94"/>
      <c r="K218" s="181"/>
      <c r="L218" s="154"/>
      <c r="M218" s="154"/>
      <c r="N218" s="187"/>
      <c r="O218" s="94"/>
      <c r="P218" s="94"/>
      <c r="Q218" s="94"/>
      <c r="R218" s="95"/>
      <c r="S218" s="94"/>
    </row>
    <row r="219" hidden="1">
      <c r="A219" s="207">
        <v>34.0</v>
      </c>
      <c r="B219" s="157">
        <v>43.0</v>
      </c>
      <c r="C219" s="208" t="s">
        <v>59</v>
      </c>
      <c r="D219" s="156">
        <v>250.0</v>
      </c>
      <c r="E219" s="94"/>
      <c r="F219" s="94"/>
      <c r="G219" s="94"/>
      <c r="H219" s="95"/>
      <c r="I219" s="94"/>
      <c r="K219" s="181"/>
      <c r="L219" s="154"/>
      <c r="M219" s="154"/>
      <c r="N219" s="187"/>
      <c r="O219" s="94"/>
      <c r="P219" s="94"/>
      <c r="Q219" s="94"/>
      <c r="R219" s="95"/>
      <c r="S219" s="94"/>
    </row>
    <row r="220" hidden="1">
      <c r="A220" s="207">
        <v>35.0</v>
      </c>
      <c r="B220" s="157">
        <v>43.0</v>
      </c>
      <c r="C220" s="208" t="s">
        <v>59</v>
      </c>
      <c r="D220" s="156">
        <v>250.0</v>
      </c>
      <c r="E220" s="94"/>
      <c r="F220" s="94"/>
      <c r="G220" s="94"/>
      <c r="H220" s="95"/>
      <c r="I220" s="94"/>
      <c r="K220" s="181"/>
      <c r="L220" s="154"/>
      <c r="M220" s="154"/>
      <c r="N220" s="187"/>
      <c r="O220" s="94"/>
      <c r="P220" s="94"/>
      <c r="Q220" s="94"/>
      <c r="R220" s="95"/>
      <c r="S220" s="94"/>
    </row>
    <row r="221" hidden="1">
      <c r="A221" s="207">
        <v>36.0</v>
      </c>
      <c r="B221" s="157">
        <v>42.8</v>
      </c>
      <c r="C221" s="208" t="s">
        <v>59</v>
      </c>
      <c r="D221" s="156">
        <v>250.0</v>
      </c>
      <c r="E221" s="94"/>
      <c r="F221" s="94"/>
      <c r="G221" s="94"/>
      <c r="H221" s="95"/>
      <c r="I221" s="94"/>
      <c r="K221" s="181"/>
      <c r="L221" s="154"/>
      <c r="M221" s="154"/>
      <c r="N221" s="187"/>
      <c r="O221" s="94"/>
      <c r="P221" s="94"/>
      <c r="Q221" s="94"/>
      <c r="R221" s="95"/>
      <c r="S221" s="94"/>
    </row>
    <row r="222" hidden="1">
      <c r="A222" s="207">
        <v>37.0</v>
      </c>
      <c r="B222" s="157">
        <v>42.9</v>
      </c>
      <c r="C222" s="208" t="s">
        <v>59</v>
      </c>
      <c r="D222" s="156">
        <v>250.0</v>
      </c>
      <c r="E222" s="94"/>
      <c r="F222" s="94"/>
      <c r="G222" s="94"/>
      <c r="H222" s="95"/>
      <c r="I222" s="94"/>
      <c r="K222" s="181"/>
      <c r="L222" s="154"/>
      <c r="M222" s="154"/>
      <c r="N222" s="187"/>
      <c r="O222" s="94"/>
      <c r="P222" s="94"/>
      <c r="Q222" s="94"/>
      <c r="R222" s="95"/>
      <c r="S222" s="94"/>
    </row>
    <row r="223" hidden="1">
      <c r="A223" s="167">
        <v>38.0</v>
      </c>
      <c r="B223" s="168">
        <v>42.9</v>
      </c>
      <c r="C223" s="169" t="s">
        <v>59</v>
      </c>
      <c r="D223" s="213">
        <v>250.0</v>
      </c>
      <c r="E223" s="171"/>
      <c r="F223" s="171"/>
      <c r="G223" s="171"/>
      <c r="H223" s="172"/>
      <c r="I223" s="94"/>
      <c r="K223" s="194"/>
      <c r="L223" s="195"/>
      <c r="M223" s="195"/>
      <c r="N223" s="196"/>
      <c r="O223" s="171"/>
      <c r="P223" s="171"/>
      <c r="Q223" s="171"/>
      <c r="R223" s="172"/>
      <c r="S223" s="94"/>
    </row>
    <row r="224" hidden="1"/>
    <row r="226">
      <c r="A226" s="65" t="s">
        <v>29</v>
      </c>
      <c r="B226" s="2"/>
      <c r="C226" s="2"/>
      <c r="D226" s="2"/>
      <c r="E226" s="2"/>
      <c r="F226" s="2"/>
      <c r="G226" s="2"/>
      <c r="H226" s="2"/>
      <c r="I226" s="3"/>
      <c r="K226" s="67" t="s">
        <v>30</v>
      </c>
      <c r="L226" s="2"/>
      <c r="M226" s="2"/>
      <c r="N226" s="2"/>
      <c r="O226" s="2"/>
      <c r="P226" s="2"/>
      <c r="Q226" s="2"/>
      <c r="R226" s="2"/>
      <c r="S226" s="3"/>
      <c r="U226" s="68" t="s">
        <v>31</v>
      </c>
      <c r="V226" s="2"/>
      <c r="W226" s="2"/>
      <c r="X226" s="2"/>
      <c r="Y226" s="2"/>
      <c r="Z226" s="2"/>
      <c r="AA226" s="2"/>
      <c r="AB226" s="2"/>
      <c r="AC226" s="3"/>
    </row>
    <row r="227">
      <c r="A227" s="4" t="s">
        <v>0</v>
      </c>
      <c r="B227" s="5"/>
      <c r="C227" s="5"/>
      <c r="D227" s="5"/>
      <c r="E227" s="5"/>
      <c r="F227" s="5"/>
      <c r="G227" s="5"/>
      <c r="H227" s="5"/>
      <c r="I227" s="6"/>
      <c r="K227" s="4" t="s">
        <v>0</v>
      </c>
      <c r="L227" s="5"/>
      <c r="M227" s="5"/>
      <c r="N227" s="5"/>
      <c r="O227" s="5"/>
      <c r="P227" s="5"/>
      <c r="Q227" s="5"/>
      <c r="R227" s="5"/>
      <c r="S227" s="6"/>
      <c r="U227" s="4" t="s">
        <v>0</v>
      </c>
      <c r="V227" s="5"/>
      <c r="W227" s="5"/>
      <c r="X227" s="5"/>
      <c r="Y227" s="5"/>
      <c r="Z227" s="5"/>
      <c r="AA227" s="5"/>
      <c r="AB227" s="5"/>
      <c r="AC227" s="6"/>
      <c r="AE227" s="214" t="s">
        <v>34</v>
      </c>
      <c r="AF227" s="2"/>
      <c r="AG227" s="215"/>
      <c r="AH227" s="216">
        <v>10.0</v>
      </c>
      <c r="AI227" s="2"/>
      <c r="AJ227" s="2"/>
      <c r="AK227" s="2"/>
      <c r="AL227" s="2"/>
      <c r="AM227" s="3"/>
    </row>
    <row r="228">
      <c r="A228" s="87" t="s">
        <v>1</v>
      </c>
      <c r="B228" s="5"/>
      <c r="C228" s="5"/>
      <c r="D228" s="5"/>
      <c r="E228" s="5"/>
      <c r="F228" s="5"/>
      <c r="G228" s="5"/>
      <c r="H228" s="5"/>
      <c r="I228" s="6"/>
      <c r="K228" s="87" t="s">
        <v>1</v>
      </c>
      <c r="L228" s="5"/>
      <c r="M228" s="5"/>
      <c r="N228" s="5"/>
      <c r="O228" s="5"/>
      <c r="P228" s="5"/>
      <c r="Q228" s="5"/>
      <c r="R228" s="5"/>
      <c r="S228" s="6"/>
      <c r="U228" s="87" t="s">
        <v>1</v>
      </c>
      <c r="V228" s="5"/>
      <c r="W228" s="5"/>
      <c r="X228" s="5"/>
      <c r="Y228" s="5"/>
      <c r="Z228" s="5"/>
      <c r="AA228" s="5"/>
      <c r="AB228" s="5"/>
      <c r="AC228" s="6"/>
      <c r="AE228" s="217" t="s">
        <v>2</v>
      </c>
      <c r="AF228" s="5"/>
      <c r="AG228" s="8"/>
      <c r="AH228" s="218" t="s">
        <v>73</v>
      </c>
      <c r="AI228" s="5"/>
      <c r="AJ228" s="5"/>
      <c r="AK228" s="5"/>
      <c r="AL228" s="5"/>
      <c r="AM228" s="6"/>
    </row>
    <row r="229">
      <c r="A229" s="93"/>
      <c r="I229" s="11"/>
      <c r="J229" s="34"/>
      <c r="K229" s="93"/>
      <c r="S229" s="11"/>
      <c r="T229" s="34"/>
      <c r="U229" s="93"/>
      <c r="AC229" s="11"/>
      <c r="AE229" s="217" t="s">
        <v>3</v>
      </c>
      <c r="AF229" s="5"/>
      <c r="AG229" s="8"/>
      <c r="AH229" s="12">
        <v>46289.0</v>
      </c>
      <c r="AI229" s="5"/>
      <c r="AJ229" s="5"/>
      <c r="AK229" s="5"/>
      <c r="AL229" s="5"/>
      <c r="AM229" s="6"/>
      <c r="AP229" s="219" t="s">
        <v>74</v>
      </c>
      <c r="AQ229" s="2"/>
      <c r="AR229" s="2"/>
      <c r="AS229" s="3"/>
    </row>
    <row r="230">
      <c r="A230" s="97" t="s">
        <v>4</v>
      </c>
      <c r="B230" s="8"/>
      <c r="C230" s="14" t="s">
        <v>29</v>
      </c>
      <c r="D230" s="8"/>
      <c r="E230" s="99" t="s">
        <v>5</v>
      </c>
      <c r="F230" s="8"/>
      <c r="G230" s="220">
        <v>46296.0</v>
      </c>
      <c r="H230" s="5"/>
      <c r="I230" s="6"/>
      <c r="K230" s="97" t="s">
        <v>4</v>
      </c>
      <c r="L230" s="8"/>
      <c r="M230" s="14" t="s">
        <v>30</v>
      </c>
      <c r="N230" s="8"/>
      <c r="O230" s="99" t="s">
        <v>5</v>
      </c>
      <c r="P230" s="8"/>
      <c r="Q230" s="220">
        <v>46298.0</v>
      </c>
      <c r="R230" s="5"/>
      <c r="S230" s="6"/>
      <c r="U230" s="97" t="s">
        <v>4</v>
      </c>
      <c r="V230" s="8"/>
      <c r="W230" s="14" t="s">
        <v>36</v>
      </c>
      <c r="X230" s="8"/>
      <c r="Y230" s="99" t="s">
        <v>5</v>
      </c>
      <c r="Z230" s="8"/>
      <c r="AA230" s="221">
        <v>46289.0</v>
      </c>
      <c r="AB230" s="5"/>
      <c r="AC230" s="6"/>
      <c r="AE230" s="222" t="s">
        <v>6</v>
      </c>
      <c r="AF230" s="17" t="s">
        <v>7</v>
      </c>
      <c r="AG230" s="17" t="s">
        <v>8</v>
      </c>
      <c r="AH230" s="18" t="s">
        <v>9</v>
      </c>
      <c r="AI230" s="19" t="s">
        <v>10</v>
      </c>
      <c r="AJ230" s="105" t="s">
        <v>38</v>
      </c>
      <c r="AK230" s="20" t="s">
        <v>11</v>
      </c>
      <c r="AL230" s="17" t="s">
        <v>12</v>
      </c>
      <c r="AM230" s="223" t="s">
        <v>13</v>
      </c>
      <c r="AP230" s="224" t="s">
        <v>75</v>
      </c>
      <c r="AQ230" s="225">
        <v>10.0</v>
      </c>
      <c r="AR230" s="226" t="s">
        <v>76</v>
      </c>
      <c r="AS230" s="6"/>
      <c r="AT230" s="198"/>
      <c r="AU230" s="198"/>
      <c r="AV230" s="198"/>
      <c r="AW230" s="198"/>
      <c r="AX230" s="198"/>
      <c r="AY230" s="198"/>
      <c r="AZ230" s="198"/>
      <c r="BA230" s="198"/>
      <c r="BB230" s="198"/>
      <c r="BC230" s="198"/>
      <c r="BD230" s="198"/>
      <c r="BE230" s="198"/>
      <c r="BF230" s="198"/>
    </row>
    <row r="231">
      <c r="A231" s="97" t="s">
        <v>14</v>
      </c>
      <c r="B231" s="8"/>
      <c r="C231" s="14" t="s">
        <v>37</v>
      </c>
      <c r="D231" s="8"/>
      <c r="E231" s="99" t="s">
        <v>15</v>
      </c>
      <c r="F231" s="8"/>
      <c r="G231" s="103"/>
      <c r="H231" s="5"/>
      <c r="I231" s="6"/>
      <c r="K231" s="97" t="s">
        <v>14</v>
      </c>
      <c r="L231" s="8"/>
      <c r="M231" s="14" t="s">
        <v>37</v>
      </c>
      <c r="N231" s="8"/>
      <c r="O231" s="99" t="s">
        <v>15</v>
      </c>
      <c r="P231" s="8"/>
      <c r="Q231" s="103"/>
      <c r="R231" s="5"/>
      <c r="S231" s="6"/>
      <c r="U231" s="97" t="s">
        <v>14</v>
      </c>
      <c r="V231" s="8"/>
      <c r="W231" s="14" t="s">
        <v>37</v>
      </c>
      <c r="X231" s="8"/>
      <c r="Y231" s="99" t="s">
        <v>15</v>
      </c>
      <c r="Z231" s="8"/>
      <c r="AA231" s="103"/>
      <c r="AB231" s="5"/>
      <c r="AC231" s="6"/>
      <c r="AE231" s="227" t="s">
        <v>39</v>
      </c>
      <c r="AF231" s="108" t="s">
        <v>29</v>
      </c>
      <c r="AG231" s="23" t="s">
        <v>40</v>
      </c>
      <c r="AH231" s="228">
        <v>4000.0</v>
      </c>
      <c r="AI231" s="109">
        <f t="shared" ref="AI231:AI232" si="20">IF(AH231-AL231-AM231&lt;0,0,AH231-AL231-AM231)</f>
        <v>2320</v>
      </c>
      <c r="AJ231" s="36"/>
      <c r="AK231" s="36">
        <f t="shared" ref="AK231:AK232" si="21">(H237)</f>
        <v>1680</v>
      </c>
      <c r="AL231" s="23">
        <f t="shared" ref="AL231:AL236" si="22">IF(AJ231+AK231-AM231&lt;0,0,AJ231+AK231-AM231)</f>
        <v>1680</v>
      </c>
      <c r="AM231" s="229"/>
      <c r="AP231" s="230" t="s">
        <v>77</v>
      </c>
      <c r="AQ231" s="5"/>
      <c r="AR231" s="5"/>
      <c r="AS231" s="6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  <c r="BE231" s="88"/>
      <c r="BF231" s="88"/>
    </row>
    <row r="232">
      <c r="A232" s="97" t="s">
        <v>16</v>
      </c>
      <c r="B232" s="8"/>
      <c r="C232" s="27"/>
      <c r="D232" s="8"/>
      <c r="E232" s="99" t="s">
        <v>17</v>
      </c>
      <c r="F232" s="8"/>
      <c r="G232" s="103"/>
      <c r="H232" s="5"/>
      <c r="I232" s="6"/>
      <c r="K232" s="97" t="s">
        <v>16</v>
      </c>
      <c r="L232" s="8"/>
      <c r="M232" s="27"/>
      <c r="N232" s="8"/>
      <c r="O232" s="99" t="s">
        <v>17</v>
      </c>
      <c r="P232" s="8"/>
      <c r="Q232" s="103"/>
      <c r="R232" s="5"/>
      <c r="S232" s="6"/>
      <c r="U232" s="97" t="s">
        <v>16</v>
      </c>
      <c r="V232" s="8"/>
      <c r="W232" s="27"/>
      <c r="X232" s="8"/>
      <c r="Y232" s="99" t="s">
        <v>17</v>
      </c>
      <c r="Z232" s="8"/>
      <c r="AA232" s="103"/>
      <c r="AB232" s="5"/>
      <c r="AC232" s="6"/>
      <c r="AE232" s="231"/>
      <c r="AF232" s="28"/>
      <c r="AG232" s="23" t="s">
        <v>42</v>
      </c>
      <c r="AH232" s="228">
        <v>10000.0</v>
      </c>
      <c r="AI232" s="23">
        <f t="shared" si="20"/>
        <v>5380</v>
      </c>
      <c r="AJ232" s="36"/>
      <c r="AK232" s="36">
        <f t="shared" si="21"/>
        <v>4620</v>
      </c>
      <c r="AL232" s="23">
        <f t="shared" si="22"/>
        <v>4620</v>
      </c>
      <c r="AM232" s="36"/>
      <c r="AP232" s="232" t="s">
        <v>78</v>
      </c>
      <c r="AQ232" s="233" t="s">
        <v>29</v>
      </c>
      <c r="AR232" s="233" t="s">
        <v>30</v>
      </c>
      <c r="AS232" s="234" t="s">
        <v>70</v>
      </c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</row>
    <row r="233">
      <c r="A233" s="93"/>
      <c r="I233" s="11"/>
      <c r="K233" s="93"/>
      <c r="S233" s="11"/>
      <c r="U233" s="93"/>
      <c r="AC233" s="11"/>
      <c r="AE233" s="231"/>
      <c r="AF233" s="28"/>
      <c r="AG233" s="23" t="s">
        <v>46</v>
      </c>
      <c r="AH233" s="235"/>
      <c r="AI233" s="109">
        <f>IF(AH233-AL233-BW234&lt;0,0,AH233-AL233-BW234)</f>
        <v>0</v>
      </c>
      <c r="AJ233" s="36"/>
      <c r="AK233" s="36"/>
      <c r="AL233" s="23">
        <f t="shared" si="22"/>
        <v>0</v>
      </c>
      <c r="AM233" s="236"/>
      <c r="AP233" s="237" t="s">
        <v>79</v>
      </c>
      <c r="AQ233" s="238">
        <f t="shared" ref="AQ233:AQ234" si="23">SUM(AI231)</f>
        <v>2320</v>
      </c>
      <c r="AR233" s="238">
        <f t="shared" ref="AR233:AR234" si="24">SUM(AI238)</f>
        <v>1660</v>
      </c>
      <c r="AS233" s="239"/>
      <c r="AT233" s="94"/>
      <c r="AU233" s="94"/>
      <c r="AV233" s="94"/>
      <c r="AW233" s="94"/>
      <c r="AX233" s="94"/>
      <c r="AY233" s="94"/>
      <c r="AZ233" s="94"/>
      <c r="BA233" s="94"/>
      <c r="BB233" s="94"/>
      <c r="BC233" s="94"/>
      <c r="BD233" s="94"/>
      <c r="BE233" s="94"/>
      <c r="BF233" s="94"/>
    </row>
    <row r="234">
      <c r="A234" s="69" t="s">
        <v>18</v>
      </c>
      <c r="B234" s="70" t="s">
        <v>19</v>
      </c>
      <c r="C234" s="70" t="s">
        <v>20</v>
      </c>
      <c r="D234" s="70" t="s">
        <v>21</v>
      </c>
      <c r="E234" s="94"/>
      <c r="F234" s="70" t="s">
        <v>6</v>
      </c>
      <c r="G234" s="71" t="s">
        <v>32</v>
      </c>
      <c r="H234" s="5"/>
      <c r="I234" s="6"/>
      <c r="K234" s="240" t="s">
        <v>18</v>
      </c>
      <c r="L234" s="241" t="s">
        <v>19</v>
      </c>
      <c r="M234" s="241" t="s">
        <v>20</v>
      </c>
      <c r="N234" s="241" t="s">
        <v>21</v>
      </c>
      <c r="O234" s="94"/>
      <c r="P234" s="241" t="s">
        <v>6</v>
      </c>
      <c r="Q234" s="71" t="s">
        <v>32</v>
      </c>
      <c r="R234" s="5"/>
      <c r="S234" s="6"/>
      <c r="U234" s="242" t="s">
        <v>18</v>
      </c>
      <c r="V234" s="243" t="s">
        <v>19</v>
      </c>
      <c r="W234" s="243" t="s">
        <v>20</v>
      </c>
      <c r="X234" s="243" t="s">
        <v>21</v>
      </c>
      <c r="Y234" s="94"/>
      <c r="Z234" s="243" t="s">
        <v>6</v>
      </c>
      <c r="AA234" s="76" t="s">
        <v>33</v>
      </c>
      <c r="AB234" s="5"/>
      <c r="AC234" s="6"/>
      <c r="AE234" s="231"/>
      <c r="AF234" s="28"/>
      <c r="AG234" s="23" t="s">
        <v>49</v>
      </c>
      <c r="AH234" s="228">
        <v>4000.0</v>
      </c>
      <c r="AI234" s="109">
        <f t="shared" ref="AI234:AI236" si="25">IF(AH234-AL234-AM234&lt;0,0,AH234-AL234-AM234)</f>
        <v>2950</v>
      </c>
      <c r="AJ234" s="36"/>
      <c r="AK234" s="36">
        <f t="shared" ref="AK234:AK236" si="26">(H239)</f>
        <v>1050</v>
      </c>
      <c r="AL234" s="23">
        <f t="shared" si="22"/>
        <v>1050</v>
      </c>
      <c r="AM234" s="229"/>
      <c r="AP234" s="237" t="s">
        <v>80</v>
      </c>
      <c r="AQ234" s="238">
        <f t="shared" si="23"/>
        <v>5380</v>
      </c>
      <c r="AR234" s="238">
        <f t="shared" si="24"/>
        <v>9580</v>
      </c>
      <c r="AS234" s="239"/>
      <c r="AT234" s="179"/>
      <c r="AU234" s="179"/>
      <c r="AV234" s="179"/>
      <c r="AW234" s="179"/>
      <c r="AX234" s="179"/>
      <c r="AY234" s="179"/>
      <c r="AZ234" s="179"/>
      <c r="BA234" s="179"/>
      <c r="BB234" s="179"/>
      <c r="BC234" s="179"/>
      <c r="BD234" s="179"/>
      <c r="BE234" s="179"/>
      <c r="BF234" s="179"/>
    </row>
    <row r="235">
      <c r="A235" s="181">
        <v>1.0</v>
      </c>
      <c r="B235" s="157">
        <v>41.0</v>
      </c>
      <c r="C235" s="155" t="s">
        <v>56</v>
      </c>
      <c r="D235" s="156">
        <v>420.0</v>
      </c>
      <c r="E235" s="94"/>
      <c r="F235" s="77" t="s">
        <v>22</v>
      </c>
      <c r="G235" s="5"/>
      <c r="H235" s="5"/>
      <c r="I235" s="6"/>
      <c r="K235" s="37">
        <v>1.0</v>
      </c>
      <c r="L235" s="157">
        <v>42.0</v>
      </c>
      <c r="M235" s="155" t="s">
        <v>65</v>
      </c>
      <c r="N235" s="156">
        <v>420.0</v>
      </c>
      <c r="O235" s="94"/>
      <c r="P235" s="244" t="s">
        <v>22</v>
      </c>
      <c r="Q235" s="5"/>
      <c r="R235" s="5"/>
      <c r="S235" s="6"/>
      <c r="U235" s="37">
        <v>1.0</v>
      </c>
      <c r="V235" s="157">
        <v>43.8</v>
      </c>
      <c r="W235" s="155" t="s">
        <v>62</v>
      </c>
      <c r="X235" s="156">
        <v>350.0</v>
      </c>
      <c r="Y235" s="94"/>
      <c r="Z235" s="245" t="s">
        <v>22</v>
      </c>
      <c r="AA235" s="5"/>
      <c r="AB235" s="5"/>
      <c r="AC235" s="6"/>
      <c r="AE235" s="231"/>
      <c r="AF235" s="28"/>
      <c r="AG235" s="23" t="s">
        <v>51</v>
      </c>
      <c r="AH235" s="228">
        <v>1000.0</v>
      </c>
      <c r="AI235" s="109">
        <f t="shared" si="25"/>
        <v>1000</v>
      </c>
      <c r="AJ235" s="36"/>
      <c r="AK235" s="36">
        <f t="shared" si="26"/>
        <v>0</v>
      </c>
      <c r="AL235" s="23">
        <f t="shared" si="22"/>
        <v>0</v>
      </c>
      <c r="AM235" s="229"/>
      <c r="AP235" s="237" t="s">
        <v>81</v>
      </c>
      <c r="AQ235" s="238">
        <f t="shared" ref="AQ235:AQ237" si="27">SUM(AI234)</f>
        <v>2950</v>
      </c>
      <c r="AR235" s="238">
        <f t="shared" ref="AR235:AR237" si="28">SUM(AI241)</f>
        <v>2000</v>
      </c>
      <c r="AS235" s="239"/>
      <c r="AT235" s="94"/>
      <c r="AU235" s="94"/>
      <c r="AV235" s="94"/>
      <c r="AW235" s="94"/>
      <c r="AX235" s="94"/>
      <c r="AY235" s="94"/>
      <c r="AZ235" s="94"/>
      <c r="BA235" s="94"/>
      <c r="BB235" s="94"/>
      <c r="BC235" s="94"/>
      <c r="BD235" s="94"/>
      <c r="BE235" s="94"/>
      <c r="BF235" s="94"/>
    </row>
    <row r="236">
      <c r="A236" s="181">
        <v>2.0</v>
      </c>
      <c r="B236" s="157">
        <v>41.5</v>
      </c>
      <c r="C236" s="155" t="s">
        <v>56</v>
      </c>
      <c r="D236" s="156">
        <v>420.0</v>
      </c>
      <c r="E236" s="94"/>
      <c r="F236" s="70" t="s">
        <v>23</v>
      </c>
      <c r="G236" s="70" t="s">
        <v>20</v>
      </c>
      <c r="H236" s="70" t="s">
        <v>21</v>
      </c>
      <c r="I236" s="246" t="s">
        <v>24</v>
      </c>
      <c r="K236" s="37">
        <v>2.0</v>
      </c>
      <c r="L236" s="154"/>
      <c r="M236" s="155" t="s">
        <v>65</v>
      </c>
      <c r="N236" s="131"/>
      <c r="O236" s="94"/>
      <c r="P236" s="241" t="s">
        <v>23</v>
      </c>
      <c r="Q236" s="241" t="s">
        <v>20</v>
      </c>
      <c r="R236" s="241" t="s">
        <v>21</v>
      </c>
      <c r="S236" s="247" t="s">
        <v>24</v>
      </c>
      <c r="U236" s="37">
        <v>2.0</v>
      </c>
      <c r="V236" s="157">
        <v>44.0</v>
      </c>
      <c r="W236" s="155" t="s">
        <v>62</v>
      </c>
      <c r="X236" s="156">
        <v>350.0</v>
      </c>
      <c r="Y236" s="94"/>
      <c r="Z236" s="243" t="s">
        <v>23</v>
      </c>
      <c r="AA236" s="243" t="s">
        <v>20</v>
      </c>
      <c r="AB236" s="243" t="s">
        <v>21</v>
      </c>
      <c r="AC236" s="248" t="s">
        <v>24</v>
      </c>
      <c r="AE236" s="231"/>
      <c r="AF236" s="44"/>
      <c r="AG236" s="23" t="s">
        <v>54</v>
      </c>
      <c r="AH236" s="228">
        <v>400.0</v>
      </c>
      <c r="AI236" s="109">
        <f t="shared" si="25"/>
        <v>400</v>
      </c>
      <c r="AJ236" s="36"/>
      <c r="AK236" s="36">
        <f t="shared" si="26"/>
        <v>0</v>
      </c>
      <c r="AL236" s="23">
        <f t="shared" si="22"/>
        <v>0</v>
      </c>
      <c r="AM236" s="229"/>
      <c r="AP236" s="237" t="s">
        <v>82</v>
      </c>
      <c r="AQ236" s="238">
        <f t="shared" si="27"/>
        <v>1000</v>
      </c>
      <c r="AR236" s="238">
        <f t="shared" si="28"/>
        <v>1000</v>
      </c>
      <c r="AS236" s="239"/>
      <c r="AT236" s="94"/>
      <c r="AU236" s="94"/>
      <c r="AV236" s="94"/>
      <c r="AW236" s="94"/>
      <c r="AX236" s="94"/>
      <c r="AY236" s="94"/>
      <c r="AZ236" s="94"/>
      <c r="BA236" s="94"/>
      <c r="BB236" s="94"/>
      <c r="BC236" s="94"/>
      <c r="BD236" s="94"/>
      <c r="BE236" s="94"/>
      <c r="BF236" s="94"/>
    </row>
    <row r="237">
      <c r="A237" s="181">
        <v>3.0</v>
      </c>
      <c r="B237" s="157">
        <v>41.2</v>
      </c>
      <c r="C237" s="155" t="s">
        <v>56</v>
      </c>
      <c r="D237" s="156">
        <v>420.0</v>
      </c>
      <c r="E237" s="94"/>
      <c r="F237" s="42">
        <v>1.0</v>
      </c>
      <c r="G237" s="182" t="s">
        <v>47</v>
      </c>
      <c r="H237" s="129">
        <f t="shared" ref="H237:H249" si="29">IF(G237="","",SUMIF($C$235:$C$282,G237,$D$235:$D$282))</f>
        <v>1680</v>
      </c>
      <c r="I237" s="189">
        <f t="shared" ref="I237:I249" si="30">IF(G237="","",COUNTIFS($C$235:$C$282,G237,$D$235:$D$282,"&gt;0"))</f>
        <v>4</v>
      </c>
      <c r="K237" s="37">
        <v>3.0</v>
      </c>
      <c r="L237" s="157">
        <v>34.4</v>
      </c>
      <c r="M237" s="155" t="s">
        <v>64</v>
      </c>
      <c r="N237" s="156">
        <v>420.0</v>
      </c>
      <c r="O237" s="94"/>
      <c r="P237" s="42">
        <v>1.0</v>
      </c>
      <c r="Q237" s="155" t="s">
        <v>64</v>
      </c>
      <c r="R237" s="129">
        <f t="shared" ref="R237:R249" si="31">IF(Q237="","",SUMIF($M$235:$M$282,Q237,$N$235:$N$282))</f>
        <v>840</v>
      </c>
      <c r="S237" s="189">
        <f t="shared" ref="S237:S249" si="32">IF(Q237="","",COUNTIFS($M$235:$M$282,Q237,$N$235:$N$282,"&gt;0"))</f>
        <v>2</v>
      </c>
      <c r="U237" s="37">
        <v>3.0</v>
      </c>
      <c r="V237" s="157">
        <v>43.5</v>
      </c>
      <c r="W237" s="155" t="s">
        <v>62</v>
      </c>
      <c r="X237" s="156">
        <v>350.0</v>
      </c>
      <c r="Y237" s="94"/>
      <c r="Z237" s="42">
        <v>1.0</v>
      </c>
      <c r="AA237" s="155" t="s">
        <v>57</v>
      </c>
      <c r="AB237" s="129">
        <f t="shared" ref="AB237:AB249" si="33">IF(AA237="","",SUMIF($W$235:$W$282,AA237,$X$235:$X$282))</f>
        <v>1229</v>
      </c>
      <c r="AC237" s="189">
        <f t="shared" ref="AC237:AC249" si="34">IF(AA237="","",COUNTIFS($W$235:$W$282,AA237,$X$235:$X$282,"&gt;0"))</f>
        <v>4</v>
      </c>
      <c r="AE237" s="231"/>
      <c r="AF237" s="137"/>
      <c r="AG237" s="137"/>
      <c r="AH237" s="249"/>
      <c r="AI237" s="137"/>
      <c r="AJ237" s="137"/>
      <c r="AK237" s="137"/>
      <c r="AL237" s="137"/>
      <c r="AM237" s="250"/>
      <c r="AP237" s="237" t="s">
        <v>83</v>
      </c>
      <c r="AQ237" s="238">
        <f t="shared" si="27"/>
        <v>400</v>
      </c>
      <c r="AR237" s="238">
        <f t="shared" si="28"/>
        <v>0</v>
      </c>
      <c r="AS237" s="239"/>
      <c r="AT237" s="94"/>
      <c r="AU237" s="94"/>
      <c r="AV237" s="94"/>
      <c r="AW237" s="94"/>
      <c r="AX237" s="94"/>
      <c r="AY237" s="94"/>
      <c r="AZ237" s="94"/>
      <c r="BA237" s="94"/>
      <c r="BB237" s="94"/>
      <c r="BC237" s="94"/>
      <c r="BD237" s="94"/>
      <c r="BE237" s="94"/>
      <c r="BF237" s="94"/>
    </row>
    <row r="238">
      <c r="A238" s="181">
        <v>4.0</v>
      </c>
      <c r="B238" s="157">
        <v>41.2</v>
      </c>
      <c r="C238" s="155" t="s">
        <v>56</v>
      </c>
      <c r="D238" s="156">
        <v>420.0</v>
      </c>
      <c r="E238" s="94"/>
      <c r="F238" s="42">
        <v>2.0</v>
      </c>
      <c r="G238" s="155" t="s">
        <v>56</v>
      </c>
      <c r="H238" s="129">
        <f t="shared" si="29"/>
        <v>4620</v>
      </c>
      <c r="I238" s="189">
        <f t="shared" si="30"/>
        <v>11</v>
      </c>
      <c r="K238" s="37">
        <v>4.0</v>
      </c>
      <c r="L238" s="157">
        <v>34.5</v>
      </c>
      <c r="M238" s="155" t="s">
        <v>64</v>
      </c>
      <c r="N238" s="156">
        <v>420.0</v>
      </c>
      <c r="O238" s="94"/>
      <c r="P238" s="42">
        <v>2.0</v>
      </c>
      <c r="Q238" s="155" t="s">
        <v>65</v>
      </c>
      <c r="R238" s="129">
        <f t="shared" si="31"/>
        <v>420</v>
      </c>
      <c r="S238" s="189">
        <f t="shared" si="32"/>
        <v>1</v>
      </c>
      <c r="U238" s="37">
        <v>4.0</v>
      </c>
      <c r="V238" s="157">
        <v>44.1</v>
      </c>
      <c r="W238" s="155" t="s">
        <v>62</v>
      </c>
      <c r="X238" s="156">
        <v>350.0</v>
      </c>
      <c r="Y238" s="94"/>
      <c r="Z238" s="42">
        <v>2.0</v>
      </c>
      <c r="AA238" s="155" t="s">
        <v>59</v>
      </c>
      <c r="AB238" s="129">
        <f t="shared" si="33"/>
        <v>2748</v>
      </c>
      <c r="AC238" s="189">
        <f t="shared" si="34"/>
        <v>11</v>
      </c>
      <c r="AE238" s="231"/>
      <c r="AF238" s="108" t="s">
        <v>30</v>
      </c>
      <c r="AG238" s="23" t="s">
        <v>40</v>
      </c>
      <c r="AH238" s="228">
        <v>2500.0</v>
      </c>
      <c r="AI238" s="23">
        <f t="shared" ref="AI238:AI243" si="36">IF(AH238-AL238-AM238&lt;0,0,AH238-AL238-AM238)</f>
        <v>1660</v>
      </c>
      <c r="AJ238" s="36"/>
      <c r="AK238" s="36">
        <f t="shared" ref="AK238:AK239" si="37">(R237)</f>
        <v>840</v>
      </c>
      <c r="AL238" s="23">
        <f t="shared" ref="AL238:AL243" si="38">IF(AJ238+AK238-AM238&lt;0,0,AJ238+AK238-AM238)</f>
        <v>840</v>
      </c>
      <c r="AM238" s="229"/>
      <c r="AP238" s="237" t="s">
        <v>25</v>
      </c>
      <c r="AQ238" s="251">
        <f t="shared" ref="AQ238:AS238" si="35">SUM(AQ233:AQ237)</f>
        <v>12050</v>
      </c>
      <c r="AR238" s="251">
        <f t="shared" si="35"/>
        <v>14240</v>
      </c>
      <c r="AS238" s="239">
        <f t="shared" si="35"/>
        <v>0</v>
      </c>
    </row>
    <row r="239">
      <c r="A239" s="181">
        <v>5.0</v>
      </c>
      <c r="B239" s="157">
        <v>41.1</v>
      </c>
      <c r="C239" s="155" t="s">
        <v>56</v>
      </c>
      <c r="D239" s="156">
        <v>420.0</v>
      </c>
      <c r="E239" s="94"/>
      <c r="F239" s="42">
        <v>3.0</v>
      </c>
      <c r="G239" s="155" t="s">
        <v>57</v>
      </c>
      <c r="H239" s="129">
        <f t="shared" si="29"/>
        <v>1050</v>
      </c>
      <c r="I239" s="189">
        <f t="shared" si="30"/>
        <v>7</v>
      </c>
      <c r="K239" s="37">
        <v>5.0</v>
      </c>
      <c r="L239" s="154"/>
      <c r="M239" s="182"/>
      <c r="N239" s="131"/>
      <c r="O239" s="94"/>
      <c r="P239" s="42">
        <v>3.0</v>
      </c>
      <c r="Q239" s="155" t="s">
        <v>62</v>
      </c>
      <c r="R239" s="129">
        <f t="shared" si="31"/>
        <v>0</v>
      </c>
      <c r="S239" s="189">
        <f t="shared" si="32"/>
        <v>0</v>
      </c>
      <c r="U239" s="37">
        <v>5.0</v>
      </c>
      <c r="V239" s="157">
        <v>43.5</v>
      </c>
      <c r="W239" s="155" t="s">
        <v>62</v>
      </c>
      <c r="X239" s="156">
        <v>350.0</v>
      </c>
      <c r="Y239" s="94"/>
      <c r="Z239" s="42"/>
      <c r="AA239" s="42"/>
      <c r="AB239" s="129" t="str">
        <f t="shared" si="33"/>
        <v/>
      </c>
      <c r="AC239" s="189" t="str">
        <f t="shared" si="34"/>
        <v/>
      </c>
      <c r="AE239" s="231"/>
      <c r="AF239" s="28"/>
      <c r="AG239" s="23" t="s">
        <v>42</v>
      </c>
      <c r="AH239" s="228">
        <v>10000.0</v>
      </c>
      <c r="AI239" s="23">
        <f t="shared" si="36"/>
        <v>9580</v>
      </c>
      <c r="AJ239" s="36"/>
      <c r="AK239" s="36">
        <f t="shared" si="37"/>
        <v>420</v>
      </c>
      <c r="AL239" s="23">
        <f t="shared" si="38"/>
        <v>420</v>
      </c>
      <c r="AM239" s="229"/>
      <c r="AP239" s="230" t="s">
        <v>84</v>
      </c>
      <c r="AQ239" s="5"/>
      <c r="AR239" s="5"/>
      <c r="AS239" s="6"/>
      <c r="AT239" s="206"/>
      <c r="AU239" s="206"/>
      <c r="AV239" s="206"/>
      <c r="AW239" s="206"/>
      <c r="AX239" s="206"/>
      <c r="AY239" s="206"/>
      <c r="AZ239" s="206"/>
      <c r="BA239" s="206"/>
      <c r="BB239" s="206"/>
      <c r="BC239" s="206"/>
      <c r="BD239" s="206"/>
      <c r="BE239" s="206"/>
      <c r="BF239" s="206"/>
    </row>
    <row r="240">
      <c r="A240" s="37">
        <v>6.0</v>
      </c>
      <c r="B240" s="157">
        <v>41.2</v>
      </c>
      <c r="C240" s="155" t="s">
        <v>56</v>
      </c>
      <c r="D240" s="156">
        <v>420.0</v>
      </c>
      <c r="E240" s="94"/>
      <c r="F240" s="42">
        <v>4.0</v>
      </c>
      <c r="G240" s="155" t="s">
        <v>59</v>
      </c>
      <c r="H240" s="129">
        <f t="shared" si="29"/>
        <v>0</v>
      </c>
      <c r="I240" s="189">
        <f t="shared" si="30"/>
        <v>0</v>
      </c>
      <c r="K240" s="37">
        <v>6.0</v>
      </c>
      <c r="L240" s="154"/>
      <c r="M240" s="154"/>
      <c r="N240" s="131"/>
      <c r="O240" s="94"/>
      <c r="P240" s="42">
        <v>4.0</v>
      </c>
      <c r="Q240" s="155" t="s">
        <v>66</v>
      </c>
      <c r="R240" s="129">
        <f t="shared" si="31"/>
        <v>0</v>
      </c>
      <c r="S240" s="189">
        <f t="shared" si="32"/>
        <v>0</v>
      </c>
      <c r="U240" s="37">
        <v>6.0</v>
      </c>
      <c r="V240" s="157">
        <v>43.9</v>
      </c>
      <c r="W240" s="155" t="s">
        <v>62</v>
      </c>
      <c r="X240" s="156">
        <v>350.0</v>
      </c>
      <c r="Y240" s="94"/>
      <c r="Z240" s="42">
        <v>1.0</v>
      </c>
      <c r="AA240" s="155" t="s">
        <v>62</v>
      </c>
      <c r="AB240" s="129">
        <f t="shared" si="33"/>
        <v>4556</v>
      </c>
      <c r="AC240" s="189">
        <f t="shared" si="34"/>
        <v>13</v>
      </c>
      <c r="AE240" s="231"/>
      <c r="AF240" s="28"/>
      <c r="AG240" s="23" t="s">
        <v>46</v>
      </c>
      <c r="AH240" s="235"/>
      <c r="AI240" s="109">
        <f t="shared" si="36"/>
        <v>0</v>
      </c>
      <c r="AJ240" s="36"/>
      <c r="AK240" s="36"/>
      <c r="AL240" s="23">
        <f t="shared" si="38"/>
        <v>0</v>
      </c>
      <c r="AM240" s="229"/>
      <c r="AP240" s="232" t="s">
        <v>78</v>
      </c>
      <c r="AQ240" s="233" t="s">
        <v>29</v>
      </c>
      <c r="AR240" s="233" t="s">
        <v>30</v>
      </c>
      <c r="AS240" s="234" t="s">
        <v>70</v>
      </c>
      <c r="AT240" s="210"/>
      <c r="AU240" s="210"/>
      <c r="AV240" s="210"/>
      <c r="AW240" s="210"/>
      <c r="AX240" s="210"/>
      <c r="AY240" s="210"/>
      <c r="AZ240" s="210"/>
      <c r="BA240" s="210"/>
      <c r="BB240" s="210"/>
      <c r="BC240" s="210"/>
      <c r="BD240" s="210"/>
      <c r="BE240" s="210"/>
      <c r="BF240" s="210"/>
    </row>
    <row r="241">
      <c r="A241" s="37">
        <v>7.0</v>
      </c>
      <c r="B241" s="157">
        <v>41.2</v>
      </c>
      <c r="C241" s="155" t="s">
        <v>56</v>
      </c>
      <c r="D241" s="156">
        <v>420.0</v>
      </c>
      <c r="E241" s="94"/>
      <c r="F241" s="42">
        <v>5.0</v>
      </c>
      <c r="G241" s="155" t="s">
        <v>61</v>
      </c>
      <c r="H241" s="129">
        <f t="shared" si="29"/>
        <v>0</v>
      </c>
      <c r="I241" s="189">
        <f t="shared" si="30"/>
        <v>0</v>
      </c>
      <c r="K241" s="37">
        <v>7.0</v>
      </c>
      <c r="L241" s="154"/>
      <c r="M241" s="154"/>
      <c r="N241" s="131"/>
      <c r="O241" s="94"/>
      <c r="P241" s="42"/>
      <c r="Q241" s="155"/>
      <c r="R241" s="129" t="str">
        <f t="shared" si="31"/>
        <v/>
      </c>
      <c r="S241" s="189" t="str">
        <f t="shared" si="32"/>
        <v/>
      </c>
      <c r="U241" s="37">
        <v>7.0</v>
      </c>
      <c r="V241" s="157">
        <v>43.2</v>
      </c>
      <c r="W241" s="155" t="s">
        <v>62</v>
      </c>
      <c r="X241" s="156">
        <v>350.0</v>
      </c>
      <c r="Y241" s="94"/>
      <c r="Z241" s="42">
        <v>2.0</v>
      </c>
      <c r="AA241" s="155" t="s">
        <v>66</v>
      </c>
      <c r="AB241" s="129">
        <f t="shared" si="33"/>
        <v>200</v>
      </c>
      <c r="AC241" s="189">
        <f t="shared" si="34"/>
        <v>1</v>
      </c>
      <c r="AE241" s="231"/>
      <c r="AF241" s="28"/>
      <c r="AG241" s="23" t="s">
        <v>49</v>
      </c>
      <c r="AH241" s="228">
        <v>2000.0</v>
      </c>
      <c r="AI241" s="23">
        <f t="shared" si="36"/>
        <v>2000</v>
      </c>
      <c r="AJ241" s="36"/>
      <c r="AK241" s="36">
        <f t="shared" ref="AK241:AK242" si="39">(R239)</f>
        <v>0</v>
      </c>
      <c r="AL241" s="23">
        <f t="shared" si="38"/>
        <v>0</v>
      </c>
      <c r="AM241" s="229"/>
      <c r="AP241" s="237" t="s">
        <v>81</v>
      </c>
      <c r="AQ241" s="238">
        <f t="shared" ref="AQ241:AQ242" si="40">(AI246)</f>
        <v>0</v>
      </c>
      <c r="AR241" s="238">
        <f t="shared" ref="AR241:AR242" si="41">(AI249)</f>
        <v>444</v>
      </c>
      <c r="AS241" s="252">
        <f t="shared" ref="AS241:AS242" si="42">(AI252)</f>
        <v>1010</v>
      </c>
      <c r="AT241" s="94"/>
      <c r="AU241" s="94"/>
      <c r="AV241" s="94"/>
      <c r="AW241" s="94"/>
      <c r="AX241" s="94"/>
      <c r="AY241" s="94"/>
      <c r="AZ241" s="94"/>
      <c r="BA241" s="94"/>
      <c r="BB241" s="94"/>
      <c r="BC241" s="94"/>
      <c r="BD241" s="94"/>
      <c r="BE241" s="94"/>
      <c r="BF241" s="94"/>
    </row>
    <row r="242">
      <c r="A242" s="37">
        <v>8.0</v>
      </c>
      <c r="B242" s="157">
        <v>41.2</v>
      </c>
      <c r="C242" s="155" t="s">
        <v>56</v>
      </c>
      <c r="D242" s="156">
        <v>420.0</v>
      </c>
      <c r="E242" s="94"/>
      <c r="F242" s="129"/>
      <c r="G242" s="129"/>
      <c r="H242" s="129" t="str">
        <f t="shared" si="29"/>
        <v/>
      </c>
      <c r="I242" s="189" t="str">
        <f t="shared" si="30"/>
        <v/>
      </c>
      <c r="K242" s="37">
        <v>8.0</v>
      </c>
      <c r="L242" s="154"/>
      <c r="M242" s="154"/>
      <c r="N242" s="131"/>
      <c r="O242" s="94"/>
      <c r="P242" s="129"/>
      <c r="Q242" s="129"/>
      <c r="R242" s="129" t="str">
        <f t="shared" si="31"/>
        <v/>
      </c>
      <c r="S242" s="189" t="str">
        <f t="shared" si="32"/>
        <v/>
      </c>
      <c r="U242" s="37">
        <v>8.0</v>
      </c>
      <c r="V242" s="157">
        <v>43.5</v>
      </c>
      <c r="W242" s="155" t="s">
        <v>62</v>
      </c>
      <c r="X242" s="156">
        <v>350.0</v>
      </c>
      <c r="Y242" s="94"/>
      <c r="Z242" s="129"/>
      <c r="AA242" s="129"/>
      <c r="AB242" s="129" t="str">
        <f t="shared" si="33"/>
        <v/>
      </c>
      <c r="AC242" s="189" t="str">
        <f t="shared" si="34"/>
        <v/>
      </c>
      <c r="AE242" s="231"/>
      <c r="AF242" s="28"/>
      <c r="AG242" s="23" t="s">
        <v>51</v>
      </c>
      <c r="AH242" s="228">
        <v>1000.0</v>
      </c>
      <c r="AI242" s="109">
        <f t="shared" si="36"/>
        <v>1000</v>
      </c>
      <c r="AJ242" s="36"/>
      <c r="AK242" s="36">
        <f t="shared" si="39"/>
        <v>0</v>
      </c>
      <c r="AL242" s="23">
        <f t="shared" si="38"/>
        <v>0</v>
      </c>
      <c r="AM242" s="229"/>
      <c r="AP242" s="237" t="s">
        <v>82</v>
      </c>
      <c r="AQ242" s="238">
        <f t="shared" si="40"/>
        <v>3252</v>
      </c>
      <c r="AR242" s="238">
        <f t="shared" si="41"/>
        <v>5800</v>
      </c>
      <c r="AS242" s="252">
        <f t="shared" si="42"/>
        <v>508</v>
      </c>
      <c r="AT242" s="94"/>
      <c r="AU242" s="94"/>
      <c r="AV242" s="94"/>
      <c r="AW242" s="94"/>
      <c r="AX242" s="94"/>
      <c r="AY242" s="94"/>
      <c r="AZ242" s="94"/>
      <c r="BA242" s="94"/>
      <c r="BB242" s="94"/>
      <c r="BC242" s="94"/>
      <c r="BD242" s="94"/>
      <c r="BE242" s="94"/>
      <c r="BF242" s="94"/>
    </row>
    <row r="243">
      <c r="A243" s="37">
        <v>9.0</v>
      </c>
      <c r="B243" s="157">
        <v>41.3</v>
      </c>
      <c r="C243" s="155" t="s">
        <v>56</v>
      </c>
      <c r="D243" s="156">
        <v>420.0</v>
      </c>
      <c r="E243" s="94"/>
      <c r="F243" s="42"/>
      <c r="G243" s="42"/>
      <c r="H243" s="129" t="str">
        <f t="shared" si="29"/>
        <v/>
      </c>
      <c r="I243" s="189" t="str">
        <f t="shared" si="30"/>
        <v/>
      </c>
      <c r="K243" s="37">
        <v>9.0</v>
      </c>
      <c r="L243" s="154"/>
      <c r="M243" s="154"/>
      <c r="N243" s="131"/>
      <c r="O243" s="94"/>
      <c r="P243" s="42"/>
      <c r="Q243" s="42"/>
      <c r="R243" s="129" t="str">
        <f t="shared" si="31"/>
        <v/>
      </c>
      <c r="S243" s="189" t="str">
        <f t="shared" si="32"/>
        <v/>
      </c>
      <c r="U243" s="37">
        <v>9.0</v>
      </c>
      <c r="V243" s="157">
        <v>43.8</v>
      </c>
      <c r="W243" s="155" t="s">
        <v>62</v>
      </c>
      <c r="X243" s="156">
        <v>350.0</v>
      </c>
      <c r="Y243" s="94"/>
      <c r="Z243" s="42">
        <v>1.0</v>
      </c>
      <c r="AA243" s="155" t="s">
        <v>85</v>
      </c>
      <c r="AB243" s="129">
        <f t="shared" si="33"/>
        <v>990</v>
      </c>
      <c r="AC243" s="189">
        <f t="shared" si="34"/>
        <v>3</v>
      </c>
      <c r="AE243" s="253"/>
      <c r="AF243" s="44"/>
      <c r="AG243" s="23" t="s">
        <v>54</v>
      </c>
      <c r="AH243" s="228"/>
      <c r="AI243" s="109">
        <f t="shared" si="36"/>
        <v>0</v>
      </c>
      <c r="AJ243" s="36"/>
      <c r="AK243" s="36"/>
      <c r="AL243" s="23">
        <f t="shared" si="38"/>
        <v>0</v>
      </c>
      <c r="AM243" s="229"/>
      <c r="AP243" s="237" t="s">
        <v>25</v>
      </c>
      <c r="AQ243" s="251">
        <f t="shared" ref="AQ243:AS243" si="43">SUM(AQ241:AQ242)</f>
        <v>3252</v>
      </c>
      <c r="AR243" s="251">
        <f t="shared" si="43"/>
        <v>6244</v>
      </c>
      <c r="AS243" s="254">
        <f t="shared" si="43"/>
        <v>1518</v>
      </c>
      <c r="AT243" s="94"/>
      <c r="AU243" s="94"/>
      <c r="AV243" s="94"/>
      <c r="AW243" s="94"/>
      <c r="AX243" s="94"/>
      <c r="AY243" s="94"/>
      <c r="AZ243" s="94"/>
      <c r="BA243" s="94"/>
      <c r="BB243" s="94"/>
      <c r="BC243" s="94"/>
      <c r="BD243" s="94"/>
      <c r="BE243" s="94"/>
      <c r="BF243" s="94"/>
    </row>
    <row r="244">
      <c r="A244" s="37">
        <v>10.0</v>
      </c>
      <c r="B244" s="157">
        <v>41.9</v>
      </c>
      <c r="C244" s="155" t="s">
        <v>56</v>
      </c>
      <c r="D244" s="156">
        <v>420.0</v>
      </c>
      <c r="E244" s="94"/>
      <c r="F244" s="129"/>
      <c r="G244" s="129"/>
      <c r="H244" s="129" t="str">
        <f t="shared" si="29"/>
        <v/>
      </c>
      <c r="I244" s="189" t="str">
        <f t="shared" si="30"/>
        <v/>
      </c>
      <c r="K244" s="37">
        <v>10.0</v>
      </c>
      <c r="L244" s="154"/>
      <c r="M244" s="154"/>
      <c r="N244" s="131"/>
      <c r="O244" s="94"/>
      <c r="P244" s="129"/>
      <c r="Q244" s="129"/>
      <c r="R244" s="129" t="str">
        <f t="shared" si="31"/>
        <v/>
      </c>
      <c r="S244" s="189" t="str">
        <f t="shared" si="32"/>
        <v/>
      </c>
      <c r="U244" s="37">
        <v>10.0</v>
      </c>
      <c r="V244" s="157">
        <v>43.8</v>
      </c>
      <c r="W244" s="155" t="s">
        <v>62</v>
      </c>
      <c r="X244" s="156">
        <v>350.0</v>
      </c>
      <c r="Y244" s="94"/>
      <c r="Z244" s="42">
        <v>2.0</v>
      </c>
      <c r="AA244" s="155" t="s">
        <v>48</v>
      </c>
      <c r="AB244" s="129">
        <f t="shared" si="33"/>
        <v>992</v>
      </c>
      <c r="AC244" s="189">
        <f t="shared" si="34"/>
        <v>4</v>
      </c>
      <c r="AE244" s="255"/>
      <c r="AF244" s="256"/>
      <c r="AG244" s="256"/>
      <c r="AH244" s="256"/>
      <c r="AI244" s="256"/>
      <c r="AJ244" s="256"/>
      <c r="AK244" s="256"/>
      <c r="AL244" s="256"/>
      <c r="AM244" s="257"/>
      <c r="AP244" s="230" t="s">
        <v>86</v>
      </c>
      <c r="AQ244" s="5"/>
      <c r="AR244" s="5"/>
      <c r="AS244" s="6"/>
      <c r="AT244" s="94"/>
      <c r="AU244" s="94"/>
      <c r="AV244" s="94"/>
      <c r="AW244" s="94"/>
      <c r="AX244" s="94"/>
      <c r="AY244" s="94"/>
      <c r="AZ244" s="94"/>
      <c r="BA244" s="94"/>
      <c r="BB244" s="94"/>
      <c r="BC244" s="94"/>
      <c r="BD244" s="94"/>
      <c r="BE244" s="94"/>
      <c r="BF244" s="94"/>
    </row>
    <row r="245">
      <c r="A245" s="37">
        <v>11.0</v>
      </c>
      <c r="B245" s="157">
        <v>41.1</v>
      </c>
      <c r="C245" s="155" t="s">
        <v>56</v>
      </c>
      <c r="D245" s="156">
        <v>420.0</v>
      </c>
      <c r="E245" s="94"/>
      <c r="F245" s="129"/>
      <c r="G245" s="129"/>
      <c r="H245" s="129" t="str">
        <f t="shared" si="29"/>
        <v/>
      </c>
      <c r="I245" s="189" t="str">
        <f t="shared" si="30"/>
        <v/>
      </c>
      <c r="K245" s="37">
        <v>11.0</v>
      </c>
      <c r="L245" s="154"/>
      <c r="M245" s="154"/>
      <c r="N245" s="131"/>
      <c r="O245" s="94"/>
      <c r="P245" s="129"/>
      <c r="Q245" s="129"/>
      <c r="R245" s="129" t="str">
        <f t="shared" si="31"/>
        <v/>
      </c>
      <c r="S245" s="189" t="str">
        <f t="shared" si="32"/>
        <v/>
      </c>
      <c r="U245" s="37">
        <v>11.0</v>
      </c>
      <c r="V245" s="157">
        <v>43.3</v>
      </c>
      <c r="W245" s="155" t="s">
        <v>62</v>
      </c>
      <c r="X245" s="156">
        <v>350.0</v>
      </c>
      <c r="Y245" s="94"/>
      <c r="Z245" s="129"/>
      <c r="AA245" s="129"/>
      <c r="AB245" s="129" t="str">
        <f t="shared" si="33"/>
        <v/>
      </c>
      <c r="AC245" s="189" t="str">
        <f t="shared" si="34"/>
        <v/>
      </c>
      <c r="AE245" s="258"/>
      <c r="AF245" s="259"/>
      <c r="AG245" s="259"/>
      <c r="AH245" s="259"/>
      <c r="AI245" s="259"/>
      <c r="AJ245" s="259"/>
      <c r="AK245" s="259"/>
      <c r="AL245" s="259"/>
      <c r="AM245" s="260"/>
      <c r="AP245" s="232" t="s">
        <v>78</v>
      </c>
      <c r="AQ245" s="233" t="s">
        <v>29</v>
      </c>
      <c r="AR245" s="233" t="s">
        <v>30</v>
      </c>
      <c r="AS245" s="234" t="s">
        <v>70</v>
      </c>
      <c r="AT245" s="101"/>
      <c r="AU245" s="101"/>
      <c r="AV245" s="101"/>
      <c r="AW245" s="101"/>
      <c r="AX245" s="101"/>
      <c r="AY245" s="101"/>
      <c r="AZ245" s="101"/>
      <c r="BA245" s="101"/>
      <c r="BB245" s="101"/>
      <c r="BC245" s="101"/>
      <c r="BD245" s="101"/>
      <c r="BE245" s="101"/>
      <c r="BF245" s="101"/>
    </row>
    <row r="246">
      <c r="A246" s="37">
        <v>12.0</v>
      </c>
      <c r="B246" s="154"/>
      <c r="C246" s="155" t="s">
        <v>56</v>
      </c>
      <c r="D246" s="131"/>
      <c r="E246" s="94"/>
      <c r="F246" s="129"/>
      <c r="G246" s="129"/>
      <c r="H246" s="129" t="str">
        <f t="shared" si="29"/>
        <v/>
      </c>
      <c r="I246" s="189" t="str">
        <f t="shared" si="30"/>
        <v/>
      </c>
      <c r="K246" s="37">
        <v>12.0</v>
      </c>
      <c r="L246" s="154"/>
      <c r="M246" s="154"/>
      <c r="N246" s="131"/>
      <c r="O246" s="94"/>
      <c r="P246" s="129"/>
      <c r="Q246" s="129"/>
      <c r="R246" s="129" t="str">
        <f t="shared" si="31"/>
        <v/>
      </c>
      <c r="S246" s="189" t="str">
        <f t="shared" si="32"/>
        <v/>
      </c>
      <c r="U246" s="37">
        <v>12.0</v>
      </c>
      <c r="V246" s="157">
        <v>32.7</v>
      </c>
      <c r="W246" s="155" t="s">
        <v>62</v>
      </c>
      <c r="X246" s="156">
        <v>350.0</v>
      </c>
      <c r="Y246" s="94"/>
      <c r="Z246" s="42">
        <v>1.0</v>
      </c>
      <c r="AA246" s="155" t="s">
        <v>87</v>
      </c>
      <c r="AB246" s="129">
        <f t="shared" si="33"/>
        <v>500</v>
      </c>
      <c r="AC246" s="189">
        <f t="shared" si="34"/>
        <v>2</v>
      </c>
      <c r="AE246" s="227" t="s">
        <v>68</v>
      </c>
      <c r="AF246" s="108" t="s">
        <v>29</v>
      </c>
      <c r="AG246" s="23" t="s">
        <v>49</v>
      </c>
      <c r="AH246" s="261">
        <v>1000.0</v>
      </c>
      <c r="AI246" s="109">
        <f t="shared" ref="AI246:AI247" si="44">IF(AH246-AL246-AM246&lt;0,0,AH246-AL246-AM246)</f>
        <v>0</v>
      </c>
      <c r="AJ246" s="36"/>
      <c r="AK246" s="36">
        <f t="shared" ref="AK246:AK247" si="45">(AB237)</f>
        <v>1229</v>
      </c>
      <c r="AL246" s="23">
        <f t="shared" ref="AL246:AL247" si="46">IF(AJ246+AK246-AM246&lt;0,0,AJ246+AK246-AM246)</f>
        <v>1229</v>
      </c>
      <c r="AM246" s="229"/>
      <c r="AP246" s="237" t="s">
        <v>81</v>
      </c>
      <c r="AQ246" s="238">
        <f t="shared" ref="AQ246:AQ247" si="47">(AI256)</f>
        <v>0</v>
      </c>
      <c r="AR246" s="262"/>
      <c r="AS246" s="239"/>
      <c r="AT246" s="94"/>
      <c r="AU246" s="94"/>
      <c r="AV246" s="94"/>
      <c r="AW246" s="94"/>
      <c r="AX246" s="94"/>
      <c r="AY246" s="94"/>
      <c r="AZ246" s="94"/>
      <c r="BA246" s="94"/>
      <c r="BB246" s="94"/>
      <c r="BC246" s="94"/>
      <c r="BD246" s="94"/>
      <c r="BE246" s="94"/>
      <c r="BF246" s="94"/>
    </row>
    <row r="247">
      <c r="A247" s="37">
        <v>13.0</v>
      </c>
      <c r="B247" s="157">
        <v>21.4</v>
      </c>
      <c r="C247" s="155" t="s">
        <v>57</v>
      </c>
      <c r="D247" s="156">
        <v>150.0</v>
      </c>
      <c r="E247" s="94"/>
      <c r="F247" s="129"/>
      <c r="G247" s="129"/>
      <c r="H247" s="129" t="str">
        <f t="shared" si="29"/>
        <v/>
      </c>
      <c r="I247" s="189" t="str">
        <f t="shared" si="30"/>
        <v/>
      </c>
      <c r="K247" s="37">
        <v>13.0</v>
      </c>
      <c r="L247" s="154"/>
      <c r="M247" s="154"/>
      <c r="N247" s="131"/>
      <c r="O247" s="94"/>
      <c r="P247" s="129"/>
      <c r="Q247" s="129"/>
      <c r="R247" s="129" t="str">
        <f t="shared" si="31"/>
        <v/>
      </c>
      <c r="S247" s="189" t="str">
        <f t="shared" si="32"/>
        <v/>
      </c>
      <c r="U247" s="37">
        <v>13.0</v>
      </c>
      <c r="V247" s="157">
        <v>43.9</v>
      </c>
      <c r="W247" s="155" t="s">
        <v>62</v>
      </c>
      <c r="X247" s="156">
        <v>356.0</v>
      </c>
      <c r="Y247" s="94"/>
      <c r="Z247" s="42">
        <v>2.0</v>
      </c>
      <c r="AA247" s="155" t="s">
        <v>88</v>
      </c>
      <c r="AB247" s="129">
        <f t="shared" si="33"/>
        <v>500</v>
      </c>
      <c r="AC247" s="189">
        <f t="shared" si="34"/>
        <v>3</v>
      </c>
      <c r="AE247" s="231"/>
      <c r="AF247" s="44"/>
      <c r="AG247" s="23" t="s">
        <v>51</v>
      </c>
      <c r="AH247" s="261">
        <v>6000.0</v>
      </c>
      <c r="AI247" s="109">
        <f t="shared" si="44"/>
        <v>3252</v>
      </c>
      <c r="AJ247" s="36"/>
      <c r="AK247" s="36">
        <f t="shared" si="45"/>
        <v>2748</v>
      </c>
      <c r="AL247" s="23">
        <f t="shared" si="46"/>
        <v>2748</v>
      </c>
      <c r="AM247" s="229"/>
      <c r="AP247" s="237" t="s">
        <v>82</v>
      </c>
      <c r="AQ247" s="238">
        <f t="shared" si="47"/>
        <v>0</v>
      </c>
      <c r="AR247" s="262"/>
      <c r="AS247" s="239"/>
      <c r="AT247" s="94"/>
      <c r="AU247" s="94"/>
      <c r="AV247" s="94"/>
      <c r="AW247" s="94"/>
      <c r="AX247" s="94"/>
      <c r="AY247" s="94"/>
      <c r="AZ247" s="94"/>
      <c r="BA247" s="94"/>
      <c r="BB247" s="94"/>
      <c r="BC247" s="94"/>
      <c r="BD247" s="94"/>
      <c r="BE247" s="94"/>
      <c r="BF247" s="94"/>
    </row>
    <row r="248">
      <c r="A248" s="37">
        <v>14.0</v>
      </c>
      <c r="B248" s="157">
        <v>21.2</v>
      </c>
      <c r="C248" s="155" t="s">
        <v>57</v>
      </c>
      <c r="D248" s="156">
        <v>150.0</v>
      </c>
      <c r="E248" s="94"/>
      <c r="F248" s="129"/>
      <c r="G248" s="129"/>
      <c r="H248" s="129" t="str">
        <f t="shared" si="29"/>
        <v/>
      </c>
      <c r="I248" s="189" t="str">
        <f t="shared" si="30"/>
        <v/>
      </c>
      <c r="K248" s="37">
        <v>14.0</v>
      </c>
      <c r="L248" s="154"/>
      <c r="M248" s="154"/>
      <c r="N248" s="131"/>
      <c r="O248" s="94"/>
      <c r="P248" s="129"/>
      <c r="Q248" s="129"/>
      <c r="R248" s="129" t="str">
        <f t="shared" si="31"/>
        <v/>
      </c>
      <c r="S248" s="189" t="str">
        <f t="shared" si="32"/>
        <v/>
      </c>
      <c r="U248" s="37">
        <v>14.0</v>
      </c>
      <c r="V248" s="157">
        <v>43.2</v>
      </c>
      <c r="W248" s="155" t="s">
        <v>57</v>
      </c>
      <c r="X248" s="156">
        <v>350.0</v>
      </c>
      <c r="Y248" s="94"/>
      <c r="Z248" s="129"/>
      <c r="AA248" s="129"/>
      <c r="AB248" s="129" t="str">
        <f t="shared" si="33"/>
        <v/>
      </c>
      <c r="AC248" s="189" t="str">
        <f t="shared" si="34"/>
        <v/>
      </c>
      <c r="AE248" s="231"/>
      <c r="AF248" s="153"/>
      <c r="AG248" s="263"/>
      <c r="AH248" s="264"/>
      <c r="AI248" s="263"/>
      <c r="AJ248" s="263"/>
      <c r="AK248" s="263"/>
      <c r="AL248" s="263"/>
      <c r="AM248" s="265"/>
      <c r="AP248" s="266" t="s">
        <v>25</v>
      </c>
      <c r="AQ248" s="267">
        <f t="shared" ref="AQ248:AS248" si="48">SUM(AQ246:AQ247)</f>
        <v>0</v>
      </c>
      <c r="AR248" s="268">
        <f t="shared" si="48"/>
        <v>0</v>
      </c>
      <c r="AS248" s="269">
        <f t="shared" si="48"/>
        <v>0</v>
      </c>
      <c r="AT248" s="94"/>
      <c r="AU248" s="94"/>
      <c r="AV248" s="94"/>
      <c r="AW248" s="94"/>
      <c r="AX248" s="94"/>
      <c r="AY248" s="94"/>
      <c r="AZ248" s="94"/>
      <c r="BA248" s="94"/>
      <c r="BB248" s="94"/>
      <c r="BC248" s="94"/>
      <c r="BD248" s="94"/>
      <c r="BE248" s="94"/>
      <c r="BF248" s="94"/>
    </row>
    <row r="249">
      <c r="A249" s="37">
        <v>15.0</v>
      </c>
      <c r="B249" s="157">
        <v>21.6</v>
      </c>
      <c r="C249" s="155" t="s">
        <v>57</v>
      </c>
      <c r="D249" s="156">
        <v>150.0</v>
      </c>
      <c r="E249" s="94"/>
      <c r="F249" s="129"/>
      <c r="G249" s="129"/>
      <c r="H249" s="129" t="str">
        <f t="shared" si="29"/>
        <v/>
      </c>
      <c r="I249" s="189" t="str">
        <f t="shared" si="30"/>
        <v/>
      </c>
      <c r="K249" s="37">
        <v>15.0</v>
      </c>
      <c r="L249" s="154"/>
      <c r="M249" s="154"/>
      <c r="N249" s="131"/>
      <c r="O249" s="94"/>
      <c r="P249" s="129"/>
      <c r="Q249" s="129"/>
      <c r="R249" s="129" t="str">
        <f t="shared" si="31"/>
        <v/>
      </c>
      <c r="S249" s="189" t="str">
        <f t="shared" si="32"/>
        <v/>
      </c>
      <c r="U249" s="37">
        <v>15.0</v>
      </c>
      <c r="V249" s="157">
        <v>43.0</v>
      </c>
      <c r="W249" s="155" t="s">
        <v>57</v>
      </c>
      <c r="X249" s="156">
        <v>350.0</v>
      </c>
      <c r="Y249" s="94"/>
      <c r="Z249" s="129"/>
      <c r="AA249" s="129"/>
      <c r="AB249" s="129" t="str">
        <f t="shared" si="33"/>
        <v/>
      </c>
      <c r="AC249" s="189" t="str">
        <f t="shared" si="34"/>
        <v/>
      </c>
      <c r="AE249" s="231"/>
      <c r="AF249" s="108" t="s">
        <v>30</v>
      </c>
      <c r="AG249" s="23" t="s">
        <v>49</v>
      </c>
      <c r="AH249" s="261">
        <v>5000.0</v>
      </c>
      <c r="AI249" s="109">
        <f t="shared" ref="AI249:AI250" si="52">IF(AH249-AL249-AM249&lt;0,0,AH249-AL249-AM249)</f>
        <v>444</v>
      </c>
      <c r="AJ249" s="36"/>
      <c r="AK249" s="36">
        <f t="shared" ref="AK249:AK250" si="53">(AB240)</f>
        <v>4556</v>
      </c>
      <c r="AL249" s="23">
        <f t="shared" ref="AL249:AL250" si="54">IF(AJ249+AK249-AM249&lt;0,0,AJ249+AK249-AM249)</f>
        <v>4556</v>
      </c>
      <c r="AM249" s="229"/>
      <c r="AT249" s="94"/>
      <c r="AU249" s="94"/>
      <c r="AV249" s="94"/>
      <c r="AW249" s="94"/>
      <c r="AX249" s="94"/>
      <c r="AY249" s="94"/>
      <c r="AZ249" s="94"/>
      <c r="BA249" s="94"/>
      <c r="BB249" s="94"/>
      <c r="BC249" s="94"/>
      <c r="BD249" s="94"/>
      <c r="BE249" s="94"/>
      <c r="BF249" s="94"/>
    </row>
    <row r="250">
      <c r="A250" s="37">
        <v>16.0</v>
      </c>
      <c r="B250" s="157">
        <v>21.4</v>
      </c>
      <c r="C250" s="155" t="s">
        <v>57</v>
      </c>
      <c r="D250" s="156">
        <v>150.0</v>
      </c>
      <c r="E250" s="94"/>
      <c r="F250" s="51" t="s">
        <v>25</v>
      </c>
      <c r="G250" s="8"/>
      <c r="H250" s="129">
        <f t="shared" ref="H250:I250" si="49">sum(H237:H249)</f>
        <v>7350</v>
      </c>
      <c r="I250" s="189">
        <f t="shared" si="49"/>
        <v>22</v>
      </c>
      <c r="K250" s="181"/>
      <c r="L250" s="154"/>
      <c r="M250" s="154"/>
      <c r="N250" s="131"/>
      <c r="O250" s="94"/>
      <c r="P250" s="51" t="s">
        <v>25</v>
      </c>
      <c r="Q250" s="8"/>
      <c r="R250" s="129">
        <f t="shared" ref="R250:S250" si="50">sum(R237:R249)</f>
        <v>1260</v>
      </c>
      <c r="S250" s="189">
        <f t="shared" si="50"/>
        <v>3</v>
      </c>
      <c r="U250" s="37">
        <v>16.0</v>
      </c>
      <c r="V250" s="157">
        <v>42.4</v>
      </c>
      <c r="W250" s="155" t="s">
        <v>57</v>
      </c>
      <c r="X250" s="156">
        <v>350.0</v>
      </c>
      <c r="Y250" s="94"/>
      <c r="Z250" s="51" t="s">
        <v>25</v>
      </c>
      <c r="AA250" s="8"/>
      <c r="AB250" s="129">
        <f t="shared" ref="AB250:AC250" si="51">sum(AB237:AB249)</f>
        <v>11715</v>
      </c>
      <c r="AC250" s="189">
        <f t="shared" si="51"/>
        <v>41</v>
      </c>
      <c r="AE250" s="231"/>
      <c r="AF250" s="44"/>
      <c r="AG250" s="23" t="s">
        <v>51</v>
      </c>
      <c r="AH250" s="261">
        <v>6000.0</v>
      </c>
      <c r="AI250" s="23">
        <f t="shared" si="52"/>
        <v>5800</v>
      </c>
      <c r="AJ250" s="36"/>
      <c r="AK250" s="36">
        <f t="shared" si="53"/>
        <v>200</v>
      </c>
      <c r="AL250" s="23">
        <f t="shared" si="54"/>
        <v>200</v>
      </c>
      <c r="AM250" s="229"/>
      <c r="AT250" s="94"/>
      <c r="AU250" s="94"/>
      <c r="AV250" s="94"/>
      <c r="AW250" s="94"/>
      <c r="AX250" s="94"/>
      <c r="AY250" s="94"/>
      <c r="AZ250" s="94"/>
      <c r="BA250" s="94"/>
      <c r="BB250" s="94"/>
      <c r="BC250" s="94"/>
      <c r="BD250" s="94"/>
      <c r="BE250" s="94"/>
      <c r="BF250" s="94"/>
    </row>
    <row r="251">
      <c r="A251" s="37">
        <v>17.0</v>
      </c>
      <c r="B251" s="157">
        <v>21.2</v>
      </c>
      <c r="C251" s="155" t="s">
        <v>57</v>
      </c>
      <c r="D251" s="156">
        <v>150.0</v>
      </c>
      <c r="E251" s="94"/>
      <c r="F251" s="94"/>
      <c r="G251" s="94"/>
      <c r="H251" s="270"/>
      <c r="I251" s="271"/>
      <c r="K251" s="181"/>
      <c r="L251" s="154"/>
      <c r="M251" s="154"/>
      <c r="N251" s="131"/>
      <c r="O251" s="94"/>
      <c r="P251" s="94"/>
      <c r="Q251" s="94"/>
      <c r="R251" s="270"/>
      <c r="S251" s="271"/>
      <c r="U251" s="37">
        <v>17.0</v>
      </c>
      <c r="V251" s="157">
        <v>22.0</v>
      </c>
      <c r="W251" s="155" t="s">
        <v>57</v>
      </c>
      <c r="X251" s="156">
        <v>179.0</v>
      </c>
      <c r="Y251" s="94"/>
      <c r="Z251" s="94"/>
      <c r="AA251" s="94"/>
      <c r="AB251" s="270"/>
      <c r="AC251" s="271"/>
      <c r="AE251" s="231"/>
      <c r="AF251" s="96"/>
      <c r="AG251" s="272"/>
      <c r="AH251" s="273"/>
      <c r="AI251" s="272"/>
      <c r="AJ251" s="272"/>
      <c r="AK251" s="272"/>
      <c r="AL251" s="272"/>
      <c r="AM251" s="274"/>
      <c r="AT251" s="94"/>
      <c r="AU251" s="94"/>
      <c r="AV251" s="94"/>
      <c r="AW251" s="94"/>
      <c r="AX251" s="94"/>
      <c r="AY251" s="94"/>
      <c r="AZ251" s="94"/>
      <c r="BA251" s="94"/>
      <c r="BB251" s="94"/>
      <c r="BC251" s="94"/>
      <c r="BD251" s="94"/>
      <c r="BE251" s="94"/>
      <c r="BF251" s="94"/>
    </row>
    <row r="252">
      <c r="A252" s="37">
        <v>18.0</v>
      </c>
      <c r="B252" s="154"/>
      <c r="C252" s="155" t="s">
        <v>57</v>
      </c>
      <c r="D252" s="131"/>
      <c r="E252" s="94"/>
      <c r="F252" s="94"/>
      <c r="G252" s="94"/>
      <c r="H252" s="270"/>
      <c r="I252" s="271"/>
      <c r="K252" s="181"/>
      <c r="L252" s="154"/>
      <c r="M252" s="154"/>
      <c r="N252" s="131"/>
      <c r="O252" s="94"/>
      <c r="P252" s="94"/>
      <c r="Q252" s="94"/>
      <c r="R252" s="270"/>
      <c r="S252" s="271"/>
      <c r="U252" s="37">
        <v>18.0</v>
      </c>
      <c r="V252" s="157">
        <v>44.9</v>
      </c>
      <c r="W252" s="155" t="s">
        <v>85</v>
      </c>
      <c r="X252" s="156">
        <v>350.0</v>
      </c>
      <c r="Y252" s="94"/>
      <c r="Z252" s="94"/>
      <c r="AA252" s="94"/>
      <c r="AB252" s="270"/>
      <c r="AC252" s="271"/>
      <c r="AE252" s="231"/>
      <c r="AF252" s="108" t="s">
        <v>70</v>
      </c>
      <c r="AG252" s="23" t="s">
        <v>49</v>
      </c>
      <c r="AH252" s="261">
        <v>2000.0</v>
      </c>
      <c r="AI252" s="109">
        <f t="shared" ref="AI252:AI253" si="55">IF(AH252-AL252-AM252&lt;0,0,AH252-AL252-AM252)</f>
        <v>1010</v>
      </c>
      <c r="AJ252" s="36"/>
      <c r="AK252" s="36">
        <f t="shared" ref="AK252:AK253" si="56">(AB243)</f>
        <v>990</v>
      </c>
      <c r="AL252" s="23">
        <f t="shared" ref="AL252:AL253" si="57">IF(AJ252+AK252-AM252&lt;0,0,AJ252+AK252-AM252)</f>
        <v>990</v>
      </c>
      <c r="AM252" s="229"/>
      <c r="AT252" s="94"/>
      <c r="AU252" s="94"/>
      <c r="AV252" s="94"/>
      <c r="AW252" s="94"/>
      <c r="AX252" s="94"/>
      <c r="AY252" s="94"/>
      <c r="AZ252" s="94"/>
      <c r="BA252" s="94"/>
      <c r="BB252" s="94"/>
      <c r="BC252" s="94"/>
      <c r="BD252" s="94"/>
      <c r="BE252" s="94"/>
      <c r="BF252" s="94"/>
    </row>
    <row r="253">
      <c r="A253" s="37">
        <v>19.0</v>
      </c>
      <c r="B253" s="157">
        <v>21.9</v>
      </c>
      <c r="C253" s="155" t="s">
        <v>57</v>
      </c>
      <c r="D253" s="156">
        <v>150.0</v>
      </c>
      <c r="E253" s="94"/>
      <c r="F253" s="94"/>
      <c r="G253" s="94"/>
      <c r="H253" s="270"/>
      <c r="I253" s="271"/>
      <c r="K253" s="181"/>
      <c r="L253" s="154"/>
      <c r="M253" s="154"/>
      <c r="N253" s="131"/>
      <c r="O253" s="94"/>
      <c r="P253" s="94"/>
      <c r="Q253" s="94"/>
      <c r="R253" s="270"/>
      <c r="S253" s="271"/>
      <c r="U253" s="37">
        <v>19.0</v>
      </c>
      <c r="V253" s="157">
        <v>44.8</v>
      </c>
      <c r="W253" s="155" t="s">
        <v>85</v>
      </c>
      <c r="X253" s="156">
        <v>350.0</v>
      </c>
      <c r="Y253" s="94"/>
      <c r="Z253" s="94"/>
      <c r="AA253" s="94"/>
      <c r="AB253" s="270"/>
      <c r="AC253" s="271"/>
      <c r="AE253" s="253"/>
      <c r="AF253" s="44"/>
      <c r="AG253" s="23" t="s">
        <v>51</v>
      </c>
      <c r="AH253" s="261">
        <v>1500.0</v>
      </c>
      <c r="AI253" s="109">
        <f t="shared" si="55"/>
        <v>508</v>
      </c>
      <c r="AJ253" s="36"/>
      <c r="AK253" s="36">
        <f t="shared" si="56"/>
        <v>992</v>
      </c>
      <c r="AL253" s="23">
        <f t="shared" si="57"/>
        <v>992</v>
      </c>
      <c r="AM253" s="229"/>
      <c r="AT253" s="94"/>
      <c r="AU253" s="94"/>
      <c r="AV253" s="94"/>
      <c r="AW253" s="94"/>
      <c r="AX253" s="94"/>
      <c r="AY253" s="94"/>
      <c r="AZ253" s="94"/>
      <c r="BA253" s="94"/>
      <c r="BB253" s="94"/>
      <c r="BC253" s="94"/>
      <c r="BD253" s="94"/>
      <c r="BE253" s="94"/>
      <c r="BF253" s="94"/>
    </row>
    <row r="254">
      <c r="A254" s="37">
        <v>20.0</v>
      </c>
      <c r="B254" s="157">
        <v>22.0</v>
      </c>
      <c r="C254" s="155" t="s">
        <v>57</v>
      </c>
      <c r="D254" s="156">
        <v>150.0</v>
      </c>
      <c r="E254" s="94"/>
      <c r="F254" s="94"/>
      <c r="G254" s="94"/>
      <c r="H254" s="270"/>
      <c r="I254" s="271"/>
      <c r="K254" s="181"/>
      <c r="L254" s="154"/>
      <c r="M254" s="154"/>
      <c r="N254" s="131"/>
      <c r="O254" s="94"/>
      <c r="P254" s="94"/>
      <c r="Q254" s="94"/>
      <c r="R254" s="270"/>
      <c r="S254" s="271"/>
      <c r="U254" s="37">
        <v>20.0</v>
      </c>
      <c r="V254" s="157">
        <v>37.2</v>
      </c>
      <c r="W254" s="155" t="s">
        <v>85</v>
      </c>
      <c r="X254" s="156">
        <v>290.0</v>
      </c>
      <c r="Y254" s="94"/>
      <c r="Z254" s="94"/>
      <c r="AA254" s="94"/>
      <c r="AB254" s="270"/>
      <c r="AC254" s="271"/>
      <c r="AE254" s="275"/>
      <c r="AH254" s="270"/>
      <c r="AM254" s="53"/>
      <c r="AT254" s="94"/>
      <c r="AU254" s="94"/>
      <c r="AV254" s="94"/>
      <c r="AW254" s="94"/>
      <c r="AX254" s="94"/>
      <c r="AY254" s="94"/>
      <c r="AZ254" s="94"/>
      <c r="BA254" s="94"/>
      <c r="BB254" s="94"/>
      <c r="BC254" s="94"/>
      <c r="BD254" s="94"/>
      <c r="BE254" s="94"/>
      <c r="BF254" s="94"/>
    </row>
    <row r="255">
      <c r="A255" s="37">
        <v>21.0</v>
      </c>
      <c r="B255" s="157">
        <v>33.7</v>
      </c>
      <c r="C255" s="182" t="s">
        <v>47</v>
      </c>
      <c r="D255" s="156">
        <v>420.0</v>
      </c>
      <c r="E255" s="94"/>
      <c r="F255" s="159" t="s">
        <v>26</v>
      </c>
      <c r="G255" s="94"/>
      <c r="H255" s="270"/>
      <c r="I255" s="271"/>
      <c r="K255" s="181"/>
      <c r="L255" s="154"/>
      <c r="M255" s="154"/>
      <c r="N255" s="131"/>
      <c r="O255" s="94"/>
      <c r="P255" s="159" t="s">
        <v>26</v>
      </c>
      <c r="Q255" s="94"/>
      <c r="R255" s="270"/>
      <c r="S255" s="271"/>
      <c r="U255" s="37">
        <v>21.0</v>
      </c>
      <c r="V255" s="157">
        <v>43.5</v>
      </c>
      <c r="W255" s="155" t="s">
        <v>48</v>
      </c>
      <c r="X255" s="156">
        <v>250.0</v>
      </c>
      <c r="Y255" s="94"/>
      <c r="Z255" s="159" t="s">
        <v>26</v>
      </c>
      <c r="AA255" s="94"/>
      <c r="AB255" s="270"/>
      <c r="AC255" s="271"/>
      <c r="AE255" s="276" t="s">
        <v>89</v>
      </c>
      <c r="AH255" s="270"/>
      <c r="AM255" s="53"/>
      <c r="AT255" s="94"/>
      <c r="AU255" s="94"/>
      <c r="AV255" s="94"/>
      <c r="AW255" s="94"/>
      <c r="AX255" s="94"/>
      <c r="AY255" s="94"/>
      <c r="AZ255" s="94"/>
      <c r="BA255" s="94"/>
      <c r="BB255" s="94"/>
      <c r="BC255" s="94"/>
      <c r="BD255" s="94"/>
      <c r="BE255" s="94"/>
      <c r="BF255" s="94"/>
    </row>
    <row r="256">
      <c r="A256" s="37">
        <v>22.0</v>
      </c>
      <c r="B256" s="157">
        <v>33.8</v>
      </c>
      <c r="C256" s="182" t="s">
        <v>47</v>
      </c>
      <c r="D256" s="156">
        <v>420.0</v>
      </c>
      <c r="E256" s="94"/>
      <c r="F256" s="160" t="s">
        <v>27</v>
      </c>
      <c r="I256" s="11"/>
      <c r="K256" s="181"/>
      <c r="L256" s="154"/>
      <c r="M256" s="154"/>
      <c r="N256" s="131"/>
      <c r="O256" s="94"/>
      <c r="P256" s="160" t="s">
        <v>27</v>
      </c>
      <c r="S256" s="11"/>
      <c r="U256" s="37">
        <v>22.0</v>
      </c>
      <c r="V256" s="157">
        <v>44.0</v>
      </c>
      <c r="W256" s="155" t="s">
        <v>48</v>
      </c>
      <c r="X256" s="156">
        <v>250.0</v>
      </c>
      <c r="Y256" s="94"/>
      <c r="Z256" s="160" t="s">
        <v>27</v>
      </c>
      <c r="AC256" s="11"/>
      <c r="AE256" s="277" t="s">
        <v>68</v>
      </c>
      <c r="AF256" s="108" t="s">
        <v>29</v>
      </c>
      <c r="AG256" s="23" t="s">
        <v>49</v>
      </c>
      <c r="AH256" s="261">
        <v>500.0</v>
      </c>
      <c r="AI256" s="109">
        <f t="shared" ref="AI256:AI257" si="58">IF(AH256-AL256-AM256&lt;0,0,AH256-AL256-AM256)</f>
        <v>0</v>
      </c>
      <c r="AJ256" s="36"/>
      <c r="AK256" s="36">
        <f t="shared" ref="AK256:AK257" si="59">(AB246)</f>
        <v>500</v>
      </c>
      <c r="AL256" s="23">
        <f t="shared" ref="AL256:AL257" si="60">IF(AJ256+AK256-AM256&lt;0,0,AJ256+AK256-AM256)</f>
        <v>500</v>
      </c>
      <c r="AM256" s="229"/>
      <c r="AT256" s="94"/>
      <c r="AU256" s="94"/>
      <c r="AV256" s="94"/>
      <c r="AW256" s="94"/>
      <c r="AX256" s="94"/>
      <c r="AY256" s="94"/>
      <c r="AZ256" s="94"/>
      <c r="BA256" s="94"/>
      <c r="BB256" s="94"/>
      <c r="BC256" s="94"/>
      <c r="BD256" s="94"/>
      <c r="BE256" s="94"/>
      <c r="BF256" s="94"/>
    </row>
    <row r="257">
      <c r="A257" s="37">
        <v>23.0</v>
      </c>
      <c r="B257" s="157">
        <v>33.9</v>
      </c>
      <c r="C257" s="182" t="s">
        <v>47</v>
      </c>
      <c r="D257" s="156">
        <v>420.0</v>
      </c>
      <c r="E257" s="94"/>
      <c r="I257" s="11"/>
      <c r="K257" s="181"/>
      <c r="L257" s="154"/>
      <c r="M257" s="154"/>
      <c r="N257" s="131"/>
      <c r="O257" s="94"/>
      <c r="S257" s="11"/>
      <c r="U257" s="37">
        <v>23.0</v>
      </c>
      <c r="V257" s="157">
        <v>43.8</v>
      </c>
      <c r="W257" s="155" t="s">
        <v>48</v>
      </c>
      <c r="X257" s="156">
        <v>250.0</v>
      </c>
      <c r="Y257" s="94"/>
      <c r="AC257" s="11"/>
      <c r="AE257" s="278"/>
      <c r="AF257" s="279"/>
      <c r="AG257" s="280" t="s">
        <v>51</v>
      </c>
      <c r="AH257" s="281">
        <v>500.0</v>
      </c>
      <c r="AI257" s="282">
        <f t="shared" si="58"/>
        <v>0</v>
      </c>
      <c r="AJ257" s="283"/>
      <c r="AK257" s="283">
        <f t="shared" si="59"/>
        <v>500</v>
      </c>
      <c r="AL257" s="280">
        <f t="shared" si="60"/>
        <v>500</v>
      </c>
      <c r="AM257" s="284"/>
      <c r="AT257" s="94"/>
      <c r="AU257" s="94"/>
      <c r="AV257" s="94"/>
      <c r="AW257" s="94"/>
      <c r="AX257" s="94"/>
      <c r="AY257" s="94"/>
      <c r="AZ257" s="94"/>
      <c r="BA257" s="94"/>
      <c r="BB257" s="94"/>
      <c r="BC257" s="94"/>
      <c r="BD257" s="94"/>
      <c r="BE257" s="94"/>
      <c r="BF257" s="94"/>
    </row>
    <row r="258">
      <c r="A258" s="37">
        <v>24.0</v>
      </c>
      <c r="B258" s="157">
        <v>33.9</v>
      </c>
      <c r="C258" s="182" t="s">
        <v>47</v>
      </c>
      <c r="D258" s="156">
        <v>420.0</v>
      </c>
      <c r="E258" s="94"/>
      <c r="I258" s="11"/>
      <c r="K258" s="181"/>
      <c r="L258" s="154"/>
      <c r="M258" s="154"/>
      <c r="N258" s="131"/>
      <c r="O258" s="94"/>
      <c r="S258" s="11"/>
      <c r="U258" s="37">
        <v>24.0</v>
      </c>
      <c r="V258" s="157">
        <v>42.5</v>
      </c>
      <c r="W258" s="155" t="s">
        <v>48</v>
      </c>
      <c r="X258" s="156">
        <v>242.0</v>
      </c>
      <c r="Y258" s="94"/>
      <c r="AC258" s="11"/>
      <c r="AT258" s="94"/>
      <c r="AU258" s="94"/>
      <c r="AV258" s="94"/>
      <c r="AW258" s="94"/>
      <c r="AX258" s="94"/>
      <c r="AY258" s="94"/>
      <c r="AZ258" s="94"/>
      <c r="BA258" s="94"/>
      <c r="BB258" s="94"/>
      <c r="BC258" s="94"/>
      <c r="BD258" s="94"/>
      <c r="BE258" s="94"/>
      <c r="BF258" s="94"/>
    </row>
    <row r="259">
      <c r="A259" s="181"/>
      <c r="B259" s="154"/>
      <c r="C259" s="154"/>
      <c r="D259" s="131"/>
      <c r="E259" s="94"/>
      <c r="F259" s="160" t="s">
        <v>28</v>
      </c>
      <c r="I259" s="11"/>
      <c r="K259" s="181"/>
      <c r="L259" s="154"/>
      <c r="M259" s="154"/>
      <c r="N259" s="131"/>
      <c r="O259" s="94"/>
      <c r="P259" s="160" t="s">
        <v>28</v>
      </c>
      <c r="S259" s="11"/>
      <c r="U259" s="37">
        <v>25.0</v>
      </c>
      <c r="V259" s="157">
        <v>43.3</v>
      </c>
      <c r="W259" s="155" t="s">
        <v>59</v>
      </c>
      <c r="X259" s="156">
        <v>250.0</v>
      </c>
      <c r="Y259" s="94"/>
      <c r="Z259" s="160" t="s">
        <v>28</v>
      </c>
      <c r="AC259" s="11"/>
      <c r="AT259" s="94"/>
      <c r="AU259" s="94"/>
      <c r="AV259" s="94"/>
      <c r="AW259" s="94"/>
      <c r="AX259" s="94"/>
      <c r="AY259" s="94"/>
      <c r="AZ259" s="94"/>
      <c r="BA259" s="94"/>
      <c r="BB259" s="94"/>
      <c r="BC259" s="94"/>
      <c r="BD259" s="94"/>
      <c r="BE259" s="94"/>
      <c r="BF259" s="94"/>
    </row>
    <row r="260">
      <c r="A260" s="181"/>
      <c r="B260" s="154"/>
      <c r="C260" s="154"/>
      <c r="D260" s="131"/>
      <c r="E260" s="94"/>
      <c r="I260" s="11"/>
      <c r="K260" s="181"/>
      <c r="L260" s="154"/>
      <c r="M260" s="154"/>
      <c r="N260" s="131"/>
      <c r="O260" s="94"/>
      <c r="S260" s="11"/>
      <c r="U260" s="37">
        <v>26.0</v>
      </c>
      <c r="V260" s="157">
        <v>42.8</v>
      </c>
      <c r="W260" s="155" t="s">
        <v>59</v>
      </c>
      <c r="X260" s="156">
        <v>250.0</v>
      </c>
      <c r="Y260" s="94"/>
      <c r="AC260" s="11"/>
      <c r="AT260" s="160"/>
      <c r="AU260" s="160"/>
      <c r="AV260" s="160"/>
      <c r="AW260" s="160"/>
      <c r="AX260" s="160"/>
      <c r="AY260" s="160"/>
      <c r="AZ260" s="160"/>
      <c r="BA260" s="160"/>
      <c r="BB260" s="160"/>
      <c r="BC260" s="160"/>
      <c r="BD260" s="160"/>
      <c r="BE260" s="160"/>
      <c r="BF260" s="160"/>
    </row>
    <row r="261">
      <c r="A261" s="181"/>
      <c r="B261" s="154"/>
      <c r="C261" s="154"/>
      <c r="D261" s="131"/>
      <c r="E261" s="94"/>
      <c r="I261" s="11"/>
      <c r="K261" s="181"/>
      <c r="L261" s="154"/>
      <c r="M261" s="154"/>
      <c r="N261" s="131"/>
      <c r="O261" s="94"/>
      <c r="S261" s="11"/>
      <c r="U261" s="37">
        <v>27.0</v>
      </c>
      <c r="V261" s="157">
        <v>34.7</v>
      </c>
      <c r="W261" s="155" t="s">
        <v>66</v>
      </c>
      <c r="X261" s="156">
        <v>200.0</v>
      </c>
      <c r="Y261" s="94"/>
      <c r="AC261" s="11"/>
      <c r="AT261" s="160"/>
      <c r="AU261" s="160"/>
      <c r="AV261" s="160"/>
      <c r="AW261" s="160"/>
      <c r="AX261" s="160"/>
      <c r="AY261" s="160"/>
      <c r="AZ261" s="160"/>
      <c r="BA261" s="160"/>
      <c r="BB261" s="160"/>
      <c r="BC261" s="160"/>
      <c r="BD261" s="160"/>
      <c r="BE261" s="160"/>
      <c r="BF261" s="160"/>
    </row>
    <row r="262">
      <c r="A262" s="181"/>
      <c r="B262" s="154"/>
      <c r="C262" s="154"/>
      <c r="D262" s="131"/>
      <c r="E262" s="94"/>
      <c r="F262" s="94"/>
      <c r="G262" s="94"/>
      <c r="H262" s="270"/>
      <c r="I262" s="271"/>
      <c r="K262" s="181"/>
      <c r="L262" s="154"/>
      <c r="M262" s="154"/>
      <c r="N262" s="131"/>
      <c r="O262" s="94"/>
      <c r="P262" s="94"/>
      <c r="Q262" s="94"/>
      <c r="R262" s="270"/>
      <c r="S262" s="271"/>
      <c r="U262" s="37">
        <v>28.0</v>
      </c>
      <c r="V262" s="157">
        <v>42.6</v>
      </c>
      <c r="W262" s="155" t="s">
        <v>59</v>
      </c>
      <c r="X262" s="156">
        <v>248.0</v>
      </c>
      <c r="Y262" s="94"/>
      <c r="Z262" s="94"/>
      <c r="AA262" s="94"/>
      <c r="AB262" s="270"/>
      <c r="AC262" s="271"/>
      <c r="AT262" s="160"/>
      <c r="AU262" s="160"/>
      <c r="AV262" s="160"/>
      <c r="AW262" s="160"/>
      <c r="AX262" s="160"/>
      <c r="AY262" s="160"/>
      <c r="AZ262" s="160"/>
      <c r="BA262" s="160"/>
      <c r="BB262" s="160"/>
      <c r="BC262" s="160"/>
      <c r="BD262" s="160"/>
      <c r="BE262" s="160"/>
      <c r="BF262" s="160"/>
    </row>
    <row r="263">
      <c r="A263" s="181"/>
      <c r="B263" s="154"/>
      <c r="C263" s="154"/>
      <c r="D263" s="131"/>
      <c r="E263" s="94"/>
      <c r="F263" s="94"/>
      <c r="G263" s="94"/>
      <c r="H263" s="270"/>
      <c r="I263" s="271"/>
      <c r="K263" s="181"/>
      <c r="L263" s="154"/>
      <c r="M263" s="154"/>
      <c r="N263" s="131"/>
      <c r="O263" s="94"/>
      <c r="P263" s="94"/>
      <c r="Q263" s="94"/>
      <c r="R263" s="270"/>
      <c r="S263" s="271"/>
      <c r="U263" s="37">
        <v>29.0</v>
      </c>
      <c r="V263" s="157">
        <v>28.3</v>
      </c>
      <c r="W263" s="155" t="s">
        <v>87</v>
      </c>
      <c r="X263" s="156">
        <v>250.0</v>
      </c>
      <c r="Y263" s="94"/>
      <c r="Z263" s="94"/>
      <c r="AA263" s="94"/>
      <c r="AB263" s="270"/>
      <c r="AC263" s="271"/>
      <c r="AT263" s="160"/>
      <c r="AU263" s="160"/>
      <c r="AV263" s="160"/>
      <c r="AW263" s="160"/>
      <c r="AX263" s="160"/>
      <c r="AY263" s="160"/>
      <c r="AZ263" s="160"/>
      <c r="BA263" s="160"/>
      <c r="BB263" s="160"/>
      <c r="BC263" s="160"/>
      <c r="BD263" s="160"/>
      <c r="BE263" s="160"/>
      <c r="BF263" s="160"/>
    </row>
    <row r="264">
      <c r="A264" s="181"/>
      <c r="B264" s="154"/>
      <c r="C264" s="154"/>
      <c r="D264" s="131"/>
      <c r="E264" s="94"/>
      <c r="F264" s="94"/>
      <c r="G264" s="94"/>
      <c r="H264" s="270"/>
      <c r="I264" s="271"/>
      <c r="K264" s="181"/>
      <c r="L264" s="154"/>
      <c r="M264" s="154"/>
      <c r="N264" s="131"/>
      <c r="O264" s="94"/>
      <c r="P264" s="94"/>
      <c r="Q264" s="94"/>
      <c r="R264" s="270"/>
      <c r="S264" s="271"/>
      <c r="U264" s="37">
        <v>30.0</v>
      </c>
      <c r="V264" s="157">
        <v>28.2</v>
      </c>
      <c r="W264" s="155" t="s">
        <v>87</v>
      </c>
      <c r="X264" s="156">
        <v>250.0</v>
      </c>
      <c r="Y264" s="94"/>
      <c r="Z264" s="94"/>
      <c r="AA264" s="94"/>
      <c r="AB264" s="270"/>
      <c r="AC264" s="271"/>
      <c r="AT264" s="160"/>
      <c r="AU264" s="160"/>
      <c r="AV264" s="160"/>
      <c r="AW264" s="160"/>
      <c r="AX264" s="160"/>
      <c r="AY264" s="160"/>
      <c r="AZ264" s="160"/>
      <c r="BA264" s="160"/>
      <c r="BB264" s="160"/>
      <c r="BC264" s="160"/>
      <c r="BD264" s="160"/>
      <c r="BE264" s="160"/>
      <c r="BF264" s="160"/>
    </row>
    <row r="265">
      <c r="A265" s="181"/>
      <c r="B265" s="154"/>
      <c r="C265" s="154"/>
      <c r="D265" s="131"/>
      <c r="E265" s="94"/>
      <c r="F265" s="94"/>
      <c r="G265" s="94"/>
      <c r="H265" s="270"/>
      <c r="I265" s="271"/>
      <c r="K265" s="181"/>
      <c r="L265" s="154"/>
      <c r="M265" s="154"/>
      <c r="N265" s="131"/>
      <c r="O265" s="94"/>
      <c r="P265" s="94"/>
      <c r="Q265" s="94"/>
      <c r="R265" s="270"/>
      <c r="S265" s="271"/>
      <c r="U265" s="37">
        <v>31.0</v>
      </c>
      <c r="V265" s="157">
        <v>31.7</v>
      </c>
      <c r="W265" s="155" t="s">
        <v>88</v>
      </c>
      <c r="X265" s="156">
        <v>200.0</v>
      </c>
      <c r="Y265" s="94"/>
      <c r="Z265" s="94"/>
      <c r="AA265" s="94"/>
      <c r="AB265" s="270"/>
      <c r="AC265" s="271"/>
      <c r="AT265" s="160"/>
      <c r="AU265" s="160"/>
      <c r="AV265" s="160"/>
      <c r="AW265" s="160"/>
      <c r="AX265" s="160"/>
      <c r="AY265" s="160"/>
      <c r="AZ265" s="160"/>
      <c r="BA265" s="160"/>
      <c r="BB265" s="160"/>
      <c r="BC265" s="160"/>
      <c r="BD265" s="160"/>
      <c r="BE265" s="160"/>
      <c r="BF265" s="160"/>
    </row>
    <row r="266">
      <c r="A266" s="181"/>
      <c r="B266" s="154"/>
      <c r="C266" s="154"/>
      <c r="D266" s="131"/>
      <c r="E266" s="94"/>
      <c r="F266" s="94"/>
      <c r="G266" s="94"/>
      <c r="H266" s="270"/>
      <c r="I266" s="271"/>
      <c r="K266" s="181"/>
      <c r="L266" s="154"/>
      <c r="M266" s="154"/>
      <c r="N266" s="131"/>
      <c r="O266" s="94"/>
      <c r="P266" s="94"/>
      <c r="Q266" s="94"/>
      <c r="R266" s="270"/>
      <c r="S266" s="271"/>
      <c r="U266" s="37">
        <v>32.0</v>
      </c>
      <c r="V266" s="157">
        <v>31.9</v>
      </c>
      <c r="W266" s="155" t="s">
        <v>88</v>
      </c>
      <c r="X266" s="156">
        <v>200.0</v>
      </c>
      <c r="Y266" s="94"/>
      <c r="Z266" s="94"/>
      <c r="AA266" s="94"/>
      <c r="AB266" s="270"/>
      <c r="AC266" s="271"/>
      <c r="AT266" s="160"/>
      <c r="AU266" s="160"/>
      <c r="AV266" s="160"/>
      <c r="AW266" s="160"/>
      <c r="AX266" s="160"/>
      <c r="AY266" s="160"/>
      <c r="AZ266" s="160"/>
      <c r="BA266" s="160"/>
      <c r="BB266" s="160"/>
      <c r="BC266" s="160"/>
      <c r="BD266" s="160"/>
      <c r="BE266" s="160"/>
      <c r="BF266" s="160"/>
    </row>
    <row r="267">
      <c r="A267" s="181"/>
      <c r="B267" s="154"/>
      <c r="C267" s="154"/>
      <c r="D267" s="131"/>
      <c r="E267" s="94"/>
      <c r="F267" s="94"/>
      <c r="G267" s="94"/>
      <c r="H267" s="270"/>
      <c r="I267" s="271"/>
      <c r="K267" s="181"/>
      <c r="L267" s="154"/>
      <c r="M267" s="154"/>
      <c r="N267" s="131"/>
      <c r="O267" s="94"/>
      <c r="P267" s="94"/>
      <c r="Q267" s="94"/>
      <c r="R267" s="270"/>
      <c r="S267" s="271"/>
      <c r="U267" s="37">
        <v>33.0</v>
      </c>
      <c r="V267" s="157">
        <v>16.0</v>
      </c>
      <c r="W267" s="155" t="s">
        <v>88</v>
      </c>
      <c r="X267" s="156">
        <v>100.0</v>
      </c>
      <c r="Y267" s="94"/>
      <c r="Z267" s="94"/>
      <c r="AA267" s="94"/>
      <c r="AB267" s="270"/>
      <c r="AC267" s="271"/>
      <c r="AT267" s="160"/>
      <c r="AU267" s="160"/>
      <c r="AV267" s="160"/>
      <c r="AW267" s="160"/>
      <c r="AX267" s="160"/>
      <c r="AY267" s="160"/>
      <c r="AZ267" s="160"/>
      <c r="BA267" s="160"/>
      <c r="BB267" s="160"/>
      <c r="BC267" s="160"/>
      <c r="BD267" s="160"/>
      <c r="BE267" s="160"/>
      <c r="BF267" s="160"/>
    </row>
    <row r="268">
      <c r="A268" s="181"/>
      <c r="B268" s="154"/>
      <c r="C268" s="154"/>
      <c r="D268" s="131"/>
      <c r="E268" s="94"/>
      <c r="F268" s="94"/>
      <c r="G268" s="94"/>
      <c r="H268" s="270"/>
      <c r="I268" s="271"/>
      <c r="K268" s="181"/>
      <c r="L268" s="154"/>
      <c r="M268" s="154"/>
      <c r="N268" s="131"/>
      <c r="O268" s="94"/>
      <c r="P268" s="94"/>
      <c r="Q268" s="94"/>
      <c r="R268" s="270"/>
      <c r="S268" s="271"/>
      <c r="U268" s="37">
        <v>34.0</v>
      </c>
      <c r="V268" s="157">
        <v>42.2</v>
      </c>
      <c r="W268" s="155" t="s">
        <v>59</v>
      </c>
      <c r="X268" s="156">
        <v>250.0</v>
      </c>
      <c r="Y268" s="94"/>
      <c r="Z268" s="94"/>
      <c r="AA268" s="94"/>
      <c r="AB268" s="270"/>
      <c r="AC268" s="271"/>
      <c r="AT268" s="160"/>
      <c r="AU268" s="160"/>
      <c r="AV268" s="160"/>
      <c r="AW268" s="160"/>
      <c r="AX268" s="160"/>
      <c r="AY268" s="160"/>
      <c r="AZ268" s="160"/>
      <c r="BA268" s="160"/>
      <c r="BB268" s="160"/>
      <c r="BC268" s="160"/>
      <c r="BD268" s="160"/>
      <c r="BE268" s="160"/>
      <c r="BF268" s="160"/>
    </row>
    <row r="269">
      <c r="A269" s="181"/>
      <c r="B269" s="154"/>
      <c r="C269" s="154"/>
      <c r="D269" s="131"/>
      <c r="E269" s="94"/>
      <c r="F269" s="94"/>
      <c r="G269" s="94"/>
      <c r="H269" s="270"/>
      <c r="I269" s="271"/>
      <c r="K269" s="181"/>
      <c r="L269" s="154"/>
      <c r="M269" s="154"/>
      <c r="N269" s="131"/>
      <c r="O269" s="94"/>
      <c r="P269" s="94"/>
      <c r="Q269" s="94"/>
      <c r="R269" s="270"/>
      <c r="S269" s="271"/>
      <c r="U269" s="37">
        <v>35.0</v>
      </c>
      <c r="V269" s="157">
        <v>42.4</v>
      </c>
      <c r="W269" s="155" t="s">
        <v>59</v>
      </c>
      <c r="X269" s="156">
        <v>250.0</v>
      </c>
      <c r="Y269" s="94"/>
      <c r="Z269" s="94"/>
      <c r="AA269" s="94"/>
      <c r="AB269" s="270"/>
      <c r="AC269" s="271"/>
      <c r="AT269" s="160"/>
      <c r="AU269" s="160"/>
      <c r="AV269" s="160"/>
      <c r="AW269" s="160"/>
      <c r="AX269" s="160"/>
      <c r="AY269" s="160"/>
      <c r="AZ269" s="160"/>
      <c r="BA269" s="160"/>
      <c r="BB269" s="160"/>
      <c r="BC269" s="160"/>
      <c r="BD269" s="160"/>
      <c r="BE269" s="160"/>
      <c r="BF269" s="160"/>
    </row>
    <row r="270">
      <c r="A270" s="181"/>
      <c r="B270" s="154"/>
      <c r="C270" s="154"/>
      <c r="D270" s="131"/>
      <c r="E270" s="94"/>
      <c r="F270" s="94"/>
      <c r="G270" s="94"/>
      <c r="H270" s="270"/>
      <c r="I270" s="271"/>
      <c r="K270" s="181"/>
      <c r="L270" s="154"/>
      <c r="M270" s="154"/>
      <c r="N270" s="131"/>
      <c r="O270" s="94"/>
      <c r="P270" s="94"/>
      <c r="Q270" s="94"/>
      <c r="R270" s="270"/>
      <c r="S270" s="271"/>
      <c r="U270" s="37">
        <v>36.0</v>
      </c>
      <c r="V270" s="157">
        <v>42.5</v>
      </c>
      <c r="W270" s="155" t="s">
        <v>59</v>
      </c>
      <c r="X270" s="156">
        <v>250.0</v>
      </c>
      <c r="Y270" s="94"/>
      <c r="Z270" s="94"/>
      <c r="AA270" s="94"/>
      <c r="AB270" s="270"/>
      <c r="AC270" s="271"/>
      <c r="AT270" s="160"/>
      <c r="AU270" s="160"/>
      <c r="AV270" s="160"/>
      <c r="AW270" s="160"/>
      <c r="AX270" s="160"/>
      <c r="AY270" s="160"/>
      <c r="AZ270" s="160"/>
      <c r="BA270" s="160"/>
      <c r="BB270" s="160"/>
      <c r="BC270" s="160"/>
      <c r="BD270" s="160"/>
      <c r="BE270" s="160"/>
      <c r="BF270" s="160"/>
    </row>
    <row r="271">
      <c r="A271" s="181"/>
      <c r="B271" s="154"/>
      <c r="C271" s="154"/>
      <c r="D271" s="131"/>
      <c r="E271" s="94"/>
      <c r="F271" s="94"/>
      <c r="G271" s="94"/>
      <c r="H271" s="270"/>
      <c r="I271" s="271"/>
      <c r="K271" s="181"/>
      <c r="L271" s="154"/>
      <c r="M271" s="154"/>
      <c r="N271" s="131"/>
      <c r="O271" s="94"/>
      <c r="P271" s="94"/>
      <c r="Q271" s="94"/>
      <c r="R271" s="270"/>
      <c r="S271" s="271"/>
      <c r="U271" s="37">
        <v>37.0</v>
      </c>
      <c r="V271" s="157">
        <v>42.1</v>
      </c>
      <c r="W271" s="155" t="s">
        <v>59</v>
      </c>
      <c r="X271" s="156">
        <v>250.0</v>
      </c>
      <c r="Y271" s="94"/>
      <c r="Z271" s="94"/>
      <c r="AA271" s="94"/>
      <c r="AB271" s="270"/>
      <c r="AC271" s="271"/>
      <c r="AT271" s="160"/>
      <c r="AU271" s="160"/>
      <c r="AV271" s="160"/>
      <c r="AW271" s="160"/>
      <c r="AX271" s="160"/>
      <c r="AY271" s="160"/>
      <c r="AZ271" s="160"/>
      <c r="BA271" s="160"/>
      <c r="BB271" s="160"/>
      <c r="BC271" s="160"/>
      <c r="BD271" s="160"/>
      <c r="BE271" s="160"/>
      <c r="BF271" s="160"/>
    </row>
    <row r="272">
      <c r="A272" s="181"/>
      <c r="B272" s="154"/>
      <c r="C272" s="154"/>
      <c r="D272" s="131"/>
      <c r="E272" s="94"/>
      <c r="F272" s="94"/>
      <c r="G272" s="94"/>
      <c r="H272" s="270"/>
      <c r="I272" s="271"/>
      <c r="K272" s="181"/>
      <c r="L272" s="154"/>
      <c r="M272" s="154"/>
      <c r="N272" s="131"/>
      <c r="O272" s="94"/>
      <c r="P272" s="94"/>
      <c r="Q272" s="94"/>
      <c r="R272" s="270"/>
      <c r="S272" s="271"/>
      <c r="U272" s="37">
        <v>38.0</v>
      </c>
      <c r="V272" s="157">
        <v>42.3</v>
      </c>
      <c r="W272" s="155" t="s">
        <v>59</v>
      </c>
      <c r="X272" s="156">
        <v>250.0</v>
      </c>
      <c r="Y272" s="94"/>
      <c r="Z272" s="94"/>
      <c r="AA272" s="94"/>
      <c r="AB272" s="270"/>
      <c r="AC272" s="271"/>
      <c r="AT272" s="160"/>
      <c r="AU272" s="160"/>
      <c r="AV272" s="160"/>
      <c r="AW272" s="160"/>
      <c r="AX272" s="160"/>
      <c r="AY272" s="160"/>
      <c r="AZ272" s="160"/>
      <c r="BA272" s="160"/>
      <c r="BB272" s="160"/>
      <c r="BC272" s="160"/>
      <c r="BD272" s="160"/>
      <c r="BE272" s="160"/>
      <c r="BF272" s="160"/>
    </row>
    <row r="273">
      <c r="A273" s="181"/>
      <c r="B273" s="154"/>
      <c r="C273" s="154"/>
      <c r="D273" s="131"/>
      <c r="E273" s="94"/>
      <c r="F273" s="94"/>
      <c r="G273" s="94"/>
      <c r="H273" s="270"/>
      <c r="I273" s="271"/>
      <c r="K273" s="181"/>
      <c r="L273" s="154"/>
      <c r="M273" s="154"/>
      <c r="N273" s="131"/>
      <c r="O273" s="94"/>
      <c r="P273" s="94"/>
      <c r="Q273" s="94"/>
      <c r="R273" s="270"/>
      <c r="S273" s="271"/>
      <c r="U273" s="37">
        <v>39.0</v>
      </c>
      <c r="V273" s="157">
        <v>42.4</v>
      </c>
      <c r="W273" s="155" t="s">
        <v>59</v>
      </c>
      <c r="X273" s="156">
        <v>250.0</v>
      </c>
      <c r="Y273" s="94"/>
      <c r="Z273" s="94"/>
      <c r="AA273" s="94"/>
      <c r="AB273" s="270"/>
      <c r="AC273" s="271"/>
      <c r="AT273" s="160"/>
      <c r="AU273" s="160"/>
      <c r="AV273" s="160"/>
      <c r="AW273" s="160"/>
      <c r="AX273" s="160"/>
      <c r="AY273" s="160"/>
      <c r="AZ273" s="160"/>
      <c r="BA273" s="160"/>
      <c r="BB273" s="160"/>
      <c r="BC273" s="160"/>
      <c r="BD273" s="160"/>
      <c r="BE273" s="160"/>
      <c r="BF273" s="160"/>
    </row>
    <row r="274">
      <c r="A274" s="181"/>
      <c r="B274" s="154"/>
      <c r="C274" s="154"/>
      <c r="D274" s="131"/>
      <c r="E274" s="94"/>
      <c r="F274" s="94"/>
      <c r="G274" s="94"/>
      <c r="H274" s="270"/>
      <c r="I274" s="271"/>
      <c r="K274" s="181"/>
      <c r="L274" s="154"/>
      <c r="M274" s="154"/>
      <c r="N274" s="131"/>
      <c r="O274" s="94"/>
      <c r="P274" s="94"/>
      <c r="Q274" s="94"/>
      <c r="R274" s="270"/>
      <c r="S274" s="271"/>
      <c r="U274" s="37">
        <v>40.0</v>
      </c>
      <c r="V274" s="157">
        <v>42.4</v>
      </c>
      <c r="W274" s="155" t="s">
        <v>59</v>
      </c>
      <c r="X274" s="156">
        <v>250.0</v>
      </c>
      <c r="Y274" s="94"/>
      <c r="Z274" s="94"/>
      <c r="AA274" s="94"/>
      <c r="AB274" s="270"/>
      <c r="AC274" s="271"/>
      <c r="AT274" s="160"/>
      <c r="AU274" s="160"/>
      <c r="AV274" s="160"/>
      <c r="AW274" s="160"/>
      <c r="AX274" s="160"/>
      <c r="AY274" s="160"/>
      <c r="AZ274" s="160"/>
      <c r="BA274" s="160"/>
      <c r="BB274" s="160"/>
      <c r="BC274" s="160"/>
      <c r="BD274" s="160"/>
      <c r="BE274" s="160"/>
      <c r="BF274" s="160"/>
    </row>
    <row r="275">
      <c r="A275" s="181"/>
      <c r="B275" s="154"/>
      <c r="C275" s="154"/>
      <c r="D275" s="131"/>
      <c r="E275" s="94"/>
      <c r="F275" s="94"/>
      <c r="G275" s="94"/>
      <c r="H275" s="270"/>
      <c r="I275" s="271"/>
      <c r="K275" s="181"/>
      <c r="L275" s="154"/>
      <c r="M275" s="154"/>
      <c r="N275" s="131"/>
      <c r="O275" s="94"/>
      <c r="P275" s="94"/>
      <c r="Q275" s="94"/>
      <c r="R275" s="270"/>
      <c r="S275" s="271"/>
      <c r="U275" s="37">
        <v>41.0</v>
      </c>
      <c r="V275" s="157">
        <v>42.8</v>
      </c>
      <c r="W275" s="155" t="s">
        <v>59</v>
      </c>
      <c r="X275" s="156">
        <v>250.0</v>
      </c>
      <c r="Y275" s="94"/>
      <c r="Z275" s="94"/>
      <c r="AA275" s="94"/>
      <c r="AB275" s="270"/>
      <c r="AC275" s="271"/>
      <c r="AT275" s="160"/>
      <c r="AU275" s="160"/>
      <c r="AV275" s="160"/>
      <c r="AW275" s="160"/>
      <c r="AX275" s="160"/>
      <c r="AY275" s="160"/>
      <c r="AZ275" s="160"/>
      <c r="BA275" s="160"/>
      <c r="BB275" s="160"/>
      <c r="BC275" s="160"/>
      <c r="BD275" s="160"/>
      <c r="BE275" s="160"/>
      <c r="BF275" s="160"/>
    </row>
    <row r="276">
      <c r="A276" s="181"/>
      <c r="B276" s="154"/>
      <c r="C276" s="154"/>
      <c r="D276" s="131"/>
      <c r="E276" s="94"/>
      <c r="F276" s="94"/>
      <c r="G276" s="94"/>
      <c r="H276" s="270"/>
      <c r="I276" s="271"/>
      <c r="K276" s="181"/>
      <c r="L276" s="154"/>
      <c r="M276" s="154"/>
      <c r="N276" s="131"/>
      <c r="O276" s="94"/>
      <c r="P276" s="94"/>
      <c r="Q276" s="94"/>
      <c r="R276" s="270"/>
      <c r="S276" s="271"/>
      <c r="U276" s="37">
        <v>42.0</v>
      </c>
      <c r="V276" s="154"/>
      <c r="W276" s="155" t="s">
        <v>59</v>
      </c>
      <c r="X276" s="131"/>
      <c r="Y276" s="94"/>
      <c r="Z276" s="94"/>
      <c r="AA276" s="94"/>
      <c r="AB276" s="270"/>
      <c r="AC276" s="271"/>
      <c r="AT276" s="160"/>
      <c r="AU276" s="160"/>
      <c r="AV276" s="160"/>
      <c r="AW276" s="160"/>
      <c r="AX276" s="160"/>
      <c r="AY276" s="160"/>
      <c r="AZ276" s="160"/>
      <c r="BA276" s="160"/>
      <c r="BB276" s="160"/>
      <c r="BC276" s="160"/>
      <c r="BD276" s="160"/>
      <c r="BE276" s="160"/>
      <c r="BF276" s="160"/>
    </row>
    <row r="277">
      <c r="A277" s="181"/>
      <c r="B277" s="154"/>
      <c r="C277" s="154"/>
      <c r="D277" s="131"/>
      <c r="E277" s="94"/>
      <c r="F277" s="94"/>
      <c r="G277" s="94"/>
      <c r="H277" s="270"/>
      <c r="I277" s="271"/>
      <c r="K277" s="181"/>
      <c r="L277" s="154"/>
      <c r="M277" s="154"/>
      <c r="N277" s="131"/>
      <c r="O277" s="94"/>
      <c r="P277" s="94"/>
      <c r="Q277" s="94"/>
      <c r="R277" s="270"/>
      <c r="S277" s="271"/>
      <c r="U277" s="37">
        <v>43.0</v>
      </c>
      <c r="V277" s="154"/>
      <c r="W277" s="154"/>
      <c r="X277" s="131"/>
      <c r="Y277" s="94"/>
      <c r="Z277" s="94"/>
      <c r="AA277" s="94"/>
      <c r="AB277" s="270"/>
      <c r="AC277" s="271"/>
      <c r="AT277" s="160"/>
      <c r="AU277" s="160"/>
      <c r="AV277" s="160"/>
      <c r="AW277" s="160"/>
      <c r="AX277" s="160"/>
      <c r="AY277" s="160"/>
      <c r="AZ277" s="160"/>
      <c r="BA277" s="160"/>
      <c r="BB277" s="160"/>
      <c r="BC277" s="160"/>
      <c r="BD277" s="160"/>
      <c r="BE277" s="160"/>
      <c r="BF277" s="160"/>
    </row>
    <row r="278">
      <c r="A278" s="181"/>
      <c r="B278" s="154"/>
      <c r="C278" s="154"/>
      <c r="D278" s="131"/>
      <c r="E278" s="94"/>
      <c r="F278" s="94"/>
      <c r="G278" s="94"/>
      <c r="H278" s="270"/>
      <c r="I278" s="271"/>
      <c r="K278" s="181"/>
      <c r="L278" s="154"/>
      <c r="M278" s="154"/>
      <c r="N278" s="131"/>
      <c r="O278" s="94"/>
      <c r="P278" s="94"/>
      <c r="Q278" s="94"/>
      <c r="R278" s="270"/>
      <c r="S278" s="271"/>
      <c r="U278" s="181"/>
      <c r="V278" s="154"/>
      <c r="W278" s="154"/>
      <c r="X278" s="131"/>
      <c r="Y278" s="94"/>
      <c r="Z278" s="94"/>
      <c r="AA278" s="94"/>
      <c r="AB278" s="270"/>
      <c r="AC278" s="271"/>
      <c r="AT278" s="94"/>
      <c r="AU278" s="94"/>
      <c r="AV278" s="94"/>
      <c r="AW278" s="94"/>
      <c r="AX278" s="94"/>
      <c r="AY278" s="94"/>
      <c r="AZ278" s="94"/>
      <c r="BA278" s="94"/>
      <c r="BB278" s="94"/>
      <c r="BC278" s="94"/>
      <c r="BD278" s="94"/>
      <c r="BE278" s="94"/>
      <c r="BF278" s="94"/>
    </row>
    <row r="279">
      <c r="A279" s="181"/>
      <c r="B279" s="154"/>
      <c r="C279" s="154"/>
      <c r="D279" s="187"/>
      <c r="E279" s="94"/>
      <c r="F279" s="94"/>
      <c r="G279" s="94"/>
      <c r="H279" s="270"/>
      <c r="I279" s="271"/>
      <c r="K279" s="181"/>
      <c r="L279" s="154"/>
      <c r="M279" s="154"/>
      <c r="N279" s="187"/>
      <c r="O279" s="94"/>
      <c r="P279" s="94"/>
      <c r="Q279" s="94"/>
      <c r="R279" s="270"/>
      <c r="S279" s="271"/>
      <c r="U279" s="181"/>
      <c r="V279" s="154"/>
      <c r="W279" s="154"/>
      <c r="X279" s="187"/>
      <c r="Y279" s="94"/>
      <c r="Z279" s="94"/>
      <c r="AA279" s="94"/>
      <c r="AB279" s="270"/>
      <c r="AC279" s="271"/>
      <c r="AT279" s="94"/>
      <c r="AU279" s="94"/>
      <c r="AV279" s="94"/>
      <c r="AW279" s="94"/>
      <c r="AX279" s="94"/>
      <c r="AY279" s="94"/>
      <c r="AZ279" s="94"/>
      <c r="BA279" s="94"/>
      <c r="BB279" s="94"/>
      <c r="BC279" s="94"/>
      <c r="BD279" s="94"/>
      <c r="BE279" s="94"/>
      <c r="BF279" s="94"/>
    </row>
    <row r="280">
      <c r="A280" s="181"/>
      <c r="B280" s="154"/>
      <c r="C280" s="154"/>
      <c r="D280" s="187"/>
      <c r="E280" s="94"/>
      <c r="F280" s="94"/>
      <c r="G280" s="94"/>
      <c r="H280" s="270"/>
      <c r="I280" s="271"/>
      <c r="K280" s="181"/>
      <c r="L280" s="154"/>
      <c r="M280" s="154"/>
      <c r="N280" s="187"/>
      <c r="O280" s="94"/>
      <c r="P280" s="94"/>
      <c r="Q280" s="94"/>
      <c r="R280" s="270"/>
      <c r="S280" s="271"/>
      <c r="U280" s="181"/>
      <c r="V280" s="154"/>
      <c r="W280" s="154"/>
      <c r="X280" s="187"/>
      <c r="Y280" s="94"/>
      <c r="Z280" s="94"/>
      <c r="AA280" s="94"/>
      <c r="AB280" s="270"/>
      <c r="AC280" s="271"/>
      <c r="AT280" s="94"/>
      <c r="AU280" s="94"/>
      <c r="AV280" s="94"/>
      <c r="AW280" s="94"/>
      <c r="AX280" s="94"/>
      <c r="AY280" s="94"/>
      <c r="AZ280" s="94"/>
      <c r="BA280" s="94"/>
      <c r="BB280" s="94"/>
      <c r="BC280" s="94"/>
      <c r="BD280" s="94"/>
      <c r="BE280" s="94"/>
      <c r="BF280" s="94"/>
    </row>
    <row r="281">
      <c r="A281" s="181"/>
      <c r="B281" s="154"/>
      <c r="C281" s="154"/>
      <c r="D281" s="187"/>
      <c r="E281" s="94"/>
      <c r="F281" s="94"/>
      <c r="G281" s="94"/>
      <c r="H281" s="270"/>
      <c r="I281" s="271"/>
      <c r="K281" s="181"/>
      <c r="L281" s="154"/>
      <c r="M281" s="154"/>
      <c r="N281" s="187"/>
      <c r="O281" s="94"/>
      <c r="P281" s="94"/>
      <c r="Q281" s="94"/>
      <c r="R281" s="270"/>
      <c r="S281" s="271"/>
      <c r="U281" s="181"/>
      <c r="V281" s="154"/>
      <c r="W281" s="154"/>
      <c r="X281" s="187"/>
      <c r="Y281" s="94"/>
      <c r="Z281" s="94"/>
      <c r="AA281" s="94"/>
      <c r="AB281" s="270"/>
      <c r="AC281" s="271"/>
      <c r="AT281" s="94"/>
      <c r="AU281" s="94"/>
      <c r="AV281" s="94"/>
      <c r="AW281" s="94"/>
      <c r="AX281" s="94"/>
      <c r="AY281" s="94"/>
      <c r="AZ281" s="94"/>
      <c r="BA281" s="94"/>
      <c r="BB281" s="94"/>
      <c r="BC281" s="94"/>
      <c r="BD281" s="94"/>
      <c r="BE281" s="94"/>
      <c r="BF281" s="94"/>
    </row>
    <row r="282">
      <c r="A282" s="58"/>
      <c r="B282" s="59"/>
      <c r="C282" s="59"/>
      <c r="D282" s="285"/>
      <c r="E282" s="171"/>
      <c r="F282" s="171"/>
      <c r="G282" s="171"/>
      <c r="H282" s="286"/>
      <c r="I282" s="287"/>
      <c r="K282" s="194"/>
      <c r="L282" s="195"/>
      <c r="M282" s="195"/>
      <c r="N282" s="196"/>
      <c r="O282" s="171"/>
      <c r="P282" s="171"/>
      <c r="Q282" s="171"/>
      <c r="R282" s="286"/>
      <c r="S282" s="287"/>
      <c r="U282" s="194"/>
      <c r="V282" s="195"/>
      <c r="W282" s="195"/>
      <c r="X282" s="196"/>
      <c r="Y282" s="171"/>
      <c r="Z282" s="171"/>
      <c r="AA282" s="171"/>
      <c r="AB282" s="286"/>
      <c r="AC282" s="287"/>
      <c r="AT282" s="94"/>
      <c r="AU282" s="94"/>
      <c r="AV282" s="94"/>
      <c r="AW282" s="94"/>
      <c r="AX282" s="94"/>
      <c r="AY282" s="94"/>
      <c r="AZ282" s="94"/>
      <c r="BA282" s="94"/>
      <c r="BB282" s="94"/>
      <c r="BC282" s="94"/>
      <c r="BD282" s="94"/>
      <c r="BE282" s="94"/>
      <c r="BF282" s="94"/>
    </row>
    <row r="283">
      <c r="AT283" s="94"/>
      <c r="AU283" s="94"/>
      <c r="AV283" s="94"/>
      <c r="AW283" s="94"/>
      <c r="AX283" s="94"/>
      <c r="AY283" s="94"/>
      <c r="AZ283" s="94"/>
      <c r="BA283" s="94"/>
      <c r="BB283" s="94"/>
      <c r="BC283" s="94"/>
      <c r="BD283" s="94"/>
      <c r="BE283" s="94"/>
      <c r="BF283" s="94"/>
    </row>
    <row r="284">
      <c r="AT284" s="94"/>
      <c r="AU284" s="94"/>
      <c r="AV284" s="94"/>
      <c r="AW284" s="94"/>
      <c r="AX284" s="94"/>
      <c r="AY284" s="94"/>
      <c r="AZ284" s="94"/>
      <c r="BA284" s="94"/>
      <c r="BB284" s="94"/>
      <c r="BC284" s="94"/>
      <c r="BD284" s="94"/>
      <c r="BE284" s="94"/>
      <c r="BF284" s="94"/>
    </row>
    <row r="285">
      <c r="AT285" s="94"/>
      <c r="AU285" s="94"/>
      <c r="AV285" s="94"/>
      <c r="AW285" s="94"/>
      <c r="AX285" s="94"/>
      <c r="AY285" s="94"/>
      <c r="AZ285" s="94"/>
      <c r="BA285" s="94"/>
      <c r="BB285" s="94"/>
      <c r="BC285" s="94"/>
      <c r="BD285" s="94"/>
      <c r="BE285" s="94"/>
      <c r="BF285" s="94"/>
    </row>
    <row r="286">
      <c r="AT286" s="94"/>
      <c r="AU286" s="94"/>
      <c r="AV286" s="94"/>
      <c r="AW286" s="94"/>
      <c r="AX286" s="94"/>
      <c r="AY286" s="94"/>
      <c r="AZ286" s="94"/>
      <c r="BA286" s="94"/>
      <c r="BB286" s="94"/>
      <c r="BC286" s="94"/>
      <c r="BD286" s="94"/>
      <c r="BE286" s="94"/>
      <c r="BF286" s="94"/>
    </row>
    <row r="287">
      <c r="AT287" s="94"/>
      <c r="AU287" s="94"/>
      <c r="AV287" s="94"/>
      <c r="AW287" s="94"/>
      <c r="AX287" s="94"/>
      <c r="AY287" s="94"/>
      <c r="AZ287" s="94"/>
      <c r="BA287" s="94"/>
      <c r="BB287" s="94"/>
      <c r="BC287" s="94"/>
      <c r="BD287" s="94"/>
      <c r="BE287" s="94"/>
      <c r="BF287" s="94"/>
    </row>
    <row r="288">
      <c r="AT288" s="94"/>
      <c r="AU288" s="94"/>
      <c r="AV288" s="94"/>
      <c r="AW288" s="94"/>
      <c r="AX288" s="94"/>
      <c r="AY288" s="94"/>
      <c r="AZ288" s="94"/>
      <c r="BA288" s="94"/>
      <c r="BB288" s="94"/>
      <c r="BC288" s="94"/>
      <c r="BD288" s="94"/>
      <c r="BE288" s="94"/>
      <c r="BF288" s="94"/>
    </row>
  </sheetData>
  <mergeCells count="284">
    <mergeCell ref="AA232:AC232"/>
    <mergeCell ref="U233:AC233"/>
    <mergeCell ref="A232:B232"/>
    <mergeCell ref="C232:D232"/>
    <mergeCell ref="E232:F232"/>
    <mergeCell ref="K232:L232"/>
    <mergeCell ref="M232:N232"/>
    <mergeCell ref="A233:I233"/>
    <mergeCell ref="K233:S233"/>
    <mergeCell ref="AA231:AC231"/>
    <mergeCell ref="AA234:AC234"/>
    <mergeCell ref="AP239:AS239"/>
    <mergeCell ref="AP244:AS244"/>
    <mergeCell ref="AE231:AE243"/>
    <mergeCell ref="AE246:AE253"/>
    <mergeCell ref="AF246:AF247"/>
    <mergeCell ref="AF249:AF250"/>
    <mergeCell ref="AF252:AF253"/>
    <mergeCell ref="AE256:AE257"/>
    <mergeCell ref="AF256:AF257"/>
    <mergeCell ref="Q231:S231"/>
    <mergeCell ref="W231:X231"/>
    <mergeCell ref="Y231:Z231"/>
    <mergeCell ref="AF231:AF236"/>
    <mergeCell ref="Q232:S232"/>
    <mergeCell ref="Q234:S234"/>
    <mergeCell ref="AF238:AF243"/>
    <mergeCell ref="Z256:AC258"/>
    <mergeCell ref="Z259:AC261"/>
    <mergeCell ref="F250:G250"/>
    <mergeCell ref="P250:Q250"/>
    <mergeCell ref="Z250:AA250"/>
    <mergeCell ref="F256:I258"/>
    <mergeCell ref="P256:S258"/>
    <mergeCell ref="F259:I261"/>
    <mergeCell ref="P259:S261"/>
    <mergeCell ref="A229:I229"/>
    <mergeCell ref="C230:D230"/>
    <mergeCell ref="E230:F230"/>
    <mergeCell ref="G230:I230"/>
    <mergeCell ref="K230:L230"/>
    <mergeCell ref="M230:N230"/>
    <mergeCell ref="O230:P230"/>
    <mergeCell ref="A230:B230"/>
    <mergeCell ref="A231:B231"/>
    <mergeCell ref="C231:D231"/>
    <mergeCell ref="E231:F231"/>
    <mergeCell ref="G231:I231"/>
    <mergeCell ref="K231:L231"/>
    <mergeCell ref="M231:N231"/>
    <mergeCell ref="O231:P231"/>
    <mergeCell ref="O232:P232"/>
    <mergeCell ref="U231:V231"/>
    <mergeCell ref="U232:V232"/>
    <mergeCell ref="W232:X232"/>
    <mergeCell ref="Y232:Z232"/>
    <mergeCell ref="G232:I232"/>
    <mergeCell ref="G234:I234"/>
    <mergeCell ref="F235:I235"/>
    <mergeCell ref="P235:S235"/>
    <mergeCell ref="Z235:AC235"/>
    <mergeCell ref="U2:AB2"/>
    <mergeCell ref="U3:AB3"/>
    <mergeCell ref="K3:R3"/>
    <mergeCell ref="K4:R4"/>
    <mergeCell ref="A1:H1"/>
    <mergeCell ref="K1:R1"/>
    <mergeCell ref="U1:AB1"/>
    <mergeCell ref="A2:H2"/>
    <mergeCell ref="K2:R2"/>
    <mergeCell ref="A3:H3"/>
    <mergeCell ref="U4:AB4"/>
    <mergeCell ref="O5:P5"/>
    <mergeCell ref="Q5:R5"/>
    <mergeCell ref="U5:V5"/>
    <mergeCell ref="W5:X5"/>
    <mergeCell ref="Y5:Z5"/>
    <mergeCell ref="AA5:AB5"/>
    <mergeCell ref="A4:H4"/>
    <mergeCell ref="A5:B5"/>
    <mergeCell ref="C5:D5"/>
    <mergeCell ref="E5:F5"/>
    <mergeCell ref="G5:H5"/>
    <mergeCell ref="K5:L5"/>
    <mergeCell ref="M5:N5"/>
    <mergeCell ref="Q6:R6"/>
    <mergeCell ref="U6:V6"/>
    <mergeCell ref="W6:X6"/>
    <mergeCell ref="Y6:Z6"/>
    <mergeCell ref="AA6:AB6"/>
    <mergeCell ref="A6:B6"/>
    <mergeCell ref="C6:D6"/>
    <mergeCell ref="E6:F6"/>
    <mergeCell ref="G6:H6"/>
    <mergeCell ref="K6:L6"/>
    <mergeCell ref="M6:N6"/>
    <mergeCell ref="O6:P6"/>
    <mergeCell ref="AE52:AG52"/>
    <mergeCell ref="AE53:AG53"/>
    <mergeCell ref="AH52:AM52"/>
    <mergeCell ref="A53:B53"/>
    <mergeCell ref="C53:D53"/>
    <mergeCell ref="E53:F53"/>
    <mergeCell ref="G53:H53"/>
    <mergeCell ref="K53:L53"/>
    <mergeCell ref="Q53:R53"/>
    <mergeCell ref="AH53:AM53"/>
    <mergeCell ref="Q7:R7"/>
    <mergeCell ref="U7:V7"/>
    <mergeCell ref="W7:X7"/>
    <mergeCell ref="Y7:Z7"/>
    <mergeCell ref="AA7:AB7"/>
    <mergeCell ref="AA9:AB9"/>
    <mergeCell ref="Z10:AB10"/>
    <mergeCell ref="A8:H8"/>
    <mergeCell ref="K8:R8"/>
    <mergeCell ref="U8:AB8"/>
    <mergeCell ref="G9:H9"/>
    <mergeCell ref="Q9:R9"/>
    <mergeCell ref="F10:H10"/>
    <mergeCell ref="P10:R10"/>
    <mergeCell ref="A7:B7"/>
    <mergeCell ref="C7:D7"/>
    <mergeCell ref="E7:F7"/>
    <mergeCell ref="G7:H7"/>
    <mergeCell ref="K7:L7"/>
    <mergeCell ref="M7:N7"/>
    <mergeCell ref="O7:P7"/>
    <mergeCell ref="F31:H33"/>
    <mergeCell ref="P31:R33"/>
    <mergeCell ref="Z31:AB33"/>
    <mergeCell ref="F34:H36"/>
    <mergeCell ref="P34:R36"/>
    <mergeCell ref="Z34:AB36"/>
    <mergeCell ref="K49:R49"/>
    <mergeCell ref="A49:H49"/>
    <mergeCell ref="A50:H50"/>
    <mergeCell ref="K50:R50"/>
    <mergeCell ref="A51:H51"/>
    <mergeCell ref="K51:R51"/>
    <mergeCell ref="AE51:AG51"/>
    <mergeCell ref="AH51:AM51"/>
    <mergeCell ref="A55:B55"/>
    <mergeCell ref="C55:D55"/>
    <mergeCell ref="E55:F55"/>
    <mergeCell ref="G55:H55"/>
    <mergeCell ref="K55:L55"/>
    <mergeCell ref="M55:N55"/>
    <mergeCell ref="O55:P55"/>
    <mergeCell ref="Q55:R55"/>
    <mergeCell ref="M53:N53"/>
    <mergeCell ref="O53:P53"/>
    <mergeCell ref="A54:B54"/>
    <mergeCell ref="C54:D54"/>
    <mergeCell ref="E54:F54"/>
    <mergeCell ref="G54:H54"/>
    <mergeCell ref="K54:L54"/>
    <mergeCell ref="AF55:AF60"/>
    <mergeCell ref="AF62:AF67"/>
    <mergeCell ref="AE70:AE77"/>
    <mergeCell ref="AF70:AF71"/>
    <mergeCell ref="AF73:AF74"/>
    <mergeCell ref="AF76:AF77"/>
    <mergeCell ref="AE68:AM69"/>
    <mergeCell ref="AF72:AM72"/>
    <mergeCell ref="AF75:AM75"/>
    <mergeCell ref="M54:N54"/>
    <mergeCell ref="O54:P54"/>
    <mergeCell ref="Q54:R54"/>
    <mergeCell ref="AE55:AE67"/>
    <mergeCell ref="Q57:R57"/>
    <mergeCell ref="P58:R58"/>
    <mergeCell ref="AF61:AM61"/>
    <mergeCell ref="K95:R95"/>
    <mergeCell ref="K96:R96"/>
    <mergeCell ref="K97:R97"/>
    <mergeCell ref="K98:L98"/>
    <mergeCell ref="M98:N98"/>
    <mergeCell ref="O98:P98"/>
    <mergeCell ref="Q98:R98"/>
    <mergeCell ref="G57:H57"/>
    <mergeCell ref="F58:H58"/>
    <mergeCell ref="F79:H81"/>
    <mergeCell ref="P79:R81"/>
    <mergeCell ref="F82:H84"/>
    <mergeCell ref="P82:R84"/>
    <mergeCell ref="K94:R94"/>
    <mergeCell ref="A94:H94"/>
    <mergeCell ref="A95:H95"/>
    <mergeCell ref="A96:H96"/>
    <mergeCell ref="A97:H97"/>
    <mergeCell ref="C98:D98"/>
    <mergeCell ref="E98:F98"/>
    <mergeCell ref="G98:H98"/>
    <mergeCell ref="A182:B182"/>
    <mergeCell ref="A183:B183"/>
    <mergeCell ref="C183:D183"/>
    <mergeCell ref="E183:F183"/>
    <mergeCell ref="G183:H183"/>
    <mergeCell ref="K183:L183"/>
    <mergeCell ref="M183:N183"/>
    <mergeCell ref="C182:D182"/>
    <mergeCell ref="E182:F182"/>
    <mergeCell ref="K182:L182"/>
    <mergeCell ref="M182:N182"/>
    <mergeCell ref="O182:P182"/>
    <mergeCell ref="Q182:R182"/>
    <mergeCell ref="U226:AC226"/>
    <mergeCell ref="AE229:AG229"/>
    <mergeCell ref="AH229:AM229"/>
    <mergeCell ref="AP229:AS229"/>
    <mergeCell ref="AR230:AS230"/>
    <mergeCell ref="AP231:AS231"/>
    <mergeCell ref="U230:V230"/>
    <mergeCell ref="W230:X230"/>
    <mergeCell ref="Y230:Z230"/>
    <mergeCell ref="AA230:AC230"/>
    <mergeCell ref="U227:AC227"/>
    <mergeCell ref="AE227:AG227"/>
    <mergeCell ref="AH227:AM227"/>
    <mergeCell ref="U228:AC228"/>
    <mergeCell ref="AE228:AG228"/>
    <mergeCell ref="AH228:AM228"/>
    <mergeCell ref="U229:AC229"/>
    <mergeCell ref="K227:S227"/>
    <mergeCell ref="K228:S228"/>
    <mergeCell ref="K229:S229"/>
    <mergeCell ref="Q230:S230"/>
    <mergeCell ref="O183:P183"/>
    <mergeCell ref="Q183:R183"/>
    <mergeCell ref="Q185:R185"/>
    <mergeCell ref="P186:R186"/>
    <mergeCell ref="P207:R209"/>
    <mergeCell ref="P210:R212"/>
    <mergeCell ref="K226:S226"/>
    <mergeCell ref="A98:B98"/>
    <mergeCell ref="A99:B99"/>
    <mergeCell ref="C99:D99"/>
    <mergeCell ref="E99:F99"/>
    <mergeCell ref="G99:H99"/>
    <mergeCell ref="K99:L99"/>
    <mergeCell ref="M99:N99"/>
    <mergeCell ref="A100:B100"/>
    <mergeCell ref="C100:D100"/>
    <mergeCell ref="E100:F100"/>
    <mergeCell ref="K100:L100"/>
    <mergeCell ref="M100:N100"/>
    <mergeCell ref="O100:P100"/>
    <mergeCell ref="Q100:R100"/>
    <mergeCell ref="K178:R178"/>
    <mergeCell ref="K179:R179"/>
    <mergeCell ref="K180:R180"/>
    <mergeCell ref="K181:L181"/>
    <mergeCell ref="M181:N181"/>
    <mergeCell ref="O181:P181"/>
    <mergeCell ref="Q181:R181"/>
    <mergeCell ref="O99:P99"/>
    <mergeCell ref="Q99:R99"/>
    <mergeCell ref="Q102:R102"/>
    <mergeCell ref="P103:R103"/>
    <mergeCell ref="P124:R126"/>
    <mergeCell ref="P127:R129"/>
    <mergeCell ref="K177:R177"/>
    <mergeCell ref="G100:H100"/>
    <mergeCell ref="G102:H102"/>
    <mergeCell ref="F103:H103"/>
    <mergeCell ref="F124:H126"/>
    <mergeCell ref="F127:H129"/>
    <mergeCell ref="A177:H177"/>
    <mergeCell ref="A178:H178"/>
    <mergeCell ref="A179:H179"/>
    <mergeCell ref="A180:H180"/>
    <mergeCell ref="A181:B181"/>
    <mergeCell ref="C181:D181"/>
    <mergeCell ref="E181:F181"/>
    <mergeCell ref="G181:H181"/>
    <mergeCell ref="G182:H182"/>
    <mergeCell ref="G185:H185"/>
    <mergeCell ref="F186:H186"/>
    <mergeCell ref="F207:H209"/>
    <mergeCell ref="F210:H212"/>
    <mergeCell ref="A226:I226"/>
    <mergeCell ref="A227:I227"/>
    <mergeCell ref="A228:I228"/>
  </mergeCells>
  <conditionalFormatting sqref="AI55:AI60 AI62:AI67 AI70:AI71 AI73:AI74 AI76:AI77 AI231:AI236 AI238:AI243 AI246:AI247 AI249:AI250 AI252:AI253 AI256:AI257">
    <cfRule type="cellIs" dxfId="0" priority="1" operator="lessThanOrEqual">
      <formula>50</formula>
    </cfRule>
  </conditionalFormatting>
  <conditionalFormatting sqref="AI55:AI60 AI62:AI67 AI70:AI71 AI73:AI74 AI76:AI77 AI231:AI236 AI238:AI243 AI246:AI247 AI249:AI250 AI252:AI253 AI256:AI257">
    <cfRule type="cellIs" dxfId="1" priority="2" operator="greaterThanOrEqual">
      <formula>50</formula>
    </cfRule>
  </conditionalFormatting>
  <printOptions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5.13"/>
    <col customWidth="1" min="4" max="4" width="8.88"/>
    <col customWidth="1" min="5" max="5" width="5.13"/>
    <col customWidth="1" min="6" max="6" width="7.63"/>
    <col customWidth="1" min="7" max="7" width="15.13"/>
    <col customWidth="1" min="8" max="9" width="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6"/>
      <c r="K2" s="7" t="s">
        <v>2</v>
      </c>
      <c r="L2" s="5"/>
      <c r="M2" s="8"/>
      <c r="N2" s="9" t="s">
        <v>90</v>
      </c>
      <c r="O2" s="5"/>
      <c r="P2" s="5"/>
      <c r="Q2" s="5"/>
      <c r="R2" s="8"/>
    </row>
    <row r="3">
      <c r="A3" s="10"/>
      <c r="I3" s="11"/>
      <c r="K3" s="7" t="s">
        <v>3</v>
      </c>
      <c r="L3" s="5"/>
      <c r="M3" s="8"/>
      <c r="N3" s="12">
        <v>46289.0</v>
      </c>
      <c r="O3" s="5"/>
      <c r="P3" s="5"/>
      <c r="Q3" s="5"/>
      <c r="R3" s="8"/>
      <c r="T3" s="219" t="s">
        <v>74</v>
      </c>
      <c r="U3" s="2"/>
      <c r="V3" s="3"/>
    </row>
    <row r="4">
      <c r="A4" s="13" t="s">
        <v>4</v>
      </c>
      <c r="B4" s="8"/>
      <c r="C4" s="9" t="s">
        <v>90</v>
      </c>
      <c r="D4" s="8"/>
      <c r="E4" s="15" t="s">
        <v>5</v>
      </c>
      <c r="F4" s="8"/>
      <c r="G4" s="16">
        <v>46289.0</v>
      </c>
      <c r="H4" s="5"/>
      <c r="I4" s="6"/>
      <c r="K4" s="17" t="s">
        <v>6</v>
      </c>
      <c r="L4" s="17" t="s">
        <v>7</v>
      </c>
      <c r="M4" s="17" t="s">
        <v>8</v>
      </c>
      <c r="N4" s="18" t="s">
        <v>9</v>
      </c>
      <c r="O4" s="19" t="s">
        <v>10</v>
      </c>
      <c r="P4" s="20" t="s">
        <v>11</v>
      </c>
      <c r="Q4" s="17" t="s">
        <v>12</v>
      </c>
      <c r="R4" s="17" t="s">
        <v>13</v>
      </c>
      <c r="T4" s="224" t="s">
        <v>7</v>
      </c>
      <c r="U4" s="225" t="s">
        <v>91</v>
      </c>
      <c r="V4" s="288">
        <v>46300.0</v>
      </c>
    </row>
    <row r="5">
      <c r="A5" s="13" t="s">
        <v>14</v>
      </c>
      <c r="B5" s="8"/>
      <c r="C5" s="14" t="s">
        <v>37</v>
      </c>
      <c r="D5" s="8"/>
      <c r="E5" s="15" t="s">
        <v>15</v>
      </c>
      <c r="F5" s="8"/>
      <c r="G5" s="104" t="s">
        <v>92</v>
      </c>
      <c r="H5" s="5"/>
      <c r="I5" s="6"/>
      <c r="K5" s="22" t="s">
        <v>93</v>
      </c>
      <c r="L5" s="22" t="s">
        <v>91</v>
      </c>
      <c r="M5" s="30" t="s">
        <v>40</v>
      </c>
      <c r="N5" s="261">
        <v>500.0</v>
      </c>
      <c r="O5" s="25">
        <f t="shared" ref="O5:O9" si="1">IF(N5-Q5-R5&lt;0,0,N5-Q5-R5)</f>
        <v>0</v>
      </c>
      <c r="P5" s="26">
        <f t="shared" ref="P5:P9" si="2">(H11)</f>
        <v>500</v>
      </c>
      <c r="Q5" s="23">
        <f t="shared" ref="Q5:Q9" si="3">IF(P5-R5&lt;0,0,P5-R5)</f>
        <v>500</v>
      </c>
      <c r="R5" s="24"/>
      <c r="T5" s="230" t="s">
        <v>77</v>
      </c>
      <c r="U5" s="5"/>
      <c r="V5" s="6"/>
    </row>
    <row r="6">
      <c r="A6" s="13" t="s">
        <v>16</v>
      </c>
      <c r="B6" s="8"/>
      <c r="C6" s="14" t="s">
        <v>37</v>
      </c>
      <c r="D6" s="8"/>
      <c r="E6" s="15" t="s">
        <v>17</v>
      </c>
      <c r="F6" s="8"/>
      <c r="G6" s="104" t="s">
        <v>94</v>
      </c>
      <c r="H6" s="5"/>
      <c r="I6" s="6"/>
      <c r="K6" s="28"/>
      <c r="L6" s="28"/>
      <c r="M6" s="30" t="s">
        <v>42</v>
      </c>
      <c r="N6" s="261">
        <v>3000.0</v>
      </c>
      <c r="O6" s="25">
        <f t="shared" si="1"/>
        <v>0</v>
      </c>
      <c r="P6" s="26">
        <f t="shared" si="2"/>
        <v>3000</v>
      </c>
      <c r="Q6" s="23">
        <f t="shared" si="3"/>
        <v>3000</v>
      </c>
      <c r="R6" s="29"/>
      <c r="T6" s="232" t="s">
        <v>78</v>
      </c>
      <c r="U6" s="289" t="s">
        <v>9</v>
      </c>
      <c r="V6" s="290" t="s">
        <v>95</v>
      </c>
    </row>
    <row r="7">
      <c r="A7" s="10"/>
      <c r="I7" s="11"/>
      <c r="K7" s="28"/>
      <c r="L7" s="28"/>
      <c r="M7" s="30" t="s">
        <v>49</v>
      </c>
      <c r="N7" s="261">
        <v>2000.0</v>
      </c>
      <c r="O7" s="25">
        <f t="shared" si="1"/>
        <v>0</v>
      </c>
      <c r="P7" s="26">
        <f t="shared" si="2"/>
        <v>2000</v>
      </c>
      <c r="Q7" s="23">
        <f t="shared" si="3"/>
        <v>2000</v>
      </c>
      <c r="R7" s="29"/>
      <c r="T7" s="237" t="s">
        <v>79</v>
      </c>
      <c r="U7" s="291">
        <f t="shared" ref="U7:V7" si="4">(N5)</f>
        <v>500</v>
      </c>
      <c r="V7" s="252">
        <f t="shared" si="4"/>
        <v>0</v>
      </c>
    </row>
    <row r="8">
      <c r="A8" s="31" t="s">
        <v>18</v>
      </c>
      <c r="B8" s="32" t="s">
        <v>19</v>
      </c>
      <c r="C8" s="33" t="s">
        <v>20</v>
      </c>
      <c r="D8" s="32" t="s">
        <v>21</v>
      </c>
      <c r="E8" s="34"/>
      <c r="F8" s="33" t="s">
        <v>6</v>
      </c>
      <c r="G8" s="35"/>
      <c r="H8" s="5"/>
      <c r="I8" s="6"/>
      <c r="K8" s="28"/>
      <c r="L8" s="28"/>
      <c r="M8" s="30" t="s">
        <v>51</v>
      </c>
      <c r="N8" s="261">
        <v>500.0</v>
      </c>
      <c r="O8" s="25">
        <f t="shared" si="1"/>
        <v>0</v>
      </c>
      <c r="P8" s="26">
        <f t="shared" si="2"/>
        <v>500</v>
      </c>
      <c r="Q8" s="23">
        <f t="shared" si="3"/>
        <v>500</v>
      </c>
      <c r="R8" s="36"/>
      <c r="T8" s="237" t="s">
        <v>80</v>
      </c>
      <c r="U8" s="291">
        <f t="shared" ref="U8:V8" si="5">(N6)</f>
        <v>3000</v>
      </c>
      <c r="V8" s="252">
        <f t="shared" si="5"/>
        <v>0</v>
      </c>
    </row>
    <row r="9">
      <c r="A9" s="37">
        <v>1.0</v>
      </c>
      <c r="B9" s="39">
        <v>27.3</v>
      </c>
      <c r="C9" s="42" t="s">
        <v>96</v>
      </c>
      <c r="D9" s="156">
        <v>150.0</v>
      </c>
      <c r="E9" s="34"/>
      <c r="F9" s="41" t="s">
        <v>22</v>
      </c>
      <c r="G9" s="5"/>
      <c r="H9" s="5"/>
      <c r="I9" s="6"/>
      <c r="K9" s="44"/>
      <c r="L9" s="44"/>
      <c r="M9" s="30" t="s">
        <v>54</v>
      </c>
      <c r="N9" s="261">
        <v>500.0</v>
      </c>
      <c r="O9" s="25">
        <f t="shared" si="1"/>
        <v>0</v>
      </c>
      <c r="P9" s="26">
        <f t="shared" si="2"/>
        <v>500</v>
      </c>
      <c r="Q9" s="23">
        <f t="shared" si="3"/>
        <v>500</v>
      </c>
      <c r="R9" s="36"/>
      <c r="T9" s="237" t="s">
        <v>81</v>
      </c>
      <c r="U9" s="291">
        <f t="shared" ref="U9:V9" si="6">(N7)</f>
        <v>2000</v>
      </c>
      <c r="V9" s="252">
        <f t="shared" si="6"/>
        <v>0</v>
      </c>
    </row>
    <row r="10">
      <c r="A10" s="37">
        <v>2.0</v>
      </c>
      <c r="B10" s="39">
        <v>27.0</v>
      </c>
      <c r="C10" s="42" t="s">
        <v>96</v>
      </c>
      <c r="D10" s="156">
        <v>150.0</v>
      </c>
      <c r="E10" s="34"/>
      <c r="F10" s="33" t="s">
        <v>23</v>
      </c>
      <c r="G10" s="33" t="s">
        <v>20</v>
      </c>
      <c r="H10" s="46" t="s">
        <v>21</v>
      </c>
      <c r="I10" s="47" t="s">
        <v>24</v>
      </c>
      <c r="T10" s="237" t="s">
        <v>82</v>
      </c>
      <c r="U10" s="291">
        <f t="shared" ref="U10:V10" si="7">(N8)</f>
        <v>500</v>
      </c>
      <c r="V10" s="252">
        <f t="shared" si="7"/>
        <v>0</v>
      </c>
    </row>
    <row r="11">
      <c r="A11" s="37">
        <v>3.0</v>
      </c>
      <c r="B11" s="39">
        <v>28.6</v>
      </c>
      <c r="C11" s="42" t="s">
        <v>96</v>
      </c>
      <c r="D11" s="156">
        <v>150.0</v>
      </c>
      <c r="E11" s="34"/>
      <c r="F11" s="42">
        <v>1.0</v>
      </c>
      <c r="G11" s="42" t="s">
        <v>97</v>
      </c>
      <c r="H11" s="48">
        <f t="shared" ref="H11:H23" si="9">IF(G11="","",SUMIF($C$9:$C$36,G11,$D$9:$D$36))</f>
        <v>500</v>
      </c>
      <c r="I11" s="49">
        <f t="shared" ref="I11:I23" si="10">IF(G11="","",COUNTIFS($C$9:$C$36,G11,$D$9:$D$36,"&gt;0"))</f>
        <v>1</v>
      </c>
      <c r="T11" s="237" t="s">
        <v>83</v>
      </c>
      <c r="U11" s="291">
        <f t="shared" ref="U11:V11" si="8">(N9)</f>
        <v>500</v>
      </c>
      <c r="V11" s="252">
        <f t="shared" si="8"/>
        <v>0</v>
      </c>
    </row>
    <row r="12">
      <c r="A12" s="37">
        <v>4.0</v>
      </c>
      <c r="B12" s="39">
        <v>44.5</v>
      </c>
      <c r="C12" s="42" t="s">
        <v>98</v>
      </c>
      <c r="D12" s="156">
        <v>500.0</v>
      </c>
      <c r="E12" s="34"/>
      <c r="F12" s="42">
        <v>2.0</v>
      </c>
      <c r="G12" s="42" t="s">
        <v>98</v>
      </c>
      <c r="H12" s="48">
        <f t="shared" si="9"/>
        <v>3000</v>
      </c>
      <c r="I12" s="49">
        <f t="shared" si="10"/>
        <v>6</v>
      </c>
      <c r="T12" s="266" t="s">
        <v>25</v>
      </c>
      <c r="U12" s="292">
        <f t="shared" ref="U12:V12" si="11">SUM(U7:U11)</f>
        <v>6500</v>
      </c>
      <c r="V12" s="293">
        <f t="shared" si="11"/>
        <v>0</v>
      </c>
    </row>
    <row r="13">
      <c r="A13" s="37">
        <v>5.0</v>
      </c>
      <c r="B13" s="39">
        <v>45.0</v>
      </c>
      <c r="C13" s="42" t="s">
        <v>98</v>
      </c>
      <c r="D13" s="156">
        <v>500.0</v>
      </c>
      <c r="E13" s="34"/>
      <c r="F13" s="42">
        <v>3.0</v>
      </c>
      <c r="G13" s="42" t="s">
        <v>99</v>
      </c>
      <c r="H13" s="48">
        <f t="shared" si="9"/>
        <v>2000</v>
      </c>
      <c r="I13" s="49">
        <f t="shared" si="10"/>
        <v>10</v>
      </c>
    </row>
    <row r="14">
      <c r="A14" s="37">
        <v>6.0</v>
      </c>
      <c r="B14" s="39">
        <v>44.5</v>
      </c>
      <c r="C14" s="42" t="s">
        <v>98</v>
      </c>
      <c r="D14" s="156">
        <v>500.0</v>
      </c>
      <c r="E14" s="34"/>
      <c r="F14" s="42">
        <v>4.0</v>
      </c>
      <c r="G14" s="42" t="s">
        <v>96</v>
      </c>
      <c r="H14" s="48">
        <f t="shared" si="9"/>
        <v>500</v>
      </c>
      <c r="I14" s="49">
        <f t="shared" si="10"/>
        <v>4</v>
      </c>
    </row>
    <row r="15">
      <c r="A15" s="37">
        <v>7.0</v>
      </c>
      <c r="B15" s="39">
        <v>44.7</v>
      </c>
      <c r="C15" s="42" t="s">
        <v>98</v>
      </c>
      <c r="D15" s="156">
        <v>500.0</v>
      </c>
      <c r="E15" s="34"/>
      <c r="F15" s="42">
        <v>5.0</v>
      </c>
      <c r="G15" s="42" t="s">
        <v>100</v>
      </c>
      <c r="H15" s="48">
        <f t="shared" si="9"/>
        <v>500</v>
      </c>
      <c r="I15" s="49">
        <f t="shared" si="10"/>
        <v>4</v>
      </c>
    </row>
    <row r="16">
      <c r="A16" s="37">
        <v>8.0</v>
      </c>
      <c r="B16" s="39">
        <v>44.8</v>
      </c>
      <c r="C16" s="42" t="s">
        <v>98</v>
      </c>
      <c r="D16" s="156">
        <v>500.0</v>
      </c>
      <c r="E16" s="34"/>
      <c r="F16" s="48"/>
      <c r="G16" s="48"/>
      <c r="H16" s="48" t="str">
        <f t="shared" si="9"/>
        <v/>
      </c>
      <c r="I16" s="49" t="str">
        <f t="shared" si="10"/>
        <v/>
      </c>
    </row>
    <row r="17">
      <c r="A17" s="37">
        <v>9.0</v>
      </c>
      <c r="B17" s="39">
        <v>45.0</v>
      </c>
      <c r="C17" s="42" t="s">
        <v>98</v>
      </c>
      <c r="D17" s="156">
        <v>500.0</v>
      </c>
      <c r="E17" s="34"/>
      <c r="F17" s="42"/>
      <c r="G17" s="42"/>
      <c r="H17" s="48" t="str">
        <f t="shared" si="9"/>
        <v/>
      </c>
      <c r="I17" s="49" t="str">
        <f t="shared" si="10"/>
        <v/>
      </c>
    </row>
    <row r="18">
      <c r="A18" s="37">
        <v>10.0</v>
      </c>
      <c r="B18" s="39">
        <v>36.6</v>
      </c>
      <c r="C18" s="42" t="s">
        <v>97</v>
      </c>
      <c r="D18" s="156">
        <v>500.0</v>
      </c>
      <c r="E18" s="34"/>
      <c r="F18" s="48"/>
      <c r="G18" s="48"/>
      <c r="H18" s="48" t="str">
        <f t="shared" si="9"/>
        <v/>
      </c>
      <c r="I18" s="49" t="str">
        <f t="shared" si="10"/>
        <v/>
      </c>
    </row>
    <row r="19">
      <c r="A19" s="37">
        <v>11.0</v>
      </c>
      <c r="B19" s="39">
        <v>26.1</v>
      </c>
      <c r="C19" s="42" t="s">
        <v>99</v>
      </c>
      <c r="D19" s="156">
        <v>200.0</v>
      </c>
      <c r="E19" s="34"/>
      <c r="F19" s="48"/>
      <c r="G19" s="48"/>
      <c r="H19" s="48" t="str">
        <f t="shared" si="9"/>
        <v/>
      </c>
      <c r="I19" s="49" t="str">
        <f t="shared" si="10"/>
        <v/>
      </c>
    </row>
    <row r="20">
      <c r="A20" s="37">
        <v>12.0</v>
      </c>
      <c r="B20" s="39">
        <v>25.8</v>
      </c>
      <c r="C20" s="42" t="s">
        <v>99</v>
      </c>
      <c r="D20" s="156">
        <v>200.0</v>
      </c>
      <c r="E20" s="34"/>
      <c r="F20" s="48"/>
      <c r="G20" s="48"/>
      <c r="H20" s="48" t="str">
        <f t="shared" si="9"/>
        <v/>
      </c>
      <c r="I20" s="49" t="str">
        <f t="shared" si="10"/>
        <v/>
      </c>
    </row>
    <row r="21">
      <c r="A21" s="37">
        <v>13.0</v>
      </c>
      <c r="B21" s="39">
        <v>25.8</v>
      </c>
      <c r="C21" s="42" t="s">
        <v>99</v>
      </c>
      <c r="D21" s="156">
        <v>200.0</v>
      </c>
      <c r="E21" s="34"/>
      <c r="F21" s="48"/>
      <c r="G21" s="48"/>
      <c r="H21" s="48" t="str">
        <f t="shared" si="9"/>
        <v/>
      </c>
      <c r="I21" s="49" t="str">
        <f t="shared" si="10"/>
        <v/>
      </c>
    </row>
    <row r="22">
      <c r="A22" s="37">
        <v>14.0</v>
      </c>
      <c r="B22" s="39">
        <v>25.8</v>
      </c>
      <c r="C22" s="42" t="s">
        <v>99</v>
      </c>
      <c r="D22" s="156">
        <v>200.0</v>
      </c>
      <c r="E22" s="34"/>
      <c r="F22" s="48"/>
      <c r="G22" s="48"/>
      <c r="H22" s="48" t="str">
        <f t="shared" si="9"/>
        <v/>
      </c>
      <c r="I22" s="49" t="str">
        <f t="shared" si="10"/>
        <v/>
      </c>
    </row>
    <row r="23">
      <c r="A23" s="37">
        <v>15.0</v>
      </c>
      <c r="B23" s="39">
        <v>25.9</v>
      </c>
      <c r="C23" s="42" t="s">
        <v>99</v>
      </c>
      <c r="D23" s="156">
        <v>200.0</v>
      </c>
      <c r="E23" s="34"/>
      <c r="F23" s="48"/>
      <c r="G23" s="48"/>
      <c r="H23" s="48" t="str">
        <f t="shared" si="9"/>
        <v/>
      </c>
      <c r="I23" s="49" t="str">
        <f t="shared" si="10"/>
        <v/>
      </c>
    </row>
    <row r="24">
      <c r="A24" s="37">
        <v>16.0</v>
      </c>
      <c r="B24" s="39">
        <v>26.1</v>
      </c>
      <c r="C24" s="42" t="s">
        <v>99</v>
      </c>
      <c r="D24" s="156">
        <v>200.0</v>
      </c>
      <c r="E24" s="34"/>
      <c r="F24" s="51" t="s">
        <v>25</v>
      </c>
      <c r="G24" s="8"/>
      <c r="H24" s="48">
        <f t="shared" ref="H24:I24" si="12">sum(H11:H23)</f>
        <v>6500</v>
      </c>
      <c r="I24" s="49">
        <f t="shared" si="12"/>
        <v>25</v>
      </c>
    </row>
    <row r="25">
      <c r="A25" s="37">
        <v>17.0</v>
      </c>
      <c r="B25" s="39">
        <v>8.9</v>
      </c>
      <c r="C25" s="42" t="s">
        <v>96</v>
      </c>
      <c r="D25" s="156">
        <v>50.0</v>
      </c>
      <c r="E25" s="34"/>
      <c r="F25" s="34"/>
      <c r="G25" s="34"/>
      <c r="I25" s="53"/>
    </row>
    <row r="26">
      <c r="A26" s="37">
        <v>18.0</v>
      </c>
      <c r="B26" s="39">
        <v>25.7</v>
      </c>
      <c r="C26" s="42" t="s">
        <v>99</v>
      </c>
      <c r="D26" s="156">
        <v>200.0</v>
      </c>
      <c r="E26" s="34"/>
      <c r="F26" s="34"/>
      <c r="G26" s="34"/>
      <c r="I26" s="53"/>
    </row>
    <row r="27">
      <c r="A27" s="37">
        <v>19.0</v>
      </c>
      <c r="B27" s="39">
        <v>25.8</v>
      </c>
      <c r="C27" s="42" t="s">
        <v>99</v>
      </c>
      <c r="D27" s="156">
        <v>200.0</v>
      </c>
      <c r="E27" s="34"/>
      <c r="F27" s="34"/>
      <c r="G27" s="34"/>
      <c r="I27" s="53"/>
    </row>
    <row r="28">
      <c r="A28" s="37">
        <v>20.0</v>
      </c>
      <c r="B28" s="39">
        <v>25.7</v>
      </c>
      <c r="C28" s="42" t="s">
        <v>99</v>
      </c>
      <c r="D28" s="156">
        <v>200.0</v>
      </c>
      <c r="E28" s="34"/>
      <c r="F28" s="34"/>
      <c r="G28" s="34"/>
      <c r="I28" s="53"/>
    </row>
    <row r="29">
      <c r="A29" s="37">
        <v>21.0</v>
      </c>
      <c r="B29" s="39">
        <v>26.1</v>
      </c>
      <c r="C29" s="42" t="s">
        <v>99</v>
      </c>
      <c r="D29" s="156">
        <v>200.0</v>
      </c>
      <c r="E29" s="34"/>
      <c r="F29" s="54" t="s">
        <v>26</v>
      </c>
      <c r="G29" s="34"/>
      <c r="I29" s="53"/>
    </row>
    <row r="30">
      <c r="A30" s="37">
        <v>22.0</v>
      </c>
      <c r="B30" s="39">
        <v>34.5</v>
      </c>
      <c r="C30" s="42" t="s">
        <v>100</v>
      </c>
      <c r="D30" s="156">
        <v>150.0</v>
      </c>
      <c r="E30" s="34"/>
      <c r="F30" s="55" t="s">
        <v>27</v>
      </c>
      <c r="I30" s="11"/>
    </row>
    <row r="31">
      <c r="A31" s="37">
        <v>23.0</v>
      </c>
      <c r="B31" s="39">
        <v>34.2</v>
      </c>
      <c r="C31" s="42" t="s">
        <v>100</v>
      </c>
      <c r="D31" s="156">
        <v>150.0</v>
      </c>
      <c r="E31" s="34"/>
      <c r="I31" s="11"/>
    </row>
    <row r="32">
      <c r="A32" s="37">
        <v>24.0</v>
      </c>
      <c r="B32" s="39">
        <v>34.6</v>
      </c>
      <c r="C32" s="42" t="s">
        <v>100</v>
      </c>
      <c r="D32" s="156">
        <v>150.0</v>
      </c>
      <c r="E32" s="34"/>
      <c r="I32" s="11"/>
    </row>
    <row r="33">
      <c r="A33" s="37">
        <v>25.0</v>
      </c>
      <c r="B33" s="39">
        <v>11.7</v>
      </c>
      <c r="C33" s="42" t="s">
        <v>100</v>
      </c>
      <c r="D33" s="156">
        <v>50.0</v>
      </c>
      <c r="E33" s="34"/>
      <c r="F33" s="55" t="s">
        <v>28</v>
      </c>
      <c r="I33" s="11"/>
    </row>
    <row r="34">
      <c r="A34" s="50"/>
      <c r="B34" s="38"/>
      <c r="C34" s="38"/>
      <c r="D34" s="56"/>
      <c r="E34" s="34"/>
      <c r="I34" s="11"/>
    </row>
    <row r="35">
      <c r="A35" s="50"/>
      <c r="B35" s="38"/>
      <c r="C35" s="38"/>
      <c r="D35" s="40"/>
      <c r="E35" s="34"/>
      <c r="I35" s="11"/>
    </row>
    <row r="36">
      <c r="A36" s="58">
        <f>COUNT(A9:A35)</f>
        <v>25</v>
      </c>
      <c r="B36" s="59">
        <f>SUM(B9:B35)</f>
        <v>770.7</v>
      </c>
      <c r="C36" s="59"/>
      <c r="D36" s="60">
        <f>SUM(D9:D35)</f>
        <v>6500</v>
      </c>
      <c r="E36" s="61"/>
      <c r="F36" s="61"/>
      <c r="G36" s="61"/>
      <c r="H36" s="63"/>
      <c r="I36" s="64"/>
    </row>
  </sheetData>
  <mergeCells count="29">
    <mergeCell ref="A1:I1"/>
    <mergeCell ref="A2:I2"/>
    <mergeCell ref="K2:M2"/>
    <mergeCell ref="N2:R2"/>
    <mergeCell ref="K3:M3"/>
    <mergeCell ref="N3:R3"/>
    <mergeCell ref="T3:V3"/>
    <mergeCell ref="A3:I3"/>
    <mergeCell ref="A4:B4"/>
    <mergeCell ref="C4:D4"/>
    <mergeCell ref="E4:F4"/>
    <mergeCell ref="G4:I4"/>
    <mergeCell ref="A5:B5"/>
    <mergeCell ref="C5:D5"/>
    <mergeCell ref="T5:V5"/>
    <mergeCell ref="G6:I6"/>
    <mergeCell ref="A7:I7"/>
    <mergeCell ref="G8:I8"/>
    <mergeCell ref="F9:I9"/>
    <mergeCell ref="F24:G24"/>
    <mergeCell ref="F30:I32"/>
    <mergeCell ref="F33:I35"/>
    <mergeCell ref="E5:F5"/>
    <mergeCell ref="G5:I5"/>
    <mergeCell ref="K5:K9"/>
    <mergeCell ref="L5:L9"/>
    <mergeCell ref="A6:B6"/>
    <mergeCell ref="C6:D6"/>
    <mergeCell ref="E6:F6"/>
  </mergeCells>
  <conditionalFormatting sqref="O5:O9">
    <cfRule type="cellIs" dxfId="0" priority="1" operator="lessThanOrEqual">
      <formula>20</formula>
    </cfRule>
  </conditionalFormatting>
  <conditionalFormatting sqref="O5:O9">
    <cfRule type="cellIs" dxfId="1" priority="2" operator="greaterThanOrEqual">
      <formula>20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5.13"/>
    <col customWidth="1" min="4" max="4" width="10.13"/>
    <col customWidth="1" min="5" max="5" width="5.13"/>
    <col customWidth="1" min="6" max="6" width="7.63"/>
    <col customWidth="1" min="7" max="7" width="15.13"/>
    <col customWidth="1" min="8" max="8" width="10.13"/>
    <col customWidth="1" min="9" max="9" width="7.63"/>
  </cols>
  <sheetData>
    <row r="1" hidden="1">
      <c r="A1" s="294" t="s">
        <v>101</v>
      </c>
      <c r="B1" s="2"/>
      <c r="C1" s="2"/>
      <c r="D1" s="2"/>
      <c r="E1" s="2"/>
      <c r="F1" s="2"/>
      <c r="G1" s="2"/>
      <c r="H1" s="2"/>
      <c r="I1" s="3"/>
    </row>
    <row r="2" hidden="1">
      <c r="A2" s="4" t="s">
        <v>0</v>
      </c>
      <c r="B2" s="5"/>
      <c r="C2" s="5"/>
      <c r="D2" s="5"/>
      <c r="E2" s="5"/>
      <c r="F2" s="5"/>
      <c r="G2" s="5"/>
      <c r="H2" s="5"/>
      <c r="I2" s="6"/>
    </row>
    <row r="3" hidden="1">
      <c r="A3" s="4" t="s">
        <v>1</v>
      </c>
      <c r="B3" s="5"/>
      <c r="C3" s="5"/>
      <c r="D3" s="5"/>
      <c r="E3" s="5"/>
      <c r="F3" s="5"/>
      <c r="G3" s="5"/>
      <c r="H3" s="5"/>
      <c r="I3" s="6"/>
    </row>
    <row r="4" hidden="1">
      <c r="A4" s="10"/>
      <c r="B4" s="34"/>
      <c r="C4" s="34"/>
      <c r="D4" s="295"/>
      <c r="E4" s="34"/>
      <c r="F4" s="34"/>
      <c r="G4" s="34"/>
      <c r="H4" s="34"/>
      <c r="I4" s="53"/>
    </row>
    <row r="5" hidden="1">
      <c r="A5" s="13" t="s">
        <v>4</v>
      </c>
      <c r="B5" s="8"/>
      <c r="C5" s="296" t="s">
        <v>101</v>
      </c>
      <c r="D5" s="8"/>
      <c r="E5" s="15" t="s">
        <v>5</v>
      </c>
      <c r="F5" s="8"/>
      <c r="G5" s="297">
        <v>46282.0</v>
      </c>
      <c r="H5" s="5"/>
      <c r="I5" s="6"/>
    </row>
    <row r="6" hidden="1">
      <c r="A6" s="13" t="s">
        <v>14</v>
      </c>
      <c r="B6" s="8"/>
      <c r="C6" s="14"/>
      <c r="D6" s="8"/>
      <c r="E6" s="15" t="s">
        <v>15</v>
      </c>
      <c r="F6" s="8"/>
      <c r="G6" s="21"/>
      <c r="H6" s="5"/>
      <c r="I6" s="6"/>
    </row>
    <row r="7" hidden="1">
      <c r="A7" s="13" t="s">
        <v>16</v>
      </c>
      <c r="B7" s="8"/>
      <c r="C7" s="27"/>
      <c r="D7" s="8"/>
      <c r="E7" s="15" t="s">
        <v>17</v>
      </c>
      <c r="F7" s="8"/>
      <c r="G7" s="21"/>
      <c r="H7" s="5"/>
      <c r="I7" s="6"/>
    </row>
    <row r="8" hidden="1">
      <c r="A8" s="10"/>
      <c r="B8" s="34"/>
      <c r="C8" s="34"/>
      <c r="D8" s="295"/>
      <c r="E8" s="34"/>
      <c r="F8" s="34"/>
      <c r="G8" s="34"/>
      <c r="H8" s="34"/>
      <c r="I8" s="53"/>
    </row>
    <row r="9" hidden="1">
      <c r="A9" s="31" t="s">
        <v>18</v>
      </c>
      <c r="B9" s="32" t="s">
        <v>19</v>
      </c>
      <c r="C9" s="33" t="s">
        <v>20</v>
      </c>
      <c r="D9" s="32" t="s">
        <v>21</v>
      </c>
      <c r="E9" s="34"/>
      <c r="F9" s="33" t="s">
        <v>6</v>
      </c>
      <c r="G9" s="35" t="s">
        <v>102</v>
      </c>
      <c r="H9" s="5"/>
      <c r="I9" s="6"/>
    </row>
    <row r="10" hidden="1">
      <c r="A10" s="37">
        <v>1.0</v>
      </c>
      <c r="B10" s="298">
        <v>40.7</v>
      </c>
      <c r="C10" s="299" t="s">
        <v>103</v>
      </c>
      <c r="D10" s="156">
        <v>500.0</v>
      </c>
      <c r="E10" s="34"/>
      <c r="F10" s="41" t="s">
        <v>22</v>
      </c>
      <c r="G10" s="5"/>
      <c r="H10" s="5"/>
      <c r="I10" s="6"/>
    </row>
    <row r="11" hidden="1">
      <c r="A11" s="37">
        <v>2.0</v>
      </c>
      <c r="B11" s="298">
        <v>40.6</v>
      </c>
      <c r="C11" s="299" t="s">
        <v>103</v>
      </c>
      <c r="D11" s="156">
        <v>500.0</v>
      </c>
      <c r="E11" s="34"/>
      <c r="F11" s="33" t="s">
        <v>23</v>
      </c>
      <c r="G11" s="33" t="s">
        <v>20</v>
      </c>
      <c r="H11" s="46" t="s">
        <v>21</v>
      </c>
      <c r="I11" s="47" t="s">
        <v>24</v>
      </c>
    </row>
    <row r="12" hidden="1">
      <c r="A12" s="37">
        <v>3.0</v>
      </c>
      <c r="B12" s="298">
        <v>40.9</v>
      </c>
      <c r="C12" s="299" t="s">
        <v>103</v>
      </c>
      <c r="D12" s="156">
        <v>500.0</v>
      </c>
      <c r="E12" s="34"/>
      <c r="F12" s="42">
        <v>1.0</v>
      </c>
      <c r="G12" s="42" t="s">
        <v>103</v>
      </c>
      <c r="H12" s="48">
        <f t="shared" ref="H12:H21" si="1">IF(G12="","",SUMIF($C$10:$C$21,G12,$D$10:$D$21))</f>
        <v>5850</v>
      </c>
      <c r="I12" s="49">
        <f t="shared" ref="I12:I21" si="2">IF(G12="","",COUNTIFS($C$10:$C$31,G12,$D$10:$D$31,"&gt;0"))</f>
        <v>12</v>
      </c>
    </row>
    <row r="13" hidden="1">
      <c r="A13" s="37">
        <v>4.0</v>
      </c>
      <c r="B13" s="298">
        <v>41.0</v>
      </c>
      <c r="C13" s="299" t="s">
        <v>103</v>
      </c>
      <c r="D13" s="156">
        <v>500.0</v>
      </c>
      <c r="E13" s="34"/>
      <c r="F13" s="42"/>
      <c r="G13" s="42"/>
      <c r="H13" s="48" t="str">
        <f t="shared" si="1"/>
        <v/>
      </c>
      <c r="I13" s="49" t="str">
        <f t="shared" si="2"/>
        <v/>
      </c>
    </row>
    <row r="14" hidden="1">
      <c r="A14" s="37">
        <v>5.0</v>
      </c>
      <c r="B14" s="298">
        <v>40.6</v>
      </c>
      <c r="C14" s="299" t="s">
        <v>103</v>
      </c>
      <c r="D14" s="156">
        <v>500.0</v>
      </c>
      <c r="E14" s="34"/>
      <c r="F14" s="42"/>
      <c r="G14" s="42"/>
      <c r="H14" s="48" t="str">
        <f t="shared" si="1"/>
        <v/>
      </c>
      <c r="I14" s="49" t="str">
        <f t="shared" si="2"/>
        <v/>
      </c>
    </row>
    <row r="15" hidden="1">
      <c r="A15" s="37">
        <v>6.0</v>
      </c>
      <c r="B15" s="298">
        <v>40.5</v>
      </c>
      <c r="C15" s="299" t="s">
        <v>103</v>
      </c>
      <c r="D15" s="156">
        <v>500.0</v>
      </c>
      <c r="E15" s="34"/>
      <c r="F15" s="42"/>
      <c r="G15" s="42"/>
      <c r="H15" s="48" t="str">
        <f t="shared" si="1"/>
        <v/>
      </c>
      <c r="I15" s="49" t="str">
        <f t="shared" si="2"/>
        <v/>
      </c>
    </row>
    <row r="16" hidden="1">
      <c r="A16" s="37">
        <v>7.0</v>
      </c>
      <c r="B16" s="298">
        <v>40.8</v>
      </c>
      <c r="C16" s="299" t="s">
        <v>103</v>
      </c>
      <c r="D16" s="156">
        <v>500.0</v>
      </c>
      <c r="E16" s="34"/>
      <c r="F16" s="42"/>
      <c r="G16" s="42"/>
      <c r="H16" s="48" t="str">
        <f t="shared" si="1"/>
        <v/>
      </c>
      <c r="I16" s="49" t="str">
        <f t="shared" si="2"/>
        <v/>
      </c>
    </row>
    <row r="17" hidden="1">
      <c r="A17" s="37">
        <v>8.0</v>
      </c>
      <c r="B17" s="298">
        <v>40.8</v>
      </c>
      <c r="C17" s="299" t="s">
        <v>103</v>
      </c>
      <c r="D17" s="156">
        <v>500.0</v>
      </c>
      <c r="E17" s="34"/>
      <c r="F17" s="42"/>
      <c r="G17" s="42"/>
      <c r="H17" s="48" t="str">
        <f t="shared" si="1"/>
        <v/>
      </c>
      <c r="I17" s="49" t="str">
        <f t="shared" si="2"/>
        <v/>
      </c>
    </row>
    <row r="18" hidden="1">
      <c r="A18" s="37">
        <v>9.0</v>
      </c>
      <c r="B18" s="298">
        <v>40.9</v>
      </c>
      <c r="C18" s="299" t="s">
        <v>103</v>
      </c>
      <c r="D18" s="156">
        <v>500.0</v>
      </c>
      <c r="E18" s="34"/>
      <c r="F18" s="48"/>
      <c r="G18" s="42"/>
      <c r="H18" s="48" t="str">
        <f t="shared" si="1"/>
        <v/>
      </c>
      <c r="I18" s="49" t="str">
        <f t="shared" si="2"/>
        <v/>
      </c>
    </row>
    <row r="19" hidden="1">
      <c r="A19" s="37">
        <v>10.0</v>
      </c>
      <c r="B19" s="298">
        <v>41.0</v>
      </c>
      <c r="C19" s="299" t="s">
        <v>103</v>
      </c>
      <c r="D19" s="156">
        <v>500.0</v>
      </c>
      <c r="E19" s="34"/>
      <c r="F19" s="48"/>
      <c r="G19" s="48"/>
      <c r="H19" s="48" t="str">
        <f t="shared" si="1"/>
        <v/>
      </c>
      <c r="I19" s="49" t="str">
        <f t="shared" si="2"/>
        <v/>
      </c>
    </row>
    <row r="20" hidden="1">
      <c r="A20" s="37">
        <v>11.0</v>
      </c>
      <c r="B20" s="298">
        <v>40.7</v>
      </c>
      <c r="C20" s="299" t="s">
        <v>103</v>
      </c>
      <c r="D20" s="156">
        <v>500.0</v>
      </c>
      <c r="E20" s="34"/>
      <c r="F20" s="48"/>
      <c r="G20" s="48"/>
      <c r="H20" s="48" t="str">
        <f t="shared" si="1"/>
        <v/>
      </c>
      <c r="I20" s="49" t="str">
        <f t="shared" si="2"/>
        <v/>
      </c>
    </row>
    <row r="21" hidden="1">
      <c r="A21" s="37">
        <v>12.0</v>
      </c>
      <c r="B21" s="298">
        <v>28.6</v>
      </c>
      <c r="C21" s="299" t="s">
        <v>103</v>
      </c>
      <c r="D21" s="156">
        <v>350.0</v>
      </c>
      <c r="E21" s="34"/>
      <c r="F21" s="48"/>
      <c r="G21" s="48"/>
      <c r="H21" s="48" t="str">
        <f t="shared" si="1"/>
        <v/>
      </c>
      <c r="I21" s="49" t="str">
        <f t="shared" si="2"/>
        <v/>
      </c>
    </row>
    <row r="22" hidden="1">
      <c r="A22" s="300"/>
      <c r="B22" s="301"/>
      <c r="C22" s="301"/>
      <c r="D22" s="301"/>
      <c r="E22" s="302"/>
      <c r="F22" s="51" t="s">
        <v>25</v>
      </c>
      <c r="G22" s="8"/>
      <c r="H22" s="48">
        <f t="shared" ref="H22:I22" si="3">sum(H9:H21)</f>
        <v>5850</v>
      </c>
      <c r="I22" s="49">
        <f t="shared" si="3"/>
        <v>12</v>
      </c>
    </row>
    <row r="23" hidden="1">
      <c r="A23" s="300"/>
      <c r="B23" s="301"/>
      <c r="C23" s="301"/>
      <c r="D23" s="301"/>
      <c r="E23" s="302"/>
      <c r="F23" s="302"/>
      <c r="G23" s="302"/>
      <c r="H23" s="302"/>
      <c r="I23" s="303"/>
    </row>
    <row r="24" hidden="1">
      <c r="A24" s="300"/>
      <c r="B24" s="301"/>
      <c r="C24" s="301"/>
      <c r="D24" s="301"/>
      <c r="E24" s="302"/>
      <c r="F24" s="54" t="s">
        <v>26</v>
      </c>
      <c r="G24" s="34"/>
      <c r="H24" s="34"/>
      <c r="I24" s="53"/>
    </row>
    <row r="25" hidden="1">
      <c r="A25" s="300"/>
      <c r="B25" s="301"/>
      <c r="C25" s="301"/>
      <c r="D25" s="301"/>
      <c r="E25" s="302"/>
      <c r="F25" s="55" t="s">
        <v>27</v>
      </c>
      <c r="I25" s="11"/>
    </row>
    <row r="26" hidden="1">
      <c r="A26" s="300"/>
      <c r="B26" s="301"/>
      <c r="C26" s="301"/>
      <c r="D26" s="301"/>
      <c r="E26" s="302"/>
      <c r="I26" s="11"/>
    </row>
    <row r="27" hidden="1">
      <c r="A27" s="300"/>
      <c r="B27" s="301"/>
      <c r="C27" s="301"/>
      <c r="D27" s="301"/>
      <c r="E27" s="302"/>
      <c r="I27" s="11"/>
    </row>
    <row r="28" hidden="1">
      <c r="A28" s="300"/>
      <c r="B28" s="301"/>
      <c r="C28" s="301"/>
      <c r="D28" s="301"/>
      <c r="E28" s="302"/>
      <c r="F28" s="55" t="s">
        <v>28</v>
      </c>
      <c r="I28" s="11"/>
    </row>
    <row r="29" hidden="1">
      <c r="A29" s="300"/>
      <c r="B29" s="301"/>
      <c r="C29" s="301"/>
      <c r="D29" s="301"/>
      <c r="E29" s="302"/>
      <c r="I29" s="11"/>
    </row>
    <row r="30" hidden="1">
      <c r="A30" s="300"/>
      <c r="B30" s="301"/>
      <c r="C30" s="301"/>
      <c r="D30" s="301"/>
      <c r="E30" s="302"/>
      <c r="I30" s="11"/>
    </row>
    <row r="31" hidden="1">
      <c r="A31" s="304"/>
      <c r="B31" s="305"/>
      <c r="C31" s="305"/>
      <c r="D31" s="305"/>
      <c r="E31" s="306"/>
      <c r="F31" s="306"/>
      <c r="G31" s="306"/>
      <c r="H31" s="306"/>
      <c r="I31" s="307"/>
    </row>
    <row r="32" hidden="1">
      <c r="A32" s="302"/>
      <c r="B32" s="302"/>
      <c r="C32" s="302"/>
      <c r="D32" s="302"/>
      <c r="E32" s="302"/>
      <c r="F32" s="302"/>
      <c r="G32" s="302"/>
      <c r="H32" s="302"/>
      <c r="I32" s="302"/>
    </row>
    <row r="33">
      <c r="A33" s="302"/>
      <c r="B33" s="302"/>
      <c r="C33" s="302"/>
      <c r="D33" s="302"/>
      <c r="E33" s="302"/>
      <c r="F33" s="302"/>
      <c r="G33" s="302"/>
      <c r="H33" s="302"/>
      <c r="I33" s="302"/>
    </row>
    <row r="34" hidden="1">
      <c r="A34" s="294" t="s">
        <v>101</v>
      </c>
      <c r="B34" s="2"/>
      <c r="C34" s="2"/>
      <c r="D34" s="2"/>
      <c r="E34" s="2"/>
      <c r="F34" s="2"/>
      <c r="G34" s="2"/>
      <c r="H34" s="2"/>
      <c r="I34" s="3"/>
    </row>
    <row r="35" hidden="1">
      <c r="A35" s="4" t="s">
        <v>0</v>
      </c>
      <c r="B35" s="5"/>
      <c r="C35" s="5"/>
      <c r="D35" s="5"/>
      <c r="E35" s="5"/>
      <c r="F35" s="5"/>
      <c r="G35" s="5"/>
      <c r="H35" s="5"/>
      <c r="I35" s="6"/>
    </row>
    <row r="36" hidden="1">
      <c r="A36" s="4" t="s">
        <v>1</v>
      </c>
      <c r="B36" s="5"/>
      <c r="C36" s="5"/>
      <c r="D36" s="5"/>
      <c r="E36" s="5"/>
      <c r="F36" s="5"/>
      <c r="G36" s="5"/>
      <c r="H36" s="5"/>
      <c r="I36" s="6"/>
      <c r="L36" s="7" t="s">
        <v>2</v>
      </c>
      <c r="M36" s="5"/>
      <c r="N36" s="8"/>
      <c r="O36" s="9" t="s">
        <v>101</v>
      </c>
      <c r="P36" s="5"/>
      <c r="Q36" s="5"/>
      <c r="R36" s="5"/>
      <c r="S36" s="8"/>
    </row>
    <row r="37" hidden="1">
      <c r="A37" s="10"/>
      <c r="B37" s="34"/>
      <c r="C37" s="34"/>
      <c r="D37" s="295"/>
      <c r="E37" s="34"/>
      <c r="F37" s="34"/>
      <c r="G37" s="34"/>
      <c r="H37" s="34"/>
      <c r="I37" s="53"/>
      <c r="L37" s="7" t="s">
        <v>3</v>
      </c>
      <c r="M37" s="5"/>
      <c r="N37" s="8"/>
      <c r="O37" s="12">
        <v>46251.0</v>
      </c>
      <c r="P37" s="5"/>
      <c r="Q37" s="5"/>
      <c r="R37" s="5"/>
      <c r="S37" s="8"/>
    </row>
    <row r="38" hidden="1">
      <c r="A38" s="13" t="s">
        <v>4</v>
      </c>
      <c r="B38" s="8"/>
      <c r="C38" s="296" t="s">
        <v>101</v>
      </c>
      <c r="D38" s="8"/>
      <c r="E38" s="15" t="s">
        <v>5</v>
      </c>
      <c r="F38" s="8"/>
      <c r="G38" s="297">
        <v>46282.0</v>
      </c>
      <c r="H38" s="5"/>
      <c r="I38" s="6"/>
      <c r="L38" s="17" t="s">
        <v>6</v>
      </c>
      <c r="M38" s="17" t="s">
        <v>7</v>
      </c>
      <c r="N38" s="17" t="s">
        <v>8</v>
      </c>
      <c r="O38" s="18" t="s">
        <v>9</v>
      </c>
      <c r="P38" s="19" t="s">
        <v>10</v>
      </c>
      <c r="Q38" s="20" t="s">
        <v>11</v>
      </c>
      <c r="R38" s="17" t="s">
        <v>12</v>
      </c>
      <c r="S38" s="17" t="s">
        <v>13</v>
      </c>
    </row>
    <row r="39" hidden="1">
      <c r="A39" s="13" t="s">
        <v>14</v>
      </c>
      <c r="B39" s="8"/>
      <c r="C39" s="14" t="s">
        <v>72</v>
      </c>
      <c r="D39" s="8"/>
      <c r="E39" s="15" t="s">
        <v>15</v>
      </c>
      <c r="F39" s="8"/>
      <c r="G39" s="21"/>
      <c r="H39" s="5"/>
      <c r="I39" s="6"/>
      <c r="L39" s="22" t="s">
        <v>68</v>
      </c>
      <c r="M39" s="22" t="s">
        <v>101</v>
      </c>
      <c r="N39" s="23" t="s">
        <v>40</v>
      </c>
      <c r="O39" s="261">
        <v>1500.0</v>
      </c>
      <c r="P39" s="25">
        <f t="shared" ref="P39:P43" si="4">IF(O39-R39-S39&lt;0,0,O39-R39-S39)</f>
        <v>0</v>
      </c>
      <c r="Q39" s="26">
        <f>(H45)</f>
        <v>1500</v>
      </c>
      <c r="R39" s="23">
        <f t="shared" ref="R39:R43" si="5">IF(Q39-S39&lt;0,0,Q39-S39)</f>
        <v>1500</v>
      </c>
      <c r="S39" s="24"/>
    </row>
    <row r="40" hidden="1">
      <c r="A40" s="13" t="s">
        <v>16</v>
      </c>
      <c r="B40" s="8"/>
      <c r="C40" s="27" t="s">
        <v>37</v>
      </c>
      <c r="D40" s="8"/>
      <c r="E40" s="15" t="s">
        <v>17</v>
      </c>
      <c r="F40" s="8"/>
      <c r="G40" s="21"/>
      <c r="H40" s="5"/>
      <c r="I40" s="6"/>
      <c r="L40" s="28"/>
      <c r="M40" s="28"/>
      <c r="N40" s="23" t="s">
        <v>42</v>
      </c>
      <c r="O40" s="261">
        <v>10000.0</v>
      </c>
      <c r="P40" s="25">
        <f t="shared" si="4"/>
        <v>0</v>
      </c>
      <c r="Q40" s="26">
        <f>sum(H46)</f>
        <v>10652</v>
      </c>
      <c r="R40" s="23">
        <f t="shared" si="5"/>
        <v>10652</v>
      </c>
      <c r="S40" s="29"/>
    </row>
    <row r="41" hidden="1">
      <c r="A41" s="10"/>
      <c r="B41" s="34"/>
      <c r="C41" s="34"/>
      <c r="D41" s="295"/>
      <c r="E41" s="34"/>
      <c r="F41" s="34"/>
      <c r="G41" s="34"/>
      <c r="H41" s="34"/>
      <c r="I41" s="53"/>
      <c r="L41" s="28"/>
      <c r="M41" s="28"/>
      <c r="N41" s="30" t="s">
        <v>49</v>
      </c>
      <c r="O41" s="261">
        <v>7000.0</v>
      </c>
      <c r="P41" s="25">
        <f t="shared" si="4"/>
        <v>2363</v>
      </c>
      <c r="Q41" s="26">
        <f t="shared" ref="Q41:Q43" si="6">(H47)</f>
        <v>4637</v>
      </c>
      <c r="R41" s="23">
        <f t="shared" si="5"/>
        <v>4637</v>
      </c>
      <c r="S41" s="29"/>
    </row>
    <row r="42" hidden="1">
      <c r="A42" s="31" t="s">
        <v>18</v>
      </c>
      <c r="B42" s="32" t="s">
        <v>19</v>
      </c>
      <c r="C42" s="33" t="s">
        <v>20</v>
      </c>
      <c r="D42" s="32" t="s">
        <v>21</v>
      </c>
      <c r="E42" s="34"/>
      <c r="F42" s="33" t="s">
        <v>6</v>
      </c>
      <c r="G42" s="35" t="s">
        <v>102</v>
      </c>
      <c r="H42" s="5"/>
      <c r="I42" s="6"/>
      <c r="L42" s="28"/>
      <c r="M42" s="28"/>
      <c r="N42" s="30" t="s">
        <v>51</v>
      </c>
      <c r="O42" s="261">
        <v>1000.0</v>
      </c>
      <c r="P42" s="25">
        <f t="shared" si="4"/>
        <v>0</v>
      </c>
      <c r="Q42" s="26">
        <f t="shared" si="6"/>
        <v>1006</v>
      </c>
      <c r="R42" s="23">
        <f t="shared" si="5"/>
        <v>1006</v>
      </c>
      <c r="S42" s="36"/>
    </row>
    <row r="43" hidden="1">
      <c r="A43" s="37">
        <v>1.0</v>
      </c>
      <c r="B43" s="298">
        <v>40.5</v>
      </c>
      <c r="C43" s="299" t="s">
        <v>103</v>
      </c>
      <c r="D43" s="156">
        <v>500.0</v>
      </c>
      <c r="E43" s="34"/>
      <c r="F43" s="41" t="s">
        <v>22</v>
      </c>
      <c r="G43" s="5"/>
      <c r="H43" s="5"/>
      <c r="I43" s="6"/>
      <c r="L43" s="44"/>
      <c r="M43" s="44"/>
      <c r="N43" s="30" t="s">
        <v>54</v>
      </c>
      <c r="O43" s="261">
        <v>500.0</v>
      </c>
      <c r="P43" s="25">
        <f t="shared" si="4"/>
        <v>1</v>
      </c>
      <c r="Q43" s="26">
        <f t="shared" si="6"/>
        <v>499</v>
      </c>
      <c r="R43" s="23">
        <f t="shared" si="5"/>
        <v>499</v>
      </c>
      <c r="S43" s="36"/>
    </row>
    <row r="44" hidden="1">
      <c r="A44" s="37">
        <v>2.0</v>
      </c>
      <c r="B44" s="298">
        <v>40.8</v>
      </c>
      <c r="C44" s="299" t="s">
        <v>103</v>
      </c>
      <c r="D44" s="156">
        <v>500.0</v>
      </c>
      <c r="E44" s="34"/>
      <c r="F44" s="33" t="s">
        <v>23</v>
      </c>
      <c r="G44" s="33" t="s">
        <v>20</v>
      </c>
      <c r="H44" s="46" t="s">
        <v>21</v>
      </c>
      <c r="I44" s="47" t="s">
        <v>24</v>
      </c>
    </row>
    <row r="45" hidden="1">
      <c r="A45" s="37">
        <v>3.0</v>
      </c>
      <c r="B45" s="298">
        <v>44.8</v>
      </c>
      <c r="C45" s="299" t="s">
        <v>103</v>
      </c>
      <c r="D45" s="156">
        <v>550.0</v>
      </c>
      <c r="E45" s="34"/>
      <c r="F45" s="42">
        <v>1.0</v>
      </c>
      <c r="G45" s="42" t="s">
        <v>104</v>
      </c>
      <c r="H45" s="48">
        <f t="shared" ref="H45:H57" si="7">IF(G45="","",SUMIF($C$43:$C$96,G45,$D$43:$D$96))</f>
        <v>1500</v>
      </c>
      <c r="I45" s="49">
        <f t="shared" ref="I45:I57" si="8">IF(G45="","",COUNTIFS($C$43:$C$96,G45,$D$43:$D$96,"&gt;0"))</f>
        <v>3</v>
      </c>
    </row>
    <row r="46" hidden="1">
      <c r="A46" s="37">
        <v>4.0</v>
      </c>
      <c r="B46" s="298">
        <v>49.0</v>
      </c>
      <c r="C46" s="299" t="s">
        <v>103</v>
      </c>
      <c r="D46" s="156">
        <v>600.0</v>
      </c>
      <c r="E46" s="34"/>
      <c r="F46" s="42">
        <v>2.0</v>
      </c>
      <c r="G46" s="42" t="s">
        <v>103</v>
      </c>
      <c r="H46" s="48">
        <f t="shared" si="7"/>
        <v>10652</v>
      </c>
      <c r="I46" s="49">
        <f t="shared" si="8"/>
        <v>21</v>
      </c>
    </row>
    <row r="47" hidden="1">
      <c r="A47" s="37">
        <v>5.0</v>
      </c>
      <c r="B47" s="298">
        <v>37.3</v>
      </c>
      <c r="C47" s="299" t="s">
        <v>105</v>
      </c>
      <c r="D47" s="156">
        <v>300.0</v>
      </c>
      <c r="E47" s="34"/>
      <c r="F47" s="42">
        <v>3.0</v>
      </c>
      <c r="G47" s="42" t="s">
        <v>105</v>
      </c>
      <c r="H47" s="48">
        <f t="shared" si="7"/>
        <v>4637</v>
      </c>
      <c r="I47" s="49">
        <f t="shared" si="8"/>
        <v>16</v>
      </c>
    </row>
    <row r="48" hidden="1">
      <c r="A48" s="37">
        <v>6.0</v>
      </c>
      <c r="B48" s="298">
        <v>37.3</v>
      </c>
      <c r="C48" s="299" t="s">
        <v>105</v>
      </c>
      <c r="D48" s="156">
        <v>300.0</v>
      </c>
      <c r="E48" s="34"/>
      <c r="F48" s="42">
        <v>4.0</v>
      </c>
      <c r="G48" s="42" t="s">
        <v>106</v>
      </c>
      <c r="H48" s="48">
        <f t="shared" si="7"/>
        <v>1006</v>
      </c>
      <c r="I48" s="49">
        <f t="shared" si="8"/>
        <v>4</v>
      </c>
    </row>
    <row r="49" hidden="1">
      <c r="A49" s="37">
        <v>7.0</v>
      </c>
      <c r="B49" s="298">
        <v>37.1</v>
      </c>
      <c r="C49" s="299" t="s">
        <v>105</v>
      </c>
      <c r="D49" s="156">
        <v>300.0</v>
      </c>
      <c r="E49" s="34"/>
      <c r="F49" s="42">
        <v>5.0</v>
      </c>
      <c r="G49" s="42" t="s">
        <v>107</v>
      </c>
      <c r="H49" s="48">
        <f t="shared" si="7"/>
        <v>499</v>
      </c>
      <c r="I49" s="49">
        <f t="shared" si="8"/>
        <v>3</v>
      </c>
    </row>
    <row r="50" hidden="1">
      <c r="A50" s="37">
        <v>8.0</v>
      </c>
      <c r="B50" s="298">
        <v>37.1</v>
      </c>
      <c r="C50" s="299" t="s">
        <v>105</v>
      </c>
      <c r="D50" s="156">
        <v>300.0</v>
      </c>
      <c r="E50" s="34"/>
      <c r="F50" s="42"/>
      <c r="G50" s="42"/>
      <c r="H50" s="48" t="str">
        <f t="shared" si="7"/>
        <v/>
      </c>
      <c r="I50" s="49" t="str">
        <f t="shared" si="8"/>
        <v/>
      </c>
      <c r="L50" s="308"/>
    </row>
    <row r="51" hidden="1">
      <c r="A51" s="37">
        <v>9.0</v>
      </c>
      <c r="B51" s="298">
        <v>37.5</v>
      </c>
      <c r="C51" s="299" t="s">
        <v>105</v>
      </c>
      <c r="D51" s="156">
        <v>300.0</v>
      </c>
      <c r="E51" s="34"/>
      <c r="F51" s="48"/>
      <c r="G51" s="42"/>
      <c r="H51" s="48" t="str">
        <f t="shared" si="7"/>
        <v/>
      </c>
      <c r="I51" s="49" t="str">
        <f t="shared" si="8"/>
        <v/>
      </c>
    </row>
    <row r="52" hidden="1">
      <c r="A52" s="37">
        <v>10.0</v>
      </c>
      <c r="B52" s="298">
        <v>37.0</v>
      </c>
      <c r="C52" s="299" t="s">
        <v>105</v>
      </c>
      <c r="D52" s="156">
        <v>300.0</v>
      </c>
      <c r="E52" s="34"/>
      <c r="F52" s="48"/>
      <c r="G52" s="48"/>
      <c r="H52" s="48" t="str">
        <f t="shared" si="7"/>
        <v/>
      </c>
      <c r="I52" s="49" t="str">
        <f t="shared" si="8"/>
        <v/>
      </c>
    </row>
    <row r="53" hidden="1">
      <c r="A53" s="37">
        <v>11.0</v>
      </c>
      <c r="B53" s="298">
        <v>37.2</v>
      </c>
      <c r="C53" s="299" t="s">
        <v>105</v>
      </c>
      <c r="D53" s="156">
        <v>300.0</v>
      </c>
      <c r="E53" s="34"/>
      <c r="F53" s="48"/>
      <c r="G53" s="48"/>
      <c r="H53" s="48" t="str">
        <f t="shared" si="7"/>
        <v/>
      </c>
      <c r="I53" s="49" t="str">
        <f t="shared" si="8"/>
        <v/>
      </c>
    </row>
    <row r="54" hidden="1">
      <c r="A54" s="37">
        <v>12.0</v>
      </c>
      <c r="B54" s="298">
        <v>14.0</v>
      </c>
      <c r="C54" s="299" t="s">
        <v>105</v>
      </c>
      <c r="D54" s="156">
        <v>114.0</v>
      </c>
      <c r="E54" s="34"/>
      <c r="F54" s="48"/>
      <c r="G54" s="48"/>
      <c r="H54" s="48" t="str">
        <f t="shared" si="7"/>
        <v/>
      </c>
      <c r="I54" s="49" t="str">
        <f t="shared" si="8"/>
        <v/>
      </c>
    </row>
    <row r="55" hidden="1">
      <c r="A55" s="37">
        <v>13.0</v>
      </c>
      <c r="B55" s="298">
        <v>36.8</v>
      </c>
      <c r="C55" s="299" t="s">
        <v>105</v>
      </c>
      <c r="D55" s="156">
        <v>300.0</v>
      </c>
      <c r="E55" s="34"/>
      <c r="F55" s="48"/>
      <c r="G55" s="48"/>
      <c r="H55" s="48" t="str">
        <f t="shared" si="7"/>
        <v/>
      </c>
      <c r="I55" s="49" t="str">
        <f t="shared" si="8"/>
        <v/>
      </c>
    </row>
    <row r="56" hidden="1">
      <c r="A56" s="37">
        <v>14.0</v>
      </c>
      <c r="B56" s="298">
        <v>37.1</v>
      </c>
      <c r="C56" s="299" t="s">
        <v>105</v>
      </c>
      <c r="D56" s="156">
        <v>300.0</v>
      </c>
      <c r="E56" s="34"/>
      <c r="F56" s="48"/>
      <c r="G56" s="48"/>
      <c r="H56" s="48" t="str">
        <f t="shared" si="7"/>
        <v/>
      </c>
      <c r="I56" s="49" t="str">
        <f t="shared" si="8"/>
        <v/>
      </c>
    </row>
    <row r="57" hidden="1">
      <c r="A57" s="37">
        <v>15.0</v>
      </c>
      <c r="B57" s="298">
        <v>36.8</v>
      </c>
      <c r="C57" s="299" t="s">
        <v>105</v>
      </c>
      <c r="D57" s="156">
        <v>300.0</v>
      </c>
      <c r="E57" s="34"/>
      <c r="F57" s="48"/>
      <c r="G57" s="48"/>
      <c r="H57" s="48" t="str">
        <f t="shared" si="7"/>
        <v/>
      </c>
      <c r="I57" s="49" t="str">
        <f t="shared" si="8"/>
        <v/>
      </c>
    </row>
    <row r="58" hidden="1">
      <c r="A58" s="37">
        <v>16.0</v>
      </c>
      <c r="B58" s="298">
        <v>37.0</v>
      </c>
      <c r="C58" s="299" t="s">
        <v>105</v>
      </c>
      <c r="D58" s="156">
        <v>300.0</v>
      </c>
      <c r="E58" s="34"/>
      <c r="F58" s="51" t="s">
        <v>25</v>
      </c>
      <c r="G58" s="8"/>
      <c r="H58" s="48">
        <f t="shared" ref="H58:I58" si="9">sum(H45:H57)</f>
        <v>18294</v>
      </c>
      <c r="I58" s="49">
        <f t="shared" si="9"/>
        <v>47</v>
      </c>
    </row>
    <row r="59" hidden="1">
      <c r="A59" s="37">
        <v>17.0</v>
      </c>
      <c r="B59" s="298">
        <v>36.9</v>
      </c>
      <c r="C59" s="299" t="s">
        <v>105</v>
      </c>
      <c r="D59" s="156">
        <v>300.0</v>
      </c>
      <c r="E59" s="34"/>
      <c r="F59" s="34"/>
      <c r="G59" s="34"/>
      <c r="H59" s="34"/>
      <c r="I59" s="53"/>
    </row>
    <row r="60" hidden="1">
      <c r="A60" s="37">
        <v>18.0</v>
      </c>
      <c r="B60" s="298">
        <v>37.2</v>
      </c>
      <c r="C60" s="299" t="s">
        <v>105</v>
      </c>
      <c r="D60" s="156">
        <v>300.0</v>
      </c>
      <c r="E60" s="34"/>
      <c r="F60" s="34"/>
      <c r="G60" s="34"/>
      <c r="H60" s="34"/>
      <c r="I60" s="53"/>
    </row>
    <row r="61" hidden="1">
      <c r="A61" s="309">
        <v>19.0</v>
      </c>
      <c r="B61" s="310">
        <v>36.7</v>
      </c>
      <c r="C61" s="311" t="s">
        <v>105</v>
      </c>
      <c r="D61" s="312">
        <v>300.0</v>
      </c>
      <c r="E61" s="34"/>
      <c r="F61" s="34"/>
      <c r="G61" s="34"/>
      <c r="H61" s="34"/>
      <c r="I61" s="53"/>
    </row>
    <row r="62" hidden="1">
      <c r="A62" s="309">
        <v>20.0</v>
      </c>
      <c r="B62" s="310">
        <v>39.4</v>
      </c>
      <c r="C62" s="311" t="s">
        <v>105</v>
      </c>
      <c r="D62" s="312">
        <v>323.0</v>
      </c>
      <c r="E62" s="34"/>
      <c r="F62" s="34"/>
      <c r="G62" s="34"/>
      <c r="H62" s="34"/>
      <c r="I62" s="53"/>
    </row>
    <row r="63" hidden="1">
      <c r="A63" s="37">
        <v>21.0</v>
      </c>
      <c r="B63" s="298">
        <v>43.0</v>
      </c>
      <c r="C63" s="299" t="s">
        <v>106</v>
      </c>
      <c r="D63" s="156">
        <v>250.0</v>
      </c>
      <c r="E63" s="34"/>
      <c r="F63" s="54" t="s">
        <v>26</v>
      </c>
      <c r="G63" s="34"/>
      <c r="H63" s="34"/>
      <c r="I63" s="53"/>
    </row>
    <row r="64" hidden="1">
      <c r="A64" s="37">
        <v>22.0</v>
      </c>
      <c r="B64" s="298">
        <v>42.6</v>
      </c>
      <c r="C64" s="299" t="s">
        <v>106</v>
      </c>
      <c r="D64" s="156">
        <v>250.0</v>
      </c>
      <c r="E64" s="34"/>
      <c r="F64" s="55" t="s">
        <v>27</v>
      </c>
      <c r="I64" s="11"/>
    </row>
    <row r="65" hidden="1">
      <c r="A65" s="37">
        <v>23.0</v>
      </c>
      <c r="B65" s="298">
        <v>42.9</v>
      </c>
      <c r="C65" s="299" t="s">
        <v>106</v>
      </c>
      <c r="D65" s="156">
        <v>250.0</v>
      </c>
      <c r="E65" s="34"/>
      <c r="I65" s="11"/>
    </row>
    <row r="66" hidden="1">
      <c r="A66" s="37">
        <v>24.0</v>
      </c>
      <c r="B66" s="298">
        <v>43.9</v>
      </c>
      <c r="C66" s="299" t="s">
        <v>106</v>
      </c>
      <c r="D66" s="156">
        <v>256.0</v>
      </c>
      <c r="E66" s="34"/>
      <c r="I66" s="11"/>
    </row>
    <row r="67" hidden="1">
      <c r="A67" s="37">
        <v>25.0</v>
      </c>
      <c r="B67" s="298">
        <v>33.2</v>
      </c>
      <c r="C67" s="42" t="s">
        <v>104</v>
      </c>
      <c r="D67" s="156">
        <v>500.0</v>
      </c>
      <c r="E67" s="34"/>
      <c r="F67" s="55" t="s">
        <v>28</v>
      </c>
      <c r="I67" s="11"/>
    </row>
    <row r="68" hidden="1">
      <c r="A68" s="37">
        <v>26.0</v>
      </c>
      <c r="B68" s="298">
        <v>33.5</v>
      </c>
      <c r="C68" s="42" t="s">
        <v>104</v>
      </c>
      <c r="D68" s="156">
        <v>500.0</v>
      </c>
      <c r="E68" s="34"/>
      <c r="I68" s="11"/>
    </row>
    <row r="69" hidden="1">
      <c r="A69" s="37">
        <v>27.0</v>
      </c>
      <c r="B69" s="298">
        <v>33.1</v>
      </c>
      <c r="C69" s="42" t="s">
        <v>104</v>
      </c>
      <c r="D69" s="156">
        <v>500.0</v>
      </c>
      <c r="E69" s="34"/>
      <c r="I69" s="11"/>
    </row>
    <row r="70" hidden="1">
      <c r="A70" s="37">
        <v>28.0</v>
      </c>
      <c r="B70" s="298">
        <v>41.0</v>
      </c>
      <c r="C70" s="299" t="s">
        <v>103</v>
      </c>
      <c r="D70" s="156">
        <v>500.0</v>
      </c>
      <c r="E70" s="34"/>
      <c r="F70" s="34"/>
      <c r="G70" s="34"/>
      <c r="H70" s="34"/>
      <c r="I70" s="53"/>
    </row>
    <row r="71" hidden="1">
      <c r="A71" s="37">
        <v>29.0</v>
      </c>
      <c r="B71" s="298">
        <v>40.8</v>
      </c>
      <c r="C71" s="299" t="s">
        <v>103</v>
      </c>
      <c r="D71" s="156">
        <v>500.0</v>
      </c>
      <c r="E71" s="34"/>
      <c r="F71" s="34"/>
      <c r="G71" s="34"/>
      <c r="H71" s="34"/>
      <c r="I71" s="53"/>
    </row>
    <row r="72" hidden="1">
      <c r="A72" s="37">
        <v>30.0</v>
      </c>
      <c r="B72" s="298">
        <v>41.0</v>
      </c>
      <c r="C72" s="299" t="s">
        <v>103</v>
      </c>
      <c r="D72" s="156">
        <v>500.0</v>
      </c>
      <c r="E72" s="34"/>
      <c r="F72" s="34"/>
      <c r="G72" s="34"/>
      <c r="H72" s="34"/>
      <c r="I72" s="53"/>
    </row>
    <row r="73" hidden="1">
      <c r="A73" s="37">
        <v>31.0</v>
      </c>
      <c r="B73" s="298">
        <v>41.4</v>
      </c>
      <c r="C73" s="299" t="s">
        <v>103</v>
      </c>
      <c r="D73" s="156">
        <v>502.0</v>
      </c>
      <c r="E73" s="34"/>
      <c r="F73" s="34"/>
      <c r="G73" s="34"/>
      <c r="H73" s="34"/>
      <c r="I73" s="53"/>
    </row>
    <row r="74" hidden="1">
      <c r="A74" s="37">
        <v>32.0</v>
      </c>
      <c r="B74" s="298">
        <v>44.4</v>
      </c>
      <c r="C74" s="299" t="s">
        <v>107</v>
      </c>
      <c r="D74" s="156">
        <v>200.0</v>
      </c>
      <c r="E74" s="34"/>
      <c r="F74" s="34"/>
      <c r="G74" s="34"/>
      <c r="H74" s="34"/>
      <c r="I74" s="53"/>
    </row>
    <row r="75" hidden="1">
      <c r="A75" s="37">
        <v>33.0</v>
      </c>
      <c r="B75" s="298">
        <v>22.3</v>
      </c>
      <c r="C75" s="299" t="s">
        <v>107</v>
      </c>
      <c r="D75" s="156">
        <v>100.0</v>
      </c>
      <c r="E75" s="34"/>
      <c r="F75" s="34"/>
      <c r="G75" s="34"/>
      <c r="H75" s="34"/>
      <c r="I75" s="53"/>
    </row>
    <row r="76" hidden="1">
      <c r="A76" s="37">
        <v>34.0</v>
      </c>
      <c r="B76" s="298">
        <v>44.3</v>
      </c>
      <c r="C76" s="299" t="s">
        <v>107</v>
      </c>
      <c r="D76" s="156">
        <v>199.0</v>
      </c>
      <c r="E76" s="34"/>
      <c r="F76" s="34"/>
      <c r="G76" s="34"/>
      <c r="H76" s="34"/>
      <c r="I76" s="53"/>
    </row>
    <row r="77" hidden="1">
      <c r="A77" s="37">
        <v>35.0</v>
      </c>
      <c r="B77" s="298">
        <v>40.7</v>
      </c>
      <c r="C77" s="299" t="s">
        <v>103</v>
      </c>
      <c r="D77" s="156">
        <v>500.0</v>
      </c>
      <c r="E77" s="34"/>
      <c r="F77" s="34"/>
      <c r="G77" s="34"/>
      <c r="H77" s="34"/>
      <c r="I77" s="53"/>
    </row>
    <row r="78" hidden="1">
      <c r="A78" s="37">
        <v>36.0</v>
      </c>
      <c r="B78" s="298">
        <v>40.6</v>
      </c>
      <c r="C78" s="299" t="s">
        <v>103</v>
      </c>
      <c r="D78" s="156">
        <v>500.0</v>
      </c>
      <c r="E78" s="34"/>
      <c r="F78" s="34"/>
      <c r="G78" s="34"/>
      <c r="H78" s="34"/>
      <c r="I78" s="53"/>
    </row>
    <row r="79" hidden="1">
      <c r="A79" s="37">
        <v>37.0</v>
      </c>
      <c r="B79" s="298">
        <v>40.4</v>
      </c>
      <c r="C79" s="299" t="s">
        <v>103</v>
      </c>
      <c r="D79" s="156">
        <v>500.0</v>
      </c>
      <c r="E79" s="34"/>
      <c r="F79" s="34"/>
      <c r="G79" s="34"/>
      <c r="H79" s="34"/>
      <c r="I79" s="53"/>
    </row>
    <row r="80" hidden="1">
      <c r="A80" s="37">
        <v>38.0</v>
      </c>
      <c r="B80" s="298">
        <v>40.6</v>
      </c>
      <c r="C80" s="299" t="s">
        <v>103</v>
      </c>
      <c r="D80" s="156">
        <v>500.0</v>
      </c>
      <c r="E80" s="34"/>
      <c r="F80" s="34"/>
      <c r="G80" s="34"/>
      <c r="H80" s="34"/>
      <c r="I80" s="53"/>
    </row>
    <row r="81" hidden="1">
      <c r="A81" s="37">
        <v>39.0</v>
      </c>
      <c r="B81" s="298">
        <v>40.6</v>
      </c>
      <c r="C81" s="299" t="s">
        <v>103</v>
      </c>
      <c r="D81" s="156">
        <v>500.0</v>
      </c>
      <c r="E81" s="34"/>
      <c r="F81" s="34"/>
      <c r="G81" s="34"/>
      <c r="H81" s="34"/>
      <c r="I81" s="53"/>
    </row>
    <row r="82" hidden="1">
      <c r="A82" s="37">
        <v>40.0</v>
      </c>
      <c r="B82" s="298">
        <v>40.4</v>
      </c>
      <c r="C82" s="299" t="s">
        <v>103</v>
      </c>
      <c r="D82" s="156">
        <v>500.0</v>
      </c>
      <c r="E82" s="34"/>
      <c r="F82" s="34"/>
      <c r="G82" s="34"/>
      <c r="H82" s="34"/>
      <c r="I82" s="53"/>
    </row>
    <row r="83" hidden="1">
      <c r="A83" s="37">
        <v>41.0</v>
      </c>
      <c r="B83" s="298">
        <v>40.6</v>
      </c>
      <c r="C83" s="299" t="s">
        <v>103</v>
      </c>
      <c r="D83" s="156">
        <v>500.0</v>
      </c>
      <c r="E83" s="34"/>
      <c r="F83" s="34"/>
      <c r="G83" s="34"/>
      <c r="H83" s="34"/>
      <c r="I83" s="53"/>
    </row>
    <row r="84" hidden="1">
      <c r="A84" s="37">
        <v>42.0</v>
      </c>
      <c r="B84" s="298">
        <v>40.6</v>
      </c>
      <c r="C84" s="299" t="s">
        <v>103</v>
      </c>
      <c r="D84" s="156">
        <v>500.0</v>
      </c>
      <c r="E84" s="34"/>
      <c r="F84" s="34"/>
      <c r="G84" s="34"/>
      <c r="H84" s="34"/>
      <c r="I84" s="53"/>
    </row>
    <row r="85" hidden="1">
      <c r="A85" s="37">
        <v>43.0</v>
      </c>
      <c r="B85" s="298">
        <v>40.3</v>
      </c>
      <c r="C85" s="299" t="s">
        <v>103</v>
      </c>
      <c r="D85" s="156">
        <v>500.0</v>
      </c>
      <c r="E85" s="34"/>
      <c r="F85" s="34"/>
      <c r="G85" s="34"/>
      <c r="H85" s="34"/>
      <c r="I85" s="53"/>
    </row>
    <row r="86" hidden="1">
      <c r="A86" s="37">
        <v>44.0</v>
      </c>
      <c r="B86" s="298">
        <v>40.9</v>
      </c>
      <c r="C86" s="299" t="s">
        <v>103</v>
      </c>
      <c r="D86" s="156">
        <v>500.0</v>
      </c>
      <c r="E86" s="34"/>
      <c r="F86" s="34"/>
      <c r="G86" s="34"/>
      <c r="H86" s="34"/>
      <c r="I86" s="53"/>
    </row>
    <row r="87" hidden="1">
      <c r="A87" s="37">
        <v>45.0</v>
      </c>
      <c r="B87" s="298">
        <v>40.6</v>
      </c>
      <c r="C87" s="299" t="s">
        <v>103</v>
      </c>
      <c r="D87" s="156">
        <v>500.0</v>
      </c>
      <c r="E87" s="34"/>
      <c r="F87" s="34"/>
      <c r="G87" s="34"/>
      <c r="H87" s="34"/>
      <c r="I87" s="53"/>
    </row>
    <row r="88" hidden="1">
      <c r="A88" s="37">
        <v>46.0</v>
      </c>
      <c r="B88" s="298">
        <v>40.6</v>
      </c>
      <c r="C88" s="299" t="s">
        <v>103</v>
      </c>
      <c r="D88" s="156">
        <v>500.0</v>
      </c>
      <c r="E88" s="34"/>
      <c r="F88" s="34"/>
      <c r="G88" s="34"/>
      <c r="H88" s="34"/>
      <c r="I88" s="53"/>
    </row>
    <row r="89" hidden="1">
      <c r="A89" s="37">
        <v>47.0</v>
      </c>
      <c r="B89" s="313">
        <v>40.4</v>
      </c>
      <c r="C89" s="299" t="s">
        <v>103</v>
      </c>
      <c r="D89" s="156">
        <v>500.0</v>
      </c>
      <c r="E89" s="34"/>
      <c r="F89" s="34"/>
      <c r="G89" s="34"/>
      <c r="H89" s="34"/>
      <c r="I89" s="53"/>
    </row>
    <row r="90" hidden="1">
      <c r="A90" s="314"/>
      <c r="B90" s="315"/>
      <c r="C90" s="315"/>
      <c r="D90" s="315"/>
      <c r="E90" s="34"/>
      <c r="F90" s="34"/>
      <c r="G90" s="34"/>
      <c r="H90" s="34"/>
      <c r="I90" s="53"/>
    </row>
    <row r="91" hidden="1">
      <c r="A91" s="316"/>
      <c r="B91" s="317">
        <f>SUM(B43:B89)</f>
        <v>1822.2</v>
      </c>
      <c r="C91" s="317"/>
      <c r="D91" s="317">
        <f>SUM(D43:D89)</f>
        <v>18294</v>
      </c>
      <c r="E91" s="61"/>
      <c r="F91" s="61"/>
      <c r="G91" s="61"/>
      <c r="H91" s="61"/>
      <c r="I91" s="64"/>
    </row>
    <row r="93">
      <c r="A93" s="318" t="s">
        <v>101</v>
      </c>
      <c r="B93" s="2"/>
      <c r="C93" s="2"/>
      <c r="D93" s="2"/>
      <c r="E93" s="2"/>
      <c r="F93" s="2"/>
      <c r="G93" s="2"/>
      <c r="H93" s="2"/>
      <c r="I93" s="3"/>
      <c r="J93" s="34"/>
      <c r="K93" s="34"/>
      <c r="L93" s="34"/>
      <c r="M93" s="34"/>
      <c r="N93" s="34"/>
      <c r="O93" s="34"/>
      <c r="P93" s="34"/>
      <c r="Q93" s="34"/>
      <c r="R93" s="34"/>
      <c r="S93" s="34"/>
    </row>
    <row r="94">
      <c r="A94" s="4" t="s">
        <v>0</v>
      </c>
      <c r="B94" s="5"/>
      <c r="C94" s="5"/>
      <c r="D94" s="5"/>
      <c r="E94" s="5"/>
      <c r="F94" s="5"/>
      <c r="G94" s="5"/>
      <c r="H94" s="5"/>
      <c r="I94" s="6"/>
      <c r="J94" s="34"/>
      <c r="K94" s="34"/>
      <c r="L94" s="34"/>
      <c r="M94" s="34"/>
      <c r="N94" s="34"/>
      <c r="O94" s="34"/>
      <c r="P94" s="34"/>
      <c r="Q94" s="34"/>
      <c r="R94" s="34"/>
      <c r="S94" s="34"/>
    </row>
    <row r="95">
      <c r="A95" s="4" t="s">
        <v>1</v>
      </c>
      <c r="B95" s="5"/>
      <c r="C95" s="5"/>
      <c r="D95" s="5"/>
      <c r="E95" s="5"/>
      <c r="F95" s="5"/>
      <c r="G95" s="5"/>
      <c r="H95" s="5"/>
      <c r="I95" s="6"/>
      <c r="J95" s="34"/>
      <c r="K95" s="34"/>
      <c r="L95" s="7" t="s">
        <v>2</v>
      </c>
      <c r="M95" s="5"/>
      <c r="N95" s="8"/>
      <c r="O95" s="319" t="s">
        <v>101</v>
      </c>
      <c r="P95" s="5"/>
      <c r="Q95" s="5"/>
      <c r="R95" s="5"/>
      <c r="S95" s="8"/>
    </row>
    <row r="96">
      <c r="A96" s="10"/>
      <c r="B96" s="34"/>
      <c r="C96" s="34"/>
      <c r="D96" s="295"/>
      <c r="E96" s="34"/>
      <c r="F96" s="34"/>
      <c r="G96" s="34"/>
      <c r="H96" s="34"/>
      <c r="I96" s="52"/>
      <c r="J96" s="34"/>
      <c r="K96" s="34"/>
      <c r="L96" s="7" t="s">
        <v>3</v>
      </c>
      <c r="M96" s="5"/>
      <c r="N96" s="8"/>
      <c r="O96" s="320">
        <v>46251.0</v>
      </c>
      <c r="P96" s="5"/>
      <c r="Q96" s="5"/>
      <c r="R96" s="5"/>
      <c r="S96" s="8"/>
    </row>
    <row r="97">
      <c r="A97" s="13" t="s">
        <v>4</v>
      </c>
      <c r="B97" s="8"/>
      <c r="C97" s="321" t="s">
        <v>101</v>
      </c>
      <c r="D97" s="8"/>
      <c r="E97" s="15" t="s">
        <v>5</v>
      </c>
      <c r="F97" s="8"/>
      <c r="G97" s="322"/>
      <c r="H97" s="5"/>
      <c r="I97" s="6"/>
      <c r="J97" s="34"/>
      <c r="K97" s="34"/>
      <c r="L97" s="17" t="s">
        <v>6</v>
      </c>
      <c r="M97" s="17" t="s">
        <v>7</v>
      </c>
      <c r="N97" s="17" t="s">
        <v>8</v>
      </c>
      <c r="O97" s="18" t="s">
        <v>9</v>
      </c>
      <c r="P97" s="19" t="s">
        <v>10</v>
      </c>
      <c r="Q97" s="20" t="s">
        <v>11</v>
      </c>
      <c r="R97" s="17" t="s">
        <v>12</v>
      </c>
      <c r="S97" s="17" t="s">
        <v>13</v>
      </c>
    </row>
    <row r="98">
      <c r="A98" s="13" t="s">
        <v>14</v>
      </c>
      <c r="B98" s="8"/>
      <c r="C98" s="323"/>
      <c r="D98" s="8"/>
      <c r="E98" s="15" t="s">
        <v>15</v>
      </c>
      <c r="F98" s="8"/>
      <c r="G98" s="21"/>
      <c r="H98" s="5"/>
      <c r="I98" s="6"/>
      <c r="J98" s="34"/>
      <c r="K98" s="34"/>
      <c r="L98" s="108" t="s">
        <v>68</v>
      </c>
      <c r="M98" s="108" t="s">
        <v>101</v>
      </c>
      <c r="N98" s="23" t="s">
        <v>40</v>
      </c>
      <c r="O98" s="324"/>
      <c r="P98" s="325">
        <f t="shared" ref="P98:P102" si="10">IF(O98-R98-S98&lt;0,0,O98-R98-S98)</f>
        <v>0</v>
      </c>
      <c r="Q98" s="26">
        <f>(H104)</f>
        <v>0</v>
      </c>
      <c r="R98" s="23">
        <f t="shared" ref="R98:R102" si="11">IF(Q98-S98&lt;0,0,Q98-S98)</f>
        <v>0</v>
      </c>
      <c r="S98" s="36"/>
    </row>
    <row r="99">
      <c r="A99" s="13" t="s">
        <v>16</v>
      </c>
      <c r="B99" s="8"/>
      <c r="C99" s="326"/>
      <c r="D99" s="8"/>
      <c r="E99" s="15" t="s">
        <v>17</v>
      </c>
      <c r="F99" s="8"/>
      <c r="G99" s="21"/>
      <c r="H99" s="5"/>
      <c r="I99" s="6"/>
      <c r="J99" s="34"/>
      <c r="K99" s="34"/>
      <c r="L99" s="28"/>
      <c r="M99" s="28"/>
      <c r="N99" s="23" t="s">
        <v>42</v>
      </c>
      <c r="O99" s="324"/>
      <c r="P99" s="325">
        <f t="shared" si="10"/>
        <v>0</v>
      </c>
      <c r="Q99" s="26">
        <f>sum(H105)</f>
        <v>0</v>
      </c>
      <c r="R99" s="23">
        <f t="shared" si="11"/>
        <v>0</v>
      </c>
      <c r="S99" s="116"/>
    </row>
    <row r="100">
      <c r="A100" s="10"/>
      <c r="B100" s="34"/>
      <c r="C100" s="34"/>
      <c r="D100" s="295"/>
      <c r="E100" s="34"/>
      <c r="F100" s="34"/>
      <c r="G100" s="34"/>
      <c r="H100" s="34"/>
      <c r="I100" s="52"/>
      <c r="J100" s="34"/>
      <c r="K100" s="34"/>
      <c r="L100" s="28"/>
      <c r="M100" s="28"/>
      <c r="N100" s="23" t="s">
        <v>49</v>
      </c>
      <c r="O100" s="324"/>
      <c r="P100" s="325">
        <f t="shared" si="10"/>
        <v>0</v>
      </c>
      <c r="Q100" s="26">
        <f t="shared" ref="Q100:Q102" si="12">(H106)</f>
        <v>0</v>
      </c>
      <c r="R100" s="23">
        <f t="shared" si="11"/>
        <v>0</v>
      </c>
      <c r="S100" s="116"/>
    </row>
    <row r="101">
      <c r="A101" s="31" t="s">
        <v>18</v>
      </c>
      <c r="B101" s="32" t="s">
        <v>19</v>
      </c>
      <c r="C101" s="33" t="s">
        <v>20</v>
      </c>
      <c r="D101" s="32" t="s">
        <v>21</v>
      </c>
      <c r="E101" s="34"/>
      <c r="F101" s="33" t="s">
        <v>6</v>
      </c>
      <c r="G101" s="327" t="s">
        <v>102</v>
      </c>
      <c r="H101" s="5"/>
      <c r="I101" s="6"/>
      <c r="J101" s="34"/>
      <c r="K101" s="34"/>
      <c r="L101" s="28"/>
      <c r="M101" s="28"/>
      <c r="N101" s="23" t="s">
        <v>51</v>
      </c>
      <c r="O101" s="324"/>
      <c r="P101" s="325">
        <f t="shared" si="10"/>
        <v>0</v>
      </c>
      <c r="Q101" s="26">
        <f t="shared" si="12"/>
        <v>0</v>
      </c>
      <c r="R101" s="23">
        <f t="shared" si="11"/>
        <v>0</v>
      </c>
      <c r="S101" s="36"/>
    </row>
    <row r="102">
      <c r="A102" s="328"/>
      <c r="B102" s="48"/>
      <c r="C102" s="42"/>
      <c r="D102" s="42"/>
      <c r="E102" s="34"/>
      <c r="F102" s="41" t="s">
        <v>22</v>
      </c>
      <c r="G102" s="5"/>
      <c r="H102" s="5"/>
      <c r="I102" s="6"/>
      <c r="J102" s="34"/>
      <c r="K102" s="34"/>
      <c r="L102" s="44"/>
      <c r="M102" s="44"/>
      <c r="N102" s="23" t="s">
        <v>54</v>
      </c>
      <c r="O102" s="324"/>
      <c r="P102" s="325">
        <f t="shared" si="10"/>
        <v>0</v>
      </c>
      <c r="Q102" s="26">
        <f t="shared" si="12"/>
        <v>0</v>
      </c>
      <c r="R102" s="23">
        <f t="shared" si="11"/>
        <v>0</v>
      </c>
      <c r="S102" s="36"/>
    </row>
    <row r="103">
      <c r="A103" s="328"/>
      <c r="B103" s="48"/>
      <c r="C103" s="48"/>
      <c r="D103" s="48"/>
      <c r="E103" s="34"/>
      <c r="F103" s="33" t="s">
        <v>23</v>
      </c>
      <c r="G103" s="33" t="s">
        <v>20</v>
      </c>
      <c r="H103" s="33" t="s">
        <v>21</v>
      </c>
      <c r="I103" s="329" t="s">
        <v>24</v>
      </c>
      <c r="J103" s="34"/>
      <c r="K103" s="34"/>
      <c r="L103" s="34"/>
      <c r="M103" s="34"/>
      <c r="N103" s="34"/>
      <c r="O103" s="34"/>
      <c r="P103" s="34"/>
      <c r="Q103" s="34"/>
      <c r="R103" s="34"/>
      <c r="S103" s="34"/>
    </row>
    <row r="104">
      <c r="A104" s="328"/>
      <c r="B104" s="48"/>
      <c r="C104" s="48"/>
      <c r="D104" s="48"/>
      <c r="E104" s="34"/>
      <c r="F104" s="57">
        <v>1.0</v>
      </c>
      <c r="G104" s="48" t="s">
        <v>104</v>
      </c>
      <c r="H104" s="57">
        <f t="shared" ref="H104:H116" si="13">IF(G104="","",SUMIF($C$102:$C$149,G104,$D$102:$D$149))</f>
        <v>0</v>
      </c>
      <c r="I104" s="330">
        <f t="shared" ref="I104:I116" si="14">IF(G104="","",COUNTIFS($C$102:$C$149,G104,$D$102:$D$149,"&gt;0"))</f>
        <v>0</v>
      </c>
      <c r="J104" s="34"/>
      <c r="K104" s="34"/>
      <c r="L104" s="34"/>
      <c r="M104" s="34"/>
      <c r="N104" s="34"/>
      <c r="O104" s="34"/>
      <c r="P104" s="34"/>
      <c r="Q104" s="34"/>
      <c r="R104" s="34"/>
      <c r="S104" s="34"/>
    </row>
    <row r="105">
      <c r="A105" s="328"/>
      <c r="B105" s="48"/>
      <c r="C105" s="48"/>
      <c r="D105" s="48"/>
      <c r="E105" s="34"/>
      <c r="F105" s="57">
        <v>2.0</v>
      </c>
      <c r="G105" s="48" t="s">
        <v>103</v>
      </c>
      <c r="H105" s="57">
        <f t="shared" si="13"/>
        <v>0</v>
      </c>
      <c r="I105" s="330">
        <f t="shared" si="14"/>
        <v>0</v>
      </c>
      <c r="J105" s="34"/>
      <c r="K105" s="34"/>
      <c r="L105" s="34"/>
      <c r="M105" s="34"/>
      <c r="N105" s="34"/>
      <c r="O105" s="34"/>
      <c r="P105" s="34"/>
      <c r="Q105" s="34"/>
      <c r="R105" s="34"/>
      <c r="S105" s="34"/>
    </row>
    <row r="106">
      <c r="A106" s="328"/>
      <c r="B106" s="48"/>
      <c r="C106" s="48"/>
      <c r="D106" s="48"/>
      <c r="E106" s="34"/>
      <c r="F106" s="57">
        <v>3.0</v>
      </c>
      <c r="G106" s="48" t="s">
        <v>105</v>
      </c>
      <c r="H106" s="57">
        <f t="shared" si="13"/>
        <v>0</v>
      </c>
      <c r="I106" s="330">
        <f t="shared" si="14"/>
        <v>0</v>
      </c>
      <c r="J106" s="34"/>
      <c r="K106" s="34"/>
      <c r="L106" s="34"/>
      <c r="M106" s="34"/>
      <c r="N106" s="34"/>
      <c r="O106" s="34"/>
      <c r="P106" s="34"/>
      <c r="Q106" s="34"/>
      <c r="R106" s="34"/>
      <c r="S106" s="34"/>
    </row>
    <row r="107">
      <c r="A107" s="328"/>
      <c r="B107" s="48"/>
      <c r="C107" s="48"/>
      <c r="D107" s="48"/>
      <c r="E107" s="34"/>
      <c r="F107" s="57">
        <v>4.0</v>
      </c>
      <c r="G107" s="48" t="s">
        <v>106</v>
      </c>
      <c r="H107" s="57">
        <f t="shared" si="13"/>
        <v>0</v>
      </c>
      <c r="I107" s="330">
        <f t="shared" si="14"/>
        <v>0</v>
      </c>
      <c r="J107" s="34"/>
      <c r="K107" s="34"/>
      <c r="L107" s="34"/>
      <c r="M107" s="34"/>
      <c r="N107" s="34"/>
      <c r="O107" s="34"/>
      <c r="P107" s="34"/>
      <c r="Q107" s="34"/>
      <c r="R107" s="34"/>
      <c r="S107" s="34"/>
    </row>
    <row r="108">
      <c r="A108" s="328"/>
      <c r="B108" s="48"/>
      <c r="C108" s="48"/>
      <c r="D108" s="48"/>
      <c r="E108" s="34"/>
      <c r="F108" s="57">
        <v>5.0</v>
      </c>
      <c r="G108" s="48" t="s">
        <v>107</v>
      </c>
      <c r="H108" s="57">
        <f t="shared" si="13"/>
        <v>0</v>
      </c>
      <c r="I108" s="330">
        <f t="shared" si="14"/>
        <v>0</v>
      </c>
      <c r="J108" s="34"/>
      <c r="K108" s="34"/>
      <c r="L108" s="34"/>
      <c r="M108" s="34"/>
      <c r="N108" s="34"/>
      <c r="O108" s="34"/>
      <c r="P108" s="34"/>
      <c r="Q108" s="34"/>
      <c r="R108" s="34"/>
      <c r="S108" s="34"/>
    </row>
    <row r="109">
      <c r="A109" s="328"/>
      <c r="B109" s="48"/>
      <c r="C109" s="48"/>
      <c r="D109" s="48"/>
      <c r="E109" s="34"/>
      <c r="F109" s="48"/>
      <c r="G109" s="48"/>
      <c r="H109" s="57" t="str">
        <f t="shared" si="13"/>
        <v/>
      </c>
      <c r="I109" s="330" t="str">
        <f t="shared" si="14"/>
        <v/>
      </c>
      <c r="J109" s="34"/>
      <c r="K109" s="34"/>
      <c r="L109" s="34"/>
      <c r="M109" s="34"/>
      <c r="N109" s="34"/>
      <c r="O109" s="34"/>
      <c r="P109" s="34"/>
      <c r="Q109" s="34"/>
      <c r="R109" s="34"/>
      <c r="S109" s="34"/>
    </row>
    <row r="110">
      <c r="A110" s="328"/>
      <c r="B110" s="48"/>
      <c r="C110" s="48"/>
      <c r="D110" s="48"/>
      <c r="E110" s="34"/>
      <c r="F110" s="48"/>
      <c r="G110" s="48"/>
      <c r="H110" s="57" t="str">
        <f t="shared" si="13"/>
        <v/>
      </c>
      <c r="I110" s="330" t="str">
        <f t="shared" si="14"/>
        <v/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/>
    </row>
    <row r="111">
      <c r="A111" s="328"/>
      <c r="B111" s="48"/>
      <c r="C111" s="48"/>
      <c r="D111" s="48"/>
      <c r="E111" s="34"/>
      <c r="F111" s="48"/>
      <c r="G111" s="48"/>
      <c r="H111" s="57" t="str">
        <f t="shared" si="13"/>
        <v/>
      </c>
      <c r="I111" s="330" t="str">
        <f t="shared" si="14"/>
        <v/>
      </c>
      <c r="J111" s="34"/>
      <c r="K111" s="34"/>
      <c r="L111" s="34"/>
      <c r="M111" s="34"/>
      <c r="N111" s="34"/>
      <c r="O111" s="34"/>
      <c r="P111" s="34"/>
      <c r="Q111" s="34"/>
      <c r="R111" s="34"/>
      <c r="S111" s="34"/>
    </row>
    <row r="112">
      <c r="A112" s="328"/>
      <c r="B112" s="48"/>
      <c r="C112" s="48"/>
      <c r="D112" s="48"/>
      <c r="E112" s="34"/>
      <c r="F112" s="48"/>
      <c r="G112" s="48"/>
      <c r="H112" s="57" t="str">
        <f t="shared" si="13"/>
        <v/>
      </c>
      <c r="I112" s="330" t="str">
        <f t="shared" si="14"/>
        <v/>
      </c>
      <c r="J112" s="34"/>
      <c r="K112" s="34"/>
      <c r="L112" s="34"/>
      <c r="M112" s="34"/>
      <c r="N112" s="34"/>
      <c r="O112" s="34"/>
      <c r="P112" s="34"/>
      <c r="Q112" s="34"/>
      <c r="R112" s="34"/>
      <c r="S112" s="34"/>
    </row>
    <row r="113">
      <c r="A113" s="328"/>
      <c r="B113" s="48"/>
      <c r="C113" s="48"/>
      <c r="D113" s="48"/>
      <c r="E113" s="34"/>
      <c r="F113" s="48"/>
      <c r="G113" s="48"/>
      <c r="H113" s="57" t="str">
        <f t="shared" si="13"/>
        <v/>
      </c>
      <c r="I113" s="330" t="str">
        <f t="shared" si="14"/>
        <v/>
      </c>
      <c r="J113" s="34"/>
      <c r="K113" s="34"/>
      <c r="L113" s="34"/>
      <c r="M113" s="34"/>
      <c r="N113" s="34"/>
      <c r="O113" s="34"/>
      <c r="P113" s="34"/>
      <c r="Q113" s="34"/>
      <c r="R113" s="34"/>
      <c r="S113" s="34"/>
    </row>
    <row r="114">
      <c r="A114" s="328"/>
      <c r="B114" s="48"/>
      <c r="C114" s="48"/>
      <c r="D114" s="48"/>
      <c r="E114" s="34"/>
      <c r="F114" s="48"/>
      <c r="G114" s="48"/>
      <c r="H114" s="57" t="str">
        <f t="shared" si="13"/>
        <v/>
      </c>
      <c r="I114" s="330" t="str">
        <f t="shared" si="14"/>
        <v/>
      </c>
      <c r="J114" s="34"/>
      <c r="K114" s="34"/>
      <c r="L114" s="34"/>
      <c r="M114" s="34"/>
      <c r="N114" s="34"/>
      <c r="O114" s="34"/>
      <c r="P114" s="34"/>
      <c r="Q114" s="34"/>
      <c r="R114" s="34"/>
      <c r="S114" s="34"/>
    </row>
    <row r="115">
      <c r="A115" s="328"/>
      <c r="B115" s="48"/>
      <c r="C115" s="48"/>
      <c r="D115" s="48"/>
      <c r="E115" s="34"/>
      <c r="F115" s="48"/>
      <c r="G115" s="48"/>
      <c r="H115" s="57" t="str">
        <f t="shared" si="13"/>
        <v/>
      </c>
      <c r="I115" s="330" t="str">
        <f t="shared" si="14"/>
        <v/>
      </c>
      <c r="J115" s="34"/>
      <c r="K115" s="34"/>
      <c r="L115" s="34"/>
      <c r="M115" s="34"/>
      <c r="N115" s="34"/>
      <c r="O115" s="34"/>
      <c r="P115" s="34"/>
      <c r="Q115" s="34"/>
      <c r="R115" s="34"/>
      <c r="S115" s="34"/>
    </row>
    <row r="116">
      <c r="A116" s="328"/>
      <c r="B116" s="48"/>
      <c r="C116" s="48"/>
      <c r="D116" s="48"/>
      <c r="E116" s="34"/>
      <c r="F116" s="48"/>
      <c r="G116" s="48"/>
      <c r="H116" s="57" t="str">
        <f t="shared" si="13"/>
        <v/>
      </c>
      <c r="I116" s="330" t="str">
        <f t="shared" si="14"/>
        <v/>
      </c>
      <c r="J116" s="34"/>
      <c r="K116" s="34"/>
      <c r="L116" s="34"/>
      <c r="M116" s="34"/>
      <c r="N116" s="34"/>
      <c r="O116" s="34"/>
      <c r="P116" s="34"/>
      <c r="Q116" s="34"/>
      <c r="R116" s="34"/>
      <c r="S116" s="34"/>
    </row>
    <row r="117">
      <c r="A117" s="328"/>
      <c r="B117" s="48"/>
      <c r="C117" s="48"/>
      <c r="D117" s="48"/>
      <c r="E117" s="34"/>
      <c r="F117" s="331" t="s">
        <v>25</v>
      </c>
      <c r="G117" s="8"/>
      <c r="H117" s="57">
        <f t="shared" ref="H117:I117" si="15">sum(H104:H116)</f>
        <v>0</v>
      </c>
      <c r="I117" s="330">
        <f t="shared" si="15"/>
        <v>0</v>
      </c>
      <c r="J117" s="34"/>
      <c r="K117" s="34"/>
      <c r="L117" s="34"/>
      <c r="M117" s="34"/>
      <c r="N117" s="34"/>
      <c r="O117" s="34"/>
      <c r="P117" s="34"/>
      <c r="Q117" s="34"/>
      <c r="R117" s="34"/>
      <c r="S117" s="34"/>
    </row>
    <row r="118">
      <c r="A118" s="328"/>
      <c r="B118" s="48"/>
      <c r="C118" s="48"/>
      <c r="D118" s="48"/>
      <c r="E118" s="34"/>
      <c r="F118" s="34"/>
      <c r="G118" s="34"/>
      <c r="H118" s="34"/>
      <c r="I118" s="52"/>
      <c r="J118" s="34"/>
      <c r="K118" s="34"/>
      <c r="L118" s="34"/>
      <c r="M118" s="34"/>
      <c r="N118" s="34"/>
      <c r="O118" s="34"/>
      <c r="P118" s="34"/>
      <c r="Q118" s="34"/>
      <c r="R118" s="34"/>
      <c r="S118" s="34"/>
    </row>
    <row r="119">
      <c r="A119" s="328"/>
      <c r="B119" s="48"/>
      <c r="C119" s="48"/>
      <c r="D119" s="48"/>
      <c r="E119" s="34"/>
      <c r="F119" s="34"/>
      <c r="G119" s="34"/>
      <c r="H119" s="34"/>
      <c r="I119" s="52"/>
      <c r="J119" s="34"/>
      <c r="K119" s="34"/>
      <c r="L119" s="34"/>
      <c r="M119" s="34"/>
      <c r="N119" s="34"/>
      <c r="O119" s="34"/>
      <c r="P119" s="34"/>
      <c r="Q119" s="34"/>
      <c r="R119" s="34"/>
      <c r="S119" s="34"/>
    </row>
    <row r="120">
      <c r="A120" s="328"/>
      <c r="B120" s="48"/>
      <c r="C120" s="48"/>
      <c r="D120" s="48"/>
      <c r="E120" s="34"/>
      <c r="F120" s="34"/>
      <c r="G120" s="34"/>
      <c r="H120" s="34"/>
      <c r="I120" s="52"/>
      <c r="J120" s="34"/>
      <c r="K120" s="34"/>
      <c r="L120" s="34"/>
      <c r="M120" s="34"/>
      <c r="N120" s="34"/>
      <c r="O120" s="34"/>
      <c r="P120" s="34"/>
      <c r="Q120" s="34"/>
      <c r="R120" s="34"/>
      <c r="S120" s="34"/>
    </row>
    <row r="121">
      <c r="A121" s="328"/>
      <c r="B121" s="48"/>
      <c r="C121" s="48"/>
      <c r="D121" s="48"/>
      <c r="E121" s="34"/>
      <c r="F121" s="34"/>
      <c r="G121" s="34"/>
      <c r="H121" s="34"/>
      <c r="I121" s="52"/>
      <c r="J121" s="34"/>
      <c r="K121" s="34"/>
      <c r="L121" s="34"/>
      <c r="M121" s="34"/>
      <c r="N121" s="34"/>
      <c r="O121" s="34"/>
      <c r="P121" s="34"/>
      <c r="Q121" s="34"/>
      <c r="R121" s="34"/>
      <c r="S121" s="34"/>
    </row>
    <row r="122">
      <c r="A122" s="328"/>
      <c r="B122" s="48"/>
      <c r="C122" s="48"/>
      <c r="D122" s="48"/>
      <c r="E122" s="34"/>
      <c r="F122" s="54" t="s">
        <v>26</v>
      </c>
      <c r="G122" s="34"/>
      <c r="H122" s="34"/>
      <c r="I122" s="52"/>
      <c r="J122" s="34"/>
      <c r="K122" s="34"/>
      <c r="L122" s="34"/>
      <c r="M122" s="34"/>
      <c r="N122" s="34"/>
      <c r="O122" s="34"/>
      <c r="P122" s="34"/>
      <c r="Q122" s="34"/>
      <c r="R122" s="34"/>
      <c r="S122" s="34"/>
    </row>
    <row r="123">
      <c r="A123" s="328"/>
      <c r="B123" s="48"/>
      <c r="C123" s="48"/>
      <c r="D123" s="48"/>
      <c r="E123" s="34"/>
      <c r="F123" s="55" t="s">
        <v>27</v>
      </c>
      <c r="I123" s="11"/>
      <c r="J123" s="34"/>
      <c r="K123" s="34"/>
      <c r="L123" s="34"/>
      <c r="M123" s="34"/>
      <c r="N123" s="34"/>
      <c r="O123" s="34"/>
      <c r="P123" s="34"/>
      <c r="Q123" s="34"/>
      <c r="R123" s="34"/>
      <c r="S123" s="34"/>
    </row>
    <row r="124">
      <c r="A124" s="328"/>
      <c r="B124" s="48"/>
      <c r="C124" s="48"/>
      <c r="D124" s="48"/>
      <c r="E124" s="34"/>
      <c r="I124" s="11"/>
      <c r="J124" s="34"/>
      <c r="K124" s="34"/>
      <c r="L124" s="34"/>
      <c r="M124" s="34"/>
      <c r="N124" s="34"/>
      <c r="O124" s="34"/>
      <c r="P124" s="34"/>
      <c r="Q124" s="34"/>
      <c r="R124" s="34"/>
      <c r="S124" s="34"/>
    </row>
    <row r="125">
      <c r="A125" s="328"/>
      <c r="B125" s="48"/>
      <c r="C125" s="48"/>
      <c r="D125" s="48"/>
      <c r="E125" s="34"/>
      <c r="I125" s="11"/>
      <c r="J125" s="34"/>
      <c r="K125" s="34"/>
      <c r="L125" s="34"/>
      <c r="M125" s="34"/>
      <c r="N125" s="34"/>
      <c r="O125" s="34"/>
      <c r="P125" s="34"/>
      <c r="Q125" s="34"/>
      <c r="R125" s="34"/>
      <c r="S125" s="34"/>
    </row>
    <row r="126">
      <c r="A126" s="328"/>
      <c r="B126" s="48"/>
      <c r="C126" s="48"/>
      <c r="D126" s="48"/>
      <c r="E126" s="34"/>
      <c r="F126" s="55" t="s">
        <v>28</v>
      </c>
      <c r="I126" s="11"/>
      <c r="J126" s="34"/>
      <c r="K126" s="34"/>
      <c r="L126" s="34"/>
      <c r="M126" s="34"/>
      <c r="N126" s="34"/>
      <c r="O126" s="34"/>
      <c r="P126" s="34"/>
      <c r="Q126" s="34"/>
      <c r="R126" s="34"/>
      <c r="S126" s="34"/>
    </row>
    <row r="127">
      <c r="A127" s="328"/>
      <c r="B127" s="48"/>
      <c r="C127" s="48"/>
      <c r="D127" s="48"/>
      <c r="E127" s="34"/>
      <c r="I127" s="11"/>
      <c r="J127" s="34"/>
      <c r="K127" s="34"/>
      <c r="L127" s="34"/>
      <c r="M127" s="34"/>
      <c r="N127" s="34"/>
      <c r="O127" s="34"/>
      <c r="P127" s="34"/>
      <c r="Q127" s="34"/>
      <c r="R127" s="34"/>
      <c r="S127" s="34"/>
    </row>
    <row r="128">
      <c r="A128" s="328"/>
      <c r="B128" s="48"/>
      <c r="C128" s="48"/>
      <c r="D128" s="48"/>
      <c r="E128" s="34"/>
      <c r="I128" s="11"/>
      <c r="J128" s="34"/>
      <c r="K128" s="34"/>
      <c r="L128" s="34"/>
      <c r="M128" s="34"/>
      <c r="N128" s="34"/>
      <c r="O128" s="34"/>
      <c r="P128" s="34"/>
      <c r="Q128" s="34"/>
      <c r="R128" s="34"/>
      <c r="S128" s="34"/>
    </row>
    <row r="129">
      <c r="A129" s="328"/>
      <c r="B129" s="48"/>
      <c r="C129" s="48"/>
      <c r="D129" s="48"/>
      <c r="E129" s="34"/>
      <c r="F129" s="34"/>
      <c r="G129" s="34"/>
      <c r="H129" s="34"/>
      <c r="I129" s="52"/>
      <c r="J129" s="34"/>
      <c r="K129" s="34"/>
      <c r="L129" s="34"/>
      <c r="M129" s="34"/>
      <c r="N129" s="34"/>
      <c r="O129" s="34"/>
      <c r="P129" s="34"/>
      <c r="Q129" s="34"/>
      <c r="R129" s="34"/>
      <c r="S129" s="34"/>
    </row>
    <row r="130">
      <c r="A130" s="328"/>
      <c r="B130" s="48"/>
      <c r="C130" s="48"/>
      <c r="D130" s="48"/>
      <c r="E130" s="34"/>
      <c r="F130" s="34"/>
      <c r="G130" s="34"/>
      <c r="H130" s="34"/>
      <c r="I130" s="52"/>
      <c r="J130" s="34"/>
      <c r="K130" s="34"/>
      <c r="L130" s="34"/>
      <c r="M130" s="34"/>
      <c r="N130" s="34"/>
      <c r="O130" s="34"/>
      <c r="P130" s="34"/>
      <c r="Q130" s="34"/>
      <c r="R130" s="34"/>
      <c r="S130" s="34"/>
    </row>
    <row r="131">
      <c r="A131" s="328"/>
      <c r="B131" s="48"/>
      <c r="C131" s="48"/>
      <c r="D131" s="48"/>
      <c r="E131" s="34"/>
      <c r="F131" s="34"/>
      <c r="G131" s="34"/>
      <c r="H131" s="34"/>
      <c r="I131" s="52"/>
      <c r="J131" s="34"/>
      <c r="K131" s="34"/>
      <c r="L131" s="34"/>
      <c r="M131" s="34"/>
      <c r="N131" s="34"/>
      <c r="O131" s="34"/>
      <c r="P131" s="34"/>
      <c r="Q131" s="34"/>
      <c r="R131" s="34"/>
      <c r="S131" s="34"/>
    </row>
    <row r="132">
      <c r="A132" s="328"/>
      <c r="B132" s="48"/>
      <c r="C132" s="48"/>
      <c r="D132" s="48"/>
      <c r="E132" s="34"/>
      <c r="F132" s="34"/>
      <c r="G132" s="34"/>
      <c r="H132" s="34"/>
      <c r="I132" s="52"/>
      <c r="J132" s="34"/>
      <c r="K132" s="34"/>
      <c r="L132" s="34"/>
      <c r="M132" s="34"/>
      <c r="N132" s="34"/>
      <c r="O132" s="34"/>
      <c r="P132" s="34"/>
      <c r="Q132" s="34"/>
      <c r="R132" s="34"/>
      <c r="S132" s="34"/>
    </row>
    <row r="133">
      <c r="A133" s="328"/>
      <c r="B133" s="48"/>
      <c r="C133" s="48"/>
      <c r="D133" s="48"/>
      <c r="E133" s="34"/>
      <c r="F133" s="34"/>
      <c r="G133" s="34"/>
      <c r="H133" s="34"/>
      <c r="I133" s="52"/>
      <c r="J133" s="34"/>
      <c r="K133" s="34"/>
      <c r="L133" s="34"/>
      <c r="M133" s="34"/>
      <c r="N133" s="34"/>
      <c r="O133" s="34"/>
      <c r="P133" s="34"/>
      <c r="Q133" s="34"/>
      <c r="R133" s="34"/>
      <c r="S133" s="34"/>
    </row>
    <row r="134">
      <c r="A134" s="328"/>
      <c r="B134" s="48"/>
      <c r="C134" s="48"/>
      <c r="D134" s="48"/>
      <c r="E134" s="34"/>
      <c r="F134" s="34"/>
      <c r="G134" s="34"/>
      <c r="H134" s="34"/>
      <c r="I134" s="52"/>
      <c r="J134" s="34"/>
      <c r="K134" s="34"/>
      <c r="L134" s="34"/>
      <c r="M134" s="34"/>
      <c r="N134" s="34"/>
      <c r="O134" s="34"/>
      <c r="P134" s="34"/>
      <c r="Q134" s="34"/>
      <c r="R134" s="34"/>
      <c r="S134" s="34"/>
    </row>
    <row r="135">
      <c r="A135" s="328"/>
      <c r="B135" s="48"/>
      <c r="C135" s="48"/>
      <c r="D135" s="48"/>
      <c r="E135" s="34"/>
      <c r="F135" s="34"/>
      <c r="G135" s="34"/>
      <c r="H135" s="34"/>
      <c r="I135" s="52"/>
      <c r="J135" s="34"/>
      <c r="K135" s="34"/>
      <c r="L135" s="34"/>
      <c r="M135" s="34"/>
      <c r="N135" s="34"/>
      <c r="O135" s="34"/>
      <c r="P135" s="34"/>
      <c r="Q135" s="34"/>
      <c r="R135" s="34"/>
      <c r="S135" s="34"/>
    </row>
    <row r="136">
      <c r="A136" s="328"/>
      <c r="B136" s="48"/>
      <c r="C136" s="48"/>
      <c r="D136" s="48"/>
      <c r="E136" s="34"/>
      <c r="F136" s="34"/>
      <c r="G136" s="34"/>
      <c r="H136" s="34"/>
      <c r="I136" s="52"/>
      <c r="J136" s="34"/>
      <c r="K136" s="34"/>
      <c r="L136" s="34"/>
      <c r="M136" s="34"/>
      <c r="N136" s="34"/>
      <c r="O136" s="34"/>
      <c r="P136" s="34"/>
      <c r="Q136" s="34"/>
      <c r="R136" s="34"/>
      <c r="S136" s="34"/>
    </row>
    <row r="137">
      <c r="A137" s="328"/>
      <c r="B137" s="48"/>
      <c r="C137" s="48"/>
      <c r="D137" s="48"/>
      <c r="E137" s="34"/>
      <c r="F137" s="34"/>
      <c r="G137" s="34"/>
      <c r="H137" s="34"/>
      <c r="I137" s="52"/>
      <c r="J137" s="34"/>
      <c r="K137" s="34"/>
      <c r="L137" s="34"/>
      <c r="M137" s="34"/>
      <c r="N137" s="34"/>
      <c r="O137" s="34"/>
      <c r="P137" s="34"/>
      <c r="Q137" s="34"/>
      <c r="R137" s="34"/>
      <c r="S137" s="34"/>
    </row>
    <row r="138">
      <c r="A138" s="328"/>
      <c r="B138" s="48"/>
      <c r="C138" s="48"/>
      <c r="D138" s="48"/>
      <c r="E138" s="34"/>
      <c r="F138" s="34"/>
      <c r="G138" s="34"/>
      <c r="H138" s="34"/>
      <c r="I138" s="52"/>
      <c r="J138" s="34"/>
      <c r="K138" s="34"/>
      <c r="L138" s="34"/>
      <c r="M138" s="34"/>
      <c r="N138" s="34"/>
      <c r="O138" s="34"/>
      <c r="P138" s="34"/>
      <c r="Q138" s="34"/>
      <c r="R138" s="34"/>
      <c r="S138" s="34"/>
    </row>
    <row r="139">
      <c r="A139" s="328"/>
      <c r="B139" s="48"/>
      <c r="C139" s="48"/>
      <c r="D139" s="48"/>
      <c r="E139" s="34"/>
      <c r="F139" s="34"/>
      <c r="G139" s="34"/>
      <c r="H139" s="34"/>
      <c r="I139" s="52"/>
      <c r="J139" s="34"/>
      <c r="K139" s="34"/>
      <c r="L139" s="34"/>
      <c r="M139" s="34"/>
      <c r="N139" s="34"/>
      <c r="O139" s="34"/>
      <c r="P139" s="34"/>
      <c r="Q139" s="34"/>
      <c r="R139" s="34"/>
      <c r="S139" s="34"/>
    </row>
    <row r="140">
      <c r="A140" s="328"/>
      <c r="B140" s="48"/>
      <c r="C140" s="48"/>
      <c r="D140" s="48"/>
      <c r="E140" s="34"/>
      <c r="F140" s="34"/>
      <c r="G140" s="34"/>
      <c r="H140" s="34"/>
      <c r="I140" s="52"/>
      <c r="J140" s="34"/>
      <c r="K140" s="34"/>
      <c r="L140" s="34"/>
      <c r="M140" s="34"/>
      <c r="N140" s="34"/>
      <c r="O140" s="34"/>
      <c r="P140" s="34"/>
      <c r="Q140" s="34"/>
      <c r="R140" s="34"/>
      <c r="S140" s="34"/>
    </row>
    <row r="141">
      <c r="A141" s="328"/>
      <c r="B141" s="48"/>
      <c r="C141" s="48"/>
      <c r="D141" s="48"/>
      <c r="E141" s="34"/>
      <c r="F141" s="34"/>
      <c r="G141" s="34"/>
      <c r="H141" s="34"/>
      <c r="I141" s="52"/>
      <c r="J141" s="34"/>
      <c r="K141" s="34"/>
      <c r="L141" s="34"/>
      <c r="M141" s="34"/>
      <c r="N141" s="34"/>
      <c r="O141" s="34"/>
      <c r="P141" s="34"/>
      <c r="Q141" s="34"/>
      <c r="R141" s="34"/>
      <c r="S141" s="34"/>
    </row>
    <row r="142">
      <c r="A142" s="328"/>
      <c r="B142" s="48"/>
      <c r="C142" s="48"/>
      <c r="D142" s="48"/>
      <c r="E142" s="34"/>
      <c r="F142" s="34"/>
      <c r="G142" s="34"/>
      <c r="H142" s="34"/>
      <c r="I142" s="52"/>
      <c r="J142" s="34"/>
      <c r="K142" s="34"/>
      <c r="L142" s="34"/>
      <c r="M142" s="34"/>
      <c r="N142" s="34"/>
      <c r="O142" s="34"/>
      <c r="P142" s="34"/>
      <c r="Q142" s="34"/>
      <c r="R142" s="34"/>
      <c r="S142" s="34"/>
    </row>
    <row r="143">
      <c r="A143" s="328"/>
      <c r="B143" s="48"/>
      <c r="C143" s="48"/>
      <c r="D143" s="48"/>
      <c r="E143" s="34"/>
      <c r="F143" s="34"/>
      <c r="G143" s="34"/>
      <c r="H143" s="34"/>
      <c r="I143" s="52"/>
      <c r="J143" s="34"/>
      <c r="K143" s="34"/>
      <c r="L143" s="34"/>
      <c r="M143" s="34"/>
      <c r="N143" s="34"/>
      <c r="O143" s="34"/>
      <c r="P143" s="34"/>
      <c r="Q143" s="34"/>
      <c r="R143" s="34"/>
      <c r="S143" s="34"/>
    </row>
    <row r="144">
      <c r="A144" s="328"/>
      <c r="B144" s="48"/>
      <c r="C144" s="48"/>
      <c r="D144" s="48"/>
      <c r="E144" s="34"/>
      <c r="F144" s="34"/>
      <c r="G144" s="34"/>
      <c r="H144" s="34"/>
      <c r="I144" s="52"/>
      <c r="J144" s="34"/>
      <c r="K144" s="34"/>
      <c r="L144" s="34"/>
      <c r="M144" s="34"/>
      <c r="N144" s="34"/>
      <c r="O144" s="34"/>
      <c r="P144" s="34"/>
      <c r="Q144" s="34"/>
      <c r="R144" s="34"/>
      <c r="S144" s="34"/>
    </row>
    <row r="145">
      <c r="A145" s="328"/>
      <c r="B145" s="48"/>
      <c r="C145" s="48"/>
      <c r="D145" s="48"/>
      <c r="E145" s="34"/>
      <c r="F145" s="34"/>
      <c r="G145" s="34"/>
      <c r="H145" s="34"/>
      <c r="I145" s="52"/>
      <c r="J145" s="34"/>
      <c r="K145" s="34"/>
      <c r="L145" s="34"/>
      <c r="M145" s="34"/>
      <c r="N145" s="34"/>
      <c r="O145" s="34"/>
      <c r="P145" s="34"/>
      <c r="Q145" s="34"/>
      <c r="R145" s="34"/>
      <c r="S145" s="34"/>
    </row>
    <row r="146">
      <c r="A146" s="328"/>
      <c r="B146" s="48"/>
      <c r="C146" s="48"/>
      <c r="D146" s="48"/>
      <c r="E146" s="34"/>
      <c r="F146" s="34"/>
      <c r="G146" s="34"/>
      <c r="H146" s="34"/>
      <c r="I146" s="52"/>
      <c r="J146" s="34"/>
      <c r="K146" s="34"/>
      <c r="L146" s="34"/>
      <c r="M146" s="34"/>
      <c r="N146" s="34"/>
      <c r="O146" s="34"/>
      <c r="P146" s="34"/>
      <c r="Q146" s="34"/>
      <c r="R146" s="34"/>
      <c r="S146" s="34"/>
    </row>
    <row r="147">
      <c r="A147" s="328"/>
      <c r="B147" s="48"/>
      <c r="C147" s="48"/>
      <c r="D147" s="48"/>
      <c r="E147" s="34"/>
      <c r="F147" s="34"/>
      <c r="G147" s="34"/>
      <c r="H147" s="34"/>
      <c r="I147" s="52"/>
      <c r="J147" s="34"/>
      <c r="K147" s="34"/>
      <c r="L147" s="34"/>
      <c r="M147" s="34"/>
      <c r="N147" s="34"/>
      <c r="O147" s="34"/>
      <c r="P147" s="34"/>
      <c r="Q147" s="34"/>
      <c r="R147" s="34"/>
      <c r="S147" s="34"/>
    </row>
    <row r="148">
      <c r="A148" s="328"/>
      <c r="B148" s="48"/>
      <c r="C148" s="48"/>
      <c r="D148" s="48"/>
      <c r="E148" s="34"/>
      <c r="F148" s="34"/>
      <c r="G148" s="34"/>
      <c r="H148" s="34"/>
      <c r="I148" s="52"/>
      <c r="J148" s="34"/>
      <c r="K148" s="34"/>
      <c r="L148" s="34"/>
      <c r="M148" s="34"/>
      <c r="N148" s="34"/>
      <c r="O148" s="34"/>
      <c r="P148" s="34"/>
      <c r="Q148" s="34"/>
      <c r="R148" s="34"/>
      <c r="S148" s="34"/>
    </row>
    <row r="149">
      <c r="A149" s="328"/>
      <c r="B149" s="48"/>
      <c r="C149" s="48"/>
      <c r="D149" s="48"/>
      <c r="E149" s="34"/>
      <c r="F149" s="34"/>
      <c r="G149" s="34"/>
      <c r="H149" s="34"/>
      <c r="I149" s="52"/>
      <c r="J149" s="34"/>
      <c r="K149" s="34"/>
      <c r="L149" s="34"/>
      <c r="M149" s="34"/>
      <c r="N149" s="34"/>
      <c r="O149" s="34"/>
      <c r="P149" s="34"/>
      <c r="Q149" s="34"/>
      <c r="R149" s="34"/>
      <c r="S149" s="34"/>
    </row>
    <row r="150">
      <c r="A150" s="332"/>
      <c r="B150" s="60">
        <f>SUM(B102:B148)</f>
        <v>0</v>
      </c>
      <c r="C150" s="333"/>
      <c r="D150" s="60">
        <f>SUM(D102:D148)</f>
        <v>0</v>
      </c>
      <c r="E150" s="61"/>
      <c r="F150" s="61"/>
      <c r="G150" s="61"/>
      <c r="H150" s="61"/>
      <c r="I150" s="62"/>
      <c r="J150" s="34"/>
      <c r="K150" s="34"/>
      <c r="L150" s="34"/>
      <c r="M150" s="34"/>
      <c r="N150" s="34"/>
      <c r="O150" s="34"/>
      <c r="P150" s="34"/>
      <c r="Q150" s="34"/>
      <c r="R150" s="34"/>
      <c r="S150" s="34"/>
    </row>
  </sheetData>
  <mergeCells count="72">
    <mergeCell ref="C40:D40"/>
    <mergeCell ref="E40:F40"/>
    <mergeCell ref="G40:I40"/>
    <mergeCell ref="G42:I42"/>
    <mergeCell ref="F58:G58"/>
    <mergeCell ref="F64:I66"/>
    <mergeCell ref="F67:I69"/>
    <mergeCell ref="A93:I93"/>
    <mergeCell ref="A94:I94"/>
    <mergeCell ref="A98:B98"/>
    <mergeCell ref="A99:B99"/>
    <mergeCell ref="C99:D99"/>
    <mergeCell ref="E99:F99"/>
    <mergeCell ref="G99:I99"/>
    <mergeCell ref="G101:I101"/>
    <mergeCell ref="F117:G117"/>
    <mergeCell ref="F123:I125"/>
    <mergeCell ref="F126:I128"/>
    <mergeCell ref="E97:F97"/>
    <mergeCell ref="G97:I97"/>
    <mergeCell ref="C98:D98"/>
    <mergeCell ref="E98:F98"/>
    <mergeCell ref="G98:I98"/>
    <mergeCell ref="L98:L102"/>
    <mergeCell ref="M98:M102"/>
    <mergeCell ref="F102:I102"/>
    <mergeCell ref="A1:I1"/>
    <mergeCell ref="A2:I2"/>
    <mergeCell ref="A3:I3"/>
    <mergeCell ref="A5:B5"/>
    <mergeCell ref="C5:D5"/>
    <mergeCell ref="E5:F5"/>
    <mergeCell ref="G5:I5"/>
    <mergeCell ref="A6:B6"/>
    <mergeCell ref="C6:D6"/>
    <mergeCell ref="E6:F6"/>
    <mergeCell ref="G6:I6"/>
    <mergeCell ref="A7:B7"/>
    <mergeCell ref="C7:D7"/>
    <mergeCell ref="E7:F7"/>
    <mergeCell ref="G7:I7"/>
    <mergeCell ref="G9:I9"/>
    <mergeCell ref="F10:I10"/>
    <mergeCell ref="F22:G22"/>
    <mergeCell ref="F25:I27"/>
    <mergeCell ref="F28:I30"/>
    <mergeCell ref="A34:I34"/>
    <mergeCell ref="A35:I35"/>
    <mergeCell ref="A36:I36"/>
    <mergeCell ref="L36:N36"/>
    <mergeCell ref="O36:S36"/>
    <mergeCell ref="L37:N37"/>
    <mergeCell ref="O37:S37"/>
    <mergeCell ref="A38:B38"/>
    <mergeCell ref="G38:I38"/>
    <mergeCell ref="A39:B39"/>
    <mergeCell ref="A40:B40"/>
    <mergeCell ref="C38:D38"/>
    <mergeCell ref="E38:F38"/>
    <mergeCell ref="C39:D39"/>
    <mergeCell ref="E39:F39"/>
    <mergeCell ref="G39:I39"/>
    <mergeCell ref="L39:L43"/>
    <mergeCell ref="M39:M43"/>
    <mergeCell ref="F43:I43"/>
    <mergeCell ref="A95:I95"/>
    <mergeCell ref="L95:N95"/>
    <mergeCell ref="O95:S95"/>
    <mergeCell ref="L96:N96"/>
    <mergeCell ref="O96:S96"/>
    <mergeCell ref="A97:B97"/>
    <mergeCell ref="C97:D97"/>
  </mergeCells>
  <conditionalFormatting sqref="P39:P43">
    <cfRule type="cellIs" dxfId="0" priority="1" operator="lessThanOrEqual">
      <formula>20</formula>
    </cfRule>
  </conditionalFormatting>
  <conditionalFormatting sqref="P39:P43">
    <cfRule type="cellIs" dxfId="1" priority="2" operator="greaterThanOrEqual">
      <formula>20</formula>
    </cfRule>
  </conditionalFormatting>
  <conditionalFormatting sqref="P98:P102">
    <cfRule type="cellIs" dxfId="0" priority="3" operator="lessThan">
      <formula>10</formula>
    </cfRule>
  </conditionalFormatting>
  <conditionalFormatting sqref="P98:P102">
    <cfRule type="cellIs" dxfId="1" priority="4" operator="greaterThan">
      <formula>10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6.38"/>
    <col customWidth="1" min="4" max="4" width="8.88"/>
    <col customWidth="1" min="5" max="5" width="5.13"/>
    <col customWidth="1" min="6" max="6" width="7.63"/>
    <col customWidth="1" min="7" max="7" width="16.38"/>
    <col customWidth="1" min="8" max="9" width="8.88"/>
  </cols>
  <sheetData>
    <row r="1" hidden="1">
      <c r="A1" s="334" t="s">
        <v>108</v>
      </c>
      <c r="B1" s="2"/>
      <c r="C1" s="2"/>
      <c r="D1" s="2"/>
      <c r="E1" s="2"/>
      <c r="F1" s="2"/>
      <c r="G1" s="2"/>
      <c r="H1" s="2"/>
      <c r="I1" s="3"/>
    </row>
    <row r="2" hidden="1">
      <c r="A2" s="4" t="s">
        <v>0</v>
      </c>
      <c r="B2" s="5"/>
      <c r="C2" s="5"/>
      <c r="D2" s="5"/>
      <c r="E2" s="5"/>
      <c r="F2" s="5"/>
      <c r="G2" s="5"/>
      <c r="H2" s="5"/>
      <c r="I2" s="6"/>
    </row>
    <row r="3" hidden="1">
      <c r="A3" s="4" t="s">
        <v>1</v>
      </c>
      <c r="B3" s="5"/>
      <c r="C3" s="5"/>
      <c r="D3" s="5"/>
      <c r="E3" s="5"/>
      <c r="F3" s="5"/>
      <c r="G3" s="5"/>
      <c r="H3" s="5"/>
      <c r="I3" s="6"/>
      <c r="K3" s="7" t="s">
        <v>2</v>
      </c>
      <c r="L3" s="5"/>
      <c r="M3" s="8"/>
      <c r="N3" s="9" t="s">
        <v>108</v>
      </c>
      <c r="O3" s="5"/>
      <c r="P3" s="5"/>
      <c r="Q3" s="5"/>
      <c r="R3" s="8"/>
    </row>
    <row r="4" hidden="1">
      <c r="A4" s="10"/>
      <c r="I4" s="11"/>
      <c r="K4" s="7" t="s">
        <v>3</v>
      </c>
      <c r="L4" s="5"/>
      <c r="M4" s="8"/>
      <c r="N4" s="12">
        <v>46282.0</v>
      </c>
      <c r="O4" s="5"/>
      <c r="P4" s="5"/>
      <c r="Q4" s="5"/>
      <c r="R4" s="8"/>
    </row>
    <row r="5" hidden="1">
      <c r="A5" s="13" t="s">
        <v>4</v>
      </c>
      <c r="B5" s="8"/>
      <c r="C5" s="14" t="s">
        <v>108</v>
      </c>
      <c r="D5" s="8"/>
      <c r="E5" s="15" t="s">
        <v>5</v>
      </c>
      <c r="F5" s="8"/>
      <c r="G5" s="16">
        <v>46284.0</v>
      </c>
      <c r="H5" s="5"/>
      <c r="I5" s="6"/>
      <c r="K5" s="17" t="s">
        <v>6</v>
      </c>
      <c r="L5" s="17" t="s">
        <v>7</v>
      </c>
      <c r="M5" s="17" t="s">
        <v>8</v>
      </c>
      <c r="N5" s="18" t="s">
        <v>9</v>
      </c>
      <c r="O5" s="19" t="s">
        <v>10</v>
      </c>
      <c r="P5" s="20" t="s">
        <v>11</v>
      </c>
      <c r="Q5" s="17" t="s">
        <v>12</v>
      </c>
      <c r="R5" s="17" t="s">
        <v>13</v>
      </c>
    </row>
    <row r="6" hidden="1">
      <c r="A6" s="13" t="s">
        <v>14</v>
      </c>
      <c r="B6" s="8"/>
      <c r="C6" s="14" t="s">
        <v>72</v>
      </c>
      <c r="D6" s="8"/>
      <c r="E6" s="15" t="s">
        <v>15</v>
      </c>
      <c r="F6" s="8"/>
      <c r="G6" s="21"/>
      <c r="H6" s="5"/>
      <c r="I6" s="6"/>
      <c r="K6" s="22" t="s">
        <v>68</v>
      </c>
      <c r="L6" s="22" t="s">
        <v>109</v>
      </c>
      <c r="M6" s="30" t="s">
        <v>40</v>
      </c>
      <c r="N6" s="24" t="s">
        <v>63</v>
      </c>
      <c r="O6" s="25">
        <f t="shared" ref="O6:O10" si="1">IF(N6-Q6-R6&lt;0,0,N6-Q6-R6)</f>
        <v>479</v>
      </c>
      <c r="P6" s="26">
        <f t="shared" ref="P6:P10" si="2">(H12)</f>
        <v>2521</v>
      </c>
      <c r="Q6" s="23">
        <f t="shared" ref="Q6:Q10" si="3">IF(P6-R6&lt;0,0,P6-R6)</f>
        <v>2521</v>
      </c>
      <c r="R6" s="24"/>
    </row>
    <row r="7" hidden="1">
      <c r="A7" s="13" t="s">
        <v>16</v>
      </c>
      <c r="B7" s="8"/>
      <c r="C7" s="27" t="s">
        <v>37</v>
      </c>
      <c r="D7" s="8"/>
      <c r="E7" s="15" t="s">
        <v>17</v>
      </c>
      <c r="F7" s="8"/>
      <c r="G7" s="21"/>
      <c r="H7" s="5"/>
      <c r="I7" s="6"/>
      <c r="K7" s="28"/>
      <c r="L7" s="28"/>
      <c r="M7" s="30" t="s">
        <v>110</v>
      </c>
      <c r="N7" s="24" t="s">
        <v>55</v>
      </c>
      <c r="O7" s="25">
        <f t="shared" si="1"/>
        <v>0</v>
      </c>
      <c r="P7" s="26">
        <f t="shared" si="2"/>
        <v>500</v>
      </c>
      <c r="Q7" s="23">
        <f t="shared" si="3"/>
        <v>500</v>
      </c>
      <c r="R7" s="29"/>
    </row>
    <row r="8" hidden="1">
      <c r="A8" s="10"/>
      <c r="I8" s="11"/>
      <c r="K8" s="28"/>
      <c r="L8" s="28"/>
      <c r="M8" s="30"/>
      <c r="N8" s="24"/>
      <c r="O8" s="25">
        <f t="shared" si="1"/>
        <v>0</v>
      </c>
      <c r="P8" s="26" t="str">
        <f t="shared" si="2"/>
        <v/>
      </c>
      <c r="Q8" s="23">
        <f t="shared" si="3"/>
        <v>0</v>
      </c>
      <c r="R8" s="29"/>
    </row>
    <row r="9" hidden="1">
      <c r="A9" s="31" t="s">
        <v>18</v>
      </c>
      <c r="B9" s="32" t="s">
        <v>19</v>
      </c>
      <c r="C9" s="33" t="s">
        <v>20</v>
      </c>
      <c r="D9" s="32" t="s">
        <v>21</v>
      </c>
      <c r="E9" s="34"/>
      <c r="F9" s="33" t="s">
        <v>6</v>
      </c>
      <c r="G9" s="35" t="s">
        <v>111</v>
      </c>
      <c r="H9" s="5"/>
      <c r="I9" s="6"/>
      <c r="K9" s="28"/>
      <c r="L9" s="28"/>
      <c r="M9" s="30"/>
      <c r="N9" s="24"/>
      <c r="O9" s="25">
        <f t="shared" si="1"/>
        <v>0</v>
      </c>
      <c r="P9" s="26" t="str">
        <f t="shared" si="2"/>
        <v/>
      </c>
      <c r="Q9" s="23">
        <f t="shared" si="3"/>
        <v>0</v>
      </c>
      <c r="R9" s="36"/>
    </row>
    <row r="10" hidden="1">
      <c r="A10" s="37">
        <v>1.0</v>
      </c>
      <c r="B10" s="39">
        <v>36.9</v>
      </c>
      <c r="C10" s="42" t="s">
        <v>112</v>
      </c>
      <c r="D10" s="43">
        <v>500.0</v>
      </c>
      <c r="E10" s="34"/>
      <c r="F10" s="41" t="s">
        <v>22</v>
      </c>
      <c r="G10" s="5"/>
      <c r="H10" s="5"/>
      <c r="I10" s="6"/>
      <c r="K10" s="44"/>
      <c r="L10" s="44"/>
      <c r="M10" s="30"/>
      <c r="N10" s="24"/>
      <c r="O10" s="25">
        <f t="shared" si="1"/>
        <v>0</v>
      </c>
      <c r="P10" s="26" t="str">
        <f t="shared" si="2"/>
        <v/>
      </c>
      <c r="Q10" s="23">
        <f t="shared" si="3"/>
        <v>0</v>
      </c>
      <c r="R10" s="36"/>
    </row>
    <row r="11" hidden="1">
      <c r="A11" s="37">
        <v>2.0</v>
      </c>
      <c r="B11" s="39">
        <v>36.7</v>
      </c>
      <c r="C11" s="42" t="s">
        <v>112</v>
      </c>
      <c r="D11" s="43">
        <v>500.0</v>
      </c>
      <c r="E11" s="34"/>
      <c r="F11" s="33" t="s">
        <v>23</v>
      </c>
      <c r="G11" s="33" t="s">
        <v>20</v>
      </c>
      <c r="H11" s="46" t="s">
        <v>21</v>
      </c>
      <c r="I11" s="47" t="s">
        <v>24</v>
      </c>
    </row>
    <row r="12" hidden="1">
      <c r="A12" s="37">
        <v>3.0</v>
      </c>
      <c r="B12" s="39">
        <v>36.9</v>
      </c>
      <c r="C12" s="42" t="s">
        <v>112</v>
      </c>
      <c r="D12" s="43">
        <v>500.0</v>
      </c>
      <c r="E12" s="34"/>
      <c r="F12" s="42">
        <v>1.0</v>
      </c>
      <c r="G12" s="42" t="s">
        <v>112</v>
      </c>
      <c r="H12" s="48">
        <f t="shared" ref="H12:H24" si="4">IF(G12="","",SUMIF($C$10:$C$45,G12,$D$10:$D$45))</f>
        <v>2521</v>
      </c>
      <c r="I12" s="49">
        <f t="shared" ref="I12:I24" si="5">IF(G12="","",COUNTIFS($C$10:$C$45,G12,$D$10:$D$45,"&gt;0"))</f>
        <v>5</v>
      </c>
    </row>
    <row r="13" hidden="1">
      <c r="A13" s="37">
        <v>4.0</v>
      </c>
      <c r="B13" s="39">
        <v>36.7</v>
      </c>
      <c r="C13" s="42" t="s">
        <v>112</v>
      </c>
      <c r="D13" s="43">
        <v>500.0</v>
      </c>
      <c r="E13" s="34"/>
      <c r="F13" s="42">
        <v>2.0</v>
      </c>
      <c r="G13" s="42" t="s">
        <v>113</v>
      </c>
      <c r="H13" s="48">
        <f t="shared" si="4"/>
        <v>500</v>
      </c>
      <c r="I13" s="49">
        <f t="shared" si="5"/>
        <v>2</v>
      </c>
    </row>
    <row r="14" hidden="1">
      <c r="A14" s="37">
        <v>5.0</v>
      </c>
      <c r="B14" s="39">
        <v>37.9</v>
      </c>
      <c r="C14" s="42" t="s">
        <v>112</v>
      </c>
      <c r="D14" s="43">
        <v>521.0</v>
      </c>
      <c r="E14" s="34"/>
      <c r="F14" s="42"/>
      <c r="G14" s="42"/>
      <c r="H14" s="48" t="str">
        <f t="shared" si="4"/>
        <v/>
      </c>
      <c r="I14" s="49" t="str">
        <f t="shared" si="5"/>
        <v/>
      </c>
    </row>
    <row r="15" hidden="1">
      <c r="A15" s="37">
        <v>6.0</v>
      </c>
      <c r="B15" s="39">
        <v>30.8</v>
      </c>
      <c r="C15" s="42" t="s">
        <v>113</v>
      </c>
      <c r="D15" s="43">
        <v>250.0</v>
      </c>
      <c r="E15" s="34"/>
      <c r="F15" s="42"/>
      <c r="G15" s="42"/>
      <c r="H15" s="48" t="str">
        <f t="shared" si="4"/>
        <v/>
      </c>
      <c r="I15" s="49" t="str">
        <f t="shared" si="5"/>
        <v/>
      </c>
    </row>
    <row r="16" hidden="1">
      <c r="A16" s="37">
        <v>7.0</v>
      </c>
      <c r="B16" s="39">
        <v>30.8</v>
      </c>
      <c r="C16" s="42" t="s">
        <v>113</v>
      </c>
      <c r="D16" s="43">
        <v>250.0</v>
      </c>
      <c r="E16" s="34"/>
      <c r="F16" s="42"/>
      <c r="G16" s="42"/>
      <c r="H16" s="48" t="str">
        <f t="shared" si="4"/>
        <v/>
      </c>
      <c r="I16" s="49" t="str">
        <f t="shared" si="5"/>
        <v/>
      </c>
    </row>
    <row r="17" hidden="1">
      <c r="A17" s="50"/>
      <c r="B17" s="38"/>
      <c r="C17" s="38"/>
      <c r="D17" s="40"/>
      <c r="E17" s="34"/>
      <c r="F17" s="48"/>
      <c r="G17" s="48"/>
      <c r="H17" s="48" t="str">
        <f t="shared" si="4"/>
        <v/>
      </c>
      <c r="I17" s="49" t="str">
        <f t="shared" si="5"/>
        <v/>
      </c>
    </row>
    <row r="18" hidden="1">
      <c r="A18" s="50"/>
      <c r="B18" s="38"/>
      <c r="C18" s="38"/>
      <c r="D18" s="40"/>
      <c r="E18" s="34"/>
      <c r="F18" s="42"/>
      <c r="G18" s="42"/>
      <c r="H18" s="48" t="str">
        <f t="shared" si="4"/>
        <v/>
      </c>
      <c r="I18" s="49" t="str">
        <f t="shared" si="5"/>
        <v/>
      </c>
    </row>
    <row r="19" hidden="1">
      <c r="A19" s="50"/>
      <c r="B19" s="38"/>
      <c r="C19" s="38"/>
      <c r="D19" s="40"/>
      <c r="E19" s="34"/>
      <c r="F19" s="48"/>
      <c r="G19" s="48"/>
      <c r="H19" s="48" t="str">
        <f t="shared" si="4"/>
        <v/>
      </c>
      <c r="I19" s="49" t="str">
        <f t="shared" si="5"/>
        <v/>
      </c>
    </row>
    <row r="20" hidden="1">
      <c r="A20" s="50"/>
      <c r="B20" s="38"/>
      <c r="C20" s="38"/>
      <c r="D20" s="40"/>
      <c r="E20" s="34"/>
      <c r="F20" s="48"/>
      <c r="G20" s="48"/>
      <c r="H20" s="48" t="str">
        <f t="shared" si="4"/>
        <v/>
      </c>
      <c r="I20" s="49" t="str">
        <f t="shared" si="5"/>
        <v/>
      </c>
    </row>
    <row r="21" hidden="1">
      <c r="A21" s="50"/>
      <c r="B21" s="38"/>
      <c r="C21" s="38"/>
      <c r="D21" s="40"/>
      <c r="E21" s="34"/>
      <c r="F21" s="48"/>
      <c r="G21" s="48"/>
      <c r="H21" s="48" t="str">
        <f t="shared" si="4"/>
        <v/>
      </c>
      <c r="I21" s="49" t="str">
        <f t="shared" si="5"/>
        <v/>
      </c>
    </row>
    <row r="22" hidden="1">
      <c r="A22" s="50"/>
      <c r="B22" s="38"/>
      <c r="C22" s="38"/>
      <c r="D22" s="40"/>
      <c r="E22" s="34"/>
      <c r="F22" s="48"/>
      <c r="G22" s="48"/>
      <c r="H22" s="48" t="str">
        <f t="shared" si="4"/>
        <v/>
      </c>
      <c r="I22" s="49" t="str">
        <f t="shared" si="5"/>
        <v/>
      </c>
    </row>
    <row r="23" hidden="1">
      <c r="A23" s="50"/>
      <c r="B23" s="38"/>
      <c r="C23" s="38"/>
      <c r="D23" s="40"/>
      <c r="E23" s="34"/>
      <c r="F23" s="48"/>
      <c r="G23" s="48"/>
      <c r="H23" s="48" t="str">
        <f t="shared" si="4"/>
        <v/>
      </c>
      <c r="I23" s="49" t="str">
        <f t="shared" si="5"/>
        <v/>
      </c>
    </row>
    <row r="24" hidden="1">
      <c r="A24" s="50"/>
      <c r="B24" s="38"/>
      <c r="C24" s="38"/>
      <c r="D24" s="40"/>
      <c r="E24" s="34"/>
      <c r="F24" s="48"/>
      <c r="G24" s="48"/>
      <c r="H24" s="48" t="str">
        <f t="shared" si="4"/>
        <v/>
      </c>
      <c r="I24" s="49" t="str">
        <f t="shared" si="5"/>
        <v/>
      </c>
    </row>
    <row r="25" hidden="1">
      <c r="A25" s="50"/>
      <c r="B25" s="38"/>
      <c r="C25" s="38"/>
      <c r="D25" s="40"/>
      <c r="E25" s="34"/>
      <c r="F25" s="51" t="s">
        <v>25</v>
      </c>
      <c r="G25" s="8"/>
      <c r="H25" s="48">
        <f t="shared" ref="H25:I25" si="6">sum(H12:H24)</f>
        <v>3021</v>
      </c>
      <c r="I25" s="49">
        <f t="shared" si="6"/>
        <v>7</v>
      </c>
    </row>
    <row r="26" hidden="1">
      <c r="A26" s="50"/>
      <c r="B26" s="38"/>
      <c r="C26" s="38"/>
      <c r="D26" s="40"/>
      <c r="E26" s="34"/>
      <c r="F26" s="34"/>
      <c r="G26" s="34"/>
      <c r="I26" s="53"/>
    </row>
    <row r="27" hidden="1">
      <c r="A27" s="50"/>
      <c r="B27" s="38"/>
      <c r="C27" s="38"/>
      <c r="D27" s="40"/>
      <c r="E27" s="34"/>
      <c r="F27" s="34"/>
      <c r="G27" s="34"/>
      <c r="I27" s="53"/>
    </row>
    <row r="28" hidden="1">
      <c r="A28" s="50"/>
      <c r="B28" s="38"/>
      <c r="C28" s="38"/>
      <c r="D28" s="40"/>
      <c r="E28" s="34"/>
      <c r="F28" s="34"/>
      <c r="G28" s="34"/>
      <c r="I28" s="53"/>
    </row>
    <row r="29" hidden="1">
      <c r="A29" s="50"/>
      <c r="B29" s="38"/>
      <c r="C29" s="38"/>
      <c r="D29" s="40"/>
      <c r="E29" s="34"/>
      <c r="F29" s="34"/>
      <c r="G29" s="34"/>
      <c r="I29" s="53"/>
    </row>
    <row r="30" hidden="1">
      <c r="A30" s="50"/>
      <c r="B30" s="38"/>
      <c r="C30" s="38"/>
      <c r="D30" s="40"/>
      <c r="E30" s="34"/>
      <c r="F30" s="54" t="s">
        <v>26</v>
      </c>
      <c r="G30" s="34"/>
      <c r="I30" s="53"/>
    </row>
    <row r="31" hidden="1">
      <c r="A31" s="50"/>
      <c r="B31" s="38"/>
      <c r="C31" s="38"/>
      <c r="D31" s="40"/>
      <c r="E31" s="34"/>
      <c r="F31" s="55" t="s">
        <v>27</v>
      </c>
      <c r="I31" s="11"/>
    </row>
    <row r="32" hidden="1">
      <c r="A32" s="50"/>
      <c r="B32" s="38"/>
      <c r="C32" s="38"/>
      <c r="D32" s="40"/>
      <c r="E32" s="34"/>
      <c r="I32" s="11"/>
    </row>
    <row r="33" hidden="1">
      <c r="A33" s="50"/>
      <c r="B33" s="38"/>
      <c r="C33" s="38"/>
      <c r="D33" s="56"/>
      <c r="E33" s="34"/>
      <c r="I33" s="11"/>
    </row>
    <row r="34" hidden="1">
      <c r="A34" s="50"/>
      <c r="B34" s="38"/>
      <c r="C34" s="38"/>
      <c r="D34" s="56"/>
      <c r="E34" s="34"/>
      <c r="F34" s="55" t="s">
        <v>28</v>
      </c>
      <c r="I34" s="11"/>
    </row>
    <row r="35" hidden="1">
      <c r="A35" s="50"/>
      <c r="B35" s="38"/>
      <c r="C35" s="38"/>
      <c r="D35" s="56"/>
      <c r="E35" s="34"/>
      <c r="I35" s="11"/>
    </row>
    <row r="36" hidden="1">
      <c r="A36" s="50"/>
      <c r="B36" s="38"/>
      <c r="C36" s="38"/>
      <c r="D36" s="40"/>
      <c r="E36" s="34"/>
      <c r="I36" s="11"/>
    </row>
    <row r="37" hidden="1">
      <c r="A37" s="50"/>
      <c r="B37" s="38"/>
      <c r="C37" s="38"/>
      <c r="D37" s="40"/>
      <c r="E37" s="34"/>
      <c r="F37" s="34"/>
      <c r="G37" s="34"/>
      <c r="I37" s="53"/>
    </row>
    <row r="38" hidden="1">
      <c r="A38" s="50"/>
      <c r="B38" s="38"/>
      <c r="C38" s="38"/>
      <c r="D38" s="40"/>
      <c r="E38" s="34"/>
      <c r="F38" s="34"/>
      <c r="G38" s="34"/>
      <c r="I38" s="53"/>
    </row>
    <row r="39" hidden="1">
      <c r="A39" s="50"/>
      <c r="B39" s="38"/>
      <c r="C39" s="38"/>
      <c r="D39" s="40"/>
      <c r="E39" s="34"/>
      <c r="F39" s="34"/>
      <c r="G39" s="34"/>
      <c r="I39" s="53"/>
    </row>
    <row r="40" hidden="1">
      <c r="A40" s="50"/>
      <c r="B40" s="38"/>
      <c r="C40" s="38"/>
      <c r="D40" s="40"/>
      <c r="E40" s="34"/>
      <c r="F40" s="34"/>
      <c r="G40" s="34"/>
      <c r="I40" s="53"/>
    </row>
    <row r="41" hidden="1">
      <c r="A41" s="50"/>
      <c r="B41" s="38"/>
      <c r="C41" s="38"/>
      <c r="D41" s="40"/>
      <c r="E41" s="34"/>
      <c r="F41" s="34"/>
      <c r="G41" s="34"/>
      <c r="I41" s="53"/>
    </row>
    <row r="42" hidden="1">
      <c r="A42" s="50"/>
      <c r="B42" s="38"/>
      <c r="C42" s="38"/>
      <c r="D42" s="57"/>
      <c r="E42" s="34"/>
      <c r="F42" s="34"/>
      <c r="G42" s="34"/>
      <c r="I42" s="53"/>
    </row>
    <row r="43" hidden="1">
      <c r="A43" s="50"/>
      <c r="B43" s="38"/>
      <c r="C43" s="38"/>
      <c r="D43" s="57"/>
      <c r="E43" s="34"/>
      <c r="F43" s="34"/>
      <c r="G43" s="34"/>
      <c r="I43" s="53"/>
    </row>
    <row r="44" hidden="1">
      <c r="A44" s="50"/>
      <c r="B44" s="38"/>
      <c r="C44" s="38"/>
      <c r="D44" s="57"/>
      <c r="E44" s="34"/>
      <c r="F44" s="34"/>
      <c r="G44" s="34"/>
      <c r="I44" s="53"/>
    </row>
    <row r="45" hidden="1">
      <c r="A45" s="58"/>
      <c r="B45" s="59"/>
      <c r="C45" s="59"/>
      <c r="D45" s="60"/>
      <c r="E45" s="61"/>
      <c r="F45" s="61"/>
      <c r="G45" s="61"/>
      <c r="H45" s="63"/>
      <c r="I45" s="64"/>
    </row>
    <row r="46" hidden="1"/>
    <row r="51">
      <c r="A51" s="334" t="s">
        <v>108</v>
      </c>
      <c r="B51" s="2"/>
      <c r="C51" s="2"/>
      <c r="D51" s="2"/>
      <c r="E51" s="2"/>
      <c r="F51" s="2"/>
      <c r="G51" s="2"/>
      <c r="H51" s="2"/>
      <c r="I51" s="3"/>
    </row>
    <row r="52">
      <c r="A52" s="4" t="s">
        <v>0</v>
      </c>
      <c r="B52" s="5"/>
      <c r="C52" s="5"/>
      <c r="D52" s="5"/>
      <c r="E52" s="5"/>
      <c r="F52" s="5"/>
      <c r="G52" s="5"/>
      <c r="H52" s="5"/>
      <c r="I52" s="6"/>
    </row>
    <row r="53">
      <c r="A53" s="4" t="s">
        <v>1</v>
      </c>
      <c r="B53" s="5"/>
      <c r="C53" s="5"/>
      <c r="D53" s="5"/>
      <c r="E53" s="5"/>
      <c r="F53" s="5"/>
      <c r="G53" s="5"/>
      <c r="H53" s="5"/>
      <c r="I53" s="6"/>
      <c r="K53" s="7" t="s">
        <v>2</v>
      </c>
      <c r="L53" s="5"/>
      <c r="M53" s="8"/>
      <c r="N53" s="9" t="s">
        <v>108</v>
      </c>
      <c r="O53" s="5"/>
      <c r="P53" s="5"/>
      <c r="Q53" s="5"/>
      <c r="R53" s="8"/>
    </row>
    <row r="54">
      <c r="A54" s="10"/>
      <c r="I54" s="11"/>
      <c r="K54" s="7" t="s">
        <v>3</v>
      </c>
      <c r="L54" s="5"/>
      <c r="M54" s="8"/>
      <c r="N54" s="12"/>
      <c r="O54" s="5"/>
      <c r="P54" s="5"/>
      <c r="Q54" s="5"/>
      <c r="R54" s="8"/>
    </row>
    <row r="55">
      <c r="A55" s="13" t="s">
        <v>4</v>
      </c>
      <c r="B55" s="8"/>
      <c r="C55" s="14" t="s">
        <v>108</v>
      </c>
      <c r="D55" s="8"/>
      <c r="E55" s="15" t="s">
        <v>5</v>
      </c>
      <c r="F55" s="8"/>
      <c r="G55" s="16"/>
      <c r="H55" s="5"/>
      <c r="I55" s="6"/>
      <c r="K55" s="17" t="s">
        <v>6</v>
      </c>
      <c r="L55" s="17" t="s">
        <v>7</v>
      </c>
      <c r="M55" s="17" t="s">
        <v>8</v>
      </c>
      <c r="N55" s="18" t="s">
        <v>9</v>
      </c>
      <c r="O55" s="19" t="s">
        <v>10</v>
      </c>
      <c r="P55" s="20" t="s">
        <v>11</v>
      </c>
      <c r="Q55" s="17" t="s">
        <v>12</v>
      </c>
      <c r="R55" s="17" t="s">
        <v>13</v>
      </c>
    </row>
    <row r="56">
      <c r="A56" s="13" t="s">
        <v>14</v>
      </c>
      <c r="B56" s="8"/>
      <c r="C56" s="14" t="s">
        <v>37</v>
      </c>
      <c r="D56" s="8"/>
      <c r="E56" s="15" t="s">
        <v>15</v>
      </c>
      <c r="F56" s="8"/>
      <c r="G56" s="21"/>
      <c r="H56" s="5"/>
      <c r="I56" s="6"/>
      <c r="K56" s="22" t="s">
        <v>68</v>
      </c>
      <c r="L56" s="22" t="s">
        <v>109</v>
      </c>
      <c r="M56" s="30"/>
      <c r="N56" s="24"/>
      <c r="O56" s="25">
        <f t="shared" ref="O56:O60" si="7">IF(N56-Q56-R56&lt;0,0,N56-Q56-R56)</f>
        <v>0</v>
      </c>
      <c r="P56" s="26">
        <f t="shared" ref="P56:P60" si="8">(H62)</f>
        <v>3179</v>
      </c>
      <c r="Q56" s="23">
        <f t="shared" ref="Q56:Q60" si="9">IF(P56-R56&lt;0,0,P56-R56)</f>
        <v>3179</v>
      </c>
      <c r="R56" s="24"/>
    </row>
    <row r="57">
      <c r="A57" s="13" t="s">
        <v>16</v>
      </c>
      <c r="B57" s="8"/>
      <c r="C57" s="27"/>
      <c r="D57" s="8"/>
      <c r="E57" s="15" t="s">
        <v>17</v>
      </c>
      <c r="F57" s="8"/>
      <c r="G57" s="21"/>
      <c r="H57" s="5"/>
      <c r="I57" s="6"/>
      <c r="K57" s="28"/>
      <c r="L57" s="28"/>
      <c r="M57" s="30"/>
      <c r="N57" s="24"/>
      <c r="O57" s="25">
        <f t="shared" si="7"/>
        <v>0</v>
      </c>
      <c r="P57" s="26">
        <f t="shared" si="8"/>
        <v>2353</v>
      </c>
      <c r="Q57" s="23">
        <f t="shared" si="9"/>
        <v>2353</v>
      </c>
      <c r="R57" s="29"/>
    </row>
    <row r="58">
      <c r="A58" s="10"/>
      <c r="I58" s="11"/>
      <c r="K58" s="28"/>
      <c r="L58" s="28"/>
      <c r="M58" s="30"/>
      <c r="N58" s="24"/>
      <c r="O58" s="25">
        <f t="shared" si="7"/>
        <v>0</v>
      </c>
      <c r="P58" s="26" t="str">
        <f t="shared" si="8"/>
        <v/>
      </c>
      <c r="Q58" s="23">
        <f t="shared" si="9"/>
        <v>0</v>
      </c>
      <c r="R58" s="29"/>
    </row>
    <row r="59">
      <c r="A59" s="31" t="s">
        <v>18</v>
      </c>
      <c r="B59" s="32" t="s">
        <v>19</v>
      </c>
      <c r="C59" s="33" t="s">
        <v>20</v>
      </c>
      <c r="D59" s="32" t="s">
        <v>21</v>
      </c>
      <c r="E59" s="34"/>
      <c r="F59" s="33" t="s">
        <v>6</v>
      </c>
      <c r="G59" s="35" t="s">
        <v>111</v>
      </c>
      <c r="H59" s="5"/>
      <c r="I59" s="6"/>
      <c r="K59" s="28"/>
      <c r="L59" s="28"/>
      <c r="M59" s="30"/>
      <c r="N59" s="24"/>
      <c r="O59" s="25">
        <f t="shared" si="7"/>
        <v>0</v>
      </c>
      <c r="P59" s="26" t="str">
        <f t="shared" si="8"/>
        <v/>
      </c>
      <c r="Q59" s="23">
        <f t="shared" si="9"/>
        <v>0</v>
      </c>
      <c r="R59" s="36"/>
    </row>
    <row r="60">
      <c r="A60" s="37">
        <v>1.0</v>
      </c>
      <c r="B60" s="39">
        <v>42.6</v>
      </c>
      <c r="C60" s="42" t="s">
        <v>113</v>
      </c>
      <c r="D60" s="43">
        <v>350.0</v>
      </c>
      <c r="E60" s="34"/>
      <c r="F60" s="41" t="s">
        <v>22</v>
      </c>
      <c r="G60" s="5"/>
      <c r="H60" s="5"/>
      <c r="I60" s="6"/>
      <c r="K60" s="44"/>
      <c r="L60" s="44"/>
      <c r="M60" s="30"/>
      <c r="N60" s="24"/>
      <c r="O60" s="25">
        <f t="shared" si="7"/>
        <v>0</v>
      </c>
      <c r="P60" s="26" t="str">
        <f t="shared" si="8"/>
        <v/>
      </c>
      <c r="Q60" s="23">
        <f t="shared" si="9"/>
        <v>0</v>
      </c>
      <c r="R60" s="36"/>
    </row>
    <row r="61">
      <c r="A61" s="37">
        <v>2.0</v>
      </c>
      <c r="B61" s="39">
        <v>42.6</v>
      </c>
      <c r="C61" s="42" t="s">
        <v>113</v>
      </c>
      <c r="D61" s="43">
        <v>350.0</v>
      </c>
      <c r="E61" s="34"/>
      <c r="F61" s="33" t="s">
        <v>23</v>
      </c>
      <c r="G61" s="33" t="s">
        <v>20</v>
      </c>
      <c r="H61" s="46" t="s">
        <v>21</v>
      </c>
      <c r="I61" s="47" t="s">
        <v>24</v>
      </c>
    </row>
    <row r="62">
      <c r="A62" s="37">
        <v>3.0</v>
      </c>
      <c r="B62" s="39">
        <v>42.6</v>
      </c>
      <c r="C62" s="42" t="s">
        <v>113</v>
      </c>
      <c r="D62" s="43">
        <v>350.0</v>
      </c>
      <c r="E62" s="34"/>
      <c r="F62" s="42">
        <v>1.0</v>
      </c>
      <c r="G62" s="42" t="s">
        <v>112</v>
      </c>
      <c r="H62" s="48">
        <f t="shared" ref="H62:H74" si="10">IF(G62="","",SUMIF($C$60:$C$95,G62,$D$60:$D$95))</f>
        <v>3179</v>
      </c>
      <c r="I62" s="49">
        <f t="shared" ref="I62:I74" si="11">IF(G62="","",COUNTIFS($C$60:$C$95,G62,$D$60:$D$95,"&gt;0"))</f>
        <v>6</v>
      </c>
    </row>
    <row r="63">
      <c r="A63" s="37">
        <v>4.0</v>
      </c>
      <c r="B63" s="39">
        <v>34.8</v>
      </c>
      <c r="C63" s="42" t="s">
        <v>112</v>
      </c>
      <c r="D63" s="43">
        <v>500.0</v>
      </c>
      <c r="E63" s="34"/>
      <c r="F63" s="42">
        <v>2.0</v>
      </c>
      <c r="G63" s="42" t="s">
        <v>113</v>
      </c>
      <c r="H63" s="48">
        <f t="shared" si="10"/>
        <v>2353</v>
      </c>
      <c r="I63" s="49">
        <f t="shared" si="11"/>
        <v>7</v>
      </c>
    </row>
    <row r="64">
      <c r="A64" s="37">
        <v>5.0</v>
      </c>
      <c r="B64" s="39">
        <v>34.7</v>
      </c>
      <c r="C64" s="42" t="s">
        <v>112</v>
      </c>
      <c r="D64" s="43">
        <v>500.0</v>
      </c>
      <c r="E64" s="34"/>
      <c r="F64" s="42"/>
      <c r="G64" s="42"/>
      <c r="H64" s="48" t="str">
        <f t="shared" si="10"/>
        <v/>
      </c>
      <c r="I64" s="49" t="str">
        <f t="shared" si="11"/>
        <v/>
      </c>
    </row>
    <row r="65">
      <c r="A65" s="37">
        <v>6.0</v>
      </c>
      <c r="B65" s="39">
        <v>35.4</v>
      </c>
      <c r="C65" s="42" t="s">
        <v>112</v>
      </c>
      <c r="D65" s="43">
        <v>500.0</v>
      </c>
      <c r="E65" s="34"/>
      <c r="F65" s="42"/>
      <c r="G65" s="42"/>
      <c r="H65" s="48" t="str">
        <f t="shared" si="10"/>
        <v/>
      </c>
      <c r="I65" s="49" t="str">
        <f t="shared" si="11"/>
        <v/>
      </c>
    </row>
    <row r="66">
      <c r="A66" s="37">
        <v>7.0</v>
      </c>
      <c r="B66" s="39">
        <v>42.8</v>
      </c>
      <c r="C66" s="42" t="s">
        <v>113</v>
      </c>
      <c r="D66" s="43">
        <v>350.0</v>
      </c>
      <c r="E66" s="34"/>
      <c r="F66" s="42"/>
      <c r="G66" s="42"/>
      <c r="H66" s="48" t="str">
        <f t="shared" si="10"/>
        <v/>
      </c>
      <c r="I66" s="49" t="str">
        <f t="shared" si="11"/>
        <v/>
      </c>
    </row>
    <row r="67">
      <c r="A67" s="37">
        <v>8.0</v>
      </c>
      <c r="B67" s="39">
        <v>42.5</v>
      </c>
      <c r="C67" s="42" t="s">
        <v>113</v>
      </c>
      <c r="D67" s="43">
        <v>350.0</v>
      </c>
      <c r="E67" s="34"/>
      <c r="F67" s="48"/>
      <c r="G67" s="48"/>
      <c r="H67" s="48" t="str">
        <f t="shared" si="10"/>
        <v/>
      </c>
      <c r="I67" s="49" t="str">
        <f t="shared" si="11"/>
        <v/>
      </c>
    </row>
    <row r="68">
      <c r="A68" s="37">
        <v>9.0</v>
      </c>
      <c r="B68" s="39">
        <v>41.5</v>
      </c>
      <c r="C68" s="42" t="s">
        <v>113</v>
      </c>
      <c r="D68" s="43">
        <v>350.0</v>
      </c>
      <c r="E68" s="34"/>
      <c r="F68" s="42"/>
      <c r="G68" s="42"/>
      <c r="H68" s="48" t="str">
        <f t="shared" si="10"/>
        <v/>
      </c>
      <c r="I68" s="49" t="str">
        <f t="shared" si="11"/>
        <v/>
      </c>
    </row>
    <row r="69">
      <c r="A69" s="37">
        <v>10.0</v>
      </c>
      <c r="B69" s="39">
        <v>34.4</v>
      </c>
      <c r="C69" s="42" t="s">
        <v>112</v>
      </c>
      <c r="D69" s="43">
        <v>500.0</v>
      </c>
      <c r="E69" s="34"/>
      <c r="F69" s="48"/>
      <c r="G69" s="48"/>
      <c r="H69" s="48" t="str">
        <f t="shared" si="10"/>
        <v/>
      </c>
      <c r="I69" s="49" t="str">
        <f t="shared" si="11"/>
        <v/>
      </c>
    </row>
    <row r="70">
      <c r="A70" s="37">
        <v>11.0</v>
      </c>
      <c r="B70" s="39">
        <v>34.4</v>
      </c>
      <c r="C70" s="42" t="s">
        <v>112</v>
      </c>
      <c r="D70" s="43">
        <v>500.0</v>
      </c>
      <c r="E70" s="34"/>
      <c r="F70" s="48"/>
      <c r="G70" s="48"/>
      <c r="H70" s="48" t="str">
        <f t="shared" si="10"/>
        <v/>
      </c>
      <c r="I70" s="49" t="str">
        <f t="shared" si="11"/>
        <v/>
      </c>
    </row>
    <row r="71">
      <c r="A71" s="37">
        <v>12.0</v>
      </c>
      <c r="B71" s="39">
        <v>47.1</v>
      </c>
      <c r="C71" s="42" t="s">
        <v>112</v>
      </c>
      <c r="D71" s="43">
        <v>679.0</v>
      </c>
      <c r="E71" s="34"/>
      <c r="F71" s="48"/>
      <c r="G71" s="48"/>
      <c r="H71" s="48" t="str">
        <f t="shared" si="10"/>
        <v/>
      </c>
      <c r="I71" s="49" t="str">
        <f t="shared" si="11"/>
        <v/>
      </c>
    </row>
    <row r="72">
      <c r="A72" s="37">
        <v>13.0</v>
      </c>
      <c r="B72" s="39">
        <v>29.5</v>
      </c>
      <c r="C72" s="42" t="s">
        <v>113</v>
      </c>
      <c r="D72" s="43">
        <v>253.0</v>
      </c>
      <c r="E72" s="34"/>
      <c r="F72" s="48"/>
      <c r="G72" s="48"/>
      <c r="H72" s="48" t="str">
        <f t="shared" si="10"/>
        <v/>
      </c>
      <c r="I72" s="49" t="str">
        <f t="shared" si="11"/>
        <v/>
      </c>
    </row>
    <row r="73">
      <c r="A73" s="37"/>
      <c r="B73" s="38"/>
      <c r="C73" s="38"/>
      <c r="D73" s="40"/>
      <c r="E73" s="34"/>
      <c r="F73" s="48"/>
      <c r="G73" s="48"/>
      <c r="H73" s="48" t="str">
        <f t="shared" si="10"/>
        <v/>
      </c>
      <c r="I73" s="49" t="str">
        <f t="shared" si="11"/>
        <v/>
      </c>
    </row>
    <row r="74">
      <c r="A74" s="37"/>
      <c r="B74" s="38"/>
      <c r="C74" s="38"/>
      <c r="D74" s="40"/>
      <c r="E74" s="34"/>
      <c r="F74" s="48"/>
      <c r="G74" s="48"/>
      <c r="H74" s="48" t="str">
        <f t="shared" si="10"/>
        <v/>
      </c>
      <c r="I74" s="49" t="str">
        <f t="shared" si="11"/>
        <v/>
      </c>
    </row>
    <row r="75">
      <c r="A75" s="50"/>
      <c r="B75" s="38"/>
      <c r="C75" s="38"/>
      <c r="D75" s="40"/>
      <c r="E75" s="34"/>
      <c r="F75" s="51" t="s">
        <v>25</v>
      </c>
      <c r="G75" s="8"/>
      <c r="H75" s="48">
        <f t="shared" ref="H75:I75" si="12">sum(H62:H74)</f>
        <v>5532</v>
      </c>
      <c r="I75" s="49">
        <f t="shared" si="12"/>
        <v>13</v>
      </c>
    </row>
    <row r="76">
      <c r="A76" s="50"/>
      <c r="B76" s="38"/>
      <c r="C76" s="38"/>
      <c r="D76" s="40"/>
      <c r="E76" s="34"/>
      <c r="F76" s="34"/>
      <c r="G76" s="34"/>
      <c r="I76" s="53"/>
    </row>
    <row r="77">
      <c r="A77" s="50"/>
      <c r="B77" s="38"/>
      <c r="C77" s="38"/>
      <c r="D77" s="40"/>
      <c r="E77" s="34"/>
      <c r="F77" s="34"/>
      <c r="G77" s="34"/>
      <c r="I77" s="53"/>
    </row>
    <row r="78">
      <c r="A78" s="50"/>
      <c r="B78" s="38"/>
      <c r="C78" s="38"/>
      <c r="D78" s="40"/>
      <c r="E78" s="34"/>
      <c r="F78" s="34"/>
      <c r="G78" s="34"/>
      <c r="I78" s="53"/>
    </row>
    <row r="79">
      <c r="A79" s="50"/>
      <c r="B79" s="38"/>
      <c r="C79" s="38"/>
      <c r="D79" s="40"/>
      <c r="E79" s="34"/>
      <c r="F79" s="34"/>
      <c r="G79" s="34"/>
      <c r="I79" s="53"/>
    </row>
    <row r="80">
      <c r="A80" s="50"/>
      <c r="B80" s="38"/>
      <c r="C80" s="38"/>
      <c r="D80" s="40"/>
      <c r="E80" s="34"/>
      <c r="F80" s="54" t="s">
        <v>26</v>
      </c>
      <c r="G80" s="34"/>
      <c r="I80" s="53"/>
    </row>
    <row r="81">
      <c r="A81" s="50"/>
      <c r="B81" s="38"/>
      <c r="C81" s="38"/>
      <c r="D81" s="40"/>
      <c r="E81" s="34"/>
      <c r="F81" s="55" t="s">
        <v>27</v>
      </c>
      <c r="I81" s="11"/>
    </row>
    <row r="82">
      <c r="A82" s="50"/>
      <c r="B82" s="38"/>
      <c r="C82" s="38"/>
      <c r="D82" s="40"/>
      <c r="E82" s="34"/>
      <c r="I82" s="11"/>
    </row>
    <row r="83">
      <c r="A83" s="50"/>
      <c r="B83" s="38"/>
      <c r="C83" s="38"/>
      <c r="D83" s="56"/>
      <c r="E83" s="34"/>
      <c r="I83" s="11"/>
    </row>
    <row r="84">
      <c r="A84" s="50"/>
      <c r="B84" s="38"/>
      <c r="C84" s="38"/>
      <c r="D84" s="56"/>
      <c r="E84" s="34"/>
      <c r="F84" s="55" t="s">
        <v>28</v>
      </c>
      <c r="I84" s="11"/>
    </row>
    <row r="85">
      <c r="A85" s="50"/>
      <c r="B85" s="38"/>
      <c r="C85" s="38"/>
      <c r="D85" s="56"/>
      <c r="E85" s="34"/>
      <c r="I85" s="11"/>
    </row>
    <row r="86">
      <c r="A86" s="50"/>
      <c r="B86" s="38"/>
      <c r="C86" s="38"/>
      <c r="D86" s="40"/>
      <c r="E86" s="34"/>
      <c r="I86" s="11"/>
    </row>
    <row r="87">
      <c r="A87" s="50"/>
      <c r="B87" s="38"/>
      <c r="C87" s="38"/>
      <c r="D87" s="40"/>
      <c r="E87" s="34"/>
      <c r="F87" s="34"/>
      <c r="G87" s="34"/>
      <c r="I87" s="53"/>
    </row>
    <row r="88">
      <c r="A88" s="50"/>
      <c r="B88" s="38"/>
      <c r="C88" s="38"/>
      <c r="D88" s="40"/>
      <c r="E88" s="34"/>
      <c r="F88" s="34"/>
      <c r="G88" s="34"/>
      <c r="I88" s="53"/>
    </row>
    <row r="89">
      <c r="A89" s="50"/>
      <c r="B89" s="38"/>
      <c r="C89" s="38"/>
      <c r="D89" s="40"/>
      <c r="E89" s="34"/>
      <c r="F89" s="34"/>
      <c r="G89" s="34"/>
      <c r="I89" s="53"/>
    </row>
    <row r="90">
      <c r="A90" s="50"/>
      <c r="B90" s="38"/>
      <c r="C90" s="38"/>
      <c r="D90" s="40"/>
      <c r="E90" s="34"/>
      <c r="F90" s="34"/>
      <c r="G90" s="34"/>
      <c r="I90" s="53"/>
    </row>
    <row r="91">
      <c r="A91" s="50"/>
      <c r="B91" s="38"/>
      <c r="C91" s="38"/>
      <c r="D91" s="40"/>
      <c r="E91" s="34"/>
      <c r="F91" s="34"/>
      <c r="G91" s="34"/>
      <c r="I91" s="53"/>
    </row>
    <row r="92">
      <c r="A92" s="50"/>
      <c r="B92" s="38"/>
      <c r="C92" s="38"/>
      <c r="D92" s="57"/>
      <c r="E92" s="34"/>
      <c r="F92" s="34"/>
      <c r="G92" s="34"/>
      <c r="I92" s="53"/>
    </row>
    <row r="93">
      <c r="A93" s="50"/>
      <c r="B93" s="38"/>
      <c r="C93" s="38"/>
      <c r="D93" s="57"/>
      <c r="E93" s="34"/>
      <c r="F93" s="34"/>
      <c r="G93" s="34"/>
      <c r="I93" s="53"/>
    </row>
    <row r="94">
      <c r="A94" s="50"/>
      <c r="B94" s="38"/>
      <c r="C94" s="38"/>
      <c r="D94" s="57"/>
      <c r="E94" s="34"/>
      <c r="F94" s="34"/>
      <c r="G94" s="34"/>
      <c r="I94" s="53"/>
    </row>
    <row r="95">
      <c r="A95" s="58"/>
      <c r="B95" s="59"/>
      <c r="C95" s="59"/>
      <c r="D95" s="60"/>
      <c r="E95" s="61"/>
      <c r="F95" s="61"/>
      <c r="G95" s="61"/>
      <c r="H95" s="63"/>
      <c r="I95" s="64"/>
    </row>
  </sheetData>
  <mergeCells count="56">
    <mergeCell ref="E7:F7"/>
    <mergeCell ref="F25:G25"/>
    <mergeCell ref="F31:I33"/>
    <mergeCell ref="F34:I36"/>
    <mergeCell ref="A51:I51"/>
    <mergeCell ref="A52:I52"/>
    <mergeCell ref="A53:I53"/>
    <mergeCell ref="F75:G75"/>
    <mergeCell ref="F81:I83"/>
    <mergeCell ref="F84:I86"/>
    <mergeCell ref="A54:I54"/>
    <mergeCell ref="A55:B55"/>
    <mergeCell ref="C55:D55"/>
    <mergeCell ref="E55:F55"/>
    <mergeCell ref="G55:I55"/>
    <mergeCell ref="A56:B56"/>
    <mergeCell ref="C56:D56"/>
    <mergeCell ref="A1:I1"/>
    <mergeCell ref="A2:I2"/>
    <mergeCell ref="A3:I3"/>
    <mergeCell ref="K3:M3"/>
    <mergeCell ref="N3:R3"/>
    <mergeCell ref="K4:M4"/>
    <mergeCell ref="N4:R4"/>
    <mergeCell ref="A7:B7"/>
    <mergeCell ref="C7:D7"/>
    <mergeCell ref="A8:I8"/>
    <mergeCell ref="A4:I4"/>
    <mergeCell ref="A5:B5"/>
    <mergeCell ref="C5:D5"/>
    <mergeCell ref="E5:F5"/>
    <mergeCell ref="G5:I5"/>
    <mergeCell ref="A6:B6"/>
    <mergeCell ref="C6:D6"/>
    <mergeCell ref="E6:F6"/>
    <mergeCell ref="G6:I6"/>
    <mergeCell ref="K6:K10"/>
    <mergeCell ref="L6:L10"/>
    <mergeCell ref="G7:I7"/>
    <mergeCell ref="G9:I9"/>
    <mergeCell ref="F10:I10"/>
    <mergeCell ref="K53:M53"/>
    <mergeCell ref="N53:R53"/>
    <mergeCell ref="K54:M54"/>
    <mergeCell ref="N54:R54"/>
    <mergeCell ref="E56:F56"/>
    <mergeCell ref="G56:I56"/>
    <mergeCell ref="K56:K60"/>
    <mergeCell ref="L56:L60"/>
    <mergeCell ref="E57:F57"/>
    <mergeCell ref="G57:I57"/>
    <mergeCell ref="G59:I59"/>
    <mergeCell ref="F60:I60"/>
    <mergeCell ref="A57:B57"/>
    <mergeCell ref="C57:D57"/>
    <mergeCell ref="A58:I58"/>
  </mergeCells>
  <conditionalFormatting sqref="O6:O10 O56:O60">
    <cfRule type="cellIs" dxfId="0" priority="1" operator="lessThanOrEqual">
      <formula>20</formula>
    </cfRule>
  </conditionalFormatting>
  <conditionalFormatting sqref="O6:O10 O56:O60">
    <cfRule type="cellIs" dxfId="1" priority="2" operator="greaterThanOrEqual">
      <formula>20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8.88"/>
    <col customWidth="1" min="3" max="3" width="15.13"/>
    <col customWidth="1" min="4" max="4" width="8.88"/>
    <col customWidth="1" min="5" max="5" width="5.13"/>
    <col customWidth="1" min="6" max="6" width="7.63"/>
    <col customWidth="1" min="7" max="7" width="15.13"/>
    <col customWidth="1" min="8" max="9" width="8.88"/>
  </cols>
  <sheetData>
    <row r="1" hidden="1">
      <c r="A1" s="335" t="s">
        <v>114</v>
      </c>
      <c r="B1" s="2"/>
      <c r="C1" s="2"/>
      <c r="D1" s="2"/>
      <c r="E1" s="2"/>
      <c r="F1" s="2"/>
      <c r="G1" s="2"/>
      <c r="H1" s="3"/>
    </row>
    <row r="2" hidden="1">
      <c r="A2" s="4" t="s">
        <v>0</v>
      </c>
      <c r="B2" s="5"/>
      <c r="C2" s="5"/>
      <c r="D2" s="5"/>
      <c r="E2" s="5"/>
      <c r="F2" s="5"/>
      <c r="G2" s="5"/>
      <c r="H2" s="6"/>
    </row>
    <row r="3" hidden="1">
      <c r="A3" s="4" t="s">
        <v>1</v>
      </c>
      <c r="B3" s="5"/>
      <c r="C3" s="5"/>
      <c r="D3" s="5"/>
      <c r="E3" s="5"/>
      <c r="F3" s="5"/>
      <c r="G3" s="5"/>
      <c r="H3" s="6"/>
    </row>
    <row r="4" hidden="1">
      <c r="A4" s="10"/>
      <c r="B4" s="34"/>
      <c r="C4" s="34"/>
      <c r="D4" s="295"/>
      <c r="E4" s="34"/>
      <c r="F4" s="34"/>
      <c r="G4" s="34"/>
      <c r="H4" s="52"/>
    </row>
    <row r="5" hidden="1">
      <c r="A5" s="13" t="s">
        <v>4</v>
      </c>
      <c r="B5" s="8"/>
      <c r="C5" s="336" t="s">
        <v>115</v>
      </c>
      <c r="D5" s="8"/>
      <c r="E5" s="15" t="s">
        <v>5</v>
      </c>
      <c r="F5" s="8"/>
      <c r="G5" s="337">
        <v>46246.0</v>
      </c>
      <c r="H5" s="6"/>
    </row>
    <row r="6" hidden="1">
      <c r="A6" s="13" t="s">
        <v>14</v>
      </c>
      <c r="B6" s="8"/>
      <c r="C6" s="104" t="s">
        <v>37</v>
      </c>
      <c r="D6" s="8"/>
      <c r="E6" s="15" t="s">
        <v>15</v>
      </c>
      <c r="F6" s="8"/>
      <c r="G6" s="21"/>
      <c r="H6" s="6"/>
    </row>
    <row r="7" hidden="1">
      <c r="A7" s="13" t="s">
        <v>16</v>
      </c>
      <c r="B7" s="8"/>
      <c r="C7" s="326"/>
      <c r="D7" s="8"/>
      <c r="E7" s="15" t="s">
        <v>17</v>
      </c>
      <c r="F7" s="8"/>
      <c r="G7" s="104" t="s">
        <v>116</v>
      </c>
      <c r="H7" s="6"/>
    </row>
    <row r="8" hidden="1">
      <c r="A8" s="10"/>
      <c r="B8" s="34"/>
      <c r="C8" s="34"/>
      <c r="D8" s="295"/>
      <c r="E8" s="34"/>
      <c r="F8" s="34"/>
      <c r="G8" s="34"/>
      <c r="H8" s="52"/>
    </row>
    <row r="9" hidden="1">
      <c r="A9" s="31" t="s">
        <v>18</v>
      </c>
      <c r="B9" s="32" t="s">
        <v>19</v>
      </c>
      <c r="C9" s="33" t="s">
        <v>20</v>
      </c>
      <c r="D9" s="46" t="s">
        <v>21</v>
      </c>
      <c r="E9" s="34"/>
      <c r="F9" s="33" t="s">
        <v>6</v>
      </c>
      <c r="G9" s="338"/>
      <c r="H9" s="6"/>
    </row>
    <row r="10" hidden="1">
      <c r="A10" s="50">
        <v>1.0</v>
      </c>
      <c r="B10" s="39">
        <v>26.3</v>
      </c>
      <c r="C10" s="339" t="s">
        <v>117</v>
      </c>
      <c r="D10" s="40">
        <v>200.0</v>
      </c>
      <c r="E10" s="34"/>
      <c r="F10" s="41" t="s">
        <v>22</v>
      </c>
      <c r="G10" s="5"/>
      <c r="H10" s="6"/>
    </row>
    <row r="11" hidden="1">
      <c r="A11" s="50">
        <v>2.0</v>
      </c>
      <c r="B11" s="39">
        <v>26.5</v>
      </c>
      <c r="C11" s="339" t="s">
        <v>117</v>
      </c>
      <c r="D11" s="40">
        <v>200.0</v>
      </c>
      <c r="E11" s="34"/>
      <c r="F11" s="33" t="s">
        <v>23</v>
      </c>
      <c r="G11" s="33" t="s">
        <v>20</v>
      </c>
      <c r="H11" s="45" t="s">
        <v>21</v>
      </c>
    </row>
    <row r="12" hidden="1">
      <c r="A12" s="50">
        <v>3.0</v>
      </c>
      <c r="B12" s="39">
        <v>26.7</v>
      </c>
      <c r="C12" s="339" t="s">
        <v>117</v>
      </c>
      <c r="D12" s="40">
        <v>200.0</v>
      </c>
      <c r="E12" s="34"/>
      <c r="F12" s="42">
        <v>1.0</v>
      </c>
      <c r="G12" s="42" t="s">
        <v>117</v>
      </c>
      <c r="H12" s="340">
        <f>SUM(D10:D47)</f>
        <v>1400</v>
      </c>
    </row>
    <row r="13" hidden="1">
      <c r="A13" s="50">
        <v>4.0</v>
      </c>
      <c r="B13" s="39">
        <v>26.6</v>
      </c>
      <c r="C13" s="339" t="s">
        <v>117</v>
      </c>
      <c r="D13" s="40">
        <v>200.0</v>
      </c>
      <c r="E13" s="34"/>
      <c r="F13" s="48"/>
      <c r="G13" s="48"/>
      <c r="H13" s="49"/>
    </row>
    <row r="14" hidden="1">
      <c r="A14" s="50">
        <v>5.0</v>
      </c>
      <c r="B14" s="39">
        <v>26.7</v>
      </c>
      <c r="C14" s="339" t="s">
        <v>117</v>
      </c>
      <c r="D14" s="40">
        <v>200.0</v>
      </c>
      <c r="E14" s="34"/>
      <c r="F14" s="48"/>
      <c r="G14" s="48"/>
      <c r="H14" s="49"/>
    </row>
    <row r="15" hidden="1">
      <c r="A15" s="50">
        <v>6.0</v>
      </c>
      <c r="B15" s="39">
        <v>26.6</v>
      </c>
      <c r="C15" s="339" t="s">
        <v>117</v>
      </c>
      <c r="D15" s="40">
        <v>200.0</v>
      </c>
      <c r="E15" s="34"/>
      <c r="F15" s="48"/>
      <c r="G15" s="48"/>
      <c r="H15" s="49"/>
    </row>
    <row r="16" hidden="1">
      <c r="A16" s="50">
        <v>7.0</v>
      </c>
      <c r="B16" s="39">
        <v>26.8</v>
      </c>
      <c r="C16" s="339" t="s">
        <v>117</v>
      </c>
      <c r="D16" s="40">
        <v>200.0</v>
      </c>
      <c r="E16" s="34"/>
      <c r="F16" s="48"/>
      <c r="G16" s="48"/>
      <c r="H16" s="49"/>
    </row>
    <row r="17" hidden="1">
      <c r="A17" s="50"/>
      <c r="B17" s="38"/>
      <c r="C17" s="38"/>
      <c r="D17" s="40"/>
      <c r="E17" s="34"/>
      <c r="F17" s="48"/>
      <c r="G17" s="48"/>
      <c r="H17" s="49"/>
    </row>
    <row r="18" hidden="1">
      <c r="A18" s="50"/>
      <c r="B18" s="38"/>
      <c r="C18" s="38"/>
      <c r="D18" s="40"/>
      <c r="E18" s="34"/>
      <c r="F18" s="48"/>
      <c r="G18" s="48"/>
      <c r="H18" s="49"/>
    </row>
    <row r="19" hidden="1">
      <c r="A19" s="50"/>
      <c r="B19" s="38"/>
      <c r="C19" s="38"/>
      <c r="D19" s="40"/>
      <c r="E19" s="34"/>
      <c r="F19" s="48"/>
      <c r="G19" s="48"/>
      <c r="H19" s="49"/>
    </row>
    <row r="20" hidden="1">
      <c r="A20" s="50"/>
      <c r="B20" s="38"/>
      <c r="C20" s="38"/>
      <c r="D20" s="40"/>
      <c r="E20" s="34"/>
      <c r="F20" s="48"/>
      <c r="G20" s="48"/>
      <c r="H20" s="49"/>
    </row>
    <row r="21" hidden="1">
      <c r="A21" s="50"/>
      <c r="B21" s="38"/>
      <c r="C21" s="38"/>
      <c r="D21" s="40"/>
      <c r="E21" s="34"/>
      <c r="F21" s="48"/>
      <c r="G21" s="48"/>
      <c r="H21" s="49"/>
    </row>
    <row r="22" hidden="1">
      <c r="A22" s="50"/>
      <c r="B22" s="38"/>
      <c r="C22" s="38"/>
      <c r="D22" s="40"/>
      <c r="E22" s="34"/>
      <c r="F22" s="48"/>
      <c r="G22" s="48"/>
      <c r="H22" s="49"/>
    </row>
    <row r="23" hidden="1">
      <c r="A23" s="50"/>
      <c r="B23" s="38"/>
      <c r="C23" s="38"/>
      <c r="D23" s="40"/>
      <c r="E23" s="34"/>
      <c r="F23" s="48"/>
      <c r="G23" s="48"/>
      <c r="H23" s="49"/>
    </row>
    <row r="24" hidden="1">
      <c r="A24" s="50"/>
      <c r="B24" s="38"/>
      <c r="C24" s="38"/>
      <c r="D24" s="40"/>
      <c r="E24" s="34"/>
      <c r="F24" s="48"/>
      <c r="G24" s="48"/>
      <c r="H24" s="49"/>
    </row>
    <row r="25" hidden="1">
      <c r="A25" s="50"/>
      <c r="B25" s="38"/>
      <c r="C25" s="38"/>
      <c r="D25" s="40"/>
      <c r="E25" s="34"/>
      <c r="F25" s="48"/>
      <c r="G25" s="48"/>
      <c r="H25" s="49"/>
    </row>
    <row r="26" hidden="1">
      <c r="A26" s="50"/>
      <c r="B26" s="38"/>
      <c r="C26" s="38"/>
      <c r="D26" s="40"/>
      <c r="E26" s="34"/>
      <c r="F26" s="34"/>
      <c r="G26" s="34"/>
      <c r="H26" s="52"/>
    </row>
    <row r="27" hidden="1">
      <c r="A27" s="50"/>
      <c r="B27" s="38"/>
      <c r="C27" s="38"/>
      <c r="D27" s="40"/>
      <c r="E27" s="34"/>
      <c r="F27" s="34"/>
      <c r="G27" s="34"/>
      <c r="H27" s="52"/>
    </row>
    <row r="28" hidden="1">
      <c r="A28" s="50"/>
      <c r="B28" s="38"/>
      <c r="C28" s="38"/>
      <c r="D28" s="40"/>
      <c r="E28" s="34"/>
      <c r="F28" s="34"/>
      <c r="G28" s="34"/>
      <c r="H28" s="52"/>
    </row>
    <row r="29" hidden="1">
      <c r="A29" s="50"/>
      <c r="B29" s="38"/>
      <c r="C29" s="38"/>
      <c r="D29" s="40"/>
      <c r="E29" s="34"/>
      <c r="F29" s="34"/>
      <c r="G29" s="34"/>
      <c r="H29" s="52"/>
    </row>
    <row r="30" hidden="1">
      <c r="A30" s="50"/>
      <c r="B30" s="38"/>
      <c r="C30" s="38"/>
      <c r="D30" s="40"/>
      <c r="E30" s="34"/>
      <c r="F30" s="54" t="s">
        <v>26</v>
      </c>
      <c r="G30" s="34"/>
      <c r="H30" s="52"/>
    </row>
    <row r="31" hidden="1">
      <c r="A31" s="50"/>
      <c r="B31" s="38"/>
      <c r="C31" s="38"/>
      <c r="D31" s="40"/>
      <c r="E31" s="34"/>
      <c r="F31" s="55" t="s">
        <v>27</v>
      </c>
      <c r="H31" s="11"/>
    </row>
    <row r="32" hidden="1">
      <c r="A32" s="50"/>
      <c r="B32" s="38"/>
      <c r="C32" s="38"/>
      <c r="D32" s="40"/>
      <c r="E32" s="34"/>
      <c r="H32" s="11"/>
    </row>
    <row r="33" hidden="1">
      <c r="A33" s="50"/>
      <c r="B33" s="38"/>
      <c r="C33" s="38"/>
      <c r="D33" s="56"/>
      <c r="E33" s="34"/>
      <c r="H33" s="11"/>
    </row>
    <row r="34" hidden="1">
      <c r="A34" s="50"/>
      <c r="B34" s="38"/>
      <c r="C34" s="38"/>
      <c r="D34" s="56"/>
      <c r="E34" s="34"/>
      <c r="F34" s="55" t="s">
        <v>28</v>
      </c>
      <c r="H34" s="11"/>
    </row>
    <row r="35" hidden="1">
      <c r="A35" s="50"/>
      <c r="B35" s="38"/>
      <c r="C35" s="38"/>
      <c r="D35" s="56"/>
      <c r="E35" s="34"/>
      <c r="H35" s="11"/>
    </row>
    <row r="36" hidden="1">
      <c r="A36" s="50"/>
      <c r="B36" s="38"/>
      <c r="C36" s="38"/>
      <c r="D36" s="40"/>
      <c r="E36" s="34"/>
      <c r="H36" s="11"/>
    </row>
    <row r="37" hidden="1">
      <c r="A37" s="50"/>
      <c r="B37" s="38"/>
      <c r="C37" s="38"/>
      <c r="D37" s="40"/>
      <c r="E37" s="34"/>
      <c r="F37" s="34"/>
      <c r="G37" s="34"/>
      <c r="H37" s="52"/>
    </row>
    <row r="38" hidden="1">
      <c r="A38" s="50"/>
      <c r="B38" s="38"/>
      <c r="C38" s="38"/>
      <c r="D38" s="40"/>
      <c r="E38" s="34"/>
      <c r="F38" s="34"/>
      <c r="G38" s="34"/>
      <c r="H38" s="52"/>
    </row>
    <row r="39" hidden="1">
      <c r="A39" s="50"/>
      <c r="B39" s="38"/>
      <c r="C39" s="38"/>
      <c r="D39" s="40"/>
      <c r="E39" s="34"/>
      <c r="F39" s="34"/>
      <c r="G39" s="34"/>
      <c r="H39" s="52"/>
    </row>
    <row r="40" hidden="1">
      <c r="A40" s="50"/>
      <c r="B40" s="38"/>
      <c r="C40" s="38"/>
      <c r="D40" s="40"/>
      <c r="E40" s="34"/>
      <c r="F40" s="34"/>
      <c r="G40" s="34"/>
      <c r="H40" s="52"/>
    </row>
    <row r="41" hidden="1">
      <c r="A41" s="50"/>
      <c r="B41" s="38"/>
      <c r="C41" s="38"/>
      <c r="D41" s="40"/>
      <c r="E41" s="34"/>
      <c r="F41" s="34"/>
      <c r="G41" s="34"/>
      <c r="H41" s="52"/>
    </row>
    <row r="42" hidden="1">
      <c r="A42" s="50"/>
      <c r="B42" s="38"/>
      <c r="C42" s="38"/>
      <c r="D42" s="57"/>
      <c r="E42" s="34"/>
      <c r="F42" s="34"/>
      <c r="G42" s="34"/>
      <c r="H42" s="52"/>
    </row>
    <row r="43" hidden="1">
      <c r="A43" s="50"/>
      <c r="B43" s="38"/>
      <c r="C43" s="38"/>
      <c r="D43" s="57"/>
      <c r="E43" s="34"/>
      <c r="F43" s="34"/>
      <c r="G43" s="34"/>
      <c r="H43" s="52"/>
    </row>
    <row r="44" hidden="1">
      <c r="A44" s="50"/>
      <c r="B44" s="38"/>
      <c r="C44" s="38"/>
      <c r="D44" s="57"/>
      <c r="E44" s="34"/>
      <c r="F44" s="34"/>
      <c r="G44" s="34"/>
      <c r="H44" s="52"/>
    </row>
    <row r="45" hidden="1">
      <c r="A45" s="50"/>
      <c r="B45" s="38"/>
      <c r="C45" s="38"/>
      <c r="D45" s="57"/>
      <c r="E45" s="34"/>
      <c r="F45" s="34"/>
      <c r="G45" s="34"/>
      <c r="H45" s="52"/>
    </row>
    <row r="46" hidden="1">
      <c r="A46" s="50"/>
      <c r="B46" s="38"/>
      <c r="C46" s="38"/>
      <c r="D46" s="57"/>
      <c r="E46" s="34"/>
      <c r="F46" s="34"/>
      <c r="G46" s="34"/>
      <c r="H46" s="52"/>
    </row>
    <row r="47" hidden="1">
      <c r="A47" s="58"/>
      <c r="B47" s="59"/>
      <c r="C47" s="59"/>
      <c r="D47" s="60"/>
      <c r="E47" s="61"/>
      <c r="F47" s="61"/>
      <c r="G47" s="61"/>
      <c r="H47" s="62"/>
    </row>
    <row r="48" hidden="1"/>
    <row r="52" hidden="1">
      <c r="A52" s="341" t="s">
        <v>118</v>
      </c>
      <c r="B52" s="2"/>
      <c r="C52" s="2"/>
      <c r="D52" s="2"/>
      <c r="E52" s="2"/>
      <c r="F52" s="2"/>
      <c r="G52" s="2"/>
      <c r="H52" s="3"/>
    </row>
    <row r="53" hidden="1">
      <c r="A53" s="4" t="s">
        <v>0</v>
      </c>
      <c r="B53" s="5"/>
      <c r="C53" s="5"/>
      <c r="D53" s="5"/>
      <c r="E53" s="5"/>
      <c r="F53" s="5"/>
      <c r="G53" s="5"/>
      <c r="H53" s="6"/>
    </row>
    <row r="54" hidden="1">
      <c r="A54" s="4" t="s">
        <v>1</v>
      </c>
      <c r="B54" s="5"/>
      <c r="C54" s="5"/>
      <c r="D54" s="5"/>
      <c r="E54" s="5"/>
      <c r="F54" s="5"/>
      <c r="G54" s="5"/>
      <c r="H54" s="6"/>
    </row>
    <row r="55" hidden="1">
      <c r="A55" s="10"/>
      <c r="B55" s="34"/>
      <c r="C55" s="34"/>
      <c r="D55" s="295"/>
      <c r="E55" s="34"/>
      <c r="F55" s="34"/>
      <c r="G55" s="34"/>
      <c r="H55" s="52"/>
    </row>
    <row r="56" hidden="1">
      <c r="A56" s="13" t="s">
        <v>4</v>
      </c>
      <c r="B56" s="8"/>
      <c r="C56" s="342" t="s">
        <v>115</v>
      </c>
      <c r="D56" s="8"/>
      <c r="E56" s="15" t="s">
        <v>5</v>
      </c>
      <c r="F56" s="8"/>
      <c r="G56" s="178">
        <v>46263.0</v>
      </c>
      <c r="H56" s="6"/>
    </row>
    <row r="57" hidden="1">
      <c r="A57" s="13" t="s">
        <v>14</v>
      </c>
      <c r="B57" s="8"/>
      <c r="C57" s="104" t="s">
        <v>37</v>
      </c>
      <c r="D57" s="8"/>
      <c r="E57" s="15" t="s">
        <v>15</v>
      </c>
      <c r="F57" s="8"/>
      <c r="G57" s="104"/>
      <c r="H57" s="6"/>
    </row>
    <row r="58" hidden="1">
      <c r="A58" s="13" t="s">
        <v>16</v>
      </c>
      <c r="B58" s="8"/>
      <c r="C58" s="343"/>
      <c r="D58" s="8"/>
      <c r="E58" s="15" t="s">
        <v>17</v>
      </c>
      <c r="F58" s="8"/>
      <c r="G58" s="104" t="s">
        <v>116</v>
      </c>
      <c r="H58" s="6"/>
    </row>
    <row r="59" hidden="1">
      <c r="A59" s="10"/>
      <c r="B59" s="34"/>
      <c r="C59" s="34"/>
      <c r="D59" s="295"/>
      <c r="E59" s="34"/>
      <c r="F59" s="34"/>
      <c r="G59" s="34"/>
      <c r="H59" s="52"/>
    </row>
    <row r="60" hidden="1">
      <c r="A60" s="31" t="s">
        <v>18</v>
      </c>
      <c r="B60" s="32" t="s">
        <v>19</v>
      </c>
      <c r="C60" s="33" t="s">
        <v>20</v>
      </c>
      <c r="D60" s="46" t="s">
        <v>21</v>
      </c>
      <c r="E60" s="34"/>
      <c r="F60" s="33" t="s">
        <v>6</v>
      </c>
      <c r="G60" s="338" t="s">
        <v>119</v>
      </c>
      <c r="H60" s="6"/>
    </row>
    <row r="61" hidden="1">
      <c r="A61" s="50">
        <v>1.0</v>
      </c>
      <c r="B61" s="344">
        <v>46.4</v>
      </c>
      <c r="C61" s="315" t="s">
        <v>120</v>
      </c>
      <c r="D61" s="40">
        <v>500.0</v>
      </c>
      <c r="E61" s="34"/>
      <c r="F61" s="41" t="s">
        <v>22</v>
      </c>
      <c r="G61" s="5"/>
      <c r="H61" s="6"/>
    </row>
    <row r="62" hidden="1">
      <c r="A62" s="50">
        <v>2.0</v>
      </c>
      <c r="B62" s="344">
        <v>46.2</v>
      </c>
      <c r="C62" s="315" t="s">
        <v>120</v>
      </c>
      <c r="D62" s="40">
        <v>500.0</v>
      </c>
      <c r="E62" s="34"/>
      <c r="F62" s="33" t="s">
        <v>23</v>
      </c>
      <c r="G62" s="33" t="s">
        <v>20</v>
      </c>
      <c r="H62" s="45" t="s">
        <v>21</v>
      </c>
    </row>
    <row r="63" hidden="1">
      <c r="A63" s="50">
        <v>3.0</v>
      </c>
      <c r="B63" s="344">
        <v>46.3</v>
      </c>
      <c r="C63" s="315" t="s">
        <v>120</v>
      </c>
      <c r="D63" s="40">
        <v>500.0</v>
      </c>
      <c r="E63" s="34"/>
      <c r="F63" s="56">
        <v>1.0</v>
      </c>
      <c r="G63" s="315" t="s">
        <v>121</v>
      </c>
      <c r="H63" s="345">
        <f>Sum(D66:D68,D72:D79)</f>
        <v>5270</v>
      </c>
    </row>
    <row r="64" hidden="1">
      <c r="A64" s="50">
        <v>4.0</v>
      </c>
      <c r="B64" s="344">
        <v>46.3</v>
      </c>
      <c r="C64" s="315" t="s">
        <v>120</v>
      </c>
      <c r="D64" s="40">
        <v>500.0</v>
      </c>
      <c r="E64" s="34"/>
      <c r="F64" s="56">
        <v>2.0</v>
      </c>
      <c r="G64" s="315" t="s">
        <v>120</v>
      </c>
      <c r="H64" s="346">
        <f>Sum(D61:D65,D69:D71)</f>
        <v>4075</v>
      </c>
    </row>
    <row r="65" hidden="1">
      <c r="A65" s="50">
        <v>5.0</v>
      </c>
      <c r="B65" s="344">
        <v>46.3</v>
      </c>
      <c r="C65" s="315" t="s">
        <v>120</v>
      </c>
      <c r="D65" s="40">
        <v>500.0</v>
      </c>
      <c r="E65" s="34"/>
      <c r="F65" s="56">
        <v>3.0</v>
      </c>
      <c r="G65" s="48"/>
      <c r="H65" s="347"/>
    </row>
    <row r="66" hidden="1">
      <c r="A66" s="50">
        <v>6.0</v>
      </c>
      <c r="B66" s="344">
        <v>38.1</v>
      </c>
      <c r="C66" s="315" t="s">
        <v>121</v>
      </c>
      <c r="D66" s="40">
        <v>500.0</v>
      </c>
      <c r="E66" s="34"/>
      <c r="F66" s="56">
        <v>4.0</v>
      </c>
      <c r="G66" s="48"/>
      <c r="H66" s="49"/>
    </row>
    <row r="67" hidden="1">
      <c r="A67" s="50">
        <v>7.0</v>
      </c>
      <c r="B67" s="344">
        <v>38.3</v>
      </c>
      <c r="C67" s="315" t="s">
        <v>121</v>
      </c>
      <c r="D67" s="40">
        <v>500.0</v>
      </c>
      <c r="E67" s="34"/>
      <c r="F67" s="56">
        <v>5.0</v>
      </c>
      <c r="G67" s="48"/>
      <c r="H67" s="347"/>
    </row>
    <row r="68" hidden="1">
      <c r="A68" s="50">
        <v>8.0</v>
      </c>
      <c r="B68" s="344">
        <v>38.4</v>
      </c>
      <c r="C68" s="315" t="s">
        <v>121</v>
      </c>
      <c r="D68" s="40">
        <v>500.0</v>
      </c>
      <c r="E68" s="34"/>
      <c r="F68" s="56">
        <v>6.0</v>
      </c>
      <c r="G68" s="48"/>
      <c r="H68" s="49"/>
    </row>
    <row r="69" hidden="1">
      <c r="A69" s="50">
        <v>9.0</v>
      </c>
      <c r="B69" s="344">
        <v>45.6</v>
      </c>
      <c r="C69" s="315" t="s">
        <v>120</v>
      </c>
      <c r="D69" s="40">
        <v>500.0</v>
      </c>
      <c r="E69" s="34"/>
      <c r="F69" s="56">
        <v>7.0</v>
      </c>
      <c r="G69" s="48"/>
      <c r="H69" s="49"/>
    </row>
    <row r="70" hidden="1">
      <c r="A70" s="50">
        <v>10.0</v>
      </c>
      <c r="B70" s="344">
        <v>45.9</v>
      </c>
      <c r="C70" s="315" t="s">
        <v>120</v>
      </c>
      <c r="D70" s="40">
        <v>500.0</v>
      </c>
      <c r="E70" s="34"/>
      <c r="F70" s="56">
        <v>8.0</v>
      </c>
      <c r="G70" s="48"/>
      <c r="H70" s="49"/>
    </row>
    <row r="71" hidden="1">
      <c r="A71" s="50">
        <v>11.0</v>
      </c>
      <c r="B71" s="344">
        <v>53.2</v>
      </c>
      <c r="C71" s="315" t="s">
        <v>120</v>
      </c>
      <c r="D71" s="40">
        <v>575.0</v>
      </c>
      <c r="E71" s="34"/>
      <c r="F71" s="56">
        <v>9.0</v>
      </c>
      <c r="G71" s="48"/>
      <c r="H71" s="49"/>
    </row>
    <row r="72" hidden="1">
      <c r="A72" s="50">
        <v>12.0</v>
      </c>
      <c r="B72" s="344">
        <v>38.6</v>
      </c>
      <c r="C72" s="315" t="s">
        <v>121</v>
      </c>
      <c r="D72" s="40">
        <v>500.0</v>
      </c>
      <c r="E72" s="34"/>
      <c r="F72" s="56">
        <v>10.0</v>
      </c>
      <c r="G72" s="48"/>
      <c r="H72" s="49"/>
    </row>
    <row r="73" hidden="1">
      <c r="A73" s="50">
        <v>13.0</v>
      </c>
      <c r="B73" s="344">
        <v>38.7</v>
      </c>
      <c r="C73" s="315" t="s">
        <v>121</v>
      </c>
      <c r="D73" s="40">
        <v>500.0</v>
      </c>
      <c r="E73" s="34"/>
      <c r="F73" s="56">
        <v>11.0</v>
      </c>
      <c r="G73" s="48"/>
      <c r="H73" s="49"/>
    </row>
    <row r="74" hidden="1">
      <c r="A74" s="50">
        <v>14.0</v>
      </c>
      <c r="B74" s="344">
        <v>38.6</v>
      </c>
      <c r="C74" s="315" t="s">
        <v>121</v>
      </c>
      <c r="D74" s="40">
        <v>500.0</v>
      </c>
      <c r="E74" s="34"/>
      <c r="F74" s="56">
        <v>12.0</v>
      </c>
      <c r="G74" s="48"/>
      <c r="H74" s="49"/>
    </row>
    <row r="75" hidden="1">
      <c r="A75" s="50">
        <v>15.0</v>
      </c>
      <c r="B75" s="344">
        <v>38.5</v>
      </c>
      <c r="C75" s="315" t="s">
        <v>121</v>
      </c>
      <c r="D75" s="40">
        <v>500.0</v>
      </c>
      <c r="E75" s="34"/>
      <c r="F75" s="56">
        <v>13.0</v>
      </c>
      <c r="G75" s="48"/>
      <c r="H75" s="49"/>
    </row>
    <row r="76" hidden="1">
      <c r="A76" s="50">
        <v>16.0</v>
      </c>
      <c r="B76" s="344">
        <v>38.7</v>
      </c>
      <c r="C76" s="315" t="s">
        <v>121</v>
      </c>
      <c r="D76" s="40">
        <v>500.0</v>
      </c>
      <c r="E76" s="34"/>
      <c r="F76" s="56">
        <v>14.0</v>
      </c>
      <c r="G76" s="48"/>
      <c r="H76" s="49"/>
    </row>
    <row r="77" hidden="1">
      <c r="A77" s="50">
        <v>17.0</v>
      </c>
      <c r="B77" s="344">
        <v>38.5</v>
      </c>
      <c r="C77" s="315" t="s">
        <v>121</v>
      </c>
      <c r="D77" s="40">
        <v>500.0</v>
      </c>
      <c r="E77" s="34"/>
      <c r="F77" s="34"/>
      <c r="G77" s="34"/>
      <c r="H77" s="52"/>
    </row>
    <row r="78" hidden="1">
      <c r="A78" s="50">
        <v>18.0</v>
      </c>
      <c r="B78" s="344">
        <v>38.8</v>
      </c>
      <c r="C78" s="315" t="s">
        <v>121</v>
      </c>
      <c r="D78" s="40">
        <v>500.0</v>
      </c>
      <c r="E78" s="34"/>
      <c r="F78" s="34"/>
      <c r="G78" s="34"/>
      <c r="H78" s="52"/>
    </row>
    <row r="79" hidden="1">
      <c r="A79" s="50">
        <v>19.0</v>
      </c>
      <c r="B79" s="344">
        <v>21.1</v>
      </c>
      <c r="C79" s="315" t="s">
        <v>121</v>
      </c>
      <c r="D79" s="40">
        <v>270.0</v>
      </c>
      <c r="E79" s="34"/>
      <c r="F79" s="34"/>
      <c r="G79" s="34"/>
      <c r="H79" s="52"/>
    </row>
    <row r="80" hidden="1">
      <c r="A80" s="328"/>
      <c r="B80" s="348"/>
      <c r="C80" s="315"/>
      <c r="D80" s="349"/>
      <c r="E80" s="34"/>
      <c r="F80" s="34"/>
      <c r="G80" s="34"/>
      <c r="H80" s="52"/>
    </row>
    <row r="81" hidden="1">
      <c r="A81" s="328"/>
      <c r="B81" s="348"/>
      <c r="C81" s="315"/>
      <c r="D81" s="349"/>
      <c r="E81" s="34"/>
      <c r="F81" s="54" t="s">
        <v>26</v>
      </c>
      <c r="G81" s="34"/>
      <c r="H81" s="52"/>
    </row>
    <row r="82" hidden="1">
      <c r="A82" s="328"/>
      <c r="B82" s="348"/>
      <c r="C82" s="315"/>
      <c r="D82" s="349"/>
      <c r="E82" s="34"/>
      <c r="F82" s="55" t="s">
        <v>27</v>
      </c>
      <c r="H82" s="11"/>
    </row>
    <row r="83" hidden="1">
      <c r="A83" s="328"/>
      <c r="B83" s="348"/>
      <c r="C83" s="315"/>
      <c r="D83" s="349"/>
      <c r="E83" s="34"/>
      <c r="H83" s="11"/>
    </row>
    <row r="84" hidden="1">
      <c r="A84" s="328"/>
      <c r="B84" s="348"/>
      <c r="C84" s="315"/>
      <c r="D84" s="48"/>
      <c r="E84" s="34"/>
      <c r="H84" s="11"/>
    </row>
    <row r="85" hidden="1">
      <c r="A85" s="328"/>
      <c r="B85" s="348"/>
      <c r="C85" s="315"/>
      <c r="D85" s="48"/>
      <c r="E85" s="34"/>
      <c r="F85" s="55" t="s">
        <v>28</v>
      </c>
      <c r="H85" s="11"/>
    </row>
    <row r="86" hidden="1">
      <c r="A86" s="328"/>
      <c r="B86" s="348"/>
      <c r="C86" s="315"/>
      <c r="D86" s="48"/>
      <c r="E86" s="34"/>
      <c r="H86" s="11"/>
    </row>
    <row r="87" hidden="1">
      <c r="A87" s="328"/>
      <c r="B87" s="348"/>
      <c r="C87" s="315"/>
      <c r="D87" s="349"/>
      <c r="E87" s="34"/>
      <c r="H87" s="11"/>
    </row>
    <row r="88" hidden="1">
      <c r="A88" s="328"/>
      <c r="B88" s="348"/>
      <c r="C88" s="315"/>
      <c r="D88" s="349"/>
      <c r="E88" s="34"/>
      <c r="F88" s="34"/>
      <c r="G88" s="34"/>
      <c r="H88" s="52"/>
    </row>
    <row r="89" hidden="1">
      <c r="A89" s="328"/>
      <c r="B89" s="348"/>
      <c r="C89" s="315"/>
      <c r="D89" s="349"/>
      <c r="E89" s="34"/>
      <c r="F89" s="34"/>
      <c r="G89" s="34"/>
      <c r="H89" s="52"/>
    </row>
    <row r="90" hidden="1">
      <c r="A90" s="328"/>
      <c r="B90" s="348"/>
      <c r="C90" s="315"/>
      <c r="D90" s="349"/>
      <c r="E90" s="34"/>
      <c r="F90" s="34"/>
      <c r="G90" s="34"/>
      <c r="H90" s="52"/>
    </row>
    <row r="91" hidden="1">
      <c r="A91" s="328"/>
      <c r="B91" s="348"/>
      <c r="C91" s="315"/>
      <c r="D91" s="349"/>
      <c r="E91" s="34"/>
      <c r="F91" s="34"/>
      <c r="G91" s="34"/>
      <c r="H91" s="52"/>
    </row>
    <row r="92" hidden="1">
      <c r="A92" s="328"/>
      <c r="B92" s="348"/>
      <c r="C92" s="315"/>
      <c r="D92" s="349"/>
      <c r="E92" s="34"/>
      <c r="F92" s="34"/>
      <c r="G92" s="34"/>
      <c r="H92" s="52"/>
    </row>
    <row r="93" hidden="1">
      <c r="A93" s="328"/>
      <c r="B93" s="348"/>
      <c r="C93" s="315"/>
      <c r="D93" s="48"/>
      <c r="E93" s="34"/>
      <c r="F93" s="34"/>
      <c r="G93" s="34"/>
      <c r="H93" s="52"/>
    </row>
    <row r="94" hidden="1">
      <c r="A94" s="328"/>
      <c r="B94" s="348"/>
      <c r="C94" s="315"/>
      <c r="D94" s="48"/>
      <c r="E94" s="34"/>
      <c r="F94" s="34"/>
      <c r="G94" s="34"/>
      <c r="H94" s="52"/>
    </row>
    <row r="95" hidden="1">
      <c r="A95" s="332"/>
      <c r="B95" s="350"/>
      <c r="C95" s="317"/>
      <c r="D95" s="333"/>
      <c r="E95" s="61"/>
      <c r="F95" s="61"/>
      <c r="G95" s="61"/>
      <c r="H95" s="62"/>
    </row>
    <row r="98" hidden="1">
      <c r="A98" s="1" t="s">
        <v>0</v>
      </c>
      <c r="B98" s="2"/>
      <c r="C98" s="2"/>
      <c r="D98" s="2"/>
      <c r="E98" s="2"/>
      <c r="F98" s="2"/>
      <c r="G98" s="2"/>
      <c r="H98" s="2"/>
      <c r="I98" s="3"/>
    </row>
    <row r="99" hidden="1">
      <c r="A99" s="4" t="s">
        <v>1</v>
      </c>
      <c r="B99" s="5"/>
      <c r="C99" s="5"/>
      <c r="D99" s="5"/>
      <c r="E99" s="5"/>
      <c r="F99" s="5"/>
      <c r="G99" s="5"/>
      <c r="H99" s="5"/>
      <c r="I99" s="6"/>
      <c r="K99" s="7" t="s">
        <v>2</v>
      </c>
      <c r="L99" s="5"/>
      <c r="M99" s="8"/>
      <c r="N99" s="9"/>
      <c r="O99" s="5"/>
      <c r="P99" s="5"/>
      <c r="Q99" s="5"/>
      <c r="R99" s="8"/>
    </row>
    <row r="100" hidden="1">
      <c r="A100" s="10"/>
      <c r="I100" s="11"/>
      <c r="K100" s="7" t="s">
        <v>3</v>
      </c>
      <c r="L100" s="5"/>
      <c r="M100" s="8"/>
      <c r="N100" s="12"/>
      <c r="O100" s="5"/>
      <c r="P100" s="5"/>
      <c r="Q100" s="5"/>
      <c r="R100" s="8"/>
    </row>
    <row r="101" hidden="1">
      <c r="A101" s="13" t="s">
        <v>4</v>
      </c>
      <c r="B101" s="8"/>
      <c r="C101" s="351" t="s">
        <v>122</v>
      </c>
      <c r="D101" s="8"/>
      <c r="E101" s="15" t="s">
        <v>5</v>
      </c>
      <c r="F101" s="8"/>
      <c r="G101" s="16">
        <v>46290.0</v>
      </c>
      <c r="H101" s="5"/>
      <c r="I101" s="6"/>
      <c r="K101" s="17" t="s">
        <v>6</v>
      </c>
      <c r="L101" s="17" t="s">
        <v>7</v>
      </c>
      <c r="M101" s="17" t="s">
        <v>8</v>
      </c>
      <c r="N101" s="18" t="s">
        <v>9</v>
      </c>
      <c r="O101" s="19" t="s">
        <v>10</v>
      </c>
      <c r="P101" s="20" t="s">
        <v>11</v>
      </c>
      <c r="Q101" s="17" t="s">
        <v>12</v>
      </c>
      <c r="R101" s="17" t="s">
        <v>13</v>
      </c>
    </row>
    <row r="102" hidden="1">
      <c r="A102" s="13" t="s">
        <v>14</v>
      </c>
      <c r="B102" s="8"/>
      <c r="C102" s="14" t="s">
        <v>72</v>
      </c>
      <c r="D102" s="8"/>
      <c r="E102" s="15" t="s">
        <v>15</v>
      </c>
      <c r="F102" s="8"/>
      <c r="G102" s="21"/>
      <c r="H102" s="5"/>
      <c r="I102" s="6"/>
      <c r="K102" s="22"/>
      <c r="L102" s="22"/>
      <c r="M102" s="23"/>
      <c r="N102" s="24"/>
      <c r="O102" s="25">
        <f t="shared" ref="O102:O106" si="1">IF(N102-Q102-R102&lt;0,0,N102-Q102-R102)</f>
        <v>0</v>
      </c>
      <c r="P102" s="26"/>
      <c r="Q102" s="23">
        <f t="shared" ref="Q102:Q106" si="2">IF(P102-R102&lt;0,0,P102-R102)</f>
        <v>0</v>
      </c>
      <c r="R102" s="24"/>
    </row>
    <row r="103" hidden="1">
      <c r="A103" s="13" t="s">
        <v>16</v>
      </c>
      <c r="B103" s="8"/>
      <c r="C103" s="27" t="s">
        <v>37</v>
      </c>
      <c r="D103" s="8"/>
      <c r="E103" s="15" t="s">
        <v>17</v>
      </c>
      <c r="F103" s="8"/>
      <c r="G103" s="21"/>
      <c r="H103" s="5"/>
      <c r="I103" s="6"/>
      <c r="K103" s="28"/>
      <c r="L103" s="28"/>
      <c r="M103" s="23"/>
      <c r="N103" s="24"/>
      <c r="O103" s="25">
        <f t="shared" si="1"/>
        <v>0</v>
      </c>
      <c r="P103" s="26"/>
      <c r="Q103" s="23">
        <f t="shared" si="2"/>
        <v>0</v>
      </c>
      <c r="R103" s="29"/>
    </row>
    <row r="104" hidden="1">
      <c r="A104" s="10"/>
      <c r="I104" s="11"/>
      <c r="K104" s="28"/>
      <c r="L104" s="28"/>
      <c r="M104" s="30"/>
      <c r="N104" s="24"/>
      <c r="O104" s="25">
        <f t="shared" si="1"/>
        <v>0</v>
      </c>
      <c r="P104" s="26"/>
      <c r="Q104" s="23">
        <f t="shared" si="2"/>
        <v>0</v>
      </c>
      <c r="R104" s="29"/>
    </row>
    <row r="105" hidden="1">
      <c r="A105" s="31" t="s">
        <v>18</v>
      </c>
      <c r="B105" s="32" t="s">
        <v>19</v>
      </c>
      <c r="C105" s="33" t="s">
        <v>20</v>
      </c>
      <c r="D105" s="32" t="s">
        <v>21</v>
      </c>
      <c r="E105" s="34"/>
      <c r="F105" s="33" t="s">
        <v>6</v>
      </c>
      <c r="G105" s="35"/>
      <c r="H105" s="5"/>
      <c r="I105" s="6"/>
      <c r="K105" s="28"/>
      <c r="L105" s="28"/>
      <c r="M105" s="30"/>
      <c r="N105" s="24"/>
      <c r="O105" s="25">
        <f t="shared" si="1"/>
        <v>0</v>
      </c>
      <c r="P105" s="26"/>
      <c r="Q105" s="23">
        <f t="shared" si="2"/>
        <v>0</v>
      </c>
      <c r="R105" s="36"/>
    </row>
    <row r="106" hidden="1">
      <c r="A106" s="37">
        <v>1.0</v>
      </c>
      <c r="B106" s="39">
        <v>26.4</v>
      </c>
      <c r="C106" s="39" t="s">
        <v>123</v>
      </c>
      <c r="D106" s="43">
        <v>200.0</v>
      </c>
      <c r="E106" s="34"/>
      <c r="F106" s="41" t="s">
        <v>22</v>
      </c>
      <c r="G106" s="5"/>
      <c r="H106" s="5"/>
      <c r="I106" s="6"/>
      <c r="K106" s="44"/>
      <c r="L106" s="44"/>
      <c r="M106" s="30"/>
      <c r="N106" s="24"/>
      <c r="O106" s="25">
        <f t="shared" si="1"/>
        <v>0</v>
      </c>
      <c r="P106" s="26"/>
      <c r="Q106" s="23">
        <f t="shared" si="2"/>
        <v>0</v>
      </c>
      <c r="R106" s="36"/>
    </row>
    <row r="107" hidden="1">
      <c r="A107" s="37">
        <v>2.0</v>
      </c>
      <c r="B107" s="39">
        <v>26.6</v>
      </c>
      <c r="C107" s="39" t="s">
        <v>123</v>
      </c>
      <c r="D107" s="43">
        <v>200.0</v>
      </c>
      <c r="E107" s="34"/>
      <c r="F107" s="33" t="s">
        <v>23</v>
      </c>
      <c r="G107" s="33" t="s">
        <v>20</v>
      </c>
      <c r="H107" s="46" t="s">
        <v>21</v>
      </c>
      <c r="I107" s="47" t="s">
        <v>24</v>
      </c>
    </row>
    <row r="108" hidden="1">
      <c r="A108" s="37">
        <v>3.0</v>
      </c>
      <c r="B108" s="39">
        <v>26.4</v>
      </c>
      <c r="C108" s="39" t="s">
        <v>123</v>
      </c>
      <c r="D108" s="43">
        <v>200.0</v>
      </c>
      <c r="E108" s="34"/>
      <c r="F108" s="42">
        <v>1.0</v>
      </c>
      <c r="G108" s="39" t="s">
        <v>123</v>
      </c>
      <c r="H108" s="48">
        <f t="shared" ref="H108:H120" si="3">IF(G108="","",SUMIF($C$106:$C$129,G108,$D$106:$D$129))</f>
        <v>1800</v>
      </c>
      <c r="I108" s="49">
        <f t="shared" ref="I108:I120" si="4">IF(G108="","",COUNTIFS($C$106:$C$129,G108,$D$106:$D$129,"&gt;0"))</f>
        <v>9</v>
      </c>
    </row>
    <row r="109" hidden="1">
      <c r="A109" s="37">
        <v>4.0</v>
      </c>
      <c r="B109" s="39">
        <v>26.4</v>
      </c>
      <c r="C109" s="39" t="s">
        <v>123</v>
      </c>
      <c r="D109" s="43">
        <v>200.0</v>
      </c>
      <c r="E109" s="34"/>
      <c r="F109" s="42"/>
      <c r="G109" s="42"/>
      <c r="H109" s="48" t="str">
        <f t="shared" si="3"/>
        <v/>
      </c>
      <c r="I109" s="49" t="str">
        <f t="shared" si="4"/>
        <v/>
      </c>
    </row>
    <row r="110" hidden="1">
      <c r="A110" s="37">
        <v>5.0</v>
      </c>
      <c r="B110" s="39">
        <v>26.6</v>
      </c>
      <c r="C110" s="39" t="s">
        <v>123</v>
      </c>
      <c r="D110" s="43">
        <v>200.0</v>
      </c>
      <c r="E110" s="34"/>
      <c r="F110" s="42"/>
      <c r="G110" s="42"/>
      <c r="H110" s="48" t="str">
        <f t="shared" si="3"/>
        <v/>
      </c>
      <c r="I110" s="49" t="str">
        <f t="shared" si="4"/>
        <v/>
      </c>
    </row>
    <row r="111" hidden="1">
      <c r="A111" s="37">
        <v>6.0</v>
      </c>
      <c r="B111" s="39">
        <v>26.8</v>
      </c>
      <c r="C111" s="39" t="s">
        <v>123</v>
      </c>
      <c r="D111" s="43">
        <v>200.0</v>
      </c>
      <c r="E111" s="34"/>
      <c r="F111" s="42"/>
      <c r="G111" s="42"/>
      <c r="H111" s="48" t="str">
        <f t="shared" si="3"/>
        <v/>
      </c>
      <c r="I111" s="49" t="str">
        <f t="shared" si="4"/>
        <v/>
      </c>
    </row>
    <row r="112" hidden="1">
      <c r="A112" s="37">
        <v>7.0</v>
      </c>
      <c r="B112" s="39">
        <v>26.5</v>
      </c>
      <c r="C112" s="39" t="s">
        <v>123</v>
      </c>
      <c r="D112" s="43">
        <v>200.0</v>
      </c>
      <c r="E112" s="34"/>
      <c r="F112" s="42"/>
      <c r="G112" s="42"/>
      <c r="H112" s="48" t="str">
        <f t="shared" si="3"/>
        <v/>
      </c>
      <c r="I112" s="49" t="str">
        <f t="shared" si="4"/>
        <v/>
      </c>
    </row>
    <row r="113" hidden="1">
      <c r="A113" s="37">
        <v>8.0</v>
      </c>
      <c r="B113" s="39">
        <v>26.6</v>
      </c>
      <c r="C113" s="39" t="s">
        <v>123</v>
      </c>
      <c r="D113" s="43">
        <v>200.0</v>
      </c>
      <c r="E113" s="34"/>
      <c r="F113" s="48"/>
      <c r="G113" s="48"/>
      <c r="H113" s="48" t="str">
        <f t="shared" si="3"/>
        <v/>
      </c>
      <c r="I113" s="49" t="str">
        <f t="shared" si="4"/>
        <v/>
      </c>
    </row>
    <row r="114" hidden="1">
      <c r="A114" s="37">
        <v>9.0</v>
      </c>
      <c r="B114" s="39">
        <v>26.6</v>
      </c>
      <c r="C114" s="39" t="s">
        <v>123</v>
      </c>
      <c r="D114" s="43">
        <v>200.0</v>
      </c>
      <c r="E114" s="34"/>
      <c r="F114" s="42"/>
      <c r="G114" s="42"/>
      <c r="H114" s="48" t="str">
        <f t="shared" si="3"/>
        <v/>
      </c>
      <c r="I114" s="49" t="str">
        <f t="shared" si="4"/>
        <v/>
      </c>
    </row>
    <row r="115" hidden="1">
      <c r="A115" s="37"/>
      <c r="B115" s="38"/>
      <c r="C115" s="38"/>
      <c r="D115" s="40"/>
      <c r="E115" s="34"/>
      <c r="F115" s="48"/>
      <c r="G115" s="48"/>
      <c r="H115" s="48" t="str">
        <f t="shared" si="3"/>
        <v/>
      </c>
      <c r="I115" s="49" t="str">
        <f t="shared" si="4"/>
        <v/>
      </c>
    </row>
    <row r="116" hidden="1">
      <c r="A116" s="37"/>
      <c r="B116" s="38"/>
      <c r="C116" s="38"/>
      <c r="D116" s="40"/>
      <c r="E116" s="34"/>
      <c r="F116" s="48"/>
      <c r="G116" s="48"/>
      <c r="H116" s="48" t="str">
        <f t="shared" si="3"/>
        <v/>
      </c>
      <c r="I116" s="49" t="str">
        <f t="shared" si="4"/>
        <v/>
      </c>
    </row>
    <row r="117" hidden="1">
      <c r="A117" s="37"/>
      <c r="B117" s="38"/>
      <c r="C117" s="38"/>
      <c r="D117" s="40"/>
      <c r="E117" s="34"/>
      <c r="F117" s="48"/>
      <c r="G117" s="48"/>
      <c r="H117" s="48" t="str">
        <f t="shared" si="3"/>
        <v/>
      </c>
      <c r="I117" s="49" t="str">
        <f t="shared" si="4"/>
        <v/>
      </c>
    </row>
    <row r="118" hidden="1">
      <c r="A118" s="37"/>
      <c r="B118" s="38"/>
      <c r="C118" s="38"/>
      <c r="D118" s="40"/>
      <c r="E118" s="34"/>
      <c r="F118" s="48"/>
      <c r="G118" s="48"/>
      <c r="H118" s="48" t="str">
        <f t="shared" si="3"/>
        <v/>
      </c>
      <c r="I118" s="49" t="str">
        <f t="shared" si="4"/>
        <v/>
      </c>
    </row>
    <row r="119" hidden="1">
      <c r="A119" s="50"/>
      <c r="B119" s="38"/>
      <c r="C119" s="38"/>
      <c r="D119" s="40"/>
      <c r="E119" s="34"/>
      <c r="F119" s="48"/>
      <c r="G119" s="48"/>
      <c r="H119" s="48" t="str">
        <f t="shared" si="3"/>
        <v/>
      </c>
      <c r="I119" s="49" t="str">
        <f t="shared" si="4"/>
        <v/>
      </c>
    </row>
    <row r="120" hidden="1">
      <c r="A120" s="50"/>
      <c r="B120" s="38"/>
      <c r="C120" s="38"/>
      <c r="D120" s="40"/>
      <c r="E120" s="34"/>
      <c r="F120" s="48"/>
      <c r="G120" s="48"/>
      <c r="H120" s="48" t="str">
        <f t="shared" si="3"/>
        <v/>
      </c>
      <c r="I120" s="49" t="str">
        <f t="shared" si="4"/>
        <v/>
      </c>
    </row>
    <row r="121" hidden="1">
      <c r="A121" s="50"/>
      <c r="B121" s="38"/>
      <c r="C121" s="38"/>
      <c r="D121" s="40"/>
      <c r="E121" s="34"/>
      <c r="F121" s="51" t="s">
        <v>25</v>
      </c>
      <c r="G121" s="8"/>
      <c r="H121" s="48">
        <f t="shared" ref="H121:I121" si="5">sum(H108:H120)</f>
        <v>1800</v>
      </c>
      <c r="I121" s="49">
        <f t="shared" si="5"/>
        <v>9</v>
      </c>
    </row>
    <row r="122" hidden="1">
      <c r="A122" s="50"/>
      <c r="B122" s="38"/>
      <c r="C122" s="38"/>
      <c r="D122" s="40"/>
      <c r="E122" s="34"/>
      <c r="F122" s="54" t="s">
        <v>26</v>
      </c>
      <c r="G122" s="34"/>
      <c r="I122" s="53"/>
    </row>
    <row r="123" hidden="1">
      <c r="A123" s="50"/>
      <c r="B123" s="38"/>
      <c r="C123" s="38"/>
      <c r="D123" s="40"/>
      <c r="E123" s="34"/>
      <c r="F123" s="55" t="s">
        <v>27</v>
      </c>
      <c r="I123" s="11"/>
    </row>
    <row r="124" hidden="1">
      <c r="A124" s="50"/>
      <c r="B124" s="38"/>
      <c r="C124" s="38"/>
      <c r="D124" s="40"/>
      <c r="E124" s="34"/>
      <c r="I124" s="11"/>
    </row>
    <row r="125" hidden="1">
      <c r="A125" s="50"/>
      <c r="B125" s="38"/>
      <c r="C125" s="38"/>
      <c r="D125" s="56"/>
      <c r="E125" s="34"/>
      <c r="I125" s="11"/>
    </row>
    <row r="126" hidden="1">
      <c r="A126" s="50"/>
      <c r="B126" s="38"/>
      <c r="C126" s="38"/>
      <c r="D126" s="56"/>
      <c r="E126" s="34"/>
      <c r="F126" s="55" t="s">
        <v>28</v>
      </c>
      <c r="I126" s="11"/>
    </row>
    <row r="127" hidden="1">
      <c r="A127" s="50"/>
      <c r="B127" s="38"/>
      <c r="C127" s="38"/>
      <c r="D127" s="56"/>
      <c r="E127" s="34"/>
      <c r="I127" s="11"/>
    </row>
    <row r="128" hidden="1">
      <c r="A128" s="50"/>
      <c r="B128" s="38"/>
      <c r="C128" s="38"/>
      <c r="D128" s="40"/>
      <c r="E128" s="34"/>
      <c r="I128" s="11"/>
    </row>
    <row r="129" hidden="1">
      <c r="A129" s="58"/>
      <c r="B129" s="59"/>
      <c r="C129" s="59"/>
      <c r="D129" s="60"/>
      <c r="E129" s="61"/>
      <c r="F129" s="61"/>
      <c r="G129" s="61"/>
      <c r="H129" s="63"/>
      <c r="I129" s="64"/>
    </row>
    <row r="132">
      <c r="A132" s="1" t="s">
        <v>0</v>
      </c>
      <c r="B132" s="2"/>
      <c r="C132" s="2"/>
      <c r="D132" s="2"/>
      <c r="E132" s="2"/>
      <c r="F132" s="2"/>
      <c r="G132" s="2"/>
      <c r="H132" s="2"/>
      <c r="I132" s="3"/>
    </row>
    <row r="133">
      <c r="A133" s="4" t="s">
        <v>1</v>
      </c>
      <c r="B133" s="5"/>
      <c r="C133" s="5"/>
      <c r="D133" s="5"/>
      <c r="E133" s="5"/>
      <c r="F133" s="5"/>
      <c r="G133" s="5"/>
      <c r="H133" s="5"/>
      <c r="I133" s="6"/>
      <c r="K133" s="7" t="s">
        <v>2</v>
      </c>
      <c r="L133" s="5"/>
      <c r="M133" s="8"/>
      <c r="N133" s="9"/>
      <c r="O133" s="5"/>
      <c r="P133" s="5"/>
      <c r="Q133" s="5"/>
      <c r="R133" s="8"/>
    </row>
    <row r="134">
      <c r="A134" s="10"/>
      <c r="I134" s="11"/>
      <c r="K134" s="7" t="s">
        <v>3</v>
      </c>
      <c r="L134" s="5"/>
      <c r="M134" s="8"/>
      <c r="N134" s="12"/>
      <c r="O134" s="5"/>
      <c r="P134" s="5"/>
      <c r="Q134" s="5"/>
      <c r="R134" s="8"/>
    </row>
    <row r="135">
      <c r="A135" s="13" t="s">
        <v>4</v>
      </c>
      <c r="B135" s="8"/>
      <c r="C135" s="14"/>
      <c r="D135" s="8"/>
      <c r="E135" s="15" t="s">
        <v>5</v>
      </c>
      <c r="F135" s="8"/>
      <c r="G135" s="16"/>
      <c r="H135" s="5"/>
      <c r="I135" s="6"/>
      <c r="K135" s="17" t="s">
        <v>6</v>
      </c>
      <c r="L135" s="17" t="s">
        <v>7</v>
      </c>
      <c r="M135" s="17" t="s">
        <v>8</v>
      </c>
      <c r="N135" s="18" t="s">
        <v>9</v>
      </c>
      <c r="O135" s="19" t="s">
        <v>10</v>
      </c>
      <c r="P135" s="20" t="s">
        <v>11</v>
      </c>
      <c r="Q135" s="17" t="s">
        <v>12</v>
      </c>
      <c r="R135" s="17" t="s">
        <v>13</v>
      </c>
    </row>
    <row r="136">
      <c r="A136" s="13" t="s">
        <v>14</v>
      </c>
      <c r="B136" s="8"/>
      <c r="C136" s="14"/>
      <c r="D136" s="8"/>
      <c r="E136" s="15" t="s">
        <v>15</v>
      </c>
      <c r="F136" s="8"/>
      <c r="G136" s="21"/>
      <c r="H136" s="5"/>
      <c r="I136" s="6"/>
      <c r="K136" s="22"/>
      <c r="L136" s="22"/>
      <c r="M136" s="23"/>
      <c r="N136" s="24"/>
      <c r="O136" s="25">
        <f t="shared" ref="O136:O140" si="6">IF(N136-Q136-R136&lt;0,0,N136-Q136-R136)</f>
        <v>0</v>
      </c>
      <c r="P136" s="26"/>
      <c r="Q136" s="23">
        <f t="shared" ref="Q136:Q140" si="7">IF(P136-R136&lt;0,0,P136-R136)</f>
        <v>0</v>
      </c>
      <c r="R136" s="24"/>
    </row>
    <row r="137">
      <c r="A137" s="13" t="s">
        <v>16</v>
      </c>
      <c r="B137" s="8"/>
      <c r="C137" s="27"/>
      <c r="D137" s="8"/>
      <c r="E137" s="15" t="s">
        <v>17</v>
      </c>
      <c r="F137" s="8"/>
      <c r="G137" s="21"/>
      <c r="H137" s="5"/>
      <c r="I137" s="6"/>
      <c r="K137" s="28"/>
      <c r="L137" s="28"/>
      <c r="M137" s="23"/>
      <c r="N137" s="24"/>
      <c r="O137" s="25">
        <f t="shared" si="6"/>
        <v>0</v>
      </c>
      <c r="P137" s="26"/>
      <c r="Q137" s="23">
        <f t="shared" si="7"/>
        <v>0</v>
      </c>
      <c r="R137" s="29"/>
    </row>
    <row r="138">
      <c r="A138" s="10"/>
      <c r="I138" s="11"/>
      <c r="K138" s="28"/>
      <c r="L138" s="28"/>
      <c r="M138" s="30"/>
      <c r="N138" s="24"/>
      <c r="O138" s="25">
        <f t="shared" si="6"/>
        <v>0</v>
      </c>
      <c r="P138" s="26"/>
      <c r="Q138" s="23">
        <f t="shared" si="7"/>
        <v>0</v>
      </c>
      <c r="R138" s="29"/>
    </row>
    <row r="139">
      <c r="A139" s="31" t="s">
        <v>18</v>
      </c>
      <c r="B139" s="32" t="s">
        <v>19</v>
      </c>
      <c r="C139" s="33" t="s">
        <v>20</v>
      </c>
      <c r="D139" s="32" t="s">
        <v>21</v>
      </c>
      <c r="E139" s="34"/>
      <c r="F139" s="33" t="s">
        <v>6</v>
      </c>
      <c r="G139" s="35"/>
      <c r="H139" s="5"/>
      <c r="I139" s="6"/>
      <c r="K139" s="28"/>
      <c r="L139" s="28"/>
      <c r="M139" s="30"/>
      <c r="N139" s="24"/>
      <c r="O139" s="25">
        <f t="shared" si="6"/>
        <v>0</v>
      </c>
      <c r="P139" s="26"/>
      <c r="Q139" s="23">
        <f t="shared" si="7"/>
        <v>0</v>
      </c>
      <c r="R139" s="36"/>
    </row>
    <row r="140">
      <c r="A140" s="37"/>
      <c r="B140" s="38"/>
      <c r="C140" s="42"/>
      <c r="D140" s="43"/>
      <c r="E140" s="34"/>
      <c r="F140" s="41" t="s">
        <v>22</v>
      </c>
      <c r="G140" s="5"/>
      <c r="H140" s="5"/>
      <c r="I140" s="6"/>
      <c r="K140" s="44"/>
      <c r="L140" s="44"/>
      <c r="M140" s="30"/>
      <c r="N140" s="24"/>
      <c r="O140" s="25">
        <f t="shared" si="6"/>
        <v>0</v>
      </c>
      <c r="P140" s="26"/>
      <c r="Q140" s="23">
        <f t="shared" si="7"/>
        <v>0</v>
      </c>
      <c r="R140" s="36"/>
    </row>
    <row r="141">
      <c r="A141" s="37"/>
      <c r="B141" s="38"/>
      <c r="C141" s="38"/>
      <c r="D141" s="40"/>
      <c r="E141" s="34"/>
      <c r="F141" s="33" t="s">
        <v>23</v>
      </c>
      <c r="G141" s="33" t="s">
        <v>20</v>
      </c>
      <c r="H141" s="46" t="s">
        <v>21</v>
      </c>
      <c r="I141" s="47" t="s">
        <v>24</v>
      </c>
    </row>
    <row r="142">
      <c r="A142" s="37"/>
      <c r="B142" s="38"/>
      <c r="C142" s="38"/>
      <c r="D142" s="40"/>
      <c r="E142" s="34"/>
      <c r="F142" s="42"/>
      <c r="G142" s="42"/>
      <c r="H142" s="48" t="str">
        <f t="shared" ref="H142:H154" si="8">IF(G142="","",SUMIF($C$140:$C$175,G142,$D$140:$D$175))</f>
        <v/>
      </c>
      <c r="I142" s="49" t="str">
        <f t="shared" ref="I142:I154" si="9">IF(G142="","",COUNTIFS($C$140:$C$175,G142,$D$140:$D$175,"&gt;0"))</f>
        <v/>
      </c>
    </row>
    <row r="143">
      <c r="A143" s="37"/>
      <c r="B143" s="38"/>
      <c r="C143" s="38"/>
      <c r="D143" s="40"/>
      <c r="E143" s="34"/>
      <c r="F143" s="42"/>
      <c r="G143" s="42"/>
      <c r="H143" s="48" t="str">
        <f t="shared" si="8"/>
        <v/>
      </c>
      <c r="I143" s="49" t="str">
        <f t="shared" si="9"/>
        <v/>
      </c>
    </row>
    <row r="144">
      <c r="A144" s="37"/>
      <c r="B144" s="38"/>
      <c r="C144" s="38"/>
      <c r="D144" s="40"/>
      <c r="E144" s="34"/>
      <c r="F144" s="42"/>
      <c r="G144" s="42"/>
      <c r="H144" s="48" t="str">
        <f t="shared" si="8"/>
        <v/>
      </c>
      <c r="I144" s="49" t="str">
        <f t="shared" si="9"/>
        <v/>
      </c>
    </row>
    <row r="145">
      <c r="A145" s="37"/>
      <c r="B145" s="38"/>
      <c r="C145" s="38"/>
      <c r="D145" s="40"/>
      <c r="E145" s="34"/>
      <c r="F145" s="42"/>
      <c r="G145" s="42"/>
      <c r="H145" s="48" t="str">
        <f t="shared" si="8"/>
        <v/>
      </c>
      <c r="I145" s="49" t="str">
        <f t="shared" si="9"/>
        <v/>
      </c>
    </row>
    <row r="146">
      <c r="A146" s="37"/>
      <c r="B146" s="38"/>
      <c r="C146" s="38"/>
      <c r="D146" s="40"/>
      <c r="E146" s="34"/>
      <c r="F146" s="42"/>
      <c r="G146" s="42"/>
      <c r="H146" s="48" t="str">
        <f t="shared" si="8"/>
        <v/>
      </c>
      <c r="I146" s="49" t="str">
        <f t="shared" si="9"/>
        <v/>
      </c>
    </row>
    <row r="147">
      <c r="A147" s="37"/>
      <c r="B147" s="38"/>
      <c r="C147" s="38"/>
      <c r="D147" s="40"/>
      <c r="E147" s="34"/>
      <c r="F147" s="48"/>
      <c r="G147" s="48"/>
      <c r="H147" s="48" t="str">
        <f t="shared" si="8"/>
        <v/>
      </c>
      <c r="I147" s="49" t="str">
        <f t="shared" si="9"/>
        <v/>
      </c>
    </row>
    <row r="148">
      <c r="A148" s="37"/>
      <c r="B148" s="38"/>
      <c r="C148" s="38"/>
      <c r="D148" s="40"/>
      <c r="E148" s="34"/>
      <c r="F148" s="42"/>
      <c r="G148" s="42"/>
      <c r="H148" s="48" t="str">
        <f t="shared" si="8"/>
        <v/>
      </c>
      <c r="I148" s="49" t="str">
        <f t="shared" si="9"/>
        <v/>
      </c>
    </row>
    <row r="149">
      <c r="A149" s="37"/>
      <c r="B149" s="38"/>
      <c r="C149" s="38"/>
      <c r="D149" s="40"/>
      <c r="E149" s="34"/>
      <c r="F149" s="48"/>
      <c r="G149" s="48"/>
      <c r="H149" s="48" t="str">
        <f t="shared" si="8"/>
        <v/>
      </c>
      <c r="I149" s="49" t="str">
        <f t="shared" si="9"/>
        <v/>
      </c>
    </row>
    <row r="150">
      <c r="A150" s="37"/>
      <c r="B150" s="38"/>
      <c r="C150" s="38"/>
      <c r="D150" s="40"/>
      <c r="E150" s="34"/>
      <c r="F150" s="48"/>
      <c r="G150" s="48"/>
      <c r="H150" s="48" t="str">
        <f t="shared" si="8"/>
        <v/>
      </c>
      <c r="I150" s="49" t="str">
        <f t="shared" si="9"/>
        <v/>
      </c>
    </row>
    <row r="151">
      <c r="A151" s="37"/>
      <c r="B151" s="38"/>
      <c r="C151" s="38"/>
      <c r="D151" s="40"/>
      <c r="E151" s="34"/>
      <c r="F151" s="48"/>
      <c r="G151" s="48"/>
      <c r="H151" s="48" t="str">
        <f t="shared" si="8"/>
        <v/>
      </c>
      <c r="I151" s="49" t="str">
        <f t="shared" si="9"/>
        <v/>
      </c>
    </row>
    <row r="152">
      <c r="A152" s="37"/>
      <c r="B152" s="38"/>
      <c r="C152" s="38"/>
      <c r="D152" s="40"/>
      <c r="E152" s="34"/>
      <c r="F152" s="48"/>
      <c r="G152" s="48"/>
      <c r="H152" s="48" t="str">
        <f t="shared" si="8"/>
        <v/>
      </c>
      <c r="I152" s="49" t="str">
        <f t="shared" si="9"/>
        <v/>
      </c>
    </row>
    <row r="153">
      <c r="A153" s="50"/>
      <c r="B153" s="38"/>
      <c r="C153" s="38"/>
      <c r="D153" s="40"/>
      <c r="E153" s="34"/>
      <c r="F153" s="48"/>
      <c r="G153" s="48"/>
      <c r="H153" s="48" t="str">
        <f t="shared" si="8"/>
        <v/>
      </c>
      <c r="I153" s="49" t="str">
        <f t="shared" si="9"/>
        <v/>
      </c>
    </row>
    <row r="154">
      <c r="A154" s="50"/>
      <c r="B154" s="38"/>
      <c r="C154" s="38"/>
      <c r="D154" s="40"/>
      <c r="E154" s="34"/>
      <c r="F154" s="48"/>
      <c r="G154" s="48"/>
      <c r="H154" s="48" t="str">
        <f t="shared" si="8"/>
        <v/>
      </c>
      <c r="I154" s="49" t="str">
        <f t="shared" si="9"/>
        <v/>
      </c>
    </row>
    <row r="155">
      <c r="A155" s="50"/>
      <c r="B155" s="38"/>
      <c r="C155" s="38"/>
      <c r="D155" s="40"/>
      <c r="E155" s="34"/>
      <c r="F155" s="51" t="s">
        <v>25</v>
      </c>
      <c r="G155" s="8"/>
      <c r="H155" s="48">
        <f t="shared" ref="H155:I155" si="10">sum(H142:H154)</f>
        <v>0</v>
      </c>
      <c r="I155" s="49">
        <f t="shared" si="10"/>
        <v>0</v>
      </c>
    </row>
    <row r="156">
      <c r="A156" s="50"/>
      <c r="B156" s="38"/>
      <c r="C156" s="38"/>
      <c r="D156" s="40"/>
      <c r="E156" s="34"/>
      <c r="F156" s="34"/>
      <c r="G156" s="34"/>
      <c r="I156" s="53"/>
    </row>
    <row r="157">
      <c r="A157" s="50"/>
      <c r="B157" s="38"/>
      <c r="C157" s="38"/>
      <c r="D157" s="40"/>
      <c r="E157" s="34"/>
      <c r="F157" s="34"/>
      <c r="G157" s="34"/>
      <c r="I157" s="53"/>
    </row>
    <row r="158">
      <c r="A158" s="50"/>
      <c r="B158" s="38"/>
      <c r="C158" s="38"/>
      <c r="D158" s="40"/>
      <c r="E158" s="34"/>
      <c r="F158" s="34"/>
      <c r="G158" s="34"/>
      <c r="I158" s="53"/>
    </row>
    <row r="159">
      <c r="A159" s="50"/>
      <c r="B159" s="38"/>
      <c r="C159" s="38"/>
      <c r="D159" s="40"/>
      <c r="E159" s="34"/>
      <c r="F159" s="34"/>
      <c r="G159" s="34"/>
      <c r="I159" s="53"/>
    </row>
    <row r="160">
      <c r="A160" s="50"/>
      <c r="B160" s="38"/>
      <c r="C160" s="38"/>
      <c r="D160" s="40"/>
      <c r="E160" s="34"/>
      <c r="F160" s="54" t="s">
        <v>26</v>
      </c>
      <c r="G160" s="34"/>
      <c r="I160" s="53"/>
    </row>
    <row r="161">
      <c r="A161" s="50"/>
      <c r="B161" s="38"/>
      <c r="C161" s="38"/>
      <c r="D161" s="40"/>
      <c r="E161" s="34"/>
      <c r="F161" s="55" t="s">
        <v>27</v>
      </c>
      <c r="I161" s="11"/>
    </row>
    <row r="162">
      <c r="A162" s="50"/>
      <c r="B162" s="38"/>
      <c r="C162" s="38"/>
      <c r="D162" s="40"/>
      <c r="E162" s="34"/>
      <c r="I162" s="11"/>
    </row>
    <row r="163">
      <c r="A163" s="50"/>
      <c r="B163" s="38"/>
      <c r="C163" s="38"/>
      <c r="D163" s="56"/>
      <c r="E163" s="34"/>
      <c r="I163" s="11"/>
    </row>
    <row r="164">
      <c r="A164" s="50"/>
      <c r="B164" s="38"/>
      <c r="C164" s="38"/>
      <c r="D164" s="56"/>
      <c r="E164" s="34"/>
      <c r="F164" s="55" t="s">
        <v>28</v>
      </c>
      <c r="I164" s="11"/>
    </row>
    <row r="165">
      <c r="A165" s="50"/>
      <c r="B165" s="38"/>
      <c r="C165" s="38"/>
      <c r="D165" s="56"/>
      <c r="E165" s="34"/>
      <c r="I165" s="11"/>
    </row>
    <row r="166">
      <c r="A166" s="50"/>
      <c r="B166" s="38"/>
      <c r="C166" s="38"/>
      <c r="D166" s="40"/>
      <c r="E166" s="34"/>
      <c r="I166" s="11"/>
    </row>
    <row r="167">
      <c r="A167" s="50"/>
      <c r="B167" s="38"/>
      <c r="C167" s="38"/>
      <c r="D167" s="40"/>
      <c r="E167" s="34"/>
      <c r="F167" s="34"/>
      <c r="G167" s="34"/>
      <c r="I167" s="53"/>
    </row>
    <row r="168">
      <c r="A168" s="50"/>
      <c r="B168" s="38"/>
      <c r="C168" s="38"/>
      <c r="D168" s="40"/>
      <c r="E168" s="34"/>
      <c r="F168" s="34"/>
      <c r="G168" s="34"/>
      <c r="I168" s="53"/>
    </row>
    <row r="169">
      <c r="A169" s="50"/>
      <c r="B169" s="38"/>
      <c r="C169" s="38"/>
      <c r="D169" s="40"/>
      <c r="E169" s="34"/>
      <c r="F169" s="34"/>
      <c r="G169" s="34"/>
      <c r="I169" s="53"/>
    </row>
    <row r="170">
      <c r="A170" s="50"/>
      <c r="B170" s="38"/>
      <c r="C170" s="38"/>
      <c r="D170" s="40"/>
      <c r="E170" s="34"/>
      <c r="F170" s="34"/>
      <c r="G170" s="34"/>
      <c r="I170" s="53"/>
    </row>
    <row r="171">
      <c r="A171" s="50"/>
      <c r="B171" s="38"/>
      <c r="C171" s="38"/>
      <c r="D171" s="40"/>
      <c r="E171" s="34"/>
      <c r="F171" s="34"/>
      <c r="G171" s="34"/>
      <c r="I171" s="53"/>
    </row>
    <row r="172">
      <c r="A172" s="50"/>
      <c r="B172" s="38"/>
      <c r="C172" s="38"/>
      <c r="D172" s="57"/>
      <c r="E172" s="34"/>
      <c r="F172" s="34"/>
      <c r="G172" s="34"/>
      <c r="I172" s="53"/>
    </row>
    <row r="173">
      <c r="A173" s="50"/>
      <c r="B173" s="38"/>
      <c r="C173" s="38"/>
      <c r="D173" s="57"/>
      <c r="E173" s="34"/>
      <c r="F173" s="34"/>
      <c r="G173" s="34"/>
      <c r="I173" s="53"/>
    </row>
    <row r="174">
      <c r="A174" s="50"/>
      <c r="B174" s="38"/>
      <c r="C174" s="38"/>
      <c r="D174" s="57"/>
      <c r="E174" s="34"/>
      <c r="F174" s="34"/>
      <c r="G174" s="34"/>
      <c r="I174" s="53"/>
    </row>
    <row r="175">
      <c r="A175" s="58"/>
      <c r="B175" s="59"/>
      <c r="C175" s="59"/>
      <c r="D175" s="60"/>
      <c r="E175" s="61"/>
      <c r="F175" s="61"/>
      <c r="G175" s="61"/>
      <c r="H175" s="63"/>
      <c r="I175" s="64"/>
    </row>
  </sheetData>
  <mergeCells count="92">
    <mergeCell ref="A1:H1"/>
    <mergeCell ref="A2:H2"/>
    <mergeCell ref="A3:H3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G9:H9"/>
    <mergeCell ref="F10:H10"/>
    <mergeCell ref="F31:H33"/>
    <mergeCell ref="F34:H36"/>
    <mergeCell ref="A52:H52"/>
    <mergeCell ref="A53:H53"/>
    <mergeCell ref="A58:B58"/>
    <mergeCell ref="C58:D58"/>
    <mergeCell ref="E58:F58"/>
    <mergeCell ref="G58:H58"/>
    <mergeCell ref="A54:H54"/>
    <mergeCell ref="A56:B56"/>
    <mergeCell ref="C56:D56"/>
    <mergeCell ref="E56:F56"/>
    <mergeCell ref="G56:H56"/>
    <mergeCell ref="A57:B57"/>
    <mergeCell ref="C57:D57"/>
    <mergeCell ref="A99:I99"/>
    <mergeCell ref="K99:M99"/>
    <mergeCell ref="N99:R99"/>
    <mergeCell ref="K100:M100"/>
    <mergeCell ref="N100:R100"/>
    <mergeCell ref="E57:F57"/>
    <mergeCell ref="G57:H57"/>
    <mergeCell ref="G60:H60"/>
    <mergeCell ref="F61:H61"/>
    <mergeCell ref="F82:H84"/>
    <mergeCell ref="F85:H87"/>
    <mergeCell ref="A98:I98"/>
    <mergeCell ref="A138:I138"/>
    <mergeCell ref="G139:I139"/>
    <mergeCell ref="F155:G155"/>
    <mergeCell ref="F161:I163"/>
    <mergeCell ref="F164:I166"/>
    <mergeCell ref="A135:B135"/>
    <mergeCell ref="A136:B136"/>
    <mergeCell ref="C136:D136"/>
    <mergeCell ref="E136:F136"/>
    <mergeCell ref="G136:I136"/>
    <mergeCell ref="K136:K140"/>
    <mergeCell ref="L136:L140"/>
    <mergeCell ref="F140:I140"/>
    <mergeCell ref="A103:B103"/>
    <mergeCell ref="C103:D103"/>
    <mergeCell ref="A104:I104"/>
    <mergeCell ref="A100:I100"/>
    <mergeCell ref="A101:B101"/>
    <mergeCell ref="C101:D101"/>
    <mergeCell ref="E101:F101"/>
    <mergeCell ref="G101:I101"/>
    <mergeCell ref="A102:B102"/>
    <mergeCell ref="C102:D102"/>
    <mergeCell ref="E102:F102"/>
    <mergeCell ref="G102:I102"/>
    <mergeCell ref="K102:K106"/>
    <mergeCell ref="L102:L106"/>
    <mergeCell ref="G103:I103"/>
    <mergeCell ref="G105:I105"/>
    <mergeCell ref="F106:I106"/>
    <mergeCell ref="E103:F103"/>
    <mergeCell ref="F121:G121"/>
    <mergeCell ref="F123:I125"/>
    <mergeCell ref="F126:I128"/>
    <mergeCell ref="A132:I132"/>
    <mergeCell ref="K133:M133"/>
    <mergeCell ref="N133:R133"/>
    <mergeCell ref="A133:I133"/>
    <mergeCell ref="A134:I134"/>
    <mergeCell ref="K134:M134"/>
    <mergeCell ref="N134:R134"/>
    <mergeCell ref="C135:D135"/>
    <mergeCell ref="E135:F135"/>
    <mergeCell ref="G135:I135"/>
    <mergeCell ref="A137:B137"/>
    <mergeCell ref="C137:D137"/>
    <mergeCell ref="E137:F137"/>
    <mergeCell ref="G137:I137"/>
  </mergeCells>
  <conditionalFormatting sqref="O102:O106 O136:O140">
    <cfRule type="cellIs" dxfId="0" priority="1" operator="lessThanOrEqual">
      <formula>20</formula>
    </cfRule>
  </conditionalFormatting>
  <conditionalFormatting sqref="O102:O106 O136:O140">
    <cfRule type="cellIs" dxfId="1" priority="2" operator="greaterThanOrEqual">
      <formula>20</formula>
    </cfRule>
  </conditionalFormatting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5.13"/>
    <col customWidth="1" min="4" max="4" width="8.88"/>
    <col customWidth="1" min="5" max="5" width="5.13"/>
    <col customWidth="1" min="6" max="6" width="7.63"/>
    <col customWidth="1" min="7" max="7" width="15.13"/>
    <col customWidth="1" min="8" max="8" width="8.88"/>
    <col customWidth="1" min="9" max="9" width="7.63"/>
  </cols>
  <sheetData>
    <row r="1" hidden="1">
      <c r="A1" s="352" t="s">
        <v>124</v>
      </c>
      <c r="B1" s="2"/>
      <c r="C1" s="2"/>
      <c r="D1" s="2"/>
      <c r="E1" s="2"/>
      <c r="F1" s="2"/>
      <c r="G1" s="2"/>
      <c r="H1" s="2"/>
      <c r="I1" s="3"/>
    </row>
    <row r="2" hidden="1">
      <c r="A2" s="4" t="s">
        <v>0</v>
      </c>
      <c r="B2" s="5"/>
      <c r="C2" s="5"/>
      <c r="D2" s="5"/>
      <c r="E2" s="5"/>
      <c r="F2" s="5"/>
      <c r="G2" s="5"/>
      <c r="H2" s="5"/>
      <c r="I2" s="6"/>
    </row>
    <row r="3" hidden="1">
      <c r="A3" s="4" t="s">
        <v>1</v>
      </c>
      <c r="B3" s="5"/>
      <c r="C3" s="5"/>
      <c r="D3" s="5"/>
      <c r="E3" s="5"/>
      <c r="F3" s="5"/>
      <c r="G3" s="5"/>
      <c r="H3" s="5"/>
      <c r="I3" s="6"/>
      <c r="K3" s="7" t="s">
        <v>2</v>
      </c>
      <c r="L3" s="5"/>
      <c r="M3" s="8"/>
      <c r="N3" s="9"/>
      <c r="O3" s="5"/>
      <c r="P3" s="5"/>
      <c r="Q3" s="5"/>
      <c r="R3" s="8"/>
    </row>
    <row r="4" hidden="1">
      <c r="A4" s="10"/>
      <c r="I4" s="11"/>
      <c r="K4" s="7" t="s">
        <v>3</v>
      </c>
      <c r="L4" s="5"/>
      <c r="M4" s="8"/>
      <c r="N4" s="12"/>
      <c r="O4" s="5"/>
      <c r="P4" s="5"/>
      <c r="Q4" s="5"/>
      <c r="R4" s="8"/>
    </row>
    <row r="5" hidden="1">
      <c r="A5" s="13" t="s">
        <v>4</v>
      </c>
      <c r="B5" s="8"/>
      <c r="C5" s="14" t="s">
        <v>125</v>
      </c>
      <c r="D5" s="8"/>
      <c r="E5" s="15" t="s">
        <v>5</v>
      </c>
      <c r="F5" s="8"/>
      <c r="G5" s="16">
        <v>46293.0</v>
      </c>
      <c r="H5" s="5"/>
      <c r="I5" s="6"/>
      <c r="K5" s="17" t="s">
        <v>6</v>
      </c>
      <c r="L5" s="17" t="s">
        <v>7</v>
      </c>
      <c r="M5" s="17" t="s">
        <v>8</v>
      </c>
      <c r="N5" s="18" t="s">
        <v>9</v>
      </c>
      <c r="O5" s="19" t="s">
        <v>10</v>
      </c>
      <c r="P5" s="20" t="s">
        <v>11</v>
      </c>
      <c r="Q5" s="17" t="s">
        <v>12</v>
      </c>
      <c r="R5" s="17" t="s">
        <v>13</v>
      </c>
    </row>
    <row r="6" hidden="1">
      <c r="A6" s="13" t="s">
        <v>14</v>
      </c>
      <c r="B6" s="8"/>
      <c r="C6" s="14" t="s">
        <v>37</v>
      </c>
      <c r="D6" s="8"/>
      <c r="E6" s="15" t="s">
        <v>15</v>
      </c>
      <c r="F6" s="8"/>
      <c r="G6" s="104" t="s">
        <v>126</v>
      </c>
      <c r="H6" s="5"/>
      <c r="I6" s="6"/>
      <c r="K6" s="22"/>
      <c r="L6" s="22"/>
      <c r="M6" s="30" t="s">
        <v>40</v>
      </c>
      <c r="N6" s="24" t="s">
        <v>127</v>
      </c>
      <c r="O6" s="25">
        <f t="shared" ref="O6:O10" si="1">IF(N6-Q6-R6&lt;0,0,N6-Q6-R6)</f>
        <v>0</v>
      </c>
      <c r="P6" s="26">
        <f t="shared" ref="P6:P10" si="2">(H12)</f>
        <v>200</v>
      </c>
      <c r="Q6" s="23">
        <f t="shared" ref="Q6:Q10" si="3">IF(P6-R6&lt;0,0,P6-R6)</f>
        <v>200</v>
      </c>
      <c r="R6" s="24"/>
    </row>
    <row r="7" hidden="1">
      <c r="A7" s="13" t="s">
        <v>16</v>
      </c>
      <c r="B7" s="8"/>
      <c r="C7" s="27"/>
      <c r="D7" s="8"/>
      <c r="E7" s="15" t="s">
        <v>17</v>
      </c>
      <c r="F7" s="8"/>
      <c r="G7" s="21"/>
      <c r="H7" s="5"/>
      <c r="I7" s="6"/>
      <c r="K7" s="28"/>
      <c r="L7" s="28"/>
      <c r="M7" s="30" t="s">
        <v>42</v>
      </c>
      <c r="N7" s="24" t="s">
        <v>128</v>
      </c>
      <c r="O7" s="25">
        <f t="shared" si="1"/>
        <v>14</v>
      </c>
      <c r="P7" s="26">
        <f t="shared" si="2"/>
        <v>1486</v>
      </c>
      <c r="Q7" s="23">
        <f t="shared" si="3"/>
        <v>1486</v>
      </c>
      <c r="R7" s="29"/>
    </row>
    <row r="8" hidden="1">
      <c r="A8" s="10"/>
      <c r="I8" s="11"/>
      <c r="K8" s="28"/>
      <c r="L8" s="28"/>
      <c r="M8" s="30" t="s">
        <v>49</v>
      </c>
      <c r="N8" s="24" t="s">
        <v>129</v>
      </c>
      <c r="O8" s="25">
        <f t="shared" si="1"/>
        <v>0</v>
      </c>
      <c r="P8" s="26">
        <f t="shared" si="2"/>
        <v>315</v>
      </c>
      <c r="Q8" s="23">
        <f t="shared" si="3"/>
        <v>315</v>
      </c>
      <c r="R8" s="29"/>
    </row>
    <row r="9" hidden="1">
      <c r="A9" s="31" t="s">
        <v>18</v>
      </c>
      <c r="B9" s="32" t="s">
        <v>19</v>
      </c>
      <c r="C9" s="33" t="s">
        <v>20</v>
      </c>
      <c r="D9" s="32" t="s">
        <v>21</v>
      </c>
      <c r="E9" s="34"/>
      <c r="F9" s="33" t="s">
        <v>6</v>
      </c>
      <c r="G9" s="35"/>
      <c r="H9" s="5"/>
      <c r="I9" s="6"/>
      <c r="K9" s="28"/>
      <c r="L9" s="28"/>
      <c r="M9" s="30"/>
      <c r="N9" s="24"/>
      <c r="O9" s="25">
        <f t="shared" si="1"/>
        <v>0</v>
      </c>
      <c r="P9" s="26" t="str">
        <f t="shared" si="2"/>
        <v/>
      </c>
      <c r="Q9" s="23">
        <f t="shared" si="3"/>
        <v>0</v>
      </c>
      <c r="R9" s="36"/>
    </row>
    <row r="10" hidden="1">
      <c r="A10" s="37">
        <v>1.0</v>
      </c>
      <c r="B10" s="39">
        <v>35.7</v>
      </c>
      <c r="C10" s="42" t="s">
        <v>130</v>
      </c>
      <c r="D10" s="43">
        <v>400.0</v>
      </c>
      <c r="E10" s="34"/>
      <c r="F10" s="41" t="s">
        <v>22</v>
      </c>
      <c r="G10" s="5"/>
      <c r="H10" s="5"/>
      <c r="I10" s="6"/>
      <c r="K10" s="44"/>
      <c r="L10" s="44"/>
      <c r="M10" s="30"/>
      <c r="N10" s="24"/>
      <c r="O10" s="25">
        <f t="shared" si="1"/>
        <v>0</v>
      </c>
      <c r="P10" s="26" t="str">
        <f t="shared" si="2"/>
        <v/>
      </c>
      <c r="Q10" s="23">
        <f t="shared" si="3"/>
        <v>0</v>
      </c>
      <c r="R10" s="36"/>
    </row>
    <row r="11" hidden="1">
      <c r="A11" s="37">
        <v>2.0</v>
      </c>
      <c r="B11" s="39">
        <v>35.8</v>
      </c>
      <c r="C11" s="42" t="s">
        <v>130</v>
      </c>
      <c r="D11" s="43">
        <v>400.0</v>
      </c>
      <c r="E11" s="34"/>
      <c r="F11" s="33" t="s">
        <v>23</v>
      </c>
      <c r="G11" s="33" t="s">
        <v>20</v>
      </c>
      <c r="H11" s="46" t="s">
        <v>21</v>
      </c>
      <c r="I11" s="47" t="s">
        <v>24</v>
      </c>
    </row>
    <row r="12" hidden="1">
      <c r="A12" s="37">
        <v>3.0</v>
      </c>
      <c r="B12" s="39">
        <v>35.8</v>
      </c>
      <c r="C12" s="42" t="s">
        <v>130</v>
      </c>
      <c r="D12" s="43">
        <v>400.0</v>
      </c>
      <c r="E12" s="34"/>
      <c r="F12" s="42">
        <v>1.0</v>
      </c>
      <c r="G12" s="42" t="s">
        <v>131</v>
      </c>
      <c r="H12" s="48">
        <f t="shared" ref="H12:H24" si="4">IF(G12="","",SUMIF($C$10:$C$37,G12,$D$10:$D$37))</f>
        <v>200</v>
      </c>
      <c r="I12" s="49">
        <f t="shared" ref="I12:I24" si="5">IF(G12="","",COUNTIFS($C$10:$C$37,G12,$D$10:$D$37,"&gt;0"))</f>
        <v>1</v>
      </c>
    </row>
    <row r="13" hidden="1">
      <c r="A13" s="37">
        <v>4.0</v>
      </c>
      <c r="B13" s="39">
        <v>25.7</v>
      </c>
      <c r="C13" s="42" t="s">
        <v>130</v>
      </c>
      <c r="D13" s="43">
        <v>286.0</v>
      </c>
      <c r="E13" s="34"/>
      <c r="F13" s="42">
        <v>2.0</v>
      </c>
      <c r="G13" s="42" t="s">
        <v>130</v>
      </c>
      <c r="H13" s="48">
        <f t="shared" si="4"/>
        <v>1486</v>
      </c>
      <c r="I13" s="49">
        <f t="shared" si="5"/>
        <v>4</v>
      </c>
    </row>
    <row r="14" hidden="1">
      <c r="A14" s="37">
        <v>5.0</v>
      </c>
      <c r="B14" s="39">
        <v>14.7</v>
      </c>
      <c r="C14" s="42" t="s">
        <v>131</v>
      </c>
      <c r="D14" s="43">
        <v>200.0</v>
      </c>
      <c r="E14" s="34"/>
      <c r="F14" s="42">
        <v>3.0</v>
      </c>
      <c r="G14" s="42" t="s">
        <v>132</v>
      </c>
      <c r="H14" s="48">
        <f t="shared" si="4"/>
        <v>315</v>
      </c>
      <c r="I14" s="49">
        <f t="shared" si="5"/>
        <v>2</v>
      </c>
    </row>
    <row r="15" hidden="1">
      <c r="A15" s="37">
        <v>6.0</v>
      </c>
      <c r="B15" s="39">
        <v>20.0</v>
      </c>
      <c r="C15" s="42" t="s">
        <v>132</v>
      </c>
      <c r="D15" s="43">
        <v>150.0</v>
      </c>
      <c r="E15" s="34"/>
      <c r="F15" s="42"/>
      <c r="G15" s="42"/>
      <c r="H15" s="48" t="str">
        <f t="shared" si="4"/>
        <v/>
      </c>
      <c r="I15" s="49" t="str">
        <f t="shared" si="5"/>
        <v/>
      </c>
    </row>
    <row r="16" hidden="1">
      <c r="A16" s="37">
        <v>7.0</v>
      </c>
      <c r="B16" s="39">
        <v>21.4</v>
      </c>
      <c r="C16" s="42" t="s">
        <v>132</v>
      </c>
      <c r="D16" s="43">
        <v>165.0</v>
      </c>
      <c r="E16" s="34"/>
      <c r="F16" s="42"/>
      <c r="G16" s="42"/>
      <c r="H16" s="48" t="str">
        <f t="shared" si="4"/>
        <v/>
      </c>
      <c r="I16" s="49" t="str">
        <f t="shared" si="5"/>
        <v/>
      </c>
    </row>
    <row r="17" hidden="1">
      <c r="A17" s="37"/>
      <c r="B17" s="38"/>
      <c r="C17" s="38"/>
      <c r="D17" s="40"/>
      <c r="E17" s="34"/>
      <c r="F17" s="48"/>
      <c r="G17" s="48"/>
      <c r="H17" s="48" t="str">
        <f t="shared" si="4"/>
        <v/>
      </c>
      <c r="I17" s="49" t="str">
        <f t="shared" si="5"/>
        <v/>
      </c>
    </row>
    <row r="18" hidden="1">
      <c r="A18" s="37"/>
      <c r="B18" s="38"/>
      <c r="C18" s="38"/>
      <c r="D18" s="40"/>
      <c r="E18" s="34"/>
      <c r="F18" s="42"/>
      <c r="G18" s="42"/>
      <c r="H18" s="48" t="str">
        <f t="shared" si="4"/>
        <v/>
      </c>
      <c r="I18" s="49" t="str">
        <f t="shared" si="5"/>
        <v/>
      </c>
    </row>
    <row r="19" hidden="1">
      <c r="A19" s="37"/>
      <c r="B19" s="38"/>
      <c r="C19" s="38"/>
      <c r="D19" s="40"/>
      <c r="E19" s="34"/>
      <c r="F19" s="48"/>
      <c r="G19" s="48"/>
      <c r="H19" s="48" t="str">
        <f t="shared" si="4"/>
        <v/>
      </c>
      <c r="I19" s="49" t="str">
        <f t="shared" si="5"/>
        <v/>
      </c>
    </row>
    <row r="20" hidden="1">
      <c r="A20" s="37"/>
      <c r="B20" s="38"/>
      <c r="C20" s="38"/>
      <c r="D20" s="40"/>
      <c r="E20" s="34"/>
      <c r="F20" s="48"/>
      <c r="G20" s="48"/>
      <c r="H20" s="48" t="str">
        <f t="shared" si="4"/>
        <v/>
      </c>
      <c r="I20" s="49" t="str">
        <f t="shared" si="5"/>
        <v/>
      </c>
    </row>
    <row r="21" hidden="1">
      <c r="A21" s="37"/>
      <c r="B21" s="38"/>
      <c r="C21" s="38"/>
      <c r="D21" s="40"/>
      <c r="E21" s="34"/>
      <c r="F21" s="48"/>
      <c r="G21" s="48"/>
      <c r="H21" s="48" t="str">
        <f t="shared" si="4"/>
        <v/>
      </c>
      <c r="I21" s="49" t="str">
        <f t="shared" si="5"/>
        <v/>
      </c>
    </row>
    <row r="22" hidden="1">
      <c r="A22" s="37"/>
      <c r="B22" s="38"/>
      <c r="C22" s="38"/>
      <c r="D22" s="40"/>
      <c r="E22" s="34"/>
      <c r="F22" s="48"/>
      <c r="G22" s="48"/>
      <c r="H22" s="48" t="str">
        <f t="shared" si="4"/>
        <v/>
      </c>
      <c r="I22" s="49" t="str">
        <f t="shared" si="5"/>
        <v/>
      </c>
    </row>
    <row r="23" hidden="1">
      <c r="A23" s="50"/>
      <c r="B23" s="38"/>
      <c r="C23" s="38"/>
      <c r="D23" s="40"/>
      <c r="E23" s="34"/>
      <c r="F23" s="48"/>
      <c r="G23" s="48"/>
      <c r="H23" s="48" t="str">
        <f t="shared" si="4"/>
        <v/>
      </c>
      <c r="I23" s="49" t="str">
        <f t="shared" si="5"/>
        <v/>
      </c>
    </row>
    <row r="24" hidden="1">
      <c r="A24" s="50"/>
      <c r="B24" s="38"/>
      <c r="C24" s="38"/>
      <c r="D24" s="40"/>
      <c r="E24" s="34"/>
      <c r="F24" s="48"/>
      <c r="G24" s="48"/>
      <c r="H24" s="48" t="str">
        <f t="shared" si="4"/>
        <v/>
      </c>
      <c r="I24" s="49" t="str">
        <f t="shared" si="5"/>
        <v/>
      </c>
    </row>
    <row r="25" hidden="1">
      <c r="A25" s="50"/>
      <c r="B25" s="38"/>
      <c r="C25" s="38"/>
      <c r="D25" s="40"/>
      <c r="E25" s="34"/>
      <c r="F25" s="51" t="s">
        <v>25</v>
      </c>
      <c r="G25" s="8"/>
      <c r="H25" s="48">
        <f t="shared" ref="H25:I25" si="6">sum(H12:H24)</f>
        <v>2001</v>
      </c>
      <c r="I25" s="49">
        <f t="shared" si="6"/>
        <v>7</v>
      </c>
    </row>
    <row r="26" hidden="1">
      <c r="A26" s="50"/>
      <c r="B26" s="38"/>
      <c r="C26" s="38"/>
      <c r="D26" s="40"/>
      <c r="E26" s="34"/>
      <c r="F26" s="34"/>
      <c r="G26" s="34"/>
      <c r="I26" s="53"/>
    </row>
    <row r="27" hidden="1">
      <c r="A27" s="50"/>
      <c r="B27" s="38"/>
      <c r="C27" s="38"/>
      <c r="D27" s="40"/>
      <c r="E27" s="34"/>
      <c r="F27" s="34"/>
      <c r="G27" s="34"/>
      <c r="I27" s="53"/>
    </row>
    <row r="28" hidden="1">
      <c r="A28" s="50"/>
      <c r="B28" s="38"/>
      <c r="C28" s="38"/>
      <c r="D28" s="40"/>
      <c r="E28" s="34"/>
      <c r="F28" s="34"/>
      <c r="G28" s="34"/>
      <c r="I28" s="53"/>
    </row>
    <row r="29" hidden="1">
      <c r="A29" s="50"/>
      <c r="B29" s="38"/>
      <c r="C29" s="38"/>
      <c r="D29" s="40"/>
      <c r="E29" s="34"/>
      <c r="F29" s="34"/>
      <c r="G29" s="34"/>
      <c r="I29" s="53"/>
    </row>
    <row r="30" hidden="1">
      <c r="A30" s="50"/>
      <c r="B30" s="38"/>
      <c r="C30" s="38"/>
      <c r="D30" s="56"/>
      <c r="E30" s="34"/>
      <c r="F30" s="54" t="s">
        <v>26</v>
      </c>
      <c r="G30" s="34"/>
      <c r="I30" s="53"/>
    </row>
    <row r="31" hidden="1">
      <c r="A31" s="50"/>
      <c r="B31" s="38"/>
      <c r="C31" s="38"/>
      <c r="D31" s="56"/>
      <c r="E31" s="34"/>
      <c r="F31" s="55" t="s">
        <v>27</v>
      </c>
      <c r="I31" s="11"/>
    </row>
    <row r="32" hidden="1">
      <c r="A32" s="50"/>
      <c r="B32" s="38"/>
      <c r="C32" s="38"/>
      <c r="D32" s="56"/>
      <c r="E32" s="34"/>
      <c r="I32" s="11"/>
    </row>
    <row r="33" hidden="1">
      <c r="A33" s="50"/>
      <c r="B33" s="38"/>
      <c r="C33" s="38"/>
      <c r="D33" s="56"/>
      <c r="E33" s="34"/>
      <c r="I33" s="11"/>
    </row>
    <row r="34" hidden="1">
      <c r="A34" s="50"/>
      <c r="B34" s="38"/>
      <c r="C34" s="38"/>
      <c r="D34" s="56"/>
      <c r="E34" s="34"/>
      <c r="F34" s="55" t="s">
        <v>28</v>
      </c>
      <c r="I34" s="11"/>
    </row>
    <row r="35" hidden="1">
      <c r="A35" s="50"/>
      <c r="B35" s="38"/>
      <c r="C35" s="38"/>
      <c r="D35" s="56"/>
      <c r="E35" s="34"/>
      <c r="I35" s="11"/>
    </row>
    <row r="36" hidden="1">
      <c r="A36" s="50"/>
      <c r="B36" s="38"/>
      <c r="C36" s="38"/>
      <c r="D36" s="40"/>
      <c r="E36" s="34"/>
      <c r="I36" s="11"/>
    </row>
    <row r="37" hidden="1">
      <c r="A37" s="50"/>
      <c r="B37" s="38"/>
      <c r="C37" s="38"/>
      <c r="D37" s="40"/>
      <c r="E37" s="34"/>
      <c r="F37" s="34"/>
      <c r="G37" s="34"/>
      <c r="I37" s="53"/>
    </row>
    <row r="38" hidden="1">
      <c r="A38" s="58"/>
      <c r="B38" s="59">
        <f>sum(B10:B37)</f>
        <v>189.1</v>
      </c>
      <c r="C38" s="59"/>
      <c r="D38" s="353">
        <f>sum(D10:D37)</f>
        <v>2001</v>
      </c>
      <c r="E38" s="61"/>
      <c r="F38" s="61"/>
      <c r="G38" s="61"/>
      <c r="H38" s="63"/>
      <c r="I38" s="64"/>
    </row>
    <row r="39" hidden="1"/>
    <row r="41">
      <c r="A41" s="352" t="s">
        <v>124</v>
      </c>
      <c r="B41" s="2"/>
      <c r="C41" s="2"/>
      <c r="D41" s="2"/>
      <c r="E41" s="2"/>
      <c r="F41" s="2"/>
      <c r="G41" s="2"/>
      <c r="H41" s="2"/>
      <c r="I41" s="3"/>
    </row>
    <row r="42">
      <c r="A42" s="4" t="s">
        <v>0</v>
      </c>
      <c r="B42" s="5"/>
      <c r="C42" s="5"/>
      <c r="D42" s="5"/>
      <c r="E42" s="5"/>
      <c r="F42" s="5"/>
      <c r="G42" s="5"/>
      <c r="H42" s="5"/>
      <c r="I42" s="6"/>
    </row>
    <row r="43">
      <c r="A43" s="4" t="s">
        <v>1</v>
      </c>
      <c r="B43" s="5"/>
      <c r="C43" s="5"/>
      <c r="D43" s="5"/>
      <c r="E43" s="5"/>
      <c r="F43" s="5"/>
      <c r="G43" s="5"/>
      <c r="H43" s="5"/>
      <c r="I43" s="6"/>
      <c r="K43" s="7" t="s">
        <v>2</v>
      </c>
      <c r="L43" s="5"/>
      <c r="M43" s="8"/>
      <c r="N43" s="9"/>
      <c r="O43" s="5"/>
      <c r="P43" s="5"/>
      <c r="Q43" s="5"/>
      <c r="R43" s="8"/>
    </row>
    <row r="44">
      <c r="A44" s="10"/>
      <c r="I44" s="11"/>
      <c r="K44" s="7" t="s">
        <v>3</v>
      </c>
      <c r="L44" s="5"/>
      <c r="M44" s="8"/>
      <c r="N44" s="12"/>
      <c r="O44" s="5"/>
      <c r="P44" s="5"/>
      <c r="Q44" s="5"/>
      <c r="R44" s="8"/>
    </row>
    <row r="45">
      <c r="A45" s="13" t="s">
        <v>4</v>
      </c>
      <c r="B45" s="8"/>
      <c r="C45" s="14" t="s">
        <v>125</v>
      </c>
      <c r="D45" s="8"/>
      <c r="E45" s="15" t="s">
        <v>5</v>
      </c>
      <c r="F45" s="8"/>
      <c r="G45" s="16"/>
      <c r="H45" s="5"/>
      <c r="I45" s="6"/>
      <c r="K45" s="17" t="s">
        <v>6</v>
      </c>
      <c r="L45" s="17" t="s">
        <v>7</v>
      </c>
      <c r="M45" s="17" t="s">
        <v>8</v>
      </c>
      <c r="N45" s="18" t="s">
        <v>9</v>
      </c>
      <c r="O45" s="19" t="s">
        <v>10</v>
      </c>
      <c r="P45" s="20" t="s">
        <v>11</v>
      </c>
      <c r="Q45" s="17" t="s">
        <v>12</v>
      </c>
      <c r="R45" s="17" t="s">
        <v>13</v>
      </c>
    </row>
    <row r="46">
      <c r="A46" s="13" t="s">
        <v>14</v>
      </c>
      <c r="B46" s="8"/>
      <c r="C46" s="14"/>
      <c r="D46" s="8"/>
      <c r="E46" s="15" t="s">
        <v>15</v>
      </c>
      <c r="F46" s="8"/>
      <c r="G46" s="104"/>
      <c r="H46" s="5"/>
      <c r="I46" s="6"/>
      <c r="K46" s="22"/>
      <c r="L46" s="22"/>
      <c r="M46" s="30" t="s">
        <v>40</v>
      </c>
      <c r="N46" s="24"/>
      <c r="O46" s="25">
        <f t="shared" ref="O46:O50" si="7">IF(N46-Q46-R46&lt;0,0,N46-Q46-R46)</f>
        <v>0</v>
      </c>
      <c r="P46" s="26" t="str">
        <f t="shared" ref="P46:P50" si="8">(H52)</f>
        <v/>
      </c>
      <c r="Q46" s="23">
        <f t="shared" ref="Q46:Q50" si="9">IF(P46-R46&lt;0,0,P46-R46)</f>
        <v>0</v>
      </c>
      <c r="R46" s="24"/>
    </row>
    <row r="47">
      <c r="A47" s="13" t="s">
        <v>16</v>
      </c>
      <c r="B47" s="8"/>
      <c r="C47" s="27"/>
      <c r="D47" s="8"/>
      <c r="E47" s="15" t="s">
        <v>17</v>
      </c>
      <c r="F47" s="8"/>
      <c r="G47" s="21"/>
      <c r="H47" s="5"/>
      <c r="I47" s="6"/>
      <c r="K47" s="28"/>
      <c r="L47" s="28"/>
      <c r="M47" s="30" t="s">
        <v>42</v>
      </c>
      <c r="N47" s="24"/>
      <c r="O47" s="25">
        <f t="shared" si="7"/>
        <v>0</v>
      </c>
      <c r="P47" s="26" t="str">
        <f t="shared" si="8"/>
        <v/>
      </c>
      <c r="Q47" s="23">
        <f t="shared" si="9"/>
        <v>0</v>
      </c>
      <c r="R47" s="29"/>
    </row>
    <row r="48">
      <c r="A48" s="10"/>
      <c r="I48" s="11"/>
      <c r="K48" s="28"/>
      <c r="L48" s="28"/>
      <c r="M48" s="30" t="s">
        <v>49</v>
      </c>
      <c r="N48" s="24"/>
      <c r="O48" s="25">
        <f t="shared" si="7"/>
        <v>0</v>
      </c>
      <c r="P48" s="26" t="str">
        <f t="shared" si="8"/>
        <v/>
      </c>
      <c r="Q48" s="23">
        <f t="shared" si="9"/>
        <v>0</v>
      </c>
      <c r="R48" s="29"/>
    </row>
    <row r="49">
      <c r="A49" s="31" t="s">
        <v>18</v>
      </c>
      <c r="B49" s="32" t="s">
        <v>19</v>
      </c>
      <c r="C49" s="33" t="s">
        <v>20</v>
      </c>
      <c r="D49" s="32" t="s">
        <v>21</v>
      </c>
      <c r="E49" s="34"/>
      <c r="F49" s="33" t="s">
        <v>6</v>
      </c>
      <c r="G49" s="35"/>
      <c r="H49" s="5"/>
      <c r="I49" s="6"/>
      <c r="K49" s="28"/>
      <c r="L49" s="28"/>
      <c r="M49" s="30"/>
      <c r="N49" s="24"/>
      <c r="O49" s="25">
        <f t="shared" si="7"/>
        <v>0</v>
      </c>
      <c r="P49" s="26" t="str">
        <f t="shared" si="8"/>
        <v/>
      </c>
      <c r="Q49" s="23">
        <f t="shared" si="9"/>
        <v>0</v>
      </c>
      <c r="R49" s="36"/>
    </row>
    <row r="50">
      <c r="A50" s="37">
        <v>1.0</v>
      </c>
      <c r="B50" s="39"/>
      <c r="C50" s="42"/>
      <c r="D50" s="43"/>
      <c r="E50" s="34"/>
      <c r="F50" s="41" t="s">
        <v>22</v>
      </c>
      <c r="G50" s="5"/>
      <c r="H50" s="5"/>
      <c r="I50" s="6"/>
      <c r="K50" s="44"/>
      <c r="L50" s="44"/>
      <c r="M50" s="30"/>
      <c r="N50" s="24"/>
      <c r="O50" s="25">
        <f t="shared" si="7"/>
        <v>0</v>
      </c>
      <c r="P50" s="26" t="str">
        <f t="shared" si="8"/>
        <v/>
      </c>
      <c r="Q50" s="23">
        <f t="shared" si="9"/>
        <v>0</v>
      </c>
      <c r="R50" s="36"/>
    </row>
    <row r="51">
      <c r="A51" s="37">
        <v>2.0</v>
      </c>
      <c r="B51" s="39"/>
      <c r="C51" s="42"/>
      <c r="D51" s="43"/>
      <c r="E51" s="34"/>
      <c r="F51" s="33" t="s">
        <v>23</v>
      </c>
      <c r="G51" s="33" t="s">
        <v>20</v>
      </c>
      <c r="H51" s="46" t="s">
        <v>21</v>
      </c>
      <c r="I51" s="47" t="s">
        <v>24</v>
      </c>
    </row>
    <row r="52">
      <c r="A52" s="37">
        <v>3.0</v>
      </c>
      <c r="B52" s="39"/>
      <c r="C52" s="42"/>
      <c r="D52" s="43"/>
      <c r="E52" s="34"/>
      <c r="F52" s="42">
        <v>1.0</v>
      </c>
      <c r="G52" s="42"/>
      <c r="H52" s="48" t="str">
        <f t="shared" ref="H52:H64" si="10">IF(G52="","",SUMIF($C$50:$C$77,G52,$D$50:$D$77))</f>
        <v/>
      </c>
      <c r="I52" s="49" t="str">
        <f t="shared" ref="I52:I64" si="11">IF(G52="","",COUNTIFS($C$50:$C$77,G52,$D$50:$D$77,"&gt;0"))</f>
        <v/>
      </c>
    </row>
    <row r="53">
      <c r="A53" s="37">
        <v>4.0</v>
      </c>
      <c r="B53" s="39"/>
      <c r="C53" s="42"/>
      <c r="D53" s="43"/>
      <c r="E53" s="34"/>
      <c r="F53" s="42">
        <v>2.0</v>
      </c>
      <c r="G53" s="42"/>
      <c r="H53" s="48" t="str">
        <f t="shared" si="10"/>
        <v/>
      </c>
      <c r="I53" s="49" t="str">
        <f t="shared" si="11"/>
        <v/>
      </c>
    </row>
    <row r="54">
      <c r="A54" s="37">
        <v>5.0</v>
      </c>
      <c r="B54" s="39"/>
      <c r="C54" s="42"/>
      <c r="D54" s="43"/>
      <c r="E54" s="34"/>
      <c r="F54" s="42">
        <v>3.0</v>
      </c>
      <c r="G54" s="42"/>
      <c r="H54" s="48" t="str">
        <f t="shared" si="10"/>
        <v/>
      </c>
      <c r="I54" s="49" t="str">
        <f t="shared" si="11"/>
        <v/>
      </c>
    </row>
    <row r="55">
      <c r="A55" s="37">
        <v>6.0</v>
      </c>
      <c r="B55" s="39"/>
      <c r="C55" s="42"/>
      <c r="D55" s="43"/>
      <c r="E55" s="34"/>
      <c r="F55" s="42"/>
      <c r="G55" s="42"/>
      <c r="H55" s="48" t="str">
        <f t="shared" si="10"/>
        <v/>
      </c>
      <c r="I55" s="49" t="str">
        <f t="shared" si="11"/>
        <v/>
      </c>
    </row>
    <row r="56">
      <c r="A56" s="37">
        <v>7.0</v>
      </c>
      <c r="B56" s="39"/>
      <c r="C56" s="42"/>
      <c r="D56" s="43"/>
      <c r="E56" s="34"/>
      <c r="F56" s="42"/>
      <c r="G56" s="42"/>
      <c r="H56" s="48" t="str">
        <f t="shared" si="10"/>
        <v/>
      </c>
      <c r="I56" s="49" t="str">
        <f t="shared" si="11"/>
        <v/>
      </c>
    </row>
    <row r="57">
      <c r="A57" s="37"/>
      <c r="B57" s="38"/>
      <c r="C57" s="38"/>
      <c r="D57" s="40"/>
      <c r="E57" s="34"/>
      <c r="F57" s="48"/>
      <c r="G57" s="48"/>
      <c r="H57" s="48" t="str">
        <f t="shared" si="10"/>
        <v/>
      </c>
      <c r="I57" s="49" t="str">
        <f t="shared" si="11"/>
        <v/>
      </c>
    </row>
    <row r="58">
      <c r="A58" s="37"/>
      <c r="B58" s="38"/>
      <c r="C58" s="38"/>
      <c r="D58" s="40"/>
      <c r="E58" s="34"/>
      <c r="F58" s="42"/>
      <c r="G58" s="42"/>
      <c r="H58" s="48" t="str">
        <f t="shared" si="10"/>
        <v/>
      </c>
      <c r="I58" s="49" t="str">
        <f t="shared" si="11"/>
        <v/>
      </c>
    </row>
    <row r="59">
      <c r="A59" s="37"/>
      <c r="B59" s="38"/>
      <c r="C59" s="38"/>
      <c r="D59" s="40"/>
      <c r="E59" s="34"/>
      <c r="F59" s="48"/>
      <c r="G59" s="48"/>
      <c r="H59" s="48" t="str">
        <f t="shared" si="10"/>
        <v/>
      </c>
      <c r="I59" s="49" t="str">
        <f t="shared" si="11"/>
        <v/>
      </c>
    </row>
    <row r="60">
      <c r="A60" s="37"/>
      <c r="B60" s="38"/>
      <c r="C60" s="38"/>
      <c r="D60" s="40"/>
      <c r="E60" s="34"/>
      <c r="F60" s="48"/>
      <c r="G60" s="48"/>
      <c r="H60" s="48" t="str">
        <f t="shared" si="10"/>
        <v/>
      </c>
      <c r="I60" s="49" t="str">
        <f t="shared" si="11"/>
        <v/>
      </c>
    </row>
    <row r="61">
      <c r="A61" s="37"/>
      <c r="B61" s="38"/>
      <c r="C61" s="38"/>
      <c r="D61" s="40"/>
      <c r="E61" s="34"/>
      <c r="F61" s="48"/>
      <c r="G61" s="48"/>
      <c r="H61" s="48" t="str">
        <f t="shared" si="10"/>
        <v/>
      </c>
      <c r="I61" s="49" t="str">
        <f t="shared" si="11"/>
        <v/>
      </c>
    </row>
    <row r="62">
      <c r="A62" s="37"/>
      <c r="B62" s="38"/>
      <c r="C62" s="38"/>
      <c r="D62" s="40"/>
      <c r="E62" s="34"/>
      <c r="F62" s="48"/>
      <c r="G62" s="48"/>
      <c r="H62" s="48" t="str">
        <f t="shared" si="10"/>
        <v/>
      </c>
      <c r="I62" s="49" t="str">
        <f t="shared" si="11"/>
        <v/>
      </c>
    </row>
    <row r="63">
      <c r="A63" s="50"/>
      <c r="B63" s="38"/>
      <c r="C63" s="38"/>
      <c r="D63" s="40"/>
      <c r="E63" s="34"/>
      <c r="F63" s="48"/>
      <c r="G63" s="48"/>
      <c r="H63" s="48" t="str">
        <f t="shared" si="10"/>
        <v/>
      </c>
      <c r="I63" s="49" t="str">
        <f t="shared" si="11"/>
        <v/>
      </c>
    </row>
    <row r="64">
      <c r="A64" s="50"/>
      <c r="B64" s="38"/>
      <c r="C64" s="38"/>
      <c r="D64" s="40"/>
      <c r="E64" s="34"/>
      <c r="F64" s="48"/>
      <c r="G64" s="48"/>
      <c r="H64" s="48" t="str">
        <f t="shared" si="10"/>
        <v/>
      </c>
      <c r="I64" s="49" t="str">
        <f t="shared" si="11"/>
        <v/>
      </c>
    </row>
    <row r="65">
      <c r="A65" s="50"/>
      <c r="B65" s="38"/>
      <c r="C65" s="38"/>
      <c r="D65" s="40"/>
      <c r="E65" s="34"/>
      <c r="F65" s="51" t="s">
        <v>25</v>
      </c>
      <c r="G65" s="8"/>
      <c r="H65" s="48">
        <f t="shared" ref="H65:I65" si="12">sum(H52:H64)</f>
        <v>0</v>
      </c>
      <c r="I65" s="49">
        <f t="shared" si="12"/>
        <v>0</v>
      </c>
    </row>
    <row r="66">
      <c r="A66" s="50"/>
      <c r="B66" s="38"/>
      <c r="C66" s="38"/>
      <c r="D66" s="40"/>
      <c r="E66" s="34"/>
      <c r="F66" s="34"/>
      <c r="G66" s="34"/>
      <c r="I66" s="53"/>
    </row>
    <row r="67">
      <c r="A67" s="50"/>
      <c r="B67" s="38"/>
      <c r="C67" s="38"/>
      <c r="D67" s="40"/>
      <c r="E67" s="34"/>
      <c r="F67" s="34"/>
      <c r="G67" s="34"/>
      <c r="I67" s="53"/>
    </row>
    <row r="68">
      <c r="A68" s="50"/>
      <c r="B68" s="38"/>
      <c r="C68" s="38"/>
      <c r="D68" s="40"/>
      <c r="E68" s="34"/>
      <c r="F68" s="34"/>
      <c r="G68" s="34"/>
      <c r="I68" s="53"/>
    </row>
    <row r="69">
      <c r="A69" s="50"/>
      <c r="B69" s="38"/>
      <c r="C69" s="38"/>
      <c r="D69" s="40"/>
      <c r="E69" s="34"/>
      <c r="F69" s="34"/>
      <c r="G69" s="34"/>
      <c r="I69" s="53"/>
    </row>
    <row r="70">
      <c r="A70" s="50"/>
      <c r="B70" s="38"/>
      <c r="C70" s="38"/>
      <c r="D70" s="56"/>
      <c r="E70" s="34"/>
      <c r="F70" s="54" t="s">
        <v>26</v>
      </c>
      <c r="G70" s="34"/>
      <c r="I70" s="53"/>
    </row>
    <row r="71">
      <c r="A71" s="50"/>
      <c r="B71" s="38"/>
      <c r="C71" s="38"/>
      <c r="D71" s="56"/>
      <c r="E71" s="34"/>
      <c r="F71" s="55" t="s">
        <v>27</v>
      </c>
      <c r="I71" s="11"/>
    </row>
    <row r="72">
      <c r="A72" s="50"/>
      <c r="B72" s="38"/>
      <c r="C72" s="38"/>
      <c r="D72" s="56"/>
      <c r="E72" s="34"/>
      <c r="I72" s="11"/>
    </row>
    <row r="73">
      <c r="A73" s="50"/>
      <c r="B73" s="38"/>
      <c r="C73" s="38"/>
      <c r="D73" s="56"/>
      <c r="E73" s="34"/>
      <c r="I73" s="11"/>
    </row>
    <row r="74">
      <c r="A74" s="50"/>
      <c r="B74" s="38"/>
      <c r="C74" s="38"/>
      <c r="D74" s="56"/>
      <c r="E74" s="34"/>
      <c r="F74" s="55" t="s">
        <v>28</v>
      </c>
      <c r="I74" s="11"/>
    </row>
    <row r="75">
      <c r="A75" s="50"/>
      <c r="B75" s="38"/>
      <c r="C75" s="38"/>
      <c r="D75" s="56"/>
      <c r="E75" s="34"/>
      <c r="I75" s="11"/>
    </row>
    <row r="76">
      <c r="A76" s="50"/>
      <c r="B76" s="38"/>
      <c r="C76" s="38"/>
      <c r="D76" s="40"/>
      <c r="E76" s="34"/>
      <c r="I76" s="11"/>
    </row>
    <row r="77">
      <c r="A77" s="50"/>
      <c r="B77" s="38"/>
      <c r="C77" s="38"/>
      <c r="D77" s="40"/>
      <c r="E77" s="34"/>
      <c r="F77" s="34"/>
      <c r="G77" s="34"/>
      <c r="I77" s="53"/>
    </row>
    <row r="78">
      <c r="A78" s="58"/>
      <c r="B78" s="59">
        <f>sum(B50:B77)</f>
        <v>0</v>
      </c>
      <c r="C78" s="59"/>
      <c r="D78" s="353">
        <f>sum(D50:D77)</f>
        <v>0</v>
      </c>
      <c r="E78" s="61"/>
      <c r="F78" s="61"/>
      <c r="G78" s="61"/>
      <c r="H78" s="63"/>
      <c r="I78" s="64"/>
    </row>
  </sheetData>
  <mergeCells count="56">
    <mergeCell ref="E7:F7"/>
    <mergeCell ref="F25:G25"/>
    <mergeCell ref="F31:I33"/>
    <mergeCell ref="F34:I36"/>
    <mergeCell ref="A41:I41"/>
    <mergeCell ref="A42:I42"/>
    <mergeCell ref="A43:I43"/>
    <mergeCell ref="F65:G65"/>
    <mergeCell ref="F71:I73"/>
    <mergeCell ref="F74:I76"/>
    <mergeCell ref="A44:I44"/>
    <mergeCell ref="A45:B45"/>
    <mergeCell ref="C45:D45"/>
    <mergeCell ref="E45:F45"/>
    <mergeCell ref="G45:I45"/>
    <mergeCell ref="A46:B46"/>
    <mergeCell ref="C46:D46"/>
    <mergeCell ref="A1:I1"/>
    <mergeCell ref="A2:I2"/>
    <mergeCell ref="A3:I3"/>
    <mergeCell ref="K3:M3"/>
    <mergeCell ref="N3:R3"/>
    <mergeCell ref="K4:M4"/>
    <mergeCell ref="N4:R4"/>
    <mergeCell ref="A7:B7"/>
    <mergeCell ref="C7:D7"/>
    <mergeCell ref="A8:I8"/>
    <mergeCell ref="A4:I4"/>
    <mergeCell ref="A5:B5"/>
    <mergeCell ref="C5:D5"/>
    <mergeCell ref="E5:F5"/>
    <mergeCell ref="G5:I5"/>
    <mergeCell ref="A6:B6"/>
    <mergeCell ref="C6:D6"/>
    <mergeCell ref="E6:F6"/>
    <mergeCell ref="G6:I6"/>
    <mergeCell ref="K6:K10"/>
    <mergeCell ref="L6:L10"/>
    <mergeCell ref="G7:I7"/>
    <mergeCell ref="G9:I9"/>
    <mergeCell ref="F10:I10"/>
    <mergeCell ref="K43:M43"/>
    <mergeCell ref="N43:R43"/>
    <mergeCell ref="K44:M44"/>
    <mergeCell ref="N44:R44"/>
    <mergeCell ref="E46:F46"/>
    <mergeCell ref="G46:I46"/>
    <mergeCell ref="K46:K50"/>
    <mergeCell ref="L46:L50"/>
    <mergeCell ref="E47:F47"/>
    <mergeCell ref="G47:I47"/>
    <mergeCell ref="G49:I49"/>
    <mergeCell ref="F50:I50"/>
    <mergeCell ref="A47:B47"/>
    <mergeCell ref="C47:D47"/>
    <mergeCell ref="A48:I48"/>
  </mergeCells>
  <conditionalFormatting sqref="O6:O10 O46:O50">
    <cfRule type="cellIs" dxfId="0" priority="1" operator="lessThanOrEqual">
      <formula>20</formula>
    </cfRule>
  </conditionalFormatting>
  <conditionalFormatting sqref="O6:O10 O46:O50">
    <cfRule type="cellIs" dxfId="1" priority="2" operator="greaterThanOrEqual">
      <formula>20</formula>
    </cfRule>
  </conditionalFormatting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8.88"/>
    <col customWidth="1" min="3" max="3" width="15.13"/>
    <col customWidth="1" min="4" max="4" width="8.88"/>
    <col customWidth="1" min="5" max="5" width="5.13"/>
    <col customWidth="1" min="6" max="6" width="7.63"/>
    <col customWidth="1" min="7" max="7" width="15.13"/>
    <col customWidth="1" min="8" max="9" width="8.88"/>
  </cols>
  <sheetData>
    <row r="1" hidden="1">
      <c r="A1" s="354" t="s">
        <v>133</v>
      </c>
      <c r="B1" s="2"/>
      <c r="C1" s="2"/>
      <c r="D1" s="2"/>
      <c r="E1" s="2"/>
      <c r="F1" s="2"/>
      <c r="G1" s="2"/>
      <c r="H1" s="3"/>
    </row>
    <row r="2" hidden="1">
      <c r="A2" s="4" t="s">
        <v>0</v>
      </c>
      <c r="B2" s="5"/>
      <c r="C2" s="5"/>
      <c r="D2" s="5"/>
      <c r="E2" s="5"/>
      <c r="F2" s="5"/>
      <c r="G2" s="5"/>
      <c r="H2" s="6"/>
    </row>
    <row r="3" hidden="1">
      <c r="A3" s="4" t="s">
        <v>1</v>
      </c>
      <c r="B3" s="5"/>
      <c r="C3" s="5"/>
      <c r="D3" s="5"/>
      <c r="E3" s="5"/>
      <c r="F3" s="5"/>
      <c r="G3" s="5"/>
      <c r="H3" s="6"/>
    </row>
    <row r="4" hidden="1">
      <c r="A4" s="10"/>
      <c r="H4" s="11"/>
    </row>
    <row r="5" hidden="1">
      <c r="A5" s="13" t="s">
        <v>4</v>
      </c>
      <c r="B5" s="8"/>
      <c r="C5" s="336" t="s">
        <v>134</v>
      </c>
      <c r="D5" s="8"/>
      <c r="E5" s="15" t="s">
        <v>5</v>
      </c>
      <c r="F5" s="8"/>
      <c r="G5" s="355">
        <v>46272.0</v>
      </c>
      <c r="H5" s="6"/>
    </row>
    <row r="6" hidden="1">
      <c r="A6" s="13" t="s">
        <v>14</v>
      </c>
      <c r="B6" s="8"/>
      <c r="C6" s="104" t="s">
        <v>72</v>
      </c>
      <c r="D6" s="8"/>
      <c r="E6" s="15" t="s">
        <v>15</v>
      </c>
      <c r="F6" s="8"/>
      <c r="G6" s="21"/>
      <c r="H6" s="6"/>
    </row>
    <row r="7" hidden="1">
      <c r="A7" s="13" t="s">
        <v>16</v>
      </c>
      <c r="B7" s="8"/>
      <c r="C7" s="356" t="s">
        <v>37</v>
      </c>
      <c r="D7" s="8"/>
      <c r="E7" s="15" t="s">
        <v>17</v>
      </c>
      <c r="F7" s="8"/>
      <c r="G7" s="104" t="s">
        <v>135</v>
      </c>
      <c r="H7" s="6"/>
    </row>
    <row r="8" hidden="1">
      <c r="A8" s="10"/>
      <c r="H8" s="11"/>
    </row>
    <row r="9" hidden="1">
      <c r="A9" s="31" t="s">
        <v>18</v>
      </c>
      <c r="B9" s="32" t="s">
        <v>19</v>
      </c>
      <c r="C9" s="33" t="s">
        <v>20</v>
      </c>
      <c r="D9" s="46" t="s">
        <v>21</v>
      </c>
      <c r="E9" s="34"/>
      <c r="F9" s="33" t="s">
        <v>6</v>
      </c>
      <c r="G9" s="338" t="s">
        <v>111</v>
      </c>
      <c r="H9" s="6"/>
    </row>
    <row r="10" hidden="1">
      <c r="A10" s="203">
        <v>1.0</v>
      </c>
      <c r="B10" s="39">
        <v>41.5</v>
      </c>
      <c r="C10" s="315" t="s">
        <v>136</v>
      </c>
      <c r="D10" s="357">
        <v>504.0</v>
      </c>
      <c r="E10" s="34"/>
      <c r="F10" s="41" t="s">
        <v>22</v>
      </c>
      <c r="G10" s="5"/>
      <c r="H10" s="6"/>
    </row>
    <row r="11" hidden="1">
      <c r="A11" s="203">
        <v>2.0</v>
      </c>
      <c r="B11" s="39">
        <v>17.3</v>
      </c>
      <c r="C11" s="315" t="s">
        <v>137</v>
      </c>
      <c r="D11" s="357">
        <v>100.0</v>
      </c>
      <c r="E11" s="34"/>
      <c r="F11" s="33" t="s">
        <v>23</v>
      </c>
      <c r="G11" s="33" t="s">
        <v>20</v>
      </c>
      <c r="H11" s="45" t="s">
        <v>21</v>
      </c>
    </row>
    <row r="12" hidden="1">
      <c r="A12" s="203">
        <v>3.0</v>
      </c>
      <c r="B12" s="39">
        <v>19.2</v>
      </c>
      <c r="C12" s="315" t="s">
        <v>138</v>
      </c>
      <c r="D12" s="357">
        <v>157.0</v>
      </c>
      <c r="E12" s="34"/>
      <c r="F12" s="56">
        <v>1.0</v>
      </c>
      <c r="G12" s="315" t="s">
        <v>139</v>
      </c>
      <c r="H12" s="347">
        <f>(D15)</f>
        <v>104</v>
      </c>
    </row>
    <row r="13" hidden="1">
      <c r="A13" s="358">
        <v>4.0</v>
      </c>
      <c r="B13" s="359">
        <v>27.8</v>
      </c>
      <c r="C13" s="315" t="s">
        <v>140</v>
      </c>
      <c r="D13" s="357">
        <v>200.0</v>
      </c>
      <c r="E13" s="34"/>
      <c r="F13" s="56">
        <v>2.0</v>
      </c>
      <c r="G13" s="315" t="s">
        <v>140</v>
      </c>
      <c r="H13" s="347">
        <f>D13</f>
        <v>200</v>
      </c>
    </row>
    <row r="14" hidden="1">
      <c r="A14" s="253"/>
      <c r="B14" s="44"/>
      <c r="C14" s="315" t="s">
        <v>141</v>
      </c>
      <c r="D14" s="357">
        <v>200.0</v>
      </c>
      <c r="E14" s="34"/>
      <c r="F14" s="56">
        <v>3.0</v>
      </c>
      <c r="G14" s="315" t="s">
        <v>136</v>
      </c>
      <c r="H14" s="347">
        <f>D10</f>
        <v>504</v>
      </c>
    </row>
    <row r="15" hidden="1">
      <c r="A15" s="358">
        <v>5.0</v>
      </c>
      <c r="B15" s="359">
        <v>11.2</v>
      </c>
      <c r="C15" s="315" t="s">
        <v>139</v>
      </c>
      <c r="D15" s="357">
        <v>104.0</v>
      </c>
      <c r="E15" s="34"/>
      <c r="F15" s="56">
        <v>4.0</v>
      </c>
      <c r="G15" s="315" t="s">
        <v>138</v>
      </c>
      <c r="H15" s="347">
        <f>D12</f>
        <v>157</v>
      </c>
    </row>
    <row r="16" hidden="1">
      <c r="A16" s="253"/>
      <c r="B16" s="44"/>
      <c r="C16" s="315" t="s">
        <v>142</v>
      </c>
      <c r="D16" s="357">
        <v>104.0</v>
      </c>
      <c r="E16" s="34"/>
      <c r="F16" s="56">
        <v>5.0</v>
      </c>
      <c r="G16" s="315" t="s">
        <v>137</v>
      </c>
      <c r="H16" s="347">
        <f>D11</f>
        <v>100</v>
      </c>
    </row>
    <row r="17" hidden="1">
      <c r="A17" s="203">
        <v>6.0</v>
      </c>
      <c r="B17" s="39">
        <v>42.5</v>
      </c>
      <c r="C17" s="315" t="s">
        <v>143</v>
      </c>
      <c r="D17" s="357">
        <v>502.0</v>
      </c>
      <c r="E17" s="34"/>
      <c r="F17" s="48"/>
      <c r="G17" s="315"/>
      <c r="H17" s="49"/>
    </row>
    <row r="18" hidden="1">
      <c r="A18" s="328"/>
      <c r="B18" s="38"/>
      <c r="C18" s="48"/>
      <c r="D18" s="349"/>
      <c r="E18" s="34"/>
      <c r="F18" s="56">
        <v>1.0</v>
      </c>
      <c r="G18" s="315" t="s">
        <v>142</v>
      </c>
      <c r="H18" s="347">
        <f>D16</f>
        <v>104</v>
      </c>
    </row>
    <row r="19" hidden="1">
      <c r="A19" s="360" t="s">
        <v>144</v>
      </c>
      <c r="B19" s="5"/>
      <c r="C19" s="5"/>
      <c r="D19" s="8"/>
      <c r="E19" s="34"/>
      <c r="F19" s="56">
        <v>2.0</v>
      </c>
      <c r="G19" s="315" t="s">
        <v>141</v>
      </c>
      <c r="H19" s="347">
        <f>D14</f>
        <v>200</v>
      </c>
    </row>
    <row r="20" hidden="1">
      <c r="A20" s="203">
        <v>1.0</v>
      </c>
      <c r="B20" s="39">
        <v>20.5</v>
      </c>
      <c r="C20" s="315" t="s">
        <v>145</v>
      </c>
      <c r="D20" s="357">
        <v>250.0</v>
      </c>
      <c r="E20" s="34"/>
      <c r="F20" s="56">
        <v>3.0</v>
      </c>
      <c r="G20" s="315" t="s">
        <v>143</v>
      </c>
      <c r="H20" s="347">
        <f>D17</f>
        <v>502</v>
      </c>
    </row>
    <row r="21" hidden="1">
      <c r="A21" s="203">
        <v>2.0</v>
      </c>
      <c r="B21" s="39">
        <v>23.8</v>
      </c>
      <c r="C21" s="315" t="s">
        <v>146</v>
      </c>
      <c r="D21" s="357">
        <v>194.0</v>
      </c>
      <c r="E21" s="34"/>
      <c r="F21" s="56"/>
      <c r="G21" s="315"/>
      <c r="H21" s="49"/>
    </row>
    <row r="22" hidden="1">
      <c r="A22" s="328"/>
      <c r="B22" s="38"/>
      <c r="C22" s="48"/>
      <c r="D22" s="349"/>
      <c r="E22" s="34"/>
      <c r="F22" s="56"/>
      <c r="G22" s="315"/>
      <c r="H22" s="49"/>
    </row>
    <row r="23" hidden="1">
      <c r="A23" s="328"/>
      <c r="B23" s="38"/>
      <c r="C23" s="48"/>
      <c r="D23" s="349"/>
      <c r="E23" s="34"/>
      <c r="F23" s="48"/>
      <c r="G23" s="315"/>
      <c r="H23" s="49"/>
    </row>
    <row r="24" hidden="1">
      <c r="A24" s="328"/>
      <c r="B24" s="348"/>
      <c r="C24" s="48"/>
      <c r="D24" s="349"/>
      <c r="E24" s="34"/>
      <c r="F24" s="56">
        <v>1.0</v>
      </c>
      <c r="G24" s="315" t="s">
        <v>145</v>
      </c>
      <c r="H24" s="347">
        <f t="shared" ref="H24:H25" si="1">D20</f>
        <v>250</v>
      </c>
    </row>
    <row r="25" hidden="1">
      <c r="A25" s="328"/>
      <c r="B25" s="348"/>
      <c r="C25" s="48"/>
      <c r="D25" s="349"/>
      <c r="E25" s="34"/>
      <c r="F25" s="56">
        <v>2.0</v>
      </c>
      <c r="G25" s="315" t="s">
        <v>146</v>
      </c>
      <c r="H25" s="347">
        <f t="shared" si="1"/>
        <v>194</v>
      </c>
    </row>
    <row r="26" hidden="1">
      <c r="A26" s="328"/>
      <c r="B26" s="348"/>
      <c r="C26" s="48"/>
      <c r="D26" s="349"/>
      <c r="E26" s="34"/>
      <c r="F26" s="34"/>
      <c r="G26" s="34"/>
      <c r="H26" s="52"/>
    </row>
    <row r="27" hidden="1">
      <c r="A27" s="328"/>
      <c r="B27" s="348"/>
      <c r="C27" s="48"/>
      <c r="D27" s="349"/>
      <c r="E27" s="34"/>
      <c r="F27" s="34"/>
      <c r="G27" s="34"/>
      <c r="H27" s="52"/>
    </row>
    <row r="28" hidden="1">
      <c r="A28" s="328"/>
      <c r="B28" s="348"/>
      <c r="C28" s="48"/>
      <c r="D28" s="349"/>
      <c r="E28" s="34"/>
      <c r="F28" s="34"/>
      <c r="G28" s="34"/>
      <c r="H28" s="52"/>
    </row>
    <row r="29" hidden="1">
      <c r="A29" s="328"/>
      <c r="B29" s="348"/>
      <c r="C29" s="48"/>
      <c r="D29" s="349"/>
      <c r="E29" s="34"/>
      <c r="F29" s="34"/>
      <c r="G29" s="34"/>
      <c r="H29" s="52"/>
    </row>
    <row r="30" hidden="1">
      <c r="A30" s="328"/>
      <c r="B30" s="348"/>
      <c r="C30" s="48"/>
      <c r="D30" s="349"/>
      <c r="E30" s="34"/>
      <c r="F30" s="54" t="s">
        <v>26</v>
      </c>
      <c r="G30" s="34"/>
      <c r="H30" s="52"/>
    </row>
    <row r="31" hidden="1">
      <c r="A31" s="328"/>
      <c r="B31" s="348"/>
      <c r="C31" s="48"/>
      <c r="D31" s="349"/>
      <c r="E31" s="34"/>
      <c r="F31" s="55" t="s">
        <v>27</v>
      </c>
      <c r="H31" s="11"/>
    </row>
    <row r="32" hidden="1">
      <c r="A32" s="328"/>
      <c r="B32" s="348"/>
      <c r="C32" s="48"/>
      <c r="D32" s="349"/>
      <c r="E32" s="34"/>
      <c r="H32" s="11"/>
    </row>
    <row r="33" hidden="1">
      <c r="A33" s="328"/>
      <c r="B33" s="348"/>
      <c r="C33" s="48"/>
      <c r="D33" s="48"/>
      <c r="E33" s="34"/>
      <c r="H33" s="11"/>
    </row>
    <row r="34" hidden="1">
      <c r="A34" s="328"/>
      <c r="B34" s="348"/>
      <c r="C34" s="48"/>
      <c r="D34" s="48"/>
      <c r="E34" s="34"/>
      <c r="F34" s="55" t="s">
        <v>28</v>
      </c>
      <c r="H34" s="11"/>
    </row>
    <row r="35" hidden="1">
      <c r="A35" s="328"/>
      <c r="B35" s="348"/>
      <c r="C35" s="48"/>
      <c r="D35" s="48"/>
      <c r="E35" s="34"/>
      <c r="H35" s="11"/>
    </row>
    <row r="36" hidden="1">
      <c r="A36" s="328"/>
      <c r="B36" s="348"/>
      <c r="C36" s="48"/>
      <c r="D36" s="349"/>
      <c r="E36" s="34"/>
      <c r="H36" s="11"/>
    </row>
    <row r="37" hidden="1">
      <c r="A37" s="203"/>
      <c r="B37" s="348"/>
      <c r="C37" s="315"/>
      <c r="D37" s="357"/>
      <c r="E37" s="34"/>
      <c r="F37" s="34"/>
      <c r="G37" s="34"/>
      <c r="H37" s="52"/>
    </row>
    <row r="38" hidden="1">
      <c r="A38" s="203"/>
      <c r="B38" s="348"/>
      <c r="C38" s="315"/>
      <c r="D38" s="357"/>
      <c r="E38" s="34"/>
      <c r="F38" s="34"/>
      <c r="G38" s="34"/>
      <c r="H38" s="52"/>
    </row>
    <row r="39" hidden="1">
      <c r="A39" s="328"/>
      <c r="B39" s="348"/>
      <c r="C39" s="48"/>
      <c r="D39" s="349"/>
      <c r="E39" s="34"/>
      <c r="F39" s="34"/>
      <c r="G39" s="34"/>
      <c r="H39" s="52"/>
    </row>
    <row r="40" hidden="1">
      <c r="A40" s="328"/>
      <c r="B40" s="348"/>
      <c r="C40" s="48"/>
      <c r="D40" s="349"/>
      <c r="E40" s="34"/>
      <c r="F40" s="34"/>
      <c r="G40" s="34"/>
      <c r="H40" s="52"/>
    </row>
    <row r="41" hidden="1">
      <c r="A41" s="328"/>
      <c r="B41" s="348"/>
      <c r="C41" s="48"/>
      <c r="D41" s="349"/>
      <c r="E41" s="34"/>
      <c r="F41" s="34"/>
      <c r="G41" s="34"/>
      <c r="H41" s="52"/>
    </row>
    <row r="42" hidden="1">
      <c r="A42" s="332"/>
      <c r="B42" s="350"/>
      <c r="C42" s="333"/>
      <c r="D42" s="333"/>
      <c r="E42" s="61"/>
      <c r="F42" s="61"/>
      <c r="G42" s="61"/>
      <c r="H42" s="62"/>
    </row>
    <row r="43" hidden="1"/>
    <row r="47" hidden="1">
      <c r="A47" s="294" t="s">
        <v>147</v>
      </c>
      <c r="B47" s="2"/>
      <c r="C47" s="2"/>
      <c r="D47" s="2"/>
      <c r="E47" s="2"/>
      <c r="F47" s="2"/>
      <c r="G47" s="2"/>
      <c r="H47" s="2"/>
      <c r="I47" s="3"/>
    </row>
    <row r="48" hidden="1">
      <c r="A48" s="4" t="s">
        <v>0</v>
      </c>
      <c r="B48" s="5"/>
      <c r="C48" s="5"/>
      <c r="D48" s="5"/>
      <c r="E48" s="5"/>
      <c r="F48" s="5"/>
      <c r="G48" s="5"/>
      <c r="H48" s="5"/>
      <c r="I48" s="6"/>
    </row>
    <row r="49" hidden="1">
      <c r="A49" s="4" t="s">
        <v>1</v>
      </c>
      <c r="B49" s="5"/>
      <c r="C49" s="5"/>
      <c r="D49" s="5"/>
      <c r="E49" s="5"/>
      <c r="F49" s="5"/>
      <c r="G49" s="5"/>
      <c r="H49" s="5"/>
      <c r="I49" s="6"/>
      <c r="K49" s="361" t="s">
        <v>2</v>
      </c>
      <c r="L49" s="2"/>
      <c r="M49" s="215"/>
      <c r="N49" s="362" t="s">
        <v>148</v>
      </c>
      <c r="O49" s="2"/>
      <c r="P49" s="2"/>
      <c r="Q49" s="2"/>
      <c r="R49" s="3"/>
    </row>
    <row r="50" hidden="1">
      <c r="A50" s="10"/>
      <c r="B50" s="34"/>
      <c r="C50" s="34"/>
      <c r="D50" s="295"/>
      <c r="E50" s="34"/>
      <c r="F50" s="34"/>
      <c r="G50" s="34"/>
      <c r="H50" s="34"/>
      <c r="I50" s="53"/>
      <c r="K50" s="363" t="s">
        <v>3</v>
      </c>
      <c r="L50" s="5"/>
      <c r="M50" s="8"/>
      <c r="N50" s="12">
        <v>46276.0</v>
      </c>
      <c r="O50" s="5"/>
      <c r="P50" s="5"/>
      <c r="Q50" s="5"/>
      <c r="R50" s="6"/>
    </row>
    <row r="51" hidden="1">
      <c r="A51" s="13" t="s">
        <v>4</v>
      </c>
      <c r="B51" s="8"/>
      <c r="C51" s="296" t="s">
        <v>147</v>
      </c>
      <c r="D51" s="8"/>
      <c r="E51" s="15" t="s">
        <v>5</v>
      </c>
      <c r="F51" s="8"/>
      <c r="G51" s="220">
        <v>46287.0</v>
      </c>
      <c r="H51" s="5"/>
      <c r="I51" s="6"/>
      <c r="K51" s="364" t="s">
        <v>6</v>
      </c>
      <c r="L51" s="365" t="s">
        <v>7</v>
      </c>
      <c r="M51" s="365" t="s">
        <v>8</v>
      </c>
      <c r="N51" s="366" t="s">
        <v>9</v>
      </c>
      <c r="O51" s="367" t="s">
        <v>10</v>
      </c>
      <c r="P51" s="368" t="s">
        <v>11</v>
      </c>
      <c r="Q51" s="365" t="s">
        <v>12</v>
      </c>
      <c r="R51" s="369" t="s">
        <v>13</v>
      </c>
    </row>
    <row r="52" hidden="1">
      <c r="A52" s="13" t="s">
        <v>14</v>
      </c>
      <c r="B52" s="8"/>
      <c r="C52" s="14" t="s">
        <v>72</v>
      </c>
      <c r="D52" s="8"/>
      <c r="E52" s="15" t="s">
        <v>15</v>
      </c>
      <c r="F52" s="8"/>
      <c r="G52" s="21"/>
      <c r="H52" s="5"/>
      <c r="I52" s="6"/>
      <c r="K52" s="370" t="s">
        <v>68</v>
      </c>
      <c r="L52" s="371" t="s">
        <v>149</v>
      </c>
      <c r="M52" s="372">
        <v>18.0</v>
      </c>
      <c r="N52" s="261">
        <v>400.0</v>
      </c>
      <c r="O52" s="373">
        <f t="shared" ref="O52:O55" si="2">IF(N52-Q52-R52&lt;0,0,N52-Q52-R52)</f>
        <v>4</v>
      </c>
      <c r="P52" s="374">
        <f t="shared" ref="P52:P55" si="3">(H58)</f>
        <v>396</v>
      </c>
      <c r="Q52" s="372">
        <f t="shared" ref="Q52:Q55" si="4">IF(P52-R52&lt;0,0,P52-R52)</f>
        <v>396</v>
      </c>
      <c r="R52" s="375"/>
    </row>
    <row r="53" hidden="1">
      <c r="A53" s="13" t="s">
        <v>16</v>
      </c>
      <c r="B53" s="8"/>
      <c r="C53" s="27" t="s">
        <v>37</v>
      </c>
      <c r="D53" s="8"/>
      <c r="E53" s="15" t="s">
        <v>17</v>
      </c>
      <c r="F53" s="8"/>
      <c r="G53" s="21"/>
      <c r="H53" s="5"/>
      <c r="I53" s="6"/>
      <c r="K53" s="231"/>
      <c r="L53" s="28"/>
      <c r="M53" s="372">
        <v>24.0</v>
      </c>
      <c r="N53" s="261">
        <v>500.0</v>
      </c>
      <c r="O53" s="373">
        <f t="shared" si="2"/>
        <v>0</v>
      </c>
      <c r="P53" s="374">
        <f t="shared" si="3"/>
        <v>500</v>
      </c>
      <c r="Q53" s="372">
        <f t="shared" si="4"/>
        <v>500</v>
      </c>
      <c r="R53" s="376"/>
    </row>
    <row r="54" hidden="1">
      <c r="A54" s="10"/>
      <c r="B54" s="34"/>
      <c r="C54" s="34"/>
      <c r="D54" s="295"/>
      <c r="E54" s="34"/>
      <c r="F54" s="34"/>
      <c r="G54" s="34"/>
      <c r="H54" s="34"/>
      <c r="I54" s="53"/>
      <c r="K54" s="231"/>
      <c r="L54" s="28"/>
      <c r="M54" s="377">
        <v>1.0</v>
      </c>
      <c r="N54" s="261">
        <v>150.0</v>
      </c>
      <c r="O54" s="373">
        <f t="shared" si="2"/>
        <v>0</v>
      </c>
      <c r="P54" s="374">
        <f t="shared" si="3"/>
        <v>155</v>
      </c>
      <c r="Q54" s="372">
        <f t="shared" si="4"/>
        <v>155</v>
      </c>
      <c r="R54" s="376"/>
    </row>
    <row r="55" hidden="1">
      <c r="A55" s="31" t="s">
        <v>18</v>
      </c>
      <c r="B55" s="32" t="s">
        <v>19</v>
      </c>
      <c r="C55" s="33" t="s">
        <v>20</v>
      </c>
      <c r="D55" s="32" t="s">
        <v>21</v>
      </c>
      <c r="E55" s="34"/>
      <c r="F55" s="33" t="s">
        <v>6</v>
      </c>
      <c r="G55" s="35" t="s">
        <v>33</v>
      </c>
      <c r="H55" s="5"/>
      <c r="I55" s="6"/>
      <c r="K55" s="253"/>
      <c r="L55" s="44"/>
      <c r="M55" s="377">
        <v>2.0</v>
      </c>
      <c r="N55" s="261">
        <v>100.0</v>
      </c>
      <c r="O55" s="373">
        <f t="shared" si="2"/>
        <v>0</v>
      </c>
      <c r="P55" s="374">
        <f t="shared" si="3"/>
        <v>100</v>
      </c>
      <c r="Q55" s="372">
        <f t="shared" si="4"/>
        <v>100</v>
      </c>
      <c r="R55" s="378"/>
    </row>
    <row r="56" hidden="1">
      <c r="A56" s="37">
        <v>1.0</v>
      </c>
      <c r="B56" s="39">
        <v>40.6</v>
      </c>
      <c r="C56" s="42" t="s">
        <v>136</v>
      </c>
      <c r="D56" s="43">
        <v>500.0</v>
      </c>
      <c r="E56" s="34"/>
      <c r="F56" s="41" t="s">
        <v>22</v>
      </c>
      <c r="G56" s="5"/>
      <c r="H56" s="5"/>
      <c r="I56" s="6"/>
      <c r="K56" s="379"/>
      <c r="L56" s="270"/>
      <c r="M56" s="270"/>
      <c r="N56" s="270"/>
      <c r="O56" s="270"/>
      <c r="P56" s="270"/>
      <c r="Q56" s="270"/>
      <c r="R56" s="271"/>
    </row>
    <row r="57" hidden="1">
      <c r="A57" s="37">
        <v>2.0</v>
      </c>
      <c r="B57" s="39">
        <v>41.6</v>
      </c>
      <c r="C57" s="42" t="s">
        <v>143</v>
      </c>
      <c r="D57" s="43">
        <v>500.0</v>
      </c>
      <c r="E57" s="34"/>
      <c r="F57" s="33" t="s">
        <v>23</v>
      </c>
      <c r="G57" s="33" t="s">
        <v>20</v>
      </c>
      <c r="H57" s="46" t="s">
        <v>21</v>
      </c>
      <c r="I57" s="47" t="s">
        <v>24</v>
      </c>
      <c r="K57" s="370" t="s">
        <v>68</v>
      </c>
      <c r="L57" s="371" t="s">
        <v>150</v>
      </c>
      <c r="M57" s="372">
        <v>24.0</v>
      </c>
      <c r="N57" s="261">
        <v>500.0</v>
      </c>
      <c r="O57" s="373">
        <f t="shared" ref="O57:O60" si="5">IF(N57-Q57-R57&lt;0,0,N57-Q57-R57)</f>
        <v>0</v>
      </c>
      <c r="P57" s="374">
        <f t="shared" ref="P57:P60" si="6">(H63)</f>
        <v>500</v>
      </c>
      <c r="Q57" s="372">
        <f t="shared" ref="Q57:Q60" si="7">IF(P57-R57&lt;0,0,P57-R57)</f>
        <v>500</v>
      </c>
      <c r="R57" s="375"/>
    </row>
    <row r="58" hidden="1">
      <c r="A58" s="37">
        <v>3.0</v>
      </c>
      <c r="B58" s="39">
        <v>27.7</v>
      </c>
      <c r="C58" s="42" t="s">
        <v>141</v>
      </c>
      <c r="D58" s="43">
        <v>396.0</v>
      </c>
      <c r="E58" s="34"/>
      <c r="F58" s="42">
        <v>1.0</v>
      </c>
      <c r="G58" s="42" t="s">
        <v>141</v>
      </c>
      <c r="H58" s="48">
        <f t="shared" ref="H58:H61" si="8">IF(G58="","",SUMIF($C$56:$C$94,G58,$D$56:$D$94))</f>
        <v>396</v>
      </c>
      <c r="I58" s="49">
        <f t="shared" ref="I58:I61" si="9">IF(G58="","",COUNTIFS($C$56:$C$94,G58,$D$56:$D$94,"&gt;0"))</f>
        <v>1</v>
      </c>
      <c r="K58" s="231"/>
      <c r="L58" s="28"/>
      <c r="M58" s="377">
        <v>1.0</v>
      </c>
      <c r="N58" s="261">
        <v>200.0</v>
      </c>
      <c r="O58" s="373">
        <f t="shared" si="5"/>
        <v>0</v>
      </c>
      <c r="P58" s="374">
        <f t="shared" si="6"/>
        <v>200</v>
      </c>
      <c r="Q58" s="372">
        <f t="shared" si="7"/>
        <v>200</v>
      </c>
      <c r="R58" s="376"/>
    </row>
    <row r="59" hidden="1">
      <c r="A59" s="37">
        <v>4.0</v>
      </c>
      <c r="B59" s="39">
        <v>19.6</v>
      </c>
      <c r="C59" s="42" t="s">
        <v>151</v>
      </c>
      <c r="D59" s="43">
        <v>155.0</v>
      </c>
      <c r="E59" s="34"/>
      <c r="F59" s="42">
        <v>2.0</v>
      </c>
      <c r="G59" s="42" t="s">
        <v>143</v>
      </c>
      <c r="H59" s="48">
        <f t="shared" si="8"/>
        <v>500</v>
      </c>
      <c r="I59" s="49">
        <f t="shared" si="9"/>
        <v>1</v>
      </c>
      <c r="K59" s="231"/>
      <c r="L59" s="28"/>
      <c r="M59" s="377">
        <v>1.5</v>
      </c>
      <c r="N59" s="261">
        <v>150.0</v>
      </c>
      <c r="O59" s="373">
        <f t="shared" si="5"/>
        <v>0</v>
      </c>
      <c r="P59" s="374">
        <f t="shared" si="6"/>
        <v>150</v>
      </c>
      <c r="Q59" s="372">
        <f t="shared" si="7"/>
        <v>150</v>
      </c>
      <c r="R59" s="376"/>
    </row>
    <row r="60" hidden="1">
      <c r="A60" s="37">
        <v>5.0</v>
      </c>
      <c r="B60" s="39">
        <v>24.7</v>
      </c>
      <c r="C60" s="42" t="s">
        <v>138</v>
      </c>
      <c r="D60" s="43">
        <v>200.0</v>
      </c>
      <c r="E60" s="34"/>
      <c r="F60" s="42">
        <v>3.0</v>
      </c>
      <c r="G60" s="42" t="s">
        <v>151</v>
      </c>
      <c r="H60" s="48">
        <f t="shared" si="8"/>
        <v>155</v>
      </c>
      <c r="I60" s="49">
        <f t="shared" si="9"/>
        <v>1</v>
      </c>
      <c r="K60" s="278"/>
      <c r="L60" s="279"/>
      <c r="M60" s="380">
        <v>2.0</v>
      </c>
      <c r="N60" s="281">
        <v>100.0</v>
      </c>
      <c r="O60" s="381">
        <f t="shared" si="5"/>
        <v>0</v>
      </c>
      <c r="P60" s="382">
        <f t="shared" si="6"/>
        <v>106</v>
      </c>
      <c r="Q60" s="383">
        <f t="shared" si="7"/>
        <v>106</v>
      </c>
      <c r="R60" s="384"/>
    </row>
    <row r="61" hidden="1">
      <c r="A61" s="37">
        <v>6.0</v>
      </c>
      <c r="B61" s="39">
        <v>25.7</v>
      </c>
      <c r="C61" s="42" t="s">
        <v>137</v>
      </c>
      <c r="D61" s="43">
        <v>150.0</v>
      </c>
      <c r="E61" s="34"/>
      <c r="F61" s="42">
        <v>4.0</v>
      </c>
      <c r="G61" s="42" t="s">
        <v>152</v>
      </c>
      <c r="H61" s="48">
        <f t="shared" si="8"/>
        <v>100</v>
      </c>
      <c r="I61" s="49">
        <f t="shared" si="9"/>
        <v>1</v>
      </c>
    </row>
    <row r="62" hidden="1">
      <c r="A62" s="37">
        <v>7.0</v>
      </c>
      <c r="B62" s="39">
        <v>23.8</v>
      </c>
      <c r="C62" s="42" t="s">
        <v>153</v>
      </c>
      <c r="D62" s="43">
        <v>106.0</v>
      </c>
      <c r="E62" s="34"/>
      <c r="F62" s="315"/>
      <c r="G62" s="315"/>
      <c r="H62" s="315"/>
      <c r="I62" s="385"/>
    </row>
    <row r="63" hidden="1">
      <c r="A63" s="37">
        <v>8.0</v>
      </c>
      <c r="B63" s="39">
        <v>22.7</v>
      </c>
      <c r="C63" s="42" t="s">
        <v>152</v>
      </c>
      <c r="D63" s="43">
        <v>100.0</v>
      </c>
      <c r="E63" s="34"/>
      <c r="F63" s="42">
        <v>1.0</v>
      </c>
      <c r="G63" s="42" t="s">
        <v>136</v>
      </c>
      <c r="H63" s="48">
        <f t="shared" ref="H63:H66" si="10">IF(G63="","",SUMIF($C$56:$C$94,G63,$D$56:$D$94))</f>
        <v>500</v>
      </c>
      <c r="I63" s="49">
        <f t="shared" ref="I63:I66" si="11">IF(G63="","",COUNTIFS($C$56:$C$94,G63,$D$56:$D$94,"&gt;0"))</f>
        <v>1</v>
      </c>
    </row>
    <row r="64" hidden="1">
      <c r="A64" s="50"/>
      <c r="B64" s="38"/>
      <c r="C64" s="42"/>
      <c r="D64" s="40"/>
      <c r="E64" s="34"/>
      <c r="F64" s="42">
        <v>2.0</v>
      </c>
      <c r="G64" s="42" t="s">
        <v>138</v>
      </c>
      <c r="H64" s="48">
        <f t="shared" si="10"/>
        <v>200</v>
      </c>
      <c r="I64" s="49">
        <f t="shared" si="11"/>
        <v>1</v>
      </c>
    </row>
    <row r="65" hidden="1">
      <c r="A65" s="50"/>
      <c r="B65" s="38"/>
      <c r="C65" s="42"/>
      <c r="D65" s="40"/>
      <c r="E65" s="34"/>
      <c r="F65" s="42">
        <v>3.0</v>
      </c>
      <c r="G65" s="42" t="s">
        <v>137</v>
      </c>
      <c r="H65" s="48">
        <f t="shared" si="10"/>
        <v>150</v>
      </c>
      <c r="I65" s="49">
        <f t="shared" si="11"/>
        <v>1</v>
      </c>
    </row>
    <row r="66" hidden="1">
      <c r="A66" s="50"/>
      <c r="B66" s="38"/>
      <c r="C66" s="42"/>
      <c r="D66" s="40"/>
      <c r="E66" s="34"/>
      <c r="F66" s="42">
        <v>4.0</v>
      </c>
      <c r="G66" s="42" t="s">
        <v>153</v>
      </c>
      <c r="H66" s="48">
        <f t="shared" si="10"/>
        <v>106</v>
      </c>
      <c r="I66" s="49">
        <f t="shared" si="11"/>
        <v>1</v>
      </c>
    </row>
    <row r="67" hidden="1">
      <c r="A67" s="50"/>
      <c r="B67" s="38"/>
      <c r="C67" s="42"/>
      <c r="D67" s="43"/>
      <c r="E67" s="34"/>
      <c r="F67" s="315"/>
      <c r="G67" s="315"/>
      <c r="H67" s="315"/>
      <c r="I67" s="385"/>
    </row>
    <row r="68" hidden="1">
      <c r="A68" s="50"/>
      <c r="B68" s="38"/>
      <c r="C68" s="42"/>
      <c r="D68" s="40"/>
      <c r="E68" s="34"/>
      <c r="F68" s="48"/>
      <c r="G68" s="48"/>
      <c r="H68" s="48"/>
      <c r="I68" s="49"/>
    </row>
    <row r="69" hidden="1">
      <c r="A69" s="50"/>
      <c r="B69" s="38"/>
      <c r="C69" s="42"/>
      <c r="D69" s="40"/>
      <c r="E69" s="34"/>
      <c r="F69" s="48"/>
      <c r="G69" s="48"/>
      <c r="H69" s="48"/>
      <c r="I69" s="49"/>
    </row>
    <row r="70" hidden="1">
      <c r="A70" s="50"/>
      <c r="B70" s="38"/>
      <c r="C70" s="42"/>
      <c r="D70" s="40"/>
      <c r="E70" s="34"/>
      <c r="F70" s="48"/>
      <c r="G70" s="48"/>
      <c r="H70" s="48"/>
      <c r="I70" s="49"/>
    </row>
    <row r="71" hidden="1">
      <c r="A71" s="50"/>
      <c r="B71" s="38"/>
      <c r="C71" s="42"/>
      <c r="D71" s="40"/>
      <c r="E71" s="34"/>
      <c r="F71" s="386" t="s">
        <v>25</v>
      </c>
      <c r="G71" s="8"/>
      <c r="H71" s="48">
        <f t="shared" ref="H71:I71" si="12">sum(H58:H66)</f>
        <v>2107</v>
      </c>
      <c r="I71" s="49">
        <f t="shared" si="12"/>
        <v>8</v>
      </c>
    </row>
    <row r="72" hidden="1">
      <c r="A72" s="50"/>
      <c r="B72" s="38"/>
      <c r="C72" s="38"/>
      <c r="D72" s="40"/>
      <c r="E72" s="34"/>
      <c r="F72" s="34"/>
      <c r="G72" s="34"/>
      <c r="H72" s="34"/>
      <c r="I72" s="53"/>
    </row>
    <row r="73" hidden="1">
      <c r="A73" s="50"/>
      <c r="B73" s="38"/>
      <c r="C73" s="38"/>
      <c r="D73" s="40"/>
      <c r="E73" s="34"/>
      <c r="F73" s="34"/>
      <c r="G73" s="34"/>
      <c r="H73" s="34"/>
      <c r="I73" s="53"/>
    </row>
    <row r="74" hidden="1">
      <c r="A74" s="50"/>
      <c r="B74" s="38"/>
      <c r="C74" s="38"/>
      <c r="D74" s="40"/>
      <c r="E74" s="34"/>
      <c r="F74" s="34"/>
      <c r="G74" s="34"/>
      <c r="H74" s="34"/>
      <c r="I74" s="53"/>
    </row>
    <row r="75" hidden="1">
      <c r="A75" s="50"/>
      <c r="B75" s="38"/>
      <c r="C75" s="38"/>
      <c r="D75" s="40"/>
      <c r="E75" s="34"/>
      <c r="F75" s="34"/>
      <c r="G75" s="34"/>
      <c r="H75" s="34"/>
      <c r="I75" s="53"/>
    </row>
    <row r="76" hidden="1">
      <c r="A76" s="50"/>
      <c r="B76" s="38"/>
      <c r="C76" s="38"/>
      <c r="D76" s="40"/>
      <c r="E76" s="34"/>
      <c r="F76" s="54" t="s">
        <v>26</v>
      </c>
      <c r="G76" s="34"/>
      <c r="H76" s="34"/>
      <c r="I76" s="53"/>
    </row>
    <row r="77" hidden="1">
      <c r="A77" s="50"/>
      <c r="B77" s="38"/>
      <c r="C77" s="38"/>
      <c r="D77" s="40"/>
      <c r="E77" s="34"/>
      <c r="F77" s="55" t="s">
        <v>27</v>
      </c>
      <c r="I77" s="11"/>
    </row>
    <row r="78" hidden="1">
      <c r="A78" s="50"/>
      <c r="B78" s="38"/>
      <c r="C78" s="38"/>
      <c r="D78" s="40"/>
      <c r="E78" s="34"/>
      <c r="I78" s="11"/>
    </row>
    <row r="79" hidden="1">
      <c r="A79" s="50"/>
      <c r="B79" s="38"/>
      <c r="C79" s="38"/>
      <c r="D79" s="56"/>
      <c r="E79" s="34"/>
      <c r="I79" s="11"/>
    </row>
    <row r="80" hidden="1">
      <c r="A80" s="50"/>
      <c r="B80" s="38"/>
      <c r="C80" s="38"/>
      <c r="D80" s="56"/>
      <c r="E80" s="34"/>
      <c r="F80" s="55" t="s">
        <v>28</v>
      </c>
      <c r="I80" s="11"/>
    </row>
    <row r="81" hidden="1">
      <c r="A81" s="50"/>
      <c r="B81" s="38"/>
      <c r="C81" s="38"/>
      <c r="D81" s="56"/>
      <c r="E81" s="34"/>
      <c r="I81" s="11"/>
    </row>
    <row r="82" hidden="1">
      <c r="A82" s="58">
        <f>COUNT(A56:A81)</f>
        <v>8</v>
      </c>
      <c r="B82" s="59">
        <f>sum(B56:B81)</f>
        <v>226.4</v>
      </c>
      <c r="C82" s="59"/>
      <c r="D82" s="353">
        <f>sum(D56:D81)</f>
        <v>2107</v>
      </c>
      <c r="E82" s="61"/>
      <c r="F82" s="387"/>
      <c r="G82" s="387"/>
      <c r="H82" s="387"/>
      <c r="I82" s="388"/>
    </row>
    <row r="83">
      <c r="E83" s="34"/>
      <c r="F83" s="34"/>
      <c r="G83" s="34"/>
      <c r="H83" s="34"/>
    </row>
    <row r="84">
      <c r="E84" s="34"/>
      <c r="F84" s="34"/>
      <c r="G84" s="34"/>
      <c r="H84" s="34"/>
    </row>
    <row r="85">
      <c r="A85" s="294" t="s">
        <v>147</v>
      </c>
      <c r="B85" s="2"/>
      <c r="C85" s="2"/>
      <c r="D85" s="2"/>
      <c r="E85" s="2"/>
      <c r="F85" s="2"/>
      <c r="G85" s="2"/>
      <c r="H85" s="2"/>
      <c r="I85" s="3"/>
    </row>
    <row r="86">
      <c r="A86" s="1" t="s">
        <v>0</v>
      </c>
      <c r="B86" s="2"/>
      <c r="C86" s="2"/>
      <c r="D86" s="2"/>
      <c r="E86" s="2"/>
      <c r="F86" s="2"/>
      <c r="G86" s="2"/>
      <c r="H86" s="2"/>
      <c r="I86" s="3"/>
    </row>
    <row r="87">
      <c r="A87" s="4" t="s">
        <v>1</v>
      </c>
      <c r="B87" s="5"/>
      <c r="C87" s="5"/>
      <c r="D87" s="5"/>
      <c r="E87" s="5"/>
      <c r="F87" s="5"/>
      <c r="G87" s="5"/>
      <c r="H87" s="5"/>
      <c r="I87" s="6"/>
      <c r="K87" s="361" t="s">
        <v>2</v>
      </c>
      <c r="L87" s="2"/>
      <c r="M87" s="215"/>
      <c r="N87" s="362" t="s">
        <v>148</v>
      </c>
      <c r="O87" s="2"/>
      <c r="P87" s="2"/>
      <c r="Q87" s="2"/>
      <c r="R87" s="3"/>
    </row>
    <row r="88">
      <c r="A88" s="10"/>
      <c r="I88" s="11"/>
      <c r="K88" s="363" t="s">
        <v>3</v>
      </c>
      <c r="L88" s="5"/>
      <c r="M88" s="8"/>
      <c r="N88" s="12"/>
      <c r="O88" s="5"/>
      <c r="P88" s="5"/>
      <c r="Q88" s="5"/>
      <c r="R88" s="6"/>
    </row>
    <row r="89">
      <c r="A89" s="13" t="s">
        <v>4</v>
      </c>
      <c r="B89" s="8"/>
      <c r="C89" s="14"/>
      <c r="D89" s="8"/>
      <c r="E89" s="15" t="s">
        <v>5</v>
      </c>
      <c r="F89" s="8"/>
      <c r="G89" s="16"/>
      <c r="H89" s="5"/>
      <c r="I89" s="6"/>
      <c r="K89" s="364" t="s">
        <v>6</v>
      </c>
      <c r="L89" s="365" t="s">
        <v>7</v>
      </c>
      <c r="M89" s="365" t="s">
        <v>8</v>
      </c>
      <c r="N89" s="366" t="s">
        <v>9</v>
      </c>
      <c r="O89" s="367" t="s">
        <v>10</v>
      </c>
      <c r="P89" s="368" t="s">
        <v>11</v>
      </c>
      <c r="Q89" s="365" t="s">
        <v>12</v>
      </c>
      <c r="R89" s="369" t="s">
        <v>13</v>
      </c>
    </row>
    <row r="90">
      <c r="A90" s="13" t="s">
        <v>14</v>
      </c>
      <c r="B90" s="8"/>
      <c r="C90" s="14"/>
      <c r="D90" s="8"/>
      <c r="E90" s="15" t="s">
        <v>15</v>
      </c>
      <c r="F90" s="8"/>
      <c r="G90" s="21"/>
      <c r="H90" s="5"/>
      <c r="I90" s="6"/>
      <c r="K90" s="370" t="s">
        <v>68</v>
      </c>
      <c r="L90" s="371" t="s">
        <v>149</v>
      </c>
      <c r="M90" s="372">
        <v>18.0</v>
      </c>
      <c r="N90" s="261"/>
      <c r="O90" s="373">
        <f t="shared" ref="O90:O93" si="13">IF(N90-Q90-R90&lt;0,0,N90-Q90-R90)</f>
        <v>0</v>
      </c>
      <c r="P90" s="374" t="str">
        <f t="shared" ref="P90:P93" si="14">(H96)</f>
        <v/>
      </c>
      <c r="Q90" s="372">
        <f t="shared" ref="Q90:Q93" si="15">IF(P90-R90&lt;0,0,P90-R90)</f>
        <v>0</v>
      </c>
      <c r="R90" s="375"/>
    </row>
    <row r="91">
      <c r="A91" s="13" t="s">
        <v>16</v>
      </c>
      <c r="B91" s="8"/>
      <c r="C91" s="27"/>
      <c r="D91" s="8"/>
      <c r="E91" s="15" t="s">
        <v>17</v>
      </c>
      <c r="F91" s="8"/>
      <c r="G91" s="21"/>
      <c r="H91" s="5"/>
      <c r="I91" s="6"/>
      <c r="K91" s="231"/>
      <c r="L91" s="28"/>
      <c r="M91" s="372">
        <v>24.0</v>
      </c>
      <c r="N91" s="261"/>
      <c r="O91" s="373">
        <f t="shared" si="13"/>
        <v>0</v>
      </c>
      <c r="P91" s="374" t="str">
        <f t="shared" si="14"/>
        <v/>
      </c>
      <c r="Q91" s="372">
        <f t="shared" si="15"/>
        <v>0</v>
      </c>
      <c r="R91" s="376"/>
    </row>
    <row r="92">
      <c r="A92" s="10"/>
      <c r="I92" s="11"/>
      <c r="K92" s="231"/>
      <c r="L92" s="28"/>
      <c r="M92" s="377">
        <v>1.0</v>
      </c>
      <c r="N92" s="261"/>
      <c r="O92" s="373">
        <f t="shared" si="13"/>
        <v>0</v>
      </c>
      <c r="P92" s="374" t="str">
        <f t="shared" si="14"/>
        <v/>
      </c>
      <c r="Q92" s="372">
        <f t="shared" si="15"/>
        <v>0</v>
      </c>
      <c r="R92" s="376"/>
    </row>
    <row r="93">
      <c r="A93" s="31" t="s">
        <v>18</v>
      </c>
      <c r="B93" s="32" t="s">
        <v>19</v>
      </c>
      <c r="C93" s="33" t="s">
        <v>20</v>
      </c>
      <c r="D93" s="32" t="s">
        <v>21</v>
      </c>
      <c r="E93" s="34"/>
      <c r="F93" s="33" t="s">
        <v>6</v>
      </c>
      <c r="G93" s="35"/>
      <c r="H93" s="5"/>
      <c r="I93" s="6"/>
      <c r="K93" s="253"/>
      <c r="L93" s="44"/>
      <c r="M93" s="377">
        <v>2.0</v>
      </c>
      <c r="N93" s="261"/>
      <c r="O93" s="373">
        <f t="shared" si="13"/>
        <v>0</v>
      </c>
      <c r="P93" s="374" t="str">
        <f t="shared" si="14"/>
        <v/>
      </c>
      <c r="Q93" s="372">
        <f t="shared" si="15"/>
        <v>0</v>
      </c>
      <c r="R93" s="378"/>
    </row>
    <row r="94">
      <c r="A94" s="37"/>
      <c r="B94" s="38"/>
      <c r="C94" s="42"/>
      <c r="D94" s="43"/>
      <c r="E94" s="34"/>
      <c r="F94" s="41" t="s">
        <v>22</v>
      </c>
      <c r="G94" s="5"/>
      <c r="H94" s="5"/>
      <c r="I94" s="6"/>
      <c r="K94" s="379"/>
      <c r="L94" s="270"/>
      <c r="M94" s="270"/>
      <c r="N94" s="270"/>
      <c r="O94" s="270"/>
      <c r="P94" s="270"/>
      <c r="Q94" s="270"/>
      <c r="R94" s="271"/>
    </row>
    <row r="95">
      <c r="A95" s="37"/>
      <c r="B95" s="38"/>
      <c r="C95" s="38"/>
      <c r="D95" s="40"/>
      <c r="E95" s="34"/>
      <c r="F95" s="33" t="s">
        <v>23</v>
      </c>
      <c r="G95" s="33" t="s">
        <v>20</v>
      </c>
      <c r="H95" s="46" t="s">
        <v>21</v>
      </c>
      <c r="I95" s="47" t="s">
        <v>24</v>
      </c>
      <c r="K95" s="370" t="s">
        <v>68</v>
      </c>
      <c r="L95" s="371" t="s">
        <v>150</v>
      </c>
      <c r="M95" s="372">
        <v>24.0</v>
      </c>
      <c r="N95" s="261"/>
      <c r="O95" s="373">
        <f t="shared" ref="O95:O98" si="16">IF(N95-Q95-R95&lt;0,0,N95-Q95-R95)</f>
        <v>0</v>
      </c>
      <c r="P95" s="374" t="str">
        <f t="shared" ref="P95:P98" si="17">(H101)</f>
        <v/>
      </c>
      <c r="Q95" s="372">
        <f t="shared" ref="Q95:Q98" si="18">IF(P95-R95&lt;0,0,P95-R95)</f>
        <v>0</v>
      </c>
      <c r="R95" s="375"/>
    </row>
    <row r="96">
      <c r="A96" s="37"/>
      <c r="B96" s="38"/>
      <c r="C96" s="38"/>
      <c r="D96" s="40"/>
      <c r="E96" s="34"/>
      <c r="F96" s="42"/>
      <c r="G96" s="42"/>
      <c r="H96" s="48" t="str">
        <f t="shared" ref="H96:H108" si="19">IF(G96="","",SUMIF($C$94:$C$128,G96,$D$94:$D$128))</f>
        <v/>
      </c>
      <c r="I96" s="49" t="str">
        <f t="shared" ref="I96:I108" si="20">IF(G96="","",COUNTIFS($C$94:$C$128,G96,$D$94:$D$128,"&gt;0"))</f>
        <v/>
      </c>
      <c r="K96" s="231"/>
      <c r="L96" s="28"/>
      <c r="M96" s="377">
        <v>1.0</v>
      </c>
      <c r="N96" s="261"/>
      <c r="O96" s="373">
        <f t="shared" si="16"/>
        <v>0</v>
      </c>
      <c r="P96" s="374" t="str">
        <f t="shared" si="17"/>
        <v/>
      </c>
      <c r="Q96" s="372">
        <f t="shared" si="18"/>
        <v>0</v>
      </c>
      <c r="R96" s="376"/>
    </row>
    <row r="97">
      <c r="A97" s="37"/>
      <c r="B97" s="38"/>
      <c r="C97" s="38"/>
      <c r="D97" s="40"/>
      <c r="E97" s="34"/>
      <c r="F97" s="42"/>
      <c r="G97" s="42"/>
      <c r="H97" s="48" t="str">
        <f t="shared" si="19"/>
        <v/>
      </c>
      <c r="I97" s="49" t="str">
        <f t="shared" si="20"/>
        <v/>
      </c>
      <c r="K97" s="231"/>
      <c r="L97" s="28"/>
      <c r="M97" s="377">
        <v>1.5</v>
      </c>
      <c r="N97" s="261"/>
      <c r="O97" s="373">
        <f t="shared" si="16"/>
        <v>0</v>
      </c>
      <c r="P97" s="374" t="str">
        <f t="shared" si="17"/>
        <v/>
      </c>
      <c r="Q97" s="372">
        <f t="shared" si="18"/>
        <v>0</v>
      </c>
      <c r="R97" s="376"/>
    </row>
    <row r="98">
      <c r="A98" s="37"/>
      <c r="B98" s="38"/>
      <c r="C98" s="38"/>
      <c r="D98" s="40"/>
      <c r="E98" s="34"/>
      <c r="F98" s="42"/>
      <c r="G98" s="42"/>
      <c r="H98" s="48" t="str">
        <f t="shared" si="19"/>
        <v/>
      </c>
      <c r="I98" s="49" t="str">
        <f t="shared" si="20"/>
        <v/>
      </c>
      <c r="K98" s="278"/>
      <c r="L98" s="279"/>
      <c r="M98" s="380">
        <v>2.0</v>
      </c>
      <c r="N98" s="281"/>
      <c r="O98" s="381">
        <f t="shared" si="16"/>
        <v>0</v>
      </c>
      <c r="P98" s="382" t="str">
        <f t="shared" si="17"/>
        <v/>
      </c>
      <c r="Q98" s="383">
        <f t="shared" si="18"/>
        <v>0</v>
      </c>
      <c r="R98" s="384"/>
    </row>
    <row r="99">
      <c r="A99" s="37"/>
      <c r="B99" s="38"/>
      <c r="C99" s="38"/>
      <c r="D99" s="40"/>
      <c r="E99" s="34"/>
      <c r="F99" s="42"/>
      <c r="G99" s="42"/>
      <c r="H99" s="48" t="str">
        <f t="shared" si="19"/>
        <v/>
      </c>
      <c r="I99" s="49" t="str">
        <f t="shared" si="20"/>
        <v/>
      </c>
    </row>
    <row r="100">
      <c r="A100" s="37"/>
      <c r="B100" s="38"/>
      <c r="C100" s="38"/>
      <c r="D100" s="40"/>
      <c r="E100" s="34"/>
      <c r="F100" s="42"/>
      <c r="G100" s="42"/>
      <c r="H100" s="48" t="str">
        <f t="shared" si="19"/>
        <v/>
      </c>
      <c r="I100" s="49" t="str">
        <f t="shared" si="20"/>
        <v/>
      </c>
    </row>
    <row r="101">
      <c r="A101" s="37"/>
      <c r="B101" s="38"/>
      <c r="C101" s="38"/>
      <c r="D101" s="40"/>
      <c r="E101" s="34"/>
      <c r="F101" s="48"/>
      <c r="G101" s="48"/>
      <c r="H101" s="48" t="str">
        <f t="shared" si="19"/>
        <v/>
      </c>
      <c r="I101" s="49" t="str">
        <f t="shared" si="20"/>
        <v/>
      </c>
    </row>
    <row r="102">
      <c r="A102" s="37"/>
      <c r="B102" s="38"/>
      <c r="C102" s="38"/>
      <c r="D102" s="40"/>
      <c r="E102" s="34"/>
      <c r="F102" s="42"/>
      <c r="G102" s="42"/>
      <c r="H102" s="48" t="str">
        <f t="shared" si="19"/>
        <v/>
      </c>
      <c r="I102" s="49" t="str">
        <f t="shared" si="20"/>
        <v/>
      </c>
    </row>
    <row r="103">
      <c r="A103" s="37"/>
      <c r="B103" s="38"/>
      <c r="C103" s="38"/>
      <c r="D103" s="40"/>
      <c r="E103" s="34"/>
      <c r="F103" s="48"/>
      <c r="G103" s="48"/>
      <c r="H103" s="48" t="str">
        <f t="shared" si="19"/>
        <v/>
      </c>
      <c r="I103" s="49" t="str">
        <f t="shared" si="20"/>
        <v/>
      </c>
    </row>
    <row r="104">
      <c r="A104" s="37"/>
      <c r="B104" s="38"/>
      <c r="C104" s="38"/>
      <c r="D104" s="40"/>
      <c r="E104" s="34"/>
      <c r="F104" s="48"/>
      <c r="G104" s="48"/>
      <c r="H104" s="48" t="str">
        <f t="shared" si="19"/>
        <v/>
      </c>
      <c r="I104" s="49" t="str">
        <f t="shared" si="20"/>
        <v/>
      </c>
    </row>
    <row r="105">
      <c r="A105" s="37"/>
      <c r="B105" s="38"/>
      <c r="C105" s="38"/>
      <c r="D105" s="40"/>
      <c r="E105" s="34"/>
      <c r="F105" s="48"/>
      <c r="G105" s="48"/>
      <c r="H105" s="48" t="str">
        <f t="shared" si="19"/>
        <v/>
      </c>
      <c r="I105" s="49" t="str">
        <f t="shared" si="20"/>
        <v/>
      </c>
    </row>
    <row r="106">
      <c r="A106" s="37"/>
      <c r="B106" s="38"/>
      <c r="C106" s="38"/>
      <c r="D106" s="40"/>
      <c r="E106" s="34"/>
      <c r="F106" s="48"/>
      <c r="G106" s="48"/>
      <c r="H106" s="48" t="str">
        <f t="shared" si="19"/>
        <v/>
      </c>
      <c r="I106" s="49" t="str">
        <f t="shared" si="20"/>
        <v/>
      </c>
    </row>
    <row r="107">
      <c r="A107" s="50"/>
      <c r="B107" s="38"/>
      <c r="C107" s="38"/>
      <c r="D107" s="40"/>
      <c r="E107" s="34"/>
      <c r="F107" s="48"/>
      <c r="G107" s="48"/>
      <c r="H107" s="48" t="str">
        <f t="shared" si="19"/>
        <v/>
      </c>
      <c r="I107" s="49" t="str">
        <f t="shared" si="20"/>
        <v/>
      </c>
    </row>
    <row r="108">
      <c r="A108" s="50"/>
      <c r="B108" s="38"/>
      <c r="C108" s="38"/>
      <c r="D108" s="40"/>
      <c r="E108" s="34"/>
      <c r="F108" s="48"/>
      <c r="G108" s="48"/>
      <c r="H108" s="48" t="str">
        <f t="shared" si="19"/>
        <v/>
      </c>
      <c r="I108" s="49" t="str">
        <f t="shared" si="20"/>
        <v/>
      </c>
    </row>
    <row r="109">
      <c r="A109" s="50"/>
      <c r="B109" s="38"/>
      <c r="C109" s="38"/>
      <c r="D109" s="40"/>
      <c r="E109" s="34"/>
      <c r="F109" s="51" t="s">
        <v>25</v>
      </c>
      <c r="G109" s="8"/>
      <c r="H109" s="48">
        <f t="shared" ref="H109:I109" si="21">sum(H96:H108)</f>
        <v>0</v>
      </c>
      <c r="I109" s="49">
        <f t="shared" si="21"/>
        <v>0</v>
      </c>
    </row>
    <row r="110">
      <c r="A110" s="50"/>
      <c r="B110" s="38"/>
      <c r="C110" s="38"/>
      <c r="D110" s="40"/>
      <c r="E110" s="34"/>
      <c r="F110" s="34"/>
      <c r="G110" s="34"/>
      <c r="I110" s="53"/>
    </row>
    <row r="111">
      <c r="A111" s="50"/>
      <c r="B111" s="38"/>
      <c r="C111" s="38"/>
      <c r="D111" s="40"/>
      <c r="E111" s="34"/>
      <c r="F111" s="34"/>
      <c r="G111" s="34"/>
      <c r="I111" s="53"/>
    </row>
    <row r="112">
      <c r="A112" s="50"/>
      <c r="B112" s="38"/>
      <c r="C112" s="38"/>
      <c r="D112" s="40"/>
      <c r="E112" s="34"/>
      <c r="F112" s="34"/>
      <c r="G112" s="34"/>
      <c r="I112" s="53"/>
    </row>
    <row r="113">
      <c r="A113" s="50"/>
      <c r="B113" s="38"/>
      <c r="C113" s="38"/>
      <c r="D113" s="40"/>
      <c r="E113" s="34"/>
      <c r="F113" s="34"/>
      <c r="G113" s="34"/>
      <c r="I113" s="53"/>
    </row>
    <row r="114">
      <c r="A114" s="50"/>
      <c r="B114" s="38"/>
      <c r="C114" s="38"/>
      <c r="D114" s="40"/>
      <c r="E114" s="34"/>
      <c r="F114" s="54" t="s">
        <v>26</v>
      </c>
      <c r="G114" s="34"/>
      <c r="I114" s="53"/>
    </row>
    <row r="115">
      <c r="A115" s="50"/>
      <c r="B115" s="38"/>
      <c r="C115" s="38"/>
      <c r="D115" s="40"/>
      <c r="E115" s="34"/>
      <c r="F115" s="55" t="s">
        <v>27</v>
      </c>
      <c r="I115" s="11"/>
    </row>
    <row r="116">
      <c r="A116" s="50"/>
      <c r="B116" s="38"/>
      <c r="C116" s="38"/>
      <c r="D116" s="40"/>
      <c r="E116" s="34"/>
      <c r="I116" s="11"/>
    </row>
    <row r="117">
      <c r="A117" s="50"/>
      <c r="B117" s="38"/>
      <c r="C117" s="38"/>
      <c r="D117" s="56"/>
      <c r="E117" s="34"/>
      <c r="I117" s="11"/>
    </row>
    <row r="118">
      <c r="A118" s="50"/>
      <c r="B118" s="38"/>
      <c r="C118" s="38"/>
      <c r="D118" s="56"/>
      <c r="E118" s="34"/>
      <c r="F118" s="55" t="s">
        <v>28</v>
      </c>
      <c r="I118" s="11"/>
    </row>
    <row r="119">
      <c r="A119" s="50"/>
      <c r="B119" s="38"/>
      <c r="C119" s="38"/>
      <c r="D119" s="56"/>
      <c r="E119" s="34"/>
      <c r="I119" s="11"/>
    </row>
    <row r="120">
      <c r="A120" s="50"/>
      <c r="B120" s="38"/>
      <c r="C120" s="38"/>
      <c r="D120" s="40"/>
      <c r="E120" s="34"/>
      <c r="I120" s="11"/>
    </row>
    <row r="121">
      <c r="A121" s="50"/>
      <c r="B121" s="38"/>
      <c r="C121" s="38"/>
      <c r="D121" s="40"/>
      <c r="E121" s="34"/>
      <c r="F121" s="34"/>
      <c r="G121" s="34"/>
      <c r="I121" s="53"/>
    </row>
    <row r="122">
      <c r="A122" s="50"/>
      <c r="B122" s="38"/>
      <c r="C122" s="38"/>
      <c r="D122" s="40"/>
      <c r="E122" s="34"/>
      <c r="F122" s="34"/>
      <c r="G122" s="34"/>
      <c r="I122" s="53"/>
    </row>
    <row r="123">
      <c r="A123" s="50"/>
      <c r="B123" s="38"/>
      <c r="C123" s="38"/>
      <c r="D123" s="40"/>
      <c r="E123" s="34"/>
      <c r="F123" s="34"/>
      <c r="G123" s="34"/>
      <c r="I123" s="53"/>
    </row>
    <row r="124">
      <c r="A124" s="50"/>
      <c r="B124" s="38"/>
      <c r="C124" s="38"/>
      <c r="D124" s="40"/>
      <c r="E124" s="34"/>
      <c r="F124" s="34"/>
      <c r="G124" s="34"/>
      <c r="I124" s="53"/>
    </row>
    <row r="125">
      <c r="A125" s="50"/>
      <c r="B125" s="38"/>
      <c r="C125" s="38"/>
      <c r="D125" s="40"/>
      <c r="E125" s="34"/>
      <c r="F125" s="34"/>
      <c r="G125" s="34"/>
      <c r="I125" s="53"/>
    </row>
    <row r="126">
      <c r="A126" s="50"/>
      <c r="B126" s="38"/>
      <c r="C126" s="38"/>
      <c r="D126" s="57"/>
      <c r="E126" s="34"/>
      <c r="F126" s="34"/>
      <c r="G126" s="34"/>
      <c r="I126" s="53"/>
    </row>
    <row r="127">
      <c r="A127" s="50"/>
      <c r="B127" s="38"/>
      <c r="C127" s="38"/>
      <c r="D127" s="57"/>
      <c r="E127" s="34"/>
      <c r="F127" s="34"/>
      <c r="G127" s="34"/>
      <c r="I127" s="53"/>
    </row>
    <row r="128">
      <c r="A128" s="50"/>
      <c r="B128" s="38"/>
      <c r="C128" s="38"/>
      <c r="D128" s="57"/>
      <c r="E128" s="34"/>
      <c r="F128" s="34"/>
      <c r="G128" s="34"/>
      <c r="I128" s="53"/>
    </row>
    <row r="129">
      <c r="A129" s="58">
        <f>COUNT(A94:A128)</f>
        <v>0</v>
      </c>
      <c r="B129" s="59">
        <f>SUM(B94:B128)</f>
        <v>0</v>
      </c>
      <c r="C129" s="59"/>
      <c r="D129" s="285">
        <f>SUM(D94:D128)</f>
        <v>0</v>
      </c>
      <c r="E129" s="61"/>
      <c r="F129" s="61"/>
      <c r="G129" s="61"/>
      <c r="H129" s="63"/>
      <c r="I129" s="64"/>
    </row>
  </sheetData>
  <mergeCells count="84">
    <mergeCell ref="A1:H1"/>
    <mergeCell ref="A2:H2"/>
    <mergeCell ref="A3:H3"/>
    <mergeCell ref="A4:H4"/>
    <mergeCell ref="C5:D5"/>
    <mergeCell ref="E5:F5"/>
    <mergeCell ref="G5:H5"/>
    <mergeCell ref="E7:F7"/>
    <mergeCell ref="G7:H7"/>
    <mergeCell ref="A13:A14"/>
    <mergeCell ref="B13:B14"/>
    <mergeCell ref="A15:A16"/>
    <mergeCell ref="B15:B16"/>
    <mergeCell ref="A19:D19"/>
    <mergeCell ref="A5:B5"/>
    <mergeCell ref="A6:B6"/>
    <mergeCell ref="C6:D6"/>
    <mergeCell ref="E6:F6"/>
    <mergeCell ref="A7:B7"/>
    <mergeCell ref="C7:D7"/>
    <mergeCell ref="A8:H8"/>
    <mergeCell ref="G6:H6"/>
    <mergeCell ref="G9:H9"/>
    <mergeCell ref="F10:H10"/>
    <mergeCell ref="F31:H33"/>
    <mergeCell ref="F34:H36"/>
    <mergeCell ref="A47:I47"/>
    <mergeCell ref="A48:I48"/>
    <mergeCell ref="A49:I49"/>
    <mergeCell ref="K49:M49"/>
    <mergeCell ref="N49:R49"/>
    <mergeCell ref="K50:M50"/>
    <mergeCell ref="N50:R50"/>
    <mergeCell ref="A51:B51"/>
    <mergeCell ref="C51:D51"/>
    <mergeCell ref="A52:B52"/>
    <mergeCell ref="A53:B53"/>
    <mergeCell ref="F94:I94"/>
    <mergeCell ref="F109:G109"/>
    <mergeCell ref="F115:I117"/>
    <mergeCell ref="F118:I120"/>
    <mergeCell ref="G90:I90"/>
    <mergeCell ref="K90:K93"/>
    <mergeCell ref="L90:L93"/>
    <mergeCell ref="G91:I91"/>
    <mergeCell ref="G93:I93"/>
    <mergeCell ref="K95:K98"/>
    <mergeCell ref="L95:L98"/>
    <mergeCell ref="C53:D53"/>
    <mergeCell ref="E53:F53"/>
    <mergeCell ref="E51:F51"/>
    <mergeCell ref="G51:I51"/>
    <mergeCell ref="C52:D52"/>
    <mergeCell ref="E52:F52"/>
    <mergeCell ref="G52:I52"/>
    <mergeCell ref="K52:K55"/>
    <mergeCell ref="L52:L55"/>
    <mergeCell ref="G53:I53"/>
    <mergeCell ref="G55:I55"/>
    <mergeCell ref="F56:I56"/>
    <mergeCell ref="K57:K60"/>
    <mergeCell ref="L57:L60"/>
    <mergeCell ref="F71:G71"/>
    <mergeCell ref="F77:I79"/>
    <mergeCell ref="K88:M88"/>
    <mergeCell ref="N88:R88"/>
    <mergeCell ref="F80:I82"/>
    <mergeCell ref="A85:I85"/>
    <mergeCell ref="A86:I86"/>
    <mergeCell ref="A87:I87"/>
    <mergeCell ref="K87:M87"/>
    <mergeCell ref="N87:R87"/>
    <mergeCell ref="A88:I88"/>
    <mergeCell ref="A91:B91"/>
    <mergeCell ref="C91:D91"/>
    <mergeCell ref="E91:F91"/>
    <mergeCell ref="A92:I92"/>
    <mergeCell ref="A89:B89"/>
    <mergeCell ref="C89:D89"/>
    <mergeCell ref="E89:F89"/>
    <mergeCell ref="G89:I89"/>
    <mergeCell ref="A90:B90"/>
    <mergeCell ref="C90:D90"/>
    <mergeCell ref="E90:F90"/>
  </mergeCells>
  <conditionalFormatting sqref="O52:O55 O57:O61 O90:O93 O95:O99">
    <cfRule type="cellIs" dxfId="0" priority="1" operator="lessThanOrEqual">
      <formula>20</formula>
    </cfRule>
  </conditionalFormatting>
  <conditionalFormatting sqref="O52:O55 O57:O61 O90:O93 O95:O99">
    <cfRule type="cellIs" dxfId="1" priority="2" operator="greaterThanOrEqual">
      <formula>20</formula>
    </cfRule>
  </conditionalFormatting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5.13"/>
    <col customWidth="1" min="4" max="4" width="10.13"/>
    <col customWidth="1" min="5" max="5" width="5.13"/>
    <col customWidth="1" min="6" max="6" width="7.63"/>
    <col customWidth="1" min="7" max="7" width="15.13"/>
    <col customWidth="1" min="8" max="9" width="10.13"/>
  </cols>
  <sheetData>
    <row r="1" hidden="1">
      <c r="A1" s="389" t="s">
        <v>154</v>
      </c>
      <c r="B1" s="2"/>
      <c r="C1" s="2"/>
      <c r="D1" s="2"/>
      <c r="E1" s="2"/>
      <c r="F1" s="2"/>
      <c r="G1" s="2"/>
      <c r="H1" s="2"/>
      <c r="I1" s="3"/>
    </row>
    <row r="2" hidden="1">
      <c r="A2" s="4" t="s">
        <v>0</v>
      </c>
      <c r="B2" s="5"/>
      <c r="C2" s="5"/>
      <c r="D2" s="5"/>
      <c r="E2" s="5"/>
      <c r="F2" s="5"/>
      <c r="G2" s="5"/>
      <c r="H2" s="5"/>
      <c r="I2" s="6"/>
    </row>
    <row r="3" hidden="1">
      <c r="A3" s="4" t="s">
        <v>1</v>
      </c>
      <c r="B3" s="5"/>
      <c r="C3" s="5"/>
      <c r="D3" s="5"/>
      <c r="E3" s="5"/>
      <c r="F3" s="5"/>
      <c r="G3" s="5"/>
      <c r="H3" s="5"/>
      <c r="I3" s="6"/>
      <c r="L3" s="390" t="s">
        <v>2</v>
      </c>
      <c r="M3" s="2"/>
      <c r="N3" s="215"/>
      <c r="O3" s="391" t="s">
        <v>154</v>
      </c>
      <c r="P3" s="2"/>
      <c r="Q3" s="2"/>
      <c r="R3" s="2"/>
      <c r="S3" s="3"/>
    </row>
    <row r="4" hidden="1">
      <c r="A4" s="10"/>
      <c r="I4" s="53"/>
      <c r="L4" s="217" t="s">
        <v>3</v>
      </c>
      <c r="M4" s="5"/>
      <c r="N4" s="8"/>
      <c r="O4" s="12">
        <v>46270.0</v>
      </c>
      <c r="P4" s="5"/>
      <c r="Q4" s="5"/>
      <c r="R4" s="5"/>
      <c r="S4" s="6"/>
    </row>
    <row r="5" hidden="1">
      <c r="A5" s="13" t="s">
        <v>4</v>
      </c>
      <c r="B5" s="8"/>
      <c r="C5" s="14" t="s">
        <v>155</v>
      </c>
      <c r="D5" s="8"/>
      <c r="E5" s="15" t="s">
        <v>5</v>
      </c>
      <c r="F5" s="8"/>
      <c r="G5" s="16">
        <v>46288.0</v>
      </c>
      <c r="H5" s="5"/>
      <c r="I5" s="6"/>
      <c r="L5" s="222" t="s">
        <v>6</v>
      </c>
      <c r="M5" s="17" t="s">
        <v>7</v>
      </c>
      <c r="N5" s="17" t="s">
        <v>8</v>
      </c>
      <c r="O5" s="18" t="s">
        <v>9</v>
      </c>
      <c r="P5" s="19" t="s">
        <v>10</v>
      </c>
      <c r="Q5" s="20" t="s">
        <v>11</v>
      </c>
      <c r="R5" s="17" t="s">
        <v>12</v>
      </c>
      <c r="S5" s="223" t="s">
        <v>13</v>
      </c>
    </row>
    <row r="6" hidden="1">
      <c r="A6" s="13" t="s">
        <v>14</v>
      </c>
      <c r="B6" s="8"/>
      <c r="C6" s="14" t="s">
        <v>72</v>
      </c>
      <c r="D6" s="8"/>
      <c r="E6" s="15" t="s">
        <v>15</v>
      </c>
      <c r="F6" s="8"/>
      <c r="G6" s="21"/>
      <c r="H6" s="5"/>
      <c r="I6" s="6"/>
      <c r="L6" s="277" t="s">
        <v>68</v>
      </c>
      <c r="M6" s="22" t="s">
        <v>154</v>
      </c>
      <c r="N6" s="30" t="s">
        <v>42</v>
      </c>
      <c r="O6" s="24" t="s">
        <v>63</v>
      </c>
      <c r="P6" s="25">
        <f t="shared" ref="P6:P7" si="1">IF(O6-R6-S6&lt;0,0,O6-R6-S6)</f>
        <v>100</v>
      </c>
      <c r="Q6" s="26">
        <f>(H12)</f>
        <v>2900</v>
      </c>
      <c r="R6" s="23">
        <f t="shared" ref="R6:R7" si="2">IF(Q6-S6&lt;0,0,Q6-S6)</f>
        <v>2900</v>
      </c>
      <c r="S6" s="229"/>
    </row>
    <row r="7" hidden="1">
      <c r="A7" s="13" t="s">
        <v>16</v>
      </c>
      <c r="B7" s="8"/>
      <c r="C7" s="27" t="s">
        <v>37</v>
      </c>
      <c r="D7" s="8"/>
      <c r="E7" s="15" t="s">
        <v>17</v>
      </c>
      <c r="F7" s="8"/>
      <c r="G7" s="21"/>
      <c r="H7" s="5"/>
      <c r="I7" s="6"/>
      <c r="L7" s="278"/>
      <c r="M7" s="279"/>
      <c r="N7" s="392" t="s">
        <v>156</v>
      </c>
      <c r="O7" s="393" t="s">
        <v>128</v>
      </c>
      <c r="P7" s="394">
        <f t="shared" si="1"/>
        <v>13</v>
      </c>
      <c r="Q7" s="395">
        <f>(H54)</f>
        <v>1487</v>
      </c>
      <c r="R7" s="280">
        <f t="shared" si="2"/>
        <v>1487</v>
      </c>
      <c r="S7" s="284"/>
    </row>
    <row r="8" hidden="1">
      <c r="A8" s="10"/>
      <c r="I8" s="53"/>
    </row>
    <row r="9" hidden="1">
      <c r="A9" s="31" t="s">
        <v>18</v>
      </c>
      <c r="B9" s="32" t="s">
        <v>19</v>
      </c>
      <c r="C9" s="33" t="s">
        <v>20</v>
      </c>
      <c r="D9" s="32" t="s">
        <v>21</v>
      </c>
      <c r="E9" s="34"/>
      <c r="F9" s="33" t="s">
        <v>6</v>
      </c>
      <c r="G9" s="35" t="s">
        <v>102</v>
      </c>
      <c r="H9" s="5"/>
      <c r="I9" s="6"/>
    </row>
    <row r="10" hidden="1">
      <c r="A10" s="37">
        <v>1.0</v>
      </c>
      <c r="B10" s="39">
        <v>45.1</v>
      </c>
      <c r="C10" s="42" t="s">
        <v>157</v>
      </c>
      <c r="D10" s="43">
        <v>500.0</v>
      </c>
      <c r="E10" s="34"/>
      <c r="F10" s="41" t="s">
        <v>22</v>
      </c>
      <c r="G10" s="5"/>
      <c r="H10" s="5"/>
      <c r="I10" s="6"/>
    </row>
    <row r="11" hidden="1">
      <c r="A11" s="37">
        <v>2.0</v>
      </c>
      <c r="B11" s="39">
        <v>45.1</v>
      </c>
      <c r="C11" s="42" t="s">
        <v>157</v>
      </c>
      <c r="D11" s="43">
        <v>500.0</v>
      </c>
      <c r="E11" s="34"/>
      <c r="F11" s="33" t="s">
        <v>23</v>
      </c>
      <c r="G11" s="33" t="s">
        <v>20</v>
      </c>
      <c r="H11" s="46" t="s">
        <v>21</v>
      </c>
      <c r="I11" s="47" t="s">
        <v>24</v>
      </c>
    </row>
    <row r="12" hidden="1">
      <c r="A12" s="37">
        <v>3.0</v>
      </c>
      <c r="B12" s="39">
        <v>45.1</v>
      </c>
      <c r="C12" s="42" t="s">
        <v>157</v>
      </c>
      <c r="D12" s="43">
        <v>500.0</v>
      </c>
      <c r="E12" s="34"/>
      <c r="F12" s="42">
        <v>1.0</v>
      </c>
      <c r="G12" s="42" t="s">
        <v>157</v>
      </c>
      <c r="H12" s="48">
        <f t="shared" ref="H12:H25" si="3">IF(G12="","",SUMIF($C$10:$C$41,G12,$D$10:$D$41))</f>
        <v>2900</v>
      </c>
      <c r="I12" s="49">
        <f t="shared" ref="I12:I25" si="4">IF(G12="","",COUNTIFS($C$10:$C$41,G12,$D$10:$D$41,"&gt;0"))</f>
        <v>6</v>
      </c>
    </row>
    <row r="13" hidden="1">
      <c r="A13" s="37">
        <v>4.0</v>
      </c>
      <c r="B13" s="39">
        <v>44.8</v>
      </c>
      <c r="C13" s="42" t="s">
        <v>157</v>
      </c>
      <c r="D13" s="43">
        <v>500.0</v>
      </c>
      <c r="E13" s="34"/>
      <c r="F13" s="42"/>
      <c r="G13" s="42"/>
      <c r="H13" s="48" t="str">
        <f t="shared" si="3"/>
        <v/>
      </c>
      <c r="I13" s="49" t="str">
        <f t="shared" si="4"/>
        <v/>
      </c>
    </row>
    <row r="14" hidden="1">
      <c r="A14" s="37">
        <v>5.0</v>
      </c>
      <c r="B14" s="39">
        <v>44.8</v>
      </c>
      <c r="C14" s="42" t="s">
        <v>157</v>
      </c>
      <c r="D14" s="43">
        <v>500.0</v>
      </c>
      <c r="E14" s="34"/>
      <c r="F14" s="48"/>
      <c r="G14" s="48"/>
      <c r="H14" s="48" t="str">
        <f t="shared" si="3"/>
        <v/>
      </c>
      <c r="I14" s="49" t="str">
        <f t="shared" si="4"/>
        <v/>
      </c>
    </row>
    <row r="15" hidden="1">
      <c r="A15" s="37">
        <v>6.0</v>
      </c>
      <c r="B15" s="39">
        <v>35.1</v>
      </c>
      <c r="C15" s="42" t="s">
        <v>157</v>
      </c>
      <c r="D15" s="43">
        <v>400.0</v>
      </c>
      <c r="E15" s="34"/>
      <c r="F15" s="48"/>
      <c r="G15" s="48"/>
      <c r="H15" s="48" t="str">
        <f t="shared" si="3"/>
        <v/>
      </c>
      <c r="I15" s="49" t="str">
        <f t="shared" si="4"/>
        <v/>
      </c>
    </row>
    <row r="16" hidden="1">
      <c r="A16" s="37"/>
      <c r="B16" s="38"/>
      <c r="C16" s="38"/>
      <c r="D16" s="40"/>
      <c r="E16" s="34"/>
      <c r="F16" s="48"/>
      <c r="G16" s="48"/>
      <c r="H16" s="48" t="str">
        <f t="shared" si="3"/>
        <v/>
      </c>
      <c r="I16" s="49" t="str">
        <f t="shared" si="4"/>
        <v/>
      </c>
    </row>
    <row r="17" hidden="1">
      <c r="A17" s="37"/>
      <c r="B17" s="38"/>
      <c r="C17" s="38"/>
      <c r="D17" s="40"/>
      <c r="E17" s="34"/>
      <c r="F17" s="48"/>
      <c r="G17" s="48"/>
      <c r="H17" s="48" t="str">
        <f t="shared" si="3"/>
        <v/>
      </c>
      <c r="I17" s="49" t="str">
        <f t="shared" si="4"/>
        <v/>
      </c>
    </row>
    <row r="18" hidden="1">
      <c r="A18" s="37"/>
      <c r="B18" s="38"/>
      <c r="C18" s="38"/>
      <c r="D18" s="40"/>
      <c r="E18" s="34"/>
      <c r="F18" s="48"/>
      <c r="G18" s="48"/>
      <c r="H18" s="48" t="str">
        <f t="shared" si="3"/>
        <v/>
      </c>
      <c r="I18" s="49" t="str">
        <f t="shared" si="4"/>
        <v/>
      </c>
    </row>
    <row r="19" hidden="1">
      <c r="A19" s="37"/>
      <c r="B19" s="38"/>
      <c r="C19" s="38"/>
      <c r="D19" s="40"/>
      <c r="E19" s="34"/>
      <c r="F19" s="48"/>
      <c r="G19" s="48"/>
      <c r="H19" s="48" t="str">
        <f t="shared" si="3"/>
        <v/>
      </c>
      <c r="I19" s="49" t="str">
        <f t="shared" si="4"/>
        <v/>
      </c>
    </row>
    <row r="20" hidden="1">
      <c r="A20" s="37"/>
      <c r="B20" s="38"/>
      <c r="C20" s="38"/>
      <c r="D20" s="40"/>
      <c r="E20" s="34"/>
      <c r="F20" s="48"/>
      <c r="G20" s="48"/>
      <c r="H20" s="48" t="str">
        <f t="shared" si="3"/>
        <v/>
      </c>
      <c r="I20" s="49" t="str">
        <f t="shared" si="4"/>
        <v/>
      </c>
    </row>
    <row r="21" hidden="1">
      <c r="A21" s="37"/>
      <c r="B21" s="38"/>
      <c r="C21" s="38"/>
      <c r="D21" s="40"/>
      <c r="E21" s="34"/>
      <c r="F21" s="48"/>
      <c r="G21" s="48"/>
      <c r="H21" s="48" t="str">
        <f t="shared" si="3"/>
        <v/>
      </c>
      <c r="I21" s="49" t="str">
        <f t="shared" si="4"/>
        <v/>
      </c>
    </row>
    <row r="22" hidden="1">
      <c r="A22" s="37"/>
      <c r="B22" s="38"/>
      <c r="C22" s="38"/>
      <c r="D22" s="40"/>
      <c r="E22" s="34"/>
      <c r="F22" s="48"/>
      <c r="G22" s="48"/>
      <c r="H22" s="48" t="str">
        <f t="shared" si="3"/>
        <v/>
      </c>
      <c r="I22" s="49" t="str">
        <f t="shared" si="4"/>
        <v/>
      </c>
    </row>
    <row r="23" hidden="1">
      <c r="A23" s="50"/>
      <c r="B23" s="38"/>
      <c r="C23" s="38"/>
      <c r="D23" s="40"/>
      <c r="E23" s="34"/>
      <c r="F23" s="48"/>
      <c r="G23" s="48"/>
      <c r="H23" s="48" t="str">
        <f t="shared" si="3"/>
        <v/>
      </c>
      <c r="I23" s="49" t="str">
        <f t="shared" si="4"/>
        <v/>
      </c>
    </row>
    <row r="24" hidden="1">
      <c r="A24" s="50"/>
      <c r="B24" s="38"/>
      <c r="C24" s="38"/>
      <c r="D24" s="40"/>
      <c r="E24" s="34"/>
      <c r="F24" s="48"/>
      <c r="G24" s="48"/>
      <c r="H24" s="48" t="str">
        <f t="shared" si="3"/>
        <v/>
      </c>
      <c r="I24" s="49" t="str">
        <f t="shared" si="4"/>
        <v/>
      </c>
    </row>
    <row r="25" hidden="1">
      <c r="A25" s="50"/>
      <c r="B25" s="38"/>
      <c r="C25" s="38"/>
      <c r="D25" s="40"/>
      <c r="E25" s="34"/>
      <c r="F25" s="48"/>
      <c r="G25" s="48"/>
      <c r="H25" s="48" t="str">
        <f t="shared" si="3"/>
        <v/>
      </c>
      <c r="I25" s="49" t="str">
        <f t="shared" si="4"/>
        <v/>
      </c>
    </row>
    <row r="26" hidden="1">
      <c r="A26" s="50"/>
      <c r="B26" s="38"/>
      <c r="C26" s="38"/>
      <c r="D26" s="40"/>
      <c r="E26" s="34"/>
      <c r="F26" s="34"/>
      <c r="G26" s="34"/>
      <c r="H26" s="34"/>
      <c r="I26" s="53"/>
    </row>
    <row r="27" hidden="1">
      <c r="A27" s="50"/>
      <c r="B27" s="38"/>
      <c r="C27" s="38"/>
      <c r="D27" s="40"/>
      <c r="E27" s="34"/>
      <c r="F27" s="34"/>
      <c r="G27" s="34"/>
      <c r="H27" s="34"/>
      <c r="I27" s="53"/>
    </row>
    <row r="28" hidden="1">
      <c r="A28" s="50"/>
      <c r="B28" s="38"/>
      <c r="C28" s="38"/>
      <c r="D28" s="40"/>
      <c r="E28" s="34"/>
      <c r="F28" s="34"/>
      <c r="G28" s="34"/>
      <c r="H28" s="34"/>
      <c r="I28" s="53"/>
    </row>
    <row r="29" hidden="1">
      <c r="A29" s="50"/>
      <c r="B29" s="38"/>
      <c r="C29" s="38"/>
      <c r="D29" s="40"/>
      <c r="E29" s="34"/>
      <c r="F29" s="34"/>
      <c r="G29" s="34"/>
      <c r="H29" s="34"/>
      <c r="I29" s="53"/>
    </row>
    <row r="30" hidden="1">
      <c r="A30" s="50"/>
      <c r="B30" s="38"/>
      <c r="C30" s="38"/>
      <c r="D30" s="40"/>
      <c r="E30" s="34"/>
      <c r="F30" s="54" t="s">
        <v>26</v>
      </c>
      <c r="G30" s="34"/>
      <c r="H30" s="34"/>
      <c r="I30" s="53"/>
    </row>
    <row r="31" hidden="1">
      <c r="A31" s="50"/>
      <c r="B31" s="38"/>
      <c r="C31" s="38"/>
      <c r="D31" s="40"/>
      <c r="E31" s="34"/>
      <c r="F31" s="55" t="s">
        <v>27</v>
      </c>
      <c r="I31" s="53"/>
    </row>
    <row r="32" hidden="1">
      <c r="A32" s="50"/>
      <c r="B32" s="38"/>
      <c r="C32" s="38"/>
      <c r="D32" s="40"/>
      <c r="E32" s="34"/>
      <c r="I32" s="53"/>
    </row>
    <row r="33" hidden="1">
      <c r="A33" s="50"/>
      <c r="B33" s="38"/>
      <c r="C33" s="38"/>
      <c r="D33" s="56"/>
      <c r="E33" s="34"/>
      <c r="I33" s="53"/>
    </row>
    <row r="34" hidden="1">
      <c r="A34" s="50"/>
      <c r="B34" s="38"/>
      <c r="C34" s="38"/>
      <c r="D34" s="56"/>
      <c r="E34" s="34"/>
      <c r="F34" s="55" t="s">
        <v>28</v>
      </c>
      <c r="I34" s="53"/>
    </row>
    <row r="35" hidden="1">
      <c r="A35" s="50"/>
      <c r="B35" s="38"/>
      <c r="C35" s="38"/>
      <c r="D35" s="56"/>
      <c r="E35" s="34"/>
      <c r="I35" s="53"/>
    </row>
    <row r="36" hidden="1">
      <c r="A36" s="50"/>
      <c r="B36" s="38"/>
      <c r="C36" s="38"/>
      <c r="D36" s="40"/>
      <c r="E36" s="34"/>
      <c r="I36" s="53"/>
    </row>
    <row r="37" hidden="1">
      <c r="A37" s="50"/>
      <c r="B37" s="38"/>
      <c r="C37" s="38"/>
      <c r="D37" s="40"/>
      <c r="E37" s="34"/>
      <c r="F37" s="34"/>
      <c r="G37" s="34"/>
      <c r="H37" s="34"/>
      <c r="I37" s="53"/>
    </row>
    <row r="38" hidden="1">
      <c r="A38" s="50"/>
      <c r="B38" s="38"/>
      <c r="C38" s="38"/>
      <c r="D38" s="40"/>
      <c r="E38" s="34"/>
      <c r="F38" s="34"/>
      <c r="G38" s="34"/>
      <c r="H38" s="34"/>
      <c r="I38" s="53"/>
    </row>
    <row r="39" hidden="1">
      <c r="A39" s="50"/>
      <c r="B39" s="38"/>
      <c r="C39" s="38"/>
      <c r="D39" s="57"/>
      <c r="E39" s="34"/>
      <c r="F39" s="34"/>
      <c r="G39" s="34"/>
      <c r="H39" s="34"/>
      <c r="I39" s="53"/>
    </row>
    <row r="40" hidden="1">
      <c r="A40" s="50"/>
      <c r="B40" s="38"/>
      <c r="C40" s="38"/>
      <c r="D40" s="57"/>
      <c r="E40" s="34"/>
      <c r="F40" s="34"/>
      <c r="G40" s="34"/>
      <c r="H40" s="34"/>
      <c r="I40" s="53"/>
    </row>
    <row r="41" hidden="1">
      <c r="A41" s="58"/>
      <c r="B41" s="59"/>
      <c r="C41" s="59"/>
      <c r="D41" s="60"/>
      <c r="E41" s="61"/>
      <c r="F41" s="61"/>
      <c r="G41" s="61"/>
      <c r="H41" s="61"/>
      <c r="I41" s="64"/>
    </row>
    <row r="43">
      <c r="A43" s="389" t="s">
        <v>154</v>
      </c>
      <c r="B43" s="2"/>
      <c r="C43" s="2"/>
      <c r="D43" s="2"/>
      <c r="E43" s="2"/>
      <c r="F43" s="2"/>
      <c r="G43" s="2"/>
      <c r="H43" s="2"/>
      <c r="I43" s="3"/>
      <c r="L43" s="390" t="s">
        <v>2</v>
      </c>
      <c r="M43" s="2"/>
      <c r="N43" s="215"/>
      <c r="O43" s="391" t="s">
        <v>154</v>
      </c>
      <c r="P43" s="2"/>
      <c r="Q43" s="2"/>
      <c r="R43" s="2"/>
      <c r="S43" s="3"/>
    </row>
    <row r="44">
      <c r="A44" s="4" t="s">
        <v>0</v>
      </c>
      <c r="B44" s="5"/>
      <c r="C44" s="5"/>
      <c r="D44" s="5"/>
      <c r="E44" s="5"/>
      <c r="F44" s="5"/>
      <c r="G44" s="5"/>
      <c r="H44" s="5"/>
      <c r="I44" s="6"/>
      <c r="L44" s="217" t="s">
        <v>3</v>
      </c>
      <c r="M44" s="5"/>
      <c r="N44" s="8"/>
      <c r="O44" s="12">
        <v>46270.0</v>
      </c>
      <c r="P44" s="5"/>
      <c r="Q44" s="5"/>
      <c r="R44" s="5"/>
      <c r="S44" s="6"/>
    </row>
    <row r="45">
      <c r="A45" s="4" t="s">
        <v>1</v>
      </c>
      <c r="B45" s="5"/>
      <c r="C45" s="5"/>
      <c r="D45" s="5"/>
      <c r="E45" s="5"/>
      <c r="F45" s="5"/>
      <c r="G45" s="5"/>
      <c r="H45" s="5"/>
      <c r="I45" s="6"/>
      <c r="L45" s="222" t="s">
        <v>6</v>
      </c>
      <c r="M45" s="17" t="s">
        <v>7</v>
      </c>
      <c r="N45" s="17" t="s">
        <v>8</v>
      </c>
      <c r="O45" s="18" t="s">
        <v>9</v>
      </c>
      <c r="P45" s="19" t="s">
        <v>10</v>
      </c>
      <c r="Q45" s="20" t="s">
        <v>11</v>
      </c>
      <c r="R45" s="17" t="s">
        <v>12</v>
      </c>
      <c r="S45" s="223" t="s">
        <v>13</v>
      </c>
    </row>
    <row r="46">
      <c r="A46" s="10"/>
      <c r="I46" s="53"/>
      <c r="L46" s="277" t="s">
        <v>68</v>
      </c>
      <c r="M46" s="22" t="s">
        <v>154</v>
      </c>
      <c r="N46" s="30" t="s">
        <v>42</v>
      </c>
      <c r="O46" s="24" t="s">
        <v>63</v>
      </c>
      <c r="P46" s="25">
        <f t="shared" ref="P46:P47" si="5">IF(O46-R46-S46&lt;0,0,O46-R46-S46)</f>
        <v>100</v>
      </c>
      <c r="Q46" s="26">
        <f>(H12)</f>
        <v>2900</v>
      </c>
      <c r="R46" s="23">
        <f t="shared" ref="R46:R47" si="6">IF(Q46-S46&lt;0,0,Q46-S46)</f>
        <v>2900</v>
      </c>
      <c r="S46" s="229"/>
    </row>
    <row r="47">
      <c r="A47" s="13" t="s">
        <v>4</v>
      </c>
      <c r="B47" s="8"/>
      <c r="C47" s="14" t="s">
        <v>155</v>
      </c>
      <c r="D47" s="8"/>
      <c r="E47" s="15" t="s">
        <v>5</v>
      </c>
      <c r="F47" s="8"/>
      <c r="G47" s="16">
        <v>46289.0</v>
      </c>
      <c r="H47" s="5"/>
      <c r="I47" s="6"/>
      <c r="L47" s="278"/>
      <c r="M47" s="279"/>
      <c r="N47" s="392" t="s">
        <v>156</v>
      </c>
      <c r="O47" s="393" t="s">
        <v>128</v>
      </c>
      <c r="P47" s="394">
        <f t="shared" si="5"/>
        <v>13</v>
      </c>
      <c r="Q47" s="395">
        <f>(H54)</f>
        <v>1487</v>
      </c>
      <c r="R47" s="280">
        <f t="shared" si="6"/>
        <v>1487</v>
      </c>
      <c r="S47" s="284"/>
    </row>
    <row r="48">
      <c r="A48" s="13" t="s">
        <v>14</v>
      </c>
      <c r="B48" s="8"/>
      <c r="C48" s="14" t="s">
        <v>72</v>
      </c>
      <c r="D48" s="8"/>
      <c r="E48" s="15" t="s">
        <v>15</v>
      </c>
      <c r="F48" s="8"/>
      <c r="G48" s="21"/>
      <c r="H48" s="5"/>
      <c r="I48" s="6"/>
    </row>
    <row r="49">
      <c r="A49" s="13" t="s">
        <v>16</v>
      </c>
      <c r="B49" s="8"/>
      <c r="C49" s="27" t="s">
        <v>37</v>
      </c>
      <c r="D49" s="8"/>
      <c r="E49" s="15" t="s">
        <v>17</v>
      </c>
      <c r="F49" s="8"/>
      <c r="G49" s="21"/>
      <c r="H49" s="5"/>
      <c r="I49" s="6"/>
    </row>
    <row r="50">
      <c r="A50" s="10"/>
      <c r="I50" s="53"/>
    </row>
    <row r="51">
      <c r="A51" s="31" t="s">
        <v>18</v>
      </c>
      <c r="B51" s="32" t="s">
        <v>19</v>
      </c>
      <c r="C51" s="33" t="s">
        <v>20</v>
      </c>
      <c r="D51" s="32" t="s">
        <v>21</v>
      </c>
      <c r="E51" s="34"/>
      <c r="F51" s="33" t="s">
        <v>6</v>
      </c>
      <c r="G51" s="35" t="s">
        <v>102</v>
      </c>
      <c r="H51" s="5"/>
      <c r="I51" s="6"/>
    </row>
    <row r="52">
      <c r="A52" s="37">
        <v>1.0</v>
      </c>
      <c r="B52" s="39">
        <v>25.9</v>
      </c>
      <c r="C52" s="42" t="s">
        <v>158</v>
      </c>
      <c r="D52" s="43">
        <v>200.0</v>
      </c>
      <c r="E52" s="34"/>
      <c r="F52" s="41" t="s">
        <v>22</v>
      </c>
      <c r="G52" s="5"/>
      <c r="H52" s="5"/>
      <c r="I52" s="6"/>
    </row>
    <row r="53">
      <c r="A53" s="37">
        <v>2.0</v>
      </c>
      <c r="B53" s="39">
        <v>26.1</v>
      </c>
      <c r="C53" s="42" t="s">
        <v>158</v>
      </c>
      <c r="D53" s="43">
        <v>200.0</v>
      </c>
      <c r="E53" s="34"/>
      <c r="F53" s="33" t="s">
        <v>23</v>
      </c>
      <c r="G53" s="33" t="s">
        <v>20</v>
      </c>
      <c r="H53" s="46" t="s">
        <v>21</v>
      </c>
      <c r="I53" s="47" t="s">
        <v>24</v>
      </c>
    </row>
    <row r="54">
      <c r="A54" s="37">
        <v>3.0</v>
      </c>
      <c r="B54" s="39">
        <v>26.1</v>
      </c>
      <c r="C54" s="42" t="s">
        <v>158</v>
      </c>
      <c r="D54" s="43">
        <v>200.0</v>
      </c>
      <c r="E54" s="34"/>
      <c r="F54" s="42">
        <v>1.0</v>
      </c>
      <c r="G54" s="42" t="s">
        <v>158</v>
      </c>
      <c r="H54" s="48">
        <f t="shared" ref="H54:H67" si="7">IF(G54="","",SUMIF($C$52:$C$83,G54,$D$52:$D$83))</f>
        <v>1487</v>
      </c>
      <c r="I54" s="49">
        <f t="shared" ref="I54:I67" si="8">IF(G54="","",COUNTIFS($C$52:$C$83,G54,$D$52:$D$83,"&gt;0"))</f>
        <v>8</v>
      </c>
    </row>
    <row r="55">
      <c r="A55" s="37">
        <v>4.0</v>
      </c>
      <c r="B55" s="39">
        <v>25.9</v>
      </c>
      <c r="C55" s="42" t="s">
        <v>158</v>
      </c>
      <c r="D55" s="43">
        <v>200.0</v>
      </c>
      <c r="E55" s="34"/>
      <c r="F55" s="42"/>
      <c r="G55" s="42"/>
      <c r="H55" s="48" t="str">
        <f t="shared" si="7"/>
        <v/>
      </c>
      <c r="I55" s="49" t="str">
        <f t="shared" si="8"/>
        <v/>
      </c>
    </row>
    <row r="56">
      <c r="A56" s="37">
        <v>5.0</v>
      </c>
      <c r="B56" s="39">
        <v>26.0</v>
      </c>
      <c r="C56" s="42" t="s">
        <v>158</v>
      </c>
      <c r="D56" s="43">
        <v>200.0</v>
      </c>
      <c r="E56" s="34"/>
      <c r="F56" s="48"/>
      <c r="G56" s="48"/>
      <c r="H56" s="48" t="str">
        <f t="shared" si="7"/>
        <v/>
      </c>
      <c r="I56" s="49" t="str">
        <f t="shared" si="8"/>
        <v/>
      </c>
    </row>
    <row r="57">
      <c r="A57" s="37">
        <v>6.0</v>
      </c>
      <c r="B57" s="39">
        <v>26.0</v>
      </c>
      <c r="C57" s="42" t="s">
        <v>158</v>
      </c>
      <c r="D57" s="43">
        <v>200.0</v>
      </c>
      <c r="E57" s="34"/>
      <c r="F57" s="48"/>
      <c r="G57" s="48"/>
      <c r="H57" s="48" t="str">
        <f t="shared" si="7"/>
        <v/>
      </c>
      <c r="I57" s="49" t="str">
        <f t="shared" si="8"/>
        <v/>
      </c>
    </row>
    <row r="58">
      <c r="A58" s="37">
        <v>7.0</v>
      </c>
      <c r="B58" s="39">
        <v>25.9</v>
      </c>
      <c r="C58" s="42" t="s">
        <v>158</v>
      </c>
      <c r="D58" s="43">
        <v>200.0</v>
      </c>
      <c r="E58" s="34"/>
      <c r="F58" s="48"/>
      <c r="G58" s="48"/>
      <c r="H58" s="48" t="str">
        <f t="shared" si="7"/>
        <v/>
      </c>
      <c r="I58" s="49" t="str">
        <f t="shared" si="8"/>
        <v/>
      </c>
    </row>
    <row r="59">
      <c r="A59" s="37">
        <v>8.0</v>
      </c>
      <c r="B59" s="39">
        <v>11.4</v>
      </c>
      <c r="C59" s="42" t="s">
        <v>158</v>
      </c>
      <c r="D59" s="43">
        <v>87.0</v>
      </c>
      <c r="E59" s="34"/>
      <c r="F59" s="48"/>
      <c r="G59" s="48"/>
      <c r="H59" s="48" t="str">
        <f t="shared" si="7"/>
        <v/>
      </c>
      <c r="I59" s="49" t="str">
        <f t="shared" si="8"/>
        <v/>
      </c>
    </row>
    <row r="60">
      <c r="A60" s="37"/>
      <c r="B60" s="38"/>
      <c r="C60" s="38"/>
      <c r="D60" s="40"/>
      <c r="E60" s="34"/>
      <c r="F60" s="48"/>
      <c r="G60" s="48"/>
      <c r="H60" s="48" t="str">
        <f t="shared" si="7"/>
        <v/>
      </c>
      <c r="I60" s="49" t="str">
        <f t="shared" si="8"/>
        <v/>
      </c>
    </row>
    <row r="61">
      <c r="A61" s="37"/>
      <c r="B61" s="38"/>
      <c r="C61" s="38"/>
      <c r="D61" s="40"/>
      <c r="E61" s="34"/>
      <c r="F61" s="48"/>
      <c r="G61" s="48"/>
      <c r="H61" s="48" t="str">
        <f t="shared" si="7"/>
        <v/>
      </c>
      <c r="I61" s="49" t="str">
        <f t="shared" si="8"/>
        <v/>
      </c>
    </row>
    <row r="62">
      <c r="A62" s="37"/>
      <c r="B62" s="38"/>
      <c r="C62" s="38"/>
      <c r="D62" s="40"/>
      <c r="E62" s="34"/>
      <c r="F62" s="48"/>
      <c r="G62" s="48"/>
      <c r="H62" s="48" t="str">
        <f t="shared" si="7"/>
        <v/>
      </c>
      <c r="I62" s="49" t="str">
        <f t="shared" si="8"/>
        <v/>
      </c>
    </row>
    <row r="63">
      <c r="A63" s="37"/>
      <c r="B63" s="38"/>
      <c r="C63" s="38"/>
      <c r="D63" s="40"/>
      <c r="E63" s="34"/>
      <c r="F63" s="48"/>
      <c r="G63" s="48"/>
      <c r="H63" s="48" t="str">
        <f t="shared" si="7"/>
        <v/>
      </c>
      <c r="I63" s="49" t="str">
        <f t="shared" si="8"/>
        <v/>
      </c>
    </row>
    <row r="64">
      <c r="A64" s="37"/>
      <c r="B64" s="38"/>
      <c r="C64" s="38"/>
      <c r="D64" s="40"/>
      <c r="E64" s="34"/>
      <c r="F64" s="48"/>
      <c r="G64" s="48"/>
      <c r="H64" s="48" t="str">
        <f t="shared" si="7"/>
        <v/>
      </c>
      <c r="I64" s="49" t="str">
        <f t="shared" si="8"/>
        <v/>
      </c>
    </row>
    <row r="65">
      <c r="A65" s="50"/>
      <c r="B65" s="38"/>
      <c r="C65" s="38"/>
      <c r="D65" s="40"/>
      <c r="E65" s="34"/>
      <c r="F65" s="48"/>
      <c r="G65" s="48"/>
      <c r="H65" s="48" t="str">
        <f t="shared" si="7"/>
        <v/>
      </c>
      <c r="I65" s="49" t="str">
        <f t="shared" si="8"/>
        <v/>
      </c>
    </row>
    <row r="66">
      <c r="A66" s="50"/>
      <c r="B66" s="38"/>
      <c r="C66" s="38"/>
      <c r="D66" s="40"/>
      <c r="E66" s="34"/>
      <c r="F66" s="48"/>
      <c r="G66" s="48"/>
      <c r="H66" s="48" t="str">
        <f t="shared" si="7"/>
        <v/>
      </c>
      <c r="I66" s="49" t="str">
        <f t="shared" si="8"/>
        <v/>
      </c>
    </row>
    <row r="67">
      <c r="A67" s="50"/>
      <c r="B67" s="38"/>
      <c r="C67" s="38"/>
      <c r="D67" s="40"/>
      <c r="E67" s="34"/>
      <c r="F67" s="48"/>
      <c r="G67" s="48"/>
      <c r="H67" s="48" t="str">
        <f t="shared" si="7"/>
        <v/>
      </c>
      <c r="I67" s="49" t="str">
        <f t="shared" si="8"/>
        <v/>
      </c>
    </row>
    <row r="68">
      <c r="A68" s="50"/>
      <c r="B68" s="38"/>
      <c r="C68" s="38"/>
      <c r="D68" s="40"/>
      <c r="E68" s="34"/>
      <c r="F68" s="34"/>
      <c r="G68" s="34"/>
      <c r="H68" s="34"/>
      <c r="I68" s="53"/>
    </row>
    <row r="69">
      <c r="A69" s="50"/>
      <c r="B69" s="38"/>
      <c r="C69" s="38"/>
      <c r="D69" s="40"/>
      <c r="E69" s="34"/>
      <c r="F69" s="34"/>
      <c r="G69" s="34"/>
      <c r="H69" s="34"/>
      <c r="I69" s="53"/>
    </row>
    <row r="70">
      <c r="A70" s="50"/>
      <c r="B70" s="38"/>
      <c r="C70" s="38"/>
      <c r="D70" s="40"/>
      <c r="E70" s="34"/>
      <c r="F70" s="34"/>
      <c r="G70" s="34"/>
      <c r="H70" s="34"/>
      <c r="I70" s="53"/>
    </row>
    <row r="71">
      <c r="A71" s="50"/>
      <c r="B71" s="38"/>
      <c r="C71" s="38"/>
      <c r="D71" s="40"/>
      <c r="E71" s="34"/>
      <c r="F71" s="34"/>
      <c r="G71" s="34"/>
      <c r="H71" s="34"/>
      <c r="I71" s="53"/>
    </row>
    <row r="72">
      <c r="A72" s="50"/>
      <c r="B72" s="38"/>
      <c r="C72" s="38"/>
      <c r="D72" s="40"/>
      <c r="E72" s="34"/>
      <c r="F72" s="54" t="s">
        <v>26</v>
      </c>
      <c r="G72" s="34"/>
      <c r="H72" s="34"/>
      <c r="I72" s="53"/>
    </row>
    <row r="73">
      <c r="A73" s="50"/>
      <c r="B73" s="38"/>
      <c r="C73" s="38"/>
      <c r="D73" s="40"/>
      <c r="E73" s="34"/>
      <c r="F73" s="55" t="s">
        <v>27</v>
      </c>
      <c r="I73" s="53"/>
    </row>
    <row r="74">
      <c r="A74" s="50"/>
      <c r="B74" s="38"/>
      <c r="C74" s="38"/>
      <c r="D74" s="40"/>
      <c r="E74" s="34"/>
      <c r="I74" s="53"/>
    </row>
    <row r="75">
      <c r="A75" s="50"/>
      <c r="B75" s="38"/>
      <c r="C75" s="38"/>
      <c r="D75" s="56"/>
      <c r="E75" s="34"/>
      <c r="I75" s="53"/>
    </row>
    <row r="76">
      <c r="A76" s="50"/>
      <c r="B76" s="38"/>
      <c r="C76" s="38"/>
      <c r="D76" s="56"/>
      <c r="E76" s="34"/>
      <c r="F76" s="55" t="s">
        <v>28</v>
      </c>
      <c r="I76" s="53"/>
    </row>
    <row r="77">
      <c r="A77" s="50"/>
      <c r="B77" s="38"/>
      <c r="C77" s="38"/>
      <c r="D77" s="56"/>
      <c r="E77" s="34"/>
      <c r="I77" s="53"/>
    </row>
    <row r="78">
      <c r="A78" s="50"/>
      <c r="B78" s="38"/>
      <c r="C78" s="38"/>
      <c r="D78" s="40"/>
      <c r="E78" s="34"/>
      <c r="I78" s="53"/>
    </row>
    <row r="79">
      <c r="A79" s="50"/>
      <c r="B79" s="38"/>
      <c r="C79" s="38"/>
      <c r="D79" s="40"/>
      <c r="E79" s="34"/>
      <c r="F79" s="34"/>
      <c r="G79" s="34"/>
      <c r="H79" s="34"/>
      <c r="I79" s="53"/>
    </row>
    <row r="80">
      <c r="A80" s="50"/>
      <c r="B80" s="38"/>
      <c r="C80" s="38"/>
      <c r="D80" s="40"/>
      <c r="E80" s="34"/>
      <c r="F80" s="34"/>
      <c r="G80" s="34"/>
      <c r="H80" s="34"/>
      <c r="I80" s="53"/>
    </row>
    <row r="81">
      <c r="A81" s="50"/>
      <c r="B81" s="38"/>
      <c r="C81" s="38"/>
      <c r="D81" s="57"/>
      <c r="E81" s="34"/>
      <c r="F81" s="34"/>
      <c r="G81" s="34"/>
      <c r="H81" s="34"/>
      <c r="I81" s="53"/>
    </row>
    <row r="82">
      <c r="A82" s="50"/>
      <c r="B82" s="38"/>
      <c r="C82" s="38"/>
      <c r="D82" s="57"/>
      <c r="E82" s="34"/>
      <c r="F82" s="34"/>
      <c r="G82" s="34"/>
      <c r="H82" s="34"/>
      <c r="I82" s="53"/>
    </row>
    <row r="83">
      <c r="A83" s="58"/>
      <c r="B83" s="59"/>
      <c r="C83" s="59"/>
      <c r="D83" s="60"/>
      <c r="E83" s="61"/>
      <c r="F83" s="61"/>
      <c r="G83" s="61"/>
      <c r="H83" s="61"/>
      <c r="I83" s="64"/>
    </row>
  </sheetData>
  <mergeCells count="54">
    <mergeCell ref="E49:F49"/>
    <mergeCell ref="A50:H50"/>
    <mergeCell ref="G51:I51"/>
    <mergeCell ref="F52:I52"/>
    <mergeCell ref="F73:H75"/>
    <mergeCell ref="F76:H78"/>
    <mergeCell ref="A48:B48"/>
    <mergeCell ref="C48:D48"/>
    <mergeCell ref="E48:F48"/>
    <mergeCell ref="G48:I48"/>
    <mergeCell ref="A49:B49"/>
    <mergeCell ref="C49:D49"/>
    <mergeCell ref="G49:I49"/>
    <mergeCell ref="A1:I1"/>
    <mergeCell ref="A2:I2"/>
    <mergeCell ref="A3:I3"/>
    <mergeCell ref="L3:N3"/>
    <mergeCell ref="O3:S3"/>
    <mergeCell ref="L4:N4"/>
    <mergeCell ref="O4:S4"/>
    <mergeCell ref="A4:H4"/>
    <mergeCell ref="A5:B5"/>
    <mergeCell ref="C5:D5"/>
    <mergeCell ref="E5:F5"/>
    <mergeCell ref="G5:I5"/>
    <mergeCell ref="A6:B6"/>
    <mergeCell ref="C6:D6"/>
    <mergeCell ref="E6:F6"/>
    <mergeCell ref="G6:I6"/>
    <mergeCell ref="L6:L7"/>
    <mergeCell ref="M6:M7"/>
    <mergeCell ref="A7:B7"/>
    <mergeCell ref="C7:D7"/>
    <mergeCell ref="G7:I7"/>
    <mergeCell ref="L43:N43"/>
    <mergeCell ref="O43:S43"/>
    <mergeCell ref="L44:N44"/>
    <mergeCell ref="O44:S44"/>
    <mergeCell ref="E7:F7"/>
    <mergeCell ref="A8:H8"/>
    <mergeCell ref="G9:I9"/>
    <mergeCell ref="F10:I10"/>
    <mergeCell ref="F31:H33"/>
    <mergeCell ref="F34:H36"/>
    <mergeCell ref="A43:I43"/>
    <mergeCell ref="E47:F47"/>
    <mergeCell ref="G47:I47"/>
    <mergeCell ref="A44:I44"/>
    <mergeCell ref="A45:I45"/>
    <mergeCell ref="A46:H46"/>
    <mergeCell ref="L46:L47"/>
    <mergeCell ref="M46:M47"/>
    <mergeCell ref="A47:B47"/>
    <mergeCell ref="C47:D47"/>
  </mergeCells>
  <conditionalFormatting sqref="P6:P7 P46:P47">
    <cfRule type="cellIs" dxfId="0" priority="1" operator="lessThanOrEqual">
      <formula>20</formula>
    </cfRule>
  </conditionalFormatting>
  <conditionalFormatting sqref="P6:P7 P46:P47">
    <cfRule type="cellIs" dxfId="1" priority="2" operator="greaterThanOrEqual">
      <formula>20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6.38"/>
    <col customWidth="1" min="4" max="4" width="8.88"/>
    <col customWidth="1" min="5" max="5" width="5.13"/>
    <col customWidth="1" min="6" max="6" width="7.63"/>
    <col customWidth="1" min="7" max="7" width="16.38"/>
    <col customWidth="1" min="8" max="9" width="8.88"/>
    <col customWidth="1" min="10" max="10" width="5.13"/>
  </cols>
  <sheetData>
    <row r="1" hidden="1">
      <c r="A1" s="396" t="s">
        <v>159</v>
      </c>
      <c r="B1" s="2"/>
      <c r="C1" s="2"/>
      <c r="D1" s="2"/>
      <c r="E1" s="2"/>
      <c r="F1" s="2"/>
      <c r="G1" s="2"/>
      <c r="H1" s="3"/>
    </row>
    <row r="2" hidden="1">
      <c r="A2" s="4" t="s">
        <v>0</v>
      </c>
      <c r="B2" s="5"/>
      <c r="C2" s="5"/>
      <c r="D2" s="5"/>
      <c r="E2" s="5"/>
      <c r="F2" s="5"/>
      <c r="G2" s="5"/>
      <c r="H2" s="6"/>
    </row>
    <row r="3" hidden="1">
      <c r="A3" s="4" t="s">
        <v>1</v>
      </c>
      <c r="B3" s="5"/>
      <c r="C3" s="5"/>
      <c r="D3" s="5"/>
      <c r="E3" s="5"/>
      <c r="F3" s="5"/>
      <c r="G3" s="5"/>
      <c r="H3" s="6"/>
      <c r="K3" s="7" t="s">
        <v>2</v>
      </c>
      <c r="L3" s="5"/>
      <c r="M3" s="8"/>
      <c r="N3" s="9"/>
      <c r="O3" s="5"/>
      <c r="P3" s="5"/>
      <c r="Q3" s="5"/>
      <c r="R3" s="8"/>
    </row>
    <row r="4" hidden="1">
      <c r="A4" s="10"/>
      <c r="B4" s="34"/>
      <c r="C4" s="34"/>
      <c r="D4" s="34"/>
      <c r="E4" s="34"/>
      <c r="F4" s="34"/>
      <c r="G4" s="34"/>
      <c r="H4" s="52"/>
      <c r="K4" s="7" t="s">
        <v>3</v>
      </c>
      <c r="L4" s="5"/>
      <c r="M4" s="8"/>
      <c r="N4" s="12"/>
      <c r="O4" s="5"/>
      <c r="P4" s="5"/>
      <c r="Q4" s="5"/>
      <c r="R4" s="8"/>
    </row>
    <row r="5" hidden="1">
      <c r="A5" s="13" t="s">
        <v>4</v>
      </c>
      <c r="B5" s="8"/>
      <c r="C5" s="336" t="s">
        <v>160</v>
      </c>
      <c r="D5" s="8"/>
      <c r="E5" s="15" t="s">
        <v>5</v>
      </c>
      <c r="F5" s="8"/>
      <c r="G5" s="397">
        <v>46255.0</v>
      </c>
      <c r="H5" s="6"/>
      <c r="K5" s="17" t="s">
        <v>6</v>
      </c>
      <c r="L5" s="17" t="s">
        <v>7</v>
      </c>
      <c r="M5" s="17" t="s">
        <v>8</v>
      </c>
      <c r="N5" s="18" t="s">
        <v>9</v>
      </c>
      <c r="O5" s="19" t="s">
        <v>10</v>
      </c>
      <c r="P5" s="20" t="s">
        <v>11</v>
      </c>
      <c r="Q5" s="17" t="s">
        <v>12</v>
      </c>
      <c r="R5" s="17" t="s">
        <v>13</v>
      </c>
    </row>
    <row r="6" hidden="1">
      <c r="A6" s="13" t="s">
        <v>14</v>
      </c>
      <c r="B6" s="8"/>
      <c r="C6" s="323" t="s">
        <v>37</v>
      </c>
      <c r="D6" s="8"/>
      <c r="E6" s="15" t="s">
        <v>15</v>
      </c>
      <c r="F6" s="8"/>
      <c r="G6" s="21"/>
      <c r="H6" s="6"/>
      <c r="K6" s="22"/>
      <c r="L6" s="22"/>
      <c r="M6" s="23"/>
      <c r="N6" s="24"/>
      <c r="O6" s="25">
        <f t="shared" ref="O6:O10" si="1">IF(N6-Q6-R6&lt;0,0,N6-Q6-R6)</f>
        <v>0</v>
      </c>
      <c r="P6" s="26"/>
      <c r="Q6" s="23">
        <f t="shared" ref="Q6:Q10" si="2">IF(P6-R6&lt;0,0,P6-R6)</f>
        <v>0</v>
      </c>
      <c r="R6" s="24"/>
    </row>
    <row r="7" hidden="1">
      <c r="A7" s="13" t="s">
        <v>16</v>
      </c>
      <c r="B7" s="8"/>
      <c r="C7" s="326" t="s">
        <v>161</v>
      </c>
      <c r="D7" s="8"/>
      <c r="E7" s="15" t="s">
        <v>17</v>
      </c>
      <c r="F7" s="8"/>
      <c r="G7" s="323" t="s">
        <v>162</v>
      </c>
      <c r="H7" s="6"/>
      <c r="K7" s="28"/>
      <c r="L7" s="28"/>
      <c r="M7" s="23"/>
      <c r="N7" s="24"/>
      <c r="O7" s="25">
        <f t="shared" si="1"/>
        <v>0</v>
      </c>
      <c r="P7" s="26"/>
      <c r="Q7" s="23">
        <f t="shared" si="2"/>
        <v>0</v>
      </c>
      <c r="R7" s="29"/>
    </row>
    <row r="8" hidden="1">
      <c r="A8" s="10"/>
      <c r="B8" s="34"/>
      <c r="C8" s="34"/>
      <c r="D8" s="34"/>
      <c r="E8" s="34"/>
      <c r="F8" s="34"/>
      <c r="G8" s="34"/>
      <c r="H8" s="52"/>
      <c r="K8" s="28"/>
      <c r="L8" s="28"/>
      <c r="M8" s="30"/>
      <c r="N8" s="24"/>
      <c r="O8" s="25">
        <f t="shared" si="1"/>
        <v>0</v>
      </c>
      <c r="P8" s="26"/>
      <c r="Q8" s="23">
        <f t="shared" si="2"/>
        <v>0</v>
      </c>
      <c r="R8" s="29"/>
    </row>
    <row r="9" hidden="1">
      <c r="A9" s="31" t="s">
        <v>18</v>
      </c>
      <c r="B9" s="33" t="s">
        <v>19</v>
      </c>
      <c r="C9" s="33" t="s">
        <v>20</v>
      </c>
      <c r="D9" s="33" t="s">
        <v>21</v>
      </c>
      <c r="E9" s="34"/>
      <c r="F9" s="33" t="s">
        <v>6</v>
      </c>
      <c r="G9" s="338" t="s">
        <v>163</v>
      </c>
      <c r="H9" s="6"/>
      <c r="K9" s="28"/>
      <c r="L9" s="28"/>
      <c r="M9" s="30"/>
      <c r="N9" s="24"/>
      <c r="O9" s="25">
        <f t="shared" si="1"/>
        <v>0</v>
      </c>
      <c r="P9" s="26"/>
      <c r="Q9" s="23">
        <f t="shared" si="2"/>
        <v>0</v>
      </c>
      <c r="R9" s="36"/>
    </row>
    <row r="10" hidden="1">
      <c r="A10" s="50">
        <v>1.0</v>
      </c>
      <c r="B10" s="398">
        <v>24.5</v>
      </c>
      <c r="C10" s="48" t="s">
        <v>164</v>
      </c>
      <c r="D10" s="56">
        <v>200.0</v>
      </c>
      <c r="E10" s="34"/>
      <c r="F10" s="41" t="s">
        <v>22</v>
      </c>
      <c r="G10" s="5"/>
      <c r="H10" s="6"/>
      <c r="K10" s="44"/>
      <c r="L10" s="44"/>
      <c r="M10" s="30"/>
      <c r="N10" s="24"/>
      <c r="O10" s="25">
        <f t="shared" si="1"/>
        <v>0</v>
      </c>
      <c r="P10" s="26"/>
      <c r="Q10" s="23">
        <f t="shared" si="2"/>
        <v>0</v>
      </c>
      <c r="R10" s="36"/>
    </row>
    <row r="11" hidden="1">
      <c r="A11" s="50">
        <v>2.0</v>
      </c>
      <c r="B11" s="398">
        <v>24.4</v>
      </c>
      <c r="C11" s="48" t="s">
        <v>164</v>
      </c>
      <c r="D11" s="56">
        <v>200.0</v>
      </c>
      <c r="E11" s="34"/>
      <c r="F11" s="33" t="s">
        <v>23</v>
      </c>
      <c r="G11" s="33" t="s">
        <v>20</v>
      </c>
      <c r="H11" s="329" t="s">
        <v>21</v>
      </c>
    </row>
    <row r="12" hidden="1">
      <c r="A12" s="50">
        <v>3.0</v>
      </c>
      <c r="B12" s="398">
        <v>24.5</v>
      </c>
      <c r="C12" s="48" t="s">
        <v>164</v>
      </c>
      <c r="D12" s="56">
        <v>200.0</v>
      </c>
      <c r="E12" s="34"/>
      <c r="F12" s="56">
        <v>1.0</v>
      </c>
      <c r="G12" s="48" t="s">
        <v>164</v>
      </c>
      <c r="H12" s="399">
        <f>SUM(D10:D34)</f>
        <v>5010</v>
      </c>
    </row>
    <row r="13" hidden="1">
      <c r="A13" s="50">
        <v>4.0</v>
      </c>
      <c r="B13" s="398">
        <v>24.4</v>
      </c>
      <c r="C13" s="48" t="s">
        <v>164</v>
      </c>
      <c r="D13" s="56">
        <v>200.0</v>
      </c>
      <c r="E13" s="34"/>
      <c r="F13" s="56">
        <v>2.0</v>
      </c>
      <c r="G13" s="48" t="s">
        <v>165</v>
      </c>
      <c r="H13" s="399">
        <f>SUM(D35:D60)</f>
        <v>5092</v>
      </c>
    </row>
    <row r="14" hidden="1">
      <c r="A14" s="50">
        <v>5.0</v>
      </c>
      <c r="B14" s="398">
        <v>24.5</v>
      </c>
      <c r="C14" s="48" t="s">
        <v>164</v>
      </c>
      <c r="D14" s="56">
        <v>200.0</v>
      </c>
      <c r="E14" s="34"/>
      <c r="F14" s="48"/>
      <c r="G14" s="48"/>
      <c r="H14" s="49"/>
    </row>
    <row r="15" hidden="1">
      <c r="A15" s="50">
        <v>6.0</v>
      </c>
      <c r="B15" s="398">
        <v>24.5</v>
      </c>
      <c r="C15" s="48" t="s">
        <v>164</v>
      </c>
      <c r="D15" s="56">
        <v>200.0</v>
      </c>
      <c r="E15" s="34"/>
      <c r="F15" s="48"/>
      <c r="G15" s="48"/>
      <c r="H15" s="49"/>
    </row>
    <row r="16" hidden="1">
      <c r="A16" s="50">
        <v>7.0</v>
      </c>
      <c r="B16" s="398">
        <v>24.5</v>
      </c>
      <c r="C16" s="48" t="s">
        <v>164</v>
      </c>
      <c r="D16" s="56">
        <v>200.0</v>
      </c>
      <c r="E16" s="34"/>
      <c r="F16" s="48"/>
      <c r="G16" s="48"/>
      <c r="H16" s="49"/>
    </row>
    <row r="17" hidden="1">
      <c r="A17" s="50">
        <v>8.0</v>
      </c>
      <c r="B17" s="398">
        <v>24.1</v>
      </c>
      <c r="C17" s="48" t="s">
        <v>164</v>
      </c>
      <c r="D17" s="56">
        <v>200.0</v>
      </c>
      <c r="E17" s="34"/>
      <c r="F17" s="48"/>
      <c r="G17" s="48"/>
      <c r="H17" s="49"/>
    </row>
    <row r="18" hidden="1">
      <c r="A18" s="50">
        <v>9.0</v>
      </c>
      <c r="B18" s="398">
        <v>24.1</v>
      </c>
      <c r="C18" s="48" t="s">
        <v>164</v>
      </c>
      <c r="D18" s="56">
        <v>200.0</v>
      </c>
      <c r="E18" s="34"/>
      <c r="F18" s="48"/>
      <c r="G18" s="48"/>
      <c r="H18" s="49"/>
    </row>
    <row r="19" hidden="1">
      <c r="A19" s="400">
        <v>10.0</v>
      </c>
      <c r="B19" s="401">
        <v>23.9</v>
      </c>
      <c r="C19" s="48" t="s">
        <v>164</v>
      </c>
      <c r="D19" s="402">
        <v>200.0</v>
      </c>
      <c r="E19" s="34"/>
      <c r="F19" s="48"/>
      <c r="G19" s="48"/>
      <c r="H19" s="49"/>
    </row>
    <row r="20" hidden="1">
      <c r="A20" s="50">
        <v>11.0</v>
      </c>
      <c r="B20" s="398">
        <v>24.0</v>
      </c>
      <c r="C20" s="48" t="s">
        <v>164</v>
      </c>
      <c r="D20" s="56">
        <v>200.0</v>
      </c>
      <c r="E20" s="34"/>
      <c r="F20" s="48"/>
      <c r="G20" s="48"/>
      <c r="H20" s="49"/>
    </row>
    <row r="21" hidden="1">
      <c r="A21" s="50">
        <v>12.0</v>
      </c>
      <c r="B21" s="398">
        <v>24.6</v>
      </c>
      <c r="C21" s="48" t="s">
        <v>164</v>
      </c>
      <c r="D21" s="56">
        <v>200.0</v>
      </c>
      <c r="E21" s="34"/>
      <c r="F21" s="48"/>
      <c r="G21" s="48"/>
      <c r="H21" s="49"/>
    </row>
    <row r="22" hidden="1">
      <c r="A22" s="50">
        <v>13.0</v>
      </c>
      <c r="B22" s="398">
        <v>24.7</v>
      </c>
      <c r="C22" s="48" t="s">
        <v>164</v>
      </c>
      <c r="D22" s="56">
        <v>200.0</v>
      </c>
      <c r="E22" s="34"/>
      <c r="F22" s="48"/>
      <c r="G22" s="48"/>
      <c r="H22" s="49"/>
    </row>
    <row r="23" hidden="1">
      <c r="A23" s="50">
        <v>14.0</v>
      </c>
      <c r="B23" s="398">
        <v>24.5</v>
      </c>
      <c r="C23" s="48" t="s">
        <v>164</v>
      </c>
      <c r="D23" s="56">
        <v>200.0</v>
      </c>
      <c r="E23" s="34"/>
      <c r="F23" s="48"/>
      <c r="G23" s="48"/>
      <c r="H23" s="49"/>
    </row>
    <row r="24" hidden="1">
      <c r="A24" s="50">
        <v>15.0</v>
      </c>
      <c r="B24" s="398">
        <v>24.5</v>
      </c>
      <c r="C24" s="48" t="s">
        <v>164</v>
      </c>
      <c r="D24" s="56">
        <v>200.0</v>
      </c>
      <c r="E24" s="34"/>
      <c r="F24" s="48"/>
      <c r="G24" s="48"/>
      <c r="H24" s="49"/>
    </row>
    <row r="25" hidden="1">
      <c r="A25" s="50">
        <v>16.0</v>
      </c>
      <c r="B25" s="398">
        <v>24.4</v>
      </c>
      <c r="C25" s="48" t="s">
        <v>164</v>
      </c>
      <c r="D25" s="56">
        <v>200.0</v>
      </c>
      <c r="E25" s="34"/>
      <c r="F25" s="48"/>
      <c r="G25" s="48"/>
      <c r="H25" s="49"/>
    </row>
    <row r="26" hidden="1">
      <c r="A26" s="50">
        <v>17.0</v>
      </c>
      <c r="B26" s="398">
        <v>24.4</v>
      </c>
      <c r="C26" s="48" t="s">
        <v>164</v>
      </c>
      <c r="D26" s="56">
        <v>200.0</v>
      </c>
      <c r="E26" s="34"/>
      <c r="F26" s="34"/>
      <c r="G26" s="34"/>
      <c r="H26" s="52"/>
    </row>
    <row r="27" hidden="1">
      <c r="A27" s="50">
        <v>18.0</v>
      </c>
      <c r="B27" s="398">
        <v>24.6</v>
      </c>
      <c r="C27" s="48" t="s">
        <v>164</v>
      </c>
      <c r="D27" s="56">
        <v>200.0</v>
      </c>
      <c r="E27" s="34"/>
      <c r="F27" s="34"/>
      <c r="G27" s="34"/>
      <c r="H27" s="52"/>
    </row>
    <row r="28" hidden="1">
      <c r="A28" s="50">
        <v>19.0</v>
      </c>
      <c r="B28" s="398">
        <v>24.0</v>
      </c>
      <c r="C28" s="48" t="s">
        <v>164</v>
      </c>
      <c r="D28" s="56">
        <v>200.0</v>
      </c>
      <c r="E28" s="34"/>
      <c r="F28" s="34"/>
      <c r="G28" s="34"/>
      <c r="H28" s="52"/>
    </row>
    <row r="29" hidden="1">
      <c r="A29" s="50">
        <v>20.0</v>
      </c>
      <c r="B29" s="398">
        <v>24.1</v>
      </c>
      <c r="C29" s="48" t="s">
        <v>164</v>
      </c>
      <c r="D29" s="56">
        <v>200.0</v>
      </c>
      <c r="E29" s="34"/>
      <c r="F29" s="34"/>
      <c r="G29" s="34"/>
      <c r="H29" s="52"/>
    </row>
    <row r="30" hidden="1">
      <c r="A30" s="50">
        <v>21.0</v>
      </c>
      <c r="B30" s="398">
        <v>24.1</v>
      </c>
      <c r="C30" s="48" t="s">
        <v>164</v>
      </c>
      <c r="D30" s="56">
        <v>200.0</v>
      </c>
      <c r="E30" s="34"/>
      <c r="F30" s="54" t="s">
        <v>26</v>
      </c>
      <c r="G30" s="34"/>
      <c r="H30" s="52"/>
    </row>
    <row r="31" hidden="1">
      <c r="A31" s="50">
        <v>22.0</v>
      </c>
      <c r="B31" s="398">
        <v>24.0</v>
      </c>
      <c r="C31" s="48" t="s">
        <v>164</v>
      </c>
      <c r="D31" s="56">
        <v>200.0</v>
      </c>
      <c r="E31" s="34"/>
      <c r="F31" s="55" t="s">
        <v>27</v>
      </c>
      <c r="H31" s="11"/>
    </row>
    <row r="32" hidden="1">
      <c r="A32" s="50">
        <v>23.0</v>
      </c>
      <c r="B32" s="398">
        <v>24.0</v>
      </c>
      <c r="C32" s="48" t="s">
        <v>164</v>
      </c>
      <c r="D32" s="56">
        <v>200.0</v>
      </c>
      <c r="E32" s="34"/>
      <c r="H32" s="11"/>
    </row>
    <row r="33" hidden="1">
      <c r="A33" s="400">
        <v>24.0</v>
      </c>
      <c r="B33" s="401">
        <v>23.9</v>
      </c>
      <c r="C33" s="48" t="s">
        <v>164</v>
      </c>
      <c r="D33" s="402">
        <v>200.0</v>
      </c>
      <c r="E33" s="34"/>
      <c r="H33" s="11"/>
    </row>
    <row r="34" hidden="1">
      <c r="A34" s="50">
        <v>25.0</v>
      </c>
      <c r="B34" s="398">
        <v>25.4</v>
      </c>
      <c r="C34" s="48" t="s">
        <v>164</v>
      </c>
      <c r="D34" s="56">
        <v>210.0</v>
      </c>
      <c r="E34" s="34"/>
      <c r="F34" s="55" t="s">
        <v>28</v>
      </c>
      <c r="H34" s="11"/>
    </row>
    <row r="35" hidden="1">
      <c r="A35" s="50">
        <v>26.0</v>
      </c>
      <c r="B35" s="398">
        <v>27.5</v>
      </c>
      <c r="C35" s="48" t="s">
        <v>165</v>
      </c>
      <c r="D35" s="56">
        <v>200.0</v>
      </c>
      <c r="E35" s="34"/>
      <c r="H35" s="11"/>
    </row>
    <row r="36" hidden="1">
      <c r="A36" s="50">
        <v>27.0</v>
      </c>
      <c r="B36" s="398">
        <v>27.5</v>
      </c>
      <c r="C36" s="48" t="s">
        <v>165</v>
      </c>
      <c r="D36" s="56">
        <v>200.0</v>
      </c>
      <c r="E36" s="34"/>
      <c r="H36" s="11"/>
    </row>
    <row r="37" hidden="1">
      <c r="A37" s="50">
        <v>28.0</v>
      </c>
      <c r="B37" s="398">
        <v>27.5</v>
      </c>
      <c r="C37" s="48" t="s">
        <v>165</v>
      </c>
      <c r="D37" s="56">
        <v>200.0</v>
      </c>
      <c r="E37" s="34"/>
      <c r="F37" s="34"/>
      <c r="G37" s="34"/>
      <c r="H37" s="52"/>
    </row>
    <row r="38" hidden="1">
      <c r="A38" s="50">
        <v>29.0</v>
      </c>
      <c r="B38" s="398">
        <v>27.5</v>
      </c>
      <c r="C38" s="48" t="s">
        <v>165</v>
      </c>
      <c r="D38" s="56">
        <v>200.0</v>
      </c>
      <c r="E38" s="34"/>
      <c r="F38" s="34"/>
      <c r="G38" s="34"/>
      <c r="H38" s="52"/>
    </row>
    <row r="39" hidden="1">
      <c r="A39" s="50">
        <v>30.0</v>
      </c>
      <c r="B39" s="398">
        <v>27.4</v>
      </c>
      <c r="C39" s="48" t="s">
        <v>165</v>
      </c>
      <c r="D39" s="56">
        <v>200.0</v>
      </c>
      <c r="E39" s="34"/>
      <c r="F39" s="34"/>
      <c r="G39" s="34"/>
      <c r="H39" s="52"/>
    </row>
    <row r="40" hidden="1">
      <c r="A40" s="50">
        <v>31.0</v>
      </c>
      <c r="B40" s="403">
        <v>27.4</v>
      </c>
      <c r="C40" s="48" t="s">
        <v>165</v>
      </c>
      <c r="D40" s="56">
        <v>200.0</v>
      </c>
      <c r="E40" s="34"/>
      <c r="F40" s="34"/>
      <c r="G40" s="34"/>
      <c r="H40" s="52"/>
    </row>
    <row r="41" hidden="1">
      <c r="A41" s="50">
        <v>32.0</v>
      </c>
      <c r="B41" s="403">
        <v>27.4</v>
      </c>
      <c r="C41" s="48" t="s">
        <v>165</v>
      </c>
      <c r="D41" s="56">
        <v>200.0</v>
      </c>
      <c r="E41" s="34"/>
      <c r="F41" s="34"/>
      <c r="G41" s="34"/>
      <c r="H41" s="52"/>
    </row>
    <row r="42" hidden="1">
      <c r="A42" s="50">
        <v>33.0</v>
      </c>
      <c r="B42" s="403">
        <v>27.4</v>
      </c>
      <c r="C42" s="48" t="s">
        <v>165</v>
      </c>
      <c r="D42" s="56">
        <v>200.0</v>
      </c>
      <c r="E42" s="34"/>
      <c r="F42" s="34"/>
      <c r="G42" s="34"/>
      <c r="H42" s="52"/>
    </row>
    <row r="43" hidden="1">
      <c r="A43" s="50">
        <v>34.0</v>
      </c>
      <c r="B43" s="403">
        <v>27.6</v>
      </c>
      <c r="C43" s="48" t="s">
        <v>165</v>
      </c>
      <c r="D43" s="56">
        <v>200.0</v>
      </c>
      <c r="E43" s="34"/>
      <c r="F43" s="34"/>
      <c r="G43" s="34"/>
      <c r="H43" s="52"/>
    </row>
    <row r="44" hidden="1">
      <c r="A44" s="50">
        <v>35.0</v>
      </c>
      <c r="B44" s="403">
        <v>27.5</v>
      </c>
      <c r="C44" s="48" t="s">
        <v>165</v>
      </c>
      <c r="D44" s="57">
        <v>200.0</v>
      </c>
      <c r="E44" s="34"/>
      <c r="F44" s="34"/>
      <c r="G44" s="34"/>
      <c r="H44" s="52"/>
    </row>
    <row r="45" hidden="1">
      <c r="A45" s="50">
        <v>36.0</v>
      </c>
      <c r="B45" s="403">
        <v>27.6</v>
      </c>
      <c r="C45" s="48" t="s">
        <v>165</v>
      </c>
      <c r="D45" s="57">
        <v>200.0</v>
      </c>
      <c r="E45" s="34"/>
      <c r="F45" s="34"/>
      <c r="G45" s="34"/>
      <c r="H45" s="52"/>
    </row>
    <row r="46" hidden="1">
      <c r="A46" s="50">
        <v>37.0</v>
      </c>
      <c r="B46" s="403">
        <v>27.6</v>
      </c>
      <c r="C46" s="48" t="s">
        <v>165</v>
      </c>
      <c r="D46" s="57">
        <v>200.0</v>
      </c>
      <c r="E46" s="34"/>
      <c r="F46" s="34"/>
      <c r="G46" s="34"/>
      <c r="H46" s="52"/>
    </row>
    <row r="47" hidden="1">
      <c r="A47" s="50">
        <v>38.0</v>
      </c>
      <c r="B47" s="403">
        <v>27.7</v>
      </c>
      <c r="C47" s="48" t="s">
        <v>165</v>
      </c>
      <c r="D47" s="57">
        <v>200.0</v>
      </c>
      <c r="E47" s="34"/>
      <c r="F47" s="34"/>
      <c r="G47" s="34"/>
      <c r="H47" s="52"/>
    </row>
    <row r="48" hidden="1">
      <c r="A48" s="50">
        <v>39.0</v>
      </c>
      <c r="B48" s="403">
        <v>27.5</v>
      </c>
      <c r="C48" s="48" t="s">
        <v>165</v>
      </c>
      <c r="D48" s="57">
        <v>200.0</v>
      </c>
      <c r="E48" s="34"/>
      <c r="F48" s="34"/>
      <c r="G48" s="34"/>
      <c r="H48" s="52"/>
    </row>
    <row r="49" hidden="1">
      <c r="A49" s="50">
        <v>40.0</v>
      </c>
      <c r="B49" s="403">
        <v>27.5</v>
      </c>
      <c r="C49" s="48" t="s">
        <v>165</v>
      </c>
      <c r="D49" s="57">
        <v>200.0</v>
      </c>
      <c r="E49" s="34"/>
      <c r="F49" s="34"/>
      <c r="G49" s="34"/>
      <c r="H49" s="52"/>
    </row>
    <row r="50" hidden="1">
      <c r="A50" s="50">
        <v>41.0</v>
      </c>
      <c r="B50" s="403">
        <v>27.6</v>
      </c>
      <c r="C50" s="48" t="s">
        <v>165</v>
      </c>
      <c r="D50" s="57">
        <v>200.0</v>
      </c>
      <c r="E50" s="34"/>
      <c r="F50" s="34"/>
      <c r="G50" s="34"/>
      <c r="H50" s="52"/>
    </row>
    <row r="51" hidden="1">
      <c r="A51" s="50">
        <v>42.0</v>
      </c>
      <c r="B51" s="403">
        <v>27.6</v>
      </c>
      <c r="C51" s="48" t="s">
        <v>165</v>
      </c>
      <c r="D51" s="57">
        <v>200.0</v>
      </c>
      <c r="E51" s="34"/>
      <c r="F51" s="34"/>
      <c r="G51" s="34"/>
      <c r="H51" s="52"/>
    </row>
    <row r="52" hidden="1">
      <c r="A52" s="50">
        <v>43.0</v>
      </c>
      <c r="B52" s="403">
        <v>27.5</v>
      </c>
      <c r="C52" s="48" t="s">
        <v>165</v>
      </c>
      <c r="D52" s="57">
        <v>200.0</v>
      </c>
      <c r="E52" s="34"/>
      <c r="F52" s="34"/>
      <c r="G52" s="34"/>
      <c r="H52" s="52"/>
    </row>
    <row r="53" hidden="1">
      <c r="A53" s="50">
        <v>44.0</v>
      </c>
      <c r="B53" s="403">
        <v>27.5</v>
      </c>
      <c r="C53" s="48" t="s">
        <v>165</v>
      </c>
      <c r="D53" s="57">
        <v>200.0</v>
      </c>
      <c r="E53" s="34"/>
      <c r="F53" s="34"/>
      <c r="G53" s="34"/>
      <c r="H53" s="52"/>
    </row>
    <row r="54" hidden="1">
      <c r="A54" s="50">
        <v>45.0</v>
      </c>
      <c r="B54" s="403">
        <v>27.5</v>
      </c>
      <c r="C54" s="48" t="s">
        <v>165</v>
      </c>
      <c r="D54" s="57">
        <v>200.0</v>
      </c>
      <c r="E54" s="34"/>
      <c r="F54" s="34"/>
      <c r="G54" s="34"/>
      <c r="H54" s="52"/>
    </row>
    <row r="55" hidden="1">
      <c r="A55" s="50">
        <v>46.0</v>
      </c>
      <c r="B55" s="403">
        <v>27.6</v>
      </c>
      <c r="C55" s="48" t="s">
        <v>165</v>
      </c>
      <c r="D55" s="57">
        <v>200.0</v>
      </c>
      <c r="E55" s="34"/>
      <c r="F55" s="34"/>
      <c r="G55" s="34"/>
      <c r="H55" s="52"/>
    </row>
    <row r="56" hidden="1">
      <c r="A56" s="50">
        <v>47.0</v>
      </c>
      <c r="B56" s="403">
        <v>27.5</v>
      </c>
      <c r="C56" s="48" t="s">
        <v>165</v>
      </c>
      <c r="D56" s="57">
        <v>200.0</v>
      </c>
      <c r="E56" s="34"/>
      <c r="F56" s="34"/>
      <c r="G56" s="34"/>
      <c r="H56" s="52"/>
    </row>
    <row r="57" hidden="1">
      <c r="A57" s="50">
        <v>48.0</v>
      </c>
      <c r="B57" s="403">
        <v>27.6</v>
      </c>
      <c r="C57" s="48" t="s">
        <v>165</v>
      </c>
      <c r="D57" s="57">
        <v>200.0</v>
      </c>
      <c r="E57" s="34"/>
      <c r="F57" s="34"/>
      <c r="G57" s="34"/>
      <c r="H57" s="52"/>
    </row>
    <row r="58" hidden="1">
      <c r="A58" s="50">
        <v>49.0</v>
      </c>
      <c r="B58" s="403">
        <v>27.4</v>
      </c>
      <c r="C58" s="48" t="s">
        <v>165</v>
      </c>
      <c r="D58" s="57">
        <v>200.0</v>
      </c>
      <c r="E58" s="34"/>
      <c r="F58" s="34"/>
      <c r="G58" s="34"/>
      <c r="H58" s="52"/>
    </row>
    <row r="59" hidden="1">
      <c r="A59" s="50">
        <v>50.0</v>
      </c>
      <c r="B59" s="403">
        <v>12.9</v>
      </c>
      <c r="C59" s="48" t="s">
        <v>165</v>
      </c>
      <c r="D59" s="57">
        <v>92.0</v>
      </c>
      <c r="E59" s="34"/>
      <c r="F59" s="34"/>
      <c r="G59" s="34"/>
      <c r="H59" s="52"/>
    </row>
    <row r="60" hidden="1">
      <c r="A60" s="58">
        <v>51.0</v>
      </c>
      <c r="B60" s="404">
        <v>27.4</v>
      </c>
      <c r="C60" s="333" t="s">
        <v>165</v>
      </c>
      <c r="D60" s="60">
        <v>200.0</v>
      </c>
      <c r="E60" s="61"/>
      <c r="F60" s="61"/>
      <c r="G60" s="61"/>
      <c r="H60" s="62"/>
    </row>
    <row r="61" hidden="1"/>
    <row r="64">
      <c r="A64" s="1" t="s">
        <v>0</v>
      </c>
      <c r="B64" s="2"/>
      <c r="C64" s="2"/>
      <c r="D64" s="2"/>
      <c r="E64" s="2"/>
      <c r="F64" s="2"/>
      <c r="G64" s="2"/>
      <c r="H64" s="2"/>
      <c r="I64" s="3"/>
    </row>
    <row r="65">
      <c r="A65" s="4" t="s">
        <v>1</v>
      </c>
      <c r="B65" s="5"/>
      <c r="C65" s="5"/>
      <c r="D65" s="5"/>
      <c r="E65" s="5"/>
      <c r="F65" s="5"/>
      <c r="G65" s="5"/>
      <c r="H65" s="5"/>
      <c r="I65" s="6"/>
      <c r="K65" s="7" t="s">
        <v>2</v>
      </c>
      <c r="L65" s="5"/>
      <c r="M65" s="8"/>
      <c r="N65" s="9"/>
      <c r="O65" s="5"/>
      <c r="P65" s="5"/>
      <c r="Q65" s="5"/>
      <c r="R65" s="8"/>
    </row>
    <row r="66">
      <c r="A66" s="10"/>
      <c r="I66" s="11"/>
      <c r="K66" s="7" t="s">
        <v>3</v>
      </c>
      <c r="L66" s="5"/>
      <c r="M66" s="8"/>
      <c r="N66" s="12"/>
      <c r="O66" s="5"/>
      <c r="P66" s="5"/>
      <c r="Q66" s="5"/>
      <c r="R66" s="8"/>
    </row>
    <row r="67">
      <c r="A67" s="13" t="s">
        <v>4</v>
      </c>
      <c r="B67" s="8"/>
      <c r="C67" s="14"/>
      <c r="D67" s="8"/>
      <c r="E67" s="15" t="s">
        <v>5</v>
      </c>
      <c r="F67" s="8"/>
      <c r="G67" s="16"/>
      <c r="H67" s="5"/>
      <c r="I67" s="6"/>
      <c r="K67" s="17" t="s">
        <v>6</v>
      </c>
      <c r="L67" s="17" t="s">
        <v>7</v>
      </c>
      <c r="M67" s="17" t="s">
        <v>8</v>
      </c>
      <c r="N67" s="18" t="s">
        <v>9</v>
      </c>
      <c r="O67" s="19" t="s">
        <v>10</v>
      </c>
      <c r="P67" s="20" t="s">
        <v>11</v>
      </c>
      <c r="Q67" s="17" t="s">
        <v>12</v>
      </c>
      <c r="R67" s="17" t="s">
        <v>13</v>
      </c>
    </row>
    <row r="68">
      <c r="A68" s="13" t="s">
        <v>14</v>
      </c>
      <c r="B68" s="8"/>
      <c r="C68" s="14"/>
      <c r="D68" s="8"/>
      <c r="E68" s="15" t="s">
        <v>15</v>
      </c>
      <c r="F68" s="8"/>
      <c r="G68" s="21"/>
      <c r="H68" s="5"/>
      <c r="I68" s="6"/>
      <c r="K68" s="22"/>
      <c r="L68" s="22"/>
      <c r="M68" s="23"/>
      <c r="N68" s="24"/>
      <c r="O68" s="25">
        <f t="shared" ref="O68:O72" si="3">IF(N68-Q68-R68&lt;0,0,N68-Q68-R68)</f>
        <v>0</v>
      </c>
      <c r="P68" s="26"/>
      <c r="Q68" s="23">
        <f t="shared" ref="Q68:Q72" si="4">IF(P68-R68&lt;0,0,P68-R68)</f>
        <v>0</v>
      </c>
      <c r="R68" s="24"/>
    </row>
    <row r="69">
      <c r="A69" s="13" t="s">
        <v>16</v>
      </c>
      <c r="B69" s="8"/>
      <c r="C69" s="27"/>
      <c r="D69" s="8"/>
      <c r="E69" s="15" t="s">
        <v>17</v>
      </c>
      <c r="F69" s="8"/>
      <c r="G69" s="21"/>
      <c r="H69" s="5"/>
      <c r="I69" s="6"/>
      <c r="K69" s="28"/>
      <c r="L69" s="28"/>
      <c r="M69" s="23"/>
      <c r="N69" s="24"/>
      <c r="O69" s="25">
        <f t="shared" si="3"/>
        <v>0</v>
      </c>
      <c r="P69" s="26"/>
      <c r="Q69" s="23">
        <f t="shared" si="4"/>
        <v>0</v>
      </c>
      <c r="R69" s="29"/>
    </row>
    <row r="70">
      <c r="A70" s="10"/>
      <c r="I70" s="11"/>
      <c r="K70" s="28"/>
      <c r="L70" s="28"/>
      <c r="M70" s="30"/>
      <c r="N70" s="24"/>
      <c r="O70" s="25">
        <f t="shared" si="3"/>
        <v>0</v>
      </c>
      <c r="P70" s="26"/>
      <c r="Q70" s="23">
        <f t="shared" si="4"/>
        <v>0</v>
      </c>
      <c r="R70" s="29"/>
    </row>
    <row r="71">
      <c r="A71" s="31" t="s">
        <v>18</v>
      </c>
      <c r="B71" s="32" t="s">
        <v>19</v>
      </c>
      <c r="C71" s="33" t="s">
        <v>20</v>
      </c>
      <c r="D71" s="32" t="s">
        <v>21</v>
      </c>
      <c r="E71" s="34"/>
      <c r="F71" s="33" t="s">
        <v>6</v>
      </c>
      <c r="G71" s="35"/>
      <c r="H71" s="5"/>
      <c r="I71" s="6"/>
      <c r="K71" s="28"/>
      <c r="L71" s="28"/>
      <c r="M71" s="30"/>
      <c r="N71" s="24"/>
      <c r="O71" s="25">
        <f t="shared" si="3"/>
        <v>0</v>
      </c>
      <c r="P71" s="26"/>
      <c r="Q71" s="23">
        <f t="shared" si="4"/>
        <v>0</v>
      </c>
      <c r="R71" s="36"/>
    </row>
    <row r="72">
      <c r="A72" s="37"/>
      <c r="B72" s="38"/>
      <c r="C72" s="42"/>
      <c r="D72" s="43"/>
      <c r="E72" s="34"/>
      <c r="F72" s="41" t="s">
        <v>22</v>
      </c>
      <c r="G72" s="5"/>
      <c r="H72" s="5"/>
      <c r="I72" s="6"/>
      <c r="K72" s="44"/>
      <c r="L72" s="44"/>
      <c r="M72" s="30"/>
      <c r="N72" s="24"/>
      <c r="O72" s="25">
        <f t="shared" si="3"/>
        <v>0</v>
      </c>
      <c r="P72" s="26"/>
      <c r="Q72" s="23">
        <f t="shared" si="4"/>
        <v>0</v>
      </c>
      <c r="R72" s="36"/>
    </row>
    <row r="73">
      <c r="A73" s="37"/>
      <c r="B73" s="38"/>
      <c r="C73" s="39"/>
      <c r="D73" s="43"/>
      <c r="E73" s="34"/>
      <c r="F73" s="33" t="s">
        <v>23</v>
      </c>
      <c r="G73" s="33" t="s">
        <v>20</v>
      </c>
      <c r="H73" s="46" t="s">
        <v>21</v>
      </c>
      <c r="I73" s="47" t="s">
        <v>24</v>
      </c>
    </row>
    <row r="74">
      <c r="A74" s="37"/>
      <c r="B74" s="38"/>
      <c r="C74" s="39"/>
      <c r="D74" s="43"/>
      <c r="E74" s="34"/>
      <c r="F74" s="42">
        <v>1.0</v>
      </c>
      <c r="G74" s="42"/>
      <c r="H74" s="48" t="str">
        <f t="shared" ref="H74:H86" si="5">IF(G74="","",SUMIF($C$72:$C$107,G74,$D$72:$D$107))</f>
        <v/>
      </c>
      <c r="I74" s="49" t="str">
        <f t="shared" ref="I74:I86" si="6">IF(G74="","",COUNTIFS($C$72:$C$107,G74,$D$72:$D$107,"&gt;0"))</f>
        <v/>
      </c>
    </row>
    <row r="75">
      <c r="A75" s="37"/>
      <c r="B75" s="38"/>
      <c r="C75" s="39"/>
      <c r="D75" s="43"/>
      <c r="E75" s="34"/>
      <c r="F75" s="42">
        <v>2.0</v>
      </c>
      <c r="G75" s="42"/>
      <c r="H75" s="48" t="str">
        <f t="shared" si="5"/>
        <v/>
      </c>
      <c r="I75" s="49" t="str">
        <f t="shared" si="6"/>
        <v/>
      </c>
    </row>
    <row r="76">
      <c r="A76" s="37"/>
      <c r="B76" s="38"/>
      <c r="C76" s="38"/>
      <c r="D76" s="40"/>
      <c r="E76" s="34"/>
      <c r="F76" s="42"/>
      <c r="G76" s="42"/>
      <c r="H76" s="48" t="str">
        <f t="shared" si="5"/>
        <v/>
      </c>
      <c r="I76" s="49" t="str">
        <f t="shared" si="6"/>
        <v/>
      </c>
    </row>
    <row r="77">
      <c r="A77" s="37"/>
      <c r="B77" s="38"/>
      <c r="C77" s="38"/>
      <c r="D77" s="40"/>
      <c r="E77" s="34"/>
      <c r="F77" s="42"/>
      <c r="G77" s="42"/>
      <c r="H77" s="48" t="str">
        <f t="shared" si="5"/>
        <v/>
      </c>
      <c r="I77" s="49" t="str">
        <f t="shared" si="6"/>
        <v/>
      </c>
    </row>
    <row r="78">
      <c r="A78" s="37"/>
      <c r="B78" s="38"/>
      <c r="C78" s="38"/>
      <c r="D78" s="40"/>
      <c r="E78" s="34"/>
      <c r="F78" s="42"/>
      <c r="G78" s="42"/>
      <c r="H78" s="48" t="str">
        <f t="shared" si="5"/>
        <v/>
      </c>
      <c r="I78" s="49" t="str">
        <f t="shared" si="6"/>
        <v/>
      </c>
    </row>
    <row r="79">
      <c r="A79" s="37"/>
      <c r="B79" s="38"/>
      <c r="C79" s="38"/>
      <c r="D79" s="40"/>
      <c r="E79" s="34"/>
      <c r="F79" s="48"/>
      <c r="G79" s="48"/>
      <c r="H79" s="48" t="str">
        <f t="shared" si="5"/>
        <v/>
      </c>
      <c r="I79" s="49" t="str">
        <f t="shared" si="6"/>
        <v/>
      </c>
    </row>
    <row r="80">
      <c r="A80" s="37"/>
      <c r="B80" s="38"/>
      <c r="C80" s="38"/>
      <c r="D80" s="40"/>
      <c r="E80" s="34"/>
      <c r="F80" s="42"/>
      <c r="G80" s="42"/>
      <c r="H80" s="48" t="str">
        <f t="shared" si="5"/>
        <v/>
      </c>
      <c r="I80" s="49" t="str">
        <f t="shared" si="6"/>
        <v/>
      </c>
    </row>
    <row r="81">
      <c r="A81" s="37"/>
      <c r="B81" s="38"/>
      <c r="C81" s="38"/>
      <c r="D81" s="40"/>
      <c r="E81" s="34"/>
      <c r="F81" s="48"/>
      <c r="G81" s="48"/>
      <c r="H81" s="48" t="str">
        <f t="shared" si="5"/>
        <v/>
      </c>
      <c r="I81" s="49" t="str">
        <f t="shared" si="6"/>
        <v/>
      </c>
    </row>
    <row r="82">
      <c r="A82" s="37"/>
      <c r="B82" s="38"/>
      <c r="C82" s="38"/>
      <c r="D82" s="40"/>
      <c r="E82" s="34"/>
      <c r="F82" s="48"/>
      <c r="G82" s="48"/>
      <c r="H82" s="48" t="str">
        <f t="shared" si="5"/>
        <v/>
      </c>
      <c r="I82" s="49" t="str">
        <f t="shared" si="6"/>
        <v/>
      </c>
    </row>
    <row r="83">
      <c r="A83" s="37"/>
      <c r="B83" s="38"/>
      <c r="C83" s="38"/>
      <c r="D83" s="40"/>
      <c r="E83" s="34"/>
      <c r="F83" s="48"/>
      <c r="G83" s="48"/>
      <c r="H83" s="48" t="str">
        <f t="shared" si="5"/>
        <v/>
      </c>
      <c r="I83" s="49" t="str">
        <f t="shared" si="6"/>
        <v/>
      </c>
    </row>
    <row r="84">
      <c r="A84" s="37"/>
      <c r="B84" s="38"/>
      <c r="C84" s="38"/>
      <c r="D84" s="40"/>
      <c r="E84" s="34"/>
      <c r="F84" s="48"/>
      <c r="G84" s="48"/>
      <c r="H84" s="48" t="str">
        <f t="shared" si="5"/>
        <v/>
      </c>
      <c r="I84" s="49" t="str">
        <f t="shared" si="6"/>
        <v/>
      </c>
    </row>
    <row r="85">
      <c r="A85" s="50"/>
      <c r="B85" s="38"/>
      <c r="C85" s="38"/>
      <c r="D85" s="40"/>
      <c r="E85" s="34"/>
      <c r="F85" s="48"/>
      <c r="G85" s="48"/>
      <c r="H85" s="48" t="str">
        <f t="shared" si="5"/>
        <v/>
      </c>
      <c r="I85" s="49" t="str">
        <f t="shared" si="6"/>
        <v/>
      </c>
    </row>
    <row r="86">
      <c r="A86" s="50"/>
      <c r="B86" s="38"/>
      <c r="C86" s="38"/>
      <c r="D86" s="40"/>
      <c r="E86" s="34"/>
      <c r="F86" s="48"/>
      <c r="G86" s="48"/>
      <c r="H86" s="48" t="str">
        <f t="shared" si="5"/>
        <v/>
      </c>
      <c r="I86" s="49" t="str">
        <f t="shared" si="6"/>
        <v/>
      </c>
    </row>
    <row r="87">
      <c r="A87" s="50"/>
      <c r="B87" s="38"/>
      <c r="C87" s="38"/>
      <c r="D87" s="40"/>
      <c r="E87" s="34"/>
      <c r="F87" s="51" t="s">
        <v>25</v>
      </c>
      <c r="G87" s="8"/>
      <c r="H87" s="48">
        <f t="shared" ref="H87:I87" si="7">sum(H74:H86)</f>
        <v>0</v>
      </c>
      <c r="I87" s="49">
        <f t="shared" si="7"/>
        <v>0</v>
      </c>
    </row>
    <row r="88">
      <c r="A88" s="50"/>
      <c r="B88" s="38"/>
      <c r="C88" s="38"/>
      <c r="D88" s="40"/>
      <c r="E88" s="34"/>
      <c r="F88" s="34"/>
      <c r="G88" s="34"/>
      <c r="I88" s="53"/>
    </row>
    <row r="89">
      <c r="A89" s="50"/>
      <c r="B89" s="38"/>
      <c r="C89" s="38"/>
      <c r="D89" s="40"/>
      <c r="E89" s="34"/>
      <c r="F89" s="34"/>
      <c r="G89" s="34"/>
      <c r="I89" s="53"/>
    </row>
    <row r="90">
      <c r="A90" s="50"/>
      <c r="B90" s="38"/>
      <c r="C90" s="38"/>
      <c r="D90" s="40"/>
      <c r="E90" s="34"/>
      <c r="F90" s="34"/>
      <c r="G90" s="34"/>
      <c r="I90" s="53"/>
    </row>
    <row r="91">
      <c r="A91" s="50"/>
      <c r="B91" s="38"/>
      <c r="C91" s="38"/>
      <c r="D91" s="40"/>
      <c r="E91" s="34"/>
      <c r="F91" s="34"/>
      <c r="G91" s="34"/>
      <c r="I91" s="53"/>
    </row>
    <row r="92">
      <c r="A92" s="50"/>
      <c r="B92" s="38"/>
      <c r="C92" s="38"/>
      <c r="D92" s="40"/>
      <c r="E92" s="34"/>
      <c r="F92" s="54" t="s">
        <v>26</v>
      </c>
      <c r="G92" s="34"/>
      <c r="I92" s="53"/>
    </row>
    <row r="93">
      <c r="A93" s="50"/>
      <c r="B93" s="38"/>
      <c r="C93" s="38"/>
      <c r="D93" s="40"/>
      <c r="E93" s="34"/>
      <c r="F93" s="55" t="s">
        <v>27</v>
      </c>
      <c r="I93" s="11"/>
    </row>
    <row r="94">
      <c r="A94" s="50"/>
      <c r="B94" s="38"/>
      <c r="C94" s="38"/>
      <c r="D94" s="40"/>
      <c r="E94" s="34"/>
      <c r="I94" s="11"/>
    </row>
    <row r="95">
      <c r="A95" s="50"/>
      <c r="B95" s="38"/>
      <c r="C95" s="38"/>
      <c r="D95" s="56"/>
      <c r="E95" s="34"/>
      <c r="I95" s="11"/>
    </row>
    <row r="96">
      <c r="A96" s="50"/>
      <c r="B96" s="38"/>
      <c r="C96" s="38"/>
      <c r="D96" s="56"/>
      <c r="E96" s="34"/>
      <c r="F96" s="55" t="s">
        <v>28</v>
      </c>
      <c r="I96" s="11"/>
    </row>
    <row r="97">
      <c r="A97" s="50"/>
      <c r="B97" s="38"/>
      <c r="C97" s="38"/>
      <c r="D97" s="56"/>
      <c r="E97" s="34"/>
      <c r="I97" s="11"/>
    </row>
    <row r="98">
      <c r="A98" s="50"/>
      <c r="B98" s="38"/>
      <c r="C98" s="38"/>
      <c r="D98" s="40"/>
      <c r="E98" s="34"/>
      <c r="I98" s="11"/>
    </row>
    <row r="99">
      <c r="A99" s="50"/>
      <c r="B99" s="38"/>
      <c r="C99" s="38"/>
      <c r="D99" s="40"/>
      <c r="E99" s="34"/>
      <c r="F99" s="34"/>
      <c r="G99" s="34"/>
      <c r="I99" s="53"/>
    </row>
    <row r="100">
      <c r="A100" s="50"/>
      <c r="B100" s="38"/>
      <c r="C100" s="38"/>
      <c r="D100" s="40"/>
      <c r="E100" s="34"/>
      <c r="F100" s="34"/>
      <c r="G100" s="34"/>
      <c r="I100" s="53"/>
    </row>
    <row r="101">
      <c r="A101" s="50"/>
      <c r="B101" s="38"/>
      <c r="C101" s="38"/>
      <c r="D101" s="40"/>
      <c r="E101" s="34"/>
      <c r="F101" s="34"/>
      <c r="G101" s="34"/>
      <c r="I101" s="53"/>
    </row>
    <row r="102">
      <c r="A102" s="50"/>
      <c r="B102" s="38"/>
      <c r="C102" s="38"/>
      <c r="D102" s="40"/>
      <c r="E102" s="34"/>
      <c r="F102" s="34"/>
      <c r="G102" s="34"/>
      <c r="I102" s="53"/>
    </row>
    <row r="103">
      <c r="A103" s="50"/>
      <c r="B103" s="38"/>
      <c r="C103" s="38"/>
      <c r="D103" s="40"/>
      <c r="E103" s="34"/>
      <c r="F103" s="34"/>
      <c r="G103" s="34"/>
      <c r="I103" s="53"/>
    </row>
    <row r="104">
      <c r="A104" s="50"/>
      <c r="B104" s="38"/>
      <c r="C104" s="38"/>
      <c r="D104" s="57"/>
      <c r="E104" s="34"/>
      <c r="F104" s="34"/>
      <c r="G104" s="34"/>
      <c r="I104" s="53"/>
    </row>
    <row r="105">
      <c r="A105" s="50"/>
      <c r="B105" s="38"/>
      <c r="C105" s="38"/>
      <c r="D105" s="57"/>
      <c r="E105" s="34"/>
      <c r="F105" s="34"/>
      <c r="G105" s="34"/>
      <c r="I105" s="53"/>
    </row>
    <row r="106">
      <c r="A106" s="50"/>
      <c r="B106" s="38"/>
      <c r="C106" s="38"/>
      <c r="D106" s="57"/>
      <c r="E106" s="34"/>
      <c r="F106" s="34"/>
      <c r="G106" s="34"/>
      <c r="I106" s="53"/>
    </row>
    <row r="107">
      <c r="A107" s="58"/>
      <c r="B107" s="59"/>
      <c r="C107" s="59"/>
      <c r="D107" s="60"/>
      <c r="E107" s="61"/>
      <c r="F107" s="61"/>
      <c r="G107" s="61"/>
      <c r="H107" s="63"/>
      <c r="I107" s="64"/>
    </row>
  </sheetData>
  <mergeCells count="52">
    <mergeCell ref="A69:B69"/>
    <mergeCell ref="C69:D69"/>
    <mergeCell ref="A70:I70"/>
    <mergeCell ref="E68:F68"/>
    <mergeCell ref="G68:I68"/>
    <mergeCell ref="K68:K72"/>
    <mergeCell ref="L68:L72"/>
    <mergeCell ref="G69:I69"/>
    <mergeCell ref="G71:I71"/>
    <mergeCell ref="F72:I72"/>
    <mergeCell ref="A1:H1"/>
    <mergeCell ref="A2:H2"/>
    <mergeCell ref="A3:H3"/>
    <mergeCell ref="K3:M3"/>
    <mergeCell ref="N3:R3"/>
    <mergeCell ref="K4:M4"/>
    <mergeCell ref="N4:R4"/>
    <mergeCell ref="A7:B7"/>
    <mergeCell ref="C7:D7"/>
    <mergeCell ref="E7:F7"/>
    <mergeCell ref="A5:B5"/>
    <mergeCell ref="C5:D5"/>
    <mergeCell ref="E5:F5"/>
    <mergeCell ref="G5:H5"/>
    <mergeCell ref="A6:B6"/>
    <mergeCell ref="C6:D6"/>
    <mergeCell ref="E6:F6"/>
    <mergeCell ref="G6:H6"/>
    <mergeCell ref="K6:K10"/>
    <mergeCell ref="L6:L10"/>
    <mergeCell ref="G7:H7"/>
    <mergeCell ref="G9:H9"/>
    <mergeCell ref="F10:H10"/>
    <mergeCell ref="F31:H33"/>
    <mergeCell ref="F34:H36"/>
    <mergeCell ref="A64:I64"/>
    <mergeCell ref="A65:I65"/>
    <mergeCell ref="K65:M65"/>
    <mergeCell ref="N65:R65"/>
    <mergeCell ref="K66:M66"/>
    <mergeCell ref="N66:R66"/>
    <mergeCell ref="A66:I66"/>
    <mergeCell ref="A67:B67"/>
    <mergeCell ref="C67:D67"/>
    <mergeCell ref="E67:F67"/>
    <mergeCell ref="G67:I67"/>
    <mergeCell ref="A68:B68"/>
    <mergeCell ref="C68:D68"/>
    <mergeCell ref="E69:F69"/>
    <mergeCell ref="F87:G87"/>
    <mergeCell ref="F93:I95"/>
    <mergeCell ref="F96:I98"/>
  </mergeCells>
  <conditionalFormatting sqref="O6:O10 O68:O72">
    <cfRule type="cellIs" dxfId="0" priority="1" operator="lessThanOrEqual">
      <formula>20</formula>
    </cfRule>
  </conditionalFormatting>
  <conditionalFormatting sqref="O6:O10 O68:O72">
    <cfRule type="cellIs" dxfId="1" priority="2" operator="greaterThanOrEqual">
      <formula>20</formula>
    </cfRule>
  </conditionalFormatting>
  <drawing r:id="rId1"/>
</worksheet>
</file>