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 board" sheetId="1" r:id="rId5"/>
    <sheet state="visible" name="Temp" sheetId="2" r:id="rId6"/>
    <sheet state="visible" name="Aug26" sheetId="3" r:id="rId7"/>
    <sheet state="visible" name="Sep26" sheetId="4" r:id="rId8"/>
    <sheet state="visible" name="Oct26" sheetId="5" r:id="rId9"/>
  </sheets>
  <definedNames/>
  <calcPr/>
</workbook>
</file>

<file path=xl/sharedStrings.xml><?xml version="1.0" encoding="utf-8"?>
<sst xmlns="http://schemas.openxmlformats.org/spreadsheetml/2006/main" count="559" uniqueCount="130">
  <si>
    <t>August Production 2026</t>
  </si>
  <si>
    <t>Monthly wasteage qty</t>
  </si>
  <si>
    <t>Team</t>
  </si>
  <si>
    <t>AUG</t>
  </si>
  <si>
    <t>SEP</t>
  </si>
  <si>
    <t>OCT</t>
  </si>
  <si>
    <t>NOV</t>
  </si>
  <si>
    <t>DEC</t>
  </si>
  <si>
    <t>JAN</t>
  </si>
  <si>
    <t>FEB</t>
  </si>
  <si>
    <t>MAR</t>
  </si>
  <si>
    <t>A</t>
  </si>
  <si>
    <t>Team ( A) Production report (Pooja, Kavitha, Shafiya)</t>
  </si>
  <si>
    <t>Team (B) Production report (Kalpana, Lakshmi)</t>
  </si>
  <si>
    <t>Team ( C) Production report (Kanku Devi, Keli Devi)</t>
  </si>
  <si>
    <t>Team ( D) Production report (Sagni devi, Kamala)</t>
  </si>
  <si>
    <t>Sl no</t>
  </si>
  <si>
    <t xml:space="preserve">Date </t>
  </si>
  <si>
    <t xml:space="preserve">Description </t>
  </si>
  <si>
    <t xml:space="preserve">Members </t>
  </si>
  <si>
    <t xml:space="preserve">Qty </t>
  </si>
  <si>
    <t>Over Time</t>
  </si>
  <si>
    <t>Check</t>
  </si>
  <si>
    <t>B</t>
  </si>
  <si>
    <t>C</t>
  </si>
  <si>
    <t>D</t>
  </si>
  <si>
    <t xml:space="preserve">TOTAL </t>
  </si>
  <si>
    <t>24" Waterflo</t>
  </si>
  <si>
    <t>18" Waterflo</t>
  </si>
  <si>
    <t>18" Marino</t>
  </si>
  <si>
    <t>September Production 2026</t>
  </si>
  <si>
    <t>Rework</t>
  </si>
  <si>
    <t>1.5mtr Waterflo</t>
  </si>
  <si>
    <t>1mtr Waterflo</t>
  </si>
  <si>
    <t>24" Marino</t>
  </si>
  <si>
    <t>Team ( A) Production report (Pooja, Shafiya)</t>
  </si>
  <si>
    <t>Team (B) Production report (Kalpana, Kavitha)</t>
  </si>
  <si>
    <t>1mtr Marino</t>
  </si>
  <si>
    <t>1.5mtr Marino</t>
  </si>
  <si>
    <t>24" Schintler</t>
  </si>
  <si>
    <t>18" Artimis RTK</t>
  </si>
  <si>
    <t>18" Schintler</t>
  </si>
  <si>
    <t>24" Vojal RTK</t>
  </si>
  <si>
    <t>24" Artimis RTK</t>
  </si>
  <si>
    <t>24" Vojal HTK</t>
  </si>
  <si>
    <t>1mtr Artimis RTK</t>
  </si>
  <si>
    <t>1mtr Vojal RTK</t>
  </si>
  <si>
    <t>1.5mtr Artimis RTK</t>
  </si>
  <si>
    <t>Wastage</t>
  </si>
  <si>
    <t>1.5mtr Vojal RTK</t>
  </si>
  <si>
    <t>30" IDOL</t>
  </si>
  <si>
    <t>36" IDOL</t>
  </si>
  <si>
    <t>2mtr Enflow</t>
  </si>
  <si>
    <t>18" Schintler WL</t>
  </si>
  <si>
    <t>Pipe cutting</t>
  </si>
  <si>
    <t>1mtr Enflow</t>
  </si>
  <si>
    <t>12" Enflow</t>
  </si>
  <si>
    <t>24" Enflow</t>
  </si>
  <si>
    <t>24" Schintler WL</t>
  </si>
  <si>
    <t>1.5mtr Enflow</t>
  </si>
  <si>
    <t>2mtr Marino</t>
  </si>
  <si>
    <t>3mtr Enflow</t>
  </si>
  <si>
    <t>October Production 2026</t>
  </si>
  <si>
    <t>2mtr Waterflo</t>
  </si>
  <si>
    <t xml:space="preserve"> </t>
  </si>
  <si>
    <t>Team ( A) Production report (Pooja, Shafiya, Manjula)</t>
  </si>
  <si>
    <t>Team ( D) Production report (Sagni devi, Kamala, Kuki devi)</t>
  </si>
  <si>
    <t>Cover label 1</t>
  </si>
  <si>
    <t>24" Marino WL</t>
  </si>
  <si>
    <t>B.No</t>
  </si>
  <si>
    <t>18" Waterflo WL</t>
  </si>
  <si>
    <t>24" Waterflo WL</t>
  </si>
  <si>
    <t>Cover label-1</t>
  </si>
  <si>
    <t>24" Enflow WL</t>
  </si>
  <si>
    <t>W.L-1</t>
  </si>
  <si>
    <t>24" Enflow labeling</t>
  </si>
  <si>
    <t xml:space="preserve"> Production 2026</t>
  </si>
  <si>
    <t>1mtr Enflow WL</t>
  </si>
  <si>
    <t>2mtr Enflow WL</t>
  </si>
  <si>
    <t>Inner rework</t>
  </si>
  <si>
    <t>18" Futura WN</t>
  </si>
  <si>
    <t>Manjula</t>
  </si>
  <si>
    <t>Labeling</t>
  </si>
  <si>
    <t>1mtr Waterflo WL</t>
  </si>
  <si>
    <t>Kuki devi</t>
  </si>
  <si>
    <t>18" Enflow WL</t>
  </si>
  <si>
    <t>1mtr CS WN</t>
  </si>
  <si>
    <t>12" Vojal HTK WN</t>
  </si>
  <si>
    <t>1.5mtr Enflow WL</t>
  </si>
  <si>
    <t>24" Vojal HTK WN</t>
  </si>
  <si>
    <t>18" Marino WL</t>
  </si>
  <si>
    <t>1.5mtr Vojal RTK WN</t>
  </si>
  <si>
    <t>1mtr Vojal RTK WN</t>
  </si>
  <si>
    <t>1.5mtr Waterflo WN</t>
  </si>
  <si>
    <t>24" vojal RTK WN</t>
  </si>
  <si>
    <t>24" Artimis RTK WN</t>
  </si>
  <si>
    <t>1mtr Waterflo SN</t>
  </si>
  <si>
    <t>12" Vojal RTK WN</t>
  </si>
  <si>
    <t>1mtr Artimis RTK WN</t>
  </si>
  <si>
    <t>1mtr Enflow WC</t>
  </si>
  <si>
    <t>18" Vojal RTK WN</t>
  </si>
  <si>
    <t>18" Vojal HTK WN</t>
  </si>
  <si>
    <t>1mtr Marino WN</t>
  </si>
  <si>
    <t>1.5mtr Marino WN</t>
  </si>
  <si>
    <t>1mtr Marino WL</t>
  </si>
  <si>
    <t>1.5mtr Marino WL</t>
  </si>
  <si>
    <t>24" CS WN</t>
  </si>
  <si>
    <t>1.5mtr Waterflo Marino WL</t>
  </si>
  <si>
    <t>1.5mtr CS WN</t>
  </si>
  <si>
    <t>Manjula - 1</t>
  </si>
  <si>
    <t>18" CS WN</t>
  </si>
  <si>
    <t>36" Futura WN</t>
  </si>
  <si>
    <t>kuki devi-1</t>
  </si>
  <si>
    <t>24" Akant WL</t>
  </si>
  <si>
    <t>40" Akant WL</t>
  </si>
  <si>
    <t>2mtr CS WN</t>
  </si>
  <si>
    <t>3mtr Enflow WL</t>
  </si>
  <si>
    <t>Vojal WN</t>
  </si>
  <si>
    <t>Enflow WL</t>
  </si>
  <si>
    <t>Schintler Rework</t>
  </si>
  <si>
    <t>18" Ceraflo WC</t>
  </si>
  <si>
    <t>1mtr Ceraflo WC</t>
  </si>
  <si>
    <t>24" 2mtr CS WN</t>
  </si>
  <si>
    <t>24" Ceraflo WC</t>
  </si>
  <si>
    <t>1mtr Waterflo WN</t>
  </si>
  <si>
    <t>Nutset check</t>
  </si>
  <si>
    <t>1.5mtr Plain WN</t>
  </si>
  <si>
    <t>Nutset packing</t>
  </si>
  <si>
    <t>1mtr Plain WN</t>
  </si>
  <si>
    <t xml:space="preserve">Toatl wastage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</si>
</sst>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-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/>
    <font>
      <b/>
      <sz val="11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rgb="FF434343"/>
      <name val="Roboto"/>
    </font>
    <font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0" fillId="2" fontId="4" numFmtId="0" xfId="0" applyAlignment="1" applyFill="1" applyFont="1">
      <alignment readingOrder="0"/>
    </xf>
    <xf borderId="3" fillId="2" fontId="5" numFmtId="0" xfId="0" applyAlignment="1" applyBorder="1" applyFill="1" applyFont="1">
      <alignment horizontal="center" readingOrder="0"/>
    </xf>
    <xf borderId="3" fillId="2" fontId="6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7" numFmtId="0" xfId="0" applyAlignment="1" applyFont="1">
      <alignment vertical="bottom"/>
    </xf>
    <xf borderId="3" fillId="0" fontId="1" numFmtId="0" xfId="0" applyAlignment="1" applyBorder="1" applyFont="1">
      <alignment horizontal="center"/>
    </xf>
    <xf borderId="1" fillId="2" fontId="8" numFmtId="0" xfId="0" applyAlignment="1" applyBorder="1" applyFill="1" applyFont="1">
      <alignment horizontal="center" vertical="bottom"/>
    </xf>
    <xf borderId="3" fillId="2" fontId="9" numFmtId="0" xfId="0" applyAlignment="1" applyBorder="1" applyFill="1" applyFont="1">
      <alignment horizontal="right" vertical="bottom"/>
    </xf>
    <xf borderId="3" fillId="2" fontId="9" numFmtId="0" xfId="0" applyAlignment="1" applyBorder="1" applyFill="1" applyFont="1">
      <alignment horizontal="center" vertical="bottom"/>
    </xf>
    <xf borderId="3" fillId="2" fontId="9" numFmtId="0" xfId="0" applyAlignment="1" applyBorder="1" applyFill="1" applyFont="1">
      <alignment vertical="bottom"/>
    </xf>
    <xf borderId="3" fillId="0" fontId="7" numFmtId="0" xfId="0" applyAlignment="1" applyBorder="1" applyFont="1">
      <alignment horizontal="right" vertical="bottom"/>
    </xf>
    <xf borderId="3" fillId="0" fontId="7" numFmtId="164" xfId="0" applyAlignment="1" applyBorder="1" applyFont="1" applyNumberFormat="1">
      <alignment horizontal="center" vertical="bottom"/>
    </xf>
    <xf borderId="3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horizontal="center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/>
    </xf>
    <xf borderId="3" fillId="0" fontId="7" numFmtId="164" xfId="0" applyAlignment="1" applyBorder="1" applyFont="1" applyNumberFormat="1">
      <alignment vertical="bottom"/>
    </xf>
    <xf borderId="3" fillId="0" fontId="7" numFmtId="0" xfId="0" applyBorder="1" applyFont="1"/>
    <xf borderId="0" fillId="0" fontId="9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3" fillId="4" fontId="10" numFmtId="0" xfId="0" applyAlignment="1" applyBorder="1" applyFill="1" applyFont="1">
      <alignment horizontal="right" shrinkToFit="0" vertical="center" wrapText="0"/>
    </xf>
    <xf borderId="3" fillId="4" fontId="10" numFmtId="164" xfId="0" applyAlignment="1" applyBorder="1" applyFill="1" applyFont="1" applyNumberFormat="1">
      <alignment shrinkToFit="0" vertical="center" wrapText="0"/>
    </xf>
    <xf borderId="3" fillId="4" fontId="7" numFmtId="49" xfId="0" applyAlignment="1" applyBorder="1" applyFill="1" applyFont="1" applyNumberFormat="1">
      <alignment readingOrder="0" shrinkToFit="0" vertical="center" wrapText="0"/>
    </xf>
    <xf borderId="3" fillId="4" fontId="10" numFmtId="0" xfId="0" applyAlignment="1" applyBorder="1" applyFill="1" applyFont="1">
      <alignment horizontal="center" shrinkToFit="0" vertical="center" wrapText="0"/>
    </xf>
    <xf borderId="3" fillId="4" fontId="7" numFmtId="0" xfId="0" applyAlignment="1" applyBorder="1" applyFill="1" applyFont="1">
      <alignment shrinkToFit="0" vertical="center" wrapText="0"/>
    </xf>
    <xf borderId="3" fillId="4" fontId="7" numFmtId="0" xfId="0" applyAlignment="1" applyBorder="1" applyFill="1" applyFont="1">
      <alignment horizontal="center" readingOrder="0" shrinkToFit="0" vertical="center" wrapText="0"/>
    </xf>
    <xf borderId="3" fillId="4" fontId="10" numFmtId="164" xfId="0" applyAlignment="1" applyBorder="1" applyFill="1" applyFont="1" applyNumberFormat="1">
      <alignment horizontal="right" shrinkToFit="0" vertical="center" wrapText="0"/>
    </xf>
    <xf borderId="3" fillId="0" fontId="7" numFmtId="165" xfId="0" applyAlignment="1" applyBorder="1" applyFont="1" applyNumberFormat="1">
      <alignment vertical="bottom"/>
    </xf>
    <xf borderId="3" fillId="0" fontId="7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3" fillId="5" fontId="10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horizontal="center" readingOrder="0" vertical="bottom"/>
    </xf>
    <xf borderId="3" fillId="5" fontId="10" numFmtId="164" xfId="0" applyAlignment="1" applyBorder="1" applyFill="1" applyFont="1" applyNumberFormat="1">
      <alignment shrinkToFit="0" vertical="center" wrapText="0"/>
    </xf>
    <xf borderId="3" fillId="5" fontId="7" numFmtId="49" xfId="0" applyAlignment="1" applyBorder="1" applyFill="1" applyFont="1" applyNumberFormat="1">
      <alignment readingOrder="0" shrinkToFit="0" vertical="center" wrapText="0"/>
    </xf>
    <xf borderId="3" fillId="5" fontId="10" numFmtId="0" xfId="0" applyAlignment="1" applyBorder="1" applyFill="1" applyFont="1">
      <alignment horizontal="center" shrinkToFit="0" vertical="center" wrapText="0"/>
    </xf>
    <xf borderId="1" fillId="2" fontId="8" numFmtId="0" xfId="0" applyAlignment="1" applyBorder="1" applyFill="1" applyFont="1">
      <alignment horizontal="center" readingOrder="0" vertical="bottom"/>
    </xf>
    <xf borderId="3" fillId="5" fontId="7" numFmtId="0" xfId="0" applyAlignment="1" applyBorder="1" applyFill="1" applyFont="1">
      <alignment horizontal="center" readingOrder="0" shrinkToFit="0" vertical="center" wrapText="0"/>
    </xf>
    <xf borderId="3" fillId="5" fontId="10" numFmtId="164" xfId="0" applyAlignment="1" applyBorder="1" applyFill="1" applyFont="1" applyNumberFormat="1">
      <alignment horizontal="right" shrinkToFit="0" vertical="center" wrapText="0"/>
    </xf>
    <xf borderId="3" fillId="4" fontId="7" numFmtId="164" xfId="0" applyAlignment="1" applyBorder="1" applyFill="1" applyFont="1" applyNumberFormat="1">
      <alignment shrinkToFit="0" vertical="center" wrapText="0"/>
    </xf>
    <xf borderId="3" fillId="4" fontId="7" numFmtId="49" xfId="0" applyAlignment="1" applyBorder="1" applyFill="1" applyFont="1" applyNumberForma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3" fillId="5" fontId="10" numFmtId="0" xfId="0" applyAlignment="1" applyBorder="1" applyFill="1" applyFont="1">
      <alignment horizontal="right" readingOrder="0" shrinkToFit="0" vertical="center" wrapText="0"/>
    </xf>
    <xf borderId="3" fillId="4" fontId="10" numFmtId="164" xfId="0" applyAlignment="1" applyBorder="1" applyFill="1" applyFont="1" applyNumberFormat="1">
      <alignment horizontal="right" readingOrder="0" shrinkToFit="0" vertical="center" wrapText="0"/>
    </xf>
    <xf borderId="3" fillId="5" fontId="10" numFmtId="0" xfId="0" applyAlignment="1" applyBorder="1" applyFill="1" applyFont="1">
      <alignment horizontal="center" readingOrder="0" shrinkToFit="0" vertical="center" wrapText="0"/>
    </xf>
    <xf borderId="3" fillId="5" fontId="7" numFmtId="0" xfId="0" applyAlignment="1" applyBorder="1" applyFill="1" applyFont="1">
      <alignment shrinkToFit="0" vertical="center" wrapText="0"/>
    </xf>
    <xf borderId="3" fillId="5" fontId="7" numFmtId="0" xfId="0" applyAlignment="1" applyBorder="1" applyFill="1" applyFont="1">
      <alignment readingOrder="0" shrinkToFit="0" vertical="center" wrapText="0"/>
    </xf>
    <xf borderId="3" fillId="5" fontId="10" numFmtId="164" xfId="0" applyAlignment="1" applyBorder="1" applyFill="1" applyFont="1" applyNumberFormat="1">
      <alignment horizontal="right" readingOrder="0" shrinkToFit="0" vertical="center" wrapText="0"/>
    </xf>
    <xf borderId="3" fillId="5" fontId="7" numFmtId="49" xfId="0" applyAlignment="1" applyBorder="1" applyFill="1" applyFont="1" applyNumberFormat="1">
      <alignment shrinkToFit="0" vertical="center" wrapText="0"/>
    </xf>
    <xf borderId="3" fillId="5" fontId="7" numFmtId="0" xfId="0" applyAlignment="1" applyBorder="1" applyFill="1" applyFont="1">
      <alignment horizontal="center" shrinkToFit="0" vertical="center" wrapText="0"/>
    </xf>
    <xf borderId="3" fillId="4" fontId="7" numFmtId="0" xfId="0" applyAlignment="1" applyBorder="1" applyFill="1" applyFont="1">
      <alignment readingOrder="0" shrinkToFit="0" vertical="center" wrapText="0"/>
    </xf>
    <xf borderId="3" fillId="4" fontId="7" numFmtId="0" xfId="0" applyAlignment="1" applyBorder="1" applyFill="1" applyFont="1">
      <alignment horizontal="center" shrinkToFit="0" vertical="center" wrapText="0"/>
    </xf>
    <xf borderId="3" fillId="4" fontId="10" numFmtId="0" xfId="0" applyAlignment="1" applyBorder="1" applyFill="1" applyFont="1">
      <alignment horizontal="right" readingOrder="0" shrinkToFit="0" vertical="center" wrapText="0"/>
    </xf>
    <xf borderId="3" fillId="4" fontId="10" numFmtId="0" xfId="0" applyAlignment="1" applyBorder="1" applyFill="1" applyFont="1">
      <alignment horizontal="center" readingOrder="0" shrinkToFit="0" vertical="center" wrapText="0"/>
    </xf>
    <xf borderId="3" fillId="5" fontId="10" numFmtId="164" xfId="0" applyAlignment="1" applyBorder="1" applyFill="1" applyFont="1" applyNumberFormat="1">
      <alignment readingOrder="0" shrinkToFit="0" vertical="center" wrapText="0"/>
    </xf>
    <xf borderId="3" fillId="5" fontId="7" numFmtId="0" xfId="0" applyAlignment="1" applyBorder="1" applyFill="1" applyFont="1">
      <alignment horizontal="center" shrinkToFit="0" vertical="center" wrapText="0"/>
    </xf>
    <xf borderId="3" fillId="4" fontId="7" numFmtId="0" xfId="0" applyAlignment="1" applyBorder="1" applyFill="1" applyFont="1">
      <alignment horizontal="center" shrinkToFit="0" vertical="center" wrapText="0"/>
    </xf>
    <xf borderId="3" fillId="5" fontId="7" numFmtId="164" xfId="0" applyAlignment="1" applyBorder="1" applyFill="1" applyFont="1" applyNumberFormat="1">
      <alignment shrinkToFit="0" vertical="center" wrapText="0"/>
    </xf>
    <xf borderId="3" fillId="4" fontId="10" numFmtId="49" xfId="0" applyAlignment="1" applyBorder="1" applyFill="1" applyFont="1" applyNumberFormat="1">
      <alignment readingOrder="0" shrinkToFit="0" vertical="center" wrapText="0"/>
    </xf>
    <xf borderId="3" fillId="4" fontId="11" numFmtId="49" xfId="0" applyAlignment="1" applyBorder="1" applyFill="1" applyFont="1" applyNumberFormat="1">
      <alignment shrinkToFit="0" vertical="center" wrapText="0"/>
    </xf>
    <xf borderId="3" fillId="4" fontId="11" numFmtId="0" xfId="0" applyAlignment="1" applyBorder="1" applyFill="1" applyFont="1">
      <alignment horizontal="right" shrinkToFit="0" vertical="center" wrapText="0"/>
    </xf>
    <xf borderId="3" fillId="4" fontId="10" numFmtId="49" xfId="0" applyAlignment="1" applyBorder="1" applyFill="1" applyFont="1" applyNumberFormat="1">
      <alignment shrinkToFit="0" vertical="center" wrapText="0"/>
    </xf>
    <xf borderId="3" fillId="4" fontId="7" numFmtId="0" xfId="0" applyAlignment="1" applyBorder="1" applyFill="1" applyFont="1">
      <alignment horizontal="right" readingOrder="0" shrinkToFit="0" vertical="center" wrapText="0"/>
    </xf>
    <xf borderId="3" fillId="5" fontId="7" numFmtId="164" xfId="0" applyAlignment="1" applyBorder="1" applyFill="1" applyFont="1" applyNumberFormat="1">
      <alignment readingOrder="0" shrinkToFit="0" vertical="center" wrapText="0"/>
    </xf>
    <xf borderId="3" fillId="4" fontId="7" numFmtId="164" xfId="0" applyAlignment="1" applyBorder="1" applyFill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3" fillId="0" fontId="5" numFmtId="0" xfId="0" applyBorder="1" applyFont="1"/>
    <xf borderId="3" fillId="0" fontId="5" numFmtId="0" xfId="0" applyAlignment="1" applyBorder="1" applyFont="1">
      <alignment readingOrder="0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righ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9900"/>
        </left>
        <right style="thin">
          <color rgb="FFFF9900"/>
        </right>
        <top style="thin">
          <color rgb="FFFF9900"/>
        </top>
        <bottom style="thin">
          <color rgb="FFFF9900"/>
        </bottom>
      </border>
    </dxf>
    <dxf>
      <font/>
      <fill>
        <patternFill patternType="solid">
          <fgColor rgb="FFFFE6BF"/>
          <bgColor rgb="FFFFE6BF"/>
        </patternFill>
      </fill>
      <border/>
    </dxf>
  </dxfs>
  <tableStyles count="14">
    <tableStyle count="4" pivot="0" name="Sep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Oct26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Oct2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Temp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Temp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G44" displayName="Team_A" name="Team_A" id="10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Temp-style" showColumnStripes="0" showFirstColumn="1" showLastColumn="1" showRowStripes="1"/>
</table>
</file>

<file path=xl/tables/table2.xml><?xml version="1.0" encoding="utf-8"?>
<table xmlns="http://schemas.openxmlformats.org/spreadsheetml/2006/main" ref="I5:O44" displayName="Team_B" name="Team_B" id="11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Temp-style 2" showColumnStripes="0" showFirstColumn="1" showLastColumn="1" showRowStripes="1"/>
</table>
</file>

<file path=xl/tables/table3.xml><?xml version="1.0" encoding="utf-8"?>
<table xmlns="http://schemas.openxmlformats.org/spreadsheetml/2006/main" ref="Q5:W44" displayName="Team_C" name="Team_C" id="12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Temp-style 3" showColumnStripes="0" showFirstColumn="1" showLastColumn="1" showRowStripes="1"/>
</table>
</file>

<file path=xl/tables/table4.xml><?xml version="1.0" encoding="utf-8"?>
<table xmlns="http://schemas.openxmlformats.org/spreadsheetml/2006/main" totalsRowCount="1" ref="Y5:AE45" displayName="Team_D" name="Team_D" id="13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Temp-style 4" showColumnStripes="0" showFirstColumn="1" showLastColumn="1" showRowStripes="1"/>
</table>
</file>

<file path=xl/tables/table5.xml><?xml version="1.0" encoding="utf-8"?>
<table xmlns="http://schemas.openxmlformats.org/spreadsheetml/2006/main" ref="AG5:AM44" displayName="Wastage" name="Wastage" id="14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B.No" id="7"/>
  </tableColumns>
  <tableStyleInfo name="Temp-style 5" showColumnStripes="0" showFirstColumn="1" showLastColumn="1" showRowStripes="1"/>
</table>
</file>

<file path=xl/tables/table6.xml><?xml version="1.0" encoding="utf-8"?>
<table xmlns="http://schemas.openxmlformats.org/spreadsheetml/2006/main" ref="A5:G66" displayName="Table4" name="Table4" id="1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Sep26-style" showColumnStripes="0" showFirstColumn="1" showLastColumn="1" showRowStripes="1"/>
</table>
</file>

<file path=xl/tables/table7.xml><?xml version="1.0" encoding="utf-8"?>
<table xmlns="http://schemas.openxmlformats.org/spreadsheetml/2006/main" ref="I5:O66" displayName="Table1" name="Table1" id="2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Sep26-style 2" showColumnStripes="0" showFirstColumn="1" showLastColumn="1" showRowStripes="1"/>
</table>
</file>

<file path=xl/tables/table8.xml><?xml version="1.0" encoding="utf-8"?>
<table xmlns="http://schemas.openxmlformats.org/spreadsheetml/2006/main" ref="Q5:W66" displayName="Table3" name="Table3" id="3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Sep26-style 3" showColumnStripes="0" showFirstColumn="1" showLastColumn="1" showRowStripes="1"/>
</table>
</file>

<file path=xl/tables/table9.xml><?xml version="1.0" encoding="utf-8"?>
<table xmlns="http://schemas.openxmlformats.org/spreadsheetml/2006/main" ref="Y5:AE66" displayName="Table2" name="Table2" id="4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Sep26-style 4" showColumnStripes="0" showFirstColumn="1" showLastColumn="1" showRowStripes="1"/>
</table>
</file>

<file path=xl/tables/table10.xml><?xml version="1.0" encoding="utf-8"?>
<table xmlns="http://schemas.openxmlformats.org/spreadsheetml/2006/main" ref="A5:G44" displayName="Team_A_2" name="Team_A_2" id="5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Oct26-style" showColumnStripes="0" showFirstColumn="1" showLastColumn="1" showRowStripes="1"/>
</table>
</file>

<file path=xl/tables/table11.xml><?xml version="1.0" encoding="utf-8"?>
<table xmlns="http://schemas.openxmlformats.org/spreadsheetml/2006/main" ref="I5:O44" displayName="Team_B_2" name="Team_B_2" id="6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Oct26-style 2" showColumnStripes="0" showFirstColumn="1" showLastColumn="1" showRowStripes="1"/>
</table>
</file>

<file path=xl/tables/table12.xml><?xml version="1.0" encoding="utf-8"?>
<table xmlns="http://schemas.openxmlformats.org/spreadsheetml/2006/main" ref="Q5:W44" displayName="Team_C_2" name="Team_C_2" id="7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Oct26-style 3" showColumnStripes="0" showFirstColumn="1" showLastColumn="1" showRowStripes="1"/>
</table>
</file>

<file path=xl/tables/table13.xml><?xml version="1.0" encoding="utf-8"?>
<table xmlns="http://schemas.openxmlformats.org/spreadsheetml/2006/main" totalsRowCount="1" ref="Y5:AE45" displayName="Team_D_2" name="Team_D_2" id="8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Check" id="7"/>
  </tableColumns>
  <tableStyleInfo name="Oct26-style 4" showColumnStripes="0" showFirstColumn="1" showLastColumn="1" showRowStripes="1"/>
</table>
</file>

<file path=xl/tables/table14.xml><?xml version="1.0" encoding="utf-8"?>
<table xmlns="http://schemas.openxmlformats.org/spreadsheetml/2006/main" ref="AG5:AM44" displayName="Wastage_2" name="Wastage_2" id="9">
  <tableColumns count="7">
    <tableColumn name="Sl no" id="1"/>
    <tableColumn name="Date " id="2"/>
    <tableColumn name="Description " id="3"/>
    <tableColumn name="Members " id="4"/>
    <tableColumn name="Qty " id="5"/>
    <tableColumn name="Wastage" id="6"/>
    <tableColumn name="B.No" id="7"/>
  </tableColumns>
  <tableStyleInfo name="Oct26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9" Type="http://schemas.openxmlformats.org/officeDocument/2006/relationships/table" Target="../tables/table12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17.75"/>
    <col customWidth="1" min="9" max="9" width="17.38"/>
    <col customWidth="1" min="10" max="10" width="1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ht="15.75" customHeight="1">
      <c r="A3" s="4" t="s">
        <v>1</v>
      </c>
      <c r="J3" s="1"/>
    </row>
    <row r="4" ht="15.75" customHeight="1">
      <c r="A4" s="5">
        <v>2026.0</v>
      </c>
      <c r="J4" s="1"/>
    </row>
    <row r="5" ht="15.75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1"/>
    </row>
    <row r="6" ht="15.75" customHeight="1">
      <c r="A6" s="6" t="s">
        <v>11</v>
      </c>
      <c r="B6" s="9"/>
      <c r="C6" s="9">
        <f>'Sep26'!F68</f>
        <v>242</v>
      </c>
      <c r="D6" s="9"/>
      <c r="E6" s="9"/>
      <c r="F6" s="9"/>
      <c r="G6" s="9"/>
      <c r="H6" s="9"/>
      <c r="I6" s="9"/>
      <c r="J6" s="1"/>
    </row>
    <row r="7" ht="15.75" customHeight="1">
      <c r="A7" s="6" t="s">
        <v>23</v>
      </c>
      <c r="B7" s="9"/>
      <c r="C7" s="9">
        <f>'Sep26'!N68</f>
        <v>176</v>
      </c>
      <c r="D7" s="9"/>
      <c r="E7" s="9"/>
      <c r="F7" s="9"/>
      <c r="G7" s="9"/>
      <c r="H7" s="9"/>
      <c r="I7" s="9"/>
      <c r="J7" s="1"/>
    </row>
    <row r="8" ht="15.75" customHeight="1">
      <c r="A8" s="6" t="s">
        <v>24</v>
      </c>
      <c r="B8" s="9"/>
      <c r="C8" s="9">
        <f>'Sep26'!V68</f>
        <v>176</v>
      </c>
      <c r="D8" s="9"/>
      <c r="E8" s="9"/>
      <c r="F8" s="9"/>
      <c r="G8" s="9"/>
      <c r="H8" s="9"/>
      <c r="I8" s="9"/>
      <c r="J8" s="1"/>
    </row>
    <row r="9" ht="15.75" customHeight="1">
      <c r="A9" s="6" t="s">
        <v>25</v>
      </c>
      <c r="B9" s="9"/>
      <c r="C9" s="9">
        <f>'Sep26'!AD68</f>
        <v>82</v>
      </c>
      <c r="D9" s="9"/>
      <c r="E9" s="9"/>
      <c r="F9" s="9"/>
      <c r="G9" s="9"/>
      <c r="H9" s="9"/>
      <c r="I9" s="9"/>
      <c r="J9" s="1"/>
    </row>
    <row r="10" ht="15.75" customHeight="1">
      <c r="A10" s="16" t="s">
        <v>26</v>
      </c>
      <c r="B10" s="17">
        <f t="shared" ref="B10:I10" si="1">SUM(B6:B9)</f>
        <v>0</v>
      </c>
      <c r="C10" s="17">
        <f t="shared" si="1"/>
        <v>676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"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1" max="11" width="18.38"/>
    <col customWidth="1" min="19" max="19" width="18.38"/>
    <col customWidth="1" min="27" max="27" width="18.38"/>
    <col customWidth="1" min="33" max="33" width="8.88"/>
    <col customWidth="1" min="35" max="35" width="15.13"/>
    <col customWidth="1" min="36" max="36" width="7.63"/>
    <col customWidth="1" min="37" max="38" width="8.88"/>
  </cols>
  <sheetData>
    <row r="1">
      <c r="A1" s="35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/>
      <c r="AF1" s="37"/>
      <c r="AG1" s="37"/>
      <c r="AH1" s="37"/>
      <c r="AI1" s="37"/>
      <c r="AJ1" s="37"/>
      <c r="AK1" s="37"/>
      <c r="AL1" s="37"/>
      <c r="AM1" s="37"/>
      <c r="AN1" s="3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10" t="s">
        <v>35</v>
      </c>
      <c r="B3" s="3"/>
      <c r="C3" s="3"/>
      <c r="D3" s="3"/>
      <c r="E3" s="3"/>
      <c r="F3" s="3"/>
      <c r="G3" s="7"/>
      <c r="H3" s="8"/>
      <c r="I3" s="10" t="s">
        <v>36</v>
      </c>
      <c r="J3" s="3"/>
      <c r="K3" s="3"/>
      <c r="L3" s="3"/>
      <c r="M3" s="3"/>
      <c r="N3" s="3"/>
      <c r="O3" s="7"/>
      <c r="P3" s="8"/>
      <c r="Q3" s="10" t="s">
        <v>14</v>
      </c>
      <c r="R3" s="3"/>
      <c r="S3" s="3"/>
      <c r="T3" s="3"/>
      <c r="U3" s="3"/>
      <c r="V3" s="3"/>
      <c r="W3" s="7"/>
      <c r="X3" s="8"/>
      <c r="Y3" s="10" t="s">
        <v>15</v>
      </c>
      <c r="Z3" s="3"/>
      <c r="AA3" s="3"/>
      <c r="AB3" s="3"/>
      <c r="AC3" s="3"/>
      <c r="AD3" s="3"/>
      <c r="AE3" s="7"/>
      <c r="AF3" s="8"/>
      <c r="AG3" s="8"/>
      <c r="AH3" s="8"/>
      <c r="AI3" s="8"/>
      <c r="AJ3" s="8"/>
      <c r="AK3" s="8"/>
      <c r="AL3" s="8"/>
      <c r="AM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ht="22.5" customHeight="1">
      <c r="A5" s="23" t="s">
        <v>16</v>
      </c>
      <c r="B5" s="24" t="s">
        <v>17</v>
      </c>
      <c r="C5" s="25" t="s">
        <v>18</v>
      </c>
      <c r="D5" s="24" t="s">
        <v>19</v>
      </c>
      <c r="E5" s="24" t="s">
        <v>20</v>
      </c>
      <c r="F5" s="24" t="s">
        <v>48</v>
      </c>
      <c r="G5" s="24" t="s">
        <v>22</v>
      </c>
      <c r="H5" s="8"/>
      <c r="I5" s="23" t="s">
        <v>16</v>
      </c>
      <c r="J5" s="24" t="s">
        <v>17</v>
      </c>
      <c r="K5" s="25" t="s">
        <v>18</v>
      </c>
      <c r="L5" s="24" t="s">
        <v>19</v>
      </c>
      <c r="M5" s="24" t="s">
        <v>20</v>
      </c>
      <c r="N5" s="24" t="s">
        <v>48</v>
      </c>
      <c r="O5" s="24" t="s">
        <v>22</v>
      </c>
      <c r="P5" s="8"/>
      <c r="Q5" s="23" t="s">
        <v>16</v>
      </c>
      <c r="R5" s="24" t="s">
        <v>17</v>
      </c>
      <c r="S5" s="25" t="s">
        <v>18</v>
      </c>
      <c r="T5" s="24" t="s">
        <v>19</v>
      </c>
      <c r="U5" s="24" t="s">
        <v>20</v>
      </c>
      <c r="V5" s="24" t="s">
        <v>48</v>
      </c>
      <c r="W5" s="24" t="s">
        <v>22</v>
      </c>
      <c r="X5" s="8"/>
      <c r="Y5" s="23" t="s">
        <v>16</v>
      </c>
      <c r="Z5" s="24" t="s">
        <v>17</v>
      </c>
      <c r="AA5" s="25" t="s">
        <v>18</v>
      </c>
      <c r="AB5" s="24" t="s">
        <v>19</v>
      </c>
      <c r="AC5" s="24" t="s">
        <v>20</v>
      </c>
      <c r="AD5" s="24" t="s">
        <v>48</v>
      </c>
      <c r="AE5" s="24" t="s">
        <v>22</v>
      </c>
      <c r="AG5" s="23" t="s">
        <v>16</v>
      </c>
      <c r="AH5" s="24" t="s">
        <v>17</v>
      </c>
      <c r="AI5" s="25" t="s">
        <v>18</v>
      </c>
      <c r="AJ5" s="24" t="s">
        <v>19</v>
      </c>
      <c r="AK5" s="24" t="s">
        <v>20</v>
      </c>
      <c r="AL5" s="24" t="s">
        <v>48</v>
      </c>
      <c r="AM5" s="46" t="s">
        <v>69</v>
      </c>
    </row>
    <row r="6" ht="15.75" customHeight="1">
      <c r="A6" s="36"/>
      <c r="B6" s="32"/>
      <c r="C6" s="53"/>
      <c r="D6" s="36"/>
      <c r="E6" s="40"/>
      <c r="F6" s="36"/>
      <c r="G6" s="60" t="b">
        <v>0</v>
      </c>
      <c r="H6" s="8"/>
      <c r="I6" s="36"/>
      <c r="J6" s="43"/>
      <c r="K6" s="53"/>
      <c r="L6" s="36"/>
      <c r="M6" s="40"/>
      <c r="N6" s="36"/>
      <c r="O6" s="60" t="b">
        <v>0</v>
      </c>
      <c r="P6" s="8"/>
      <c r="Q6" s="36"/>
      <c r="R6" s="43"/>
      <c r="S6" s="53"/>
      <c r="T6" s="36"/>
      <c r="U6" s="40"/>
      <c r="V6" s="36"/>
      <c r="W6" s="60" t="b">
        <v>0</v>
      </c>
      <c r="X6" s="8"/>
      <c r="Y6" s="36"/>
      <c r="Z6" s="43"/>
      <c r="AA6" s="53"/>
      <c r="AB6" s="36"/>
      <c r="AC6" s="40"/>
      <c r="AD6" s="36"/>
      <c r="AE6" s="60" t="b">
        <v>0</v>
      </c>
      <c r="AG6" s="36"/>
      <c r="AH6" s="32"/>
      <c r="AI6" s="53"/>
      <c r="AJ6" s="36"/>
      <c r="AK6" s="40"/>
      <c r="AL6" s="36"/>
      <c r="AM6" s="54"/>
    </row>
    <row r="7" ht="15.75" customHeight="1">
      <c r="A7" s="30"/>
      <c r="B7" s="30"/>
      <c r="C7" s="45"/>
      <c r="D7" s="26"/>
      <c r="E7" s="29"/>
      <c r="F7" s="30"/>
      <c r="G7" s="61" t="b">
        <v>0</v>
      </c>
      <c r="H7" s="8"/>
      <c r="I7" s="26"/>
      <c r="J7" s="32"/>
      <c r="K7" s="45"/>
      <c r="L7" s="26"/>
      <c r="M7" s="29"/>
      <c r="N7" s="30"/>
      <c r="O7" s="61" t="b">
        <v>0</v>
      </c>
      <c r="P7" s="8"/>
      <c r="Q7" s="26"/>
      <c r="R7" s="32"/>
      <c r="S7" s="45"/>
      <c r="T7" s="30"/>
      <c r="U7" s="29"/>
      <c r="V7" s="30"/>
      <c r="W7" s="61" t="b">
        <v>0</v>
      </c>
      <c r="X7" s="8"/>
      <c r="Y7" s="26"/>
      <c r="Z7" s="32"/>
      <c r="AA7" s="45"/>
      <c r="AB7" s="26"/>
      <c r="AC7" s="29"/>
      <c r="AD7" s="30"/>
      <c r="AE7" s="61" t="b">
        <v>0</v>
      </c>
      <c r="AG7" s="30"/>
      <c r="AH7" s="30"/>
      <c r="AI7" s="45"/>
      <c r="AJ7" s="26"/>
      <c r="AK7" s="29"/>
      <c r="AL7" s="30"/>
      <c r="AM7" s="56"/>
    </row>
    <row r="8" ht="15.75" customHeight="1">
      <c r="A8" s="36"/>
      <c r="B8" s="43"/>
      <c r="C8" s="53"/>
      <c r="D8" s="36"/>
      <c r="E8" s="40"/>
      <c r="F8" s="50"/>
      <c r="G8" s="60" t="b">
        <v>0</v>
      </c>
      <c r="H8" s="8"/>
      <c r="I8" s="50"/>
      <c r="J8" s="50"/>
      <c r="K8" s="53"/>
      <c r="L8" s="50"/>
      <c r="M8" s="50"/>
      <c r="N8" s="50"/>
      <c r="O8" s="60" t="b">
        <v>0</v>
      </c>
      <c r="P8" s="8"/>
      <c r="Q8" s="50"/>
      <c r="R8" s="50"/>
      <c r="S8" s="53"/>
      <c r="T8" s="36"/>
      <c r="U8" s="40"/>
      <c r="V8" s="50"/>
      <c r="W8" s="60" t="b">
        <v>0</v>
      </c>
      <c r="X8" s="8"/>
      <c r="Y8" s="50"/>
      <c r="Z8" s="50"/>
      <c r="AA8" s="53"/>
      <c r="AB8" s="36"/>
      <c r="AC8" s="40"/>
      <c r="AD8" s="50"/>
      <c r="AE8" s="60" t="b">
        <v>0</v>
      </c>
      <c r="AG8" s="36"/>
      <c r="AH8" s="43"/>
      <c r="AI8" s="53"/>
      <c r="AJ8" s="36"/>
      <c r="AK8" s="40"/>
      <c r="AL8" s="50"/>
      <c r="AM8" s="54"/>
    </row>
    <row r="9" ht="15.75" customHeight="1">
      <c r="A9" s="30"/>
      <c r="B9" s="30"/>
      <c r="C9" s="45"/>
      <c r="D9" s="26"/>
      <c r="E9" s="29"/>
      <c r="F9" s="30"/>
      <c r="G9" s="61" t="b">
        <v>0</v>
      </c>
      <c r="H9" s="8"/>
      <c r="I9" s="30"/>
      <c r="J9" s="30"/>
      <c r="K9" s="45"/>
      <c r="L9" s="30"/>
      <c r="M9" s="30"/>
      <c r="N9" s="30"/>
      <c r="O9" s="61" t="b">
        <v>0</v>
      </c>
      <c r="P9" s="8"/>
      <c r="Q9" s="30"/>
      <c r="R9" s="30"/>
      <c r="S9" s="45"/>
      <c r="T9" s="30"/>
      <c r="U9" s="30"/>
      <c r="V9" s="30"/>
      <c r="W9" s="61" t="b">
        <v>0</v>
      </c>
      <c r="X9" s="8"/>
      <c r="Y9" s="30"/>
      <c r="Z9" s="30"/>
      <c r="AA9" s="45"/>
      <c r="AB9" s="30"/>
      <c r="AC9" s="30"/>
      <c r="AD9" s="30"/>
      <c r="AE9" s="61" t="b">
        <v>0</v>
      </c>
      <c r="AG9" s="30"/>
      <c r="AH9" s="30"/>
      <c r="AI9" s="45"/>
      <c r="AJ9" s="26"/>
      <c r="AK9" s="29"/>
      <c r="AL9" s="30"/>
      <c r="AM9" s="56"/>
    </row>
    <row r="10" ht="15.75" customHeight="1">
      <c r="A10" s="50"/>
      <c r="B10" s="50"/>
      <c r="C10" s="53"/>
      <c r="D10" s="50"/>
      <c r="E10" s="50"/>
      <c r="F10" s="50"/>
      <c r="G10" s="60" t="b">
        <v>0</v>
      </c>
      <c r="H10" s="8"/>
      <c r="I10" s="50"/>
      <c r="J10" s="50"/>
      <c r="K10" s="53"/>
      <c r="L10" s="50"/>
      <c r="M10" s="50"/>
      <c r="N10" s="50"/>
      <c r="O10" s="60" t="b">
        <v>0</v>
      </c>
      <c r="P10" s="8"/>
      <c r="Q10" s="50"/>
      <c r="R10" s="50"/>
      <c r="S10" s="53"/>
      <c r="T10" s="50"/>
      <c r="U10" s="50"/>
      <c r="V10" s="50"/>
      <c r="W10" s="60" t="b">
        <v>0</v>
      </c>
      <c r="X10" s="8"/>
      <c r="Y10" s="50"/>
      <c r="Z10" s="50"/>
      <c r="AA10" s="53"/>
      <c r="AB10" s="50"/>
      <c r="AC10" s="50"/>
      <c r="AD10" s="50"/>
      <c r="AE10" s="60" t="b">
        <v>0</v>
      </c>
      <c r="AG10" s="50"/>
      <c r="AH10" s="50"/>
      <c r="AI10" s="53"/>
      <c r="AJ10" s="50"/>
      <c r="AK10" s="50"/>
      <c r="AL10" s="50"/>
      <c r="AM10" s="54"/>
    </row>
    <row r="11" ht="15.75" customHeight="1">
      <c r="A11" s="30"/>
      <c r="B11" s="30"/>
      <c r="C11" s="45"/>
      <c r="D11" s="30"/>
      <c r="E11" s="30"/>
      <c r="F11" s="30"/>
      <c r="G11" s="61" t="b">
        <v>0</v>
      </c>
      <c r="H11" s="8"/>
      <c r="I11" s="30"/>
      <c r="J11" s="30"/>
      <c r="K11" s="45"/>
      <c r="L11" s="30"/>
      <c r="M11" s="30"/>
      <c r="N11" s="30"/>
      <c r="O11" s="61" t="b">
        <v>0</v>
      </c>
      <c r="P11" s="8"/>
      <c r="Q11" s="30"/>
      <c r="R11" s="30"/>
      <c r="S11" s="45"/>
      <c r="T11" s="30"/>
      <c r="U11" s="30"/>
      <c r="V11" s="30"/>
      <c r="W11" s="61" t="b">
        <v>0</v>
      </c>
      <c r="X11" s="8"/>
      <c r="Y11" s="30"/>
      <c r="Z11" s="30"/>
      <c r="AA11" s="45"/>
      <c r="AB11" s="30"/>
      <c r="AC11" s="30"/>
      <c r="AD11" s="30"/>
      <c r="AE11" s="61" t="b">
        <v>0</v>
      </c>
      <c r="AG11" s="30"/>
      <c r="AH11" s="30"/>
      <c r="AI11" s="45"/>
      <c r="AJ11" s="30"/>
      <c r="AK11" s="30"/>
      <c r="AL11" s="30"/>
      <c r="AM11" s="56"/>
    </row>
    <row r="12" ht="15.75" customHeight="1">
      <c r="A12" s="50"/>
      <c r="B12" s="50"/>
      <c r="C12" s="53"/>
      <c r="D12" s="50"/>
      <c r="E12" s="50"/>
      <c r="F12" s="50"/>
      <c r="G12" s="60" t="b">
        <v>0</v>
      </c>
      <c r="H12" s="8"/>
      <c r="I12" s="50"/>
      <c r="J12" s="50"/>
      <c r="K12" s="53"/>
      <c r="L12" s="50"/>
      <c r="M12" s="50"/>
      <c r="N12" s="50"/>
      <c r="O12" s="60" t="b">
        <v>0</v>
      </c>
      <c r="P12" s="8"/>
      <c r="Q12" s="50"/>
      <c r="R12" s="50"/>
      <c r="S12" s="53"/>
      <c r="T12" s="50"/>
      <c r="U12" s="50"/>
      <c r="V12" s="50"/>
      <c r="W12" s="60" t="b">
        <v>0</v>
      </c>
      <c r="X12" s="8"/>
      <c r="Y12" s="50"/>
      <c r="Z12" s="50"/>
      <c r="AA12" s="53"/>
      <c r="AB12" s="50"/>
      <c r="AC12" s="50"/>
      <c r="AD12" s="50"/>
      <c r="AE12" s="60" t="b">
        <v>0</v>
      </c>
      <c r="AG12" s="50"/>
      <c r="AH12" s="50"/>
      <c r="AI12" s="53"/>
      <c r="AJ12" s="50"/>
      <c r="AK12" s="50"/>
      <c r="AL12" s="50"/>
      <c r="AM12" s="54"/>
    </row>
    <row r="13" ht="15.75" customHeight="1">
      <c r="A13" s="26"/>
      <c r="B13" s="32"/>
      <c r="C13" s="66"/>
      <c r="E13" s="29"/>
      <c r="F13" s="30"/>
      <c r="G13" s="61" t="b">
        <v>0</v>
      </c>
      <c r="H13" s="8"/>
      <c r="I13" s="26"/>
      <c r="J13" s="32"/>
      <c r="K13" s="45"/>
      <c r="L13" s="26"/>
      <c r="M13" s="29"/>
      <c r="N13" s="30"/>
      <c r="O13" s="61" t="b">
        <v>0</v>
      </c>
      <c r="P13" s="8"/>
      <c r="Q13" s="26"/>
      <c r="R13" s="32"/>
      <c r="S13" s="45"/>
      <c r="T13" s="26"/>
      <c r="U13" s="29"/>
      <c r="V13" s="26"/>
      <c r="W13" s="61" t="b">
        <v>0</v>
      </c>
      <c r="X13" s="8"/>
      <c r="Y13" s="26"/>
      <c r="Z13" s="32"/>
      <c r="AA13" s="45"/>
      <c r="AB13" s="26"/>
      <c r="AC13" s="29"/>
      <c r="AD13" s="26"/>
      <c r="AE13" s="61" t="b">
        <v>0</v>
      </c>
      <c r="AG13" s="26"/>
      <c r="AH13" s="32"/>
      <c r="AI13" s="66"/>
      <c r="AK13" s="29"/>
      <c r="AL13" s="30"/>
      <c r="AM13" s="56"/>
    </row>
    <row r="14" ht="15.75" customHeight="1">
      <c r="A14" s="30"/>
      <c r="B14" s="30"/>
      <c r="C14" s="45"/>
      <c r="D14" s="30"/>
      <c r="E14" s="30"/>
      <c r="F14" s="30"/>
      <c r="G14" s="61" t="b">
        <v>0</v>
      </c>
      <c r="H14" s="8"/>
      <c r="I14" s="30"/>
      <c r="J14" s="30"/>
      <c r="K14" s="45"/>
      <c r="L14" s="30"/>
      <c r="M14" s="30"/>
      <c r="N14" s="30"/>
      <c r="O14" s="61" t="b">
        <v>0</v>
      </c>
      <c r="P14" s="8"/>
      <c r="Q14" s="30"/>
      <c r="R14" s="30"/>
      <c r="S14" s="45"/>
      <c r="T14" s="30"/>
      <c r="U14" s="30"/>
      <c r="V14" s="30"/>
      <c r="W14" s="61" t="b">
        <v>0</v>
      </c>
      <c r="X14" s="8"/>
      <c r="Y14" s="30"/>
      <c r="Z14" s="30"/>
      <c r="AA14" s="45"/>
      <c r="AB14" s="30"/>
      <c r="AC14" s="30"/>
      <c r="AD14" s="30"/>
      <c r="AE14" s="61" t="b">
        <v>0</v>
      </c>
      <c r="AG14" s="30"/>
      <c r="AH14" s="30"/>
      <c r="AI14" s="45"/>
      <c r="AJ14" s="30"/>
      <c r="AK14" s="30"/>
      <c r="AL14" s="30"/>
      <c r="AM14" s="56"/>
    </row>
    <row r="15" ht="15.75" customHeight="1">
      <c r="A15" s="50"/>
      <c r="B15" s="50"/>
      <c r="C15" s="53"/>
      <c r="D15" s="50"/>
      <c r="E15" s="50"/>
      <c r="F15" s="50"/>
      <c r="G15" s="60" t="b">
        <v>0</v>
      </c>
      <c r="H15" s="8"/>
      <c r="I15" s="50"/>
      <c r="J15" s="50"/>
      <c r="K15" s="53"/>
      <c r="L15" s="50"/>
      <c r="M15" s="50"/>
      <c r="N15" s="50"/>
      <c r="O15" s="60" t="b">
        <v>0</v>
      </c>
      <c r="P15" s="8"/>
      <c r="Q15" s="50"/>
      <c r="R15" s="50"/>
      <c r="S15" s="53"/>
      <c r="T15" s="50"/>
      <c r="U15" s="50"/>
      <c r="V15" s="50"/>
      <c r="W15" s="60" t="b">
        <v>0</v>
      </c>
      <c r="X15" s="8"/>
      <c r="Y15" s="50"/>
      <c r="Z15" s="50"/>
      <c r="AA15" s="53"/>
      <c r="AB15" s="50"/>
      <c r="AC15" s="50"/>
      <c r="AD15" s="50"/>
      <c r="AE15" s="60" t="b">
        <v>0</v>
      </c>
      <c r="AG15" s="50"/>
      <c r="AH15" s="50"/>
      <c r="AI15" s="53"/>
      <c r="AJ15" s="50"/>
      <c r="AK15" s="50"/>
      <c r="AL15" s="50"/>
      <c r="AM15" s="54"/>
    </row>
    <row r="16" ht="15.75" customHeight="1">
      <c r="A16" s="30"/>
      <c r="B16" s="30"/>
      <c r="C16" s="45"/>
      <c r="D16" s="30"/>
      <c r="E16" s="30"/>
      <c r="F16" s="30"/>
      <c r="G16" s="61" t="b">
        <v>0</v>
      </c>
      <c r="H16" s="8"/>
      <c r="I16" s="30"/>
      <c r="J16" s="30"/>
      <c r="K16" s="45"/>
      <c r="L16" s="30"/>
      <c r="M16" s="30"/>
      <c r="N16" s="30"/>
      <c r="O16" s="61" t="b">
        <v>0</v>
      </c>
      <c r="P16" s="8"/>
      <c r="Q16" s="30"/>
      <c r="R16" s="30"/>
      <c r="S16" s="45"/>
      <c r="T16" s="30"/>
      <c r="U16" s="30"/>
      <c r="V16" s="30"/>
      <c r="W16" s="61" t="b">
        <v>0</v>
      </c>
      <c r="X16" s="8"/>
      <c r="Y16" s="30"/>
      <c r="Z16" s="30"/>
      <c r="AA16" s="45"/>
      <c r="AB16" s="30"/>
      <c r="AC16" s="30"/>
      <c r="AD16" s="30"/>
      <c r="AE16" s="61" t="b">
        <v>0</v>
      </c>
      <c r="AG16" s="30"/>
      <c r="AH16" s="30"/>
      <c r="AI16" s="45"/>
      <c r="AJ16" s="30"/>
      <c r="AK16" s="30"/>
      <c r="AL16" s="30"/>
      <c r="AM16" s="56"/>
    </row>
    <row r="17" ht="15.75" customHeight="1">
      <c r="A17" s="50"/>
      <c r="B17" s="50"/>
      <c r="C17" s="53"/>
      <c r="D17" s="50"/>
      <c r="E17" s="50"/>
      <c r="F17" s="50"/>
      <c r="G17" s="60" t="b">
        <v>0</v>
      </c>
      <c r="H17" s="8"/>
      <c r="I17" s="50"/>
      <c r="J17" s="50"/>
      <c r="K17" s="53"/>
      <c r="L17" s="50"/>
      <c r="M17" s="50"/>
      <c r="N17" s="50"/>
      <c r="O17" s="60" t="b">
        <v>0</v>
      </c>
      <c r="P17" s="8"/>
      <c r="Q17" s="50"/>
      <c r="R17" s="50"/>
      <c r="S17" s="53"/>
      <c r="T17" s="50"/>
      <c r="U17" s="50"/>
      <c r="V17" s="50"/>
      <c r="W17" s="60" t="b">
        <v>0</v>
      </c>
      <c r="X17" s="8"/>
      <c r="Y17" s="50"/>
      <c r="Z17" s="50"/>
      <c r="AA17" s="53"/>
      <c r="AB17" s="50"/>
      <c r="AC17" s="50"/>
      <c r="AD17" s="50"/>
      <c r="AE17" s="60" t="b">
        <v>0</v>
      </c>
      <c r="AG17" s="50"/>
      <c r="AH17" s="50"/>
      <c r="AI17" s="53"/>
      <c r="AJ17" s="50"/>
      <c r="AK17" s="50"/>
      <c r="AL17" s="50"/>
      <c r="AM17" s="54"/>
    </row>
    <row r="18" ht="15.75" customHeight="1">
      <c r="A18" s="30"/>
      <c r="B18" s="30"/>
      <c r="C18" s="45"/>
      <c r="D18" s="30"/>
      <c r="E18" s="30"/>
      <c r="F18" s="30"/>
      <c r="G18" s="61" t="b">
        <v>0</v>
      </c>
      <c r="H18" s="8"/>
      <c r="I18" s="30"/>
      <c r="J18" s="30"/>
      <c r="K18" s="45"/>
      <c r="L18" s="30"/>
      <c r="M18" s="30"/>
      <c r="N18" s="30"/>
      <c r="O18" s="61" t="b">
        <v>0</v>
      </c>
      <c r="P18" s="8"/>
      <c r="Q18" s="30"/>
      <c r="R18" s="30"/>
      <c r="S18" s="45"/>
      <c r="T18" s="30"/>
      <c r="U18" s="30"/>
      <c r="V18" s="30"/>
      <c r="W18" s="61" t="b">
        <v>0</v>
      </c>
      <c r="X18" s="8"/>
      <c r="Y18" s="30"/>
      <c r="Z18" s="30"/>
      <c r="AA18" s="45"/>
      <c r="AB18" s="30"/>
      <c r="AC18" s="30"/>
      <c r="AD18" s="30"/>
      <c r="AE18" s="61" t="b">
        <v>0</v>
      </c>
      <c r="AG18" s="30"/>
      <c r="AH18" s="30"/>
      <c r="AI18" s="45"/>
      <c r="AJ18" s="30"/>
      <c r="AK18" s="30"/>
      <c r="AL18" s="30"/>
      <c r="AM18" s="56"/>
    </row>
    <row r="19" ht="15.75" customHeight="1">
      <c r="A19" s="50"/>
      <c r="B19" s="50"/>
      <c r="C19" s="53"/>
      <c r="D19" s="50"/>
      <c r="E19" s="50"/>
      <c r="F19" s="50"/>
      <c r="G19" s="60" t="b">
        <v>0</v>
      </c>
      <c r="H19" s="8"/>
      <c r="I19" s="50"/>
      <c r="J19" s="50"/>
      <c r="K19" s="53"/>
      <c r="L19" s="50"/>
      <c r="M19" s="50"/>
      <c r="N19" s="50"/>
      <c r="O19" s="60" t="b">
        <v>0</v>
      </c>
      <c r="P19" s="8"/>
      <c r="Q19" s="50"/>
      <c r="R19" s="50"/>
      <c r="S19" s="53"/>
      <c r="T19" s="50"/>
      <c r="U19" s="50"/>
      <c r="V19" s="50"/>
      <c r="W19" s="60" t="b">
        <v>0</v>
      </c>
      <c r="X19" s="8"/>
      <c r="Y19" s="50"/>
      <c r="Z19" s="50"/>
      <c r="AA19" s="53"/>
      <c r="AB19" s="50"/>
      <c r="AC19" s="50"/>
      <c r="AD19" s="50"/>
      <c r="AE19" s="60" t="b">
        <v>0</v>
      </c>
      <c r="AG19" s="50"/>
      <c r="AH19" s="50"/>
      <c r="AI19" s="53"/>
      <c r="AJ19" s="50"/>
      <c r="AK19" s="50"/>
      <c r="AL19" s="50"/>
      <c r="AM19" s="54"/>
    </row>
    <row r="20" ht="15.75" customHeight="1">
      <c r="A20" s="30"/>
      <c r="B20" s="30"/>
      <c r="C20" s="45"/>
      <c r="D20" s="30"/>
      <c r="E20" s="30"/>
      <c r="F20" s="30"/>
      <c r="G20" s="61" t="b">
        <v>0</v>
      </c>
      <c r="H20" s="8"/>
      <c r="I20" s="30"/>
      <c r="J20" s="30"/>
      <c r="K20" s="45"/>
      <c r="L20" s="30"/>
      <c r="M20" s="30"/>
      <c r="N20" s="30"/>
      <c r="O20" s="61" t="b">
        <v>0</v>
      </c>
      <c r="P20" s="8"/>
      <c r="Q20" s="30"/>
      <c r="R20" s="30"/>
      <c r="S20" s="45"/>
      <c r="T20" s="30"/>
      <c r="U20" s="30"/>
      <c r="V20" s="30"/>
      <c r="W20" s="61" t="b">
        <v>0</v>
      </c>
      <c r="X20" s="8"/>
      <c r="Y20" s="30"/>
      <c r="Z20" s="30"/>
      <c r="AA20" s="45"/>
      <c r="AB20" s="30"/>
      <c r="AC20" s="30"/>
      <c r="AD20" s="30"/>
      <c r="AE20" s="61" t="b">
        <v>0</v>
      </c>
      <c r="AG20" s="30"/>
      <c r="AH20" s="30"/>
      <c r="AI20" s="45"/>
      <c r="AJ20" s="30"/>
      <c r="AK20" s="30"/>
      <c r="AL20" s="30"/>
      <c r="AM20" s="56"/>
    </row>
    <row r="21" ht="15.75" customHeight="1">
      <c r="A21" s="50"/>
      <c r="B21" s="50"/>
      <c r="C21" s="53"/>
      <c r="D21" s="50"/>
      <c r="E21" s="50"/>
      <c r="F21" s="50"/>
      <c r="G21" s="60" t="b">
        <v>0</v>
      </c>
      <c r="H21" s="8"/>
      <c r="I21" s="50"/>
      <c r="J21" s="50"/>
      <c r="K21" s="53"/>
      <c r="L21" s="50"/>
      <c r="M21" s="50"/>
      <c r="N21" s="50"/>
      <c r="O21" s="60" t="b">
        <v>0</v>
      </c>
      <c r="P21" s="8"/>
      <c r="Q21" s="50"/>
      <c r="R21" s="50"/>
      <c r="S21" s="53"/>
      <c r="T21" s="50"/>
      <c r="U21" s="50"/>
      <c r="V21" s="50"/>
      <c r="W21" s="60" t="b">
        <v>0</v>
      </c>
      <c r="X21" s="8"/>
      <c r="Y21" s="50"/>
      <c r="Z21" s="50"/>
      <c r="AA21" s="53"/>
      <c r="AB21" s="50"/>
      <c r="AC21" s="50"/>
      <c r="AD21" s="50"/>
      <c r="AE21" s="60" t="b">
        <v>0</v>
      </c>
      <c r="AG21" s="50"/>
      <c r="AH21" s="50"/>
      <c r="AI21" s="53"/>
      <c r="AJ21" s="50"/>
      <c r="AK21" s="50"/>
      <c r="AL21" s="50"/>
      <c r="AM21" s="54"/>
    </row>
    <row r="22" ht="15.75" customHeight="1">
      <c r="A22" s="30"/>
      <c r="B22" s="30"/>
      <c r="C22" s="45"/>
      <c r="D22" s="30"/>
      <c r="E22" s="30"/>
      <c r="F22" s="30"/>
      <c r="G22" s="61" t="b">
        <v>0</v>
      </c>
      <c r="H22" s="8"/>
      <c r="I22" s="30"/>
      <c r="J22" s="30"/>
      <c r="K22" s="45"/>
      <c r="L22" s="30"/>
      <c r="M22" s="30"/>
      <c r="N22" s="30"/>
      <c r="O22" s="61" t="b">
        <v>0</v>
      </c>
      <c r="P22" s="8"/>
      <c r="Q22" s="30"/>
      <c r="R22" s="30"/>
      <c r="S22" s="45"/>
      <c r="T22" s="30"/>
      <c r="U22" s="30"/>
      <c r="V22" s="30"/>
      <c r="W22" s="61" t="b">
        <v>0</v>
      </c>
      <c r="X22" s="8"/>
      <c r="Y22" s="30"/>
      <c r="Z22" s="30"/>
      <c r="AA22" s="45"/>
      <c r="AB22" s="30"/>
      <c r="AC22" s="30"/>
      <c r="AD22" s="30"/>
      <c r="AE22" s="61" t="b">
        <v>0</v>
      </c>
      <c r="AG22" s="30"/>
      <c r="AH22" s="30"/>
      <c r="AI22" s="45"/>
      <c r="AJ22" s="30"/>
      <c r="AK22" s="30"/>
      <c r="AL22" s="30"/>
      <c r="AM22" s="56"/>
    </row>
    <row r="23" ht="15.75" customHeight="1">
      <c r="A23" s="50"/>
      <c r="B23" s="50"/>
      <c r="C23" s="53"/>
      <c r="D23" s="50"/>
      <c r="E23" s="50"/>
      <c r="F23" s="50"/>
      <c r="G23" s="60" t="b">
        <v>0</v>
      </c>
      <c r="H23" s="8"/>
      <c r="I23" s="50"/>
      <c r="J23" s="50"/>
      <c r="K23" s="53"/>
      <c r="L23" s="50"/>
      <c r="M23" s="50"/>
      <c r="N23" s="50"/>
      <c r="O23" s="60" t="b">
        <v>0</v>
      </c>
      <c r="P23" s="8"/>
      <c r="Q23" s="50"/>
      <c r="R23" s="50"/>
      <c r="S23" s="53"/>
      <c r="T23" s="50"/>
      <c r="U23" s="50"/>
      <c r="V23" s="50"/>
      <c r="W23" s="60" t="b">
        <v>0</v>
      </c>
      <c r="X23" s="8"/>
      <c r="Y23" s="50"/>
      <c r="Z23" s="50"/>
      <c r="AA23" s="53"/>
      <c r="AB23" s="50"/>
      <c r="AC23" s="50"/>
      <c r="AD23" s="50"/>
      <c r="AE23" s="60" t="b">
        <v>0</v>
      </c>
      <c r="AG23" s="50"/>
      <c r="AH23" s="50"/>
      <c r="AI23" s="53"/>
      <c r="AJ23" s="50"/>
      <c r="AK23" s="50"/>
      <c r="AL23" s="50"/>
      <c r="AM23" s="54"/>
    </row>
    <row r="24" ht="15.75" customHeight="1">
      <c r="A24" s="30"/>
      <c r="B24" s="30"/>
      <c r="C24" s="45"/>
      <c r="D24" s="30"/>
      <c r="E24" s="30"/>
      <c r="F24" s="30"/>
      <c r="G24" s="61" t="b">
        <v>0</v>
      </c>
      <c r="H24" s="8"/>
      <c r="I24" s="30"/>
      <c r="J24" s="30"/>
      <c r="K24" s="45"/>
      <c r="L24" s="30"/>
      <c r="M24" s="30"/>
      <c r="N24" s="30"/>
      <c r="O24" s="61" t="b">
        <v>0</v>
      </c>
      <c r="P24" s="8"/>
      <c r="Q24" s="30"/>
      <c r="R24" s="30"/>
      <c r="S24" s="45"/>
      <c r="T24" s="30"/>
      <c r="U24" s="30"/>
      <c r="V24" s="30"/>
      <c r="W24" s="61" t="b">
        <v>0</v>
      </c>
      <c r="X24" s="8"/>
      <c r="Y24" s="30"/>
      <c r="Z24" s="30"/>
      <c r="AA24" s="45"/>
      <c r="AB24" s="30"/>
      <c r="AC24" s="30"/>
      <c r="AD24" s="30"/>
      <c r="AE24" s="61" t="b">
        <v>0</v>
      </c>
      <c r="AG24" s="30"/>
      <c r="AH24" s="30"/>
      <c r="AI24" s="45"/>
      <c r="AJ24" s="30"/>
      <c r="AK24" s="30"/>
      <c r="AL24" s="30"/>
      <c r="AM24" s="56"/>
    </row>
    <row r="25" ht="15.75" customHeight="1">
      <c r="A25" s="50"/>
      <c r="B25" s="50"/>
      <c r="C25" s="53"/>
      <c r="D25" s="50"/>
      <c r="E25" s="50"/>
      <c r="F25" s="50"/>
      <c r="G25" s="60" t="b">
        <v>0</v>
      </c>
      <c r="H25" s="8"/>
      <c r="I25" s="50"/>
      <c r="J25" s="50"/>
      <c r="K25" s="53"/>
      <c r="L25" s="50"/>
      <c r="M25" s="50"/>
      <c r="N25" s="50"/>
      <c r="O25" s="60" t="b">
        <v>0</v>
      </c>
      <c r="P25" s="8"/>
      <c r="Q25" s="50"/>
      <c r="R25" s="50"/>
      <c r="S25" s="53"/>
      <c r="T25" s="50"/>
      <c r="U25" s="50"/>
      <c r="V25" s="50"/>
      <c r="W25" s="60" t="b">
        <v>0</v>
      </c>
      <c r="X25" s="8"/>
      <c r="Y25" s="50"/>
      <c r="Z25" s="50"/>
      <c r="AA25" s="53"/>
      <c r="AB25" s="50"/>
      <c r="AC25" s="50"/>
      <c r="AD25" s="50"/>
      <c r="AE25" s="60" t="b">
        <v>0</v>
      </c>
      <c r="AG25" s="50"/>
      <c r="AH25" s="50"/>
      <c r="AI25" s="53"/>
      <c r="AJ25" s="50"/>
      <c r="AK25" s="50"/>
      <c r="AL25" s="50"/>
      <c r="AM25" s="54"/>
    </row>
    <row r="26" ht="15.75" customHeight="1">
      <c r="A26" s="30"/>
      <c r="B26" s="30"/>
      <c r="C26" s="45"/>
      <c r="D26" s="30"/>
      <c r="E26" s="30"/>
      <c r="F26" s="30"/>
      <c r="G26" s="61" t="b">
        <v>0</v>
      </c>
      <c r="H26" s="8"/>
      <c r="I26" s="30"/>
      <c r="J26" s="30"/>
      <c r="K26" s="45"/>
      <c r="L26" s="30"/>
      <c r="M26" s="30"/>
      <c r="N26" s="30"/>
      <c r="O26" s="61" t="b">
        <v>0</v>
      </c>
      <c r="P26" s="8"/>
      <c r="Q26" s="30"/>
      <c r="R26" s="30"/>
      <c r="S26" s="45"/>
      <c r="T26" s="30"/>
      <c r="U26" s="30"/>
      <c r="V26" s="30"/>
      <c r="W26" s="61" t="b">
        <v>0</v>
      </c>
      <c r="X26" s="8"/>
      <c r="Y26" s="30"/>
      <c r="Z26" s="30"/>
      <c r="AA26" s="45"/>
      <c r="AB26" s="30"/>
      <c r="AC26" s="30"/>
      <c r="AD26" s="30"/>
      <c r="AE26" s="61" t="b">
        <v>0</v>
      </c>
      <c r="AG26" s="30"/>
      <c r="AH26" s="30"/>
      <c r="AI26" s="45"/>
      <c r="AJ26" s="30"/>
      <c r="AK26" s="30"/>
      <c r="AL26" s="30"/>
      <c r="AM26" s="56"/>
    </row>
    <row r="27" ht="15.75" customHeight="1">
      <c r="A27" s="50"/>
      <c r="B27" s="50"/>
      <c r="C27" s="53"/>
      <c r="D27" s="50"/>
      <c r="E27" s="50"/>
      <c r="F27" s="50"/>
      <c r="G27" s="60" t="b">
        <v>0</v>
      </c>
      <c r="H27" s="8"/>
      <c r="I27" s="50"/>
      <c r="J27" s="50"/>
      <c r="K27" s="53"/>
      <c r="L27" s="50"/>
      <c r="M27" s="50"/>
      <c r="N27" s="50"/>
      <c r="O27" s="60" t="b">
        <v>0</v>
      </c>
      <c r="P27" s="8"/>
      <c r="Q27" s="50"/>
      <c r="R27" s="50"/>
      <c r="S27" s="53"/>
      <c r="T27" s="50"/>
      <c r="U27" s="50"/>
      <c r="V27" s="50"/>
      <c r="W27" s="60" t="b">
        <v>0</v>
      </c>
      <c r="X27" s="8"/>
      <c r="Y27" s="50"/>
      <c r="Z27" s="50"/>
      <c r="AA27" s="53"/>
      <c r="AB27" s="50"/>
      <c r="AC27" s="50"/>
      <c r="AD27" s="50"/>
      <c r="AE27" s="60" t="b">
        <v>0</v>
      </c>
      <c r="AG27" s="50"/>
      <c r="AH27" s="50"/>
      <c r="AI27" s="53"/>
      <c r="AJ27" s="50"/>
      <c r="AK27" s="50"/>
      <c r="AL27" s="50"/>
      <c r="AM27" s="54"/>
    </row>
    <row r="28" ht="15.75" customHeight="1">
      <c r="A28" s="30"/>
      <c r="B28" s="30"/>
      <c r="C28" s="45"/>
      <c r="D28" s="30"/>
      <c r="E28" s="30"/>
      <c r="F28" s="30"/>
      <c r="G28" s="61" t="b">
        <v>0</v>
      </c>
      <c r="H28" s="8"/>
      <c r="I28" s="30"/>
      <c r="J28" s="30"/>
      <c r="K28" s="45"/>
      <c r="L28" s="30"/>
      <c r="M28" s="30"/>
      <c r="N28" s="30"/>
      <c r="O28" s="61" t="b">
        <v>0</v>
      </c>
      <c r="P28" s="8"/>
      <c r="Q28" s="30"/>
      <c r="R28" s="30"/>
      <c r="S28" s="45"/>
      <c r="T28" s="30"/>
      <c r="U28" s="30"/>
      <c r="V28" s="30"/>
      <c r="W28" s="61" t="b">
        <v>0</v>
      </c>
      <c r="X28" s="8"/>
      <c r="Y28" s="30"/>
      <c r="Z28" s="30"/>
      <c r="AA28" s="45"/>
      <c r="AB28" s="30"/>
      <c r="AC28" s="30"/>
      <c r="AD28" s="30"/>
      <c r="AE28" s="61" t="b">
        <v>0</v>
      </c>
      <c r="AG28" s="30"/>
      <c r="AH28" s="30"/>
      <c r="AI28" s="45"/>
      <c r="AJ28" s="30"/>
      <c r="AK28" s="30"/>
      <c r="AL28" s="30"/>
      <c r="AM28" s="56"/>
    </row>
    <row r="29" ht="15.75" customHeight="1">
      <c r="A29" s="50"/>
      <c r="B29" s="50"/>
      <c r="C29" s="53"/>
      <c r="D29" s="50"/>
      <c r="E29" s="50"/>
      <c r="F29" s="50"/>
      <c r="G29" s="60" t="b">
        <v>0</v>
      </c>
      <c r="H29" s="8"/>
      <c r="I29" s="50"/>
      <c r="J29" s="50"/>
      <c r="K29" s="53"/>
      <c r="L29" s="50"/>
      <c r="M29" s="50"/>
      <c r="N29" s="50"/>
      <c r="O29" s="60" t="b">
        <v>0</v>
      </c>
      <c r="P29" s="8"/>
      <c r="Q29" s="50"/>
      <c r="R29" s="50"/>
      <c r="S29" s="53"/>
      <c r="T29" s="50"/>
      <c r="U29" s="50"/>
      <c r="V29" s="50"/>
      <c r="W29" s="60" t="b">
        <v>0</v>
      </c>
      <c r="X29" s="8"/>
      <c r="Y29" s="50"/>
      <c r="Z29" s="50"/>
      <c r="AA29" s="53"/>
      <c r="AB29" s="50"/>
      <c r="AC29" s="50"/>
      <c r="AD29" s="50"/>
      <c r="AE29" s="60" t="b">
        <v>0</v>
      </c>
      <c r="AG29" s="50"/>
      <c r="AH29" s="50"/>
      <c r="AI29" s="53"/>
      <c r="AJ29" s="50"/>
      <c r="AK29" s="50"/>
      <c r="AL29" s="50"/>
      <c r="AM29" s="54"/>
    </row>
    <row r="30" ht="15.75" customHeight="1">
      <c r="A30" s="30"/>
      <c r="B30" s="30"/>
      <c r="C30" s="45"/>
      <c r="D30" s="30"/>
      <c r="E30" s="30"/>
      <c r="F30" s="30"/>
      <c r="G30" s="61" t="b">
        <v>0</v>
      </c>
      <c r="H30" s="8"/>
      <c r="I30" s="30"/>
      <c r="J30" s="30"/>
      <c r="K30" s="45"/>
      <c r="L30" s="30"/>
      <c r="M30" s="30"/>
      <c r="N30" s="30"/>
      <c r="O30" s="61" t="b">
        <v>0</v>
      </c>
      <c r="P30" s="8"/>
      <c r="Q30" s="30"/>
      <c r="R30" s="30"/>
      <c r="S30" s="45"/>
      <c r="T30" s="30"/>
      <c r="U30" s="30"/>
      <c r="V30" s="30"/>
      <c r="W30" s="61" t="b">
        <v>0</v>
      </c>
      <c r="X30" s="8"/>
      <c r="Y30" s="30"/>
      <c r="Z30" s="30"/>
      <c r="AA30" s="45"/>
      <c r="AB30" s="30"/>
      <c r="AC30" s="30"/>
      <c r="AD30" s="30"/>
      <c r="AE30" s="61" t="b">
        <v>0</v>
      </c>
      <c r="AG30" s="30"/>
      <c r="AH30" s="30"/>
      <c r="AI30" s="45"/>
      <c r="AJ30" s="30"/>
      <c r="AK30" s="30"/>
      <c r="AL30" s="30"/>
      <c r="AM30" s="56"/>
    </row>
    <row r="31" ht="15.75" customHeight="1">
      <c r="A31" s="50"/>
      <c r="B31" s="50"/>
      <c r="C31" s="53"/>
      <c r="D31" s="50"/>
      <c r="E31" s="50"/>
      <c r="F31" s="50"/>
      <c r="G31" s="60" t="b">
        <v>0</v>
      </c>
      <c r="H31" s="8"/>
      <c r="I31" s="50"/>
      <c r="J31" s="50"/>
      <c r="K31" s="53"/>
      <c r="L31" s="50"/>
      <c r="M31" s="50"/>
      <c r="N31" s="50"/>
      <c r="O31" s="60" t="b">
        <v>0</v>
      </c>
      <c r="P31" s="8"/>
      <c r="Q31" s="50"/>
      <c r="R31" s="50"/>
      <c r="S31" s="53"/>
      <c r="T31" s="50"/>
      <c r="U31" s="50"/>
      <c r="V31" s="50"/>
      <c r="W31" s="60" t="b">
        <v>0</v>
      </c>
      <c r="X31" s="8"/>
      <c r="Y31" s="50"/>
      <c r="Z31" s="50"/>
      <c r="AA31" s="53"/>
      <c r="AB31" s="50"/>
      <c r="AC31" s="50"/>
      <c r="AD31" s="50"/>
      <c r="AE31" s="60" t="b">
        <v>0</v>
      </c>
      <c r="AG31" s="50"/>
      <c r="AH31" s="50"/>
      <c r="AI31" s="53"/>
      <c r="AJ31" s="50"/>
      <c r="AK31" s="50"/>
      <c r="AL31" s="50"/>
      <c r="AM31" s="54"/>
    </row>
    <row r="32" ht="15.75" customHeight="1">
      <c r="A32" s="30"/>
      <c r="B32" s="30"/>
      <c r="C32" s="45"/>
      <c r="D32" s="30"/>
      <c r="E32" s="30"/>
      <c r="F32" s="30"/>
      <c r="G32" s="61" t="b">
        <v>0</v>
      </c>
      <c r="H32" s="8"/>
      <c r="I32" s="30"/>
      <c r="J32" s="30"/>
      <c r="K32" s="45"/>
      <c r="L32" s="30"/>
      <c r="M32" s="30"/>
      <c r="N32" s="30"/>
      <c r="O32" s="61" t="b">
        <v>0</v>
      </c>
      <c r="P32" s="8"/>
      <c r="Q32" s="30"/>
      <c r="R32" s="30"/>
      <c r="S32" s="45"/>
      <c r="T32" s="30"/>
      <c r="U32" s="30"/>
      <c r="V32" s="30"/>
      <c r="W32" s="61" t="b">
        <v>0</v>
      </c>
      <c r="X32" s="8"/>
      <c r="Y32" s="30"/>
      <c r="Z32" s="30"/>
      <c r="AA32" s="45"/>
      <c r="AB32" s="30"/>
      <c r="AC32" s="30"/>
      <c r="AD32" s="30"/>
      <c r="AE32" s="61" t="b">
        <v>0</v>
      </c>
      <c r="AG32" s="30"/>
      <c r="AH32" s="30"/>
      <c r="AI32" s="45"/>
      <c r="AJ32" s="30"/>
      <c r="AK32" s="30"/>
      <c r="AL32" s="30"/>
      <c r="AM32" s="56"/>
    </row>
    <row r="33" ht="15.75" customHeight="1">
      <c r="A33" s="50"/>
      <c r="B33" s="50"/>
      <c r="C33" s="53"/>
      <c r="D33" s="50"/>
      <c r="E33" s="50"/>
      <c r="F33" s="50"/>
      <c r="G33" s="60" t="b">
        <v>0</v>
      </c>
      <c r="H33" s="8"/>
      <c r="I33" s="50"/>
      <c r="J33" s="50"/>
      <c r="K33" s="53"/>
      <c r="L33" s="50"/>
      <c r="M33" s="50"/>
      <c r="N33" s="50"/>
      <c r="O33" s="60" t="b">
        <v>0</v>
      </c>
      <c r="P33" s="8"/>
      <c r="Q33" s="50"/>
      <c r="R33" s="50"/>
      <c r="S33" s="53"/>
      <c r="T33" s="50"/>
      <c r="U33" s="50"/>
      <c r="V33" s="50"/>
      <c r="W33" s="60" t="b">
        <v>0</v>
      </c>
      <c r="X33" s="8"/>
      <c r="Y33" s="50"/>
      <c r="Z33" s="50"/>
      <c r="AA33" s="53"/>
      <c r="AB33" s="50"/>
      <c r="AC33" s="50"/>
      <c r="AD33" s="50"/>
      <c r="AE33" s="60" t="b">
        <v>0</v>
      </c>
      <c r="AG33" s="50"/>
      <c r="AH33" s="50"/>
      <c r="AI33" s="53"/>
      <c r="AJ33" s="50"/>
      <c r="AK33" s="50"/>
      <c r="AL33" s="50"/>
      <c r="AM33" s="54"/>
    </row>
    <row r="34" ht="15.75" customHeight="1">
      <c r="A34" s="30"/>
      <c r="B34" s="30"/>
      <c r="C34" s="45"/>
      <c r="D34" s="30"/>
      <c r="E34" s="30"/>
      <c r="F34" s="30"/>
      <c r="G34" s="61" t="b">
        <v>0</v>
      </c>
      <c r="H34" s="8"/>
      <c r="I34" s="30"/>
      <c r="J34" s="30"/>
      <c r="K34" s="45"/>
      <c r="L34" s="30"/>
      <c r="M34" s="30"/>
      <c r="N34" s="30"/>
      <c r="O34" s="61" t="b">
        <v>0</v>
      </c>
      <c r="P34" s="8"/>
      <c r="Q34" s="30"/>
      <c r="R34" s="30"/>
      <c r="S34" s="45"/>
      <c r="T34" s="30"/>
      <c r="U34" s="30"/>
      <c r="V34" s="30"/>
      <c r="W34" s="61" t="b">
        <v>0</v>
      </c>
      <c r="X34" s="8"/>
      <c r="Y34" s="30"/>
      <c r="Z34" s="30"/>
      <c r="AA34" s="45"/>
      <c r="AB34" s="30"/>
      <c r="AC34" s="30"/>
      <c r="AD34" s="30"/>
      <c r="AE34" s="61" t="b">
        <v>0</v>
      </c>
      <c r="AG34" s="30"/>
      <c r="AH34" s="30"/>
      <c r="AI34" s="45"/>
      <c r="AJ34" s="30"/>
      <c r="AK34" s="30"/>
      <c r="AL34" s="30"/>
      <c r="AM34" s="56"/>
    </row>
    <row r="35" ht="15.75" customHeight="1">
      <c r="A35" s="50"/>
      <c r="B35" s="50"/>
      <c r="C35" s="53"/>
      <c r="D35" s="50"/>
      <c r="E35" s="50"/>
      <c r="F35" s="50"/>
      <c r="G35" s="60" t="b">
        <v>0</v>
      </c>
      <c r="H35" s="8"/>
      <c r="I35" s="50"/>
      <c r="J35" s="50"/>
      <c r="K35" s="53"/>
      <c r="L35" s="50"/>
      <c r="M35" s="50"/>
      <c r="N35" s="50"/>
      <c r="O35" s="60" t="b">
        <v>0</v>
      </c>
      <c r="P35" s="8"/>
      <c r="Q35" s="50"/>
      <c r="R35" s="50"/>
      <c r="S35" s="53"/>
      <c r="T35" s="50"/>
      <c r="U35" s="50"/>
      <c r="V35" s="50"/>
      <c r="W35" s="60" t="b">
        <v>0</v>
      </c>
      <c r="X35" s="8"/>
      <c r="Y35" s="50"/>
      <c r="Z35" s="50"/>
      <c r="AA35" s="53"/>
      <c r="AB35" s="50"/>
      <c r="AC35" s="50"/>
      <c r="AD35" s="50"/>
      <c r="AE35" s="60" t="b">
        <v>0</v>
      </c>
      <c r="AG35" s="50"/>
      <c r="AH35" s="50"/>
      <c r="AI35" s="53"/>
      <c r="AJ35" s="50"/>
      <c r="AK35" s="50"/>
      <c r="AL35" s="50"/>
      <c r="AM35" s="54"/>
    </row>
    <row r="36" ht="15.75" customHeight="1">
      <c r="A36" s="30"/>
      <c r="B36" s="30"/>
      <c r="C36" s="45"/>
      <c r="D36" s="30"/>
      <c r="E36" s="30"/>
      <c r="F36" s="30"/>
      <c r="G36" s="61" t="b">
        <v>0</v>
      </c>
      <c r="H36" s="8"/>
      <c r="I36" s="30"/>
      <c r="J36" s="30"/>
      <c r="K36" s="45"/>
      <c r="L36" s="30"/>
      <c r="M36" s="30"/>
      <c r="N36" s="30"/>
      <c r="O36" s="61" t="b">
        <v>0</v>
      </c>
      <c r="P36" s="8"/>
      <c r="Q36" s="30"/>
      <c r="R36" s="30"/>
      <c r="S36" s="45"/>
      <c r="T36" s="30"/>
      <c r="U36" s="30"/>
      <c r="V36" s="30"/>
      <c r="W36" s="61" t="b">
        <v>0</v>
      </c>
      <c r="X36" s="8"/>
      <c r="Y36" s="30"/>
      <c r="Z36" s="30"/>
      <c r="AA36" s="45"/>
      <c r="AB36" s="30"/>
      <c r="AC36" s="30"/>
      <c r="AD36" s="30"/>
      <c r="AE36" s="61" t="b">
        <v>0</v>
      </c>
      <c r="AG36" s="30"/>
      <c r="AH36" s="30"/>
      <c r="AI36" s="45"/>
      <c r="AJ36" s="30"/>
      <c r="AK36" s="30"/>
      <c r="AL36" s="30"/>
      <c r="AM36" s="56"/>
    </row>
    <row r="37" ht="15.75" customHeight="1">
      <c r="A37" s="50"/>
      <c r="B37" s="50"/>
      <c r="C37" s="53"/>
      <c r="D37" s="50"/>
      <c r="E37" s="50"/>
      <c r="F37" s="50"/>
      <c r="G37" s="60" t="b">
        <v>0</v>
      </c>
      <c r="H37" s="8"/>
      <c r="I37" s="50"/>
      <c r="J37" s="50"/>
      <c r="K37" s="53"/>
      <c r="L37" s="50"/>
      <c r="M37" s="50"/>
      <c r="N37" s="50"/>
      <c r="O37" s="60" t="b">
        <v>0</v>
      </c>
      <c r="P37" s="8"/>
      <c r="Q37" s="50"/>
      <c r="R37" s="50"/>
      <c r="S37" s="53"/>
      <c r="T37" s="50"/>
      <c r="U37" s="50"/>
      <c r="V37" s="50"/>
      <c r="W37" s="60" t="b">
        <v>0</v>
      </c>
      <c r="X37" s="8"/>
      <c r="Y37" s="50"/>
      <c r="Z37" s="50"/>
      <c r="AA37" s="53"/>
      <c r="AB37" s="50"/>
      <c r="AC37" s="50"/>
      <c r="AD37" s="50"/>
      <c r="AE37" s="60" t="b">
        <v>0</v>
      </c>
      <c r="AG37" s="50"/>
      <c r="AH37" s="50"/>
      <c r="AI37" s="53"/>
      <c r="AJ37" s="50"/>
      <c r="AK37" s="50"/>
      <c r="AL37" s="50"/>
      <c r="AM37" s="54"/>
    </row>
    <row r="38" ht="15.75" customHeight="1">
      <c r="A38" s="30"/>
      <c r="B38" s="30"/>
      <c r="C38" s="45"/>
      <c r="D38" s="30"/>
      <c r="E38" s="30"/>
      <c r="F38" s="30"/>
      <c r="G38" s="61" t="b">
        <v>0</v>
      </c>
      <c r="H38" s="8"/>
      <c r="I38" s="30"/>
      <c r="J38" s="30"/>
      <c r="K38" s="45"/>
      <c r="L38" s="30"/>
      <c r="M38" s="30"/>
      <c r="N38" s="30"/>
      <c r="O38" s="61" t="b">
        <v>0</v>
      </c>
      <c r="P38" s="8"/>
      <c r="Q38" s="30"/>
      <c r="R38" s="30"/>
      <c r="S38" s="45"/>
      <c r="T38" s="30"/>
      <c r="U38" s="30"/>
      <c r="V38" s="30"/>
      <c r="W38" s="61" t="b">
        <v>0</v>
      </c>
      <c r="X38" s="8"/>
      <c r="Y38" s="30"/>
      <c r="Z38" s="30"/>
      <c r="AA38" s="45"/>
      <c r="AB38" s="30"/>
      <c r="AC38" s="30"/>
      <c r="AD38" s="30"/>
      <c r="AE38" s="61" t="b">
        <v>0</v>
      </c>
      <c r="AG38" s="30"/>
      <c r="AH38" s="30"/>
      <c r="AI38" s="45"/>
      <c r="AJ38" s="30"/>
      <c r="AK38" s="30"/>
      <c r="AL38" s="30"/>
      <c r="AM38" s="56"/>
    </row>
    <row r="39" ht="15.75" customHeight="1">
      <c r="A39" s="50"/>
      <c r="B39" s="50"/>
      <c r="C39" s="53"/>
      <c r="D39" s="50"/>
      <c r="E39" s="50"/>
      <c r="F39" s="50"/>
      <c r="G39" s="60" t="b">
        <v>0</v>
      </c>
      <c r="H39" s="8"/>
      <c r="I39" s="50"/>
      <c r="J39" s="50"/>
      <c r="K39" s="53"/>
      <c r="L39" s="50"/>
      <c r="M39" s="50"/>
      <c r="N39" s="50"/>
      <c r="O39" s="60" t="b">
        <v>0</v>
      </c>
      <c r="P39" s="8"/>
      <c r="Q39" s="50"/>
      <c r="R39" s="50"/>
      <c r="S39" s="53"/>
      <c r="T39" s="50"/>
      <c r="U39" s="50"/>
      <c r="V39" s="50"/>
      <c r="W39" s="60" t="b">
        <v>0</v>
      </c>
      <c r="X39" s="8"/>
      <c r="Y39" s="50"/>
      <c r="Z39" s="50"/>
      <c r="AA39" s="53"/>
      <c r="AB39" s="50"/>
      <c r="AC39" s="50"/>
      <c r="AD39" s="50"/>
      <c r="AE39" s="60" t="b">
        <v>0</v>
      </c>
      <c r="AG39" s="50"/>
      <c r="AH39" s="50"/>
      <c r="AI39" s="53"/>
      <c r="AJ39" s="50"/>
      <c r="AK39" s="50"/>
      <c r="AL39" s="50"/>
      <c r="AM39" s="54"/>
    </row>
    <row r="40" ht="15.75" customHeight="1">
      <c r="A40" s="30"/>
      <c r="B40" s="30"/>
      <c r="C40" s="45"/>
      <c r="D40" s="30"/>
      <c r="E40" s="30"/>
      <c r="F40" s="30"/>
      <c r="G40" s="61" t="b">
        <v>0</v>
      </c>
      <c r="H40" s="8"/>
      <c r="I40" s="30"/>
      <c r="J40" s="30"/>
      <c r="K40" s="45"/>
      <c r="L40" s="30"/>
      <c r="M40" s="30"/>
      <c r="N40" s="30"/>
      <c r="O40" s="61" t="b">
        <v>0</v>
      </c>
      <c r="P40" s="8"/>
      <c r="Q40" s="30"/>
      <c r="R40" s="30"/>
      <c r="S40" s="45"/>
      <c r="T40" s="30"/>
      <c r="U40" s="30"/>
      <c r="V40" s="30"/>
      <c r="W40" s="61" t="b">
        <v>0</v>
      </c>
      <c r="X40" s="8"/>
      <c r="Y40" s="30"/>
      <c r="Z40" s="30"/>
      <c r="AA40" s="45"/>
      <c r="AB40" s="30"/>
      <c r="AC40" s="30"/>
      <c r="AD40" s="30"/>
      <c r="AE40" s="61" t="b">
        <v>0</v>
      </c>
      <c r="AG40" s="30"/>
      <c r="AH40" s="30"/>
      <c r="AI40" s="45"/>
      <c r="AJ40" s="30"/>
      <c r="AK40" s="30"/>
      <c r="AL40" s="30"/>
      <c r="AM40" s="56"/>
    </row>
    <row r="41" ht="15.75" customHeight="1">
      <c r="A41" s="50"/>
      <c r="B41" s="50"/>
      <c r="C41" s="53"/>
      <c r="D41" s="50"/>
      <c r="E41" s="50"/>
      <c r="F41" s="50"/>
      <c r="G41" s="60" t="b">
        <v>0</v>
      </c>
      <c r="H41" s="8"/>
      <c r="I41" s="50"/>
      <c r="J41" s="50"/>
      <c r="K41" s="53"/>
      <c r="L41" s="50"/>
      <c r="M41" s="50"/>
      <c r="N41" s="50"/>
      <c r="O41" s="60" t="b">
        <v>0</v>
      </c>
      <c r="P41" s="8"/>
      <c r="Q41" s="50"/>
      <c r="R41" s="50"/>
      <c r="S41" s="53"/>
      <c r="T41" s="50"/>
      <c r="U41" s="50"/>
      <c r="V41" s="50"/>
      <c r="W41" s="60" t="b">
        <v>0</v>
      </c>
      <c r="X41" s="8"/>
      <c r="Y41" s="50"/>
      <c r="Z41" s="50"/>
      <c r="AA41" s="53"/>
      <c r="AB41" s="50"/>
      <c r="AC41" s="50"/>
      <c r="AD41" s="50"/>
      <c r="AE41" s="60" t="b">
        <v>0</v>
      </c>
      <c r="AG41" s="50"/>
      <c r="AH41" s="50"/>
      <c r="AI41" s="53"/>
      <c r="AJ41" s="50"/>
      <c r="AK41" s="50"/>
      <c r="AL41" s="50"/>
      <c r="AM41" s="54"/>
    </row>
    <row r="42" ht="15.75" customHeight="1">
      <c r="A42" s="30"/>
      <c r="B42" s="30"/>
      <c r="C42" s="45"/>
      <c r="D42" s="30"/>
      <c r="E42" s="30"/>
      <c r="F42" s="30"/>
      <c r="G42" s="61" t="b">
        <v>0</v>
      </c>
      <c r="H42" s="8"/>
      <c r="I42" s="30"/>
      <c r="J42" s="30"/>
      <c r="K42" s="45"/>
      <c r="L42" s="30"/>
      <c r="M42" s="30"/>
      <c r="N42" s="30"/>
      <c r="O42" s="61" t="b">
        <v>0</v>
      </c>
      <c r="P42" s="8"/>
      <c r="Q42" s="30"/>
      <c r="R42" s="30"/>
      <c r="S42" s="45"/>
      <c r="T42" s="30"/>
      <c r="U42" s="30"/>
      <c r="V42" s="30"/>
      <c r="W42" s="61" t="b">
        <v>0</v>
      </c>
      <c r="X42" s="8"/>
      <c r="Y42" s="30"/>
      <c r="Z42" s="30"/>
      <c r="AA42" s="45"/>
      <c r="AB42" s="30"/>
      <c r="AC42" s="30"/>
      <c r="AD42" s="30"/>
      <c r="AE42" s="61" t="b">
        <v>0</v>
      </c>
      <c r="AG42" s="30"/>
      <c r="AH42" s="30"/>
      <c r="AI42" s="45"/>
      <c r="AJ42" s="30"/>
      <c r="AK42" s="30"/>
      <c r="AL42" s="30"/>
      <c r="AM42" s="56"/>
    </row>
    <row r="43" ht="15.75" customHeight="1">
      <c r="A43" s="50"/>
      <c r="B43" s="50"/>
      <c r="C43" s="53"/>
      <c r="D43" s="50"/>
      <c r="E43" s="50"/>
      <c r="F43" s="50"/>
      <c r="G43" s="60" t="b">
        <v>0</v>
      </c>
      <c r="H43" s="8"/>
      <c r="I43" s="50"/>
      <c r="J43" s="50"/>
      <c r="K43" s="53"/>
      <c r="L43" s="50"/>
      <c r="M43" s="50"/>
      <c r="N43" s="50"/>
      <c r="O43" s="60" t="b">
        <v>0</v>
      </c>
      <c r="P43" s="8"/>
      <c r="Q43" s="50"/>
      <c r="R43" s="50"/>
      <c r="S43" s="53"/>
      <c r="T43" s="50"/>
      <c r="U43" s="50"/>
      <c r="V43" s="50"/>
      <c r="W43" s="60" t="b">
        <v>0</v>
      </c>
      <c r="X43" s="8"/>
      <c r="Y43" s="50"/>
      <c r="Z43" s="50"/>
      <c r="AA43" s="53"/>
      <c r="AB43" s="50"/>
      <c r="AC43" s="50"/>
      <c r="AD43" s="50"/>
      <c r="AE43" s="60" t="b">
        <v>0</v>
      </c>
      <c r="AG43" s="50"/>
      <c r="AH43" s="50"/>
      <c r="AI43" s="53"/>
      <c r="AJ43" s="50"/>
      <c r="AK43" s="50"/>
      <c r="AL43" s="50"/>
      <c r="AM43" s="54"/>
    </row>
    <row r="44" ht="15.75" customHeight="1">
      <c r="A44" s="30"/>
      <c r="B44" s="30"/>
      <c r="C44" s="45"/>
      <c r="D44" s="30"/>
      <c r="E44" s="30"/>
      <c r="F44" s="30"/>
      <c r="G44" s="61" t="b">
        <v>0</v>
      </c>
      <c r="H44" s="8"/>
      <c r="I44" s="30"/>
      <c r="J44" s="30"/>
      <c r="K44" s="45"/>
      <c r="L44" s="30"/>
      <c r="M44" s="30"/>
      <c r="N44" s="30"/>
      <c r="O44" s="61" t="b">
        <v>0</v>
      </c>
      <c r="P44" s="8"/>
      <c r="Q44" s="30"/>
      <c r="R44" s="30"/>
      <c r="S44" s="45"/>
      <c r="T44" s="30"/>
      <c r="U44" s="30"/>
      <c r="V44" s="30"/>
      <c r="W44" s="61" t="b">
        <v>0</v>
      </c>
      <c r="X44" s="8"/>
      <c r="Y44" s="30"/>
      <c r="Z44" s="30"/>
      <c r="AA44" s="45"/>
      <c r="AB44" s="30"/>
      <c r="AC44" s="30"/>
      <c r="AD44" s="30"/>
      <c r="AE44" s="61" t="b">
        <v>0</v>
      </c>
      <c r="AG44" s="30"/>
      <c r="AH44" s="30"/>
      <c r="AI44" s="45"/>
      <c r="AJ44" s="30"/>
      <c r="AK44" s="30"/>
      <c r="AL44" s="30"/>
      <c r="AM44" s="56"/>
    </row>
    <row r="45" ht="22.5" customHeight="1">
      <c r="Y45" s="70"/>
      <c r="Z45" s="70"/>
      <c r="AA45" s="70"/>
      <c r="AB45" s="70"/>
      <c r="AC45" s="70"/>
      <c r="AD45" s="70"/>
      <c r="AE45" s="70"/>
      <c r="AF45" s="1"/>
    </row>
  </sheetData>
  <mergeCells count="5">
    <mergeCell ref="A1:AE1"/>
    <mergeCell ref="A3:G3"/>
    <mergeCell ref="I3:O3"/>
    <mergeCell ref="Q3:W3"/>
    <mergeCell ref="Y3:AE3"/>
  </mergeCells>
  <dataValidations>
    <dataValidation allowBlank="1" showDropDown="1" sqref="S6:S44 AA6:AA44 AI6:AI44 K6:K44 C6:C44"/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10" t="s">
        <v>12</v>
      </c>
      <c r="B3" s="3"/>
      <c r="C3" s="3"/>
      <c r="D3" s="3"/>
      <c r="E3" s="3"/>
      <c r="F3" s="3"/>
      <c r="G3" s="7"/>
      <c r="H3" s="8"/>
      <c r="I3" s="10" t="s">
        <v>13</v>
      </c>
      <c r="J3" s="3"/>
      <c r="K3" s="3"/>
      <c r="L3" s="3"/>
      <c r="M3" s="3"/>
      <c r="N3" s="3"/>
      <c r="O3" s="7"/>
      <c r="P3" s="8"/>
      <c r="Q3" s="10" t="s">
        <v>14</v>
      </c>
      <c r="R3" s="3"/>
      <c r="S3" s="3"/>
      <c r="T3" s="3"/>
      <c r="U3" s="3"/>
      <c r="V3" s="3"/>
      <c r="W3" s="7"/>
      <c r="X3" s="8"/>
      <c r="Y3" s="10" t="s">
        <v>15</v>
      </c>
      <c r="Z3" s="3"/>
      <c r="AA3" s="3"/>
      <c r="AB3" s="3"/>
      <c r="AC3" s="3"/>
      <c r="AD3" s="3"/>
      <c r="AE3" s="7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11" t="s">
        <v>16</v>
      </c>
      <c r="B5" s="12" t="s">
        <v>17</v>
      </c>
      <c r="C5" s="13" t="s">
        <v>18</v>
      </c>
      <c r="D5" s="12" t="s">
        <v>19</v>
      </c>
      <c r="E5" s="12" t="s">
        <v>20</v>
      </c>
      <c r="F5" s="12" t="s">
        <v>21</v>
      </c>
      <c r="G5" s="12" t="s">
        <v>22</v>
      </c>
      <c r="H5" s="8"/>
      <c r="I5" s="11" t="s">
        <v>16</v>
      </c>
      <c r="J5" s="12" t="s">
        <v>17</v>
      </c>
      <c r="K5" s="13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8"/>
      <c r="Q5" s="11" t="s">
        <v>16</v>
      </c>
      <c r="R5" s="12" t="s">
        <v>17</v>
      </c>
      <c r="S5" s="13" t="s">
        <v>18</v>
      </c>
      <c r="T5" s="12" t="s">
        <v>19</v>
      </c>
      <c r="U5" s="12" t="s">
        <v>20</v>
      </c>
      <c r="V5" s="12" t="s">
        <v>21</v>
      </c>
      <c r="W5" s="12" t="s">
        <v>22</v>
      </c>
      <c r="X5" s="8"/>
      <c r="Y5" s="11" t="s">
        <v>16</v>
      </c>
      <c r="Z5" s="12" t="s">
        <v>17</v>
      </c>
      <c r="AA5" s="13" t="s">
        <v>18</v>
      </c>
      <c r="AB5" s="12" t="s">
        <v>19</v>
      </c>
      <c r="AC5" s="12" t="s">
        <v>20</v>
      </c>
      <c r="AD5" s="12" t="s">
        <v>21</v>
      </c>
      <c r="AE5" s="12" t="s">
        <v>22</v>
      </c>
    </row>
    <row r="6">
      <c r="A6" s="14">
        <v>1.0</v>
      </c>
      <c r="B6" s="15">
        <v>46237.0</v>
      </c>
      <c r="C6" s="18" t="s">
        <v>27</v>
      </c>
      <c r="D6" s="19">
        <v>3.0</v>
      </c>
      <c r="E6" s="19">
        <v>1050.0</v>
      </c>
      <c r="F6" s="18"/>
      <c r="G6" s="20" t="b">
        <v>1</v>
      </c>
      <c r="H6" s="8"/>
      <c r="I6" s="14">
        <v>1.0</v>
      </c>
      <c r="J6" s="15">
        <v>46237.0</v>
      </c>
      <c r="K6" s="18" t="s">
        <v>27</v>
      </c>
      <c r="L6" s="19">
        <v>1.0</v>
      </c>
      <c r="M6" s="19">
        <v>350.0</v>
      </c>
      <c r="N6" s="18"/>
      <c r="O6" s="20" t="b">
        <v>1</v>
      </c>
      <c r="P6" s="8"/>
      <c r="Q6" s="14">
        <v>1.0</v>
      </c>
      <c r="R6" s="15">
        <v>46237.0</v>
      </c>
      <c r="S6" s="18" t="s">
        <v>28</v>
      </c>
      <c r="T6" s="19">
        <v>2.0</v>
      </c>
      <c r="U6" s="19">
        <v>700.0</v>
      </c>
      <c r="V6" s="18"/>
      <c r="W6" s="20" t="b">
        <v>1</v>
      </c>
      <c r="X6" s="8"/>
      <c r="Y6" s="14">
        <v>1.0</v>
      </c>
      <c r="Z6" s="15">
        <v>46237.0</v>
      </c>
      <c r="AA6" s="18" t="s">
        <v>29</v>
      </c>
      <c r="AB6" s="19">
        <v>2.0</v>
      </c>
      <c r="AC6" s="19">
        <v>350.0</v>
      </c>
      <c r="AD6" s="18"/>
      <c r="AE6" s="20" t="b">
        <v>1</v>
      </c>
    </row>
    <row r="7">
      <c r="A7" s="14">
        <v>2.0</v>
      </c>
      <c r="B7" s="15">
        <v>46238.0</v>
      </c>
      <c r="C7" s="18" t="s">
        <v>27</v>
      </c>
      <c r="D7" s="19">
        <v>3.0</v>
      </c>
      <c r="E7" s="19">
        <v>1050.0</v>
      </c>
      <c r="F7" s="18"/>
      <c r="G7" s="20" t="b">
        <v>1</v>
      </c>
      <c r="H7" s="8"/>
      <c r="I7" s="14">
        <v>2.0</v>
      </c>
      <c r="J7" s="15">
        <v>46238.0</v>
      </c>
      <c r="K7" s="18" t="s">
        <v>27</v>
      </c>
      <c r="L7" s="19">
        <v>1.0</v>
      </c>
      <c r="M7" s="19">
        <v>350.0</v>
      </c>
      <c r="N7" s="18"/>
      <c r="O7" s="20" t="b">
        <v>1</v>
      </c>
      <c r="P7" s="8"/>
      <c r="Q7" s="14">
        <v>2.0</v>
      </c>
      <c r="R7" s="15">
        <v>46238.0</v>
      </c>
      <c r="S7" s="18" t="s">
        <v>28</v>
      </c>
      <c r="T7" s="18"/>
      <c r="U7" s="18"/>
      <c r="V7" s="18"/>
      <c r="W7" s="19" t="b">
        <v>0</v>
      </c>
      <c r="X7" s="8"/>
      <c r="Y7" s="14">
        <v>2.0</v>
      </c>
      <c r="Z7" s="15">
        <v>46238.0</v>
      </c>
      <c r="AA7" s="18" t="s">
        <v>31</v>
      </c>
      <c r="AB7" s="19">
        <v>2.0</v>
      </c>
      <c r="AC7" s="18"/>
      <c r="AD7" s="18"/>
      <c r="AE7" s="20" t="b">
        <v>1</v>
      </c>
    </row>
    <row r="8">
      <c r="A8" s="14">
        <v>3.0</v>
      </c>
      <c r="B8" s="15">
        <v>46239.0</v>
      </c>
      <c r="C8" s="18" t="s">
        <v>27</v>
      </c>
      <c r="D8" s="18"/>
      <c r="E8" s="18"/>
      <c r="F8" s="18"/>
      <c r="G8" s="20" t="b">
        <v>1</v>
      </c>
      <c r="H8" s="8"/>
      <c r="I8" s="18"/>
      <c r="J8" s="21"/>
      <c r="K8" s="18"/>
      <c r="L8" s="18"/>
      <c r="M8" s="18"/>
      <c r="N8" s="18"/>
      <c r="O8" s="20" t="b">
        <v>1</v>
      </c>
      <c r="P8" s="8"/>
      <c r="Q8" s="18"/>
      <c r="R8" s="21"/>
      <c r="S8" s="18" t="s">
        <v>27</v>
      </c>
      <c r="T8" s="19">
        <v>2.0</v>
      </c>
      <c r="U8" s="19">
        <v>700.0</v>
      </c>
      <c r="V8" s="18"/>
      <c r="W8" s="20" t="b">
        <v>1</v>
      </c>
      <c r="X8" s="8"/>
      <c r="Y8" s="14">
        <v>3.0</v>
      </c>
      <c r="Z8" s="15">
        <v>46239.0</v>
      </c>
      <c r="AA8" s="18" t="s">
        <v>32</v>
      </c>
      <c r="AB8" s="19">
        <v>2.0</v>
      </c>
      <c r="AC8" s="19">
        <v>500.0</v>
      </c>
      <c r="AD8" s="18"/>
      <c r="AE8" s="20" t="b">
        <v>1</v>
      </c>
    </row>
    <row r="9">
      <c r="A9" s="18"/>
      <c r="B9" s="21"/>
      <c r="C9" s="18" t="s">
        <v>33</v>
      </c>
      <c r="D9" s="19">
        <v>3.0</v>
      </c>
      <c r="E9" s="19">
        <v>750.0</v>
      </c>
      <c r="F9" s="18"/>
      <c r="G9" s="20" t="b">
        <v>1</v>
      </c>
      <c r="H9" s="8"/>
      <c r="I9" s="14">
        <v>3.0</v>
      </c>
      <c r="J9" s="15">
        <v>46239.0</v>
      </c>
      <c r="K9" s="18" t="s">
        <v>33</v>
      </c>
      <c r="L9" s="19">
        <v>1.0</v>
      </c>
      <c r="M9" s="19">
        <v>250.0</v>
      </c>
      <c r="N9" s="18"/>
      <c r="O9" s="20" t="b">
        <v>1</v>
      </c>
      <c r="P9" s="8"/>
      <c r="Q9" s="14">
        <v>3.0</v>
      </c>
      <c r="R9" s="15">
        <v>46239.0</v>
      </c>
      <c r="S9" s="18" t="s">
        <v>32</v>
      </c>
      <c r="T9" s="19">
        <v>2.0</v>
      </c>
      <c r="U9" s="19">
        <v>500.0</v>
      </c>
      <c r="V9" s="18"/>
      <c r="W9" s="20" t="b">
        <v>1</v>
      </c>
      <c r="X9" s="8"/>
      <c r="Y9" s="14">
        <v>4.0</v>
      </c>
      <c r="Z9" s="15">
        <v>46240.0</v>
      </c>
      <c r="AA9" s="18" t="s">
        <v>34</v>
      </c>
      <c r="AB9" s="19">
        <v>2.0</v>
      </c>
      <c r="AC9" s="19">
        <v>700.0</v>
      </c>
      <c r="AD9" s="18"/>
      <c r="AE9" s="20" t="b">
        <v>1</v>
      </c>
    </row>
    <row r="10">
      <c r="A10" s="14">
        <v>4.0</v>
      </c>
      <c r="B10" s="15">
        <v>46240.0</v>
      </c>
      <c r="C10" s="18" t="s">
        <v>34</v>
      </c>
      <c r="D10" s="19">
        <v>3.0</v>
      </c>
      <c r="E10" s="19">
        <v>1050.0</v>
      </c>
      <c r="F10" s="18"/>
      <c r="G10" s="20" t="b">
        <v>1</v>
      </c>
      <c r="H10" s="8"/>
      <c r="I10" s="14">
        <v>4.0</v>
      </c>
      <c r="J10" s="15">
        <v>46240.0</v>
      </c>
      <c r="K10" s="18" t="s">
        <v>34</v>
      </c>
      <c r="L10" s="19">
        <v>1.0</v>
      </c>
      <c r="M10" s="19">
        <v>350.0</v>
      </c>
      <c r="N10" s="18"/>
      <c r="O10" s="20" t="b">
        <v>1</v>
      </c>
      <c r="P10" s="8"/>
      <c r="Q10" s="14">
        <v>4.0</v>
      </c>
      <c r="R10" s="15">
        <v>46240.0</v>
      </c>
      <c r="S10" s="18" t="s">
        <v>34</v>
      </c>
      <c r="T10" s="19">
        <v>2.0</v>
      </c>
      <c r="U10" s="19">
        <v>700.0</v>
      </c>
      <c r="V10" s="18"/>
      <c r="W10" s="20" t="b">
        <v>1</v>
      </c>
      <c r="X10" s="8"/>
      <c r="Y10" s="18"/>
      <c r="Z10" s="21"/>
      <c r="AA10" s="18" t="s">
        <v>33</v>
      </c>
      <c r="AB10" s="18"/>
      <c r="AC10" s="18"/>
      <c r="AD10" s="18"/>
      <c r="AE10" s="20" t="b">
        <v>0</v>
      </c>
    </row>
    <row r="11">
      <c r="A11" s="14">
        <v>5.0</v>
      </c>
      <c r="B11" s="15">
        <v>46241.0</v>
      </c>
      <c r="C11" s="18" t="s">
        <v>34</v>
      </c>
      <c r="D11" s="19">
        <v>3.0</v>
      </c>
      <c r="E11" s="19">
        <v>1050.0</v>
      </c>
      <c r="F11" s="18"/>
      <c r="G11" s="20" t="b">
        <v>1</v>
      </c>
      <c r="H11" s="8"/>
      <c r="I11" s="14">
        <v>5.0</v>
      </c>
      <c r="J11" s="15">
        <v>46241.0</v>
      </c>
      <c r="K11" s="18" t="s">
        <v>34</v>
      </c>
      <c r="L11" s="19">
        <v>1.0</v>
      </c>
      <c r="M11" s="19">
        <v>350.0</v>
      </c>
      <c r="N11" s="18"/>
      <c r="O11" s="20" t="b">
        <v>1</v>
      </c>
      <c r="P11" s="8"/>
      <c r="Q11" s="14">
        <v>5.0</v>
      </c>
      <c r="R11" s="15">
        <v>46241.0</v>
      </c>
      <c r="S11" s="18" t="s">
        <v>34</v>
      </c>
      <c r="T11" s="19">
        <v>2.0</v>
      </c>
      <c r="U11" s="19">
        <v>700.0</v>
      </c>
      <c r="V11" s="18"/>
      <c r="W11" s="20" t="b">
        <v>1</v>
      </c>
      <c r="X11" s="8"/>
      <c r="Y11" s="14">
        <v>5.0</v>
      </c>
      <c r="Z11" s="15">
        <v>46241.0</v>
      </c>
      <c r="AA11" s="18" t="s">
        <v>34</v>
      </c>
      <c r="AB11" s="19">
        <v>2.0</v>
      </c>
      <c r="AC11" s="19">
        <v>700.0</v>
      </c>
      <c r="AD11" s="18"/>
      <c r="AE11" s="20" t="b">
        <v>1</v>
      </c>
    </row>
    <row r="12">
      <c r="A12" s="14">
        <v>6.0</v>
      </c>
      <c r="B12" s="15">
        <v>46242.0</v>
      </c>
      <c r="C12" s="18" t="s">
        <v>34</v>
      </c>
      <c r="D12" s="19">
        <v>3.0</v>
      </c>
      <c r="E12" s="19">
        <v>1050.0</v>
      </c>
      <c r="F12" s="18"/>
      <c r="G12" s="20" t="b">
        <v>1</v>
      </c>
      <c r="H12" s="8"/>
      <c r="I12" s="14">
        <v>6.0</v>
      </c>
      <c r="J12" s="15">
        <v>46242.0</v>
      </c>
      <c r="K12" s="18" t="s">
        <v>34</v>
      </c>
      <c r="L12" s="19">
        <v>1.0</v>
      </c>
      <c r="M12" s="19">
        <v>350.0</v>
      </c>
      <c r="N12" s="18"/>
      <c r="O12" s="20" t="b">
        <v>1</v>
      </c>
      <c r="P12" s="8"/>
      <c r="Q12" s="14">
        <v>6.0</v>
      </c>
      <c r="R12" s="15">
        <v>46242.0</v>
      </c>
      <c r="S12" s="18" t="s">
        <v>34</v>
      </c>
      <c r="T12" s="19">
        <v>2.0</v>
      </c>
      <c r="U12" s="19">
        <v>700.0</v>
      </c>
      <c r="V12" s="18"/>
      <c r="W12" s="20" t="b">
        <v>1</v>
      </c>
      <c r="X12" s="8"/>
      <c r="Y12" s="14">
        <v>6.0</v>
      </c>
      <c r="Z12" s="15">
        <v>46242.0</v>
      </c>
      <c r="AA12" s="18" t="s">
        <v>34</v>
      </c>
      <c r="AB12" s="19">
        <v>2.0</v>
      </c>
      <c r="AC12" s="19">
        <v>700.0</v>
      </c>
      <c r="AD12" s="18"/>
      <c r="AE12" s="20" t="b">
        <v>1</v>
      </c>
    </row>
    <row r="13">
      <c r="A13" s="14">
        <v>7.0</v>
      </c>
      <c r="B13" s="15">
        <v>46244.0</v>
      </c>
      <c r="C13" s="18" t="s">
        <v>37</v>
      </c>
      <c r="D13" s="19">
        <v>3.0</v>
      </c>
      <c r="E13" s="20">
        <v>1050.0</v>
      </c>
      <c r="F13" s="18"/>
      <c r="G13" s="20" t="b">
        <v>1</v>
      </c>
      <c r="H13" s="8"/>
      <c r="I13" s="14">
        <v>7.0</v>
      </c>
      <c r="J13" s="15">
        <v>46244.0</v>
      </c>
      <c r="K13" s="18" t="s">
        <v>37</v>
      </c>
      <c r="L13" s="19">
        <v>1.0</v>
      </c>
      <c r="M13" s="20">
        <v>350.0</v>
      </c>
      <c r="N13" s="18"/>
      <c r="O13" s="20" t="b">
        <v>1</v>
      </c>
      <c r="P13" s="8"/>
      <c r="Q13" s="14">
        <v>7.0</v>
      </c>
      <c r="R13" s="15">
        <v>46244.0</v>
      </c>
      <c r="S13" s="18" t="s">
        <v>37</v>
      </c>
      <c r="T13" s="19">
        <v>2.0</v>
      </c>
      <c r="U13" s="20">
        <v>700.0</v>
      </c>
      <c r="V13" s="18"/>
      <c r="W13" s="20" t="b">
        <v>1</v>
      </c>
      <c r="X13" s="8"/>
      <c r="Y13" s="14">
        <v>7.0</v>
      </c>
      <c r="Z13" s="15">
        <v>46244.0</v>
      </c>
      <c r="AA13" s="18" t="s">
        <v>37</v>
      </c>
      <c r="AB13" s="19">
        <v>2.0</v>
      </c>
      <c r="AC13" s="20">
        <v>700.0</v>
      </c>
      <c r="AD13" s="18"/>
      <c r="AE13" s="20" t="b">
        <v>1</v>
      </c>
    </row>
    <row r="14">
      <c r="A14" s="18"/>
      <c r="B14" s="21"/>
      <c r="C14" s="18" t="s">
        <v>38</v>
      </c>
      <c r="D14" s="18"/>
      <c r="E14" s="18"/>
      <c r="F14" s="18"/>
      <c r="G14" s="20" t="b">
        <v>1</v>
      </c>
      <c r="H14" s="8"/>
      <c r="I14" s="18"/>
      <c r="J14" s="18"/>
      <c r="K14" s="18" t="s">
        <v>38</v>
      </c>
      <c r="L14" s="18"/>
      <c r="M14" s="18"/>
      <c r="N14" s="18"/>
      <c r="O14" s="20" t="b">
        <v>1</v>
      </c>
      <c r="P14" s="8"/>
      <c r="Q14" s="18"/>
      <c r="R14" s="18"/>
      <c r="S14" s="18" t="s">
        <v>38</v>
      </c>
      <c r="T14" s="18"/>
      <c r="U14" s="18"/>
      <c r="V14" s="18"/>
      <c r="W14" s="19" t="b">
        <v>0</v>
      </c>
      <c r="X14" s="8"/>
      <c r="Y14" s="18"/>
      <c r="Z14" s="18"/>
      <c r="AA14" s="18" t="s">
        <v>38</v>
      </c>
      <c r="AB14" s="18"/>
      <c r="AC14" s="18"/>
      <c r="AD14" s="18"/>
      <c r="AE14" s="19" t="b">
        <v>0</v>
      </c>
    </row>
    <row r="15">
      <c r="A15" s="14">
        <v>8.0</v>
      </c>
      <c r="B15" s="15">
        <v>46245.0</v>
      </c>
      <c r="C15" s="18" t="s">
        <v>39</v>
      </c>
      <c r="D15" s="20">
        <v>3.0</v>
      </c>
      <c r="E15" s="20">
        <v>1050.0</v>
      </c>
      <c r="F15" s="18"/>
      <c r="G15" s="20" t="b">
        <v>1</v>
      </c>
      <c r="H15" s="8"/>
      <c r="I15" s="14">
        <v>8.0</v>
      </c>
      <c r="J15" s="15">
        <v>46245.0</v>
      </c>
      <c r="K15" s="18" t="s">
        <v>39</v>
      </c>
      <c r="L15" s="20">
        <v>1.0</v>
      </c>
      <c r="M15" s="20">
        <v>350.0</v>
      </c>
      <c r="N15" s="18"/>
      <c r="O15" s="20" t="b">
        <v>1</v>
      </c>
      <c r="P15" s="8"/>
      <c r="Q15" s="14">
        <v>8.0</v>
      </c>
      <c r="R15" s="15">
        <v>46245.0</v>
      </c>
      <c r="S15" s="18" t="s">
        <v>39</v>
      </c>
      <c r="T15" s="20">
        <v>2.0</v>
      </c>
      <c r="U15" s="20">
        <v>700.0</v>
      </c>
      <c r="V15" s="18"/>
      <c r="W15" s="20" t="b">
        <v>1</v>
      </c>
      <c r="X15" s="8"/>
      <c r="Y15" s="14">
        <v>8.0</v>
      </c>
      <c r="Z15" s="15">
        <v>46245.0</v>
      </c>
      <c r="AA15" s="18" t="s">
        <v>39</v>
      </c>
      <c r="AB15" s="20">
        <v>1.0</v>
      </c>
      <c r="AC15" s="20">
        <v>350.0</v>
      </c>
      <c r="AD15" s="18"/>
      <c r="AE15" s="20" t="b">
        <v>1</v>
      </c>
    </row>
    <row r="16">
      <c r="A16" s="14">
        <v>9.0</v>
      </c>
      <c r="B16" s="15">
        <v>46246.0</v>
      </c>
      <c r="C16" s="18" t="s">
        <v>31</v>
      </c>
      <c r="D16" s="20">
        <v>3.0</v>
      </c>
      <c r="E16" s="20">
        <v>600.0</v>
      </c>
      <c r="F16" s="18"/>
      <c r="G16" s="20" t="b">
        <v>1</v>
      </c>
      <c r="H16" s="8"/>
      <c r="I16" s="14">
        <v>9.0</v>
      </c>
      <c r="J16" s="15">
        <v>46246.0</v>
      </c>
      <c r="K16" s="18" t="s">
        <v>31</v>
      </c>
      <c r="L16" s="20">
        <v>1.0</v>
      </c>
      <c r="M16" s="20">
        <v>200.0</v>
      </c>
      <c r="N16" s="18"/>
      <c r="O16" s="20" t="b">
        <v>1</v>
      </c>
      <c r="P16" s="8"/>
      <c r="Q16" s="14">
        <v>9.0</v>
      </c>
      <c r="R16" s="15">
        <v>46246.0</v>
      </c>
      <c r="S16" s="18" t="s">
        <v>31</v>
      </c>
      <c r="T16" s="20">
        <v>1.0</v>
      </c>
      <c r="U16" s="20">
        <v>200.0</v>
      </c>
      <c r="V16" s="18"/>
      <c r="W16" s="20" t="b">
        <v>1</v>
      </c>
      <c r="X16" s="8"/>
      <c r="Y16" s="14">
        <v>9.0</v>
      </c>
      <c r="Z16" s="15">
        <v>46246.0</v>
      </c>
      <c r="AA16" s="18" t="s">
        <v>31</v>
      </c>
      <c r="AB16" s="20">
        <v>2.0</v>
      </c>
      <c r="AC16" s="20">
        <v>400.0</v>
      </c>
      <c r="AD16" s="18"/>
      <c r="AE16" s="20" t="b">
        <v>1</v>
      </c>
    </row>
    <row r="17">
      <c r="A17" s="14">
        <v>10.0</v>
      </c>
      <c r="B17" s="15">
        <v>46247.0</v>
      </c>
      <c r="C17" s="18" t="s">
        <v>40</v>
      </c>
      <c r="D17" s="18"/>
      <c r="E17" s="18"/>
      <c r="F17" s="18"/>
      <c r="G17" s="20" t="b">
        <v>1</v>
      </c>
      <c r="H17" s="8"/>
      <c r="I17" s="14">
        <v>10.0</v>
      </c>
      <c r="J17" s="15">
        <v>46247.0</v>
      </c>
      <c r="K17" s="18" t="s">
        <v>40</v>
      </c>
      <c r="L17" s="22"/>
      <c r="M17" s="18"/>
      <c r="N17" s="18"/>
      <c r="O17" s="20" t="b">
        <v>1</v>
      </c>
      <c r="P17" s="8"/>
      <c r="Q17" s="14">
        <v>10.0</v>
      </c>
      <c r="R17" s="15">
        <v>46247.0</v>
      </c>
      <c r="S17" s="18" t="s">
        <v>41</v>
      </c>
      <c r="T17" s="20">
        <v>2.0</v>
      </c>
      <c r="U17" s="20">
        <v>700.0</v>
      </c>
      <c r="V17" s="18"/>
      <c r="W17" s="20" t="b">
        <v>1</v>
      </c>
      <c r="X17" s="8"/>
      <c r="Y17" s="14">
        <v>10.0</v>
      </c>
      <c r="Z17" s="15">
        <v>46247.0</v>
      </c>
      <c r="AA17" s="18" t="s">
        <v>42</v>
      </c>
      <c r="AB17" s="18"/>
      <c r="AC17" s="18"/>
      <c r="AD17" s="18"/>
      <c r="AE17" s="19" t="b">
        <v>0</v>
      </c>
    </row>
    <row r="18">
      <c r="A18" s="18"/>
      <c r="B18" s="18"/>
      <c r="C18" s="18" t="s">
        <v>43</v>
      </c>
      <c r="D18" s="18"/>
      <c r="E18" s="18"/>
      <c r="F18" s="18"/>
      <c r="G18" s="19" t="b">
        <v>0</v>
      </c>
      <c r="H18" s="8"/>
      <c r="I18" s="18"/>
      <c r="J18" s="18"/>
      <c r="K18" s="18" t="s">
        <v>43</v>
      </c>
      <c r="L18" s="18"/>
      <c r="M18" s="18"/>
      <c r="N18" s="18"/>
      <c r="O18" s="20" t="b">
        <v>1</v>
      </c>
      <c r="P18" s="8"/>
      <c r="Q18" s="14">
        <v>11.0</v>
      </c>
      <c r="R18" s="15">
        <v>46248.0</v>
      </c>
      <c r="S18" s="18" t="s">
        <v>41</v>
      </c>
      <c r="T18" s="20">
        <v>2.0</v>
      </c>
      <c r="U18" s="20">
        <v>700.0</v>
      </c>
      <c r="V18" s="18"/>
      <c r="W18" s="20" t="b">
        <v>1</v>
      </c>
      <c r="X18" s="8"/>
      <c r="Y18" s="18"/>
      <c r="Z18" s="18"/>
      <c r="AA18" s="18" t="s">
        <v>44</v>
      </c>
      <c r="AB18" s="18"/>
      <c r="AC18" s="18"/>
      <c r="AD18" s="18"/>
      <c r="AE18" s="19" t="b">
        <v>0</v>
      </c>
    </row>
    <row r="19">
      <c r="A19" s="18"/>
      <c r="B19" s="18"/>
      <c r="C19" s="18" t="s">
        <v>45</v>
      </c>
      <c r="D19" s="18"/>
      <c r="E19" s="18"/>
      <c r="F19" s="18"/>
      <c r="G19" s="19" t="b">
        <v>0</v>
      </c>
      <c r="H19" s="8"/>
      <c r="I19" s="18"/>
      <c r="J19" s="18"/>
      <c r="K19" s="18" t="s">
        <v>45</v>
      </c>
      <c r="L19" s="18"/>
      <c r="M19" s="18"/>
      <c r="N19" s="18"/>
      <c r="O19" s="20" t="b">
        <v>1</v>
      </c>
      <c r="P19" s="8"/>
      <c r="Q19" s="14">
        <v>12.0</v>
      </c>
      <c r="R19" s="15">
        <v>46251.0</v>
      </c>
      <c r="S19" s="18" t="s">
        <v>41</v>
      </c>
      <c r="T19" s="20">
        <v>2.0</v>
      </c>
      <c r="U19" s="20">
        <v>1400.0</v>
      </c>
      <c r="V19" s="18"/>
      <c r="W19" s="20" t="b">
        <v>1</v>
      </c>
      <c r="X19" s="8"/>
      <c r="Y19" s="18"/>
      <c r="Z19" s="18"/>
      <c r="AA19" s="18" t="s">
        <v>46</v>
      </c>
      <c r="AB19" s="18"/>
      <c r="AC19" s="18"/>
      <c r="AD19" s="18"/>
      <c r="AE19" s="19" t="b">
        <v>0</v>
      </c>
    </row>
    <row r="20">
      <c r="A20" s="18"/>
      <c r="B20" s="18"/>
      <c r="C20" s="18" t="s">
        <v>47</v>
      </c>
      <c r="D20" s="20">
        <v>3.0</v>
      </c>
      <c r="E20" s="20">
        <v>1050.0</v>
      </c>
      <c r="F20" s="18"/>
      <c r="G20" s="20" t="b">
        <v>1</v>
      </c>
      <c r="H20" s="8"/>
      <c r="I20" s="18"/>
      <c r="J20" s="18"/>
      <c r="K20" s="18" t="s">
        <v>47</v>
      </c>
      <c r="L20" s="18"/>
      <c r="M20" s="18"/>
      <c r="N20" s="18"/>
      <c r="O20" s="20" t="b">
        <v>1</v>
      </c>
      <c r="P20" s="8"/>
      <c r="Q20" s="14">
        <v>13.0</v>
      </c>
      <c r="R20" s="15">
        <v>46252.0</v>
      </c>
      <c r="S20" s="18" t="s">
        <v>41</v>
      </c>
      <c r="T20" s="18"/>
      <c r="U20" s="20">
        <v>1000.0</v>
      </c>
      <c r="V20" s="18"/>
      <c r="W20" s="20" t="b">
        <v>1</v>
      </c>
      <c r="X20" s="8"/>
      <c r="Y20" s="18"/>
      <c r="Z20" s="18"/>
      <c r="AA20" s="18" t="s">
        <v>49</v>
      </c>
      <c r="AB20" s="18"/>
      <c r="AC20" s="20">
        <v>700.0</v>
      </c>
      <c r="AD20" s="18"/>
      <c r="AE20" s="20" t="b">
        <v>1</v>
      </c>
    </row>
    <row r="21">
      <c r="A21" s="18"/>
      <c r="B21" s="18"/>
      <c r="C21" s="18" t="s">
        <v>41</v>
      </c>
      <c r="D21" s="18"/>
      <c r="E21" s="20">
        <v>530.0</v>
      </c>
      <c r="F21" s="18"/>
      <c r="G21" s="20" t="b">
        <v>1</v>
      </c>
      <c r="H21" s="8"/>
      <c r="I21" s="18"/>
      <c r="J21" s="18"/>
      <c r="K21" s="18" t="s">
        <v>41</v>
      </c>
      <c r="L21" s="20">
        <v>1.0</v>
      </c>
      <c r="M21" s="20">
        <v>350.0</v>
      </c>
      <c r="N21" s="18"/>
      <c r="O21" s="20" t="b">
        <v>1</v>
      </c>
      <c r="P21" s="8"/>
      <c r="Q21" s="18"/>
      <c r="R21" s="18"/>
      <c r="S21" s="18" t="s">
        <v>33</v>
      </c>
      <c r="T21" s="20">
        <v>2.0</v>
      </c>
      <c r="U21" s="20">
        <v>400.0</v>
      </c>
      <c r="V21" s="18"/>
      <c r="W21" s="20" t="b">
        <v>1</v>
      </c>
      <c r="X21" s="8"/>
      <c r="Y21" s="18"/>
      <c r="Z21" s="18"/>
      <c r="AA21" s="18" t="s">
        <v>41</v>
      </c>
      <c r="AB21" s="20">
        <v>2.0</v>
      </c>
      <c r="AC21" s="20">
        <v>350.0</v>
      </c>
      <c r="AD21" s="18"/>
      <c r="AE21" s="20" t="b">
        <v>1</v>
      </c>
    </row>
    <row r="22">
      <c r="A22" s="14">
        <v>11.0</v>
      </c>
      <c r="B22" s="15">
        <v>46248.0</v>
      </c>
      <c r="C22" s="18" t="s">
        <v>31</v>
      </c>
      <c r="D22" s="20">
        <v>2.0</v>
      </c>
      <c r="E22" s="18"/>
      <c r="F22" s="18"/>
      <c r="G22" s="19" t="b">
        <v>0</v>
      </c>
      <c r="H22" s="8"/>
      <c r="I22" s="14">
        <v>11.0</v>
      </c>
      <c r="J22" s="15">
        <v>46248.0</v>
      </c>
      <c r="K22" s="18" t="s">
        <v>41</v>
      </c>
      <c r="L22" s="20">
        <v>1.0</v>
      </c>
      <c r="M22" s="20">
        <v>350.0</v>
      </c>
      <c r="N22" s="18"/>
      <c r="O22" s="20" t="b">
        <v>1</v>
      </c>
      <c r="P22" s="8"/>
      <c r="Q22" s="14">
        <v>14.0</v>
      </c>
      <c r="R22" s="15">
        <v>46253.0</v>
      </c>
      <c r="S22" s="18" t="s">
        <v>37</v>
      </c>
      <c r="T22" s="19">
        <v>2.0</v>
      </c>
      <c r="U22" s="19">
        <v>1400.0</v>
      </c>
      <c r="V22" s="18"/>
      <c r="W22" s="20" t="b">
        <v>1</v>
      </c>
      <c r="X22" s="8"/>
      <c r="Y22" s="14">
        <v>11.0</v>
      </c>
      <c r="Z22" s="15">
        <v>46248.0</v>
      </c>
      <c r="AA22" s="18" t="s">
        <v>41</v>
      </c>
      <c r="AB22" s="20">
        <v>2.0</v>
      </c>
      <c r="AC22" s="20">
        <v>700.0</v>
      </c>
      <c r="AD22" s="18"/>
      <c r="AE22" s="20" t="b">
        <v>1</v>
      </c>
    </row>
    <row r="23">
      <c r="A23" s="18"/>
      <c r="B23" s="18"/>
      <c r="C23" s="18" t="s">
        <v>41</v>
      </c>
      <c r="D23" s="20">
        <v>1.0</v>
      </c>
      <c r="E23" s="20">
        <v>350.0</v>
      </c>
      <c r="F23" s="18"/>
      <c r="G23" s="20" t="b">
        <v>1</v>
      </c>
      <c r="H23" s="8"/>
      <c r="I23" s="14">
        <v>12.0</v>
      </c>
      <c r="J23" s="15">
        <v>46251.0</v>
      </c>
      <c r="K23" s="18" t="s">
        <v>41</v>
      </c>
      <c r="L23" s="20">
        <v>1.0</v>
      </c>
      <c r="M23" s="20">
        <v>700.0</v>
      </c>
      <c r="N23" s="18"/>
      <c r="O23" s="20" t="b">
        <v>1</v>
      </c>
      <c r="P23" s="8"/>
      <c r="Q23" s="14">
        <v>15.0</v>
      </c>
      <c r="R23" s="15">
        <v>46254.0</v>
      </c>
      <c r="S23" s="18" t="s">
        <v>29</v>
      </c>
      <c r="T23" s="20">
        <v>2.0</v>
      </c>
      <c r="U23" s="20">
        <v>700.0</v>
      </c>
      <c r="V23" s="18"/>
      <c r="W23" s="20" t="b">
        <v>1</v>
      </c>
      <c r="X23" s="8"/>
      <c r="Y23" s="14">
        <v>12.0</v>
      </c>
      <c r="Z23" s="15">
        <v>46251.0</v>
      </c>
      <c r="AA23" s="18" t="s">
        <v>41</v>
      </c>
      <c r="AB23" s="20">
        <v>2.0</v>
      </c>
      <c r="AC23" s="20">
        <v>1400.0</v>
      </c>
      <c r="AD23" s="18"/>
      <c r="AE23" s="20" t="b">
        <v>1</v>
      </c>
    </row>
    <row r="24">
      <c r="A24" s="14">
        <v>12.0</v>
      </c>
      <c r="B24" s="15">
        <v>46251.0</v>
      </c>
      <c r="C24" s="18" t="s">
        <v>41</v>
      </c>
      <c r="D24" s="20">
        <v>3.0</v>
      </c>
      <c r="E24" s="20">
        <v>2100.0</v>
      </c>
      <c r="F24" s="18"/>
      <c r="G24" s="20" t="b">
        <v>1</v>
      </c>
      <c r="H24" s="8"/>
      <c r="I24" s="14">
        <v>13.0</v>
      </c>
      <c r="J24" s="15">
        <v>46252.0</v>
      </c>
      <c r="K24" s="18" t="s">
        <v>41</v>
      </c>
      <c r="L24" s="20">
        <v>1.0</v>
      </c>
      <c r="M24" s="20">
        <v>700.0</v>
      </c>
      <c r="N24" s="18"/>
      <c r="O24" s="20" t="b">
        <v>1</v>
      </c>
      <c r="P24" s="8"/>
      <c r="Q24" s="14">
        <v>16.0</v>
      </c>
      <c r="R24" s="15">
        <v>46255.0</v>
      </c>
      <c r="S24" s="18" t="s">
        <v>50</v>
      </c>
      <c r="T24" s="20">
        <v>2.0</v>
      </c>
      <c r="U24" s="20">
        <v>700.0</v>
      </c>
      <c r="V24" s="18"/>
      <c r="W24" s="20" t="b">
        <v>1</v>
      </c>
      <c r="X24" s="8"/>
      <c r="Y24" s="14">
        <v>13.0</v>
      </c>
      <c r="Z24" s="15">
        <v>46252.0</v>
      </c>
      <c r="AA24" s="18" t="s">
        <v>41</v>
      </c>
      <c r="AB24" s="20">
        <v>2.0</v>
      </c>
      <c r="AC24" s="20">
        <v>1050.0</v>
      </c>
      <c r="AD24" s="18"/>
      <c r="AE24" s="20" t="b">
        <v>1</v>
      </c>
    </row>
    <row r="25">
      <c r="A25" s="14">
        <v>13.0</v>
      </c>
      <c r="B25" s="15">
        <v>46252.0</v>
      </c>
      <c r="C25" s="18" t="s">
        <v>41</v>
      </c>
      <c r="D25" s="22"/>
      <c r="E25" s="18"/>
      <c r="F25" s="18"/>
      <c r="G25" s="19" t="b">
        <v>0</v>
      </c>
      <c r="H25" s="8"/>
      <c r="I25" s="18"/>
      <c r="J25" s="18"/>
      <c r="K25" s="18" t="s">
        <v>33</v>
      </c>
      <c r="L25" s="18"/>
      <c r="M25" s="18"/>
      <c r="N25" s="18"/>
      <c r="O25" s="20" t="b">
        <v>1</v>
      </c>
      <c r="P25" s="8"/>
      <c r="Q25" s="14">
        <v>17.0</v>
      </c>
      <c r="R25" s="15">
        <v>46256.0</v>
      </c>
      <c r="S25" s="18" t="s">
        <v>50</v>
      </c>
      <c r="T25" s="20">
        <v>2.0</v>
      </c>
      <c r="U25" s="20">
        <v>700.0</v>
      </c>
      <c r="V25" s="18"/>
      <c r="W25" s="20" t="b">
        <v>1</v>
      </c>
      <c r="X25" s="8"/>
      <c r="Y25" s="18"/>
      <c r="Z25" s="18"/>
      <c r="AA25" s="18" t="s">
        <v>33</v>
      </c>
      <c r="AB25" s="18"/>
      <c r="AC25" s="20">
        <v>350.0</v>
      </c>
      <c r="AD25" s="18"/>
      <c r="AE25" s="20" t="b">
        <v>1</v>
      </c>
    </row>
    <row r="26">
      <c r="A26" s="18"/>
      <c r="B26" s="21"/>
      <c r="C26" s="18" t="s">
        <v>33</v>
      </c>
      <c r="D26" s="20">
        <v>3.0</v>
      </c>
      <c r="E26" s="19">
        <v>2100.0</v>
      </c>
      <c r="F26" s="18"/>
      <c r="G26" s="20" t="b">
        <v>1</v>
      </c>
      <c r="H26" s="8"/>
      <c r="I26" s="14">
        <v>14.0</v>
      </c>
      <c r="J26" s="15">
        <v>46253.0</v>
      </c>
      <c r="K26" s="18" t="s">
        <v>33</v>
      </c>
      <c r="L26" s="22"/>
      <c r="M26" s="18"/>
      <c r="N26" s="18"/>
      <c r="O26" s="20" t="b">
        <v>1</v>
      </c>
      <c r="P26" s="8"/>
      <c r="Q26" s="14">
        <v>18.0</v>
      </c>
      <c r="R26" s="15">
        <v>46258.0</v>
      </c>
      <c r="S26" s="18" t="s">
        <v>51</v>
      </c>
      <c r="T26" s="20">
        <v>1.0</v>
      </c>
      <c r="U26" s="20">
        <v>350.0</v>
      </c>
      <c r="V26" s="18"/>
      <c r="W26" s="20" t="b">
        <v>1</v>
      </c>
      <c r="X26" s="8"/>
      <c r="Y26" s="14">
        <v>14.0</v>
      </c>
      <c r="Z26" s="15">
        <v>46253.0</v>
      </c>
      <c r="AA26" s="18" t="s">
        <v>33</v>
      </c>
      <c r="AB26" s="22"/>
      <c r="AC26" s="18"/>
      <c r="AD26" s="18"/>
      <c r="AE26" s="19" t="b">
        <v>0</v>
      </c>
    </row>
    <row r="27">
      <c r="A27" s="14">
        <v>14.0</v>
      </c>
      <c r="B27" s="15">
        <v>46253.0</v>
      </c>
      <c r="C27" s="18" t="s">
        <v>33</v>
      </c>
      <c r="D27" s="18"/>
      <c r="E27" s="18"/>
      <c r="F27" s="18"/>
      <c r="G27" s="19" t="b">
        <v>0</v>
      </c>
      <c r="H27" s="8"/>
      <c r="I27" s="18"/>
      <c r="J27" s="18"/>
      <c r="K27" s="18" t="s">
        <v>32</v>
      </c>
      <c r="L27" s="20">
        <v>1.0</v>
      </c>
      <c r="M27" s="20">
        <v>700.0</v>
      </c>
      <c r="N27" s="18"/>
      <c r="O27" s="20" t="b">
        <v>1</v>
      </c>
      <c r="P27" s="8"/>
      <c r="Q27" s="14">
        <v>19.0</v>
      </c>
      <c r="R27" s="15">
        <v>46259.0</v>
      </c>
      <c r="S27" s="18" t="s">
        <v>51</v>
      </c>
      <c r="T27" s="18"/>
      <c r="U27" s="18"/>
      <c r="V27" s="18"/>
      <c r="W27" s="20" t="b">
        <v>0</v>
      </c>
      <c r="X27" s="8"/>
      <c r="Y27" s="18"/>
      <c r="Z27" s="18"/>
      <c r="AA27" s="18" t="s">
        <v>32</v>
      </c>
      <c r="AB27" s="20">
        <v>2.0</v>
      </c>
      <c r="AC27" s="20">
        <v>1400.0</v>
      </c>
      <c r="AD27" s="18"/>
      <c r="AE27" s="20" t="b">
        <v>1</v>
      </c>
    </row>
    <row r="28">
      <c r="A28" s="18"/>
      <c r="B28" s="18"/>
      <c r="C28" s="18" t="s">
        <v>32</v>
      </c>
      <c r="D28" s="18"/>
      <c r="E28" s="18"/>
      <c r="F28" s="18"/>
      <c r="G28" s="19" t="b">
        <v>0</v>
      </c>
      <c r="H28" s="8"/>
      <c r="I28" s="14">
        <v>15.0</v>
      </c>
      <c r="J28" s="15">
        <v>46256.0</v>
      </c>
      <c r="K28" s="18" t="s">
        <v>50</v>
      </c>
      <c r="L28" s="19">
        <v>1.0</v>
      </c>
      <c r="M28" s="19">
        <v>350.0</v>
      </c>
      <c r="N28" s="18"/>
      <c r="O28" s="20" t="b">
        <v>1</v>
      </c>
      <c r="P28" s="8"/>
      <c r="Q28" s="18"/>
      <c r="R28" s="18"/>
      <c r="S28" s="18" t="s">
        <v>52</v>
      </c>
      <c r="T28" s="19">
        <v>2.0</v>
      </c>
      <c r="U28" s="19">
        <v>700.0</v>
      </c>
      <c r="V28" s="18"/>
      <c r="W28" s="20" t="b">
        <v>1</v>
      </c>
      <c r="X28" s="8"/>
      <c r="Y28" s="14">
        <v>15.0</v>
      </c>
      <c r="Z28" s="15">
        <v>46254.0</v>
      </c>
      <c r="AA28" s="18" t="s">
        <v>29</v>
      </c>
      <c r="AB28" s="19">
        <v>2.0</v>
      </c>
      <c r="AC28" s="19">
        <v>700.0</v>
      </c>
      <c r="AD28" s="18"/>
      <c r="AE28" s="20" t="b">
        <v>1</v>
      </c>
    </row>
    <row r="29">
      <c r="A29" s="18"/>
      <c r="B29" s="18"/>
      <c r="C29" s="18" t="s">
        <v>38</v>
      </c>
      <c r="D29" s="19">
        <v>3.0</v>
      </c>
      <c r="E29" s="19">
        <v>1400.0</v>
      </c>
      <c r="F29" s="18"/>
      <c r="G29" s="20" t="b">
        <v>1</v>
      </c>
      <c r="H29" s="8"/>
      <c r="I29" s="14">
        <v>16.0</v>
      </c>
      <c r="J29" s="15">
        <v>46258.0</v>
      </c>
      <c r="K29" s="18" t="s">
        <v>50</v>
      </c>
      <c r="L29" s="19">
        <v>1.0</v>
      </c>
      <c r="M29" s="19">
        <v>350.0</v>
      </c>
      <c r="N29" s="18"/>
      <c r="O29" s="20" t="b">
        <v>1</v>
      </c>
      <c r="P29" s="8"/>
      <c r="Q29" s="14">
        <v>20.0</v>
      </c>
      <c r="R29" s="15">
        <v>46260.0</v>
      </c>
      <c r="S29" s="18" t="s">
        <v>31</v>
      </c>
      <c r="T29" s="19">
        <v>1.0</v>
      </c>
      <c r="U29" s="18"/>
      <c r="V29" s="18"/>
      <c r="W29" s="20" t="b">
        <v>0</v>
      </c>
      <c r="X29" s="8"/>
      <c r="Y29" s="14">
        <v>16.0</v>
      </c>
      <c r="Z29" s="15">
        <v>46255.0</v>
      </c>
      <c r="AA29" s="18" t="s">
        <v>50</v>
      </c>
      <c r="AB29" s="19">
        <v>2.0</v>
      </c>
      <c r="AC29" s="19">
        <v>700.0</v>
      </c>
      <c r="AD29" s="18"/>
      <c r="AE29" s="20" t="b">
        <v>1</v>
      </c>
    </row>
    <row r="30">
      <c r="A30" s="18"/>
      <c r="B30" s="18"/>
      <c r="C30" s="18" t="s">
        <v>54</v>
      </c>
      <c r="D30" s="18"/>
      <c r="E30" s="19">
        <v>2800.0</v>
      </c>
      <c r="F30" s="18"/>
      <c r="G30" s="19" t="b">
        <v>0</v>
      </c>
      <c r="H30" s="8"/>
      <c r="I30" s="14">
        <v>17.0</v>
      </c>
      <c r="J30" s="15">
        <v>46259.0</v>
      </c>
      <c r="K30" s="18" t="s">
        <v>31</v>
      </c>
      <c r="L30" s="19">
        <v>1.0</v>
      </c>
      <c r="M30" s="18"/>
      <c r="N30" s="18"/>
      <c r="O30" s="19" t="b">
        <v>0</v>
      </c>
      <c r="P30" s="8"/>
      <c r="Q30" s="14">
        <v>21.0</v>
      </c>
      <c r="R30" s="15">
        <v>46261.0</v>
      </c>
      <c r="S30" s="18" t="s">
        <v>31</v>
      </c>
      <c r="T30" s="18"/>
      <c r="U30" s="18"/>
      <c r="V30" s="18"/>
      <c r="W30" s="20" t="b">
        <v>0</v>
      </c>
      <c r="X30" s="8"/>
      <c r="Y30" s="14">
        <v>17.0</v>
      </c>
      <c r="Z30" s="15">
        <v>46256.0</v>
      </c>
      <c r="AA30" s="18" t="s">
        <v>50</v>
      </c>
      <c r="AB30" s="19">
        <v>2.0</v>
      </c>
      <c r="AC30" s="19">
        <v>700.0</v>
      </c>
      <c r="AD30" s="18"/>
      <c r="AE30" s="20" t="b">
        <v>1</v>
      </c>
    </row>
    <row r="31">
      <c r="A31" s="14">
        <v>15.0</v>
      </c>
      <c r="B31" s="15">
        <v>46256.0</v>
      </c>
      <c r="C31" s="18" t="s">
        <v>50</v>
      </c>
      <c r="D31" s="19">
        <v>3.0</v>
      </c>
      <c r="E31" s="19">
        <v>1050.0</v>
      </c>
      <c r="F31" s="18"/>
      <c r="G31" s="20" t="b">
        <v>1</v>
      </c>
      <c r="H31" s="8"/>
      <c r="I31" s="14">
        <v>18.0</v>
      </c>
      <c r="J31" s="15">
        <v>46260.0</v>
      </c>
      <c r="K31" s="18" t="s">
        <v>31</v>
      </c>
      <c r="L31" s="19">
        <v>1.0</v>
      </c>
      <c r="M31" s="18"/>
      <c r="N31" s="18"/>
      <c r="O31" s="19" t="b">
        <v>0</v>
      </c>
      <c r="P31" s="8"/>
      <c r="Q31" s="18"/>
      <c r="R31" s="18"/>
      <c r="S31" s="18" t="s">
        <v>51</v>
      </c>
      <c r="T31" s="19">
        <v>2.0</v>
      </c>
      <c r="U31" s="19">
        <v>350.0</v>
      </c>
      <c r="V31" s="18"/>
      <c r="W31" s="20" t="b">
        <v>1</v>
      </c>
      <c r="X31" s="8"/>
      <c r="Y31" s="14">
        <v>18.0</v>
      </c>
      <c r="Z31" s="15">
        <v>46258.0</v>
      </c>
      <c r="AA31" s="18" t="s">
        <v>51</v>
      </c>
      <c r="AB31" s="19">
        <v>2.0</v>
      </c>
      <c r="AC31" s="19">
        <v>700.0</v>
      </c>
      <c r="AD31" s="18"/>
      <c r="AE31" s="20" t="b">
        <v>1</v>
      </c>
    </row>
    <row r="32">
      <c r="A32" s="14">
        <v>16.0</v>
      </c>
      <c r="B32" s="15">
        <v>46258.0</v>
      </c>
      <c r="C32" s="18" t="s">
        <v>50</v>
      </c>
      <c r="D32" s="19">
        <v>1.0</v>
      </c>
      <c r="E32" s="19">
        <v>350.0</v>
      </c>
      <c r="F32" s="18"/>
      <c r="G32" s="20" t="b">
        <v>1</v>
      </c>
      <c r="H32" s="8"/>
      <c r="I32" s="14">
        <v>19.0</v>
      </c>
      <c r="J32" s="15">
        <v>46261.0</v>
      </c>
      <c r="K32" s="18" t="s">
        <v>31</v>
      </c>
      <c r="L32" s="18"/>
      <c r="M32" s="18"/>
      <c r="N32" s="18"/>
      <c r="O32" s="19" t="b">
        <v>0</v>
      </c>
      <c r="P32" s="8"/>
      <c r="Q32" s="14">
        <v>22.0</v>
      </c>
      <c r="R32" s="15">
        <v>46262.0</v>
      </c>
      <c r="S32" s="18" t="s">
        <v>51</v>
      </c>
      <c r="T32" s="19">
        <v>1.0</v>
      </c>
      <c r="U32" s="19">
        <v>350.0</v>
      </c>
      <c r="V32" s="18"/>
      <c r="W32" s="20" t="b">
        <v>1</v>
      </c>
      <c r="X32" s="8"/>
      <c r="Y32" s="14">
        <v>19.0</v>
      </c>
      <c r="Z32" s="15">
        <v>46259.0</v>
      </c>
      <c r="AA32" s="18" t="s">
        <v>51</v>
      </c>
      <c r="AB32" s="18"/>
      <c r="AC32" s="18"/>
      <c r="AD32" s="18"/>
      <c r="AE32" s="19" t="b">
        <v>0</v>
      </c>
    </row>
    <row r="33">
      <c r="A33" s="18"/>
      <c r="B33" s="18"/>
      <c r="C33" s="18" t="s">
        <v>31</v>
      </c>
      <c r="D33" s="18"/>
      <c r="E33" s="18"/>
      <c r="F33" s="18"/>
      <c r="G33" s="19" t="b">
        <v>0</v>
      </c>
      <c r="H33" s="8"/>
      <c r="I33" s="18"/>
      <c r="J33" s="18"/>
      <c r="K33" s="18" t="s">
        <v>51</v>
      </c>
      <c r="L33" s="19">
        <v>1.0</v>
      </c>
      <c r="M33" s="19">
        <v>100.0</v>
      </c>
      <c r="N33" s="18"/>
      <c r="O33" s="20" t="b">
        <v>1</v>
      </c>
      <c r="P33" s="8"/>
      <c r="Q33" s="14">
        <v>23.0</v>
      </c>
      <c r="R33" s="15">
        <v>46263.0</v>
      </c>
      <c r="S33" s="18" t="s">
        <v>39</v>
      </c>
      <c r="T33" s="19">
        <v>1.0</v>
      </c>
      <c r="U33" s="19">
        <v>350.0</v>
      </c>
      <c r="V33" s="18"/>
      <c r="W33" s="20" t="b">
        <v>1</v>
      </c>
      <c r="X33" s="8"/>
      <c r="Y33" s="18"/>
      <c r="Z33" s="18"/>
      <c r="AA33" s="18" t="s">
        <v>55</v>
      </c>
      <c r="AB33" s="19">
        <v>1.0</v>
      </c>
      <c r="AC33" s="19">
        <v>350.0</v>
      </c>
      <c r="AD33" s="18"/>
      <c r="AE33" s="20" t="b">
        <v>1</v>
      </c>
    </row>
    <row r="34">
      <c r="A34" s="14">
        <v>17.0</v>
      </c>
      <c r="B34" s="15">
        <v>46259.0</v>
      </c>
      <c r="C34" s="18" t="s">
        <v>56</v>
      </c>
      <c r="D34" s="18"/>
      <c r="E34" s="18"/>
      <c r="F34" s="18"/>
      <c r="G34" s="19" t="b">
        <v>0</v>
      </c>
      <c r="H34" s="8"/>
      <c r="I34" s="14">
        <v>20.0</v>
      </c>
      <c r="J34" s="15">
        <v>46262.0</v>
      </c>
      <c r="K34" s="18" t="s">
        <v>51</v>
      </c>
      <c r="L34" s="19">
        <v>1.0</v>
      </c>
      <c r="M34" s="20">
        <v>350.0</v>
      </c>
      <c r="N34" s="18"/>
      <c r="O34" s="20" t="b">
        <v>1</v>
      </c>
      <c r="P34" s="8"/>
      <c r="Q34" s="18"/>
      <c r="R34" s="33"/>
      <c r="S34" s="18"/>
      <c r="T34" s="18"/>
      <c r="U34" s="18"/>
      <c r="V34" s="18"/>
      <c r="W34" s="18"/>
      <c r="X34" s="8"/>
      <c r="Y34" s="14">
        <v>20.0</v>
      </c>
      <c r="Z34" s="15">
        <v>46260.0</v>
      </c>
      <c r="AA34" s="18" t="s">
        <v>31</v>
      </c>
      <c r="AB34" s="19">
        <v>2.0</v>
      </c>
      <c r="AC34" s="18"/>
      <c r="AD34" s="18"/>
      <c r="AE34" s="19" t="b">
        <v>0</v>
      </c>
    </row>
    <row r="35">
      <c r="A35" s="18"/>
      <c r="B35" s="18"/>
      <c r="C35" s="18" t="s">
        <v>57</v>
      </c>
      <c r="D35" s="18"/>
      <c r="E35" s="18"/>
      <c r="F35" s="18"/>
      <c r="G35" s="20" t="b">
        <v>1</v>
      </c>
      <c r="H35" s="8"/>
      <c r="I35" s="14">
        <v>21.0</v>
      </c>
      <c r="J35" s="15">
        <v>46263.0</v>
      </c>
      <c r="K35" s="18" t="s">
        <v>39</v>
      </c>
      <c r="L35" s="19">
        <v>1.0</v>
      </c>
      <c r="M35" s="19">
        <v>350.0</v>
      </c>
      <c r="N35" s="18"/>
      <c r="O35" s="20" t="b">
        <v>1</v>
      </c>
      <c r="P35" s="8"/>
      <c r="Q35" s="18"/>
      <c r="R35" s="18"/>
      <c r="S35" s="18"/>
      <c r="T35" s="18"/>
      <c r="U35" s="18"/>
      <c r="V35" s="18"/>
      <c r="W35" s="18"/>
      <c r="X35" s="8"/>
      <c r="Y35" s="14">
        <v>21.0</v>
      </c>
      <c r="Z35" s="15">
        <v>46261.0</v>
      </c>
      <c r="AA35" s="18" t="s">
        <v>31</v>
      </c>
      <c r="AB35" s="18"/>
      <c r="AC35" s="18"/>
      <c r="AD35" s="18"/>
      <c r="AE35" s="19" t="b">
        <v>0</v>
      </c>
    </row>
    <row r="36">
      <c r="A36" s="18"/>
      <c r="B36" s="18"/>
      <c r="C36" s="18" t="s">
        <v>59</v>
      </c>
      <c r="D36" s="18"/>
      <c r="E36" s="18"/>
      <c r="F36" s="18"/>
      <c r="G36" s="20" t="b">
        <v>1</v>
      </c>
      <c r="H36" s="8"/>
      <c r="I36" s="14">
        <v>22.0</v>
      </c>
      <c r="J36" s="34">
        <v>46265.0</v>
      </c>
      <c r="K36" s="18" t="s">
        <v>60</v>
      </c>
      <c r="L36" s="19">
        <v>1.0</v>
      </c>
      <c r="M36" s="19">
        <v>100.0</v>
      </c>
      <c r="N36" s="18"/>
      <c r="O36" s="20" t="b">
        <v>1</v>
      </c>
      <c r="P36" s="8"/>
      <c r="Q36" s="18"/>
      <c r="R36" s="18"/>
      <c r="S36" s="18"/>
      <c r="T36" s="18"/>
      <c r="U36" s="18"/>
      <c r="V36" s="18"/>
      <c r="W36" s="18"/>
      <c r="X36" s="8"/>
      <c r="Y36" s="18"/>
      <c r="Z36" s="18"/>
      <c r="AA36" s="18" t="s">
        <v>51</v>
      </c>
      <c r="AB36" s="19">
        <v>2.0</v>
      </c>
      <c r="AC36" s="19">
        <v>350.0</v>
      </c>
      <c r="AD36" s="18"/>
      <c r="AE36" s="20" t="b">
        <v>1</v>
      </c>
    </row>
    <row r="37">
      <c r="A37" s="18"/>
      <c r="B37" s="18"/>
      <c r="C37" s="18" t="s">
        <v>61</v>
      </c>
      <c r="D37" s="19">
        <v>3.0</v>
      </c>
      <c r="E37" s="19">
        <v>1000.0</v>
      </c>
      <c r="F37" s="18"/>
      <c r="G37" s="20" t="b">
        <v>1</v>
      </c>
      <c r="H37" s="8"/>
      <c r="I37" s="18"/>
      <c r="J37" s="18"/>
      <c r="K37" s="18" t="s">
        <v>28</v>
      </c>
      <c r="L37" s="18"/>
      <c r="M37" s="19">
        <v>250.0</v>
      </c>
      <c r="N37" s="18"/>
      <c r="O37" s="20" t="b">
        <v>1</v>
      </c>
      <c r="P37" s="8"/>
      <c r="Q37" s="18"/>
      <c r="R37" s="18"/>
      <c r="S37" s="18"/>
      <c r="T37" s="18"/>
      <c r="U37" s="18"/>
      <c r="V37" s="18"/>
      <c r="W37" s="18"/>
      <c r="X37" s="8"/>
      <c r="Y37" s="14">
        <v>22.0</v>
      </c>
      <c r="Z37" s="15">
        <v>46262.0</v>
      </c>
      <c r="AA37" s="18" t="s">
        <v>51</v>
      </c>
      <c r="AB37" s="19">
        <v>2.0</v>
      </c>
      <c r="AC37" s="19">
        <v>700.0</v>
      </c>
      <c r="AD37" s="18"/>
      <c r="AE37" s="20" t="b">
        <v>1</v>
      </c>
    </row>
    <row r="38">
      <c r="A38" s="14">
        <v>18.0</v>
      </c>
      <c r="B38" s="15">
        <v>46260.0</v>
      </c>
      <c r="C38" s="18" t="s">
        <v>31</v>
      </c>
      <c r="D38" s="19">
        <v>3.0</v>
      </c>
      <c r="E38" s="18"/>
      <c r="F38" s="18"/>
      <c r="G38" s="20" t="b">
        <v>1</v>
      </c>
      <c r="H38" s="8"/>
      <c r="I38" s="18"/>
      <c r="J38" s="18"/>
      <c r="K38" s="18"/>
      <c r="L38" s="18"/>
      <c r="M38" s="18"/>
      <c r="N38" s="18"/>
      <c r="O38" s="18"/>
      <c r="P38" s="8"/>
      <c r="Q38" s="18"/>
      <c r="R38" s="18"/>
      <c r="S38" s="18"/>
      <c r="T38" s="18"/>
      <c r="U38" s="18"/>
      <c r="V38" s="18"/>
      <c r="W38" s="18"/>
      <c r="X38" s="8"/>
      <c r="Y38" s="14">
        <v>23.0</v>
      </c>
      <c r="Z38" s="15">
        <v>46263.0</v>
      </c>
      <c r="AA38" s="18" t="s">
        <v>39</v>
      </c>
      <c r="AB38" s="19">
        <v>2.0</v>
      </c>
      <c r="AC38" s="19">
        <v>700.0</v>
      </c>
      <c r="AD38" s="18"/>
      <c r="AE38" s="20" t="b">
        <v>1</v>
      </c>
    </row>
    <row r="39">
      <c r="A39" s="14">
        <v>19.0</v>
      </c>
      <c r="B39" s="15">
        <v>46261.0</v>
      </c>
      <c r="C39" s="18" t="s">
        <v>31</v>
      </c>
      <c r="D39" s="18"/>
      <c r="E39" s="18"/>
      <c r="F39" s="18"/>
      <c r="G39" s="20" t="b">
        <v>1</v>
      </c>
      <c r="H39" s="8"/>
      <c r="I39" s="18"/>
      <c r="J39" s="18"/>
      <c r="K39" s="18"/>
      <c r="L39" s="18"/>
      <c r="M39" s="18"/>
      <c r="N39" s="18"/>
      <c r="O39" s="18"/>
      <c r="P39" s="8"/>
      <c r="Q39" s="18"/>
      <c r="R39" s="18"/>
      <c r="S39" s="18"/>
      <c r="T39" s="18"/>
      <c r="U39" s="18"/>
      <c r="V39" s="18"/>
      <c r="W39" s="18"/>
      <c r="X39" s="8"/>
      <c r="Y39" s="14">
        <v>24.0</v>
      </c>
      <c r="Z39" s="34">
        <v>46265.0</v>
      </c>
      <c r="AA39" s="18" t="s">
        <v>63</v>
      </c>
      <c r="AB39" s="19">
        <v>2.0</v>
      </c>
      <c r="AC39" s="19">
        <v>200.0</v>
      </c>
      <c r="AD39" s="18"/>
      <c r="AE39" s="20" t="b">
        <v>1</v>
      </c>
    </row>
    <row r="40">
      <c r="A40" s="18"/>
      <c r="B40" s="18"/>
      <c r="C40" s="18" t="s">
        <v>51</v>
      </c>
      <c r="D40" s="19">
        <v>3.0</v>
      </c>
      <c r="E40" s="19">
        <v>200.0</v>
      </c>
      <c r="F40" s="18"/>
      <c r="G40" s="20" t="b">
        <v>1</v>
      </c>
      <c r="H40" s="8"/>
      <c r="I40" s="18"/>
      <c r="J40" s="18"/>
      <c r="K40" s="18"/>
      <c r="L40" s="19" t="s">
        <v>64</v>
      </c>
      <c r="M40" s="18"/>
      <c r="N40" s="18"/>
      <c r="O40" s="18"/>
      <c r="P40" s="8"/>
      <c r="Q40" s="18"/>
      <c r="R40" s="18"/>
      <c r="S40" s="18"/>
      <c r="T40" s="18"/>
      <c r="U40" s="18"/>
      <c r="V40" s="18"/>
      <c r="W40" s="18"/>
      <c r="X40" s="8"/>
      <c r="Y40" s="18"/>
      <c r="Z40" s="18"/>
      <c r="AA40" s="18" t="s">
        <v>28</v>
      </c>
      <c r="AB40" s="18"/>
      <c r="AC40" s="19">
        <v>500.0</v>
      </c>
      <c r="AD40" s="18"/>
      <c r="AE40" s="20" t="b">
        <v>1</v>
      </c>
    </row>
    <row r="41">
      <c r="A41" s="14">
        <v>20.0</v>
      </c>
      <c r="B41" s="34">
        <v>46262.0</v>
      </c>
      <c r="C41" s="18" t="s">
        <v>51</v>
      </c>
      <c r="D41" s="19">
        <v>3.0</v>
      </c>
      <c r="E41" s="19">
        <v>1050.0</v>
      </c>
      <c r="F41" s="18"/>
      <c r="G41" s="20" t="b">
        <v>1</v>
      </c>
      <c r="H41" s="8"/>
      <c r="I41" s="18"/>
      <c r="J41" s="18"/>
      <c r="K41" s="18"/>
      <c r="L41" s="18"/>
      <c r="M41" s="18"/>
      <c r="N41" s="18"/>
      <c r="O41" s="18"/>
      <c r="P41" s="8"/>
      <c r="Q41" s="18"/>
      <c r="R41" s="18"/>
      <c r="S41" s="18"/>
      <c r="T41" s="18"/>
      <c r="U41" s="18"/>
      <c r="V41" s="18"/>
      <c r="W41" s="18"/>
      <c r="X41" s="8"/>
      <c r="Y41" s="18"/>
      <c r="Z41" s="18"/>
      <c r="AA41" s="18"/>
      <c r="AB41" s="18"/>
      <c r="AC41" s="18"/>
      <c r="AD41" s="18"/>
      <c r="AE41" s="18"/>
    </row>
    <row r="42">
      <c r="A42" s="14">
        <v>21.0</v>
      </c>
      <c r="B42" s="34">
        <v>46263.0</v>
      </c>
      <c r="C42" s="18" t="s">
        <v>39</v>
      </c>
      <c r="D42" s="19">
        <v>3.0</v>
      </c>
      <c r="E42" s="19">
        <v>1050.0</v>
      </c>
      <c r="F42" s="18"/>
      <c r="G42" s="20" t="b">
        <v>1</v>
      </c>
      <c r="H42" s="8"/>
      <c r="I42" s="18"/>
      <c r="J42" s="18"/>
      <c r="K42" s="18"/>
      <c r="L42" s="18"/>
      <c r="M42" s="18"/>
      <c r="N42" s="18"/>
      <c r="O42" s="18"/>
      <c r="P42" s="8"/>
      <c r="Q42" s="18"/>
      <c r="R42" s="18"/>
      <c r="S42" s="18"/>
      <c r="T42" s="18"/>
      <c r="U42" s="18"/>
      <c r="V42" s="18"/>
      <c r="W42" s="18"/>
      <c r="X42" s="8"/>
      <c r="Y42" s="18"/>
      <c r="Z42" s="18"/>
      <c r="AA42" s="18"/>
      <c r="AB42" s="18"/>
      <c r="AC42" s="18"/>
      <c r="AD42" s="18"/>
      <c r="AE42" s="18"/>
    </row>
    <row r="43">
      <c r="A43" s="14">
        <v>22.0</v>
      </c>
      <c r="B43" s="34">
        <v>46265.0</v>
      </c>
      <c r="C43" s="18" t="s">
        <v>60</v>
      </c>
      <c r="D43" s="19">
        <v>3.0</v>
      </c>
      <c r="E43" s="19">
        <v>300.0</v>
      </c>
      <c r="F43" s="18"/>
      <c r="G43" s="20" t="b">
        <v>1</v>
      </c>
      <c r="H43" s="8"/>
      <c r="I43" s="18"/>
      <c r="J43" s="18"/>
      <c r="K43" s="18"/>
      <c r="L43" s="18"/>
      <c r="M43" s="18"/>
      <c r="N43" s="18"/>
      <c r="O43" s="18"/>
      <c r="P43" s="8"/>
      <c r="Q43" s="18"/>
      <c r="R43" s="18"/>
      <c r="S43" s="18"/>
      <c r="T43" s="18"/>
      <c r="U43" s="18"/>
      <c r="V43" s="18"/>
      <c r="W43" s="18"/>
      <c r="X43" s="8"/>
      <c r="Y43" s="18"/>
      <c r="Z43" s="18"/>
      <c r="AA43" s="18"/>
      <c r="AB43" s="18"/>
      <c r="AC43" s="18"/>
      <c r="AD43" s="18"/>
      <c r="AE43" s="18"/>
    </row>
    <row r="44">
      <c r="A44" s="18"/>
      <c r="B44" s="18"/>
      <c r="C44" s="18" t="s">
        <v>28</v>
      </c>
      <c r="D44" s="18"/>
      <c r="E44" s="19">
        <v>750.0</v>
      </c>
      <c r="F44" s="18"/>
      <c r="G44" s="20" t="b">
        <v>1</v>
      </c>
      <c r="H44" s="8"/>
      <c r="I44" s="18"/>
      <c r="J44" s="18"/>
      <c r="K44" s="18"/>
      <c r="L44" s="18"/>
      <c r="M44" s="18"/>
      <c r="N44" s="18"/>
      <c r="O44" s="18"/>
      <c r="P44" s="8"/>
      <c r="Q44" s="18"/>
      <c r="R44" s="18"/>
      <c r="S44" s="18"/>
      <c r="T44" s="18"/>
      <c r="U44" s="18"/>
      <c r="V44" s="18"/>
      <c r="W44" s="18"/>
      <c r="X44" s="8"/>
      <c r="Y44" s="18"/>
      <c r="Z44" s="18"/>
      <c r="AA44" s="18"/>
      <c r="AB44" s="18"/>
      <c r="AC44" s="18"/>
      <c r="AD44" s="18"/>
      <c r="AE44" s="18"/>
    </row>
  </sheetData>
  <mergeCells count="5">
    <mergeCell ref="A1:AE1"/>
    <mergeCell ref="A3:G3"/>
    <mergeCell ref="I3:O3"/>
    <mergeCell ref="Q3:W3"/>
    <mergeCell ref="Y3:AE3"/>
  </mergeCells>
  <dataValidations>
    <dataValidation type="list" allowBlank="1" showErrorMessage="1" sqref="S6:S33 K6:K37 AA6:AA40 C6:C44">
      <formula1>#REF!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8.38"/>
    <col customWidth="1" min="11" max="11" width="18.38"/>
    <col customWidth="1" min="19" max="19" width="18.38"/>
    <col customWidth="1" min="27" max="27" width="18.38"/>
  </cols>
  <sheetData>
    <row r="1">
      <c r="A1" s="2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10" t="s">
        <v>35</v>
      </c>
      <c r="B3" s="3"/>
      <c r="C3" s="3"/>
      <c r="D3" s="3"/>
      <c r="E3" s="3"/>
      <c r="F3" s="3"/>
      <c r="G3" s="7"/>
      <c r="H3" s="8"/>
      <c r="I3" s="10" t="s">
        <v>36</v>
      </c>
      <c r="J3" s="3"/>
      <c r="K3" s="3"/>
      <c r="L3" s="3"/>
      <c r="M3" s="3"/>
      <c r="N3" s="3"/>
      <c r="O3" s="7"/>
      <c r="P3" s="8"/>
      <c r="Q3" s="10" t="s">
        <v>14</v>
      </c>
      <c r="R3" s="3"/>
      <c r="S3" s="3"/>
      <c r="T3" s="3"/>
      <c r="U3" s="3"/>
      <c r="V3" s="3"/>
      <c r="W3" s="7"/>
      <c r="X3" s="8"/>
      <c r="Y3" s="10" t="s">
        <v>15</v>
      </c>
      <c r="Z3" s="3"/>
      <c r="AA3" s="3"/>
      <c r="AB3" s="3"/>
      <c r="AC3" s="3"/>
      <c r="AD3" s="3"/>
      <c r="AE3" s="7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2.5" customHeight="1">
      <c r="A5" s="23" t="s">
        <v>16</v>
      </c>
      <c r="B5" s="24" t="s">
        <v>17</v>
      </c>
      <c r="C5" s="25" t="s">
        <v>18</v>
      </c>
      <c r="D5" s="24" t="s">
        <v>19</v>
      </c>
      <c r="E5" s="24" t="s">
        <v>20</v>
      </c>
      <c r="F5" s="24" t="s">
        <v>48</v>
      </c>
      <c r="G5" s="24" t="s">
        <v>22</v>
      </c>
      <c r="H5" s="8"/>
      <c r="I5" s="23" t="s">
        <v>16</v>
      </c>
      <c r="J5" s="24" t="s">
        <v>17</v>
      </c>
      <c r="K5" s="25" t="s">
        <v>18</v>
      </c>
      <c r="L5" s="24" t="s">
        <v>19</v>
      </c>
      <c r="M5" s="24" t="s">
        <v>20</v>
      </c>
      <c r="N5" s="24" t="s">
        <v>48</v>
      </c>
      <c r="O5" s="24" t="s">
        <v>22</v>
      </c>
      <c r="P5" s="8"/>
      <c r="Q5" s="23" t="s">
        <v>16</v>
      </c>
      <c r="R5" s="24" t="s">
        <v>17</v>
      </c>
      <c r="S5" s="25" t="s">
        <v>18</v>
      </c>
      <c r="T5" s="24" t="s">
        <v>19</v>
      </c>
      <c r="U5" s="24" t="s">
        <v>20</v>
      </c>
      <c r="V5" s="24" t="s">
        <v>48</v>
      </c>
      <c r="W5" s="24" t="s">
        <v>22</v>
      </c>
      <c r="X5" s="8"/>
      <c r="Y5" s="23" t="s">
        <v>16</v>
      </c>
      <c r="Z5" s="24" t="s">
        <v>17</v>
      </c>
      <c r="AA5" s="25" t="s">
        <v>18</v>
      </c>
      <c r="AB5" s="24" t="s">
        <v>19</v>
      </c>
      <c r="AC5" s="24" t="s">
        <v>20</v>
      </c>
      <c r="AD5" s="24" t="s">
        <v>48</v>
      </c>
      <c r="AE5" s="24" t="s">
        <v>22</v>
      </c>
    </row>
    <row r="6" ht="15.75" customHeight="1">
      <c r="A6" s="26">
        <v>1.0</v>
      </c>
      <c r="B6" s="27">
        <v>46266.0</v>
      </c>
      <c r="C6" s="28" t="s">
        <v>53</v>
      </c>
      <c r="D6" s="26">
        <v>2.0</v>
      </c>
      <c r="E6" s="29">
        <v>800.0</v>
      </c>
      <c r="F6" s="30"/>
      <c r="G6" s="31" t="b">
        <v>1</v>
      </c>
      <c r="H6" s="8"/>
      <c r="I6" s="26">
        <v>1.0</v>
      </c>
      <c r="J6" s="32">
        <v>46266.0</v>
      </c>
      <c r="K6" s="28" t="s">
        <v>53</v>
      </c>
      <c r="L6" s="26">
        <v>2.0</v>
      </c>
      <c r="M6" s="29">
        <v>800.0</v>
      </c>
      <c r="N6" s="30"/>
      <c r="O6" s="31" t="b">
        <v>1</v>
      </c>
      <c r="P6" s="8"/>
      <c r="Q6" s="26">
        <v>1.0</v>
      </c>
      <c r="R6" s="32">
        <v>46266.0</v>
      </c>
      <c r="S6" s="28" t="s">
        <v>58</v>
      </c>
      <c r="T6" s="26">
        <v>1.0</v>
      </c>
      <c r="U6" s="29">
        <v>400.0</v>
      </c>
      <c r="V6" s="26">
        <v>120.0</v>
      </c>
      <c r="W6" s="31" t="b">
        <v>1</v>
      </c>
      <c r="X6" s="8"/>
      <c r="Y6" s="26">
        <v>1.0</v>
      </c>
      <c r="Z6" s="32">
        <v>46266.0</v>
      </c>
      <c r="AA6" s="28" t="s">
        <v>58</v>
      </c>
      <c r="AB6" s="26">
        <v>2.0</v>
      </c>
      <c r="AC6" s="29">
        <v>800.0</v>
      </c>
      <c r="AD6" s="26">
        <v>10.0</v>
      </c>
      <c r="AE6" s="31" t="b">
        <v>1</v>
      </c>
    </row>
    <row r="7" ht="15.75" customHeight="1">
      <c r="A7" s="36">
        <v>2.0</v>
      </c>
      <c r="B7" s="38">
        <v>46267.0</v>
      </c>
      <c r="C7" s="39" t="s">
        <v>53</v>
      </c>
      <c r="D7" s="36">
        <v>2.0</v>
      </c>
      <c r="E7" s="40">
        <v>650.0</v>
      </c>
      <c r="F7" s="36">
        <v>135.0</v>
      </c>
      <c r="G7" s="42" t="b">
        <v>1</v>
      </c>
      <c r="H7" s="8"/>
      <c r="I7" s="36">
        <v>2.0</v>
      </c>
      <c r="J7" s="43">
        <v>46267.0</v>
      </c>
      <c r="K7" s="39" t="s">
        <v>53</v>
      </c>
      <c r="L7" s="36">
        <v>2.0</v>
      </c>
      <c r="M7" s="40">
        <v>800.0</v>
      </c>
      <c r="N7" s="36">
        <v>95.0</v>
      </c>
      <c r="O7" s="31" t="b">
        <v>1</v>
      </c>
      <c r="P7" s="8"/>
      <c r="Q7" s="36">
        <v>2.0</v>
      </c>
      <c r="R7" s="43">
        <v>46267.0</v>
      </c>
      <c r="S7" s="39" t="s">
        <v>53</v>
      </c>
      <c r="T7" s="36">
        <v>1.0</v>
      </c>
      <c r="U7" s="40">
        <v>400.0</v>
      </c>
      <c r="V7" s="36">
        <v>20.0</v>
      </c>
      <c r="W7" s="31" t="b">
        <v>1</v>
      </c>
      <c r="X7" s="8"/>
      <c r="Y7" s="36">
        <v>2.0</v>
      </c>
      <c r="Z7" s="43">
        <v>46267.0</v>
      </c>
      <c r="AA7" s="39" t="s">
        <v>53</v>
      </c>
      <c r="AB7" s="36">
        <v>2.0</v>
      </c>
      <c r="AC7" s="40">
        <v>800.0</v>
      </c>
      <c r="AD7" s="36">
        <v>26.0</v>
      </c>
      <c r="AE7" s="31" t="b">
        <v>1</v>
      </c>
    </row>
    <row r="8" ht="15.75" customHeight="1">
      <c r="A8" s="30"/>
      <c r="B8" s="44"/>
      <c r="C8" s="45" t="s">
        <v>41</v>
      </c>
      <c r="D8" s="26" t="s">
        <v>67</v>
      </c>
      <c r="E8" s="29">
        <v>300.0</v>
      </c>
      <c r="F8" s="30"/>
      <c r="G8" s="31" t="b">
        <v>1</v>
      </c>
      <c r="H8" s="8"/>
      <c r="I8" s="26">
        <v>3.0</v>
      </c>
      <c r="J8" s="32">
        <v>46268.0</v>
      </c>
      <c r="K8" s="28" t="s">
        <v>68</v>
      </c>
      <c r="L8" s="26">
        <v>2.0</v>
      </c>
      <c r="M8" s="29">
        <v>800.0</v>
      </c>
      <c r="N8" s="30"/>
      <c r="O8" s="31" t="b">
        <v>1</v>
      </c>
      <c r="P8" s="8"/>
      <c r="Q8" s="26">
        <v>3.0</v>
      </c>
      <c r="R8" s="32">
        <v>46268.0</v>
      </c>
      <c r="S8" s="28" t="s">
        <v>70</v>
      </c>
      <c r="T8" s="30"/>
      <c r="U8" s="29">
        <v>300.0</v>
      </c>
      <c r="V8" s="30"/>
      <c r="W8" s="31" t="b">
        <v>1</v>
      </c>
      <c r="X8" s="8"/>
      <c r="Y8" s="26">
        <v>3.0</v>
      </c>
      <c r="Z8" s="32">
        <v>46268.0</v>
      </c>
      <c r="AA8" s="45" t="s">
        <v>41</v>
      </c>
      <c r="AB8" s="26" t="s">
        <v>72</v>
      </c>
      <c r="AC8" s="29">
        <v>750.0</v>
      </c>
      <c r="AD8" s="30"/>
      <c r="AE8" s="31" t="b">
        <v>1</v>
      </c>
    </row>
    <row r="9" ht="15.75" customHeight="1">
      <c r="A9" s="36">
        <v>3.0</v>
      </c>
      <c r="B9" s="38">
        <v>46268.0</v>
      </c>
      <c r="C9" s="39" t="s">
        <v>58</v>
      </c>
      <c r="D9" s="36">
        <v>1.0</v>
      </c>
      <c r="E9" s="40">
        <v>200.0</v>
      </c>
      <c r="F9" s="50"/>
      <c r="G9" s="42" t="b">
        <v>1</v>
      </c>
      <c r="H9" s="8"/>
      <c r="I9" s="51">
        <v>4.0</v>
      </c>
      <c r="J9" s="52">
        <v>46269.0</v>
      </c>
      <c r="K9" s="39" t="s">
        <v>73</v>
      </c>
      <c r="L9" s="51">
        <v>2.0</v>
      </c>
      <c r="M9" s="42">
        <v>500.0</v>
      </c>
      <c r="N9" s="50"/>
      <c r="O9" s="31" t="b">
        <v>1</v>
      </c>
      <c r="P9" s="8"/>
      <c r="Q9" s="50"/>
      <c r="R9" s="50"/>
      <c r="S9" s="39" t="s">
        <v>71</v>
      </c>
      <c r="T9" s="36" t="s">
        <v>74</v>
      </c>
      <c r="U9" s="40">
        <v>100.0</v>
      </c>
      <c r="V9" s="50"/>
      <c r="W9" s="31" t="b">
        <v>1</v>
      </c>
      <c r="X9" s="8"/>
      <c r="Y9" s="50"/>
      <c r="Z9" s="50"/>
      <c r="AA9" s="39" t="s">
        <v>75</v>
      </c>
      <c r="AB9" s="36">
        <v>1.0</v>
      </c>
      <c r="AC9" s="49">
        <v>500.0</v>
      </c>
      <c r="AD9" s="50"/>
      <c r="AE9" s="31" t="b">
        <v>1</v>
      </c>
    </row>
    <row r="10" ht="15.75" customHeight="1">
      <c r="A10" s="30"/>
      <c r="B10" s="44"/>
      <c r="C10" s="28" t="s">
        <v>68</v>
      </c>
      <c r="D10" s="26">
        <v>2.0</v>
      </c>
      <c r="E10" s="29">
        <v>600.0</v>
      </c>
      <c r="F10" s="30"/>
      <c r="G10" s="31" t="b">
        <v>1</v>
      </c>
      <c r="H10" s="8"/>
      <c r="I10" s="30"/>
      <c r="J10" s="30"/>
      <c r="K10" s="28" t="s">
        <v>77</v>
      </c>
      <c r="L10" s="30"/>
      <c r="M10" s="31">
        <v>200.0</v>
      </c>
      <c r="N10" s="30"/>
      <c r="O10" s="31" t="b">
        <v>1</v>
      </c>
      <c r="P10" s="8"/>
      <c r="Q10" s="51">
        <v>4.0</v>
      </c>
      <c r="R10" s="52">
        <v>46270.0</v>
      </c>
      <c r="S10" s="28" t="s">
        <v>78</v>
      </c>
      <c r="T10" s="55">
        <v>1.0</v>
      </c>
      <c r="U10" s="31">
        <v>100.0</v>
      </c>
      <c r="V10" s="30"/>
      <c r="W10" s="31" t="b">
        <v>1</v>
      </c>
      <c r="X10" s="8"/>
      <c r="Y10" s="30"/>
      <c r="Z10" s="30"/>
      <c r="AA10" s="28" t="s">
        <v>79</v>
      </c>
      <c r="AB10" s="30"/>
      <c r="AC10" s="56"/>
      <c r="AD10" s="30"/>
      <c r="AE10" s="31" t="b">
        <v>0</v>
      </c>
    </row>
    <row r="11" ht="15.75" customHeight="1">
      <c r="A11" s="51">
        <v>4.0</v>
      </c>
      <c r="B11" s="59">
        <v>46269.0</v>
      </c>
      <c r="C11" s="39" t="s">
        <v>73</v>
      </c>
      <c r="D11" s="51">
        <v>2.0</v>
      </c>
      <c r="E11" s="42">
        <v>500.0</v>
      </c>
      <c r="F11" s="50"/>
      <c r="G11" s="42" t="b">
        <v>1</v>
      </c>
      <c r="H11" s="8"/>
      <c r="I11" s="30"/>
      <c r="J11" s="30"/>
      <c r="K11" s="28" t="s">
        <v>82</v>
      </c>
      <c r="L11" s="30"/>
      <c r="M11" s="31">
        <v>700.0</v>
      </c>
      <c r="N11" s="30"/>
      <c r="O11" s="31" t="b">
        <v>1</v>
      </c>
      <c r="P11" s="8"/>
      <c r="Q11" s="50"/>
      <c r="R11" s="50"/>
      <c r="S11" s="39" t="s">
        <v>68</v>
      </c>
      <c r="T11" s="55"/>
      <c r="U11" s="42">
        <v>100.0</v>
      </c>
      <c r="V11" s="50"/>
      <c r="W11" s="31" t="b">
        <v>1</v>
      </c>
      <c r="X11" s="8"/>
      <c r="Y11" s="51">
        <v>4.0</v>
      </c>
      <c r="Z11" s="52">
        <v>46269.0</v>
      </c>
      <c r="AA11" s="39" t="s">
        <v>73</v>
      </c>
      <c r="AB11" s="51">
        <v>2.0</v>
      </c>
      <c r="AC11" s="42">
        <v>500.0</v>
      </c>
      <c r="AD11" s="50"/>
      <c r="AE11" s="31" t="b">
        <v>1</v>
      </c>
    </row>
    <row r="12" ht="15.75" customHeight="1">
      <c r="A12" s="30"/>
      <c r="B12" s="44"/>
      <c r="C12" s="28" t="s">
        <v>77</v>
      </c>
      <c r="D12" s="30"/>
      <c r="E12" s="31">
        <v>300.0</v>
      </c>
      <c r="F12" s="30"/>
      <c r="G12" s="31" t="b">
        <v>1</v>
      </c>
      <c r="H12" s="8"/>
      <c r="I12" s="51">
        <v>5.0</v>
      </c>
      <c r="J12" s="52">
        <v>46270.0</v>
      </c>
      <c r="K12" s="39" t="s">
        <v>85</v>
      </c>
      <c r="L12" s="51">
        <v>2.0</v>
      </c>
      <c r="M12" s="42">
        <v>130.0</v>
      </c>
      <c r="N12" s="50"/>
      <c r="O12" s="31" t="b">
        <v>1</v>
      </c>
      <c r="P12" s="8"/>
      <c r="Q12" s="55"/>
      <c r="R12" s="30"/>
      <c r="S12" s="39" t="s">
        <v>86</v>
      </c>
      <c r="T12" s="55"/>
      <c r="U12" s="31">
        <v>400.0</v>
      </c>
      <c r="V12" s="30"/>
      <c r="W12" s="31" t="b">
        <v>1</v>
      </c>
      <c r="X12" s="8"/>
      <c r="Y12" s="30"/>
      <c r="Z12" s="30"/>
      <c r="AA12" s="28" t="s">
        <v>77</v>
      </c>
      <c r="AB12" s="30"/>
      <c r="AC12" s="31">
        <v>250.0</v>
      </c>
      <c r="AD12" s="30"/>
      <c r="AE12" s="31" t="b">
        <v>1</v>
      </c>
    </row>
    <row r="13" ht="15.75" customHeight="1">
      <c r="A13" s="51">
        <v>5.0</v>
      </c>
      <c r="B13" s="59">
        <v>46270.0</v>
      </c>
      <c r="C13" s="39" t="s">
        <v>77</v>
      </c>
      <c r="D13" s="51">
        <v>2.0</v>
      </c>
      <c r="E13" s="42">
        <v>50.0</v>
      </c>
      <c r="F13" s="50"/>
      <c r="G13" s="42" t="b">
        <v>1</v>
      </c>
      <c r="H13" s="8"/>
      <c r="I13" s="30"/>
      <c r="J13" s="30"/>
      <c r="K13" s="28" t="s">
        <v>68</v>
      </c>
      <c r="L13" s="30"/>
      <c r="M13" s="31">
        <v>70.0</v>
      </c>
      <c r="N13" s="30"/>
      <c r="O13" s="31" t="b">
        <v>1</v>
      </c>
      <c r="P13" s="8"/>
      <c r="Q13" s="55">
        <v>5.0</v>
      </c>
      <c r="R13" s="52">
        <v>46271.0</v>
      </c>
      <c r="S13" s="28" t="s">
        <v>34</v>
      </c>
      <c r="T13" s="55">
        <v>1.0</v>
      </c>
      <c r="U13" s="31">
        <v>400.0</v>
      </c>
      <c r="V13" s="50"/>
      <c r="W13" s="31" t="b">
        <v>1</v>
      </c>
      <c r="X13" s="8"/>
      <c r="Y13" s="30"/>
      <c r="Z13" s="30"/>
      <c r="AA13" s="28" t="s">
        <v>78</v>
      </c>
      <c r="AB13" s="30"/>
      <c r="AC13" s="31">
        <v>50.0</v>
      </c>
      <c r="AD13" s="30"/>
      <c r="AE13" s="31" t="b">
        <v>1</v>
      </c>
    </row>
    <row r="14" ht="15.75" customHeight="1">
      <c r="A14" s="30"/>
      <c r="B14" s="44"/>
      <c r="C14" s="39" t="s">
        <v>68</v>
      </c>
      <c r="D14" s="51"/>
      <c r="E14" s="31">
        <v>350.0</v>
      </c>
      <c r="F14" s="30"/>
      <c r="G14" s="31" t="b">
        <v>1</v>
      </c>
      <c r="H14" s="8"/>
      <c r="I14" s="50"/>
      <c r="J14" s="50"/>
      <c r="K14" s="39" t="s">
        <v>86</v>
      </c>
      <c r="L14" s="51"/>
      <c r="M14" s="42">
        <v>800.0</v>
      </c>
      <c r="N14" s="50"/>
      <c r="O14" s="31" t="b">
        <v>1</v>
      </c>
      <c r="P14" s="8"/>
      <c r="Q14" s="55">
        <v>6.0</v>
      </c>
      <c r="R14" s="52">
        <v>46272.0</v>
      </c>
      <c r="S14" s="39" t="s">
        <v>87</v>
      </c>
      <c r="T14" s="51">
        <v>1.0</v>
      </c>
      <c r="U14" s="42">
        <v>100.0</v>
      </c>
      <c r="V14" s="50"/>
      <c r="W14" s="31" t="b">
        <v>1</v>
      </c>
      <c r="X14" s="8"/>
      <c r="Y14" s="30"/>
      <c r="Z14" s="30"/>
      <c r="AA14" s="28" t="s">
        <v>82</v>
      </c>
      <c r="AB14" s="30"/>
      <c r="AC14" s="31">
        <v>100.0</v>
      </c>
      <c r="AD14" s="30"/>
      <c r="AE14" s="31" t="b">
        <v>1</v>
      </c>
    </row>
    <row r="15" ht="15.75" customHeight="1">
      <c r="A15" s="50"/>
      <c r="B15" s="62"/>
      <c r="C15" s="39" t="s">
        <v>86</v>
      </c>
      <c r="D15" s="50"/>
      <c r="E15" s="42">
        <v>800.0</v>
      </c>
      <c r="F15" s="50"/>
      <c r="G15" s="31" t="b">
        <v>1</v>
      </c>
      <c r="H15" s="8"/>
      <c r="I15" s="55">
        <v>6.0</v>
      </c>
      <c r="J15" s="52">
        <v>46271.0</v>
      </c>
      <c r="K15" s="28" t="s">
        <v>34</v>
      </c>
      <c r="L15" s="55">
        <v>2.0</v>
      </c>
      <c r="M15" s="31">
        <v>800.0</v>
      </c>
      <c r="N15" s="30"/>
      <c r="O15" s="31" t="b">
        <v>1</v>
      </c>
      <c r="P15" s="8"/>
      <c r="Q15" s="50"/>
      <c r="R15" s="50"/>
      <c r="S15" s="39" t="s">
        <v>89</v>
      </c>
      <c r="T15" s="50"/>
      <c r="U15" s="42">
        <v>500.0</v>
      </c>
      <c r="V15" s="50"/>
      <c r="W15" s="31" t="b">
        <v>1</v>
      </c>
      <c r="X15" s="8"/>
      <c r="Y15" s="51">
        <v>5.0</v>
      </c>
      <c r="Z15" s="52">
        <v>46270.0</v>
      </c>
      <c r="AA15" s="39" t="s">
        <v>68</v>
      </c>
      <c r="AB15" s="51">
        <v>1.0</v>
      </c>
      <c r="AC15" s="42">
        <v>200.0</v>
      </c>
      <c r="AD15" s="50"/>
      <c r="AE15" s="31" t="b">
        <v>1</v>
      </c>
    </row>
    <row r="16" ht="15.75" customHeight="1">
      <c r="A16" s="55">
        <v>6.0</v>
      </c>
      <c r="B16" s="59">
        <v>46271.0</v>
      </c>
      <c r="C16" s="28" t="s">
        <v>68</v>
      </c>
      <c r="D16" s="55">
        <v>2.0</v>
      </c>
      <c r="E16" s="31">
        <v>800.0</v>
      </c>
      <c r="F16" s="30"/>
      <c r="G16" s="31" t="b">
        <v>1</v>
      </c>
      <c r="H16" s="8"/>
      <c r="I16" s="51">
        <v>7.0</v>
      </c>
      <c r="J16" s="52">
        <v>46272.0</v>
      </c>
      <c r="K16" s="39" t="s">
        <v>91</v>
      </c>
      <c r="L16" s="51">
        <v>2.0</v>
      </c>
      <c r="M16" s="42">
        <v>100.0</v>
      </c>
      <c r="N16" s="50"/>
      <c r="O16" s="31" t="b">
        <v>1</v>
      </c>
      <c r="P16" s="8"/>
      <c r="Q16" s="30"/>
      <c r="R16" s="50"/>
      <c r="S16" s="28" t="s">
        <v>71</v>
      </c>
      <c r="T16" s="50"/>
      <c r="U16" s="42">
        <v>100.0</v>
      </c>
      <c r="V16" s="50"/>
      <c r="W16" s="31" t="b">
        <v>1</v>
      </c>
      <c r="X16" s="8"/>
      <c r="Y16" s="30"/>
      <c r="Z16" s="52"/>
      <c r="AA16" s="39" t="s">
        <v>86</v>
      </c>
      <c r="AB16" s="51"/>
      <c r="AC16" s="42">
        <v>400.0</v>
      </c>
      <c r="AD16" s="30"/>
      <c r="AE16" s="31" t="b">
        <v>1</v>
      </c>
    </row>
    <row r="17" ht="15.75" customHeight="1">
      <c r="A17" s="51">
        <v>7.0</v>
      </c>
      <c r="B17" s="59">
        <v>46272.0</v>
      </c>
      <c r="C17" s="39" t="s">
        <v>92</v>
      </c>
      <c r="D17" s="51">
        <v>2.0</v>
      </c>
      <c r="E17" s="42">
        <v>150.0</v>
      </c>
      <c r="F17" s="50"/>
      <c r="G17" s="31" t="b">
        <v>1</v>
      </c>
      <c r="H17" s="8"/>
      <c r="I17" s="30"/>
      <c r="J17" s="30"/>
      <c r="K17" s="28" t="s">
        <v>94</v>
      </c>
      <c r="L17" s="30"/>
      <c r="M17" s="31">
        <v>500.0</v>
      </c>
      <c r="N17" s="30"/>
      <c r="O17" s="31" t="b">
        <v>1</v>
      </c>
      <c r="P17" s="8"/>
      <c r="Q17" s="51">
        <v>7.0</v>
      </c>
      <c r="R17" s="52">
        <v>46273.0</v>
      </c>
      <c r="S17" s="28" t="s">
        <v>71</v>
      </c>
      <c r="T17" s="51">
        <v>1.0</v>
      </c>
      <c r="U17" s="42">
        <v>400.0</v>
      </c>
      <c r="V17" s="51">
        <v>7.0</v>
      </c>
      <c r="W17" s="31" t="b">
        <v>1</v>
      </c>
      <c r="X17" s="8"/>
      <c r="Y17" s="55">
        <v>6.0</v>
      </c>
      <c r="Z17" s="52">
        <v>46271.0</v>
      </c>
      <c r="AA17" s="28" t="s">
        <v>34</v>
      </c>
      <c r="AB17" s="55">
        <v>2.0</v>
      </c>
      <c r="AC17" s="31">
        <v>800.0</v>
      </c>
      <c r="AD17" s="50"/>
      <c r="AE17" s="31" t="b">
        <v>1</v>
      </c>
    </row>
    <row r="18" ht="15.75" customHeight="1">
      <c r="A18" s="30"/>
      <c r="B18" s="44"/>
      <c r="C18" s="28" t="s">
        <v>95</v>
      </c>
      <c r="D18" s="30"/>
      <c r="E18" s="31">
        <v>250.0</v>
      </c>
      <c r="F18" s="30"/>
      <c r="G18" s="31" t="b">
        <v>1</v>
      </c>
      <c r="H18" s="8"/>
      <c r="I18" s="50"/>
      <c r="J18" s="50"/>
      <c r="K18" s="28" t="s">
        <v>71</v>
      </c>
      <c r="L18" s="50"/>
      <c r="M18" s="42">
        <v>450.0</v>
      </c>
      <c r="N18" s="50"/>
      <c r="O18" s="31" t="b">
        <v>1</v>
      </c>
      <c r="P18" s="8"/>
      <c r="Q18" s="55">
        <v>8.0</v>
      </c>
      <c r="R18" s="52">
        <v>46274.0</v>
      </c>
      <c r="S18" s="28" t="s">
        <v>71</v>
      </c>
      <c r="T18" s="51">
        <v>1.0</v>
      </c>
      <c r="U18" s="31">
        <v>400.0</v>
      </c>
      <c r="V18" s="55">
        <v>5.0</v>
      </c>
      <c r="W18" s="31" t="b">
        <v>1</v>
      </c>
      <c r="X18" s="8"/>
      <c r="Y18" s="55">
        <v>7.0</v>
      </c>
      <c r="Z18" s="52">
        <v>46272.0</v>
      </c>
      <c r="AA18" s="39" t="s">
        <v>97</v>
      </c>
      <c r="AB18" s="51">
        <v>2.0</v>
      </c>
      <c r="AC18" s="42">
        <v>100.0</v>
      </c>
      <c r="AD18" s="30"/>
      <c r="AE18" s="31" t="b">
        <v>1</v>
      </c>
    </row>
    <row r="19" ht="15.75" customHeight="1">
      <c r="A19" s="50"/>
      <c r="B19" s="62"/>
      <c r="C19" s="39" t="s">
        <v>98</v>
      </c>
      <c r="D19" s="50"/>
      <c r="E19" s="42">
        <v>200.0</v>
      </c>
      <c r="F19" s="50"/>
      <c r="G19" s="31" t="b">
        <v>1</v>
      </c>
      <c r="H19" s="8"/>
      <c r="I19" s="51">
        <v>8.0</v>
      </c>
      <c r="J19" s="52">
        <v>46273.0</v>
      </c>
      <c r="K19" s="28" t="s">
        <v>71</v>
      </c>
      <c r="L19" s="55">
        <v>2.0</v>
      </c>
      <c r="M19" s="31">
        <v>800.0</v>
      </c>
      <c r="N19" s="55">
        <v>15.0</v>
      </c>
      <c r="O19" s="31" t="b">
        <v>1</v>
      </c>
      <c r="P19" s="8"/>
      <c r="Q19" s="51">
        <v>9.0</v>
      </c>
      <c r="R19" s="52">
        <v>46275.0</v>
      </c>
      <c r="S19" s="28" t="s">
        <v>68</v>
      </c>
      <c r="T19" s="51">
        <v>2.0</v>
      </c>
      <c r="U19" s="42">
        <v>800.0</v>
      </c>
      <c r="V19" s="50"/>
      <c r="W19" s="31" t="b">
        <v>1</v>
      </c>
      <c r="X19" s="8"/>
      <c r="Y19" s="50"/>
      <c r="Z19" s="50"/>
      <c r="AA19" s="39" t="s">
        <v>100</v>
      </c>
      <c r="AB19" s="50"/>
      <c r="AC19" s="42">
        <v>200.0</v>
      </c>
      <c r="AD19" s="50"/>
      <c r="AE19" s="31" t="b">
        <v>1</v>
      </c>
    </row>
    <row r="20" ht="15.75" customHeight="1">
      <c r="A20" s="30"/>
      <c r="B20" s="44"/>
      <c r="C20" s="28" t="s">
        <v>71</v>
      </c>
      <c r="D20" s="30"/>
      <c r="E20" s="31">
        <v>500.0</v>
      </c>
      <c r="F20" s="30"/>
      <c r="G20" s="31" t="b">
        <v>1</v>
      </c>
      <c r="H20" s="8"/>
      <c r="I20" s="55">
        <v>9.0</v>
      </c>
      <c r="J20" s="52">
        <v>46274.0</v>
      </c>
      <c r="K20" s="28" t="s">
        <v>71</v>
      </c>
      <c r="L20" s="55">
        <v>2.0</v>
      </c>
      <c r="M20" s="42">
        <v>800.0</v>
      </c>
      <c r="N20" s="51">
        <v>10.0</v>
      </c>
      <c r="O20" s="31" t="b">
        <v>1</v>
      </c>
      <c r="P20" s="8"/>
      <c r="Q20" s="55">
        <v>10.0</v>
      </c>
      <c r="R20" s="52">
        <v>46276.0</v>
      </c>
      <c r="S20" s="28" t="s">
        <v>93</v>
      </c>
      <c r="T20" s="55">
        <v>2.0</v>
      </c>
      <c r="U20" s="31">
        <v>1500.0</v>
      </c>
      <c r="V20" s="30"/>
      <c r="W20" s="31" t="b">
        <v>1</v>
      </c>
      <c r="X20" s="8"/>
      <c r="Y20" s="30"/>
      <c r="Z20" s="30"/>
      <c r="AA20" s="39" t="s">
        <v>101</v>
      </c>
      <c r="AB20" s="30"/>
      <c r="AC20" s="31">
        <v>200.0</v>
      </c>
      <c r="AD20" s="30"/>
      <c r="AE20" s="31" t="b">
        <v>1</v>
      </c>
    </row>
    <row r="21" ht="15.75" customHeight="1">
      <c r="A21" s="51">
        <v>8.0</v>
      </c>
      <c r="B21" s="59">
        <v>46273.0</v>
      </c>
      <c r="C21" s="28" t="s">
        <v>71</v>
      </c>
      <c r="D21" s="51">
        <v>2.0</v>
      </c>
      <c r="E21" s="42">
        <v>800.0</v>
      </c>
      <c r="F21" s="51">
        <v>10.0</v>
      </c>
      <c r="G21" s="31" t="b">
        <v>1</v>
      </c>
      <c r="H21" s="8"/>
      <c r="I21" s="51">
        <v>10.0</v>
      </c>
      <c r="J21" s="52">
        <v>46275.0</v>
      </c>
      <c r="K21" s="28" t="s">
        <v>68</v>
      </c>
      <c r="L21" s="55">
        <v>2.0</v>
      </c>
      <c r="M21" s="31">
        <v>800.0</v>
      </c>
      <c r="N21" s="30"/>
      <c r="O21" s="31" t="b">
        <v>1</v>
      </c>
      <c r="P21" s="8"/>
      <c r="Q21" s="51">
        <v>11.0</v>
      </c>
      <c r="R21" s="52">
        <v>46277.0</v>
      </c>
      <c r="S21" s="28" t="s">
        <v>102</v>
      </c>
      <c r="T21" s="51">
        <v>1.0</v>
      </c>
      <c r="U21" s="42">
        <v>800.0</v>
      </c>
      <c r="V21" s="50"/>
      <c r="W21" s="31" t="b">
        <v>1</v>
      </c>
      <c r="X21" s="8"/>
      <c r="Y21" s="50"/>
      <c r="Z21" s="50"/>
      <c r="AA21" s="28" t="s">
        <v>71</v>
      </c>
      <c r="AB21" s="50"/>
      <c r="AC21" s="42">
        <v>550.0</v>
      </c>
      <c r="AD21" s="50"/>
      <c r="AE21" s="31" t="b">
        <v>1</v>
      </c>
    </row>
    <row r="22" ht="15.75" customHeight="1">
      <c r="A22" s="55">
        <v>9.0</v>
      </c>
      <c r="B22" s="59">
        <v>46274.0</v>
      </c>
      <c r="C22" s="28" t="s">
        <v>71</v>
      </c>
      <c r="D22" s="51">
        <v>2.0</v>
      </c>
      <c r="E22" s="31">
        <v>800.0</v>
      </c>
      <c r="F22" s="55">
        <v>13.0</v>
      </c>
      <c r="G22" s="31" t="b">
        <v>1</v>
      </c>
      <c r="H22" s="8"/>
      <c r="I22" s="55">
        <v>11.0</v>
      </c>
      <c r="J22" s="52">
        <v>46276.0</v>
      </c>
      <c r="K22" s="28" t="s">
        <v>103</v>
      </c>
      <c r="L22" s="55">
        <v>1.0</v>
      </c>
      <c r="M22" s="42">
        <v>750.0</v>
      </c>
      <c r="N22" s="50"/>
      <c r="O22" s="31" t="b">
        <v>1</v>
      </c>
      <c r="P22" s="8"/>
      <c r="Q22" s="30"/>
      <c r="R22" s="30"/>
      <c r="S22" s="28" t="s">
        <v>103</v>
      </c>
      <c r="T22" s="55">
        <v>1.0</v>
      </c>
      <c r="U22" s="31">
        <v>330.0</v>
      </c>
      <c r="V22" s="30"/>
      <c r="W22" s="31" t="b">
        <v>1</v>
      </c>
      <c r="X22" s="8"/>
      <c r="Y22" s="51">
        <v>8.0</v>
      </c>
      <c r="Z22" s="52">
        <v>46273.0</v>
      </c>
      <c r="AA22" s="28" t="s">
        <v>71</v>
      </c>
      <c r="AB22" s="55">
        <v>1.0</v>
      </c>
      <c r="AC22" s="31">
        <v>400.0</v>
      </c>
      <c r="AD22" s="55">
        <v>3.0</v>
      </c>
      <c r="AE22" s="31" t="b">
        <v>1</v>
      </c>
    </row>
    <row r="23" ht="15.75" customHeight="1">
      <c r="A23" s="51">
        <v>10.0</v>
      </c>
      <c r="B23" s="59">
        <v>46275.0</v>
      </c>
      <c r="C23" s="28" t="s">
        <v>71</v>
      </c>
      <c r="D23" s="51">
        <v>2.0</v>
      </c>
      <c r="E23" s="42">
        <v>800.0</v>
      </c>
      <c r="F23" s="50"/>
      <c r="G23" s="31" t="b">
        <v>1</v>
      </c>
      <c r="H23" s="8"/>
      <c r="I23" s="30"/>
      <c r="J23" s="30"/>
      <c r="K23" s="28" t="s">
        <v>68</v>
      </c>
      <c r="L23" s="55">
        <v>1.0</v>
      </c>
      <c r="M23" s="31">
        <v>100.0</v>
      </c>
      <c r="N23" s="30"/>
      <c r="O23" s="31" t="b">
        <v>1</v>
      </c>
      <c r="P23" s="8"/>
      <c r="Q23" s="50"/>
      <c r="R23" s="50"/>
      <c r="S23" s="28" t="s">
        <v>104</v>
      </c>
      <c r="T23" s="50"/>
      <c r="U23" s="42">
        <v>230.0</v>
      </c>
      <c r="V23" s="50"/>
      <c r="W23" s="31" t="b">
        <v>1</v>
      </c>
      <c r="X23" s="8"/>
      <c r="Y23" s="55">
        <v>9.0</v>
      </c>
      <c r="Z23" s="52">
        <v>46274.0</v>
      </c>
      <c r="AA23" s="28" t="s">
        <v>71</v>
      </c>
      <c r="AB23" s="51">
        <v>2.0</v>
      </c>
      <c r="AC23" s="42">
        <v>800.0</v>
      </c>
      <c r="AD23" s="51">
        <v>15.0</v>
      </c>
      <c r="AE23" s="31" t="b">
        <v>1</v>
      </c>
    </row>
    <row r="24" ht="15.75" customHeight="1">
      <c r="A24" s="55">
        <v>11.0</v>
      </c>
      <c r="B24" s="59">
        <v>46276.0</v>
      </c>
      <c r="C24" s="28" t="s">
        <v>103</v>
      </c>
      <c r="D24" s="55">
        <v>2.0</v>
      </c>
      <c r="E24" s="31">
        <v>2250.0</v>
      </c>
      <c r="F24" s="30"/>
      <c r="G24" s="31" t="b">
        <v>1</v>
      </c>
      <c r="H24" s="8"/>
      <c r="I24" s="50"/>
      <c r="J24" s="50"/>
      <c r="K24" s="39" t="s">
        <v>90</v>
      </c>
      <c r="L24" s="50"/>
      <c r="M24" s="42">
        <v>300.0</v>
      </c>
      <c r="N24" s="50"/>
      <c r="O24" s="31" t="b">
        <v>1</v>
      </c>
      <c r="P24" s="8"/>
      <c r="Q24" s="51">
        <v>12.0</v>
      </c>
      <c r="R24" s="52">
        <v>46280.0</v>
      </c>
      <c r="S24" s="39" t="s">
        <v>104</v>
      </c>
      <c r="T24" s="55">
        <v>2.0</v>
      </c>
      <c r="U24" s="31">
        <v>375.0</v>
      </c>
      <c r="V24" s="30"/>
      <c r="W24" s="31" t="b">
        <v>1</v>
      </c>
      <c r="X24" s="8"/>
      <c r="Y24" s="51">
        <v>10.0</v>
      </c>
      <c r="Z24" s="52">
        <v>46275.0</v>
      </c>
      <c r="AA24" s="28" t="s">
        <v>68</v>
      </c>
      <c r="AB24" s="51">
        <v>2.0</v>
      </c>
      <c r="AC24" s="31">
        <v>800.0</v>
      </c>
      <c r="AD24" s="30"/>
      <c r="AE24" s="31" t="b">
        <v>1</v>
      </c>
    </row>
    <row r="25" ht="15.75" customHeight="1">
      <c r="A25" s="51">
        <v>12.0</v>
      </c>
      <c r="B25" s="59">
        <v>46277.0</v>
      </c>
      <c r="C25" s="28" t="s">
        <v>103</v>
      </c>
      <c r="D25" s="51">
        <v>2.0</v>
      </c>
      <c r="E25" s="42">
        <v>800.0</v>
      </c>
      <c r="F25" s="50"/>
      <c r="G25" s="31" t="b">
        <v>1</v>
      </c>
      <c r="H25" s="8"/>
      <c r="I25" s="51">
        <v>12.0</v>
      </c>
      <c r="J25" s="52">
        <v>46277.0</v>
      </c>
      <c r="K25" s="28" t="s">
        <v>103</v>
      </c>
      <c r="L25" s="55">
        <v>2.0</v>
      </c>
      <c r="M25" s="31">
        <v>1150.0</v>
      </c>
      <c r="N25" s="30"/>
      <c r="O25" s="31" t="b">
        <v>1</v>
      </c>
      <c r="P25" s="8"/>
      <c r="Q25" s="50"/>
      <c r="R25" s="50"/>
      <c r="S25" s="28" t="s">
        <v>105</v>
      </c>
      <c r="T25" s="50"/>
      <c r="U25" s="42">
        <v>425.0</v>
      </c>
      <c r="V25" s="50"/>
      <c r="W25" s="42" t="b">
        <v>1</v>
      </c>
      <c r="X25" s="8"/>
      <c r="Y25" s="55">
        <v>11.0</v>
      </c>
      <c r="Z25" s="52">
        <v>46276.0</v>
      </c>
      <c r="AA25" s="28" t="s">
        <v>93</v>
      </c>
      <c r="AB25" s="55">
        <v>2.0</v>
      </c>
      <c r="AC25" s="42">
        <v>1500.0</v>
      </c>
      <c r="AD25" s="50"/>
      <c r="AE25" s="31" t="b">
        <v>1</v>
      </c>
    </row>
    <row r="26" ht="15.75" customHeight="1">
      <c r="A26" s="30"/>
      <c r="B26" s="44"/>
      <c r="C26" s="28" t="s">
        <v>104</v>
      </c>
      <c r="D26" s="30"/>
      <c r="E26" s="31">
        <v>400.0</v>
      </c>
      <c r="F26" s="30"/>
      <c r="G26" s="31" t="b">
        <v>1</v>
      </c>
      <c r="H26" s="8"/>
      <c r="I26" s="50"/>
      <c r="J26" s="50"/>
      <c r="K26" s="28" t="s">
        <v>104</v>
      </c>
      <c r="L26" s="50"/>
      <c r="M26" s="42">
        <v>200.0</v>
      </c>
      <c r="N26" s="50"/>
      <c r="O26" s="31" t="b">
        <v>1</v>
      </c>
      <c r="P26" s="8"/>
      <c r="Q26" s="51">
        <v>13.0</v>
      </c>
      <c r="R26" s="52">
        <v>46281.0</v>
      </c>
      <c r="S26" s="39" t="s">
        <v>83</v>
      </c>
      <c r="T26" s="55">
        <v>2.0</v>
      </c>
      <c r="U26" s="31">
        <v>800.0</v>
      </c>
      <c r="V26" s="30"/>
      <c r="W26" s="31" t="b">
        <v>1</v>
      </c>
      <c r="X26" s="8"/>
      <c r="Y26" s="51">
        <v>12.0</v>
      </c>
      <c r="Z26" s="52">
        <v>46277.0</v>
      </c>
      <c r="AA26" s="28" t="s">
        <v>103</v>
      </c>
      <c r="AB26" s="55">
        <v>2.0</v>
      </c>
      <c r="AC26" s="31">
        <v>670.0</v>
      </c>
      <c r="AD26" s="30"/>
      <c r="AE26" s="31" t="b">
        <v>1</v>
      </c>
    </row>
    <row r="27" ht="15.75" customHeight="1">
      <c r="A27" s="51">
        <v>13.0</v>
      </c>
      <c r="B27" s="59">
        <v>46280.0</v>
      </c>
      <c r="C27" s="39" t="s">
        <v>104</v>
      </c>
      <c r="D27" s="51">
        <v>2.0</v>
      </c>
      <c r="E27" s="42">
        <v>700.0</v>
      </c>
      <c r="F27" s="50"/>
      <c r="G27" s="42" t="b">
        <v>1</v>
      </c>
      <c r="H27" s="8"/>
      <c r="I27" s="51">
        <v>13.0</v>
      </c>
      <c r="J27" s="52">
        <v>46280.0</v>
      </c>
      <c r="K27" s="28" t="s">
        <v>90</v>
      </c>
      <c r="L27" s="55">
        <v>2.0</v>
      </c>
      <c r="M27" s="31">
        <v>300.0</v>
      </c>
      <c r="N27" s="30"/>
      <c r="O27" s="31" t="b">
        <v>1</v>
      </c>
      <c r="P27" s="8"/>
      <c r="Q27" s="51">
        <v>14.0</v>
      </c>
      <c r="R27" s="52">
        <v>46282.0</v>
      </c>
      <c r="S27" s="39" t="s">
        <v>106</v>
      </c>
      <c r="T27" s="51">
        <v>1.0</v>
      </c>
      <c r="U27" s="42">
        <v>800.0</v>
      </c>
      <c r="V27" s="50"/>
      <c r="W27" s="42" t="b">
        <v>1</v>
      </c>
      <c r="X27" s="8"/>
      <c r="Y27" s="50"/>
      <c r="Z27" s="50"/>
      <c r="AA27" s="28" t="s">
        <v>104</v>
      </c>
      <c r="AB27" s="50"/>
      <c r="AC27" s="42">
        <v>470.0</v>
      </c>
      <c r="AD27" s="50"/>
      <c r="AE27" s="31" t="b">
        <v>1</v>
      </c>
    </row>
    <row r="28" ht="15.75" customHeight="1">
      <c r="A28" s="30"/>
      <c r="B28" s="44"/>
      <c r="C28" s="28" t="s">
        <v>105</v>
      </c>
      <c r="D28" s="30"/>
      <c r="E28" s="31">
        <v>100.0</v>
      </c>
      <c r="F28" s="30"/>
      <c r="G28" s="31" t="b">
        <v>1</v>
      </c>
      <c r="H28" s="8"/>
      <c r="I28" s="50"/>
      <c r="J28" s="50"/>
      <c r="K28" s="39" t="s">
        <v>104</v>
      </c>
      <c r="L28" s="50"/>
      <c r="M28" s="42">
        <v>300.0</v>
      </c>
      <c r="N28" s="50"/>
      <c r="O28" s="42" t="b">
        <v>1</v>
      </c>
      <c r="P28" s="8"/>
      <c r="Q28" s="51">
        <v>15.0</v>
      </c>
      <c r="R28" s="52">
        <v>46283.0</v>
      </c>
      <c r="S28" s="28" t="s">
        <v>86</v>
      </c>
      <c r="T28" s="55">
        <v>2.0</v>
      </c>
      <c r="U28" s="31">
        <v>1500.0</v>
      </c>
      <c r="V28" s="30"/>
      <c r="W28" s="31" t="b">
        <v>1</v>
      </c>
      <c r="X28" s="8"/>
      <c r="Y28" s="51">
        <v>13.0</v>
      </c>
      <c r="Z28" s="52">
        <v>46280.0</v>
      </c>
      <c r="AA28" s="39" t="s">
        <v>104</v>
      </c>
      <c r="AB28" s="55">
        <v>2.0</v>
      </c>
      <c r="AC28" s="31">
        <v>375.0</v>
      </c>
      <c r="AD28" s="30"/>
      <c r="AE28" s="31" t="b">
        <v>1</v>
      </c>
    </row>
    <row r="29" ht="15.75" customHeight="1">
      <c r="A29" s="51">
        <v>14.0</v>
      </c>
      <c r="B29" s="59">
        <v>46281.0</v>
      </c>
      <c r="C29" s="39" t="s">
        <v>83</v>
      </c>
      <c r="D29" s="51">
        <v>2.0</v>
      </c>
      <c r="E29" s="42">
        <v>800.0</v>
      </c>
      <c r="F29" s="50"/>
      <c r="G29" s="42" t="b">
        <v>1</v>
      </c>
      <c r="H29" s="8"/>
      <c r="I29" s="30"/>
      <c r="J29" s="30"/>
      <c r="K29" s="28" t="s">
        <v>107</v>
      </c>
      <c r="L29" s="30"/>
      <c r="M29" s="31">
        <v>200.0</v>
      </c>
      <c r="N29" s="30"/>
      <c r="O29" s="31" t="b">
        <v>1</v>
      </c>
      <c r="P29" s="8"/>
      <c r="Q29" s="50"/>
      <c r="R29" s="50"/>
      <c r="S29" s="28" t="s">
        <v>108</v>
      </c>
      <c r="T29" s="50"/>
      <c r="U29" s="42">
        <v>100.0</v>
      </c>
      <c r="V29" s="50"/>
      <c r="W29" s="42" t="b">
        <v>1</v>
      </c>
      <c r="X29" s="8"/>
      <c r="Y29" s="50"/>
      <c r="Z29" s="50"/>
      <c r="AA29" s="28" t="s">
        <v>105</v>
      </c>
      <c r="AB29" s="50"/>
      <c r="AC29" s="42">
        <v>425.0</v>
      </c>
      <c r="AD29" s="50"/>
      <c r="AE29" s="42" t="b">
        <v>1</v>
      </c>
    </row>
    <row r="30" ht="15.75" customHeight="1">
      <c r="A30" s="30"/>
      <c r="B30" s="44"/>
      <c r="C30" s="39"/>
      <c r="D30" s="67" t="s">
        <v>109</v>
      </c>
      <c r="E30" s="31">
        <v>150.0</v>
      </c>
      <c r="F30" s="30"/>
      <c r="G30" s="31" t="b">
        <v>1</v>
      </c>
      <c r="H30" s="8"/>
      <c r="I30" s="51">
        <v>14.0</v>
      </c>
      <c r="J30" s="52">
        <v>46281.0</v>
      </c>
      <c r="K30" s="39" t="s">
        <v>83</v>
      </c>
      <c r="L30" s="51">
        <v>2.0</v>
      </c>
      <c r="M30" s="42">
        <v>750.0</v>
      </c>
      <c r="N30" s="50"/>
      <c r="O30" s="42" t="b">
        <v>1</v>
      </c>
      <c r="P30" s="8"/>
      <c r="Q30" s="51">
        <v>16.0</v>
      </c>
      <c r="R30" s="68">
        <v>46284.0</v>
      </c>
      <c r="S30" s="28" t="s">
        <v>110</v>
      </c>
      <c r="T30" s="55">
        <v>2.0</v>
      </c>
      <c r="U30" s="31">
        <v>800.0</v>
      </c>
      <c r="V30" s="30"/>
      <c r="W30" s="31" t="b">
        <v>1</v>
      </c>
      <c r="X30" s="8"/>
      <c r="Y30" s="51">
        <v>14.0</v>
      </c>
      <c r="Z30" s="52">
        <v>46281.0</v>
      </c>
      <c r="AA30" s="39" t="s">
        <v>83</v>
      </c>
      <c r="AB30" s="55">
        <v>2.0</v>
      </c>
      <c r="AC30" s="31">
        <v>800.0</v>
      </c>
      <c r="AD30" s="30"/>
      <c r="AE30" s="31" t="b">
        <v>1</v>
      </c>
    </row>
    <row r="31" ht="15.75" customHeight="1">
      <c r="A31" s="51">
        <v>15.0</v>
      </c>
      <c r="B31" s="59">
        <v>46282.0</v>
      </c>
      <c r="C31" s="39" t="s">
        <v>106</v>
      </c>
      <c r="D31" s="51">
        <v>2.0</v>
      </c>
      <c r="E31" s="42">
        <v>1600.0</v>
      </c>
      <c r="F31" s="50"/>
      <c r="G31" s="42" t="b">
        <v>1</v>
      </c>
      <c r="H31" s="8"/>
      <c r="I31" s="30"/>
      <c r="J31" s="30"/>
      <c r="K31" s="28" t="s">
        <v>105</v>
      </c>
      <c r="L31" s="30"/>
      <c r="M31" s="31">
        <v>50.0</v>
      </c>
      <c r="N31" s="30"/>
      <c r="O31" s="31" t="b">
        <v>1</v>
      </c>
      <c r="P31" s="8"/>
      <c r="Q31" s="50"/>
      <c r="R31" s="50"/>
      <c r="S31" s="39" t="s">
        <v>106</v>
      </c>
      <c r="T31" s="50"/>
      <c r="U31" s="54"/>
      <c r="V31" s="50"/>
      <c r="W31" s="42" t="b">
        <v>0</v>
      </c>
      <c r="X31" s="8"/>
      <c r="Y31" s="51">
        <v>15.0</v>
      </c>
      <c r="Z31" s="52">
        <v>46282.0</v>
      </c>
      <c r="AA31" s="39" t="s">
        <v>106</v>
      </c>
      <c r="AB31" s="51">
        <v>2.0</v>
      </c>
      <c r="AC31" s="42">
        <v>1600.0</v>
      </c>
      <c r="AD31" s="50"/>
      <c r="AE31" s="42" t="b">
        <v>1</v>
      </c>
    </row>
    <row r="32" ht="15.75" customHeight="1">
      <c r="A32" s="30"/>
      <c r="B32" s="44"/>
      <c r="C32" s="45"/>
      <c r="D32" s="67" t="s">
        <v>109</v>
      </c>
      <c r="E32" s="31">
        <v>300.0</v>
      </c>
      <c r="F32" s="30"/>
      <c r="G32" s="31" t="b">
        <v>1</v>
      </c>
      <c r="H32" s="8"/>
      <c r="I32" s="51">
        <v>15.0</v>
      </c>
      <c r="J32" s="52">
        <v>46282.0</v>
      </c>
      <c r="K32" s="39" t="s">
        <v>106</v>
      </c>
      <c r="L32" s="51">
        <v>2.0</v>
      </c>
      <c r="M32" s="42">
        <v>1550.0</v>
      </c>
      <c r="N32" s="50"/>
      <c r="O32" s="42" t="b">
        <v>1</v>
      </c>
      <c r="P32" s="8"/>
      <c r="Q32" s="51">
        <v>17.0</v>
      </c>
      <c r="R32" s="68">
        <v>46286.0</v>
      </c>
      <c r="S32" s="28" t="s">
        <v>80</v>
      </c>
      <c r="T32" s="55">
        <v>2.0</v>
      </c>
      <c r="U32" s="31">
        <v>1000.0</v>
      </c>
      <c r="V32" s="30"/>
      <c r="W32" s="31" t="b">
        <v>1</v>
      </c>
      <c r="X32" s="8"/>
      <c r="Y32" s="51">
        <v>16.0</v>
      </c>
      <c r="Z32" s="52">
        <v>46283.0</v>
      </c>
      <c r="AA32" s="39" t="s">
        <v>106</v>
      </c>
      <c r="AB32" s="55">
        <v>2.0</v>
      </c>
      <c r="AC32" s="31">
        <v>200.0</v>
      </c>
      <c r="AD32" s="30"/>
      <c r="AE32" s="31" t="b">
        <v>1</v>
      </c>
    </row>
    <row r="33" ht="15.75" customHeight="1">
      <c r="A33" s="51">
        <v>16.0</v>
      </c>
      <c r="B33" s="59">
        <v>46283.0</v>
      </c>
      <c r="C33" s="39" t="s">
        <v>106</v>
      </c>
      <c r="D33" s="51">
        <v>2.0</v>
      </c>
      <c r="E33" s="42">
        <v>1250.0</v>
      </c>
      <c r="F33" s="50"/>
      <c r="G33" s="42" t="b">
        <v>1</v>
      </c>
      <c r="H33" s="8"/>
      <c r="I33" s="51">
        <v>16.0</v>
      </c>
      <c r="J33" s="52">
        <v>46283.0</v>
      </c>
      <c r="K33" s="28" t="s">
        <v>86</v>
      </c>
      <c r="L33" s="55">
        <v>2.0</v>
      </c>
      <c r="M33" s="31">
        <v>1600.0</v>
      </c>
      <c r="N33" s="30"/>
      <c r="O33" s="31" t="b">
        <v>1</v>
      </c>
      <c r="P33" s="8"/>
      <c r="Q33" s="50"/>
      <c r="R33" s="50"/>
      <c r="S33" s="28" t="s">
        <v>111</v>
      </c>
      <c r="T33" s="50"/>
      <c r="U33" s="42">
        <v>500.0</v>
      </c>
      <c r="V33" s="50"/>
      <c r="W33" s="42" t="b">
        <v>1</v>
      </c>
      <c r="X33" s="8"/>
      <c r="Y33" s="50"/>
      <c r="Z33" s="50"/>
      <c r="AA33" s="53"/>
      <c r="AB33" s="51" t="s">
        <v>112</v>
      </c>
      <c r="AC33" s="42">
        <v>400.0</v>
      </c>
      <c r="AD33" s="50"/>
      <c r="AE33" s="42" t="b">
        <v>1</v>
      </c>
    </row>
    <row r="34" ht="15.75" customHeight="1">
      <c r="A34" s="30"/>
      <c r="B34" s="44"/>
      <c r="C34" s="45"/>
      <c r="D34" s="67" t="s">
        <v>109</v>
      </c>
      <c r="E34" s="31">
        <v>300.0</v>
      </c>
      <c r="F34" s="30"/>
      <c r="G34" s="31" t="b">
        <v>1</v>
      </c>
      <c r="H34" s="8"/>
      <c r="I34" s="51">
        <v>17.0</v>
      </c>
      <c r="J34" s="68">
        <v>46284.0</v>
      </c>
      <c r="K34" s="39" t="s">
        <v>106</v>
      </c>
      <c r="L34" s="51">
        <v>2.0</v>
      </c>
      <c r="M34" s="42">
        <v>800.0</v>
      </c>
      <c r="N34" s="50"/>
      <c r="O34" s="42" t="b">
        <v>1</v>
      </c>
      <c r="P34" s="8"/>
      <c r="Q34" s="30"/>
      <c r="R34" s="30"/>
      <c r="S34" s="28" t="s">
        <v>106</v>
      </c>
      <c r="T34" s="30"/>
      <c r="U34" s="31">
        <v>100.0</v>
      </c>
      <c r="V34" s="30"/>
      <c r="W34" s="31" t="b">
        <v>1</v>
      </c>
      <c r="X34" s="8"/>
      <c r="Y34" s="30"/>
      <c r="Z34" s="30"/>
      <c r="AA34" s="28" t="s">
        <v>86</v>
      </c>
      <c r="AB34" s="55">
        <v>2.0</v>
      </c>
      <c r="AC34" s="31">
        <v>1250.0</v>
      </c>
      <c r="AD34" s="30"/>
      <c r="AE34" s="31" t="b">
        <v>1</v>
      </c>
    </row>
    <row r="35" ht="15.75" customHeight="1">
      <c r="A35" s="50"/>
      <c r="B35" s="62"/>
      <c r="C35" s="39" t="s">
        <v>86</v>
      </c>
      <c r="D35" s="51">
        <v>2.0</v>
      </c>
      <c r="E35" s="42">
        <v>300.0</v>
      </c>
      <c r="F35" s="50"/>
      <c r="G35" s="42" t="b">
        <v>1</v>
      </c>
      <c r="H35" s="8"/>
      <c r="I35" s="51">
        <v>18.0</v>
      </c>
      <c r="J35" s="68">
        <v>46286.0</v>
      </c>
      <c r="K35" s="28" t="s">
        <v>85</v>
      </c>
      <c r="L35" s="55">
        <v>2.0</v>
      </c>
      <c r="M35" s="31">
        <v>800.0</v>
      </c>
      <c r="N35" s="30"/>
      <c r="O35" s="31" t="b">
        <v>1</v>
      </c>
      <c r="P35" s="8"/>
      <c r="Q35" s="55">
        <v>18.0</v>
      </c>
      <c r="R35" s="69">
        <v>46288.0</v>
      </c>
      <c r="S35" s="28" t="s">
        <v>113</v>
      </c>
      <c r="T35" s="51">
        <v>2.0</v>
      </c>
      <c r="U35" s="42">
        <v>600.0</v>
      </c>
      <c r="V35" s="51">
        <v>12.0</v>
      </c>
      <c r="W35" s="42" t="b">
        <v>1</v>
      </c>
      <c r="X35" s="8"/>
      <c r="Y35" s="50"/>
      <c r="Z35" s="50"/>
      <c r="AA35" s="28" t="s">
        <v>108</v>
      </c>
      <c r="AB35" s="51">
        <v>2.0</v>
      </c>
      <c r="AC35" s="42">
        <v>150.0</v>
      </c>
      <c r="AD35" s="50"/>
      <c r="AE35" s="42" t="b">
        <v>1</v>
      </c>
    </row>
    <row r="36" ht="15.75" customHeight="1">
      <c r="A36" s="30"/>
      <c r="B36" s="44"/>
      <c r="C36" s="28" t="s">
        <v>108</v>
      </c>
      <c r="D36" s="55">
        <v>2.0</v>
      </c>
      <c r="E36" s="31">
        <v>50.0</v>
      </c>
      <c r="F36" s="30"/>
      <c r="G36" s="31" t="b">
        <v>1</v>
      </c>
      <c r="H36" s="8"/>
      <c r="I36" s="50"/>
      <c r="J36" s="50"/>
      <c r="K36" s="28" t="s">
        <v>73</v>
      </c>
      <c r="L36" s="50"/>
      <c r="M36" s="54"/>
      <c r="N36" s="50"/>
      <c r="O36" s="42" t="b">
        <v>0</v>
      </c>
      <c r="P36" s="8"/>
      <c r="Q36" s="30"/>
      <c r="R36" s="30"/>
      <c r="S36" s="28" t="s">
        <v>114</v>
      </c>
      <c r="T36" s="30"/>
      <c r="U36" s="31">
        <v>100.0</v>
      </c>
      <c r="V36" s="30"/>
      <c r="W36" s="31" t="b">
        <v>1</v>
      </c>
      <c r="X36" s="8"/>
      <c r="Y36" s="30"/>
      <c r="Z36" s="30"/>
      <c r="AA36" s="45"/>
      <c r="AB36" s="51" t="s">
        <v>112</v>
      </c>
      <c r="AC36" s="31">
        <v>100.0</v>
      </c>
      <c r="AD36" s="30"/>
      <c r="AE36" s="31" t="b">
        <v>1</v>
      </c>
    </row>
    <row r="37" ht="15.75" customHeight="1">
      <c r="A37" s="51">
        <v>17.0</v>
      </c>
      <c r="B37" s="68">
        <v>46284.0</v>
      </c>
      <c r="C37" s="39" t="s">
        <v>106</v>
      </c>
      <c r="D37" s="51">
        <v>2.0</v>
      </c>
      <c r="E37" s="42">
        <v>800.0</v>
      </c>
      <c r="F37" s="50"/>
      <c r="G37" s="42" t="b">
        <v>1</v>
      </c>
      <c r="H37" s="8"/>
      <c r="I37" s="30"/>
      <c r="J37" s="30"/>
      <c r="K37" s="28" t="s">
        <v>77</v>
      </c>
      <c r="L37" s="30"/>
      <c r="M37" s="56"/>
      <c r="N37" s="30"/>
      <c r="O37" s="31" t="b">
        <v>0</v>
      </c>
      <c r="P37" s="8"/>
      <c r="Q37" s="50"/>
      <c r="R37" s="50"/>
      <c r="S37" s="28" t="s">
        <v>115</v>
      </c>
      <c r="T37" s="50"/>
      <c r="U37" s="42">
        <v>200.0</v>
      </c>
      <c r="V37" s="50"/>
      <c r="W37" s="42" t="b">
        <v>1</v>
      </c>
      <c r="X37" s="8"/>
      <c r="Y37" s="51">
        <v>17.0</v>
      </c>
      <c r="Z37" s="68">
        <v>46284.0</v>
      </c>
      <c r="AA37" s="39" t="s">
        <v>110</v>
      </c>
      <c r="AB37" s="51">
        <v>2.0</v>
      </c>
      <c r="AC37" s="42">
        <v>800.0</v>
      </c>
      <c r="AD37" s="50"/>
      <c r="AE37" s="42" t="b">
        <v>1</v>
      </c>
    </row>
    <row r="38" ht="15.75" customHeight="1">
      <c r="A38" s="30"/>
      <c r="B38" s="44"/>
      <c r="C38" s="45"/>
      <c r="D38" s="67" t="s">
        <v>109</v>
      </c>
      <c r="E38" s="31">
        <v>200.0</v>
      </c>
      <c r="F38" s="30"/>
      <c r="G38" s="31" t="b">
        <v>1</v>
      </c>
      <c r="H38" s="8"/>
      <c r="I38" s="50"/>
      <c r="J38" s="50"/>
      <c r="K38" s="28" t="s">
        <v>88</v>
      </c>
      <c r="L38" s="50"/>
      <c r="M38" s="54"/>
      <c r="N38" s="50"/>
      <c r="O38" s="42" t="b">
        <v>0</v>
      </c>
      <c r="P38" s="8"/>
      <c r="Q38" s="55">
        <v>19.0</v>
      </c>
      <c r="R38" s="69">
        <v>46289.0</v>
      </c>
      <c r="S38" s="28" t="s">
        <v>114</v>
      </c>
      <c r="T38" s="55">
        <v>2.0</v>
      </c>
      <c r="U38" s="31">
        <v>400.0</v>
      </c>
      <c r="V38" s="30"/>
      <c r="W38" s="31" t="b">
        <v>1</v>
      </c>
      <c r="X38" s="8"/>
      <c r="Y38" s="30"/>
      <c r="Z38" s="30"/>
      <c r="AA38" s="28" t="s">
        <v>108</v>
      </c>
      <c r="AB38" s="30"/>
      <c r="AC38" s="56"/>
      <c r="AD38" s="30"/>
      <c r="AE38" s="31" t="b">
        <v>0</v>
      </c>
    </row>
    <row r="39" ht="15.75" customHeight="1">
      <c r="A39" s="51">
        <v>18.0</v>
      </c>
      <c r="B39" s="68">
        <v>46286.0</v>
      </c>
      <c r="C39" s="39" t="s">
        <v>73</v>
      </c>
      <c r="D39" s="51">
        <v>2.0</v>
      </c>
      <c r="E39" s="42">
        <v>500.0</v>
      </c>
      <c r="F39" s="50"/>
      <c r="G39" s="42" t="b">
        <v>1</v>
      </c>
      <c r="H39" s="8"/>
      <c r="I39" s="30"/>
      <c r="J39" s="30"/>
      <c r="K39" s="28" t="s">
        <v>78</v>
      </c>
      <c r="L39" s="30"/>
      <c r="M39" s="56"/>
      <c r="N39" s="30"/>
      <c r="O39" s="31" t="b">
        <v>0</v>
      </c>
      <c r="P39" s="8"/>
      <c r="Q39" s="50"/>
      <c r="R39" s="50"/>
      <c r="S39" s="39" t="s">
        <v>102</v>
      </c>
      <c r="T39" s="50"/>
      <c r="U39" s="42">
        <v>800.0</v>
      </c>
      <c r="V39" s="50"/>
      <c r="W39" s="42" t="b">
        <v>1</v>
      </c>
      <c r="X39" s="8"/>
      <c r="Y39" s="50"/>
      <c r="Z39" s="50"/>
      <c r="AA39" s="39" t="s">
        <v>110</v>
      </c>
      <c r="AB39" s="51" t="s">
        <v>112</v>
      </c>
      <c r="AC39" s="42">
        <v>300.0</v>
      </c>
      <c r="AD39" s="50"/>
      <c r="AE39" s="42" t="b">
        <v>1</v>
      </c>
    </row>
    <row r="40" ht="15.75" customHeight="1">
      <c r="A40" s="30"/>
      <c r="B40" s="44"/>
      <c r="C40" s="39" t="s">
        <v>77</v>
      </c>
      <c r="D40" s="30"/>
      <c r="E40" s="31">
        <v>300.0</v>
      </c>
      <c r="F40" s="30"/>
      <c r="G40" s="31" t="b">
        <v>1</v>
      </c>
      <c r="H40" s="8"/>
      <c r="I40" s="50"/>
      <c r="J40" s="50"/>
      <c r="K40" s="28" t="s">
        <v>116</v>
      </c>
      <c r="L40" s="50"/>
      <c r="M40" s="54"/>
      <c r="N40" s="50"/>
      <c r="O40" s="42" t="b">
        <v>0</v>
      </c>
      <c r="P40" s="8"/>
      <c r="Q40" s="55">
        <v>20.0</v>
      </c>
      <c r="R40" s="69">
        <v>46290.0</v>
      </c>
      <c r="S40" s="39" t="s">
        <v>73</v>
      </c>
      <c r="T40" s="55">
        <v>2.0</v>
      </c>
      <c r="U40" s="31">
        <v>800.0</v>
      </c>
      <c r="V40" s="30"/>
      <c r="W40" s="31" t="b">
        <v>1</v>
      </c>
      <c r="X40" s="8"/>
      <c r="Y40" s="51">
        <v>18.0</v>
      </c>
      <c r="Z40" s="68">
        <v>46286.0</v>
      </c>
      <c r="AA40" s="39" t="s">
        <v>110</v>
      </c>
      <c r="AB40" s="55">
        <v>1.5</v>
      </c>
      <c r="AC40" s="31">
        <v>1000.0</v>
      </c>
      <c r="AD40" s="30"/>
      <c r="AE40" s="31" t="b">
        <v>1</v>
      </c>
    </row>
    <row r="41" ht="15.75" customHeight="1">
      <c r="A41" s="50"/>
      <c r="B41" s="62"/>
      <c r="C41" s="39" t="s">
        <v>77</v>
      </c>
      <c r="D41" s="67" t="s">
        <v>109</v>
      </c>
      <c r="E41" s="42">
        <v>200.0</v>
      </c>
      <c r="F41" s="50"/>
      <c r="G41" s="42" t="b">
        <v>1</v>
      </c>
      <c r="H41" s="8"/>
      <c r="I41" s="55">
        <v>19.0</v>
      </c>
      <c r="J41" s="69">
        <v>46287.0</v>
      </c>
      <c r="K41" s="28" t="s">
        <v>117</v>
      </c>
      <c r="L41" s="55">
        <v>2.0</v>
      </c>
      <c r="M41" s="31">
        <v>950.0</v>
      </c>
      <c r="N41" s="55">
        <v>40.0</v>
      </c>
      <c r="O41" s="31" t="b">
        <v>1</v>
      </c>
      <c r="P41" s="8"/>
      <c r="Q41" s="55">
        <v>21.0</v>
      </c>
      <c r="R41" s="69">
        <v>46291.0</v>
      </c>
      <c r="S41" s="28" t="s">
        <v>106</v>
      </c>
      <c r="T41" s="55">
        <v>2.0</v>
      </c>
      <c r="U41" s="42">
        <v>1600.0</v>
      </c>
      <c r="V41" s="51">
        <v>12.0</v>
      </c>
      <c r="W41" s="42" t="b">
        <v>1</v>
      </c>
      <c r="X41" s="8"/>
      <c r="Y41" s="50"/>
      <c r="Z41" s="50"/>
      <c r="AA41" s="28" t="s">
        <v>108</v>
      </c>
      <c r="AB41" s="50"/>
      <c r="AC41" s="42">
        <v>200.0</v>
      </c>
      <c r="AD41" s="50"/>
      <c r="AE41" s="42" t="b">
        <v>1</v>
      </c>
    </row>
    <row r="42" ht="15.75" customHeight="1">
      <c r="A42" s="55">
        <v>19.0</v>
      </c>
      <c r="B42" s="69">
        <v>46287.0</v>
      </c>
      <c r="C42" s="28" t="s">
        <v>117</v>
      </c>
      <c r="D42" s="55">
        <v>1.0</v>
      </c>
      <c r="E42" s="31">
        <v>750.0</v>
      </c>
      <c r="F42" s="55">
        <v>35.0</v>
      </c>
      <c r="G42" s="31" t="b">
        <v>1</v>
      </c>
      <c r="H42" s="8"/>
      <c r="I42" s="50"/>
      <c r="J42" s="50"/>
      <c r="K42" s="39" t="s">
        <v>118</v>
      </c>
      <c r="L42" s="50"/>
      <c r="M42" s="42">
        <v>300.0</v>
      </c>
      <c r="N42" s="50"/>
      <c r="O42" s="42" t="b">
        <v>1</v>
      </c>
      <c r="P42" s="8"/>
      <c r="Q42" s="55">
        <v>22.0</v>
      </c>
      <c r="R42" s="69">
        <v>46293.0</v>
      </c>
      <c r="S42" s="39" t="s">
        <v>119</v>
      </c>
      <c r="T42" s="55">
        <v>2.0</v>
      </c>
      <c r="U42" s="56"/>
      <c r="V42" s="30"/>
      <c r="W42" s="61" t="b">
        <v>0</v>
      </c>
      <c r="X42" s="8"/>
      <c r="Y42" s="30"/>
      <c r="Z42" s="30"/>
      <c r="AA42" s="28" t="s">
        <v>80</v>
      </c>
      <c r="AB42" s="51" t="s">
        <v>112</v>
      </c>
      <c r="AC42" s="31">
        <v>500.0</v>
      </c>
      <c r="AD42" s="30"/>
      <c r="AE42" s="31" t="b">
        <v>1</v>
      </c>
    </row>
    <row r="43" ht="15.75" customHeight="1">
      <c r="A43" s="50"/>
      <c r="B43" s="62"/>
      <c r="C43" s="53"/>
      <c r="D43" s="67" t="s">
        <v>109</v>
      </c>
      <c r="E43" s="42">
        <v>400.0</v>
      </c>
      <c r="F43" s="51">
        <v>15.0</v>
      </c>
      <c r="G43" s="42" t="b">
        <v>1</v>
      </c>
      <c r="H43" s="8"/>
      <c r="I43" s="55">
        <v>20.0</v>
      </c>
      <c r="J43" s="69">
        <v>46288.0</v>
      </c>
      <c r="K43" s="28" t="s">
        <v>113</v>
      </c>
      <c r="L43" s="55">
        <v>2.0</v>
      </c>
      <c r="M43" s="31">
        <v>800.0</v>
      </c>
      <c r="N43" s="55">
        <v>10.0</v>
      </c>
      <c r="O43" s="31" t="b">
        <v>1</v>
      </c>
      <c r="P43" s="8"/>
      <c r="Q43" s="50"/>
      <c r="R43" s="50"/>
      <c r="S43" s="39" t="s">
        <v>120</v>
      </c>
      <c r="T43" s="50"/>
      <c r="U43" s="42">
        <v>100.0</v>
      </c>
      <c r="V43" s="50"/>
      <c r="W43" s="42" t="b">
        <v>1</v>
      </c>
      <c r="X43" s="8"/>
      <c r="Y43" s="55">
        <v>19.0</v>
      </c>
      <c r="Z43" s="69">
        <v>46288.0</v>
      </c>
      <c r="AA43" s="28" t="s">
        <v>113</v>
      </c>
      <c r="AB43" s="51">
        <v>2.0</v>
      </c>
      <c r="AC43" s="42">
        <v>700.0</v>
      </c>
      <c r="AD43" s="51">
        <v>14.0</v>
      </c>
      <c r="AE43" s="42" t="b">
        <v>1</v>
      </c>
    </row>
    <row r="44" ht="15.75" customHeight="1">
      <c r="A44" s="55">
        <v>20.0</v>
      </c>
      <c r="B44" s="69">
        <v>46288.0</v>
      </c>
      <c r="C44" s="28" t="s">
        <v>113</v>
      </c>
      <c r="D44" s="55">
        <v>2.0</v>
      </c>
      <c r="E44" s="31">
        <v>500.0</v>
      </c>
      <c r="F44" s="55">
        <v>20.0</v>
      </c>
      <c r="G44" s="31" t="b">
        <v>1</v>
      </c>
      <c r="H44" s="8"/>
      <c r="I44" s="55">
        <v>21.0</v>
      </c>
      <c r="J44" s="69">
        <v>46289.0</v>
      </c>
      <c r="K44" s="28" t="s">
        <v>114</v>
      </c>
      <c r="L44" s="51">
        <v>2.0</v>
      </c>
      <c r="M44" s="42">
        <v>500.0</v>
      </c>
      <c r="N44" s="50"/>
      <c r="O44" s="42" t="b">
        <v>1</v>
      </c>
      <c r="P44" s="8"/>
      <c r="Q44" s="30"/>
      <c r="R44" s="30"/>
      <c r="S44" s="28" t="s">
        <v>121</v>
      </c>
      <c r="T44" s="30"/>
      <c r="U44" s="31">
        <v>300.0</v>
      </c>
      <c r="V44" s="30"/>
      <c r="W44" s="31" t="b">
        <v>1</v>
      </c>
      <c r="X44" s="8"/>
      <c r="Y44" s="30"/>
      <c r="Z44" s="30"/>
      <c r="AA44" s="28"/>
      <c r="AB44" s="51" t="s">
        <v>112</v>
      </c>
      <c r="AC44" s="31">
        <v>300.0</v>
      </c>
      <c r="AD44" s="30"/>
      <c r="AE44" s="31" t="b">
        <v>1</v>
      </c>
    </row>
    <row r="45" ht="15.75" customHeight="1">
      <c r="A45" s="30"/>
      <c r="B45" s="44"/>
      <c r="C45" s="45"/>
      <c r="D45" s="67" t="s">
        <v>109</v>
      </c>
      <c r="E45" s="31">
        <v>200.0</v>
      </c>
      <c r="F45" s="30"/>
      <c r="G45" s="31" t="b">
        <v>1</v>
      </c>
      <c r="H45" s="8"/>
      <c r="I45" s="50"/>
      <c r="J45" s="50"/>
      <c r="K45" s="39" t="s">
        <v>88</v>
      </c>
      <c r="L45" s="50"/>
      <c r="M45" s="42">
        <v>300.0</v>
      </c>
      <c r="N45" s="50"/>
      <c r="O45" s="42" t="b">
        <v>1</v>
      </c>
      <c r="P45" s="8"/>
      <c r="Q45" s="55">
        <v>23.0</v>
      </c>
      <c r="R45" s="69">
        <v>46294.0</v>
      </c>
      <c r="S45" s="28" t="s">
        <v>102</v>
      </c>
      <c r="T45" s="55">
        <v>2.0</v>
      </c>
      <c r="U45" s="31">
        <v>1600.0</v>
      </c>
      <c r="V45" s="30"/>
      <c r="W45" s="31" t="b">
        <v>1</v>
      </c>
      <c r="X45" s="8"/>
      <c r="Y45" s="30"/>
      <c r="Z45" s="30"/>
      <c r="AA45" s="28" t="s">
        <v>115</v>
      </c>
      <c r="AB45" s="51">
        <v>2.0</v>
      </c>
      <c r="AC45" s="31">
        <v>200.0</v>
      </c>
      <c r="AD45" s="30"/>
      <c r="AE45" s="31" t="b">
        <v>1</v>
      </c>
    </row>
    <row r="46" ht="15.75" customHeight="1">
      <c r="A46" s="30"/>
      <c r="B46" s="44"/>
      <c r="C46" s="28" t="s">
        <v>77</v>
      </c>
      <c r="D46" s="30"/>
      <c r="E46" s="31">
        <v>50.0</v>
      </c>
      <c r="F46" s="30"/>
      <c r="G46" s="31" t="b">
        <v>1</v>
      </c>
      <c r="H46" s="8"/>
      <c r="I46" s="55">
        <v>22.0</v>
      </c>
      <c r="J46" s="69">
        <v>46290.0</v>
      </c>
      <c r="K46" s="39" t="s">
        <v>119</v>
      </c>
      <c r="L46" s="51">
        <v>1.0</v>
      </c>
      <c r="M46" s="42">
        <v>200.0</v>
      </c>
      <c r="N46" s="50"/>
      <c r="O46" s="42" t="b">
        <v>1</v>
      </c>
      <c r="P46" s="8"/>
      <c r="Q46" s="55">
        <v>24.0</v>
      </c>
      <c r="R46" s="69">
        <v>46295.0</v>
      </c>
      <c r="S46" s="28" t="s">
        <v>111</v>
      </c>
      <c r="T46" s="55">
        <v>2.0</v>
      </c>
      <c r="U46" s="31">
        <v>1053.0</v>
      </c>
      <c r="V46" s="30"/>
      <c r="W46" s="61" t="b">
        <v>0</v>
      </c>
      <c r="X46" s="8"/>
      <c r="Y46" s="55">
        <v>20.0</v>
      </c>
      <c r="Z46" s="69">
        <v>46289.0</v>
      </c>
      <c r="AA46" s="28" t="s">
        <v>114</v>
      </c>
      <c r="AB46" s="55">
        <v>2.0</v>
      </c>
      <c r="AC46" s="31">
        <v>500.0</v>
      </c>
      <c r="AD46" s="30"/>
      <c r="AE46" s="31" t="b">
        <v>1</v>
      </c>
    </row>
    <row r="47" ht="15.75" customHeight="1">
      <c r="A47" s="30"/>
      <c r="B47" s="44"/>
      <c r="C47" s="28" t="s">
        <v>88</v>
      </c>
      <c r="D47" s="30"/>
      <c r="E47" s="31">
        <v>50.0</v>
      </c>
      <c r="F47" s="30"/>
      <c r="G47" s="31" t="b">
        <v>1</v>
      </c>
      <c r="H47" s="8"/>
      <c r="I47" s="55">
        <v>23.0</v>
      </c>
      <c r="J47" s="69">
        <v>46291.0</v>
      </c>
      <c r="K47" s="28" t="s">
        <v>106</v>
      </c>
      <c r="L47" s="51">
        <v>1.0</v>
      </c>
      <c r="M47" s="42">
        <v>800.0</v>
      </c>
      <c r="N47" s="51">
        <v>6.0</v>
      </c>
      <c r="O47" s="42" t="b">
        <v>1</v>
      </c>
      <c r="P47" s="8"/>
      <c r="Q47" s="30"/>
      <c r="R47" s="30"/>
      <c r="S47" s="28" t="s">
        <v>93</v>
      </c>
      <c r="T47" s="30"/>
      <c r="U47" s="31">
        <v>400.0</v>
      </c>
      <c r="V47" s="30"/>
      <c r="W47" s="61" t="b">
        <v>0</v>
      </c>
      <c r="X47" s="8"/>
      <c r="Y47" s="30"/>
      <c r="Z47" s="30"/>
      <c r="AA47" s="39" t="s">
        <v>102</v>
      </c>
      <c r="AB47" s="30"/>
      <c r="AC47" s="31">
        <v>600.0</v>
      </c>
      <c r="AD47" s="30"/>
      <c r="AE47" s="31" t="b">
        <v>1</v>
      </c>
    </row>
    <row r="48" ht="15.75" customHeight="1">
      <c r="A48" s="30"/>
      <c r="B48" s="44"/>
      <c r="C48" s="28" t="s">
        <v>122</v>
      </c>
      <c r="D48" s="30"/>
      <c r="E48" s="31">
        <v>200.0</v>
      </c>
      <c r="F48" s="30"/>
      <c r="G48" s="31" t="b">
        <v>1</v>
      </c>
      <c r="H48" s="8"/>
      <c r="I48" s="55">
        <v>24.0</v>
      </c>
      <c r="J48" s="69">
        <v>46293.0</v>
      </c>
      <c r="K48" s="39" t="s">
        <v>120</v>
      </c>
      <c r="L48" s="51">
        <v>2.0</v>
      </c>
      <c r="M48" s="42">
        <v>100.0</v>
      </c>
      <c r="N48" s="50"/>
      <c r="O48" s="42" t="b">
        <v>1</v>
      </c>
      <c r="P48" s="8"/>
      <c r="Q48" s="30"/>
      <c r="R48" s="30"/>
      <c r="S48" s="28" t="s">
        <v>103</v>
      </c>
      <c r="T48" s="30"/>
      <c r="U48" s="31">
        <v>200.0</v>
      </c>
      <c r="V48" s="30"/>
      <c r="W48" s="61" t="b">
        <v>0</v>
      </c>
      <c r="X48" s="8"/>
      <c r="Y48" s="30"/>
      <c r="Z48" s="30"/>
      <c r="AA48" s="39" t="s">
        <v>73</v>
      </c>
      <c r="AB48" s="51" t="s">
        <v>112</v>
      </c>
      <c r="AC48" s="31">
        <v>300.0</v>
      </c>
      <c r="AD48" s="30"/>
      <c r="AE48" s="31" t="b">
        <v>1</v>
      </c>
    </row>
    <row r="49" ht="15.75" customHeight="1">
      <c r="A49" s="55">
        <v>21.0</v>
      </c>
      <c r="B49" s="69">
        <v>46289.0</v>
      </c>
      <c r="C49" s="39" t="s">
        <v>73</v>
      </c>
      <c r="D49" s="55">
        <v>2.0</v>
      </c>
      <c r="E49" s="31">
        <v>500.0</v>
      </c>
      <c r="F49" s="30"/>
      <c r="G49" s="31" t="b">
        <v>1</v>
      </c>
      <c r="H49" s="8"/>
      <c r="I49" s="50"/>
      <c r="J49" s="50"/>
      <c r="K49" s="39" t="s">
        <v>123</v>
      </c>
      <c r="L49" s="50"/>
      <c r="M49" s="42">
        <v>700.0</v>
      </c>
      <c r="N49" s="50"/>
      <c r="O49" s="42" t="b">
        <v>1</v>
      </c>
      <c r="P49" s="8"/>
      <c r="Q49" s="30"/>
      <c r="R49" s="30"/>
      <c r="S49" s="45"/>
      <c r="T49" s="30"/>
      <c r="U49" s="56"/>
      <c r="V49" s="30"/>
      <c r="W49" s="61" t="b">
        <v>0</v>
      </c>
      <c r="X49" s="8"/>
      <c r="Y49" s="55">
        <v>21.0</v>
      </c>
      <c r="Z49" s="69">
        <v>46290.0</v>
      </c>
      <c r="AA49" s="39" t="s">
        <v>73</v>
      </c>
      <c r="AB49" s="55">
        <v>2.0</v>
      </c>
      <c r="AC49" s="31">
        <v>800.0</v>
      </c>
      <c r="AD49" s="30"/>
      <c r="AE49" s="31" t="b">
        <v>1</v>
      </c>
    </row>
    <row r="50" ht="15.75" customHeight="1">
      <c r="A50" s="30"/>
      <c r="B50" s="44"/>
      <c r="C50" s="39" t="s">
        <v>73</v>
      </c>
      <c r="D50" s="67" t="s">
        <v>109</v>
      </c>
      <c r="E50" s="31">
        <v>200.0</v>
      </c>
      <c r="F50" s="30"/>
      <c r="G50" s="31" t="b">
        <v>1</v>
      </c>
      <c r="H50" s="8"/>
      <c r="I50" s="55">
        <v>25.0</v>
      </c>
      <c r="J50" s="69">
        <v>46294.0</v>
      </c>
      <c r="K50" s="39" t="s">
        <v>102</v>
      </c>
      <c r="L50" s="51">
        <v>2.0</v>
      </c>
      <c r="M50" s="54"/>
      <c r="N50" s="50"/>
      <c r="O50" s="60" t="b">
        <v>0</v>
      </c>
      <c r="P50" s="8"/>
      <c r="Q50" s="30"/>
      <c r="R50" s="30"/>
      <c r="S50" s="45"/>
      <c r="T50" s="30"/>
      <c r="U50" s="56"/>
      <c r="V50" s="30"/>
      <c r="W50" s="61" t="b">
        <v>0</v>
      </c>
      <c r="X50" s="8"/>
      <c r="Y50" s="30"/>
      <c r="Z50" s="30"/>
      <c r="AA50" s="45"/>
      <c r="AB50" s="51" t="s">
        <v>112</v>
      </c>
      <c r="AC50" s="31">
        <v>300.0</v>
      </c>
      <c r="AD50" s="30"/>
      <c r="AE50" s="31" t="b">
        <v>1</v>
      </c>
    </row>
    <row r="51" ht="15.75" customHeight="1">
      <c r="A51" s="30"/>
      <c r="B51" s="44"/>
      <c r="C51" s="39" t="s">
        <v>88</v>
      </c>
      <c r="D51" s="55">
        <v>2.0</v>
      </c>
      <c r="E51" s="31">
        <v>100.0</v>
      </c>
      <c r="F51" s="30"/>
      <c r="G51" s="31" t="b">
        <v>1</v>
      </c>
      <c r="H51" s="8"/>
      <c r="I51" s="50"/>
      <c r="J51" s="50"/>
      <c r="K51" s="39" t="s">
        <v>124</v>
      </c>
      <c r="L51" s="50"/>
      <c r="M51" s="42">
        <v>1550.0</v>
      </c>
      <c r="N51" s="50"/>
      <c r="O51" s="42" t="b">
        <v>1</v>
      </c>
      <c r="P51" s="8"/>
      <c r="Q51" s="30"/>
      <c r="R51" s="30"/>
      <c r="S51" s="45"/>
      <c r="T51" s="30"/>
      <c r="U51" s="56"/>
      <c r="V51" s="30"/>
      <c r="W51" s="61" t="b">
        <v>0</v>
      </c>
      <c r="X51" s="8"/>
      <c r="Y51" s="55">
        <v>22.0</v>
      </c>
      <c r="Z51" s="69">
        <v>46291.0</v>
      </c>
      <c r="AA51" s="28" t="s">
        <v>106</v>
      </c>
      <c r="AB51" s="55">
        <v>2.0</v>
      </c>
      <c r="AC51" s="31">
        <v>1600.0</v>
      </c>
      <c r="AD51" s="55">
        <v>8.0</v>
      </c>
      <c r="AE51" s="31" t="b">
        <v>1</v>
      </c>
    </row>
    <row r="52" ht="15.75" customHeight="1">
      <c r="A52" s="30"/>
      <c r="B52" s="44"/>
      <c r="C52" s="28" t="s">
        <v>125</v>
      </c>
      <c r="D52" s="30"/>
      <c r="E52" s="56"/>
      <c r="F52" s="30"/>
      <c r="G52" s="31" t="b">
        <v>0</v>
      </c>
      <c r="H52" s="8"/>
      <c r="I52" s="55">
        <v>26.0</v>
      </c>
      <c r="J52" s="69">
        <v>46295.0</v>
      </c>
      <c r="K52" s="39" t="s">
        <v>111</v>
      </c>
      <c r="L52" s="51">
        <v>2.0</v>
      </c>
      <c r="M52" s="42">
        <v>1050.0</v>
      </c>
      <c r="N52" s="50"/>
      <c r="O52" s="60" t="b">
        <v>0</v>
      </c>
      <c r="P52" s="8"/>
      <c r="Q52" s="30"/>
      <c r="R52" s="30"/>
      <c r="S52" s="45"/>
      <c r="T52" s="30"/>
      <c r="U52" s="56"/>
      <c r="V52" s="30"/>
      <c r="W52" s="61" t="b">
        <v>0</v>
      </c>
      <c r="X52" s="8"/>
      <c r="Y52" s="30"/>
      <c r="Z52" s="30"/>
      <c r="AA52" s="45"/>
      <c r="AB52" s="51" t="s">
        <v>112</v>
      </c>
      <c r="AC52" s="31">
        <v>600.0</v>
      </c>
      <c r="AD52" s="55">
        <v>6.0</v>
      </c>
      <c r="AE52" s="31" t="b">
        <v>1</v>
      </c>
    </row>
    <row r="53" ht="15.75" customHeight="1">
      <c r="A53" s="55">
        <v>22.0</v>
      </c>
      <c r="B53" s="69">
        <v>46290.0</v>
      </c>
      <c r="C53" s="39" t="s">
        <v>73</v>
      </c>
      <c r="D53" s="55">
        <v>2.0</v>
      </c>
      <c r="E53" s="31">
        <v>800.0</v>
      </c>
      <c r="F53" s="30"/>
      <c r="G53" s="31" t="b">
        <v>1</v>
      </c>
      <c r="H53" s="8"/>
      <c r="I53" s="50"/>
      <c r="J53" s="50"/>
      <c r="K53" s="39" t="s">
        <v>126</v>
      </c>
      <c r="L53" s="50"/>
      <c r="M53" s="42">
        <v>500.0</v>
      </c>
      <c r="N53" s="50"/>
      <c r="O53" s="60" t="b">
        <v>0</v>
      </c>
      <c r="P53" s="8"/>
      <c r="Q53" s="30"/>
      <c r="R53" s="30"/>
      <c r="S53" s="45"/>
      <c r="T53" s="30"/>
      <c r="U53" s="56"/>
      <c r="V53" s="30"/>
      <c r="W53" s="61" t="b">
        <v>0</v>
      </c>
      <c r="X53" s="8"/>
      <c r="Y53" s="55">
        <v>23.0</v>
      </c>
      <c r="Z53" s="69">
        <v>46293.0</v>
      </c>
      <c r="AA53" s="39" t="s">
        <v>119</v>
      </c>
      <c r="AB53" s="55">
        <v>2.0</v>
      </c>
      <c r="AC53" s="56"/>
      <c r="AD53" s="30"/>
      <c r="AE53" s="61" t="b">
        <v>0</v>
      </c>
    </row>
    <row r="54" ht="15.75" customHeight="1">
      <c r="A54" s="30"/>
      <c r="B54" s="44"/>
      <c r="C54" s="45"/>
      <c r="D54" s="67" t="s">
        <v>109</v>
      </c>
      <c r="E54" s="31">
        <v>300.0</v>
      </c>
      <c r="F54" s="30"/>
      <c r="G54" s="31" t="b">
        <v>1</v>
      </c>
      <c r="H54" s="8"/>
      <c r="I54" s="50"/>
      <c r="J54" s="50"/>
      <c r="K54" s="53"/>
      <c r="L54" s="50"/>
      <c r="M54" s="54"/>
      <c r="N54" s="50"/>
      <c r="O54" s="60" t="b">
        <v>0</v>
      </c>
      <c r="P54" s="8"/>
      <c r="Q54" s="30"/>
      <c r="R54" s="30"/>
      <c r="S54" s="45"/>
      <c r="T54" s="30"/>
      <c r="U54" s="56"/>
      <c r="V54" s="30"/>
      <c r="W54" s="61" t="b">
        <v>0</v>
      </c>
      <c r="X54" s="8"/>
      <c r="Y54" s="30"/>
      <c r="Z54" s="30"/>
      <c r="AA54" s="45"/>
      <c r="AB54" s="51" t="s">
        <v>112</v>
      </c>
      <c r="AC54" s="56"/>
      <c r="AD54" s="30"/>
      <c r="AE54" s="61" t="b">
        <v>0</v>
      </c>
    </row>
    <row r="55" ht="15.75" customHeight="1">
      <c r="A55" s="55">
        <v>23.0</v>
      </c>
      <c r="B55" s="69">
        <v>46291.0</v>
      </c>
      <c r="C55" s="28" t="s">
        <v>106</v>
      </c>
      <c r="D55" s="55">
        <v>2.0</v>
      </c>
      <c r="E55" s="31">
        <v>1600.0</v>
      </c>
      <c r="F55" s="55">
        <v>8.0</v>
      </c>
      <c r="G55" s="31" t="b">
        <v>1</v>
      </c>
      <c r="H55" s="8"/>
      <c r="I55" s="50"/>
      <c r="J55" s="50"/>
      <c r="K55" s="53"/>
      <c r="L55" s="50"/>
      <c r="M55" s="54"/>
      <c r="N55" s="50"/>
      <c r="O55" s="60" t="b">
        <v>0</v>
      </c>
      <c r="P55" s="8"/>
      <c r="Q55" s="30"/>
      <c r="R55" s="30"/>
      <c r="S55" s="45"/>
      <c r="T55" s="30"/>
      <c r="U55" s="56"/>
      <c r="V55" s="30"/>
      <c r="W55" s="61" t="b">
        <v>0</v>
      </c>
      <c r="X55" s="8"/>
      <c r="Y55" s="55">
        <v>24.0</v>
      </c>
      <c r="Z55" s="69">
        <v>46294.0</v>
      </c>
      <c r="AA55" s="39" t="s">
        <v>119</v>
      </c>
      <c r="AB55" s="55">
        <v>2.0</v>
      </c>
      <c r="AC55" s="56"/>
      <c r="AD55" s="30"/>
      <c r="AE55" s="61" t="b">
        <v>0</v>
      </c>
    </row>
    <row r="56" ht="15.75" customHeight="1">
      <c r="A56" s="30"/>
      <c r="B56" s="44"/>
      <c r="C56" s="45"/>
      <c r="D56" s="67" t="s">
        <v>109</v>
      </c>
      <c r="E56" s="31">
        <v>450.0</v>
      </c>
      <c r="F56" s="55">
        <v>6.0</v>
      </c>
      <c r="G56" s="31" t="b">
        <v>1</v>
      </c>
      <c r="H56" s="8"/>
      <c r="I56" s="50"/>
      <c r="J56" s="50"/>
      <c r="K56" s="53"/>
      <c r="L56" s="50"/>
      <c r="M56" s="54"/>
      <c r="N56" s="50"/>
      <c r="O56" s="60" t="b">
        <v>0</v>
      </c>
      <c r="P56" s="8"/>
      <c r="Q56" s="30"/>
      <c r="R56" s="30"/>
      <c r="S56" s="45"/>
      <c r="T56" s="30"/>
      <c r="U56" s="56"/>
      <c r="V56" s="30"/>
      <c r="W56" s="61" t="b">
        <v>0</v>
      </c>
      <c r="X56" s="8"/>
      <c r="Y56" s="30"/>
      <c r="Z56" s="30"/>
      <c r="AA56" s="28" t="s">
        <v>102</v>
      </c>
      <c r="AB56" s="51" t="s">
        <v>112</v>
      </c>
      <c r="AC56" s="31">
        <v>600.0</v>
      </c>
      <c r="AD56" s="30"/>
      <c r="AE56" s="31" t="b">
        <v>1</v>
      </c>
    </row>
    <row r="57" ht="15.75" customHeight="1">
      <c r="A57" s="55">
        <v>24.0</v>
      </c>
      <c r="B57" s="69">
        <v>46293.0</v>
      </c>
      <c r="C57" s="28" t="s">
        <v>123</v>
      </c>
      <c r="D57" s="55">
        <v>2.0</v>
      </c>
      <c r="E57" s="31">
        <v>800.0</v>
      </c>
      <c r="F57" s="30"/>
      <c r="G57" s="31" t="b">
        <v>1</v>
      </c>
      <c r="H57" s="8"/>
      <c r="I57" s="50"/>
      <c r="J57" s="50"/>
      <c r="K57" s="53"/>
      <c r="L57" s="50"/>
      <c r="M57" s="54"/>
      <c r="N57" s="50"/>
      <c r="O57" s="60" t="b">
        <v>0</v>
      </c>
      <c r="P57" s="8"/>
      <c r="Q57" s="30"/>
      <c r="R57" s="30"/>
      <c r="S57" s="45"/>
      <c r="T57" s="30"/>
      <c r="U57" s="56"/>
      <c r="V57" s="30"/>
      <c r="W57" s="61" t="b">
        <v>0</v>
      </c>
      <c r="X57" s="8"/>
      <c r="Y57" s="55">
        <v>25.0</v>
      </c>
      <c r="Z57" s="69">
        <v>46295.0</v>
      </c>
      <c r="AA57" s="28" t="s">
        <v>80</v>
      </c>
      <c r="AB57" s="55">
        <v>2.0</v>
      </c>
      <c r="AC57" s="31">
        <v>1050.0</v>
      </c>
      <c r="AD57" s="30"/>
      <c r="AE57" s="61" t="b">
        <v>0</v>
      </c>
    </row>
    <row r="58" ht="15.75" customHeight="1">
      <c r="A58" s="30"/>
      <c r="B58" s="44"/>
      <c r="C58" s="28" t="s">
        <v>80</v>
      </c>
      <c r="D58" s="67" t="s">
        <v>109</v>
      </c>
      <c r="E58" s="31">
        <v>500.0</v>
      </c>
      <c r="F58" s="30"/>
      <c r="G58" s="31" t="b">
        <v>1</v>
      </c>
      <c r="H58" s="8"/>
      <c r="I58" s="50"/>
      <c r="J58" s="50"/>
      <c r="K58" s="53"/>
      <c r="L58" s="50"/>
      <c r="M58" s="54"/>
      <c r="N58" s="50"/>
      <c r="O58" s="60" t="b">
        <v>0</v>
      </c>
      <c r="P58" s="8"/>
      <c r="Q58" s="30"/>
      <c r="R58" s="30"/>
      <c r="S58" s="45"/>
      <c r="T58" s="30"/>
      <c r="U58" s="56"/>
      <c r="V58" s="30"/>
      <c r="W58" s="61" t="b">
        <v>0</v>
      </c>
      <c r="X58" s="8"/>
      <c r="Y58" s="30"/>
      <c r="Z58" s="30"/>
      <c r="AA58" s="28" t="s">
        <v>126</v>
      </c>
      <c r="AB58" s="30"/>
      <c r="AC58" s="31">
        <v>500.0</v>
      </c>
      <c r="AD58" s="30"/>
      <c r="AE58" s="61" t="b">
        <v>0</v>
      </c>
    </row>
    <row r="59" ht="15.75" customHeight="1">
      <c r="A59" s="55">
        <v>25.0</v>
      </c>
      <c r="B59" s="69">
        <v>46294.0</v>
      </c>
      <c r="C59" s="28" t="s">
        <v>127</v>
      </c>
      <c r="D59" s="55">
        <v>2.0</v>
      </c>
      <c r="E59" s="56"/>
      <c r="F59" s="30"/>
      <c r="G59" s="31" t="b">
        <v>1</v>
      </c>
      <c r="H59" s="8"/>
      <c r="I59" s="50"/>
      <c r="J59" s="50"/>
      <c r="K59" s="53"/>
      <c r="L59" s="50"/>
      <c r="M59" s="54"/>
      <c r="N59" s="50"/>
      <c r="O59" s="60" t="b">
        <v>0</v>
      </c>
      <c r="P59" s="8"/>
      <c r="Q59" s="30"/>
      <c r="R59" s="30"/>
      <c r="S59" s="45"/>
      <c r="T59" s="30"/>
      <c r="U59" s="56"/>
      <c r="V59" s="30"/>
      <c r="W59" s="61" t="b">
        <v>0</v>
      </c>
      <c r="X59" s="8"/>
      <c r="Y59" s="30"/>
      <c r="Z59" s="30"/>
      <c r="AA59" s="28" t="s">
        <v>80</v>
      </c>
      <c r="AB59" s="51" t="s">
        <v>112</v>
      </c>
      <c r="AC59" s="31">
        <v>50.0</v>
      </c>
      <c r="AD59" s="30"/>
      <c r="AE59" s="61" t="b">
        <v>0</v>
      </c>
    </row>
    <row r="60" ht="15.75" customHeight="1">
      <c r="A60" s="30"/>
      <c r="B60" s="44"/>
      <c r="C60" s="28" t="s">
        <v>85</v>
      </c>
      <c r="D60" s="30"/>
      <c r="E60" s="31">
        <v>400.0</v>
      </c>
      <c r="F60" s="30"/>
      <c r="G60" s="31" t="b">
        <v>1</v>
      </c>
      <c r="H60" s="8"/>
      <c r="I60" s="50"/>
      <c r="J60" s="50"/>
      <c r="K60" s="53"/>
      <c r="L60" s="50"/>
      <c r="M60" s="54"/>
      <c r="N60" s="50"/>
      <c r="O60" s="60" t="b">
        <v>0</v>
      </c>
      <c r="P60" s="8"/>
      <c r="Q60" s="30"/>
      <c r="R60" s="30"/>
      <c r="S60" s="45"/>
      <c r="T60" s="30"/>
      <c r="U60" s="56"/>
      <c r="V60" s="30"/>
      <c r="W60" s="61" t="b">
        <v>0</v>
      </c>
      <c r="X60" s="8"/>
      <c r="Y60" s="30"/>
      <c r="Z60" s="30"/>
      <c r="AA60" s="28" t="s">
        <v>111</v>
      </c>
      <c r="AB60" s="30"/>
      <c r="AC60" s="31">
        <v>250.0</v>
      </c>
      <c r="AD60" s="30"/>
      <c r="AE60" s="61" t="b">
        <v>0</v>
      </c>
    </row>
    <row r="61" ht="15.75" customHeight="1">
      <c r="A61" s="30"/>
      <c r="B61" s="44"/>
      <c r="C61" s="28" t="s">
        <v>77</v>
      </c>
      <c r="D61" s="67" t="s">
        <v>109</v>
      </c>
      <c r="E61" s="31">
        <v>250.0</v>
      </c>
      <c r="F61" s="30"/>
      <c r="G61" s="31" t="b">
        <v>1</v>
      </c>
      <c r="H61" s="8"/>
      <c r="I61" s="50"/>
      <c r="J61" s="50"/>
      <c r="K61" s="53"/>
      <c r="L61" s="50"/>
      <c r="M61" s="54"/>
      <c r="N61" s="50"/>
      <c r="O61" s="60" t="b">
        <v>0</v>
      </c>
      <c r="P61" s="8"/>
      <c r="Q61" s="30"/>
      <c r="R61" s="30"/>
      <c r="S61" s="45"/>
      <c r="T61" s="30"/>
      <c r="U61" s="56"/>
      <c r="V61" s="30"/>
      <c r="W61" s="61" t="b">
        <v>0</v>
      </c>
      <c r="X61" s="8"/>
      <c r="Y61" s="30"/>
      <c r="Z61" s="30"/>
      <c r="AA61" s="28" t="s">
        <v>93</v>
      </c>
      <c r="AB61" s="30"/>
      <c r="AC61" s="31">
        <v>300.0</v>
      </c>
      <c r="AD61" s="30"/>
      <c r="AE61" s="61" t="b">
        <v>0</v>
      </c>
    </row>
    <row r="62" ht="15.75" customHeight="1">
      <c r="A62" s="30"/>
      <c r="B62" s="44"/>
      <c r="C62" s="28" t="s">
        <v>102</v>
      </c>
      <c r="D62" s="30"/>
      <c r="E62" s="31">
        <v>300.0</v>
      </c>
      <c r="F62" s="30"/>
      <c r="G62" s="31" t="b">
        <v>1</v>
      </c>
      <c r="H62" s="8"/>
      <c r="I62" s="50"/>
      <c r="J62" s="50"/>
      <c r="K62" s="53"/>
      <c r="L62" s="50"/>
      <c r="M62" s="54"/>
      <c r="N62" s="50"/>
      <c r="O62" s="60" t="b">
        <v>0</v>
      </c>
      <c r="P62" s="8"/>
      <c r="Q62" s="30"/>
      <c r="R62" s="30"/>
      <c r="S62" s="45"/>
      <c r="T62" s="30"/>
      <c r="U62" s="56"/>
      <c r="V62" s="30"/>
      <c r="W62" s="61" t="b">
        <v>0</v>
      </c>
      <c r="X62" s="8"/>
      <c r="Y62" s="30"/>
      <c r="Z62" s="30"/>
      <c r="AA62" s="45"/>
      <c r="AB62" s="30"/>
      <c r="AC62" s="56"/>
      <c r="AD62" s="30"/>
      <c r="AE62" s="61" t="b">
        <v>0</v>
      </c>
    </row>
    <row r="63" ht="15.75" customHeight="1">
      <c r="A63" s="55">
        <v>26.0</v>
      </c>
      <c r="B63" s="69">
        <v>46295.0</v>
      </c>
      <c r="C63" s="28" t="s">
        <v>80</v>
      </c>
      <c r="D63" s="55">
        <v>2.0</v>
      </c>
      <c r="E63" s="31">
        <v>1000.0</v>
      </c>
      <c r="F63" s="30"/>
      <c r="G63" s="61" t="b">
        <v>0</v>
      </c>
      <c r="H63" s="8"/>
      <c r="I63" s="50"/>
      <c r="J63" s="50"/>
      <c r="K63" s="53"/>
      <c r="L63" s="50"/>
      <c r="M63" s="54"/>
      <c r="N63" s="50"/>
      <c r="O63" s="60" t="b">
        <v>0</v>
      </c>
      <c r="P63" s="8"/>
      <c r="Q63" s="30"/>
      <c r="R63" s="30"/>
      <c r="S63" s="45"/>
      <c r="T63" s="30"/>
      <c r="U63" s="56"/>
      <c r="V63" s="30"/>
      <c r="W63" s="61" t="b">
        <v>0</v>
      </c>
      <c r="X63" s="8"/>
      <c r="Y63" s="30"/>
      <c r="Z63" s="30"/>
      <c r="AA63" s="45"/>
      <c r="AB63" s="30"/>
      <c r="AC63" s="56"/>
      <c r="AD63" s="30"/>
      <c r="AE63" s="61" t="b">
        <v>0</v>
      </c>
    </row>
    <row r="64" ht="15.75" customHeight="1">
      <c r="A64" s="30"/>
      <c r="B64" s="44"/>
      <c r="C64" s="28" t="s">
        <v>128</v>
      </c>
      <c r="D64" s="30"/>
      <c r="E64" s="31">
        <v>450.0</v>
      </c>
      <c r="F64" s="30"/>
      <c r="G64" s="61" t="b">
        <v>0</v>
      </c>
      <c r="H64" s="8"/>
      <c r="I64" s="50"/>
      <c r="J64" s="50"/>
      <c r="K64" s="53"/>
      <c r="L64" s="50"/>
      <c r="M64" s="54"/>
      <c r="N64" s="50"/>
      <c r="O64" s="60" t="b">
        <v>0</v>
      </c>
      <c r="P64" s="8"/>
      <c r="Q64" s="30"/>
      <c r="R64" s="30"/>
      <c r="S64" s="45"/>
      <c r="T64" s="30"/>
      <c r="U64" s="56"/>
      <c r="V64" s="30"/>
      <c r="W64" s="61" t="b">
        <v>0</v>
      </c>
      <c r="X64" s="8"/>
      <c r="Y64" s="30"/>
      <c r="Z64" s="30"/>
      <c r="AA64" s="45"/>
      <c r="AB64" s="30"/>
      <c r="AC64" s="56"/>
      <c r="AD64" s="30"/>
      <c r="AE64" s="61" t="b">
        <v>0</v>
      </c>
    </row>
    <row r="65" ht="15.75" customHeight="1">
      <c r="A65" s="30"/>
      <c r="B65" s="44"/>
      <c r="C65" s="28" t="s">
        <v>80</v>
      </c>
      <c r="D65" s="67" t="s">
        <v>109</v>
      </c>
      <c r="E65" s="31">
        <v>600.0</v>
      </c>
      <c r="F65" s="30"/>
      <c r="G65" s="61" t="b">
        <v>0</v>
      </c>
      <c r="H65" s="8"/>
      <c r="I65" s="50"/>
      <c r="J65" s="50"/>
      <c r="K65" s="53"/>
      <c r="L65" s="50"/>
      <c r="M65" s="54"/>
      <c r="N65" s="50"/>
      <c r="O65" s="60" t="b">
        <v>0</v>
      </c>
      <c r="P65" s="8"/>
      <c r="Q65" s="30"/>
      <c r="R65" s="30"/>
      <c r="S65" s="45"/>
      <c r="T65" s="30"/>
      <c r="U65" s="56"/>
      <c r="V65" s="30"/>
      <c r="W65" s="61" t="b">
        <v>0</v>
      </c>
      <c r="X65" s="8"/>
      <c r="Y65" s="30"/>
      <c r="Z65" s="30"/>
      <c r="AA65" s="45"/>
      <c r="AB65" s="30"/>
      <c r="AC65" s="56"/>
      <c r="AD65" s="30"/>
      <c r="AE65" s="61" t="b">
        <v>0</v>
      </c>
    </row>
    <row r="66" ht="15.75" customHeight="1">
      <c r="A66" s="30"/>
      <c r="B66" s="44"/>
      <c r="C66" s="28"/>
      <c r="D66" s="30"/>
      <c r="E66" s="31"/>
      <c r="F66" s="30"/>
      <c r="G66" s="61" t="b">
        <v>0</v>
      </c>
      <c r="H66" s="8"/>
      <c r="I66" s="50"/>
      <c r="J66" s="50"/>
      <c r="K66" s="53"/>
      <c r="L66" s="50"/>
      <c r="M66" s="54"/>
      <c r="N66" s="50"/>
      <c r="O66" s="60" t="b">
        <v>0</v>
      </c>
      <c r="P66" s="8"/>
      <c r="Q66" s="30"/>
      <c r="R66" s="30"/>
      <c r="S66" s="45"/>
      <c r="T66" s="30"/>
      <c r="U66" s="56"/>
      <c r="V66" s="30"/>
      <c r="W66" s="61" t="b">
        <v>0</v>
      </c>
      <c r="X66" s="8"/>
      <c r="Y66" s="30"/>
      <c r="Z66" s="30"/>
      <c r="AA66" s="45"/>
      <c r="AB66" s="30"/>
      <c r="AC66" s="56"/>
      <c r="AD66" s="30"/>
      <c r="AE66" s="61" t="b">
        <v>0</v>
      </c>
    </row>
    <row r="67">
      <c r="E67" s="71"/>
      <c r="F67" s="71"/>
      <c r="M67" s="71"/>
      <c r="N67" s="71"/>
      <c r="U67" s="71"/>
      <c r="V67" s="71"/>
      <c r="AC67" s="71"/>
      <c r="AD67" s="71"/>
    </row>
    <row r="68">
      <c r="E68" s="72" t="s">
        <v>129</v>
      </c>
      <c r="F68" s="71">
        <f>SUM(Table4[Wastage])</f>
        <v>242</v>
      </c>
      <c r="M68" s="72" t="s">
        <v>129</v>
      </c>
      <c r="N68" s="71">
        <f>SUM(Table1[Wastage])</f>
        <v>176</v>
      </c>
      <c r="U68" s="73" t="s">
        <v>129</v>
      </c>
      <c r="V68" s="74">
        <f>SUM(Table3[Wastage])</f>
        <v>176</v>
      </c>
      <c r="AC68" s="73" t="s">
        <v>129</v>
      </c>
      <c r="AD68" s="74">
        <f>SUM(Table2[Wastage])</f>
        <v>82</v>
      </c>
    </row>
  </sheetData>
  <mergeCells count="5">
    <mergeCell ref="A1:AE1"/>
    <mergeCell ref="A3:G3"/>
    <mergeCell ref="I3:O3"/>
    <mergeCell ref="Q3:W3"/>
    <mergeCell ref="Y3:AE3"/>
  </mergeCells>
  <dataValidations>
    <dataValidation type="custom" allowBlank="1" showDropDown="1" sqref="B6:B66">
      <formula1>OR(NOT(ISERROR(DATEVALUE(B6))), AND(ISNUMBER(B6), LEFT(CELL("format", B6))="D"))</formula1>
    </dataValidation>
    <dataValidation allowBlank="1" showDropDown="1" sqref="AA6:AA66 S6:S66 C6:C66 K6:K66"/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1" max="11" width="18.38"/>
    <col customWidth="1" min="19" max="19" width="18.38"/>
    <col customWidth="1" min="27" max="27" width="18.38"/>
    <col customWidth="1" min="33" max="33" width="8.88"/>
    <col customWidth="1" min="35" max="35" width="15.13"/>
    <col customWidth="1" min="36" max="36" width="7.63"/>
    <col customWidth="1" min="37" max="38" width="8.88"/>
  </cols>
  <sheetData>
    <row r="1">
      <c r="A1" s="35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/>
      <c r="AF1" s="37"/>
      <c r="AG1" s="37"/>
      <c r="AH1" s="37"/>
      <c r="AI1" s="37"/>
      <c r="AJ1" s="37"/>
      <c r="AK1" s="37"/>
      <c r="AL1" s="37"/>
      <c r="AM1" s="37"/>
      <c r="AN1" s="3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41" t="s">
        <v>65</v>
      </c>
      <c r="B3" s="3"/>
      <c r="C3" s="3"/>
      <c r="D3" s="3"/>
      <c r="E3" s="3"/>
      <c r="F3" s="3"/>
      <c r="G3" s="7"/>
      <c r="H3" s="8"/>
      <c r="I3" s="10" t="s">
        <v>36</v>
      </c>
      <c r="J3" s="3"/>
      <c r="K3" s="3"/>
      <c r="L3" s="3"/>
      <c r="M3" s="3"/>
      <c r="N3" s="3"/>
      <c r="O3" s="7"/>
      <c r="P3" s="8"/>
      <c r="Q3" s="10" t="s">
        <v>14</v>
      </c>
      <c r="R3" s="3"/>
      <c r="S3" s="3"/>
      <c r="T3" s="3"/>
      <c r="U3" s="3"/>
      <c r="V3" s="3"/>
      <c r="W3" s="7"/>
      <c r="X3" s="8"/>
      <c r="Y3" s="41" t="s">
        <v>66</v>
      </c>
      <c r="Z3" s="3"/>
      <c r="AA3" s="3"/>
      <c r="AB3" s="3"/>
      <c r="AC3" s="3"/>
      <c r="AD3" s="3"/>
      <c r="AE3" s="7"/>
      <c r="AF3" s="8"/>
      <c r="AG3" s="8"/>
      <c r="AH3" s="8"/>
      <c r="AI3" s="8"/>
      <c r="AJ3" s="8"/>
      <c r="AK3" s="8"/>
      <c r="AL3" s="8"/>
      <c r="AM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ht="22.5" customHeight="1">
      <c r="A5" s="23" t="s">
        <v>16</v>
      </c>
      <c r="B5" s="24" t="s">
        <v>17</v>
      </c>
      <c r="C5" s="25" t="s">
        <v>18</v>
      </c>
      <c r="D5" s="24" t="s">
        <v>19</v>
      </c>
      <c r="E5" s="24" t="s">
        <v>20</v>
      </c>
      <c r="F5" s="24" t="s">
        <v>48</v>
      </c>
      <c r="G5" s="24" t="s">
        <v>22</v>
      </c>
      <c r="H5" s="8"/>
      <c r="I5" s="23" t="s">
        <v>16</v>
      </c>
      <c r="J5" s="24" t="s">
        <v>17</v>
      </c>
      <c r="K5" s="25" t="s">
        <v>18</v>
      </c>
      <c r="L5" s="24" t="s">
        <v>19</v>
      </c>
      <c r="M5" s="24" t="s">
        <v>20</v>
      </c>
      <c r="N5" s="24" t="s">
        <v>48</v>
      </c>
      <c r="O5" s="24" t="s">
        <v>22</v>
      </c>
      <c r="P5" s="8"/>
      <c r="Q5" s="23" t="s">
        <v>16</v>
      </c>
      <c r="R5" s="24" t="s">
        <v>17</v>
      </c>
      <c r="S5" s="25" t="s">
        <v>18</v>
      </c>
      <c r="T5" s="24" t="s">
        <v>19</v>
      </c>
      <c r="U5" s="24" t="s">
        <v>20</v>
      </c>
      <c r="V5" s="24" t="s">
        <v>48</v>
      </c>
      <c r="W5" s="24" t="s">
        <v>22</v>
      </c>
      <c r="X5" s="8"/>
      <c r="Y5" s="23" t="s">
        <v>16</v>
      </c>
      <c r="Z5" s="24" t="s">
        <v>17</v>
      </c>
      <c r="AA5" s="25" t="s">
        <v>18</v>
      </c>
      <c r="AB5" s="24" t="s">
        <v>19</v>
      </c>
      <c r="AC5" s="24" t="s">
        <v>20</v>
      </c>
      <c r="AD5" s="24" t="s">
        <v>48</v>
      </c>
      <c r="AE5" s="24" t="s">
        <v>22</v>
      </c>
      <c r="AG5" s="23" t="s">
        <v>16</v>
      </c>
      <c r="AH5" s="24" t="s">
        <v>17</v>
      </c>
      <c r="AI5" s="25" t="s">
        <v>18</v>
      </c>
      <c r="AJ5" s="24" t="s">
        <v>19</v>
      </c>
      <c r="AK5" s="24" t="s">
        <v>20</v>
      </c>
      <c r="AL5" s="24" t="s">
        <v>48</v>
      </c>
      <c r="AM5" s="46" t="s">
        <v>69</v>
      </c>
    </row>
    <row r="6" ht="15.75" customHeight="1">
      <c r="A6" s="47">
        <v>1.0</v>
      </c>
      <c r="B6" s="48">
        <v>46296.0</v>
      </c>
      <c r="C6" s="39" t="s">
        <v>71</v>
      </c>
      <c r="D6" s="47">
        <v>2.0</v>
      </c>
      <c r="E6" s="49">
        <v>800.0</v>
      </c>
      <c r="F6" s="36"/>
      <c r="G6" s="42" t="b">
        <v>1</v>
      </c>
      <c r="H6" s="8"/>
      <c r="I6" s="47">
        <v>1.0</v>
      </c>
      <c r="J6" s="48">
        <v>46296.0</v>
      </c>
      <c r="K6" s="39" t="s">
        <v>27</v>
      </c>
      <c r="L6" s="47">
        <v>2.0</v>
      </c>
      <c r="M6" s="49">
        <v>800.0</v>
      </c>
      <c r="N6" s="36"/>
      <c r="O6" s="42" t="b">
        <v>1</v>
      </c>
      <c r="P6" s="8"/>
      <c r="Q6" s="47">
        <v>1.0</v>
      </c>
      <c r="R6" s="48">
        <v>46296.0</v>
      </c>
      <c r="S6" s="39" t="s">
        <v>71</v>
      </c>
      <c r="T6" s="47">
        <v>2.0</v>
      </c>
      <c r="U6" s="49">
        <v>800.0</v>
      </c>
      <c r="V6" s="36"/>
      <c r="W6" s="42" t="b">
        <v>1</v>
      </c>
      <c r="X6" s="8"/>
      <c r="Y6" s="47">
        <v>1.0</v>
      </c>
      <c r="Z6" s="48">
        <v>46296.0</v>
      </c>
      <c r="AA6" s="39" t="s">
        <v>71</v>
      </c>
      <c r="AB6" s="47">
        <v>2.0</v>
      </c>
      <c r="AC6" s="49">
        <v>800.0</v>
      </c>
      <c r="AD6" s="36"/>
      <c r="AE6" s="42" t="b">
        <v>1</v>
      </c>
      <c r="AG6" s="36"/>
      <c r="AH6" s="32"/>
      <c r="AI6" s="53"/>
      <c r="AJ6" s="36"/>
      <c r="AK6" s="40"/>
      <c r="AL6" s="36"/>
      <c r="AM6" s="54"/>
    </row>
    <row r="7" ht="15.75" customHeight="1">
      <c r="A7" s="30"/>
      <c r="B7" s="30"/>
      <c r="C7" s="28" t="s">
        <v>80</v>
      </c>
      <c r="D7" s="57" t="s">
        <v>81</v>
      </c>
      <c r="E7" s="58">
        <v>500.0</v>
      </c>
      <c r="F7" s="30"/>
      <c r="G7" s="31" t="b">
        <v>1</v>
      </c>
      <c r="H7" s="8"/>
      <c r="I7" s="47">
        <v>2.0</v>
      </c>
      <c r="J7" s="52">
        <v>46298.0</v>
      </c>
      <c r="K7" s="39" t="s">
        <v>71</v>
      </c>
      <c r="L7" s="57">
        <v>2.0</v>
      </c>
      <c r="M7" s="58">
        <v>100.0</v>
      </c>
      <c r="N7" s="30"/>
      <c r="O7" s="31" t="b">
        <v>1</v>
      </c>
      <c r="P7" s="8"/>
      <c r="Q7" s="47">
        <v>2.0</v>
      </c>
      <c r="R7" s="52">
        <v>46298.0</v>
      </c>
      <c r="S7" s="28" t="s">
        <v>83</v>
      </c>
      <c r="T7" s="55">
        <v>2.0</v>
      </c>
      <c r="U7" s="58">
        <v>800.0</v>
      </c>
      <c r="V7" s="55">
        <v>8.0</v>
      </c>
      <c r="W7" s="31" t="b">
        <v>1</v>
      </c>
      <c r="X7" s="8"/>
      <c r="Y7" s="26"/>
      <c r="Z7" s="32"/>
      <c r="AA7" s="45"/>
      <c r="AB7" s="57" t="s">
        <v>84</v>
      </c>
      <c r="AC7" s="58">
        <v>350.0</v>
      </c>
      <c r="AD7" s="30"/>
      <c r="AE7" s="31" t="b">
        <v>1</v>
      </c>
      <c r="AG7" s="30"/>
      <c r="AH7" s="30"/>
      <c r="AI7" s="45"/>
      <c r="AJ7" s="26"/>
      <c r="AK7" s="29"/>
      <c r="AL7" s="30"/>
      <c r="AM7" s="56"/>
    </row>
    <row r="8" ht="15.75" customHeight="1">
      <c r="A8" s="47">
        <v>2.0</v>
      </c>
      <c r="B8" s="52">
        <v>46298.0</v>
      </c>
      <c r="C8" s="39" t="s">
        <v>71</v>
      </c>
      <c r="D8" s="47">
        <v>2.0</v>
      </c>
      <c r="E8" s="49">
        <v>800.0</v>
      </c>
      <c r="F8" s="51">
        <v>40.0</v>
      </c>
      <c r="G8" s="42" t="b">
        <v>1</v>
      </c>
      <c r="H8" s="8"/>
      <c r="I8" s="50"/>
      <c r="J8" s="50"/>
      <c r="K8" s="39" t="s">
        <v>68</v>
      </c>
      <c r="L8" s="50"/>
      <c r="M8" s="42">
        <v>700.0</v>
      </c>
      <c r="N8" s="50"/>
      <c r="O8" s="42" t="b">
        <v>1</v>
      </c>
      <c r="P8" s="8"/>
      <c r="Q8" s="55">
        <v>3.0</v>
      </c>
      <c r="R8" s="52">
        <v>46300.0</v>
      </c>
      <c r="S8" s="28" t="s">
        <v>70</v>
      </c>
      <c r="T8" s="47">
        <v>2.0</v>
      </c>
      <c r="U8" s="49">
        <v>650.0</v>
      </c>
      <c r="V8" s="50"/>
      <c r="W8" s="42" t="b">
        <v>1</v>
      </c>
      <c r="X8" s="8"/>
      <c r="Y8" s="47">
        <v>2.0</v>
      </c>
      <c r="Z8" s="52">
        <v>46298.0</v>
      </c>
      <c r="AA8" s="39" t="s">
        <v>77</v>
      </c>
      <c r="AB8" s="47">
        <v>2.0</v>
      </c>
      <c r="AC8" s="49">
        <v>750.0</v>
      </c>
      <c r="AD8" s="51">
        <v>7.0</v>
      </c>
      <c r="AE8" s="42" t="b">
        <v>1</v>
      </c>
      <c r="AG8" s="36"/>
      <c r="AH8" s="43"/>
      <c r="AI8" s="53"/>
      <c r="AJ8" s="36"/>
      <c r="AK8" s="40"/>
      <c r="AL8" s="50"/>
      <c r="AM8" s="54"/>
    </row>
    <row r="9" ht="15.75" customHeight="1">
      <c r="A9" s="55">
        <v>3.0</v>
      </c>
      <c r="B9" s="52">
        <v>46300.0</v>
      </c>
      <c r="C9" s="28" t="s">
        <v>77</v>
      </c>
      <c r="D9" s="57">
        <v>2.0</v>
      </c>
      <c r="E9" s="58">
        <v>750.0</v>
      </c>
      <c r="F9" s="30"/>
      <c r="G9" s="31" t="b">
        <v>1</v>
      </c>
      <c r="H9" s="8"/>
      <c r="I9" s="55">
        <v>3.0</v>
      </c>
      <c r="J9" s="52">
        <v>46300.0</v>
      </c>
      <c r="K9" s="28" t="s">
        <v>83</v>
      </c>
      <c r="L9" s="55">
        <v>2.0</v>
      </c>
      <c r="M9" s="31">
        <v>300.0</v>
      </c>
      <c r="N9" s="30"/>
      <c r="O9" s="31" t="b">
        <v>1</v>
      </c>
      <c r="P9" s="8"/>
      <c r="Q9" s="30"/>
      <c r="R9" s="30"/>
      <c r="S9" s="28" t="s">
        <v>78</v>
      </c>
      <c r="T9" s="30"/>
      <c r="U9" s="49">
        <v>150.0</v>
      </c>
      <c r="V9" s="30"/>
      <c r="W9" s="31" t="b">
        <v>1</v>
      </c>
      <c r="X9" s="8"/>
      <c r="Y9" s="30"/>
      <c r="Z9" s="30"/>
      <c r="AA9" s="39" t="s">
        <v>88</v>
      </c>
      <c r="AB9" s="57"/>
      <c r="AC9" s="31">
        <v>50.0</v>
      </c>
      <c r="AD9" s="30"/>
      <c r="AE9" s="31" t="b">
        <v>1</v>
      </c>
      <c r="AG9" s="30"/>
      <c r="AH9" s="30"/>
      <c r="AI9" s="45"/>
      <c r="AJ9" s="26"/>
      <c r="AK9" s="29"/>
      <c r="AL9" s="30"/>
      <c r="AM9" s="56"/>
    </row>
    <row r="10" ht="15.75" customHeight="1">
      <c r="A10" s="50"/>
      <c r="B10" s="50"/>
      <c r="C10" s="28" t="s">
        <v>78</v>
      </c>
      <c r="D10" s="50"/>
      <c r="E10" s="58">
        <v>50.0</v>
      </c>
      <c r="F10" s="50"/>
      <c r="G10" s="42" t="b">
        <v>1</v>
      </c>
      <c r="H10" s="8"/>
      <c r="I10" s="50"/>
      <c r="J10" s="50"/>
      <c r="K10" s="28" t="s">
        <v>77</v>
      </c>
      <c r="L10" s="50"/>
      <c r="M10" s="42">
        <v>350.0</v>
      </c>
      <c r="N10" s="50"/>
      <c r="O10" s="42" t="b">
        <v>1</v>
      </c>
      <c r="P10" s="8"/>
      <c r="Q10" s="55">
        <v>4.0</v>
      </c>
      <c r="R10" s="52">
        <v>46301.0</v>
      </c>
      <c r="S10" s="39" t="s">
        <v>90</v>
      </c>
      <c r="T10" s="51">
        <v>2.0</v>
      </c>
      <c r="U10" s="42">
        <v>400.0</v>
      </c>
      <c r="V10" s="50"/>
      <c r="W10" s="42" t="b">
        <v>1</v>
      </c>
      <c r="X10" s="8"/>
      <c r="Y10" s="50"/>
      <c r="Z10" s="50"/>
      <c r="AA10" s="39" t="s">
        <v>71</v>
      </c>
      <c r="AB10" s="57" t="s">
        <v>84</v>
      </c>
      <c r="AC10" s="42">
        <v>350.0</v>
      </c>
      <c r="AD10" s="51">
        <v>6.0</v>
      </c>
      <c r="AE10" s="42" t="b">
        <v>1</v>
      </c>
      <c r="AG10" s="50"/>
      <c r="AH10" s="50"/>
      <c r="AI10" s="53"/>
      <c r="AJ10" s="50"/>
      <c r="AK10" s="50"/>
      <c r="AL10" s="50"/>
      <c r="AM10" s="54"/>
    </row>
    <row r="11" ht="15.75" customHeight="1">
      <c r="A11" s="55">
        <v>4.0</v>
      </c>
      <c r="B11" s="52">
        <v>46301.0</v>
      </c>
      <c r="C11" s="39" t="s">
        <v>90</v>
      </c>
      <c r="D11" s="55">
        <v>2.0</v>
      </c>
      <c r="E11" s="31">
        <v>500.0</v>
      </c>
      <c r="F11" s="30"/>
      <c r="G11" s="31" t="b">
        <v>1</v>
      </c>
      <c r="H11" s="8"/>
      <c r="I11" s="30"/>
      <c r="J11" s="30"/>
      <c r="K11" s="28" t="s">
        <v>78</v>
      </c>
      <c r="L11" s="30"/>
      <c r="M11" s="31">
        <v>150.0</v>
      </c>
      <c r="N11" s="30"/>
      <c r="O11" s="31" t="b">
        <v>1</v>
      </c>
      <c r="P11" s="8"/>
      <c r="Q11" s="30"/>
      <c r="R11" s="30"/>
      <c r="S11" s="28" t="s">
        <v>93</v>
      </c>
      <c r="T11" s="30"/>
      <c r="U11" s="31">
        <v>800.0</v>
      </c>
      <c r="V11" s="30"/>
      <c r="W11" s="31" t="b">
        <v>1</v>
      </c>
      <c r="X11" s="8"/>
      <c r="Y11" s="55">
        <v>3.0</v>
      </c>
      <c r="Z11" s="52">
        <v>46300.0</v>
      </c>
      <c r="AA11" s="28" t="s">
        <v>70</v>
      </c>
      <c r="AB11" s="55">
        <v>2.0</v>
      </c>
      <c r="AC11" s="31">
        <v>700.0</v>
      </c>
      <c r="AD11" s="30"/>
      <c r="AE11" s="31" t="b">
        <v>1</v>
      </c>
      <c r="AG11" s="30"/>
      <c r="AH11" s="30"/>
      <c r="AI11" s="45"/>
      <c r="AJ11" s="30"/>
      <c r="AK11" s="30"/>
      <c r="AL11" s="30"/>
      <c r="AM11" s="56"/>
    </row>
    <row r="12" ht="15.75" customHeight="1">
      <c r="A12" s="50"/>
      <c r="B12" s="50"/>
      <c r="C12" s="39" t="s">
        <v>96</v>
      </c>
      <c r="D12" s="50"/>
      <c r="E12" s="42">
        <v>500.0</v>
      </c>
      <c r="F12" s="50"/>
      <c r="G12" s="42" t="b">
        <v>1</v>
      </c>
      <c r="H12" s="8"/>
      <c r="I12" s="55">
        <v>4.0</v>
      </c>
      <c r="J12" s="52">
        <v>46301.0</v>
      </c>
      <c r="K12" s="39" t="s">
        <v>90</v>
      </c>
      <c r="L12" s="51">
        <v>2.0</v>
      </c>
      <c r="M12" s="42">
        <v>350.0</v>
      </c>
      <c r="N12" s="50"/>
      <c r="O12" s="42" t="b">
        <v>1</v>
      </c>
      <c r="P12" s="8"/>
      <c r="Q12" s="50"/>
      <c r="R12" s="50"/>
      <c r="S12" s="53"/>
      <c r="T12" s="50"/>
      <c r="U12" s="54"/>
      <c r="V12" s="50"/>
      <c r="W12" s="60" t="b">
        <v>0</v>
      </c>
      <c r="X12" s="8"/>
      <c r="Y12" s="50"/>
      <c r="Z12" s="50"/>
      <c r="AA12" s="53"/>
      <c r="AB12" s="57" t="s">
        <v>84</v>
      </c>
      <c r="AC12" s="42">
        <v>300.0</v>
      </c>
      <c r="AD12" s="50"/>
      <c r="AE12" s="42" t="b">
        <v>1</v>
      </c>
      <c r="AG12" s="50"/>
      <c r="AH12" s="50"/>
      <c r="AI12" s="53"/>
      <c r="AJ12" s="50"/>
      <c r="AK12" s="50"/>
      <c r="AL12" s="50"/>
      <c r="AM12" s="54"/>
    </row>
    <row r="13" ht="15.75" customHeight="1">
      <c r="A13" s="26"/>
      <c r="B13" s="32"/>
      <c r="C13" s="63" t="s">
        <v>99</v>
      </c>
      <c r="D13" s="57" t="s">
        <v>81</v>
      </c>
      <c r="E13" s="58">
        <v>150.0</v>
      </c>
      <c r="F13" s="30"/>
      <c r="G13" s="31" t="b">
        <v>1</v>
      </c>
      <c r="H13" s="8"/>
      <c r="I13" s="26"/>
      <c r="J13" s="32"/>
      <c r="K13" s="64" t="s">
        <v>96</v>
      </c>
      <c r="L13" s="65"/>
      <c r="M13" s="58">
        <v>500.0</v>
      </c>
      <c r="N13" s="30"/>
      <c r="O13" s="31" t="b">
        <v>1</v>
      </c>
      <c r="P13" s="8"/>
      <c r="Q13" s="26"/>
      <c r="R13" s="32"/>
      <c r="S13" s="45"/>
      <c r="T13" s="26"/>
      <c r="U13" s="29"/>
      <c r="V13" s="26"/>
      <c r="W13" s="61" t="b">
        <v>0</v>
      </c>
      <c r="X13" s="8"/>
      <c r="Y13" s="26"/>
      <c r="Z13" s="32"/>
      <c r="AA13" s="28" t="s">
        <v>78</v>
      </c>
      <c r="AB13" s="57">
        <v>2.0</v>
      </c>
      <c r="AC13" s="31">
        <v>100.0</v>
      </c>
      <c r="AD13" s="26"/>
      <c r="AE13" s="31" t="b">
        <v>1</v>
      </c>
      <c r="AG13" s="26"/>
      <c r="AH13" s="32"/>
      <c r="AI13" s="66"/>
      <c r="AK13" s="29"/>
      <c r="AL13" s="30"/>
      <c r="AM13" s="56"/>
    </row>
    <row r="14" ht="15.75" customHeight="1">
      <c r="A14" s="30"/>
      <c r="B14" s="30"/>
      <c r="C14" s="28" t="s">
        <v>93</v>
      </c>
      <c r="D14" s="30"/>
      <c r="E14" s="31">
        <v>250.0</v>
      </c>
      <c r="F14" s="30"/>
      <c r="G14" s="31" t="b">
        <v>1</v>
      </c>
      <c r="H14" s="8"/>
      <c r="I14" s="30"/>
      <c r="J14" s="30"/>
      <c r="K14" s="45"/>
      <c r="L14" s="30"/>
      <c r="M14" s="56"/>
      <c r="N14" s="30"/>
      <c r="O14" s="61" t="b">
        <v>0</v>
      </c>
      <c r="P14" s="8"/>
      <c r="Q14" s="30"/>
      <c r="R14" s="30"/>
      <c r="S14" s="45"/>
      <c r="T14" s="30"/>
      <c r="U14" s="56"/>
      <c r="V14" s="30"/>
      <c r="W14" s="61" t="b">
        <v>0</v>
      </c>
      <c r="X14" s="8"/>
      <c r="Y14" s="30"/>
      <c r="Z14" s="30"/>
      <c r="AA14" s="45"/>
      <c r="AB14" s="57" t="s">
        <v>84</v>
      </c>
      <c r="AC14" s="31">
        <v>50.0</v>
      </c>
      <c r="AD14" s="30"/>
      <c r="AE14" s="31" t="b">
        <v>1</v>
      </c>
      <c r="AG14" s="30"/>
      <c r="AH14" s="30"/>
      <c r="AI14" s="45"/>
      <c r="AJ14" s="30"/>
      <c r="AK14" s="30"/>
      <c r="AL14" s="30"/>
      <c r="AM14" s="56"/>
    </row>
    <row r="15" ht="15.75" customHeight="1">
      <c r="A15" s="50"/>
      <c r="B15" s="50"/>
      <c r="C15" s="53"/>
      <c r="D15" s="50"/>
      <c r="E15" s="50"/>
      <c r="F15" s="50"/>
      <c r="G15" s="60" t="b">
        <v>0</v>
      </c>
      <c r="H15" s="8"/>
      <c r="I15" s="50"/>
      <c r="J15" s="50"/>
      <c r="K15" s="53"/>
      <c r="L15" s="50"/>
      <c r="M15" s="54"/>
      <c r="N15" s="50"/>
      <c r="O15" s="60" t="b">
        <v>0</v>
      </c>
      <c r="P15" s="8"/>
      <c r="Q15" s="50"/>
      <c r="R15" s="50"/>
      <c r="S15" s="53"/>
      <c r="T15" s="50"/>
      <c r="U15" s="54"/>
      <c r="V15" s="50"/>
      <c r="W15" s="60" t="b">
        <v>0</v>
      </c>
      <c r="X15" s="8"/>
      <c r="Y15" s="55">
        <v>4.0</v>
      </c>
      <c r="Z15" s="52">
        <v>46301.0</v>
      </c>
      <c r="AA15" s="39" t="s">
        <v>70</v>
      </c>
      <c r="AB15" s="51">
        <v>2.0</v>
      </c>
      <c r="AC15" s="42">
        <v>400.0</v>
      </c>
      <c r="AD15" s="50"/>
      <c r="AE15" s="42" t="b">
        <v>1</v>
      </c>
      <c r="AG15" s="50"/>
      <c r="AH15" s="50"/>
      <c r="AI15" s="53"/>
      <c r="AJ15" s="50"/>
      <c r="AK15" s="50"/>
      <c r="AL15" s="50"/>
      <c r="AM15" s="54"/>
    </row>
    <row r="16" ht="15.75" customHeight="1">
      <c r="A16" s="30"/>
      <c r="B16" s="30"/>
      <c r="C16" s="45"/>
      <c r="D16" s="30"/>
      <c r="E16" s="30"/>
      <c r="F16" s="30"/>
      <c r="G16" s="61" t="b">
        <v>0</v>
      </c>
      <c r="H16" s="8"/>
      <c r="I16" s="30"/>
      <c r="J16" s="30"/>
      <c r="K16" s="45"/>
      <c r="L16" s="30"/>
      <c r="M16" s="56"/>
      <c r="N16" s="30"/>
      <c r="O16" s="61" t="b">
        <v>0</v>
      </c>
      <c r="P16" s="8"/>
      <c r="Q16" s="30"/>
      <c r="R16" s="30"/>
      <c r="S16" s="45"/>
      <c r="T16" s="30"/>
      <c r="U16" s="56"/>
      <c r="V16" s="30"/>
      <c r="W16" s="61" t="b">
        <v>0</v>
      </c>
      <c r="X16" s="8"/>
      <c r="Y16" s="30"/>
      <c r="Z16" s="30"/>
      <c r="AA16" s="39" t="s">
        <v>90</v>
      </c>
      <c r="AB16" s="57" t="s">
        <v>84</v>
      </c>
      <c r="AC16" s="31">
        <v>200.0</v>
      </c>
      <c r="AD16" s="55">
        <v>80.0</v>
      </c>
      <c r="AE16" s="31" t="b">
        <v>1</v>
      </c>
      <c r="AG16" s="30"/>
      <c r="AH16" s="30"/>
      <c r="AI16" s="45"/>
      <c r="AJ16" s="30"/>
      <c r="AK16" s="30"/>
      <c r="AL16" s="30"/>
      <c r="AM16" s="56"/>
    </row>
    <row r="17" ht="15.75" customHeight="1">
      <c r="A17" s="50"/>
      <c r="B17" s="50"/>
      <c r="C17" s="53"/>
      <c r="D17" s="50"/>
      <c r="E17" s="50"/>
      <c r="F17" s="50"/>
      <c r="G17" s="60" t="b">
        <v>0</v>
      </c>
      <c r="H17" s="8"/>
      <c r="I17" s="50"/>
      <c r="J17" s="50"/>
      <c r="K17" s="53"/>
      <c r="L17" s="50"/>
      <c r="M17" s="54"/>
      <c r="N17" s="50"/>
      <c r="O17" s="60" t="b">
        <v>0</v>
      </c>
      <c r="P17" s="8"/>
      <c r="Q17" s="50"/>
      <c r="R17" s="50"/>
      <c r="S17" s="53"/>
      <c r="T17" s="50"/>
      <c r="U17" s="54"/>
      <c r="V17" s="50"/>
      <c r="W17" s="60" t="b">
        <v>0</v>
      </c>
      <c r="X17" s="8"/>
      <c r="Y17" s="50"/>
      <c r="Z17" s="50"/>
      <c r="AA17" s="28" t="s">
        <v>93</v>
      </c>
      <c r="AB17" s="51">
        <v>2.0</v>
      </c>
      <c r="AC17" s="42">
        <v>800.0</v>
      </c>
      <c r="AD17" s="50"/>
      <c r="AE17" s="42" t="b">
        <v>1</v>
      </c>
      <c r="AG17" s="50"/>
      <c r="AH17" s="50"/>
      <c r="AI17" s="53"/>
      <c r="AJ17" s="50"/>
      <c r="AK17" s="50"/>
      <c r="AL17" s="50"/>
      <c r="AM17" s="54"/>
    </row>
    <row r="18" ht="15.75" customHeight="1">
      <c r="A18" s="30"/>
      <c r="B18" s="30"/>
      <c r="C18" s="45"/>
      <c r="D18" s="30"/>
      <c r="E18" s="30"/>
      <c r="F18" s="30"/>
      <c r="G18" s="61" t="b">
        <v>0</v>
      </c>
      <c r="H18" s="8"/>
      <c r="I18" s="30"/>
      <c r="J18" s="30"/>
      <c r="K18" s="45"/>
      <c r="L18" s="30"/>
      <c r="M18" s="56"/>
      <c r="N18" s="30"/>
      <c r="O18" s="61" t="b">
        <v>0</v>
      </c>
      <c r="P18" s="8"/>
      <c r="Q18" s="30"/>
      <c r="R18" s="30"/>
      <c r="S18" s="45"/>
      <c r="T18" s="30"/>
      <c r="U18" s="56"/>
      <c r="V18" s="30"/>
      <c r="W18" s="61" t="b">
        <v>0</v>
      </c>
      <c r="X18" s="8"/>
      <c r="Y18" s="30"/>
      <c r="Z18" s="30"/>
      <c r="AA18" s="39"/>
      <c r="AB18" s="57" t="s">
        <v>84</v>
      </c>
      <c r="AC18" s="31">
        <v>300.0</v>
      </c>
      <c r="AD18" s="30"/>
      <c r="AE18" s="31" t="b">
        <v>1</v>
      </c>
      <c r="AG18" s="30"/>
      <c r="AH18" s="30"/>
      <c r="AI18" s="45"/>
      <c r="AJ18" s="30"/>
      <c r="AK18" s="30"/>
      <c r="AL18" s="30"/>
      <c r="AM18" s="56"/>
    </row>
    <row r="19" ht="15.75" customHeight="1">
      <c r="A19" s="50"/>
      <c r="B19" s="50"/>
      <c r="C19" s="53"/>
      <c r="D19" s="50"/>
      <c r="E19" s="50"/>
      <c r="F19" s="50"/>
      <c r="G19" s="60" t="b">
        <v>0</v>
      </c>
      <c r="H19" s="8"/>
      <c r="I19" s="50"/>
      <c r="J19" s="50"/>
      <c r="K19" s="53"/>
      <c r="L19" s="50"/>
      <c r="M19" s="54"/>
      <c r="N19" s="50"/>
      <c r="O19" s="60" t="b">
        <v>0</v>
      </c>
      <c r="P19" s="8"/>
      <c r="Q19" s="50"/>
      <c r="R19" s="50"/>
      <c r="S19" s="53"/>
      <c r="T19" s="50"/>
      <c r="U19" s="50"/>
      <c r="V19" s="50"/>
      <c r="W19" s="60" t="b">
        <v>0</v>
      </c>
      <c r="X19" s="8"/>
      <c r="Y19" s="50"/>
      <c r="Z19" s="50"/>
      <c r="AA19" s="28"/>
      <c r="AB19" s="50"/>
      <c r="AC19" s="54"/>
      <c r="AD19" s="50"/>
      <c r="AE19" s="60" t="b">
        <v>0</v>
      </c>
      <c r="AG19" s="50"/>
      <c r="AH19" s="50"/>
      <c r="AI19" s="53"/>
      <c r="AJ19" s="50"/>
      <c r="AK19" s="50"/>
      <c r="AL19" s="50"/>
      <c r="AM19" s="54"/>
    </row>
    <row r="20" ht="15.75" customHeight="1">
      <c r="A20" s="30"/>
      <c r="B20" s="30"/>
      <c r="C20" s="45"/>
      <c r="D20" s="30"/>
      <c r="E20" s="30"/>
      <c r="F20" s="30"/>
      <c r="G20" s="61" t="b">
        <v>0</v>
      </c>
      <c r="H20" s="8"/>
      <c r="I20" s="30"/>
      <c r="J20" s="30"/>
      <c r="K20" s="45"/>
      <c r="L20" s="30"/>
      <c r="M20" s="56"/>
      <c r="N20" s="30"/>
      <c r="O20" s="61" t="b">
        <v>0</v>
      </c>
      <c r="P20" s="8"/>
      <c r="Q20" s="30"/>
      <c r="R20" s="30"/>
      <c r="S20" s="45"/>
      <c r="T20" s="30"/>
      <c r="U20" s="30"/>
      <c r="V20" s="30"/>
      <c r="W20" s="61" t="b">
        <v>0</v>
      </c>
      <c r="X20" s="8"/>
      <c r="Y20" s="30"/>
      <c r="Z20" s="30"/>
      <c r="AA20" s="45"/>
      <c r="AB20" s="30"/>
      <c r="AC20" s="56"/>
      <c r="AD20" s="30"/>
      <c r="AE20" s="61" t="b">
        <v>0</v>
      </c>
      <c r="AG20" s="30"/>
      <c r="AH20" s="30"/>
      <c r="AI20" s="45"/>
      <c r="AJ20" s="30"/>
      <c r="AK20" s="30"/>
      <c r="AL20" s="30"/>
      <c r="AM20" s="56"/>
    </row>
    <row r="21" ht="15.75" customHeight="1">
      <c r="A21" s="50"/>
      <c r="B21" s="50"/>
      <c r="C21" s="53"/>
      <c r="D21" s="50"/>
      <c r="E21" s="50"/>
      <c r="F21" s="50"/>
      <c r="G21" s="60" t="b">
        <v>0</v>
      </c>
      <c r="H21" s="8"/>
      <c r="I21" s="50"/>
      <c r="J21" s="50"/>
      <c r="K21" s="53"/>
      <c r="L21" s="50"/>
      <c r="M21" s="54"/>
      <c r="N21" s="50"/>
      <c r="O21" s="60" t="b">
        <v>0</v>
      </c>
      <c r="P21" s="8"/>
      <c r="Q21" s="50"/>
      <c r="R21" s="50"/>
      <c r="S21" s="53"/>
      <c r="T21" s="50"/>
      <c r="U21" s="50"/>
      <c r="V21" s="50"/>
      <c r="W21" s="60" t="b">
        <v>0</v>
      </c>
      <c r="X21" s="8"/>
      <c r="Y21" s="50"/>
      <c r="Z21" s="50"/>
      <c r="AA21" s="53"/>
      <c r="AB21" s="50"/>
      <c r="AC21" s="54"/>
      <c r="AD21" s="50"/>
      <c r="AE21" s="60" t="b">
        <v>0</v>
      </c>
      <c r="AG21" s="50"/>
      <c r="AH21" s="50"/>
      <c r="AI21" s="53"/>
      <c r="AJ21" s="50"/>
      <c r="AK21" s="50"/>
      <c r="AL21" s="50"/>
      <c r="AM21" s="54"/>
    </row>
    <row r="22" ht="15.75" customHeight="1">
      <c r="A22" s="30"/>
      <c r="B22" s="30"/>
      <c r="C22" s="45"/>
      <c r="D22" s="30"/>
      <c r="E22" s="30"/>
      <c r="F22" s="30"/>
      <c r="G22" s="61" t="b">
        <v>0</v>
      </c>
      <c r="H22" s="8"/>
      <c r="I22" s="30"/>
      <c r="J22" s="30"/>
      <c r="K22" s="45"/>
      <c r="L22" s="30"/>
      <c r="M22" s="56"/>
      <c r="N22" s="30"/>
      <c r="O22" s="61" t="b">
        <v>0</v>
      </c>
      <c r="P22" s="8"/>
      <c r="Q22" s="30"/>
      <c r="R22" s="30"/>
      <c r="S22" s="45"/>
      <c r="T22" s="30"/>
      <c r="U22" s="30"/>
      <c r="V22" s="30"/>
      <c r="W22" s="61" t="b">
        <v>0</v>
      </c>
      <c r="X22" s="8"/>
      <c r="Y22" s="30"/>
      <c r="Z22" s="30"/>
      <c r="AA22" s="45"/>
      <c r="AB22" s="30"/>
      <c r="AC22" s="56"/>
      <c r="AD22" s="30"/>
      <c r="AE22" s="61" t="b">
        <v>0</v>
      </c>
      <c r="AG22" s="30"/>
      <c r="AH22" s="30"/>
      <c r="AI22" s="45"/>
      <c r="AJ22" s="30"/>
      <c r="AK22" s="30"/>
      <c r="AL22" s="30"/>
      <c r="AM22" s="56"/>
    </row>
    <row r="23" ht="15.75" customHeight="1">
      <c r="A23" s="50"/>
      <c r="B23" s="50"/>
      <c r="C23" s="53"/>
      <c r="D23" s="50"/>
      <c r="E23" s="50"/>
      <c r="F23" s="50"/>
      <c r="G23" s="60" t="b">
        <v>0</v>
      </c>
      <c r="H23" s="8"/>
      <c r="I23" s="50"/>
      <c r="J23" s="50"/>
      <c r="K23" s="53"/>
      <c r="L23" s="50"/>
      <c r="M23" s="54"/>
      <c r="N23" s="50"/>
      <c r="O23" s="60" t="b">
        <v>0</v>
      </c>
      <c r="P23" s="8"/>
      <c r="Q23" s="50"/>
      <c r="R23" s="50"/>
      <c r="S23" s="53"/>
      <c r="T23" s="50"/>
      <c r="U23" s="50"/>
      <c r="V23" s="50"/>
      <c r="W23" s="60" t="b">
        <v>0</v>
      </c>
      <c r="X23" s="8"/>
      <c r="Y23" s="50"/>
      <c r="Z23" s="50"/>
      <c r="AA23" s="53"/>
      <c r="AB23" s="50"/>
      <c r="AC23" s="54"/>
      <c r="AD23" s="50"/>
      <c r="AE23" s="60" t="b">
        <v>0</v>
      </c>
      <c r="AG23" s="50"/>
      <c r="AH23" s="50"/>
      <c r="AI23" s="53"/>
      <c r="AJ23" s="50"/>
      <c r="AK23" s="50"/>
      <c r="AL23" s="50"/>
      <c r="AM23" s="54"/>
    </row>
    <row r="24" ht="15.75" customHeight="1">
      <c r="A24" s="30"/>
      <c r="B24" s="30"/>
      <c r="C24" s="45"/>
      <c r="D24" s="30"/>
      <c r="E24" s="30"/>
      <c r="F24" s="30"/>
      <c r="G24" s="61" t="b">
        <v>0</v>
      </c>
      <c r="H24" s="8"/>
      <c r="I24" s="30"/>
      <c r="J24" s="30"/>
      <c r="K24" s="45"/>
      <c r="L24" s="30"/>
      <c r="M24" s="56"/>
      <c r="N24" s="30"/>
      <c r="O24" s="61" t="b">
        <v>0</v>
      </c>
      <c r="P24" s="8"/>
      <c r="Q24" s="30"/>
      <c r="R24" s="30"/>
      <c r="S24" s="45"/>
      <c r="T24" s="30"/>
      <c r="U24" s="30"/>
      <c r="V24" s="30"/>
      <c r="W24" s="61" t="b">
        <v>0</v>
      </c>
      <c r="X24" s="8"/>
      <c r="Y24" s="30"/>
      <c r="Z24" s="30"/>
      <c r="AA24" s="45"/>
      <c r="AB24" s="30"/>
      <c r="AC24" s="56"/>
      <c r="AD24" s="30"/>
      <c r="AE24" s="61" t="b">
        <v>0</v>
      </c>
      <c r="AG24" s="30"/>
      <c r="AH24" s="30"/>
      <c r="AI24" s="45"/>
      <c r="AJ24" s="30"/>
      <c r="AK24" s="30"/>
      <c r="AL24" s="30"/>
      <c r="AM24" s="56"/>
    </row>
    <row r="25" ht="15.75" customHeight="1">
      <c r="A25" s="50"/>
      <c r="B25" s="50"/>
      <c r="C25" s="53"/>
      <c r="D25" s="50"/>
      <c r="E25" s="50"/>
      <c r="F25" s="50"/>
      <c r="G25" s="60" t="b">
        <v>0</v>
      </c>
      <c r="H25" s="8"/>
      <c r="I25" s="50"/>
      <c r="J25" s="50"/>
      <c r="K25" s="53"/>
      <c r="L25" s="50"/>
      <c r="M25" s="54"/>
      <c r="N25" s="50"/>
      <c r="O25" s="60" t="b">
        <v>0</v>
      </c>
      <c r="P25" s="8"/>
      <c r="Q25" s="50"/>
      <c r="R25" s="50"/>
      <c r="S25" s="53"/>
      <c r="T25" s="50"/>
      <c r="U25" s="50"/>
      <c r="V25" s="50"/>
      <c r="W25" s="60" t="b">
        <v>0</v>
      </c>
      <c r="X25" s="8"/>
      <c r="Y25" s="50"/>
      <c r="Z25" s="50"/>
      <c r="AA25" s="53"/>
      <c r="AB25" s="50"/>
      <c r="AC25" s="54"/>
      <c r="AD25" s="50"/>
      <c r="AE25" s="60" t="b">
        <v>0</v>
      </c>
      <c r="AG25" s="50"/>
      <c r="AH25" s="50"/>
      <c r="AI25" s="53"/>
      <c r="AJ25" s="50"/>
      <c r="AK25" s="50"/>
      <c r="AL25" s="50"/>
      <c r="AM25" s="54"/>
    </row>
    <row r="26" ht="15.75" customHeight="1">
      <c r="A26" s="30"/>
      <c r="B26" s="30"/>
      <c r="C26" s="45"/>
      <c r="D26" s="30"/>
      <c r="E26" s="30"/>
      <c r="F26" s="30"/>
      <c r="G26" s="61" t="b">
        <v>0</v>
      </c>
      <c r="H26" s="8"/>
      <c r="I26" s="30"/>
      <c r="J26" s="30"/>
      <c r="K26" s="45"/>
      <c r="L26" s="30"/>
      <c r="M26" s="56"/>
      <c r="N26" s="30"/>
      <c r="O26" s="61" t="b">
        <v>0</v>
      </c>
      <c r="P26" s="8"/>
      <c r="Q26" s="30"/>
      <c r="R26" s="30"/>
      <c r="S26" s="45"/>
      <c r="T26" s="30"/>
      <c r="U26" s="30"/>
      <c r="V26" s="30"/>
      <c r="W26" s="61" t="b">
        <v>0</v>
      </c>
      <c r="X26" s="8"/>
      <c r="Y26" s="30"/>
      <c r="Z26" s="30"/>
      <c r="AA26" s="45"/>
      <c r="AB26" s="30"/>
      <c r="AC26" s="56"/>
      <c r="AD26" s="30"/>
      <c r="AE26" s="61" t="b">
        <v>0</v>
      </c>
      <c r="AG26" s="30"/>
      <c r="AH26" s="30"/>
      <c r="AI26" s="45"/>
      <c r="AJ26" s="30"/>
      <c r="AK26" s="30"/>
      <c r="AL26" s="30"/>
      <c r="AM26" s="56"/>
    </row>
    <row r="27" ht="15.75" customHeight="1">
      <c r="A27" s="50"/>
      <c r="B27" s="50"/>
      <c r="C27" s="53"/>
      <c r="D27" s="50"/>
      <c r="E27" s="50"/>
      <c r="F27" s="50"/>
      <c r="G27" s="60" t="b">
        <v>0</v>
      </c>
      <c r="H27" s="8"/>
      <c r="I27" s="50"/>
      <c r="J27" s="50"/>
      <c r="K27" s="53"/>
      <c r="L27" s="50"/>
      <c r="M27" s="54"/>
      <c r="N27" s="50"/>
      <c r="O27" s="60" t="b">
        <v>0</v>
      </c>
      <c r="P27" s="8"/>
      <c r="Q27" s="50"/>
      <c r="R27" s="50"/>
      <c r="S27" s="53"/>
      <c r="T27" s="50"/>
      <c r="U27" s="50"/>
      <c r="V27" s="50"/>
      <c r="W27" s="60" t="b">
        <v>0</v>
      </c>
      <c r="X27" s="8"/>
      <c r="Y27" s="50"/>
      <c r="Z27" s="50"/>
      <c r="AA27" s="53"/>
      <c r="AB27" s="50"/>
      <c r="AC27" s="54"/>
      <c r="AD27" s="50"/>
      <c r="AE27" s="60" t="b">
        <v>0</v>
      </c>
      <c r="AG27" s="50"/>
      <c r="AH27" s="50"/>
      <c r="AI27" s="53"/>
      <c r="AJ27" s="50"/>
      <c r="AK27" s="50"/>
      <c r="AL27" s="50"/>
      <c r="AM27" s="54"/>
    </row>
    <row r="28" ht="15.75" customHeight="1">
      <c r="A28" s="30"/>
      <c r="B28" s="30"/>
      <c r="C28" s="45"/>
      <c r="D28" s="30"/>
      <c r="E28" s="30"/>
      <c r="F28" s="30"/>
      <c r="G28" s="61" t="b">
        <v>0</v>
      </c>
      <c r="H28" s="8"/>
      <c r="I28" s="30"/>
      <c r="J28" s="30"/>
      <c r="K28" s="45"/>
      <c r="L28" s="30"/>
      <c r="M28" s="56"/>
      <c r="N28" s="30"/>
      <c r="O28" s="61" t="b">
        <v>0</v>
      </c>
      <c r="P28" s="8"/>
      <c r="Q28" s="30"/>
      <c r="R28" s="30"/>
      <c r="S28" s="45"/>
      <c r="T28" s="30"/>
      <c r="U28" s="30"/>
      <c r="V28" s="30"/>
      <c r="W28" s="61" t="b">
        <v>0</v>
      </c>
      <c r="X28" s="8"/>
      <c r="Y28" s="30"/>
      <c r="Z28" s="30"/>
      <c r="AA28" s="45"/>
      <c r="AB28" s="30"/>
      <c r="AC28" s="56"/>
      <c r="AD28" s="30"/>
      <c r="AE28" s="61" t="b">
        <v>0</v>
      </c>
      <c r="AG28" s="30"/>
      <c r="AH28" s="30"/>
      <c r="AI28" s="45"/>
      <c r="AJ28" s="30"/>
      <c r="AK28" s="30"/>
      <c r="AL28" s="30"/>
      <c r="AM28" s="56"/>
    </row>
    <row r="29" ht="15.75" customHeight="1">
      <c r="A29" s="50"/>
      <c r="B29" s="50"/>
      <c r="C29" s="53"/>
      <c r="D29" s="50"/>
      <c r="E29" s="50"/>
      <c r="F29" s="50"/>
      <c r="G29" s="60" t="b">
        <v>0</v>
      </c>
      <c r="H29" s="8"/>
      <c r="I29" s="50"/>
      <c r="J29" s="50"/>
      <c r="K29" s="53"/>
      <c r="L29" s="50"/>
      <c r="M29" s="54"/>
      <c r="N29" s="50"/>
      <c r="O29" s="60" t="b">
        <v>0</v>
      </c>
      <c r="P29" s="8"/>
      <c r="Q29" s="50"/>
      <c r="R29" s="50"/>
      <c r="S29" s="53"/>
      <c r="T29" s="50"/>
      <c r="U29" s="50"/>
      <c r="V29" s="50"/>
      <c r="W29" s="60" t="b">
        <v>0</v>
      </c>
      <c r="X29" s="8"/>
      <c r="Y29" s="50"/>
      <c r="Z29" s="50"/>
      <c r="AA29" s="53"/>
      <c r="AB29" s="50"/>
      <c r="AC29" s="54"/>
      <c r="AD29" s="50"/>
      <c r="AE29" s="60" t="b">
        <v>0</v>
      </c>
      <c r="AG29" s="50"/>
      <c r="AH29" s="50"/>
      <c r="AI29" s="53"/>
      <c r="AJ29" s="50"/>
      <c r="AK29" s="50"/>
      <c r="AL29" s="50"/>
      <c r="AM29" s="54"/>
    </row>
    <row r="30" ht="15.75" customHeight="1">
      <c r="A30" s="30"/>
      <c r="B30" s="30"/>
      <c r="C30" s="45"/>
      <c r="D30" s="30"/>
      <c r="E30" s="30"/>
      <c r="F30" s="30"/>
      <c r="G30" s="61" t="b">
        <v>0</v>
      </c>
      <c r="H30" s="8"/>
      <c r="I30" s="30"/>
      <c r="J30" s="30"/>
      <c r="K30" s="45"/>
      <c r="L30" s="30"/>
      <c r="M30" s="56"/>
      <c r="N30" s="30"/>
      <c r="O30" s="61" t="b">
        <v>0</v>
      </c>
      <c r="P30" s="8"/>
      <c r="Q30" s="30"/>
      <c r="R30" s="30"/>
      <c r="S30" s="45"/>
      <c r="T30" s="30"/>
      <c r="U30" s="30"/>
      <c r="V30" s="30"/>
      <c r="W30" s="61" t="b">
        <v>0</v>
      </c>
      <c r="X30" s="8"/>
      <c r="Y30" s="30"/>
      <c r="Z30" s="30"/>
      <c r="AA30" s="45"/>
      <c r="AB30" s="30"/>
      <c r="AC30" s="56"/>
      <c r="AD30" s="30"/>
      <c r="AE30" s="61" t="b">
        <v>0</v>
      </c>
      <c r="AG30" s="30"/>
      <c r="AH30" s="30"/>
      <c r="AI30" s="45"/>
      <c r="AJ30" s="30"/>
      <c r="AK30" s="30"/>
      <c r="AL30" s="30"/>
      <c r="AM30" s="56"/>
    </row>
    <row r="31" ht="15.75" customHeight="1">
      <c r="A31" s="50"/>
      <c r="B31" s="50"/>
      <c r="C31" s="53"/>
      <c r="D31" s="50"/>
      <c r="E31" s="50"/>
      <c r="F31" s="50"/>
      <c r="G31" s="60" t="b">
        <v>0</v>
      </c>
      <c r="H31" s="8"/>
      <c r="I31" s="50"/>
      <c r="J31" s="50"/>
      <c r="K31" s="53"/>
      <c r="L31" s="50"/>
      <c r="M31" s="54"/>
      <c r="N31" s="50"/>
      <c r="O31" s="60" t="b">
        <v>0</v>
      </c>
      <c r="P31" s="8"/>
      <c r="Q31" s="50"/>
      <c r="R31" s="50"/>
      <c r="S31" s="53"/>
      <c r="T31" s="50"/>
      <c r="U31" s="50"/>
      <c r="V31" s="50"/>
      <c r="W31" s="60" t="b">
        <v>0</v>
      </c>
      <c r="X31" s="8"/>
      <c r="Y31" s="50"/>
      <c r="Z31" s="50"/>
      <c r="AA31" s="53"/>
      <c r="AB31" s="50"/>
      <c r="AC31" s="54"/>
      <c r="AD31" s="50"/>
      <c r="AE31" s="60" t="b">
        <v>0</v>
      </c>
      <c r="AG31" s="50"/>
      <c r="AH31" s="50"/>
      <c r="AI31" s="53"/>
      <c r="AJ31" s="50"/>
      <c r="AK31" s="50"/>
      <c r="AL31" s="50"/>
      <c r="AM31" s="54"/>
    </row>
    <row r="32" ht="15.75" customHeight="1">
      <c r="A32" s="30"/>
      <c r="B32" s="30"/>
      <c r="C32" s="45"/>
      <c r="D32" s="30"/>
      <c r="E32" s="30"/>
      <c r="F32" s="30"/>
      <c r="G32" s="61" t="b">
        <v>0</v>
      </c>
      <c r="H32" s="8"/>
      <c r="I32" s="30"/>
      <c r="J32" s="30"/>
      <c r="K32" s="45"/>
      <c r="L32" s="30"/>
      <c r="M32" s="56"/>
      <c r="N32" s="30"/>
      <c r="O32" s="61" t="b">
        <v>0</v>
      </c>
      <c r="P32" s="8"/>
      <c r="Q32" s="30"/>
      <c r="R32" s="30"/>
      <c r="S32" s="45"/>
      <c r="T32" s="30"/>
      <c r="U32" s="30"/>
      <c r="V32" s="30"/>
      <c r="W32" s="61" t="b">
        <v>0</v>
      </c>
      <c r="X32" s="8"/>
      <c r="Y32" s="30"/>
      <c r="Z32" s="30"/>
      <c r="AA32" s="45"/>
      <c r="AB32" s="30"/>
      <c r="AC32" s="56"/>
      <c r="AD32" s="30"/>
      <c r="AE32" s="61" t="b">
        <v>0</v>
      </c>
      <c r="AG32" s="30"/>
      <c r="AH32" s="30"/>
      <c r="AI32" s="45"/>
      <c r="AJ32" s="30"/>
      <c r="AK32" s="30"/>
      <c r="AL32" s="30"/>
      <c r="AM32" s="56"/>
    </row>
    <row r="33" ht="15.75" customHeight="1">
      <c r="A33" s="50"/>
      <c r="B33" s="50"/>
      <c r="C33" s="53"/>
      <c r="D33" s="50"/>
      <c r="E33" s="50"/>
      <c r="F33" s="50"/>
      <c r="G33" s="60" t="b">
        <v>0</v>
      </c>
      <c r="H33" s="8"/>
      <c r="I33" s="50"/>
      <c r="J33" s="50"/>
      <c r="K33" s="53"/>
      <c r="L33" s="50"/>
      <c r="M33" s="54"/>
      <c r="N33" s="50"/>
      <c r="O33" s="60" t="b">
        <v>0</v>
      </c>
      <c r="P33" s="8"/>
      <c r="Q33" s="50"/>
      <c r="R33" s="50"/>
      <c r="S33" s="53"/>
      <c r="T33" s="50"/>
      <c r="U33" s="50"/>
      <c r="V33" s="50"/>
      <c r="W33" s="60" t="b">
        <v>0</v>
      </c>
      <c r="X33" s="8"/>
      <c r="Y33" s="50"/>
      <c r="Z33" s="50"/>
      <c r="AA33" s="53"/>
      <c r="AB33" s="50"/>
      <c r="AC33" s="54"/>
      <c r="AD33" s="50"/>
      <c r="AE33" s="60" t="b">
        <v>0</v>
      </c>
      <c r="AG33" s="50"/>
      <c r="AH33" s="50"/>
      <c r="AI33" s="53"/>
      <c r="AJ33" s="50"/>
      <c r="AK33" s="50"/>
      <c r="AL33" s="50"/>
      <c r="AM33" s="54"/>
    </row>
    <row r="34" ht="15.75" customHeight="1">
      <c r="A34" s="30"/>
      <c r="B34" s="30"/>
      <c r="C34" s="45"/>
      <c r="D34" s="30"/>
      <c r="E34" s="30"/>
      <c r="F34" s="30"/>
      <c r="G34" s="61" t="b">
        <v>0</v>
      </c>
      <c r="H34" s="8"/>
      <c r="I34" s="30"/>
      <c r="J34" s="30"/>
      <c r="K34" s="45"/>
      <c r="L34" s="30"/>
      <c r="M34" s="56"/>
      <c r="N34" s="30"/>
      <c r="O34" s="61" t="b">
        <v>0</v>
      </c>
      <c r="P34" s="8"/>
      <c r="Q34" s="30"/>
      <c r="R34" s="30"/>
      <c r="S34" s="45"/>
      <c r="T34" s="30"/>
      <c r="U34" s="30"/>
      <c r="V34" s="30"/>
      <c r="W34" s="61" t="b">
        <v>0</v>
      </c>
      <c r="X34" s="8"/>
      <c r="Y34" s="30"/>
      <c r="Z34" s="30"/>
      <c r="AA34" s="45"/>
      <c r="AB34" s="30"/>
      <c r="AC34" s="56"/>
      <c r="AD34" s="30"/>
      <c r="AE34" s="61" t="b">
        <v>0</v>
      </c>
      <c r="AG34" s="30"/>
      <c r="AH34" s="30"/>
      <c r="AI34" s="45"/>
      <c r="AJ34" s="30"/>
      <c r="AK34" s="30"/>
      <c r="AL34" s="30"/>
      <c r="AM34" s="56"/>
    </row>
    <row r="35" ht="15.75" customHeight="1">
      <c r="A35" s="50"/>
      <c r="B35" s="50"/>
      <c r="C35" s="53"/>
      <c r="D35" s="50"/>
      <c r="E35" s="50"/>
      <c r="F35" s="50"/>
      <c r="G35" s="60" t="b">
        <v>0</v>
      </c>
      <c r="H35" s="8"/>
      <c r="I35" s="50"/>
      <c r="J35" s="50"/>
      <c r="K35" s="53"/>
      <c r="L35" s="50"/>
      <c r="M35" s="54"/>
      <c r="N35" s="50"/>
      <c r="O35" s="60" t="b">
        <v>0</v>
      </c>
      <c r="P35" s="8"/>
      <c r="Q35" s="50"/>
      <c r="R35" s="50"/>
      <c r="S35" s="53"/>
      <c r="T35" s="50"/>
      <c r="U35" s="50"/>
      <c r="V35" s="50"/>
      <c r="W35" s="60" t="b">
        <v>0</v>
      </c>
      <c r="X35" s="8"/>
      <c r="Y35" s="50"/>
      <c r="Z35" s="50"/>
      <c r="AA35" s="53"/>
      <c r="AB35" s="50"/>
      <c r="AC35" s="54"/>
      <c r="AD35" s="50"/>
      <c r="AE35" s="60" t="b">
        <v>0</v>
      </c>
      <c r="AG35" s="50"/>
      <c r="AH35" s="50"/>
      <c r="AI35" s="53"/>
      <c r="AJ35" s="50"/>
      <c r="AK35" s="50"/>
      <c r="AL35" s="50"/>
      <c r="AM35" s="54"/>
    </row>
    <row r="36" ht="15.75" customHeight="1">
      <c r="A36" s="30"/>
      <c r="B36" s="30"/>
      <c r="C36" s="45"/>
      <c r="D36" s="30"/>
      <c r="E36" s="30"/>
      <c r="F36" s="30"/>
      <c r="G36" s="61" t="b">
        <v>0</v>
      </c>
      <c r="H36" s="8"/>
      <c r="I36" s="30"/>
      <c r="J36" s="30"/>
      <c r="K36" s="45"/>
      <c r="L36" s="30"/>
      <c r="M36" s="56"/>
      <c r="N36" s="30"/>
      <c r="O36" s="61" t="b">
        <v>0</v>
      </c>
      <c r="P36" s="8"/>
      <c r="Q36" s="30"/>
      <c r="R36" s="30"/>
      <c r="S36" s="45"/>
      <c r="T36" s="30"/>
      <c r="U36" s="30"/>
      <c r="V36" s="30"/>
      <c r="W36" s="61" t="b">
        <v>0</v>
      </c>
      <c r="X36" s="8"/>
      <c r="Y36" s="30"/>
      <c r="Z36" s="30"/>
      <c r="AA36" s="45"/>
      <c r="AB36" s="30"/>
      <c r="AC36" s="56"/>
      <c r="AD36" s="30"/>
      <c r="AE36" s="61" t="b">
        <v>0</v>
      </c>
      <c r="AG36" s="30"/>
      <c r="AH36" s="30"/>
      <c r="AI36" s="45"/>
      <c r="AJ36" s="30"/>
      <c r="AK36" s="30"/>
      <c r="AL36" s="30"/>
      <c r="AM36" s="56"/>
    </row>
    <row r="37" ht="15.75" customHeight="1">
      <c r="A37" s="50"/>
      <c r="B37" s="50"/>
      <c r="C37" s="53"/>
      <c r="D37" s="50"/>
      <c r="E37" s="50"/>
      <c r="F37" s="50"/>
      <c r="G37" s="60" t="b">
        <v>0</v>
      </c>
      <c r="H37" s="8"/>
      <c r="I37" s="50"/>
      <c r="J37" s="50"/>
      <c r="K37" s="53"/>
      <c r="L37" s="50"/>
      <c r="M37" s="54"/>
      <c r="N37" s="50"/>
      <c r="O37" s="60" t="b">
        <v>0</v>
      </c>
      <c r="P37" s="8"/>
      <c r="Q37" s="50"/>
      <c r="R37" s="50"/>
      <c r="S37" s="53"/>
      <c r="T37" s="50"/>
      <c r="U37" s="50"/>
      <c r="V37" s="50"/>
      <c r="W37" s="60" t="b">
        <v>0</v>
      </c>
      <c r="X37" s="8"/>
      <c r="Y37" s="50"/>
      <c r="Z37" s="50"/>
      <c r="AA37" s="53"/>
      <c r="AB37" s="50"/>
      <c r="AC37" s="54"/>
      <c r="AD37" s="50"/>
      <c r="AE37" s="60" t="b">
        <v>0</v>
      </c>
      <c r="AG37" s="50"/>
      <c r="AH37" s="50"/>
      <c r="AI37" s="53"/>
      <c r="AJ37" s="50"/>
      <c r="AK37" s="50"/>
      <c r="AL37" s="50"/>
      <c r="AM37" s="54"/>
    </row>
    <row r="38" ht="15.75" customHeight="1">
      <c r="A38" s="30"/>
      <c r="B38" s="30"/>
      <c r="C38" s="45"/>
      <c r="D38" s="30"/>
      <c r="E38" s="30"/>
      <c r="F38" s="30"/>
      <c r="G38" s="61" t="b">
        <v>0</v>
      </c>
      <c r="H38" s="8"/>
      <c r="I38" s="30"/>
      <c r="J38" s="30"/>
      <c r="K38" s="45"/>
      <c r="L38" s="30"/>
      <c r="M38" s="56"/>
      <c r="N38" s="30"/>
      <c r="O38" s="61" t="b">
        <v>0</v>
      </c>
      <c r="P38" s="8"/>
      <c r="Q38" s="30"/>
      <c r="R38" s="30"/>
      <c r="S38" s="45"/>
      <c r="T38" s="30"/>
      <c r="U38" s="30"/>
      <c r="V38" s="30"/>
      <c r="W38" s="61" t="b">
        <v>0</v>
      </c>
      <c r="X38" s="8"/>
      <c r="Y38" s="30"/>
      <c r="Z38" s="30"/>
      <c r="AA38" s="45"/>
      <c r="AB38" s="30"/>
      <c r="AC38" s="56"/>
      <c r="AD38" s="30"/>
      <c r="AE38" s="61" t="b">
        <v>0</v>
      </c>
      <c r="AG38" s="30"/>
      <c r="AH38" s="30"/>
      <c r="AI38" s="45"/>
      <c r="AJ38" s="30"/>
      <c r="AK38" s="30"/>
      <c r="AL38" s="30"/>
      <c r="AM38" s="56"/>
    </row>
    <row r="39" ht="15.75" customHeight="1">
      <c r="A39" s="50"/>
      <c r="B39" s="50"/>
      <c r="C39" s="53"/>
      <c r="D39" s="50"/>
      <c r="E39" s="50"/>
      <c r="F39" s="50"/>
      <c r="G39" s="60" t="b">
        <v>0</v>
      </c>
      <c r="H39" s="8"/>
      <c r="I39" s="50"/>
      <c r="J39" s="50"/>
      <c r="K39" s="53"/>
      <c r="L39" s="50"/>
      <c r="M39" s="54"/>
      <c r="N39" s="50"/>
      <c r="O39" s="60" t="b">
        <v>0</v>
      </c>
      <c r="P39" s="8"/>
      <c r="Q39" s="50"/>
      <c r="R39" s="50"/>
      <c r="S39" s="53"/>
      <c r="T39" s="50"/>
      <c r="U39" s="50"/>
      <c r="V39" s="50"/>
      <c r="W39" s="60" t="b">
        <v>0</v>
      </c>
      <c r="X39" s="8"/>
      <c r="Y39" s="50"/>
      <c r="Z39" s="50"/>
      <c r="AA39" s="53"/>
      <c r="AB39" s="50"/>
      <c r="AC39" s="54"/>
      <c r="AD39" s="50"/>
      <c r="AE39" s="60" t="b">
        <v>0</v>
      </c>
      <c r="AG39" s="50"/>
      <c r="AH39" s="50"/>
      <c r="AI39" s="53"/>
      <c r="AJ39" s="50"/>
      <c r="AK39" s="50"/>
      <c r="AL39" s="50"/>
      <c r="AM39" s="54"/>
    </row>
    <row r="40" ht="15.75" customHeight="1">
      <c r="A40" s="30"/>
      <c r="B40" s="30"/>
      <c r="C40" s="45"/>
      <c r="D40" s="30"/>
      <c r="E40" s="30"/>
      <c r="F40" s="30"/>
      <c r="G40" s="61" t="b">
        <v>0</v>
      </c>
      <c r="H40" s="8"/>
      <c r="I40" s="30"/>
      <c r="J40" s="30"/>
      <c r="K40" s="45"/>
      <c r="L40" s="30"/>
      <c r="M40" s="56"/>
      <c r="N40" s="30"/>
      <c r="O40" s="61" t="b">
        <v>0</v>
      </c>
      <c r="P40" s="8"/>
      <c r="Q40" s="30"/>
      <c r="R40" s="30"/>
      <c r="S40" s="45"/>
      <c r="T40" s="30"/>
      <c r="U40" s="30"/>
      <c r="V40" s="30"/>
      <c r="W40" s="61" t="b">
        <v>0</v>
      </c>
      <c r="X40" s="8"/>
      <c r="Y40" s="30"/>
      <c r="Z40" s="30"/>
      <c r="AA40" s="45"/>
      <c r="AB40" s="30"/>
      <c r="AC40" s="56"/>
      <c r="AD40" s="30"/>
      <c r="AE40" s="61" t="b">
        <v>0</v>
      </c>
      <c r="AG40" s="30"/>
      <c r="AH40" s="30"/>
      <c r="AI40" s="45"/>
      <c r="AJ40" s="30"/>
      <c r="AK40" s="30"/>
      <c r="AL40" s="30"/>
      <c r="AM40" s="56"/>
    </row>
    <row r="41" ht="15.75" customHeight="1">
      <c r="A41" s="50"/>
      <c r="B41" s="50"/>
      <c r="C41" s="53"/>
      <c r="D41" s="50"/>
      <c r="E41" s="50"/>
      <c r="F41" s="50"/>
      <c r="G41" s="60" t="b">
        <v>0</v>
      </c>
      <c r="H41" s="8"/>
      <c r="I41" s="50"/>
      <c r="J41" s="50"/>
      <c r="K41" s="53"/>
      <c r="L41" s="50"/>
      <c r="M41" s="54"/>
      <c r="N41" s="50"/>
      <c r="O41" s="60" t="b">
        <v>0</v>
      </c>
      <c r="P41" s="8"/>
      <c r="Q41" s="50"/>
      <c r="R41" s="50"/>
      <c r="S41" s="53"/>
      <c r="T41" s="50"/>
      <c r="U41" s="50"/>
      <c r="V41" s="50"/>
      <c r="W41" s="60" t="b">
        <v>0</v>
      </c>
      <c r="X41" s="8"/>
      <c r="Y41" s="50"/>
      <c r="Z41" s="50"/>
      <c r="AA41" s="53"/>
      <c r="AB41" s="50"/>
      <c r="AC41" s="54"/>
      <c r="AD41" s="50"/>
      <c r="AE41" s="60" t="b">
        <v>0</v>
      </c>
      <c r="AG41" s="50"/>
      <c r="AH41" s="50"/>
      <c r="AI41" s="53"/>
      <c r="AJ41" s="50"/>
      <c r="AK41" s="50"/>
      <c r="AL41" s="50"/>
      <c r="AM41" s="54"/>
    </row>
    <row r="42" ht="15.75" customHeight="1">
      <c r="A42" s="30"/>
      <c r="B42" s="30"/>
      <c r="C42" s="45"/>
      <c r="D42" s="30"/>
      <c r="E42" s="30"/>
      <c r="F42" s="30"/>
      <c r="G42" s="61" t="b">
        <v>0</v>
      </c>
      <c r="H42" s="8"/>
      <c r="I42" s="30"/>
      <c r="J42" s="30"/>
      <c r="K42" s="45"/>
      <c r="L42" s="30"/>
      <c r="M42" s="56"/>
      <c r="N42" s="30"/>
      <c r="O42" s="61" t="b">
        <v>0</v>
      </c>
      <c r="P42" s="8"/>
      <c r="Q42" s="30"/>
      <c r="R42" s="30"/>
      <c r="S42" s="45"/>
      <c r="T42" s="30"/>
      <c r="U42" s="30"/>
      <c r="V42" s="30"/>
      <c r="W42" s="61" t="b">
        <v>0</v>
      </c>
      <c r="X42" s="8"/>
      <c r="Y42" s="30"/>
      <c r="Z42" s="30"/>
      <c r="AA42" s="45"/>
      <c r="AB42" s="30"/>
      <c r="AC42" s="56"/>
      <c r="AD42" s="30"/>
      <c r="AE42" s="61" t="b">
        <v>0</v>
      </c>
      <c r="AG42" s="30"/>
      <c r="AH42" s="30"/>
      <c r="AI42" s="45"/>
      <c r="AJ42" s="30"/>
      <c r="AK42" s="30"/>
      <c r="AL42" s="30"/>
      <c r="AM42" s="56"/>
    </row>
    <row r="43" ht="15.75" customHeight="1">
      <c r="A43" s="50"/>
      <c r="B43" s="50"/>
      <c r="C43" s="53"/>
      <c r="D43" s="50"/>
      <c r="E43" s="50"/>
      <c r="F43" s="50"/>
      <c r="G43" s="60" t="b">
        <v>0</v>
      </c>
      <c r="H43" s="8"/>
      <c r="I43" s="50"/>
      <c r="J43" s="50"/>
      <c r="K43" s="53"/>
      <c r="L43" s="50"/>
      <c r="M43" s="54"/>
      <c r="N43" s="50"/>
      <c r="O43" s="60" t="b">
        <v>0</v>
      </c>
      <c r="P43" s="8"/>
      <c r="Q43" s="50"/>
      <c r="R43" s="50"/>
      <c r="S43" s="53"/>
      <c r="T43" s="50"/>
      <c r="U43" s="50"/>
      <c r="V43" s="50"/>
      <c r="W43" s="60" t="b">
        <v>0</v>
      </c>
      <c r="X43" s="8"/>
      <c r="Y43" s="50"/>
      <c r="Z43" s="50"/>
      <c r="AA43" s="53"/>
      <c r="AB43" s="50"/>
      <c r="AC43" s="54"/>
      <c r="AD43" s="50"/>
      <c r="AE43" s="60" t="b">
        <v>0</v>
      </c>
      <c r="AG43" s="50"/>
      <c r="AH43" s="50"/>
      <c r="AI43" s="53"/>
      <c r="AJ43" s="50"/>
      <c r="AK43" s="50"/>
      <c r="AL43" s="50"/>
      <c r="AM43" s="54"/>
    </row>
    <row r="44" ht="15.75" customHeight="1">
      <c r="A44" s="30"/>
      <c r="B44" s="30"/>
      <c r="C44" s="45"/>
      <c r="D44" s="30"/>
      <c r="E44" s="30"/>
      <c r="F44" s="30"/>
      <c r="G44" s="61" t="b">
        <v>0</v>
      </c>
      <c r="H44" s="8"/>
      <c r="I44" s="30"/>
      <c r="J44" s="30"/>
      <c r="K44" s="45"/>
      <c r="L44" s="30"/>
      <c r="M44" s="56"/>
      <c r="N44" s="30"/>
      <c r="O44" s="61" t="b">
        <v>0</v>
      </c>
      <c r="P44" s="8"/>
      <c r="Q44" s="30"/>
      <c r="R44" s="30"/>
      <c r="S44" s="45"/>
      <c r="T44" s="30"/>
      <c r="U44" s="30"/>
      <c r="V44" s="30"/>
      <c r="W44" s="61" t="b">
        <v>0</v>
      </c>
      <c r="X44" s="8"/>
      <c r="Y44" s="30"/>
      <c r="Z44" s="30"/>
      <c r="AA44" s="45"/>
      <c r="AB44" s="30"/>
      <c r="AC44" s="30"/>
      <c r="AD44" s="30"/>
      <c r="AE44" s="61" t="b">
        <v>0</v>
      </c>
      <c r="AG44" s="30"/>
      <c r="AH44" s="30"/>
      <c r="AI44" s="45"/>
      <c r="AJ44" s="30"/>
      <c r="AK44" s="30"/>
      <c r="AL44" s="30"/>
      <c r="AM44" s="56"/>
    </row>
    <row r="45" ht="22.5" customHeight="1">
      <c r="Y45" s="70"/>
      <c r="Z45" s="70"/>
      <c r="AA45" s="70"/>
      <c r="AB45" s="70"/>
      <c r="AC45" s="70"/>
      <c r="AD45" s="70"/>
      <c r="AE45" s="70"/>
      <c r="AF45" s="1"/>
    </row>
  </sheetData>
  <mergeCells count="5">
    <mergeCell ref="A1:AE1"/>
    <mergeCell ref="A3:G3"/>
    <mergeCell ref="I3:O3"/>
    <mergeCell ref="Q3:W3"/>
    <mergeCell ref="Y3:AE3"/>
  </mergeCells>
  <dataValidations>
    <dataValidation allowBlank="1" showDropDown="1" sqref="C6:C44 S6:S44 K6:K44 AA6:AA44 AI6:AI44"/>
  </dataValidations>
  <drawing r:id="rId1"/>
  <tableParts count="5">
    <tablePart r:id="rId7"/>
    <tablePart r:id="rId8"/>
    <tablePart r:id="rId9"/>
    <tablePart r:id="rId10"/>
    <tablePart r:id="rId11"/>
  </tableParts>
</worksheet>
</file>