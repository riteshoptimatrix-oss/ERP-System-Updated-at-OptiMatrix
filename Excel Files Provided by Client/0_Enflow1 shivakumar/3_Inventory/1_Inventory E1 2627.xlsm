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W MATERIALS" sheetId="1" r:id="rId4"/>
    <sheet state="visible" name="PRODUCTS" sheetId="2" r:id="rId5"/>
    <sheet state="visible" name="BOM" sheetId="3" r:id="rId6"/>
    <sheet state="visible" name="ORDERS" sheetId="4" r:id="rId7"/>
    <sheet state="visible" name="SETUP LISTS" sheetId="5" r:id="rId8"/>
    <sheet state="visible" name="REORDER CLAC" sheetId="6" r:id="rId9"/>
    <sheet state="visible" name="Sheet1" sheetId="7" r:id="rId10"/>
  </sheets>
  <definedNames>
    <definedName name="I_CHK_DT">ORDERS!#REF!</definedName>
    <definedName name="L_PRODUCTS">T_PRODUCTS[PRODUCT NAME]</definedName>
    <definedName name="L_RAWMATS">T_RAWMATS[RAW MATERIAL NAME]</definedName>
    <definedName name="TD">TODAY()</definedName>
  </definedNames>
  <calcPr/>
  <extLst>
    <ext uri="GoogleSheetsCustomDataVersion2">
      <go:sheetsCustomData xmlns:go="http://customooxmlschemas.google.com/" r:id="rId11" roundtripDataChecksum="p67PSiJ/LSqEyOKAHKc4vAhxGo2v4PoWP4uA20M4mCE="/>
    </ext>
  </extLst>
</workbook>
</file>

<file path=xl/sharedStrings.xml><?xml version="1.0" encoding="utf-8"?>
<sst xmlns="http://schemas.openxmlformats.org/spreadsheetml/2006/main" count="388" uniqueCount="159">
  <si>
    <t>RAW MATERIALS</t>
  </si>
  <si>
    <t>as of 1st aug</t>
  </si>
  <si>
    <t>Units purchased till now</t>
  </si>
  <si>
    <t>ORDERS</t>
  </si>
  <si>
    <t>Units available in stock now</t>
  </si>
  <si>
    <t>Should we order now?</t>
  </si>
  <si>
    <t>BILL OF MATERIALS</t>
  </si>
  <si>
    <t>Connection pipe Products</t>
  </si>
  <si>
    <t>Total raw material units used till now</t>
  </si>
  <si>
    <t>CHECK TODAY'S AVAILABILITY</t>
  </si>
  <si>
    <t>Available raw materials  now</t>
  </si>
  <si>
    <t>Units of Products that can be made</t>
  </si>
  <si>
    <t>PRODUCT</t>
  </si>
  <si>
    <t>PRODUCT NAME</t>
  </si>
  <si>
    <t>RAW MATERIAL</t>
  </si>
  <si>
    <t>UNITS</t>
  </si>
  <si>
    <t>UNIT OF MEASURE</t>
  </si>
  <si>
    <t>RAW MATERIAL UNITS  USED TILL NOW</t>
  </si>
  <si>
    <t>SALES QUANTITY AS OF TODAY</t>
  </si>
  <si>
    <t>RAW MATERIAL NAME</t>
  </si>
  <si>
    <t>AVAILABLE RAW MATERIALS NOW</t>
  </si>
  <si>
    <t>HOW MANY PRODUCTS CAN BE MADE?</t>
  </si>
  <si>
    <t>HEX NUT 13</t>
  </si>
  <si>
    <t>VENDORS</t>
  </si>
  <si>
    <t>STARTING INVENTORY</t>
  </si>
  <si>
    <t>RE-ORDER POINT</t>
  </si>
  <si>
    <t>AVAILABILITY</t>
  </si>
  <si>
    <t>PURCHASES</t>
  </si>
  <si>
    <t>AVAILABLE NOW</t>
  </si>
  <si>
    <t>TO ORDER</t>
  </si>
  <si>
    <t>ACTION</t>
  </si>
  <si>
    <t>5M moulding</t>
  </si>
  <si>
    <t>HEX NUT SET 13 1000</t>
  </si>
  <si>
    <t>INNER</t>
  </si>
  <si>
    <t>ROUND NUT 13</t>
  </si>
  <si>
    <t>count</t>
  </si>
  <si>
    <t>sample courier</t>
  </si>
  <si>
    <t>Purchase or Sale Order type</t>
  </si>
  <si>
    <t>Date when order is placed</t>
  </si>
  <si>
    <t>Date when inventory reachs you</t>
  </si>
  <si>
    <t>Enter Product name for Sale orders and Raw Material name for Purchase orders</t>
  </si>
  <si>
    <t>Units</t>
  </si>
  <si>
    <t>Optional to store any information.</t>
  </si>
  <si>
    <t>Bill or without bill</t>
  </si>
  <si>
    <t>ORDER NUMBER</t>
  </si>
  <si>
    <t>ORDER TYPE</t>
  </si>
  <si>
    <t>ORDER DATE</t>
  </si>
  <si>
    <t>EXPECTED DATE</t>
  </si>
  <si>
    <t>PRODUCT OR RAW MATERIAL NAME</t>
  </si>
  <si>
    <t>QUANTITY</t>
  </si>
  <si>
    <t>Brand</t>
  </si>
  <si>
    <t>CAP 13</t>
  </si>
  <si>
    <t>customer / vendor</t>
  </si>
  <si>
    <t>B/WB/HB</t>
  </si>
  <si>
    <t>SALE</t>
  </si>
  <si>
    <t>KEY 13</t>
  </si>
  <si>
    <t>WASHER</t>
  </si>
  <si>
    <t>ROUND NUT SET 13 1000</t>
  </si>
  <si>
    <t>HEX NUT SET 13.5 1000</t>
  </si>
  <si>
    <t>PURCHASE</t>
  </si>
  <si>
    <t>POLY 30X40 PRINTED</t>
  </si>
  <si>
    <t>HEX NUT SET 13 2000</t>
  </si>
  <si>
    <t>ROUND NUT SET 13 2000</t>
  </si>
  <si>
    <t>HEX NUT 13.5</t>
  </si>
  <si>
    <t>ROUND NUT 13.5</t>
  </si>
  <si>
    <t>CAP 13.5</t>
  </si>
  <si>
    <t>KEY 13.5</t>
  </si>
  <si>
    <t>ROUND NUT SET 13.5 1000</t>
  </si>
  <si>
    <t>HEX NUT SET 13.5 2000</t>
  </si>
  <si>
    <t>Eva rubbers</t>
  </si>
  <si>
    <t>ROUND NUT SET 13.5 2000</t>
  </si>
  <si>
    <t>MARUDHAR POLYSACKS</t>
  </si>
  <si>
    <t>PRODUCTS</t>
  </si>
  <si>
    <t>ALL ORDER ITEMS</t>
  </si>
  <si>
    <t>EF COVER 3x21</t>
  </si>
  <si>
    <t>Puinth packaging</t>
  </si>
  <si>
    <t>EF COVER 3x26</t>
  </si>
  <si>
    <t>EF COVER 8x10</t>
  </si>
  <si>
    <t>EF LABEL</t>
  </si>
  <si>
    <t>Holosecurity</t>
  </si>
  <si>
    <t>SC LABEL 18 INCH</t>
  </si>
  <si>
    <t>Kolorkode</t>
  </si>
  <si>
    <t>SC LABEL 24 INCH</t>
  </si>
  <si>
    <t>SC LABEL 1 MTR</t>
  </si>
  <si>
    <t>kolorkode</t>
  </si>
  <si>
    <t>SC COVER 3X21</t>
  </si>
  <si>
    <t>puinth packaging</t>
  </si>
  <si>
    <t>SC COVER 3X26</t>
  </si>
  <si>
    <t>WF LABEL 12 INCH</t>
  </si>
  <si>
    <t>WF LABEL 18 INCH</t>
  </si>
  <si>
    <t>WF LABEL 24 INCH</t>
  </si>
  <si>
    <t>WF LABEL 30 INCH</t>
  </si>
  <si>
    <t>WF LABEL 1 MTR</t>
  </si>
  <si>
    <t>WF LABEL 1.5 MTR</t>
  </si>
  <si>
    <t>WF LABEL 2MTR</t>
  </si>
  <si>
    <t>WF COVER 3X21</t>
  </si>
  <si>
    <t>WF COVER 3X26</t>
  </si>
  <si>
    <t>WF COVER 8X10</t>
  </si>
  <si>
    <t>MR LABEL 12 INCH</t>
  </si>
  <si>
    <t>MR LABEL 18 INCH</t>
  </si>
  <si>
    <t>MR LABEL 24 INCH</t>
  </si>
  <si>
    <t>MR LABEL 30 INCH</t>
  </si>
  <si>
    <t>MR LABEL 1 MTR</t>
  </si>
  <si>
    <t>MR LABEL 1.5 MTR</t>
  </si>
  <si>
    <t>MR LABEL 2MTR</t>
  </si>
  <si>
    <t>MR COVER 3X21</t>
  </si>
  <si>
    <t>MR COVER 3X24</t>
  </si>
  <si>
    <t>MR COVER 8X10</t>
  </si>
  <si>
    <t>AK LABEL 12 INCH</t>
  </si>
  <si>
    <t>AK LABEL 18 INCH</t>
  </si>
  <si>
    <t>AK LABEL 24 INCH</t>
  </si>
  <si>
    <t>AK LABEL 30 INCH</t>
  </si>
  <si>
    <t>AK LABEL 1 MTR</t>
  </si>
  <si>
    <t>AK LABEL 1.5 MTR</t>
  </si>
  <si>
    <t>AK LABEL 2 MTR</t>
  </si>
  <si>
    <t>AK COVER 3X21</t>
  </si>
  <si>
    <t>AK COVER 3X26</t>
  </si>
  <si>
    <t>AK COVER 8X10</t>
  </si>
  <si>
    <t>P COVER 3X21</t>
  </si>
  <si>
    <t>P COVER 3X26</t>
  </si>
  <si>
    <t>P COVER 8X10</t>
  </si>
  <si>
    <t>ID LABEL 12 INCH</t>
  </si>
  <si>
    <t>ID LABEL 18 INCH</t>
  </si>
  <si>
    <t>ID LABEL 24 INCH</t>
  </si>
  <si>
    <t>ID LABEL 1 MTR</t>
  </si>
  <si>
    <t>ID LABEL 1.5 MTR</t>
  </si>
  <si>
    <t>ID LABEL 2 MTR</t>
  </si>
  <si>
    <t>ID COVER 3X21</t>
  </si>
  <si>
    <t>ID COVER 3X26</t>
  </si>
  <si>
    <t>ID COVER 8X10</t>
  </si>
  <si>
    <t>COURIER BOX</t>
  </si>
  <si>
    <t>POLY BAG</t>
  </si>
  <si>
    <t>EF  12 INCH  S PIPE</t>
  </si>
  <si>
    <t>ENFLOW 2</t>
  </si>
  <si>
    <t>EF  18 INCH S PIPE</t>
  </si>
  <si>
    <t>EF  24 INCH S PIPE</t>
  </si>
  <si>
    <t>EF  1 MTR S PIPE</t>
  </si>
  <si>
    <t>EF  1.5 MTR S PIPE</t>
  </si>
  <si>
    <t>EF  2 MTR S PIPE</t>
  </si>
  <si>
    <t>EF  12 INCH  B PIPE</t>
  </si>
  <si>
    <t>EF  18 INCH B PIPE</t>
  </si>
  <si>
    <t>EF  24 INCH B PIPE</t>
  </si>
  <si>
    <t>EF  1 MTR B PIPE</t>
  </si>
  <si>
    <t>EF  1.5 MTR B PIPE</t>
  </si>
  <si>
    <t>EF  2 MTR B PIPE</t>
  </si>
  <si>
    <t>SC  18 INCH  S PIPE</t>
  </si>
  <si>
    <t>SC 24 INCH S PIPE</t>
  </si>
  <si>
    <t>SC 1 MTR S PIPE</t>
  </si>
  <si>
    <t>WF  1 MTR S PIPE</t>
  </si>
  <si>
    <t>WF  1.5 MTR S PIPE</t>
  </si>
  <si>
    <t>WF  12 INCH  B PIPE</t>
  </si>
  <si>
    <t>WF  18 INCH B PIPE</t>
  </si>
  <si>
    <t>WF  24 INCH B PIPE</t>
  </si>
  <si>
    <t>WF  1 MTR B PIPE</t>
  </si>
  <si>
    <t>WF  1.5 MTR B PIPE</t>
  </si>
  <si>
    <t>WF  2 MTR B PIPE</t>
  </si>
  <si>
    <t>MR  1 MTR S PIPE</t>
  </si>
  <si>
    <t>MR  1.5 MTR S PIPE</t>
  </si>
  <si>
    <t>MR  12 INCH  B PIPE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</si>
</sst>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-mmm-yyyy"/>
  </numFmts>
  <fonts count="11">
    <font>
      <sz val="11.0"/>
      <color theme="1"/>
      <name val="Calibri"/>
      <scheme val="minor"/>
    </font>
    <font>
      <b/>
      <sz val="18.0"/>
      <color theme="0"/>
      <name val="Calibri"/>
    </font>
    <font>
      <sz val="11.0"/>
      <color theme="1"/>
      <name val="Calibri"/>
    </font>
    <font>
      <i/>
      <sz val="11.0"/>
      <color theme="1"/>
      <name val="Calibri"/>
    </font>
    <font>
      <color theme="1"/>
      <name val="Calibri"/>
      <scheme val="minor"/>
    </font>
    <font>
      <b/>
      <sz val="11.0"/>
      <color theme="0"/>
      <name val="Calibri"/>
    </font>
    <font>
      <sz val="11.0"/>
      <color rgb="FFFFFFFF"/>
      <name val="Calibri"/>
    </font>
    <font>
      <sz val="11.0"/>
      <color theme="0"/>
      <name val="Calibri"/>
    </font>
    <font>
      <i/>
      <sz val="10.0"/>
      <color theme="1"/>
      <name val="Calibri"/>
    </font>
    <font>
      <b/>
      <sz val="11.0"/>
      <color theme="1"/>
      <name val="Calibri"/>
    </font>
    <font>
      <b/>
      <sz val="12.0"/>
      <color theme="5"/>
      <name val="Calibri"/>
    </font>
  </fonts>
  <fills count="10">
    <fill>
      <patternFill patternType="none"/>
    </fill>
    <fill>
      <patternFill patternType="lightGray"/>
    </fill>
    <fill>
      <patternFill patternType="solid">
        <fgColor theme="5"/>
        <bgColor theme="5"/>
      </patternFill>
    </fill>
    <fill>
      <patternFill patternType="solid">
        <fgColor rgb="FFE2EFD9"/>
        <bgColor rgb="FFE2EFD9"/>
      </patternFill>
    </fill>
    <fill>
      <patternFill patternType="solid">
        <fgColor rgb="FF00B050"/>
        <bgColor rgb="FF00B050"/>
      </patternFill>
    </fill>
    <fill>
      <patternFill patternType="solid">
        <fgColor rgb="FFF7CAAC"/>
        <bgColor rgb="FFF7CAAC"/>
      </patternFill>
    </fill>
    <fill>
      <patternFill patternType="solid">
        <fgColor rgb="FFE7E6E6"/>
        <bgColor rgb="FFE7E6E6"/>
      </patternFill>
    </fill>
    <fill>
      <patternFill patternType="solid">
        <fgColor rgb="FFC5E0B3"/>
        <bgColor rgb="FFC5E0B3"/>
      </patternFill>
    </fill>
    <fill>
      <patternFill patternType="solid">
        <fgColor rgb="FFFFFFFF"/>
        <bgColor rgb="FFFFFFFF"/>
      </patternFill>
    </fill>
    <fill>
      <patternFill patternType="solid">
        <fgColor rgb="FFD9EAF7"/>
        <bgColor rgb="FFD9EAF7"/>
      </patternFill>
    </fill>
  </fills>
  <borders count="5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</border>
  </borders>
  <cellStyleXfs count="1">
    <xf borderId="0" fillId="0" fontId="0" numFmtId="0" applyAlignment="1" applyFont="1"/>
  </cellStyleXfs>
  <cellXfs count="77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2" fontId="2" numFmtId="0" xfId="0" applyFont="1"/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 shrinkToFit="0" wrapText="1"/>
    </xf>
    <xf borderId="0" fillId="0" fontId="3" numFmtId="0" xfId="0" applyAlignment="1" applyFont="1">
      <alignment shrinkToFit="0" wrapText="1"/>
    </xf>
    <xf borderId="0" fillId="3" fontId="3" numFmtId="0" xfId="0" applyAlignment="1" applyFill="1" applyFont="1">
      <alignment shrinkToFit="0" wrapText="1"/>
    </xf>
    <xf borderId="0" fillId="0" fontId="4" numFmtId="0" xfId="0" applyAlignment="1" applyFont="1">
      <alignment horizontal="left"/>
    </xf>
    <xf borderId="0" fillId="3" fontId="3" numFmtId="0" xfId="0" applyAlignment="1" applyFont="1">
      <alignment horizontal="left" shrinkToFit="0" wrapText="1"/>
    </xf>
    <xf borderId="0" fillId="2" fontId="1" numFmtId="0" xfId="0" applyAlignment="1" applyFont="1">
      <alignment horizontal="center"/>
    </xf>
    <xf borderId="0" fillId="0" fontId="3" numFmtId="0" xfId="0" applyFont="1"/>
    <xf borderId="0" fillId="0" fontId="2" numFmtId="0" xfId="0" applyAlignment="1" applyFont="1">
      <alignment horizontal="center" readingOrder="0" shrinkToFit="0" vertical="center" wrapText="1"/>
    </xf>
    <xf borderId="0" fillId="0" fontId="3" numFmtId="0" xfId="0" applyAlignment="1" applyFont="1">
      <alignment horizontal="center"/>
    </xf>
    <xf borderId="1" fillId="2" fontId="5" numFmtId="0" xfId="0" applyAlignment="1" applyBorder="1" applyFont="1">
      <alignment horizontal="left"/>
    </xf>
    <xf borderId="2" fillId="0" fontId="6" numFmtId="0" xfId="0" applyAlignment="1" applyBorder="1" applyFont="1">
      <alignment horizontal="center" shrinkToFit="0" vertical="center" wrapText="1"/>
    </xf>
    <xf borderId="3" fillId="2" fontId="7" numFmtId="0" xfId="0" applyBorder="1" applyFont="1"/>
    <xf borderId="3" fillId="2" fontId="7" numFmtId="0" xfId="0" applyAlignment="1" applyBorder="1" applyFont="1">
      <alignment horizontal="left"/>
    </xf>
    <xf borderId="0" fillId="0" fontId="2" numFmtId="0" xfId="0" applyAlignment="1" applyFont="1">
      <alignment horizontal="left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2" fillId="4" fontId="6" numFmtId="0" xfId="0" applyAlignment="1" applyBorder="1" applyFill="1" applyFont="1">
      <alignment horizontal="center" shrinkToFit="0" vertical="center" wrapText="1"/>
    </xf>
    <xf borderId="0" fillId="2" fontId="7" numFmtId="0" xfId="0" applyAlignment="1" applyFont="1">
      <alignment horizontal="left"/>
    </xf>
    <xf borderId="0" fillId="0" fontId="2" numFmtId="0" xfId="0" applyAlignment="1" applyFont="1">
      <alignment horizontal="center" shrinkToFit="0" vertical="center" wrapText="1"/>
    </xf>
    <xf borderId="0" fillId="0" fontId="8" numFmtId="0" xfId="0" applyFont="1"/>
    <xf borderId="2" fillId="0" fontId="2" numFmtId="0" xfId="0" applyAlignment="1" applyBorder="1" applyFont="1">
      <alignment horizontal="left" readingOrder="0" shrinkToFit="0" vertical="center" wrapText="1"/>
    </xf>
    <xf borderId="0" fillId="0" fontId="9" numFmtId="0" xfId="0" applyAlignment="1" applyFont="1">
      <alignment horizontal="center"/>
    </xf>
    <xf borderId="0" fillId="0" fontId="9" numFmtId="0" xfId="0" applyAlignment="1" applyFont="1">
      <alignment horizontal="left"/>
    </xf>
    <xf borderId="0" fillId="0" fontId="2" numFmtId="0" xfId="0" applyAlignment="1" applyFont="1">
      <alignment horizontal="left" readingOrder="0" shrinkToFit="0" vertical="center" wrapText="1"/>
    </xf>
    <xf borderId="2" fillId="0" fontId="2" numFmtId="0" xfId="0" applyAlignment="1" applyBorder="1" applyFont="1">
      <alignment horizontal="left" shrinkToFit="0" vertical="center" wrapText="1"/>
    </xf>
    <xf borderId="4" fillId="5" fontId="2" numFmtId="0" xfId="0" applyAlignment="1" applyBorder="1" applyFill="1" applyFont="1">
      <alignment horizontal="center" readingOrder="0"/>
    </xf>
    <xf borderId="2" fillId="0" fontId="2" numFmtId="3" xfId="0" applyAlignment="1" applyBorder="1" applyFont="1" applyNumberFormat="1">
      <alignment readingOrder="0" shrinkToFit="0" vertical="center" wrapText="0"/>
    </xf>
    <xf borderId="2" fillId="4" fontId="2" numFmtId="0" xfId="0" applyAlignment="1" applyBorder="1" applyFont="1">
      <alignment horizontal="center" shrinkToFit="0" vertical="center" wrapText="1"/>
    </xf>
    <xf borderId="2" fillId="0" fontId="2" numFmtId="0" xfId="0" applyAlignment="1" applyBorder="1" applyFont="1">
      <alignment horizontal="left" readingOrder="0" shrinkToFit="0" vertical="center" wrapText="1"/>
    </xf>
    <xf borderId="2" fillId="0" fontId="2" numFmtId="3" xfId="0" applyAlignment="1" applyBorder="1" applyFont="1" applyNumberFormat="1">
      <alignment shrinkToFit="0" vertical="center" wrapText="0"/>
    </xf>
    <xf borderId="2" fillId="0" fontId="4" numFmtId="0" xfId="0" applyAlignment="1" applyBorder="1" applyFont="1">
      <alignment readingOrder="0" shrinkToFit="0" vertical="center" wrapText="0"/>
    </xf>
    <xf borderId="4" fillId="6" fontId="10" numFmtId="0" xfId="0" applyAlignment="1" applyBorder="1" applyFill="1" applyFont="1">
      <alignment horizontal="left"/>
    </xf>
    <xf borderId="2" fillId="0" fontId="2" numFmtId="2" xfId="0" applyAlignment="1" applyBorder="1" applyFont="1" applyNumberFormat="1">
      <alignment horizontal="center" readingOrder="0"/>
    </xf>
    <xf borderId="0" fillId="6" fontId="10" numFmtId="0" xfId="0" applyAlignment="1" applyFont="1">
      <alignment horizontal="left"/>
    </xf>
    <xf borderId="2" fillId="0" fontId="2" numFmtId="2" xfId="0" applyAlignment="1" applyBorder="1" applyFont="1" applyNumberFormat="1">
      <alignment horizontal="center"/>
    </xf>
    <xf borderId="0" fillId="0" fontId="2" numFmtId="0" xfId="0" applyAlignment="1" applyFont="1">
      <alignment readingOrder="0"/>
    </xf>
    <xf borderId="2" fillId="0" fontId="2" numFmtId="0" xfId="0" applyAlignment="1" applyBorder="1" applyFont="1">
      <alignment horizontal="center" shrinkToFit="0" vertical="center" wrapText="0"/>
    </xf>
    <xf borderId="0" fillId="0" fontId="2" numFmtId="0" xfId="0" applyAlignment="1" applyFont="1">
      <alignment horizontal="left" readingOrder="0"/>
    </xf>
    <xf borderId="2" fillId="3" fontId="2" numFmtId="3" xfId="0" applyAlignment="1" applyBorder="1" applyFont="1" applyNumberFormat="1">
      <alignment shrinkToFit="0" vertical="center" wrapText="0"/>
    </xf>
    <xf borderId="2" fillId="7" fontId="2" numFmtId="2" xfId="0" applyAlignment="1" applyBorder="1" applyFill="1" applyFont="1" applyNumberFormat="1">
      <alignment horizontal="center"/>
    </xf>
    <xf borderId="0" fillId="0" fontId="2" numFmtId="0" xfId="0" applyAlignment="1" applyFont="1">
      <alignment horizontal="left" readingOrder="0" shrinkToFit="0" vertical="center" wrapText="0"/>
    </xf>
    <xf borderId="2" fillId="7" fontId="2" numFmtId="0" xfId="0" applyAlignment="1" applyBorder="1" applyFont="1">
      <alignment horizontal="center"/>
    </xf>
    <xf borderId="2" fillId="3" fontId="2" numFmtId="0" xfId="0" applyAlignment="1" applyBorder="1" applyFont="1">
      <alignment horizontal="center" shrinkToFit="0" vertical="center" wrapText="0"/>
    </xf>
    <xf borderId="2" fillId="0" fontId="4" numFmtId="0" xfId="0" applyAlignment="1" applyBorder="1" applyFont="1">
      <alignment readingOrder="0"/>
    </xf>
    <xf borderId="2" fillId="0" fontId="2" numFmtId="0" xfId="0" applyAlignment="1" applyBorder="1" applyFont="1">
      <alignment readingOrder="0" shrinkToFit="0" vertical="center" wrapText="0"/>
    </xf>
    <xf borderId="2" fillId="3" fontId="2" numFmtId="0" xfId="0" applyAlignment="1" applyBorder="1" applyFont="1">
      <alignment horizontal="left" shrinkToFit="0" vertical="center" wrapText="0"/>
    </xf>
    <xf borderId="2" fillId="0" fontId="2" numFmtId="164" xfId="0" applyAlignment="1" applyBorder="1" applyFont="1" applyNumberFormat="1">
      <alignment horizontal="left" readingOrder="0" shrinkToFit="0" vertical="center" wrapText="0"/>
    </xf>
    <xf borderId="2" fillId="0" fontId="2" numFmtId="0" xfId="0" applyAlignment="1" applyBorder="1" applyFont="1">
      <alignment horizontal="left" readingOrder="0" shrinkToFit="0" vertical="center" wrapText="0"/>
    </xf>
    <xf borderId="2" fillId="0" fontId="2" numFmtId="0" xfId="0" applyAlignment="1" applyBorder="1" applyFont="1">
      <alignment horizontal="left" shrinkToFit="0" vertical="center" wrapText="0"/>
    </xf>
    <xf borderId="2" fillId="0" fontId="2" numFmtId="0" xfId="0" applyAlignment="1" applyBorder="1" applyFont="1">
      <alignment shrinkToFit="0" vertical="center" wrapText="0"/>
    </xf>
    <xf borderId="1" fillId="0" fontId="2" numFmtId="0" xfId="0" applyAlignment="1" applyBorder="1" applyFont="1">
      <alignment horizontal="center" shrinkToFit="0" vertical="center" wrapText="0"/>
    </xf>
    <xf borderId="2" fillId="0" fontId="4" numFmtId="0" xfId="0" applyAlignment="1" applyBorder="1" applyFont="1">
      <alignment shrinkToFit="0" vertical="center" wrapText="0"/>
    </xf>
    <xf borderId="2" fillId="0" fontId="2" numFmtId="0" xfId="0" applyAlignment="1" applyBorder="1" applyFont="1">
      <alignment horizontal="center" shrinkToFit="0" vertical="center" wrapText="0"/>
    </xf>
    <xf borderId="0" fillId="0" fontId="2" numFmtId="0" xfId="0" applyAlignment="1" applyFont="1">
      <alignment horizontal="center" shrinkToFit="0" vertical="center" wrapText="0"/>
    </xf>
    <xf borderId="2" fillId="0" fontId="2" numFmtId="0" xfId="0" applyAlignment="1" applyBorder="1" applyFont="1">
      <alignment readingOrder="0" shrinkToFit="0" vertical="center" wrapText="0"/>
    </xf>
    <xf borderId="2" fillId="0" fontId="2" numFmtId="0" xfId="0" applyAlignment="1" applyBorder="1" applyFont="1">
      <alignment horizontal="center"/>
    </xf>
    <xf borderId="0" fillId="0" fontId="4" numFmtId="0" xfId="0" applyFont="1"/>
    <xf borderId="2" fillId="0" fontId="4" numFmtId="0" xfId="0" applyBorder="1" applyFont="1"/>
    <xf borderId="2" fillId="0" fontId="2" numFmtId="164" xfId="0" applyAlignment="1" applyBorder="1" applyFont="1" applyNumberFormat="1">
      <alignment horizontal="left"/>
    </xf>
    <xf borderId="2" fillId="0" fontId="2" numFmtId="0" xfId="0" applyAlignment="1" applyBorder="1" applyFont="1">
      <alignment horizontal="left"/>
    </xf>
    <xf borderId="0" fillId="0" fontId="2" numFmtId="164" xfId="0" applyAlignment="1" applyFont="1" applyNumberFormat="1">
      <alignment horizontal="left"/>
    </xf>
    <xf borderId="2" fillId="8" fontId="2" numFmtId="0" xfId="0" applyAlignment="1" applyBorder="1" applyFill="1" applyFont="1">
      <alignment readingOrder="0" shrinkToFit="0" wrapText="1"/>
    </xf>
    <xf borderId="2" fillId="8" fontId="2" numFmtId="0" xfId="0" applyAlignment="1" applyBorder="1" applyFont="1">
      <alignment vertical="bottom"/>
    </xf>
    <xf borderId="2" fillId="8" fontId="2" numFmtId="2" xfId="0" applyAlignment="1" applyBorder="1" applyFont="1" applyNumberFormat="1">
      <alignment horizontal="center" vertical="bottom"/>
    </xf>
    <xf borderId="2" fillId="8" fontId="2" numFmtId="0" xfId="0" applyAlignment="1" applyBorder="1" applyFont="1">
      <alignment horizontal="center" vertical="bottom"/>
    </xf>
    <xf borderId="0" fillId="0" fontId="2" numFmtId="0" xfId="0" applyAlignment="1" applyFont="1">
      <alignment vertical="bottom"/>
    </xf>
    <xf borderId="0" fillId="0" fontId="2" numFmtId="0" xfId="0" applyAlignment="1" applyFont="1">
      <alignment horizontal="center"/>
    </xf>
    <xf borderId="2" fillId="9" fontId="9" numFmtId="0" xfId="0" applyAlignment="1" applyBorder="1" applyFill="1" applyFont="1">
      <alignment horizontal="left"/>
    </xf>
    <xf borderId="2" fillId="0" fontId="2" numFmtId="3" xfId="0" applyAlignment="1" applyBorder="1" applyFont="1" applyNumberFormat="1">
      <alignment horizontal="center" readingOrder="0"/>
    </xf>
    <xf borderId="2" fillId="3" fontId="2" numFmtId="3" xfId="0" applyAlignment="1" applyBorder="1" applyFont="1" applyNumberFormat="1">
      <alignment horizontal="center"/>
    </xf>
    <xf borderId="2" fillId="3" fontId="2" numFmtId="0" xfId="0" applyAlignment="1" applyBorder="1" applyFont="1">
      <alignment horizontal="center"/>
    </xf>
    <xf borderId="2" fillId="3" fontId="2" numFmtId="0" xfId="0" applyAlignment="1" applyBorder="1" applyFont="1">
      <alignment horizontal="left"/>
    </xf>
    <xf borderId="2" fillId="0" fontId="2" numFmtId="0" xfId="0" applyAlignment="1" applyBorder="1" applyFont="1">
      <alignment horizontal="left" shrinkToFit="0" vertical="center" wrapText="1"/>
    </xf>
    <xf borderId="2" fillId="0" fontId="2" numFmtId="3" xfId="0" applyAlignment="1" applyBorder="1" applyFont="1" applyNumberFormat="1">
      <alignment horizontal="center"/>
    </xf>
  </cellXfs>
  <cellStyles count="1">
    <cellStyle xfId="0" name="Normal" builtinId="0"/>
  </cellStyles>
  <dxfs count="9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C00000"/>
      </font>
      <fill>
        <patternFill patternType="none"/>
      </fill>
      <border/>
    </dxf>
  </dxfs>
  <tableStyles count="6">
    <tableStyle count="4" pivot="0" name="RAW MATERIAL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ORDER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BOM-style">
      <tableStyleElement dxfId="5" type="headerRow"/>
      <tableStyleElement dxfId="6" type="firstRowStripe"/>
      <tableStyleElement dxfId="7" type="secondRowStripe"/>
    </tableStyle>
    <tableStyle count="4" pivot="0" name="PRODUCT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2" pivot="0" name="PRODUCTS-style 2">
      <tableStyleElement dxfId="2" type="firstRowStripe"/>
      <tableStyleElement dxfId="3" type="secondRowStripe"/>
    </tableStyle>
    <tableStyle count="4" pivot="0" name="Sheet1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H15" displayName="Table1" name="Table1" id="1">
  <tableColumns count="8">
    <tableColumn name="RAW MATERIAL NAME" id="1"/>
    <tableColumn name="VENDORS" id="2"/>
    <tableColumn name="STARTING INVENTORY" id="3"/>
    <tableColumn name="RE-ORDER POINT" id="4"/>
    <tableColumn name="PURCHASES" id="5"/>
    <tableColumn name="AVAILABLE NOW" id="6"/>
    <tableColumn name="TO ORDER" id="7"/>
    <tableColumn name="ACTION" id="8"/>
  </tableColumns>
  <tableStyleInfo name="RAW MATERIALS-style" showColumnStripes="0" showFirstColumn="1" showLastColumn="1" showRowStripes="1"/>
</table>
</file>

<file path=xl/tables/table2.xml><?xml version="1.0" encoding="utf-8"?>
<table xmlns="http://schemas.openxmlformats.org/spreadsheetml/2006/main" ref="A3:B17" displayName="Table3" name="Table3" id="4">
  <tableColumns count="2">
    <tableColumn name="PRODUCT NAME" id="1"/>
    <tableColumn name="SALES QUANTITY AS OF TODAY" id="2"/>
  </tableColumns>
  <tableStyleInfo name="PRODUCTS-style" showColumnStripes="0" showFirstColumn="1" showLastColumn="1" showRowStripes="1"/>
</table>
</file>

<file path=xl/tables/table3.xml><?xml version="1.0" encoding="utf-8"?>
<table xmlns="http://schemas.openxmlformats.org/spreadsheetml/2006/main" headerRowCount="0" ref="A18:A21" displayName="Table_2" name="Table_2" id="5">
  <tableColumns count="1">
    <tableColumn name="Column1" id="1"/>
  </tableColumns>
  <tableStyleInfo name="PRODUCTS-style 2" showColumnStripes="0" showFirstColumn="1" showLastColumn="1" showRowStripes="1"/>
</table>
</file>

<file path=xl/tables/table4.xml><?xml version="1.0" encoding="utf-8"?>
<table xmlns="http://schemas.openxmlformats.org/spreadsheetml/2006/main" ref="A3:G56" displayName="Table_1" name="Table_1" id="2">
  <tableColumns count="7">
    <tableColumn name="PRODUCT" id="1"/>
    <tableColumn name="RAW MATERIAL" id="2"/>
    <tableColumn name="UNITS" id="3"/>
    <tableColumn name="UNIT OF MEASURE" id="4"/>
    <tableColumn name="RAW MATERIAL UNITS  USED TILL NOW" id="5"/>
    <tableColumn name="AVAILABLE RAW MATERIALS NOW" id="6"/>
    <tableColumn name="HOW MANY PRODUCTS CAN BE MADE?" id="7"/>
  </tableColumns>
  <tableStyleInfo name="BOM-style" showColumnStripes="0" showFirstColumn="1" showLastColumn="1" showRowStripes="1"/>
</table>
</file>

<file path=xl/tables/table5.xml><?xml version="1.0" encoding="utf-8"?>
<table xmlns="http://schemas.openxmlformats.org/spreadsheetml/2006/main" ref="A7:I19" displayName="Table4" name="Table4" id="3">
  <tableColumns count="9">
    <tableColumn name="ORDER NUMBER" id="1"/>
    <tableColumn name="ORDER TYPE" id="2"/>
    <tableColumn name="ORDER DATE" id="3"/>
    <tableColumn name="EXPECTED DATE" id="4"/>
    <tableColumn name="PRODUCT OR RAW MATERIAL NAME" id="5"/>
    <tableColumn name="QUANTITY" id="6"/>
    <tableColumn name="Brand" id="7"/>
    <tableColumn name="customer / vendor" id="8"/>
    <tableColumn name="B/WB/HB" id="9"/>
  </tableColumns>
  <tableStyleInfo name="ORDERS-style" showColumnStripes="0" showFirstColumn="1" showLastColumn="1" showRowStripes="1"/>
</table>
</file>

<file path=xl/tables/table6.xml><?xml version="1.0" encoding="utf-8"?>
<table xmlns="http://schemas.openxmlformats.org/spreadsheetml/2006/main" ref="A4:H49" displayName="Table2" name="Table2" id="6">
  <tableColumns count="8">
    <tableColumn name="RAW MATERIAL NAME" id="1"/>
    <tableColumn name="VENDORS" id="2"/>
    <tableColumn name="STARTING INVENTORY" id="3"/>
    <tableColumn name="RE-ORDER POINT" id="4"/>
    <tableColumn name="PURCHASES" id="5"/>
    <tableColumn name="AVAILABLE NOW" id="6"/>
    <tableColumn name="TO ORDER" id="7"/>
    <tableColumn name="ACTION" id="8"/>
  </tableColumns>
  <tableStyleInfo name="Sheet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Relationship Id="rId5" Type="http://schemas.openxmlformats.org/officeDocument/2006/relationships/table" Target="../tables/table3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4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5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8.86"/>
    <col customWidth="1" min="2" max="2" width="24.14"/>
    <col customWidth="1" min="3" max="3" width="16.57"/>
    <col customWidth="1" min="4" max="4" width="15.71"/>
    <col customWidth="1" min="5" max="5" width="16.43"/>
    <col customWidth="1" min="6" max="6" width="16.57"/>
    <col customWidth="1" min="7" max="7" width="13.71"/>
    <col customWidth="1" min="8" max="8" width="21.86"/>
    <col customWidth="1" min="9" max="26" width="8.71"/>
  </cols>
  <sheetData>
    <row r="1">
      <c r="A1" s="1" t="s">
        <v>0</v>
      </c>
      <c r="B1" s="1"/>
      <c r="C1" s="2"/>
      <c r="H1" s="3"/>
    </row>
    <row r="2">
      <c r="A2" s="4"/>
      <c r="B2" s="4"/>
      <c r="C2" s="5" t="s">
        <v>1</v>
      </c>
      <c r="D2" s="5"/>
      <c r="E2" s="6" t="s">
        <v>2</v>
      </c>
      <c r="F2" s="6" t="s">
        <v>4</v>
      </c>
      <c r="G2" s="6" t="s">
        <v>5</v>
      </c>
      <c r="H2" s="8"/>
    </row>
    <row r="3" ht="35.25" customHeight="1">
      <c r="A3" s="11"/>
      <c r="B3" s="11"/>
      <c r="C3" s="11"/>
      <c r="D3" s="11"/>
      <c r="E3" s="11"/>
      <c r="F3" s="11"/>
      <c r="G3" s="11"/>
      <c r="H3" s="17"/>
    </row>
    <row r="4" ht="35.25" customHeight="1">
      <c r="A4" s="18" t="s">
        <v>19</v>
      </c>
      <c r="B4" s="18" t="s">
        <v>23</v>
      </c>
      <c r="C4" s="18" t="s">
        <v>24</v>
      </c>
      <c r="D4" s="18" t="s">
        <v>25</v>
      </c>
      <c r="E4" s="18" t="s">
        <v>27</v>
      </c>
      <c r="F4" s="18" t="s">
        <v>28</v>
      </c>
      <c r="G4" s="18" t="s">
        <v>29</v>
      </c>
      <c r="H4" s="26" t="s">
        <v>30</v>
      </c>
    </row>
    <row r="5" ht="15.0" customHeight="1">
      <c r="A5" s="23" t="s">
        <v>22</v>
      </c>
      <c r="B5" s="27" t="s">
        <v>31</v>
      </c>
      <c r="C5" s="29">
        <v>10000.0</v>
      </c>
      <c r="D5" s="32">
        <v>5000.0</v>
      </c>
      <c r="E5" s="41">
        <f>IF($A5="","",IFERROR(SUMIFS(ORDERS!$F$8:$F$991,ORDERS!$E$8:$E$991,$A5,ORDERS!$B$8:$B$991,"PURCHASE",ORDERS!$D$8:$D$991,"&lt;="&amp;TODAY()),0))</f>
        <v>150000</v>
      </c>
      <c r="F5" s="41">
        <f>IF($A5="","",IFERROR($C5+$E5-SUMIF(BOM!$B$4:$B$334,$A5,BOM!$E$4:$E$334),0))</f>
        <v>4000</v>
      </c>
      <c r="G5" s="45" t="str">
        <f t="shared" ref="G5:G15" si="1">IF($A5="","",IF($F5&lt;=$D5,"YES","NO"))</f>
        <v>YES</v>
      </c>
      <c r="H5" s="48"/>
    </row>
    <row r="6" ht="15.0" customHeight="1">
      <c r="A6" s="33" t="s">
        <v>34</v>
      </c>
      <c r="B6" s="27" t="s">
        <v>31</v>
      </c>
      <c r="C6" s="29">
        <v>10000.0</v>
      </c>
      <c r="D6" s="32">
        <v>5000.0</v>
      </c>
      <c r="E6" s="41">
        <f>IF($A6="","",IFERROR(SUMIFS(ORDERS!$F$8:$F$991,ORDERS!$E$8:$E$991,$A6,ORDERS!$B$8:$B$991,"PURCHASE",ORDERS!$D$8:$D$991,"&lt;="&amp;TODAY()),0))</f>
        <v>0</v>
      </c>
      <c r="F6" s="41">
        <f>IF($A6="","",IFERROR($C6+$E6-SUMIF(BOM!$B$4:$B$334,$A6,BOM!$E$4:$E$334),0))</f>
        <v>8000</v>
      </c>
      <c r="G6" s="45" t="str">
        <f t="shared" si="1"/>
        <v>NO</v>
      </c>
      <c r="H6" s="48"/>
    </row>
    <row r="7" ht="15.0" customHeight="1">
      <c r="A7" s="33" t="s">
        <v>33</v>
      </c>
      <c r="B7" s="27" t="s">
        <v>31</v>
      </c>
      <c r="C7" s="29">
        <v>10000.0</v>
      </c>
      <c r="D7" s="32">
        <v>5000.0</v>
      </c>
      <c r="E7" s="41">
        <f>IF($A7="","",IFERROR(SUMIFS(ORDERS!$F$8:$F$991,ORDERS!$E$8:$E$991,$A7,ORDERS!$B$8:$B$991,"PURCHASE",ORDERS!$D$8:$D$991,"&lt;="&amp;TODAY()),0))</f>
        <v>100000</v>
      </c>
      <c r="F7" s="41">
        <f>IF($A7="","",IFERROR($C7+$E7-SUMIF(BOM!$B$4:$B$334,$A7,BOM!$E$4:$E$334),0))</f>
        <v>104000</v>
      </c>
      <c r="G7" s="45" t="str">
        <f t="shared" si="1"/>
        <v>NO</v>
      </c>
      <c r="H7" s="48"/>
    </row>
    <row r="8" ht="15.0" customHeight="1">
      <c r="A8" s="33" t="s">
        <v>51</v>
      </c>
      <c r="B8" s="27" t="s">
        <v>31</v>
      </c>
      <c r="C8" s="29">
        <v>10000.0</v>
      </c>
      <c r="D8" s="32">
        <v>5000.0</v>
      </c>
      <c r="E8" s="41">
        <f>IF($A8="","",IFERROR(SUMIFS(ORDERS!$F$8:$F$991,ORDERS!$E$8:$E$991,$A8,ORDERS!$B$8:$B$991,"PURCHASE",ORDERS!$D$8:$D$991,"&lt;="&amp;TODAY()),0))</f>
        <v>0</v>
      </c>
      <c r="F8" s="41">
        <f>IF($A8="","",IFERROR($C8+$E8-SUMIF(BOM!$B$4:$B$334,$A8,BOM!$E$4:$E$334),0))</f>
        <v>6000</v>
      </c>
      <c r="G8" s="45" t="str">
        <f t="shared" si="1"/>
        <v>NO</v>
      </c>
      <c r="H8" s="48"/>
    </row>
    <row r="9" ht="15.0" customHeight="1">
      <c r="A9" s="33" t="s">
        <v>55</v>
      </c>
      <c r="B9" s="27" t="s">
        <v>31</v>
      </c>
      <c r="C9" s="29">
        <v>10000.0</v>
      </c>
      <c r="D9" s="32">
        <v>5000.0</v>
      </c>
      <c r="E9" s="41">
        <f>IF($A9="","",IFERROR(SUMIFS(ORDERS!$F$8:$F$991,ORDERS!$E$8:$E$991,$A9,ORDERS!$B$8:$B$991,"PURCHASE",ORDERS!$D$8:$D$991,"&lt;="&amp;TODAY()),0))</f>
        <v>0</v>
      </c>
      <c r="F9" s="41">
        <f>IF($A9="","",IFERROR($C9+$E9-SUMIF(BOM!$B$4:$B$334,$A9,BOM!$E$4:$E$334),0))</f>
        <v>9000</v>
      </c>
      <c r="G9" s="45" t="str">
        <f t="shared" si="1"/>
        <v>NO</v>
      </c>
      <c r="H9" s="48"/>
    </row>
    <row r="10" ht="15.0" customHeight="1">
      <c r="A10" s="33" t="s">
        <v>56</v>
      </c>
      <c r="B10" s="23" t="s">
        <v>69</v>
      </c>
      <c r="C10" s="29">
        <v>10000.0</v>
      </c>
      <c r="D10" s="32">
        <v>5000.0</v>
      </c>
      <c r="E10" s="41">
        <f>IF($A10="","",IFERROR(SUMIFS(ORDERS!$F$8:$F$991,ORDERS!$E$8:$E$991,$A10,ORDERS!$B$8:$B$991,"PURCHASE",ORDERS!$D$8:$D$991,"&lt;="&amp;TODAY()),0))</f>
        <v>100000</v>
      </c>
      <c r="F10" s="41">
        <f>IF($A10="","",IFERROR($C10+$E10-SUMIF(BOM!$B$4:$B$334,$A10,BOM!$E$4:$E$334),0))</f>
        <v>104000</v>
      </c>
      <c r="G10" s="45" t="str">
        <f t="shared" si="1"/>
        <v>NO</v>
      </c>
      <c r="H10" s="48"/>
    </row>
    <row r="11" ht="15.0" customHeight="1">
      <c r="A11" s="33" t="s">
        <v>63</v>
      </c>
      <c r="B11" s="27" t="s">
        <v>31</v>
      </c>
      <c r="C11" s="29">
        <v>10000.0</v>
      </c>
      <c r="D11" s="32">
        <v>5000.0</v>
      </c>
      <c r="E11" s="41">
        <f>IF($A11="","",IFERROR(SUMIFS(ORDERS!$F$8:$F$991,ORDERS!$E$8:$E$991,$A11,ORDERS!$B$8:$B$991,"PURCHASE",ORDERS!$D$8:$D$991,"&lt;="&amp;TODAY()),0))</f>
        <v>0</v>
      </c>
      <c r="F11" s="41">
        <f>IF($A11="","",IFERROR($C11+$E11-SUMIF(BOM!$B$4:$B$334,$A11,BOM!$E$4:$E$334),0))</f>
        <v>8000</v>
      </c>
      <c r="G11" s="45" t="str">
        <f t="shared" si="1"/>
        <v>NO</v>
      </c>
      <c r="H11" s="48"/>
    </row>
    <row r="12" ht="15.0" customHeight="1">
      <c r="A12" s="33" t="s">
        <v>64</v>
      </c>
      <c r="B12" s="27" t="s">
        <v>31</v>
      </c>
      <c r="C12" s="29">
        <v>10000.0</v>
      </c>
      <c r="D12" s="32">
        <v>5000.0</v>
      </c>
      <c r="E12" s="41">
        <f>IF($A12="","",IFERROR(SUMIFS(ORDERS!$F$8:$F$991,ORDERS!$E$8:$E$991,$A12,ORDERS!$B$8:$B$991,"PURCHASE",ORDERS!$D$8:$D$991,"&lt;="&amp;TODAY()),0))</f>
        <v>0</v>
      </c>
      <c r="F12" s="41">
        <f>IF($A12="","",IFERROR($C12+$E12-SUMIF(BOM!$B$4:$B$334,$A12,BOM!$E$4:$E$334),0))</f>
        <v>10000</v>
      </c>
      <c r="G12" s="45" t="str">
        <f t="shared" si="1"/>
        <v>NO</v>
      </c>
      <c r="H12" s="48"/>
    </row>
    <row r="13" ht="15.0" customHeight="1">
      <c r="A13" s="33" t="s">
        <v>65</v>
      </c>
      <c r="B13" s="27" t="s">
        <v>31</v>
      </c>
      <c r="C13" s="29">
        <v>10000.0</v>
      </c>
      <c r="D13" s="32">
        <v>5000.0</v>
      </c>
      <c r="E13" s="41">
        <f>IF($A13="","",IFERROR(SUMIFS(ORDERS!$F$8:$F$991,ORDERS!$E$8:$E$991,$A13,ORDERS!$B$8:$B$991,"PURCHASE",ORDERS!$D$8:$D$991,"&lt;="&amp;TODAY()),0))</f>
        <v>0</v>
      </c>
      <c r="F13" s="41">
        <f>IF($A13="","",IFERROR($C13+$E13-SUMIF(BOM!$B$4:$B$334,$A13,BOM!$E$4:$E$334),0))</f>
        <v>8000</v>
      </c>
      <c r="G13" s="45" t="str">
        <f t="shared" si="1"/>
        <v>NO</v>
      </c>
      <c r="H13" s="48"/>
    </row>
    <row r="14" ht="15.0" customHeight="1">
      <c r="A14" s="33" t="s">
        <v>66</v>
      </c>
      <c r="B14" s="27" t="s">
        <v>31</v>
      </c>
      <c r="C14" s="29">
        <v>10000.0</v>
      </c>
      <c r="D14" s="32">
        <v>5000.0</v>
      </c>
      <c r="E14" s="41">
        <f>IF($A14="","",IFERROR(SUMIFS(ORDERS!$F$8:$F$991,ORDERS!$E$8:$E$991,$A14,ORDERS!$B$8:$B$991,"PURCHASE",ORDERS!$D$8:$D$991,"&lt;="&amp;TODAY()),0))</f>
        <v>0</v>
      </c>
      <c r="F14" s="41">
        <f>IF($A14="","",IFERROR($C14+$E14-SUMIF(BOM!$B$4:$B$334,$A14,BOM!$E$4:$E$334),0))</f>
        <v>9000</v>
      </c>
      <c r="G14" s="45" t="str">
        <f t="shared" si="1"/>
        <v>NO</v>
      </c>
      <c r="H14" s="48"/>
    </row>
    <row r="15" ht="15.0" customHeight="1">
      <c r="A15" s="33" t="s">
        <v>60</v>
      </c>
      <c r="B15" s="23" t="s">
        <v>71</v>
      </c>
      <c r="C15" s="29">
        <v>1000.0</v>
      </c>
      <c r="D15" s="29">
        <v>500.0</v>
      </c>
      <c r="E15" s="41">
        <f>IF($A15="","",IFERROR(SUMIFS(ORDERS!$F$8:$F$991,ORDERS!$E$8:$E$991,$A15,ORDERS!$B$8:$B$991,"PURCHASE",ORDERS!$D$8:$D$991,"&lt;="&amp;TODAY()),0))</f>
        <v>500</v>
      </c>
      <c r="F15" s="41">
        <f>IF($A15="","",IFERROR($C15+$E15-SUMIF(BOM!$B$4:$B$334,$A15,BOM!$E$4:$E$334),0))</f>
        <v>1497</v>
      </c>
      <c r="G15" s="45" t="str">
        <f t="shared" si="1"/>
        <v>NO</v>
      </c>
      <c r="H15" s="48"/>
    </row>
    <row r="16" ht="15.0" customHeight="1">
      <c r="H16" s="3"/>
    </row>
    <row r="17" ht="15.0" customHeight="1">
      <c r="H17" s="3"/>
    </row>
    <row r="18" ht="15.0" customHeight="1">
      <c r="H18" s="3"/>
    </row>
    <row r="19" ht="15.0" customHeight="1">
      <c r="H19" s="3"/>
    </row>
    <row r="20" ht="15.0" customHeight="1">
      <c r="H20" s="3"/>
    </row>
    <row r="21" ht="15.0" customHeight="1">
      <c r="H21" s="3"/>
    </row>
    <row r="22" ht="15.0" customHeight="1">
      <c r="H22" s="3"/>
    </row>
    <row r="23" ht="15.0" customHeight="1">
      <c r="H23" s="3"/>
    </row>
    <row r="24" ht="15.0" customHeight="1">
      <c r="H24" s="3"/>
    </row>
    <row r="25" ht="15.0" customHeight="1">
      <c r="H25" s="3"/>
    </row>
    <row r="26" ht="15.0" customHeight="1">
      <c r="H26" s="3"/>
    </row>
    <row r="27" ht="15.0" customHeight="1">
      <c r="H27" s="3"/>
    </row>
    <row r="28" ht="15.0" customHeight="1">
      <c r="H28" s="3"/>
    </row>
    <row r="29" ht="15.0" customHeight="1">
      <c r="H29" s="3"/>
    </row>
    <row r="30" ht="15.0" customHeight="1">
      <c r="H30" s="3"/>
    </row>
    <row r="31" ht="15.0" customHeight="1">
      <c r="H31" s="3"/>
    </row>
    <row r="32" ht="15.0" customHeight="1">
      <c r="H32" s="3"/>
    </row>
    <row r="33" ht="15.0" customHeight="1">
      <c r="H33" s="3"/>
    </row>
    <row r="34" ht="15.0" customHeight="1">
      <c r="H34" s="3"/>
    </row>
    <row r="35" ht="15.0" customHeight="1">
      <c r="H35" s="3"/>
    </row>
    <row r="36" ht="15.0" customHeight="1">
      <c r="H36" s="3"/>
    </row>
    <row r="37" ht="15.0" customHeight="1">
      <c r="H37" s="3"/>
    </row>
    <row r="38" ht="15.0" customHeight="1">
      <c r="H38" s="3"/>
    </row>
    <row r="39" ht="15.0" customHeight="1">
      <c r="H39" s="3"/>
    </row>
    <row r="40" ht="15.0" customHeight="1">
      <c r="H40" s="3"/>
    </row>
    <row r="41" ht="15.0" customHeight="1">
      <c r="H41" s="3"/>
    </row>
    <row r="42" ht="15.0" customHeight="1">
      <c r="H42" s="3"/>
    </row>
    <row r="43" ht="15.0" customHeight="1">
      <c r="H43" s="3"/>
    </row>
    <row r="44" ht="15.0" customHeight="1">
      <c r="H44" s="3"/>
    </row>
    <row r="45" ht="15.0" customHeight="1">
      <c r="H45" s="3"/>
    </row>
    <row r="46" ht="15.0" customHeight="1">
      <c r="H46" s="3"/>
    </row>
    <row r="47" ht="15.0" customHeight="1">
      <c r="H47" s="3"/>
    </row>
    <row r="48" ht="15.0" customHeight="1">
      <c r="H48" s="3"/>
    </row>
    <row r="49" ht="15.0" customHeight="1">
      <c r="H49" s="3"/>
    </row>
    <row r="50" ht="15.0" customHeight="1">
      <c r="H50" s="3"/>
    </row>
    <row r="51" ht="15.0" customHeight="1">
      <c r="H51" s="3"/>
    </row>
    <row r="52" ht="15.0" customHeight="1">
      <c r="H52" s="3"/>
    </row>
    <row r="53" ht="15.0" customHeight="1">
      <c r="H53" s="3"/>
    </row>
    <row r="54" ht="15.0" customHeight="1">
      <c r="H54" s="3"/>
    </row>
    <row r="55" ht="15.0" customHeight="1">
      <c r="H55" s="3"/>
    </row>
    <row r="56" ht="15.0" customHeight="1">
      <c r="H56" s="3"/>
    </row>
    <row r="57" ht="15.0" customHeight="1">
      <c r="H57" s="3"/>
    </row>
    <row r="58" ht="15.0" customHeight="1">
      <c r="H58" s="3"/>
    </row>
    <row r="59" ht="15.0" customHeight="1">
      <c r="H59" s="3"/>
    </row>
    <row r="60" ht="15.0" customHeight="1">
      <c r="H60" s="3"/>
    </row>
    <row r="61" ht="15.0" customHeight="1">
      <c r="H61" s="3"/>
    </row>
    <row r="62" ht="15.0" customHeight="1">
      <c r="H62" s="3"/>
    </row>
    <row r="63" ht="15.0" customHeight="1">
      <c r="H63" s="3"/>
    </row>
    <row r="64" ht="15.0" customHeight="1">
      <c r="H64" s="3"/>
    </row>
    <row r="65" ht="15.0" customHeight="1">
      <c r="H65" s="3"/>
    </row>
    <row r="66" ht="15.0" customHeight="1">
      <c r="H66" s="3"/>
    </row>
    <row r="67" ht="15.0" customHeight="1">
      <c r="H67" s="3"/>
    </row>
    <row r="68" ht="15.0" customHeight="1">
      <c r="H68" s="3"/>
    </row>
    <row r="69" ht="15.0" customHeight="1">
      <c r="H69" s="3"/>
    </row>
    <row r="70" ht="15.0" customHeight="1">
      <c r="H70" s="3"/>
    </row>
    <row r="71" ht="15.0" customHeight="1">
      <c r="H71" s="3"/>
    </row>
    <row r="72" ht="15.0" customHeight="1">
      <c r="H72" s="3"/>
    </row>
    <row r="73" ht="15.0" customHeight="1">
      <c r="H73" s="3"/>
    </row>
    <row r="74" ht="15.0" customHeight="1">
      <c r="H74" s="3"/>
    </row>
    <row r="75" ht="15.0" customHeight="1">
      <c r="H75" s="3"/>
    </row>
    <row r="76" ht="15.0" customHeight="1">
      <c r="H76" s="3"/>
    </row>
    <row r="77" ht="15.0" customHeight="1">
      <c r="H77" s="3"/>
    </row>
    <row r="78" ht="15.0" customHeight="1">
      <c r="H78" s="3"/>
    </row>
    <row r="79" ht="15.0" customHeight="1">
      <c r="H79" s="3"/>
    </row>
    <row r="80" ht="15.0" customHeight="1">
      <c r="H80" s="3"/>
    </row>
    <row r="81" ht="15.0" customHeight="1">
      <c r="H81" s="3"/>
    </row>
    <row r="82" ht="15.0" customHeight="1">
      <c r="H82" s="3"/>
    </row>
    <row r="83" ht="15.0" customHeight="1">
      <c r="H83" s="3"/>
    </row>
    <row r="84" ht="15.0" customHeight="1">
      <c r="H84" s="3"/>
    </row>
    <row r="85" ht="15.0" customHeight="1">
      <c r="H85" s="3"/>
    </row>
    <row r="86" ht="15.0" customHeight="1">
      <c r="H86" s="3"/>
    </row>
    <row r="87" ht="15.0" customHeight="1">
      <c r="H87" s="3"/>
    </row>
    <row r="88" ht="15.0" customHeight="1">
      <c r="H88" s="3"/>
    </row>
    <row r="89" ht="15.0" customHeight="1">
      <c r="H89" s="3"/>
    </row>
    <row r="90" ht="15.0" customHeight="1">
      <c r="H90" s="3"/>
    </row>
    <row r="91" ht="15.0" customHeight="1">
      <c r="H91" s="3"/>
    </row>
    <row r="92" ht="15.0" customHeight="1">
      <c r="H92" s="3"/>
    </row>
    <row r="93" ht="15.0" customHeight="1">
      <c r="H93" s="3"/>
    </row>
    <row r="94" ht="15.0" customHeight="1">
      <c r="H94" s="3"/>
    </row>
    <row r="95" ht="15.0" customHeight="1">
      <c r="H95" s="3"/>
    </row>
    <row r="96" ht="15.0" customHeight="1">
      <c r="H96" s="3"/>
    </row>
    <row r="97" ht="15.0" customHeight="1">
      <c r="H97" s="3"/>
    </row>
    <row r="98" ht="15.0" customHeight="1">
      <c r="H98" s="3"/>
    </row>
    <row r="99" ht="15.0" customHeight="1">
      <c r="H99" s="3"/>
    </row>
    <row r="100" ht="15.0" customHeight="1">
      <c r="H100" s="3"/>
    </row>
    <row r="101" ht="15.0" customHeight="1">
      <c r="H101" s="3"/>
    </row>
    <row r="102" ht="15.0" customHeight="1">
      <c r="H102" s="3"/>
    </row>
    <row r="103" ht="15.0" customHeight="1">
      <c r="H103" s="3"/>
    </row>
    <row r="104" ht="15.0" customHeight="1">
      <c r="H104" s="3"/>
    </row>
    <row r="105" ht="15.0" customHeight="1">
      <c r="H105" s="3"/>
    </row>
    <row r="106" ht="15.0" customHeight="1">
      <c r="H106" s="3"/>
    </row>
    <row r="107" ht="15.0" customHeight="1">
      <c r="H107" s="3"/>
    </row>
    <row r="108" ht="15.0" customHeight="1">
      <c r="H108" s="3"/>
    </row>
    <row r="109" ht="15.0" customHeight="1">
      <c r="H109" s="3"/>
    </row>
    <row r="110" ht="15.0" customHeight="1">
      <c r="H110" s="3"/>
    </row>
    <row r="111" ht="15.0" customHeight="1">
      <c r="H111" s="3"/>
    </row>
    <row r="112" ht="15.0" customHeight="1">
      <c r="H112" s="3"/>
    </row>
    <row r="113" ht="15.0" customHeight="1">
      <c r="H113" s="3"/>
    </row>
    <row r="114" ht="15.0" customHeight="1">
      <c r="H114" s="3"/>
    </row>
    <row r="115" ht="15.0" customHeight="1">
      <c r="H115" s="3"/>
    </row>
    <row r="116" ht="15.0" customHeight="1">
      <c r="H116" s="3"/>
    </row>
    <row r="117" ht="15.0" customHeight="1">
      <c r="H117" s="3"/>
    </row>
    <row r="118" ht="15.0" customHeight="1">
      <c r="H118" s="3"/>
    </row>
    <row r="119" ht="15.0" customHeight="1">
      <c r="H119" s="3"/>
    </row>
    <row r="120" ht="15.0" customHeight="1">
      <c r="H120" s="3"/>
    </row>
    <row r="121" ht="15.0" customHeight="1">
      <c r="H121" s="3"/>
    </row>
    <row r="122" ht="15.0" customHeight="1">
      <c r="H122" s="3"/>
    </row>
    <row r="123" ht="15.0" customHeight="1">
      <c r="H123" s="3"/>
    </row>
    <row r="124" ht="15.0" customHeight="1">
      <c r="H124" s="3"/>
    </row>
    <row r="125" ht="15.0" customHeight="1">
      <c r="H125" s="3"/>
    </row>
    <row r="126" ht="15.0" customHeight="1">
      <c r="H126" s="3"/>
    </row>
    <row r="127" ht="15.0" customHeight="1">
      <c r="H127" s="3"/>
    </row>
    <row r="128" ht="15.0" customHeight="1">
      <c r="H128" s="3"/>
    </row>
    <row r="129" ht="15.0" customHeight="1">
      <c r="H129" s="3"/>
    </row>
    <row r="130" ht="15.0" customHeight="1">
      <c r="H130" s="3"/>
    </row>
    <row r="131" ht="15.0" customHeight="1">
      <c r="H131" s="3"/>
    </row>
    <row r="132" ht="15.0" customHeight="1">
      <c r="H132" s="3"/>
    </row>
    <row r="133" ht="15.0" customHeight="1">
      <c r="H133" s="3"/>
    </row>
    <row r="134" ht="15.0" customHeight="1">
      <c r="H134" s="3"/>
    </row>
    <row r="135" ht="15.0" customHeight="1">
      <c r="H135" s="3"/>
    </row>
    <row r="136" ht="15.0" customHeight="1">
      <c r="H136" s="3"/>
    </row>
    <row r="137" ht="15.0" customHeight="1">
      <c r="H137" s="3"/>
    </row>
    <row r="138" ht="15.0" customHeight="1">
      <c r="H138" s="3"/>
    </row>
    <row r="139" ht="15.0" customHeight="1">
      <c r="H139" s="3"/>
    </row>
    <row r="140" ht="15.0" customHeight="1">
      <c r="H140" s="3"/>
    </row>
    <row r="141" ht="15.0" customHeight="1">
      <c r="H141" s="3"/>
    </row>
    <row r="142" ht="15.0" customHeight="1">
      <c r="H142" s="3"/>
    </row>
    <row r="143" ht="15.0" customHeight="1">
      <c r="H143" s="3"/>
    </row>
    <row r="144" ht="15.0" customHeight="1">
      <c r="H144" s="3"/>
    </row>
    <row r="145" ht="15.0" customHeight="1">
      <c r="H145" s="3"/>
    </row>
    <row r="146" ht="15.0" customHeight="1">
      <c r="H146" s="3"/>
    </row>
    <row r="147" ht="15.0" customHeight="1">
      <c r="H147" s="3"/>
    </row>
    <row r="148" ht="15.0" customHeight="1">
      <c r="H148" s="3"/>
    </row>
    <row r="149" ht="15.0" customHeight="1">
      <c r="H149" s="3"/>
    </row>
    <row r="150" ht="15.0" customHeight="1">
      <c r="H150" s="3"/>
    </row>
    <row r="151" ht="15.0" customHeight="1">
      <c r="H151" s="3"/>
    </row>
    <row r="152" ht="15.0" customHeight="1">
      <c r="H152" s="3"/>
    </row>
    <row r="153" ht="15.0" customHeight="1">
      <c r="H153" s="3"/>
    </row>
    <row r="154" ht="15.0" customHeight="1">
      <c r="H154" s="3"/>
    </row>
    <row r="155" ht="15.0" customHeight="1">
      <c r="H155" s="3"/>
    </row>
    <row r="156" ht="15.0" customHeight="1">
      <c r="H156" s="3"/>
    </row>
    <row r="157" ht="15.0" customHeight="1">
      <c r="H157" s="3"/>
    </row>
    <row r="158" ht="15.0" customHeight="1">
      <c r="H158" s="3"/>
    </row>
    <row r="159" ht="15.0" customHeight="1">
      <c r="H159" s="3"/>
    </row>
    <row r="160" ht="15.0" customHeight="1">
      <c r="H160" s="3"/>
    </row>
    <row r="161" ht="15.0" customHeight="1">
      <c r="H161" s="3"/>
    </row>
    <row r="162" ht="15.0" customHeight="1">
      <c r="H162" s="3"/>
    </row>
    <row r="163" ht="15.0" customHeight="1">
      <c r="H163" s="3"/>
    </row>
    <row r="164" ht="15.0" customHeight="1">
      <c r="H164" s="3"/>
    </row>
    <row r="165" ht="15.0" customHeight="1">
      <c r="H165" s="3"/>
    </row>
    <row r="166" ht="15.0" customHeight="1">
      <c r="H166" s="3"/>
    </row>
    <row r="167" ht="15.0" customHeight="1">
      <c r="H167" s="3"/>
    </row>
    <row r="168" ht="15.0" customHeight="1">
      <c r="H168" s="3"/>
    </row>
    <row r="169" ht="15.0" customHeight="1">
      <c r="H169" s="3"/>
    </row>
    <row r="170" ht="15.0" customHeight="1">
      <c r="H170" s="3"/>
    </row>
    <row r="171" ht="15.0" customHeight="1">
      <c r="H171" s="3"/>
    </row>
    <row r="172" ht="15.0" customHeight="1">
      <c r="H172" s="3"/>
    </row>
    <row r="173" ht="15.0" customHeight="1">
      <c r="H173" s="3"/>
    </row>
    <row r="174" ht="15.0" customHeight="1">
      <c r="H174" s="3"/>
    </row>
    <row r="175" ht="15.0" customHeight="1">
      <c r="H175" s="3"/>
    </row>
    <row r="176" ht="15.0" customHeight="1">
      <c r="H176" s="3"/>
    </row>
    <row r="177" ht="15.0" customHeight="1">
      <c r="H177" s="3"/>
    </row>
    <row r="178" ht="15.0" customHeight="1">
      <c r="H178" s="3"/>
    </row>
    <row r="179" ht="15.0" customHeight="1">
      <c r="H179" s="3"/>
    </row>
    <row r="180" ht="15.0" customHeight="1">
      <c r="H180" s="3"/>
    </row>
    <row r="181" ht="15.0" customHeight="1">
      <c r="H181" s="3"/>
    </row>
    <row r="182" ht="15.0" customHeight="1">
      <c r="H182" s="3"/>
    </row>
    <row r="183" ht="15.0" customHeight="1">
      <c r="H183" s="3"/>
    </row>
    <row r="184" ht="15.0" customHeight="1">
      <c r="H184" s="3"/>
    </row>
    <row r="185" ht="15.0" customHeight="1">
      <c r="H185" s="3"/>
    </row>
    <row r="186" ht="15.0" customHeight="1">
      <c r="H186" s="3"/>
    </row>
    <row r="187" ht="15.0" customHeight="1">
      <c r="H187" s="3"/>
    </row>
    <row r="188" ht="15.0" customHeight="1">
      <c r="H188" s="3"/>
    </row>
    <row r="189" ht="15.0" customHeight="1">
      <c r="H189" s="3"/>
    </row>
    <row r="190" ht="15.0" customHeight="1">
      <c r="H190" s="3"/>
    </row>
    <row r="191" ht="15.0" customHeight="1">
      <c r="H191" s="3"/>
    </row>
    <row r="192" ht="15.0" customHeight="1">
      <c r="H192" s="3"/>
    </row>
    <row r="193" ht="15.0" customHeight="1">
      <c r="H193" s="3"/>
    </row>
    <row r="194" ht="15.0" customHeight="1">
      <c r="H194" s="3"/>
    </row>
    <row r="195" ht="15.0" customHeight="1">
      <c r="H195" s="3"/>
    </row>
    <row r="196" ht="15.0" customHeight="1">
      <c r="H196" s="3"/>
    </row>
    <row r="197" ht="15.0" customHeight="1">
      <c r="H197" s="3"/>
    </row>
    <row r="198" ht="15.0" customHeight="1">
      <c r="H198" s="3"/>
    </row>
    <row r="199" ht="15.0" customHeight="1">
      <c r="H199" s="3"/>
    </row>
    <row r="200" ht="15.0" customHeight="1">
      <c r="H200" s="3"/>
    </row>
    <row r="201" ht="15.0" customHeight="1">
      <c r="H201" s="3"/>
    </row>
    <row r="202" ht="15.0" customHeight="1">
      <c r="H202" s="3"/>
    </row>
    <row r="203" ht="15.0" customHeight="1">
      <c r="H203" s="3"/>
    </row>
    <row r="204" ht="15.0" customHeight="1">
      <c r="H204" s="3"/>
    </row>
    <row r="205" ht="15.0" customHeight="1">
      <c r="H205" s="3"/>
    </row>
    <row r="206" ht="15.0" customHeight="1">
      <c r="H206" s="3"/>
    </row>
    <row r="207" ht="15.0" customHeight="1">
      <c r="H207" s="3"/>
    </row>
    <row r="208" ht="15.0" customHeight="1">
      <c r="H208" s="3"/>
    </row>
    <row r="209" ht="15.0" customHeight="1">
      <c r="H209" s="3"/>
    </row>
    <row r="210" ht="15.0" customHeight="1">
      <c r="H210" s="3"/>
    </row>
    <row r="211" ht="15.0" customHeight="1">
      <c r="H211" s="3"/>
    </row>
    <row r="212" ht="15.0" customHeight="1">
      <c r="H212" s="3"/>
    </row>
    <row r="213" ht="15.0" customHeight="1">
      <c r="H213" s="3"/>
    </row>
    <row r="214" ht="15.0" customHeight="1">
      <c r="H214" s="3"/>
    </row>
    <row r="215" ht="15.0" customHeight="1">
      <c r="H215" s="3"/>
    </row>
    <row r="216" ht="15.0" customHeight="1">
      <c r="H216" s="3"/>
    </row>
    <row r="217" ht="15.0" customHeight="1">
      <c r="H217" s="3"/>
    </row>
    <row r="218" ht="15.0" customHeight="1">
      <c r="H218" s="3"/>
    </row>
    <row r="219" ht="15.0" customHeight="1">
      <c r="H219" s="3"/>
    </row>
    <row r="220" ht="15.0" customHeight="1">
      <c r="H220" s="3"/>
    </row>
    <row r="221" ht="15.0" customHeight="1">
      <c r="H221" s="3"/>
    </row>
    <row r="222" ht="15.0" customHeight="1">
      <c r="H222" s="3"/>
    </row>
    <row r="223" ht="15.0" customHeight="1">
      <c r="H223" s="3"/>
    </row>
    <row r="224" ht="15.0" customHeight="1">
      <c r="H224" s="3"/>
    </row>
    <row r="225" ht="15.0" customHeight="1">
      <c r="H225" s="3"/>
    </row>
    <row r="226" ht="15.0" customHeight="1">
      <c r="H226" s="3"/>
    </row>
    <row r="227" ht="15.0" customHeight="1">
      <c r="H227" s="3"/>
    </row>
    <row r="228" ht="15.0" customHeight="1">
      <c r="H228" s="3"/>
    </row>
    <row r="229" ht="15.0" customHeight="1">
      <c r="H229" s="3"/>
    </row>
    <row r="230" ht="15.0" customHeight="1">
      <c r="H230" s="3"/>
    </row>
    <row r="231" ht="15.0" customHeight="1">
      <c r="H231" s="3"/>
    </row>
    <row r="232" ht="15.0" customHeight="1">
      <c r="H232" s="3"/>
    </row>
    <row r="233" ht="15.0" customHeight="1">
      <c r="H233" s="3"/>
    </row>
    <row r="234" ht="15.0" customHeight="1">
      <c r="H234" s="3"/>
    </row>
    <row r="235" ht="15.0" customHeight="1">
      <c r="H235" s="3"/>
    </row>
    <row r="236" ht="15.0" customHeight="1">
      <c r="H236" s="3"/>
    </row>
    <row r="237" ht="15.0" customHeight="1">
      <c r="H237" s="3"/>
    </row>
    <row r="238" ht="15.0" customHeight="1">
      <c r="H238" s="3"/>
    </row>
    <row r="239" ht="15.0" customHeight="1">
      <c r="H239" s="3"/>
    </row>
    <row r="240" ht="15.0" customHeight="1">
      <c r="H240" s="3"/>
    </row>
    <row r="241" ht="15.0" customHeight="1">
      <c r="H241" s="3"/>
    </row>
    <row r="242" ht="15.0" customHeight="1">
      <c r="H242" s="3"/>
    </row>
    <row r="243" ht="15.0" customHeight="1">
      <c r="H243" s="3"/>
    </row>
    <row r="244" ht="15.0" customHeight="1">
      <c r="H244" s="3"/>
    </row>
    <row r="245" ht="15.0" customHeight="1">
      <c r="H245" s="3"/>
    </row>
    <row r="246" ht="15.0" customHeight="1">
      <c r="H246" s="3"/>
    </row>
    <row r="247" ht="15.0" customHeight="1">
      <c r="H247" s="3"/>
    </row>
    <row r="248" ht="15.0" customHeight="1">
      <c r="H248" s="3"/>
    </row>
    <row r="249" ht="15.0" customHeight="1">
      <c r="H249" s="3"/>
    </row>
    <row r="250" ht="15.0" customHeight="1">
      <c r="H250" s="3"/>
    </row>
    <row r="251" ht="15.0" customHeight="1">
      <c r="H251" s="3"/>
    </row>
    <row r="252" ht="15.0" customHeight="1">
      <c r="H252" s="3"/>
    </row>
    <row r="253" ht="15.0" customHeight="1">
      <c r="H253" s="3"/>
    </row>
    <row r="254" ht="15.0" customHeight="1">
      <c r="H254" s="3"/>
    </row>
    <row r="255" ht="15.0" customHeight="1">
      <c r="H255" s="3"/>
    </row>
    <row r="256" ht="15.0" customHeight="1">
      <c r="H256" s="3"/>
    </row>
    <row r="257" ht="15.0" customHeight="1">
      <c r="H257" s="3"/>
    </row>
    <row r="258" ht="15.0" customHeight="1">
      <c r="H258" s="3"/>
    </row>
    <row r="259" ht="15.0" customHeight="1">
      <c r="H259" s="3"/>
    </row>
    <row r="260" ht="15.0" customHeight="1">
      <c r="H260" s="3"/>
    </row>
    <row r="261" ht="15.0" customHeight="1">
      <c r="H261" s="3"/>
    </row>
    <row r="262" ht="15.0" customHeight="1">
      <c r="H262" s="3"/>
    </row>
    <row r="263" ht="15.0" customHeight="1">
      <c r="H263" s="3"/>
    </row>
    <row r="264" ht="15.0" customHeight="1">
      <c r="H264" s="3"/>
    </row>
    <row r="265" ht="15.0" customHeight="1">
      <c r="H265" s="3"/>
    </row>
    <row r="266" ht="15.0" customHeight="1">
      <c r="H266" s="3"/>
    </row>
    <row r="267" ht="15.0" customHeight="1">
      <c r="H267" s="3"/>
    </row>
    <row r="268" ht="15.0" customHeight="1">
      <c r="H268" s="3"/>
    </row>
    <row r="269" ht="15.0" customHeight="1">
      <c r="H269" s="3"/>
    </row>
    <row r="270" ht="15.0" customHeight="1">
      <c r="H270" s="3"/>
    </row>
    <row r="271" ht="15.0" customHeight="1">
      <c r="H271" s="3"/>
    </row>
    <row r="272" ht="15.0" customHeight="1">
      <c r="H272" s="3"/>
    </row>
    <row r="273" ht="15.0" customHeight="1">
      <c r="H273" s="3"/>
    </row>
    <row r="274" ht="15.0" customHeight="1">
      <c r="H274" s="3"/>
    </row>
    <row r="275" ht="15.0" customHeight="1">
      <c r="H275" s="3"/>
    </row>
    <row r="276" ht="15.0" customHeight="1">
      <c r="H276" s="3"/>
    </row>
    <row r="277" ht="15.0" customHeight="1">
      <c r="H277" s="3"/>
    </row>
    <row r="278" ht="15.75" customHeight="1">
      <c r="H278" s="3"/>
    </row>
    <row r="279" ht="15.75" customHeight="1">
      <c r="H279" s="3"/>
    </row>
    <row r="280" ht="15.75" customHeight="1">
      <c r="H280" s="3"/>
    </row>
    <row r="281" ht="15.75" customHeight="1">
      <c r="H281" s="3"/>
    </row>
    <row r="282" ht="15.75" customHeight="1">
      <c r="H282" s="3"/>
    </row>
    <row r="283" ht="15.75" customHeight="1">
      <c r="H283" s="3"/>
    </row>
    <row r="284" ht="15.75" customHeight="1">
      <c r="H284" s="3"/>
    </row>
    <row r="285" ht="15.75" customHeight="1">
      <c r="H285" s="3"/>
    </row>
    <row r="286" ht="15.75" customHeight="1">
      <c r="H286" s="3"/>
    </row>
    <row r="287" ht="15.75" customHeight="1">
      <c r="H287" s="3"/>
    </row>
    <row r="288" ht="15.75" customHeight="1">
      <c r="H288" s="3"/>
    </row>
    <row r="289" ht="15.75" customHeight="1">
      <c r="H289" s="3"/>
    </row>
    <row r="290" ht="15.75" customHeight="1">
      <c r="H290" s="3"/>
    </row>
    <row r="291" ht="15.75" customHeight="1">
      <c r="H291" s="3"/>
    </row>
    <row r="292" ht="15.75" customHeight="1">
      <c r="H292" s="3"/>
    </row>
    <row r="293" ht="15.75" customHeight="1">
      <c r="H293" s="3"/>
    </row>
    <row r="294" ht="15.75" customHeight="1">
      <c r="H294" s="3"/>
    </row>
    <row r="295" ht="15.75" customHeight="1">
      <c r="H295" s="3"/>
    </row>
    <row r="296" ht="15.75" customHeight="1">
      <c r="H296" s="3"/>
    </row>
    <row r="297" ht="15.75" customHeight="1">
      <c r="H297" s="3"/>
    </row>
    <row r="298" ht="15.75" customHeight="1">
      <c r="H298" s="3"/>
    </row>
    <row r="299" ht="15.75" customHeight="1">
      <c r="H299" s="3"/>
    </row>
    <row r="300" ht="15.75" customHeight="1">
      <c r="H300" s="3"/>
    </row>
    <row r="301" ht="15.75" customHeight="1">
      <c r="H301" s="3"/>
    </row>
    <row r="302" ht="15.75" customHeight="1">
      <c r="H302" s="3"/>
    </row>
    <row r="303" ht="15.75" customHeight="1">
      <c r="H303" s="3"/>
    </row>
    <row r="304" ht="15.75" customHeight="1">
      <c r="H304" s="3"/>
    </row>
    <row r="305" ht="15.75" customHeight="1">
      <c r="H305" s="3"/>
    </row>
    <row r="306" ht="15.75" customHeight="1">
      <c r="H306" s="3"/>
    </row>
    <row r="307" ht="15.75" customHeight="1">
      <c r="H307" s="3"/>
    </row>
    <row r="308" ht="15.75" customHeight="1">
      <c r="H308" s="3"/>
    </row>
    <row r="309" ht="15.75" customHeight="1">
      <c r="H309" s="3"/>
    </row>
    <row r="310" ht="15.75" customHeight="1">
      <c r="H310" s="3"/>
    </row>
    <row r="311" ht="15.75" customHeight="1">
      <c r="H311" s="3"/>
    </row>
    <row r="312" ht="15.75" customHeight="1">
      <c r="H312" s="3"/>
    </row>
    <row r="313" ht="15.75" customHeight="1">
      <c r="H313" s="3"/>
    </row>
    <row r="314" ht="15.75" customHeight="1">
      <c r="H314" s="3"/>
    </row>
    <row r="315" ht="15.75" customHeight="1">
      <c r="H315" s="3"/>
    </row>
    <row r="316" ht="15.75" customHeight="1">
      <c r="H316" s="3"/>
    </row>
    <row r="317" ht="15.75" customHeight="1">
      <c r="H317" s="3"/>
    </row>
    <row r="318" ht="15.75" customHeight="1">
      <c r="H318" s="3"/>
    </row>
    <row r="319" ht="15.75" customHeight="1">
      <c r="H319" s="3"/>
    </row>
    <row r="320" ht="15.75" customHeight="1">
      <c r="H320" s="3"/>
    </row>
    <row r="321" ht="15.75" customHeight="1">
      <c r="H321" s="3"/>
    </row>
    <row r="322" ht="15.75" customHeight="1">
      <c r="H322" s="3"/>
    </row>
    <row r="323" ht="15.75" customHeight="1">
      <c r="H323" s="3"/>
    </row>
    <row r="324" ht="15.75" customHeight="1">
      <c r="H324" s="3"/>
    </row>
    <row r="325" ht="15.75" customHeight="1">
      <c r="H325" s="3"/>
    </row>
    <row r="326" ht="15.75" customHeight="1">
      <c r="H326" s="3"/>
    </row>
    <row r="327" ht="15.75" customHeight="1">
      <c r="H327" s="3"/>
    </row>
    <row r="328" ht="15.75" customHeight="1">
      <c r="H328" s="3"/>
    </row>
    <row r="329" ht="15.75" customHeight="1">
      <c r="H329" s="3"/>
    </row>
    <row r="330" ht="15.75" customHeight="1">
      <c r="H330" s="3"/>
    </row>
    <row r="331" ht="15.75" customHeight="1">
      <c r="H331" s="3"/>
    </row>
    <row r="332" ht="15.75" customHeight="1">
      <c r="H332" s="3"/>
    </row>
    <row r="333" ht="15.75" customHeight="1">
      <c r="H333" s="3"/>
    </row>
    <row r="334" ht="15.75" customHeight="1">
      <c r="H334" s="3"/>
    </row>
    <row r="335" ht="15.75" customHeight="1">
      <c r="H335" s="3"/>
    </row>
    <row r="336" ht="15.75" customHeight="1">
      <c r="H336" s="3"/>
    </row>
    <row r="337" ht="15.75" customHeight="1">
      <c r="H337" s="3"/>
    </row>
    <row r="338" ht="15.75" customHeight="1">
      <c r="H338" s="3"/>
    </row>
    <row r="339" ht="15.75" customHeight="1">
      <c r="H339" s="3"/>
    </row>
    <row r="340" ht="15.75" customHeight="1">
      <c r="H340" s="3"/>
    </row>
    <row r="341" ht="15.75" customHeight="1">
      <c r="H341" s="3"/>
    </row>
    <row r="342" ht="15.75" customHeight="1">
      <c r="H342" s="3"/>
    </row>
    <row r="343" ht="15.75" customHeight="1">
      <c r="H343" s="3"/>
    </row>
    <row r="344" ht="15.75" customHeight="1">
      <c r="H344" s="3"/>
    </row>
    <row r="345" ht="15.75" customHeight="1">
      <c r="H345" s="3"/>
    </row>
    <row r="346" ht="15.75" customHeight="1">
      <c r="H346" s="3"/>
    </row>
    <row r="347" ht="15.75" customHeight="1">
      <c r="H347" s="3"/>
    </row>
    <row r="348" ht="15.75" customHeight="1">
      <c r="H348" s="3"/>
    </row>
    <row r="349" ht="15.75" customHeight="1">
      <c r="H349" s="3"/>
    </row>
    <row r="350" ht="15.75" customHeight="1">
      <c r="H350" s="3"/>
    </row>
    <row r="351" ht="15.75" customHeight="1">
      <c r="H351" s="3"/>
    </row>
    <row r="352" ht="15.75" customHeight="1">
      <c r="H352" s="3"/>
    </row>
    <row r="353" ht="15.75" customHeight="1">
      <c r="H353" s="3"/>
    </row>
    <row r="354" ht="15.75" customHeight="1">
      <c r="H354" s="3"/>
    </row>
    <row r="355" ht="15.75" customHeight="1">
      <c r="H355" s="3"/>
    </row>
    <row r="356" ht="15.75" customHeight="1">
      <c r="H356" s="3"/>
    </row>
    <row r="357" ht="15.75" customHeight="1">
      <c r="H357" s="3"/>
    </row>
    <row r="358" ht="15.75" customHeight="1">
      <c r="H358" s="3"/>
    </row>
    <row r="359" ht="15.75" customHeight="1">
      <c r="H359" s="3"/>
    </row>
    <row r="360" ht="15.75" customHeight="1">
      <c r="H360" s="3"/>
    </row>
    <row r="361" ht="15.75" customHeight="1">
      <c r="H361" s="3"/>
    </row>
    <row r="362" ht="15.75" customHeight="1">
      <c r="H362" s="3"/>
    </row>
    <row r="363" ht="15.75" customHeight="1">
      <c r="H363" s="3"/>
    </row>
    <row r="364" ht="15.75" customHeight="1">
      <c r="H364" s="3"/>
    </row>
    <row r="365" ht="15.75" customHeight="1">
      <c r="H365" s="3"/>
    </row>
    <row r="366" ht="15.75" customHeight="1">
      <c r="H366" s="3"/>
    </row>
    <row r="367" ht="15.75" customHeight="1">
      <c r="H367" s="3"/>
    </row>
    <row r="368" ht="15.75" customHeight="1">
      <c r="H368" s="3"/>
    </row>
    <row r="369" ht="15.75" customHeight="1">
      <c r="H369" s="3"/>
    </row>
    <row r="370" ht="15.75" customHeight="1">
      <c r="H370" s="3"/>
    </row>
    <row r="371" ht="15.75" customHeight="1">
      <c r="H371" s="3"/>
    </row>
    <row r="372" ht="15.75" customHeight="1">
      <c r="H372" s="3"/>
    </row>
    <row r="373" ht="15.75" customHeight="1">
      <c r="H373" s="3"/>
    </row>
    <row r="374" ht="15.75" customHeight="1">
      <c r="H374" s="3"/>
    </row>
    <row r="375" ht="15.75" customHeight="1">
      <c r="H375" s="3"/>
    </row>
    <row r="376" ht="15.75" customHeight="1">
      <c r="H376" s="3"/>
    </row>
    <row r="377" ht="15.75" customHeight="1">
      <c r="H377" s="3"/>
    </row>
    <row r="378" ht="15.75" customHeight="1">
      <c r="H378" s="3"/>
    </row>
    <row r="379" ht="15.75" customHeight="1">
      <c r="H379" s="3"/>
    </row>
    <row r="380" ht="15.75" customHeight="1">
      <c r="H380" s="3"/>
    </row>
    <row r="381" ht="15.75" customHeight="1">
      <c r="H381" s="3"/>
    </row>
    <row r="382" ht="15.75" customHeight="1">
      <c r="H382" s="3"/>
    </row>
    <row r="383" ht="15.75" customHeight="1">
      <c r="H383" s="3"/>
    </row>
    <row r="384" ht="15.75" customHeight="1">
      <c r="H384" s="3"/>
    </row>
    <row r="385" ht="15.75" customHeight="1">
      <c r="H385" s="3"/>
    </row>
    <row r="386" ht="15.75" customHeight="1">
      <c r="H386" s="3"/>
    </row>
    <row r="387" ht="15.75" customHeight="1">
      <c r="H387" s="3"/>
    </row>
    <row r="388" ht="15.75" customHeight="1">
      <c r="H388" s="3"/>
    </row>
    <row r="389" ht="15.75" customHeight="1">
      <c r="H389" s="3"/>
    </row>
    <row r="390" ht="15.75" customHeight="1">
      <c r="H390" s="3"/>
    </row>
    <row r="391" ht="15.75" customHeight="1">
      <c r="H391" s="3"/>
    </row>
    <row r="392" ht="15.75" customHeight="1">
      <c r="H392" s="3"/>
    </row>
    <row r="393" ht="15.75" customHeight="1">
      <c r="H393" s="3"/>
    </row>
    <row r="394" ht="15.75" customHeight="1">
      <c r="H394" s="3"/>
    </row>
    <row r="395" ht="15.75" customHeight="1">
      <c r="H395" s="3"/>
    </row>
    <row r="396" ht="15.75" customHeight="1">
      <c r="H396" s="3"/>
    </row>
    <row r="397" ht="15.75" customHeight="1">
      <c r="H397" s="3"/>
    </row>
    <row r="398" ht="15.75" customHeight="1">
      <c r="H398" s="3"/>
    </row>
    <row r="399" ht="15.75" customHeight="1">
      <c r="H399" s="3"/>
    </row>
    <row r="400" ht="15.75" customHeight="1">
      <c r="H400" s="3"/>
    </row>
    <row r="401" ht="15.75" customHeight="1">
      <c r="H401" s="3"/>
    </row>
    <row r="402" ht="15.75" customHeight="1">
      <c r="H402" s="3"/>
    </row>
    <row r="403" ht="15.75" customHeight="1">
      <c r="H403" s="3"/>
    </row>
    <row r="404" ht="15.75" customHeight="1">
      <c r="H404" s="3"/>
    </row>
    <row r="405" ht="15.75" customHeight="1">
      <c r="H405" s="3"/>
    </row>
    <row r="406" ht="15.75" customHeight="1">
      <c r="H406" s="3"/>
    </row>
    <row r="407" ht="15.75" customHeight="1">
      <c r="H407" s="3"/>
    </row>
    <row r="408" ht="15.75" customHeight="1">
      <c r="H408" s="3"/>
    </row>
    <row r="409" ht="15.75" customHeight="1">
      <c r="H409" s="3"/>
    </row>
    <row r="410" ht="15.75" customHeight="1">
      <c r="H410" s="3"/>
    </row>
    <row r="411" ht="15.75" customHeight="1">
      <c r="H411" s="3"/>
    </row>
    <row r="412" ht="15.75" customHeight="1">
      <c r="H412" s="3"/>
    </row>
    <row r="413" ht="15.75" customHeight="1">
      <c r="H413" s="3"/>
    </row>
    <row r="414" ht="15.75" customHeight="1">
      <c r="H414" s="3"/>
    </row>
    <row r="415" ht="15.75" customHeight="1">
      <c r="H415" s="3"/>
    </row>
    <row r="416" ht="15.75" customHeight="1">
      <c r="H416" s="3"/>
    </row>
    <row r="417" ht="15.75" customHeight="1">
      <c r="H417" s="3"/>
    </row>
    <row r="418" ht="15.75" customHeight="1">
      <c r="H418" s="3"/>
    </row>
    <row r="419" ht="15.75" customHeight="1">
      <c r="H419" s="3"/>
    </row>
    <row r="420" ht="15.75" customHeight="1">
      <c r="H420" s="3"/>
    </row>
    <row r="421" ht="15.75" customHeight="1">
      <c r="H421" s="3"/>
    </row>
    <row r="422" ht="15.75" customHeight="1">
      <c r="H422" s="3"/>
    </row>
    <row r="423" ht="15.75" customHeight="1">
      <c r="H423" s="3"/>
    </row>
    <row r="424" ht="15.75" customHeight="1">
      <c r="H424" s="3"/>
    </row>
    <row r="425" ht="15.75" customHeight="1">
      <c r="H425" s="3"/>
    </row>
    <row r="426" ht="15.75" customHeight="1">
      <c r="H426" s="3"/>
    </row>
    <row r="427" ht="15.75" customHeight="1">
      <c r="H427" s="3"/>
    </row>
    <row r="428" ht="15.75" customHeight="1">
      <c r="H428" s="3"/>
    </row>
    <row r="429" ht="15.75" customHeight="1">
      <c r="H429" s="3"/>
    </row>
    <row r="430" ht="15.75" customHeight="1">
      <c r="H430" s="3"/>
    </row>
    <row r="431" ht="15.75" customHeight="1">
      <c r="H431" s="3"/>
    </row>
    <row r="432" ht="15.75" customHeight="1">
      <c r="H432" s="3"/>
    </row>
    <row r="433" ht="15.75" customHeight="1">
      <c r="H433" s="3"/>
    </row>
    <row r="434" ht="15.75" customHeight="1">
      <c r="H434" s="3"/>
    </row>
    <row r="435" ht="15.75" customHeight="1">
      <c r="H435" s="3"/>
    </row>
    <row r="436" ht="15.75" customHeight="1">
      <c r="H436" s="3"/>
    </row>
    <row r="437" ht="15.75" customHeight="1">
      <c r="H437" s="3"/>
    </row>
    <row r="438" ht="15.75" customHeight="1">
      <c r="H438" s="3"/>
    </row>
    <row r="439" ht="15.75" customHeight="1">
      <c r="H439" s="3"/>
    </row>
    <row r="440" ht="15.75" customHeight="1">
      <c r="H440" s="3"/>
    </row>
    <row r="441" ht="15.75" customHeight="1">
      <c r="H441" s="3"/>
    </row>
    <row r="442" ht="15.75" customHeight="1">
      <c r="H442" s="3"/>
    </row>
    <row r="443" ht="15.75" customHeight="1">
      <c r="H443" s="3"/>
    </row>
    <row r="444" ht="15.75" customHeight="1">
      <c r="H444" s="3"/>
    </row>
    <row r="445" ht="15.75" customHeight="1">
      <c r="H445" s="3"/>
    </row>
    <row r="446" ht="15.75" customHeight="1">
      <c r="H446" s="3"/>
    </row>
    <row r="447" ht="15.75" customHeight="1">
      <c r="H447" s="3"/>
    </row>
    <row r="448" ht="15.75" customHeight="1">
      <c r="H448" s="3"/>
    </row>
    <row r="449" ht="15.75" customHeight="1">
      <c r="H449" s="3"/>
    </row>
    <row r="450" ht="15.75" customHeight="1">
      <c r="H450" s="3"/>
    </row>
    <row r="451" ht="15.75" customHeight="1">
      <c r="H451" s="3"/>
    </row>
    <row r="452" ht="15.75" customHeight="1">
      <c r="H452" s="3"/>
    </row>
    <row r="453" ht="15.75" customHeight="1">
      <c r="H453" s="3"/>
    </row>
    <row r="454" ht="15.75" customHeight="1">
      <c r="H454" s="3"/>
    </row>
    <row r="455" ht="15.75" customHeight="1">
      <c r="H455" s="3"/>
    </row>
    <row r="456" ht="15.75" customHeight="1">
      <c r="H456" s="3"/>
    </row>
    <row r="457" ht="15.75" customHeight="1">
      <c r="H457" s="3"/>
    </row>
    <row r="458" ht="15.75" customHeight="1">
      <c r="H458" s="3"/>
    </row>
    <row r="459" ht="15.75" customHeight="1">
      <c r="H459" s="3"/>
    </row>
    <row r="460" ht="15.75" customHeight="1">
      <c r="H460" s="3"/>
    </row>
    <row r="461" ht="15.75" customHeight="1">
      <c r="H461" s="3"/>
    </row>
    <row r="462" ht="15.75" customHeight="1">
      <c r="H462" s="3"/>
    </row>
    <row r="463" ht="15.75" customHeight="1">
      <c r="H463" s="3"/>
    </row>
    <row r="464" ht="15.75" customHeight="1">
      <c r="H464" s="3"/>
    </row>
    <row r="465" ht="15.75" customHeight="1">
      <c r="H465" s="3"/>
    </row>
    <row r="466" ht="15.75" customHeight="1">
      <c r="H466" s="3"/>
    </row>
    <row r="467" ht="15.75" customHeight="1">
      <c r="H467" s="3"/>
    </row>
    <row r="468" ht="15.75" customHeight="1">
      <c r="H468" s="3"/>
    </row>
    <row r="469" ht="15.75" customHeight="1">
      <c r="H469" s="3"/>
    </row>
    <row r="470" ht="15.75" customHeight="1">
      <c r="H470" s="3"/>
    </row>
    <row r="471" ht="15.75" customHeight="1">
      <c r="H471" s="3"/>
    </row>
    <row r="472" ht="15.75" customHeight="1">
      <c r="H472" s="3"/>
    </row>
    <row r="473" ht="15.75" customHeight="1">
      <c r="H473" s="3"/>
    </row>
    <row r="474" ht="15.75" customHeight="1">
      <c r="H474" s="3"/>
    </row>
    <row r="475" ht="15.75" customHeight="1">
      <c r="H475" s="3"/>
    </row>
    <row r="476" ht="15.75" customHeight="1">
      <c r="H476" s="3"/>
    </row>
    <row r="477" ht="15.75" customHeight="1">
      <c r="H477" s="3"/>
    </row>
    <row r="478" ht="15.75" customHeight="1">
      <c r="H478" s="3"/>
    </row>
    <row r="479" ht="15.75" customHeight="1">
      <c r="H479" s="3"/>
    </row>
    <row r="480" ht="15.75" customHeight="1">
      <c r="H480" s="3"/>
    </row>
    <row r="481" ht="15.75" customHeight="1">
      <c r="H481" s="3"/>
    </row>
    <row r="482" ht="15.75" customHeight="1">
      <c r="H482" s="3"/>
    </row>
    <row r="483" ht="15.75" customHeight="1">
      <c r="H483" s="3"/>
    </row>
    <row r="484" ht="15.75" customHeight="1">
      <c r="H484" s="3"/>
    </row>
    <row r="485" ht="15.75" customHeight="1">
      <c r="H485" s="3"/>
    </row>
    <row r="486" ht="15.75" customHeight="1">
      <c r="H486" s="3"/>
    </row>
    <row r="487" ht="15.75" customHeight="1">
      <c r="H487" s="3"/>
    </row>
    <row r="488" ht="15.75" customHeight="1">
      <c r="H488" s="3"/>
    </row>
    <row r="489" ht="15.75" customHeight="1">
      <c r="H489" s="3"/>
    </row>
    <row r="490" ht="15.75" customHeight="1">
      <c r="H490" s="3"/>
    </row>
    <row r="491" ht="15.75" customHeight="1">
      <c r="H491" s="3"/>
    </row>
    <row r="492" ht="15.75" customHeight="1">
      <c r="H492" s="3"/>
    </row>
    <row r="493" ht="15.75" customHeight="1">
      <c r="H493" s="3"/>
    </row>
    <row r="494" ht="15.75" customHeight="1">
      <c r="H494" s="3"/>
    </row>
    <row r="495" ht="15.75" customHeight="1">
      <c r="H495" s="3"/>
    </row>
    <row r="496" ht="15.75" customHeight="1">
      <c r="H496" s="3"/>
    </row>
    <row r="497" ht="15.75" customHeight="1">
      <c r="H497" s="3"/>
    </row>
    <row r="498" ht="15.75" customHeight="1">
      <c r="H498" s="3"/>
    </row>
    <row r="499" ht="15.75" customHeight="1">
      <c r="H499" s="3"/>
    </row>
    <row r="500" ht="15.75" customHeight="1">
      <c r="H500" s="3"/>
    </row>
    <row r="501" ht="15.75" customHeight="1">
      <c r="H501" s="3"/>
    </row>
    <row r="502" ht="15.75" customHeight="1">
      <c r="H502" s="3"/>
    </row>
    <row r="503" ht="15.75" customHeight="1">
      <c r="H503" s="3"/>
    </row>
    <row r="504" ht="15.75" customHeight="1">
      <c r="H504" s="3"/>
    </row>
    <row r="505" ht="15.75" customHeight="1">
      <c r="H505" s="3"/>
    </row>
    <row r="506" ht="15.75" customHeight="1">
      <c r="H506" s="3"/>
    </row>
    <row r="507" ht="15.75" customHeight="1">
      <c r="H507" s="3"/>
    </row>
    <row r="508" ht="15.75" customHeight="1">
      <c r="H508" s="3"/>
    </row>
    <row r="509" ht="15.75" customHeight="1">
      <c r="H509" s="3"/>
    </row>
    <row r="510" ht="15.75" customHeight="1">
      <c r="H510" s="3"/>
    </row>
    <row r="511" ht="15.75" customHeight="1">
      <c r="H511" s="3"/>
    </row>
    <row r="512" ht="15.75" customHeight="1">
      <c r="H512" s="3"/>
    </row>
    <row r="513" ht="15.75" customHeight="1">
      <c r="H513" s="3"/>
    </row>
    <row r="514" ht="15.75" customHeight="1">
      <c r="H514" s="3"/>
    </row>
    <row r="515" ht="15.75" customHeight="1">
      <c r="H515" s="3"/>
    </row>
    <row r="516" ht="15.75" customHeight="1">
      <c r="H516" s="3"/>
    </row>
    <row r="517" ht="15.75" customHeight="1">
      <c r="H517" s="3"/>
    </row>
    <row r="518" ht="15.75" customHeight="1">
      <c r="H518" s="3"/>
    </row>
    <row r="519" ht="15.75" customHeight="1">
      <c r="H519" s="3"/>
    </row>
    <row r="520" ht="15.75" customHeight="1">
      <c r="H520" s="3"/>
    </row>
    <row r="521" ht="15.75" customHeight="1">
      <c r="H521" s="3"/>
    </row>
    <row r="522" ht="15.75" customHeight="1">
      <c r="H522" s="3"/>
    </row>
    <row r="523" ht="15.75" customHeight="1">
      <c r="H523" s="3"/>
    </row>
    <row r="524" ht="15.75" customHeight="1">
      <c r="H524" s="3"/>
    </row>
    <row r="525" ht="15.75" customHeight="1">
      <c r="H525" s="3"/>
    </row>
    <row r="526" ht="15.75" customHeight="1">
      <c r="H526" s="3"/>
    </row>
    <row r="527" ht="15.75" customHeight="1">
      <c r="H527" s="3"/>
    </row>
    <row r="528" ht="15.75" customHeight="1">
      <c r="H528" s="3"/>
    </row>
    <row r="529" ht="15.75" customHeight="1">
      <c r="H529" s="3"/>
    </row>
    <row r="530" ht="15.75" customHeight="1">
      <c r="H530" s="3"/>
    </row>
    <row r="531" ht="15.75" customHeight="1">
      <c r="H531" s="3"/>
    </row>
    <row r="532" ht="15.75" customHeight="1">
      <c r="H532" s="3"/>
    </row>
    <row r="533" ht="15.75" customHeight="1">
      <c r="H533" s="3"/>
    </row>
    <row r="534" ht="15.75" customHeight="1">
      <c r="H534" s="3"/>
    </row>
    <row r="535" ht="15.75" customHeight="1">
      <c r="H535" s="3"/>
    </row>
    <row r="536" ht="15.75" customHeight="1">
      <c r="H536" s="3"/>
    </row>
    <row r="537" ht="15.75" customHeight="1">
      <c r="H537" s="3"/>
    </row>
    <row r="538" ht="15.75" customHeight="1">
      <c r="H538" s="3"/>
    </row>
    <row r="539" ht="15.75" customHeight="1">
      <c r="H539" s="3"/>
    </row>
    <row r="540" ht="15.75" customHeight="1">
      <c r="H540" s="3"/>
    </row>
    <row r="541" ht="15.75" customHeight="1">
      <c r="H541" s="3"/>
    </row>
    <row r="542" ht="15.75" customHeight="1">
      <c r="H542" s="3"/>
    </row>
    <row r="543" ht="15.75" customHeight="1">
      <c r="H543" s="3"/>
    </row>
    <row r="544" ht="15.75" customHeight="1">
      <c r="H544" s="3"/>
    </row>
    <row r="545" ht="15.75" customHeight="1">
      <c r="H545" s="3"/>
    </row>
    <row r="546" ht="15.75" customHeight="1">
      <c r="H546" s="3"/>
    </row>
    <row r="547" ht="15.75" customHeight="1">
      <c r="H547" s="3"/>
    </row>
    <row r="548" ht="15.75" customHeight="1">
      <c r="H548" s="3"/>
    </row>
    <row r="549" ht="15.75" customHeight="1">
      <c r="H549" s="3"/>
    </row>
    <row r="550" ht="15.75" customHeight="1">
      <c r="H550" s="3"/>
    </row>
    <row r="551" ht="15.75" customHeight="1">
      <c r="H551" s="3"/>
    </row>
    <row r="552" ht="15.75" customHeight="1">
      <c r="H552" s="3"/>
    </row>
    <row r="553" ht="15.75" customHeight="1">
      <c r="H553" s="3"/>
    </row>
    <row r="554" ht="15.75" customHeight="1">
      <c r="H554" s="3"/>
    </row>
    <row r="555" ht="15.75" customHeight="1">
      <c r="H555" s="3"/>
    </row>
    <row r="556" ht="15.75" customHeight="1">
      <c r="H556" s="3"/>
    </row>
    <row r="557" ht="15.75" customHeight="1">
      <c r="H557" s="3"/>
    </row>
    <row r="558" ht="15.75" customHeight="1">
      <c r="H558" s="3"/>
    </row>
    <row r="559" ht="15.75" customHeight="1">
      <c r="H559" s="3"/>
    </row>
    <row r="560" ht="15.75" customHeight="1">
      <c r="H560" s="3"/>
    </row>
    <row r="561" ht="15.75" customHeight="1">
      <c r="H561" s="3"/>
    </row>
    <row r="562" ht="15.75" customHeight="1">
      <c r="H562" s="3"/>
    </row>
    <row r="563" ht="15.75" customHeight="1">
      <c r="H563" s="3"/>
    </row>
    <row r="564" ht="15.75" customHeight="1">
      <c r="H564" s="3"/>
    </row>
    <row r="565" ht="15.75" customHeight="1">
      <c r="H565" s="3"/>
    </row>
    <row r="566" ht="15.75" customHeight="1">
      <c r="H566" s="3"/>
    </row>
    <row r="567" ht="15.75" customHeight="1">
      <c r="H567" s="3"/>
    </row>
    <row r="568" ht="15.75" customHeight="1">
      <c r="H568" s="3"/>
    </row>
    <row r="569" ht="15.75" customHeight="1">
      <c r="H569" s="3"/>
    </row>
    <row r="570" ht="15.75" customHeight="1">
      <c r="H570" s="3"/>
    </row>
    <row r="571" ht="15.75" customHeight="1">
      <c r="H571" s="3"/>
    </row>
    <row r="572" ht="15.75" customHeight="1">
      <c r="H572" s="3"/>
    </row>
    <row r="573" ht="15.75" customHeight="1">
      <c r="H573" s="3"/>
    </row>
    <row r="574" ht="15.75" customHeight="1">
      <c r="H574" s="3"/>
    </row>
    <row r="575" ht="15.75" customHeight="1">
      <c r="H575" s="3"/>
    </row>
    <row r="576" ht="15.75" customHeight="1">
      <c r="H576" s="3"/>
    </row>
    <row r="577" ht="15.75" customHeight="1">
      <c r="H577" s="3"/>
    </row>
    <row r="578" ht="15.75" customHeight="1">
      <c r="H578" s="3"/>
    </row>
    <row r="579" ht="15.75" customHeight="1">
      <c r="H579" s="3"/>
    </row>
    <row r="580" ht="15.75" customHeight="1">
      <c r="H580" s="3"/>
    </row>
    <row r="581" ht="15.75" customHeight="1">
      <c r="H581" s="3"/>
    </row>
    <row r="582" ht="15.75" customHeight="1">
      <c r="H582" s="3"/>
    </row>
    <row r="583" ht="15.75" customHeight="1">
      <c r="H583" s="3"/>
    </row>
    <row r="584" ht="15.75" customHeight="1">
      <c r="H584" s="3"/>
    </row>
    <row r="585" ht="15.75" customHeight="1">
      <c r="H585" s="3"/>
    </row>
    <row r="586" ht="15.75" customHeight="1">
      <c r="H586" s="3"/>
    </row>
    <row r="587" ht="15.75" customHeight="1">
      <c r="H587" s="3"/>
    </row>
    <row r="588" ht="15.75" customHeight="1">
      <c r="H588" s="3"/>
    </row>
    <row r="589" ht="15.75" customHeight="1">
      <c r="H589" s="3"/>
    </row>
    <row r="590" ht="15.75" customHeight="1">
      <c r="H590" s="3"/>
    </row>
    <row r="591" ht="15.75" customHeight="1">
      <c r="H591" s="3"/>
    </row>
    <row r="592" ht="15.75" customHeight="1">
      <c r="H592" s="3"/>
    </row>
    <row r="593" ht="15.75" customHeight="1">
      <c r="H593" s="3"/>
    </row>
    <row r="594" ht="15.75" customHeight="1">
      <c r="H594" s="3"/>
    </row>
    <row r="595" ht="15.75" customHeight="1">
      <c r="H595" s="3"/>
    </row>
    <row r="596" ht="15.75" customHeight="1">
      <c r="H596" s="3"/>
    </row>
    <row r="597" ht="15.75" customHeight="1">
      <c r="H597" s="3"/>
    </row>
    <row r="598" ht="15.75" customHeight="1">
      <c r="H598" s="3"/>
    </row>
    <row r="599" ht="15.75" customHeight="1">
      <c r="H599" s="3"/>
    </row>
    <row r="600" ht="15.75" customHeight="1">
      <c r="H600" s="3"/>
    </row>
    <row r="601" ht="15.75" customHeight="1">
      <c r="H601" s="3"/>
    </row>
    <row r="602" ht="15.75" customHeight="1">
      <c r="H602" s="3"/>
    </row>
    <row r="603" ht="15.75" customHeight="1">
      <c r="H603" s="3"/>
    </row>
    <row r="604" ht="15.75" customHeight="1">
      <c r="H604" s="3"/>
    </row>
    <row r="605" ht="15.75" customHeight="1">
      <c r="H605" s="3"/>
    </row>
    <row r="606" ht="15.75" customHeight="1">
      <c r="H606" s="3"/>
    </row>
    <row r="607" ht="15.75" customHeight="1">
      <c r="H607" s="3"/>
    </row>
    <row r="608" ht="15.75" customHeight="1">
      <c r="H608" s="3"/>
    </row>
    <row r="609" ht="15.75" customHeight="1">
      <c r="H609" s="3"/>
    </row>
    <row r="610" ht="15.75" customHeight="1">
      <c r="H610" s="3"/>
    </row>
    <row r="611" ht="15.75" customHeight="1">
      <c r="H611" s="3"/>
    </row>
    <row r="612" ht="15.75" customHeight="1">
      <c r="H612" s="3"/>
    </row>
    <row r="613" ht="15.75" customHeight="1">
      <c r="H613" s="3"/>
    </row>
    <row r="614" ht="15.75" customHeight="1">
      <c r="H614" s="3"/>
    </row>
    <row r="615" ht="15.75" customHeight="1">
      <c r="H615" s="3"/>
    </row>
    <row r="616" ht="15.75" customHeight="1">
      <c r="H616" s="3"/>
    </row>
    <row r="617" ht="15.75" customHeight="1">
      <c r="H617" s="3"/>
    </row>
    <row r="618" ht="15.75" customHeight="1">
      <c r="H618" s="3"/>
    </row>
    <row r="619" ht="15.75" customHeight="1">
      <c r="H619" s="3"/>
    </row>
    <row r="620" ht="15.75" customHeight="1">
      <c r="H620" s="3"/>
    </row>
    <row r="621" ht="15.75" customHeight="1">
      <c r="H621" s="3"/>
    </row>
    <row r="622" ht="15.75" customHeight="1">
      <c r="H622" s="3"/>
    </row>
    <row r="623" ht="15.75" customHeight="1">
      <c r="H623" s="3"/>
    </row>
    <row r="624" ht="15.75" customHeight="1">
      <c r="H624" s="3"/>
    </row>
    <row r="625" ht="15.75" customHeight="1">
      <c r="H625" s="3"/>
    </row>
    <row r="626" ht="15.75" customHeight="1">
      <c r="H626" s="3"/>
    </row>
    <row r="627" ht="15.75" customHeight="1">
      <c r="H627" s="3"/>
    </row>
    <row r="628" ht="15.75" customHeight="1">
      <c r="H628" s="3"/>
    </row>
    <row r="629" ht="15.75" customHeight="1">
      <c r="H629" s="3"/>
    </row>
    <row r="630" ht="15.75" customHeight="1">
      <c r="H630" s="3"/>
    </row>
    <row r="631" ht="15.75" customHeight="1">
      <c r="H631" s="3"/>
    </row>
    <row r="632" ht="15.75" customHeight="1">
      <c r="H632" s="3"/>
    </row>
    <row r="633" ht="15.75" customHeight="1">
      <c r="H633" s="3"/>
    </row>
    <row r="634" ht="15.75" customHeight="1">
      <c r="H634" s="3"/>
    </row>
    <row r="635" ht="15.75" customHeight="1">
      <c r="H635" s="3"/>
    </row>
    <row r="636" ht="15.75" customHeight="1">
      <c r="H636" s="3"/>
    </row>
    <row r="637" ht="15.75" customHeight="1">
      <c r="H637" s="3"/>
    </row>
    <row r="638" ht="15.75" customHeight="1">
      <c r="H638" s="3"/>
    </row>
    <row r="639" ht="15.75" customHeight="1">
      <c r="H639" s="3"/>
    </row>
    <row r="640" ht="15.75" customHeight="1">
      <c r="H640" s="3"/>
    </row>
    <row r="641" ht="15.75" customHeight="1">
      <c r="H641" s="3"/>
    </row>
    <row r="642" ht="15.75" customHeight="1">
      <c r="H642" s="3"/>
    </row>
    <row r="643" ht="15.75" customHeight="1">
      <c r="H643" s="3"/>
    </row>
    <row r="644" ht="15.75" customHeight="1">
      <c r="H644" s="3"/>
    </row>
    <row r="645" ht="15.75" customHeight="1">
      <c r="H645" s="3"/>
    </row>
    <row r="646" ht="15.75" customHeight="1">
      <c r="H646" s="3"/>
    </row>
    <row r="647" ht="15.75" customHeight="1">
      <c r="H647" s="3"/>
    </row>
    <row r="648" ht="15.75" customHeight="1">
      <c r="H648" s="3"/>
    </row>
    <row r="649" ht="15.75" customHeight="1">
      <c r="H649" s="3"/>
    </row>
    <row r="650" ht="15.75" customHeight="1">
      <c r="H650" s="3"/>
    </row>
    <row r="651" ht="15.75" customHeight="1">
      <c r="H651" s="3"/>
    </row>
    <row r="652" ht="15.75" customHeight="1">
      <c r="H652" s="3"/>
    </row>
    <row r="653" ht="15.75" customHeight="1">
      <c r="H653" s="3"/>
    </row>
    <row r="654" ht="15.75" customHeight="1">
      <c r="H654" s="3"/>
    </row>
    <row r="655" ht="15.75" customHeight="1">
      <c r="H655" s="3"/>
    </row>
    <row r="656" ht="15.75" customHeight="1">
      <c r="H656" s="3"/>
    </row>
    <row r="657" ht="15.75" customHeight="1">
      <c r="H657" s="3"/>
    </row>
    <row r="658" ht="15.75" customHeight="1">
      <c r="H658" s="3"/>
    </row>
    <row r="659" ht="15.75" customHeight="1">
      <c r="H659" s="3"/>
    </row>
    <row r="660" ht="15.75" customHeight="1">
      <c r="H660" s="3"/>
    </row>
    <row r="661" ht="15.75" customHeight="1">
      <c r="H661" s="3"/>
    </row>
    <row r="662" ht="15.75" customHeight="1">
      <c r="H662" s="3"/>
    </row>
    <row r="663" ht="15.75" customHeight="1">
      <c r="H663" s="3"/>
    </row>
    <row r="664" ht="15.75" customHeight="1">
      <c r="H664" s="3"/>
    </row>
    <row r="665" ht="15.75" customHeight="1">
      <c r="H665" s="3"/>
    </row>
    <row r="666" ht="15.75" customHeight="1">
      <c r="H666" s="3"/>
    </row>
    <row r="667" ht="15.75" customHeight="1">
      <c r="H667" s="3"/>
    </row>
    <row r="668" ht="15.75" customHeight="1">
      <c r="H668" s="3"/>
    </row>
    <row r="669" ht="15.75" customHeight="1">
      <c r="H669" s="3"/>
    </row>
    <row r="670" ht="15.75" customHeight="1">
      <c r="H670" s="3"/>
    </row>
    <row r="671" ht="15.75" customHeight="1">
      <c r="H671" s="3"/>
    </row>
    <row r="672" ht="15.75" customHeight="1">
      <c r="H672" s="3"/>
    </row>
    <row r="673" ht="15.75" customHeight="1">
      <c r="H673" s="3"/>
    </row>
    <row r="674" ht="15.75" customHeight="1">
      <c r="H674" s="3"/>
    </row>
    <row r="675" ht="15.75" customHeight="1">
      <c r="H675" s="3"/>
    </row>
    <row r="676" ht="15.75" customHeight="1">
      <c r="H676" s="3"/>
    </row>
    <row r="677" ht="15.75" customHeight="1">
      <c r="H677" s="3"/>
    </row>
    <row r="678" ht="15.75" customHeight="1">
      <c r="H678" s="3"/>
    </row>
    <row r="679" ht="15.75" customHeight="1">
      <c r="H679" s="3"/>
    </row>
    <row r="680" ht="15.75" customHeight="1">
      <c r="H680" s="3"/>
    </row>
    <row r="681" ht="15.75" customHeight="1">
      <c r="H681" s="3"/>
    </row>
    <row r="682" ht="15.75" customHeight="1">
      <c r="H682" s="3"/>
    </row>
    <row r="683" ht="15.75" customHeight="1">
      <c r="H683" s="3"/>
    </row>
    <row r="684" ht="15.75" customHeight="1">
      <c r="H684" s="3"/>
    </row>
    <row r="685" ht="15.75" customHeight="1">
      <c r="H685" s="3"/>
    </row>
    <row r="686" ht="15.75" customHeight="1">
      <c r="H686" s="3"/>
    </row>
    <row r="687" ht="15.75" customHeight="1">
      <c r="H687" s="3"/>
    </row>
    <row r="688" ht="15.75" customHeight="1">
      <c r="H688" s="3"/>
    </row>
    <row r="689" ht="15.75" customHeight="1">
      <c r="H689" s="3"/>
    </row>
    <row r="690" ht="15.75" customHeight="1">
      <c r="H690" s="3"/>
    </row>
    <row r="691" ht="15.75" customHeight="1">
      <c r="H691" s="3"/>
    </row>
    <row r="692" ht="15.75" customHeight="1">
      <c r="H692" s="3"/>
    </row>
    <row r="693" ht="15.75" customHeight="1">
      <c r="H693" s="3"/>
    </row>
    <row r="694" ht="15.75" customHeight="1">
      <c r="H694" s="3"/>
    </row>
    <row r="695" ht="15.75" customHeight="1">
      <c r="H695" s="3"/>
    </row>
    <row r="696" ht="15.75" customHeight="1">
      <c r="H696" s="3"/>
    </row>
    <row r="697" ht="15.75" customHeight="1">
      <c r="H697" s="3"/>
    </row>
    <row r="698" ht="15.75" customHeight="1">
      <c r="H698" s="3"/>
    </row>
    <row r="699" ht="15.75" customHeight="1">
      <c r="H699" s="3"/>
    </row>
    <row r="700" ht="15.75" customHeight="1">
      <c r="H700" s="3"/>
    </row>
    <row r="701" ht="15.75" customHeight="1">
      <c r="H701" s="3"/>
    </row>
    <row r="702" ht="15.75" customHeight="1">
      <c r="H702" s="3"/>
    </row>
    <row r="703" ht="15.75" customHeight="1">
      <c r="H703" s="3"/>
    </row>
    <row r="704" ht="15.75" customHeight="1">
      <c r="H704" s="3"/>
    </row>
    <row r="705" ht="15.75" customHeight="1">
      <c r="H705" s="3"/>
    </row>
    <row r="706" ht="15.75" customHeight="1">
      <c r="H706" s="3"/>
    </row>
    <row r="707" ht="15.75" customHeight="1">
      <c r="H707" s="3"/>
    </row>
    <row r="708" ht="15.75" customHeight="1">
      <c r="H708" s="3"/>
    </row>
    <row r="709" ht="15.75" customHeight="1">
      <c r="H709" s="3"/>
    </row>
    <row r="710" ht="15.75" customHeight="1">
      <c r="H710" s="3"/>
    </row>
    <row r="711" ht="15.75" customHeight="1">
      <c r="H711" s="3"/>
    </row>
    <row r="712" ht="15.75" customHeight="1">
      <c r="H712" s="3"/>
    </row>
    <row r="713" ht="15.75" customHeight="1">
      <c r="H713" s="3"/>
    </row>
    <row r="714" ht="15.75" customHeight="1">
      <c r="H714" s="3"/>
    </row>
    <row r="715" ht="15.75" customHeight="1">
      <c r="H715" s="3"/>
    </row>
    <row r="716" ht="15.75" customHeight="1">
      <c r="H716" s="3"/>
    </row>
    <row r="717" ht="15.75" customHeight="1">
      <c r="H717" s="3"/>
    </row>
    <row r="718" ht="15.75" customHeight="1">
      <c r="H718" s="3"/>
    </row>
    <row r="719" ht="15.75" customHeight="1">
      <c r="H719" s="3"/>
    </row>
    <row r="720" ht="15.75" customHeight="1">
      <c r="H720" s="3"/>
    </row>
    <row r="721" ht="15.75" customHeight="1">
      <c r="H721" s="3"/>
    </row>
    <row r="722" ht="15.75" customHeight="1">
      <c r="H722" s="3"/>
    </row>
    <row r="723" ht="15.75" customHeight="1">
      <c r="H723" s="3"/>
    </row>
    <row r="724" ht="15.75" customHeight="1">
      <c r="H724" s="3"/>
    </row>
    <row r="725" ht="15.75" customHeight="1">
      <c r="H725" s="3"/>
    </row>
    <row r="726" ht="15.75" customHeight="1">
      <c r="H726" s="3"/>
    </row>
    <row r="727" ht="15.75" customHeight="1">
      <c r="H727" s="3"/>
    </row>
    <row r="728" ht="15.75" customHeight="1">
      <c r="H728" s="3"/>
    </row>
    <row r="729" ht="15.75" customHeight="1">
      <c r="H729" s="3"/>
    </row>
    <row r="730" ht="15.75" customHeight="1">
      <c r="H730" s="3"/>
    </row>
    <row r="731" ht="15.75" customHeight="1">
      <c r="H731" s="3"/>
    </row>
    <row r="732" ht="15.75" customHeight="1">
      <c r="H732" s="3"/>
    </row>
    <row r="733" ht="15.75" customHeight="1">
      <c r="H733" s="3"/>
    </row>
    <row r="734" ht="15.75" customHeight="1">
      <c r="H734" s="3"/>
    </row>
    <row r="735" ht="15.75" customHeight="1">
      <c r="H735" s="3"/>
    </row>
    <row r="736" ht="15.75" customHeight="1">
      <c r="H736" s="3"/>
    </row>
    <row r="737" ht="15.75" customHeight="1">
      <c r="H737" s="3"/>
    </row>
    <row r="738" ht="15.75" customHeight="1">
      <c r="H738" s="3"/>
    </row>
    <row r="739" ht="15.75" customHeight="1">
      <c r="H739" s="3"/>
    </row>
    <row r="740" ht="15.75" customHeight="1">
      <c r="H740" s="3"/>
    </row>
    <row r="741" ht="15.75" customHeight="1">
      <c r="H741" s="3"/>
    </row>
    <row r="742" ht="15.75" customHeight="1">
      <c r="H742" s="3"/>
    </row>
    <row r="743" ht="15.75" customHeight="1">
      <c r="H743" s="3"/>
    </row>
    <row r="744" ht="15.75" customHeight="1">
      <c r="H744" s="3"/>
    </row>
    <row r="745" ht="15.75" customHeight="1">
      <c r="H745" s="3"/>
    </row>
    <row r="746" ht="15.75" customHeight="1">
      <c r="H746" s="3"/>
    </row>
    <row r="747" ht="15.75" customHeight="1">
      <c r="H747" s="3"/>
    </row>
    <row r="748" ht="15.75" customHeight="1">
      <c r="H748" s="3"/>
    </row>
    <row r="749" ht="15.75" customHeight="1">
      <c r="H749" s="3"/>
    </row>
    <row r="750" ht="15.75" customHeight="1">
      <c r="H750" s="3"/>
    </row>
    <row r="751" ht="15.75" customHeight="1">
      <c r="H751" s="3"/>
    </row>
    <row r="752" ht="15.75" customHeight="1">
      <c r="H752" s="3"/>
    </row>
    <row r="753" ht="15.75" customHeight="1">
      <c r="H753" s="3"/>
    </row>
    <row r="754" ht="15.75" customHeight="1">
      <c r="H754" s="3"/>
    </row>
    <row r="755" ht="15.75" customHeight="1">
      <c r="H755" s="3"/>
    </row>
    <row r="756" ht="15.75" customHeight="1">
      <c r="H756" s="3"/>
    </row>
    <row r="757" ht="15.75" customHeight="1">
      <c r="H757" s="3"/>
    </row>
    <row r="758" ht="15.75" customHeight="1">
      <c r="H758" s="3"/>
    </row>
    <row r="759" ht="15.75" customHeight="1">
      <c r="H759" s="3"/>
    </row>
    <row r="760" ht="15.75" customHeight="1">
      <c r="H760" s="3"/>
    </row>
    <row r="761" ht="15.75" customHeight="1">
      <c r="H761" s="3"/>
    </row>
    <row r="762" ht="15.75" customHeight="1">
      <c r="H762" s="3"/>
    </row>
    <row r="763" ht="15.75" customHeight="1">
      <c r="H763" s="3"/>
    </row>
    <row r="764" ht="15.75" customHeight="1">
      <c r="H764" s="3"/>
    </row>
    <row r="765" ht="15.75" customHeight="1">
      <c r="H765" s="3"/>
    </row>
    <row r="766" ht="15.75" customHeight="1">
      <c r="H766" s="3"/>
    </row>
    <row r="767" ht="15.75" customHeight="1">
      <c r="H767" s="3"/>
    </row>
    <row r="768" ht="15.75" customHeight="1">
      <c r="H768" s="3"/>
    </row>
    <row r="769" ht="15.75" customHeight="1">
      <c r="H769" s="3"/>
    </row>
    <row r="770" ht="15.75" customHeight="1">
      <c r="H770" s="3"/>
    </row>
    <row r="771" ht="15.75" customHeight="1">
      <c r="H771" s="3"/>
    </row>
    <row r="772" ht="15.75" customHeight="1">
      <c r="H772" s="3"/>
    </row>
    <row r="773" ht="15.75" customHeight="1">
      <c r="H773" s="3"/>
    </row>
    <row r="774" ht="15.75" customHeight="1">
      <c r="H774" s="3"/>
    </row>
    <row r="775" ht="15.75" customHeight="1">
      <c r="H775" s="3"/>
    </row>
    <row r="776" ht="15.75" customHeight="1">
      <c r="H776" s="3"/>
    </row>
    <row r="777" ht="15.75" customHeight="1">
      <c r="H777" s="3"/>
    </row>
    <row r="778" ht="15.75" customHeight="1">
      <c r="H778" s="3"/>
    </row>
    <row r="779" ht="15.75" customHeight="1">
      <c r="H779" s="3"/>
    </row>
    <row r="780" ht="15.75" customHeight="1">
      <c r="H780" s="3"/>
    </row>
    <row r="781" ht="15.75" customHeight="1">
      <c r="H781" s="3"/>
    </row>
    <row r="782" ht="15.75" customHeight="1">
      <c r="H782" s="3"/>
    </row>
    <row r="783" ht="15.75" customHeight="1">
      <c r="H783" s="3"/>
    </row>
    <row r="784" ht="15.75" customHeight="1">
      <c r="H784" s="3"/>
    </row>
    <row r="785" ht="15.75" customHeight="1">
      <c r="H785" s="3"/>
    </row>
    <row r="786" ht="15.75" customHeight="1">
      <c r="H786" s="3"/>
    </row>
    <row r="787" ht="15.75" customHeight="1">
      <c r="H787" s="3"/>
    </row>
    <row r="788" ht="15.75" customHeight="1">
      <c r="H788" s="3"/>
    </row>
    <row r="789" ht="15.75" customHeight="1">
      <c r="H789" s="3"/>
    </row>
    <row r="790" ht="15.75" customHeight="1">
      <c r="H790" s="3"/>
    </row>
    <row r="791" ht="15.75" customHeight="1">
      <c r="H791" s="3"/>
    </row>
    <row r="792" ht="15.75" customHeight="1">
      <c r="H792" s="3"/>
    </row>
    <row r="793" ht="15.75" customHeight="1">
      <c r="H793" s="3"/>
    </row>
    <row r="794" ht="15.75" customHeight="1">
      <c r="H794" s="3"/>
    </row>
    <row r="795" ht="15.75" customHeight="1">
      <c r="H795" s="3"/>
    </row>
    <row r="796" ht="15.75" customHeight="1">
      <c r="H796" s="3"/>
    </row>
    <row r="797" ht="15.75" customHeight="1">
      <c r="H797" s="3"/>
    </row>
    <row r="798" ht="15.75" customHeight="1">
      <c r="H798" s="3"/>
    </row>
    <row r="799" ht="15.75" customHeight="1">
      <c r="H799" s="3"/>
    </row>
    <row r="800" ht="15.75" customHeight="1">
      <c r="H800" s="3"/>
    </row>
    <row r="801" ht="15.75" customHeight="1">
      <c r="H801" s="3"/>
    </row>
    <row r="802" ht="15.75" customHeight="1">
      <c r="H802" s="3"/>
    </row>
    <row r="803" ht="15.75" customHeight="1">
      <c r="H803" s="3"/>
    </row>
    <row r="804" ht="15.75" customHeight="1">
      <c r="H804" s="3"/>
    </row>
    <row r="805" ht="15.75" customHeight="1">
      <c r="H805" s="3"/>
    </row>
    <row r="806" ht="15.75" customHeight="1">
      <c r="H806" s="3"/>
    </row>
    <row r="807" ht="15.75" customHeight="1">
      <c r="H807" s="3"/>
    </row>
    <row r="808" ht="15.75" customHeight="1">
      <c r="H808" s="3"/>
    </row>
    <row r="809" ht="15.75" customHeight="1">
      <c r="H809" s="3"/>
    </row>
    <row r="810" ht="15.75" customHeight="1">
      <c r="H810" s="3"/>
    </row>
    <row r="811" ht="15.75" customHeight="1">
      <c r="H811" s="3"/>
    </row>
    <row r="812" ht="15.75" customHeight="1">
      <c r="H812" s="3"/>
    </row>
    <row r="813" ht="15.75" customHeight="1">
      <c r="H813" s="3"/>
    </row>
    <row r="814" ht="15.75" customHeight="1">
      <c r="H814" s="3"/>
    </row>
    <row r="815" ht="15.75" customHeight="1">
      <c r="H815" s="3"/>
    </row>
    <row r="816" ht="15.75" customHeight="1">
      <c r="H816" s="3"/>
    </row>
    <row r="817" ht="15.75" customHeight="1">
      <c r="H817" s="3"/>
    </row>
    <row r="818" ht="15.75" customHeight="1">
      <c r="H818" s="3"/>
    </row>
    <row r="819" ht="15.75" customHeight="1">
      <c r="H819" s="3"/>
    </row>
    <row r="820" ht="15.75" customHeight="1">
      <c r="H820" s="3"/>
    </row>
    <row r="821" ht="15.75" customHeight="1">
      <c r="H821" s="3"/>
    </row>
    <row r="822" ht="15.75" customHeight="1">
      <c r="H822" s="3"/>
    </row>
    <row r="823" ht="15.75" customHeight="1">
      <c r="H823" s="3"/>
    </row>
    <row r="824" ht="15.75" customHeight="1">
      <c r="H824" s="3"/>
    </row>
    <row r="825" ht="15.75" customHeight="1">
      <c r="H825" s="3"/>
    </row>
    <row r="826" ht="15.75" customHeight="1">
      <c r="H826" s="3"/>
    </row>
    <row r="827" ht="15.75" customHeight="1">
      <c r="H827" s="3"/>
    </row>
    <row r="828" ht="15.75" customHeight="1">
      <c r="H828" s="3"/>
    </row>
    <row r="829" ht="15.75" customHeight="1">
      <c r="H829" s="3"/>
    </row>
    <row r="830" ht="15.75" customHeight="1">
      <c r="H830" s="3"/>
    </row>
    <row r="831" ht="15.75" customHeight="1">
      <c r="H831" s="3"/>
    </row>
    <row r="832" ht="15.75" customHeight="1">
      <c r="H832" s="3"/>
    </row>
    <row r="833" ht="15.75" customHeight="1">
      <c r="H833" s="3"/>
    </row>
    <row r="834" ht="15.75" customHeight="1">
      <c r="H834" s="3"/>
    </row>
    <row r="835" ht="15.75" customHeight="1">
      <c r="H835" s="3"/>
    </row>
    <row r="836" ht="15.75" customHeight="1">
      <c r="H836" s="3"/>
    </row>
    <row r="837" ht="15.75" customHeight="1">
      <c r="H837" s="3"/>
    </row>
    <row r="838" ht="15.75" customHeight="1">
      <c r="H838" s="3"/>
    </row>
    <row r="839" ht="15.75" customHeight="1">
      <c r="H839" s="3"/>
    </row>
    <row r="840" ht="15.75" customHeight="1">
      <c r="H840" s="3"/>
    </row>
    <row r="841" ht="15.75" customHeight="1">
      <c r="H841" s="3"/>
    </row>
    <row r="842" ht="15.75" customHeight="1">
      <c r="H842" s="3"/>
    </row>
    <row r="843" ht="15.75" customHeight="1">
      <c r="H843" s="3"/>
    </row>
    <row r="844" ht="15.75" customHeight="1">
      <c r="H844" s="3"/>
    </row>
    <row r="845" ht="15.75" customHeight="1">
      <c r="H845" s="3"/>
    </row>
    <row r="846" ht="15.75" customHeight="1">
      <c r="H846" s="3"/>
    </row>
    <row r="847" ht="15.75" customHeight="1">
      <c r="H847" s="3"/>
    </row>
    <row r="848" ht="15.75" customHeight="1">
      <c r="H848" s="3"/>
    </row>
    <row r="849" ht="15.75" customHeight="1">
      <c r="H849" s="3"/>
    </row>
    <row r="850" ht="15.75" customHeight="1">
      <c r="H850" s="3"/>
    </row>
    <row r="851" ht="15.75" customHeight="1">
      <c r="H851" s="3"/>
    </row>
    <row r="852" ht="15.75" customHeight="1">
      <c r="H852" s="3"/>
    </row>
    <row r="853" ht="15.75" customHeight="1">
      <c r="H853" s="3"/>
    </row>
    <row r="854" ht="15.75" customHeight="1">
      <c r="H854" s="3"/>
    </row>
    <row r="855" ht="15.75" customHeight="1">
      <c r="H855" s="3"/>
    </row>
    <row r="856" ht="15.75" customHeight="1">
      <c r="H856" s="3"/>
    </row>
    <row r="857" ht="15.75" customHeight="1">
      <c r="H857" s="3"/>
    </row>
    <row r="858" ht="15.75" customHeight="1">
      <c r="H858" s="3"/>
    </row>
    <row r="859" ht="15.75" customHeight="1">
      <c r="H859" s="3"/>
    </row>
    <row r="860" ht="15.75" customHeight="1">
      <c r="H860" s="3"/>
    </row>
    <row r="861" ht="15.75" customHeight="1">
      <c r="H861" s="3"/>
    </row>
    <row r="862" ht="15.75" customHeight="1">
      <c r="H862" s="3"/>
    </row>
    <row r="863" ht="15.75" customHeight="1">
      <c r="H863" s="3"/>
    </row>
    <row r="864" ht="15.75" customHeight="1">
      <c r="H864" s="3"/>
    </row>
    <row r="865" ht="15.75" customHeight="1">
      <c r="H865" s="3"/>
    </row>
    <row r="866" ht="15.75" customHeight="1">
      <c r="H866" s="3"/>
    </row>
    <row r="867" ht="15.75" customHeight="1">
      <c r="H867" s="3"/>
    </row>
    <row r="868" ht="15.75" customHeight="1">
      <c r="H868" s="3"/>
    </row>
    <row r="869" ht="15.75" customHeight="1">
      <c r="H869" s="3"/>
    </row>
    <row r="870" ht="15.75" customHeight="1">
      <c r="H870" s="3"/>
    </row>
    <row r="871" ht="15.75" customHeight="1">
      <c r="H871" s="3"/>
    </row>
    <row r="872" ht="15.75" customHeight="1">
      <c r="H872" s="3"/>
    </row>
    <row r="873" ht="15.75" customHeight="1">
      <c r="H873" s="3"/>
    </row>
    <row r="874" ht="15.75" customHeight="1">
      <c r="H874" s="3"/>
    </row>
    <row r="875" ht="15.75" customHeight="1">
      <c r="H875" s="3"/>
    </row>
    <row r="876" ht="15.75" customHeight="1">
      <c r="H876" s="3"/>
    </row>
    <row r="877" ht="15.75" customHeight="1">
      <c r="H877" s="3"/>
    </row>
    <row r="878" ht="15.75" customHeight="1">
      <c r="H878" s="3"/>
    </row>
    <row r="879" ht="15.75" customHeight="1">
      <c r="H879" s="3"/>
    </row>
    <row r="880" ht="15.75" customHeight="1">
      <c r="H880" s="3"/>
    </row>
    <row r="881" ht="15.75" customHeight="1">
      <c r="H881" s="3"/>
    </row>
    <row r="882" ht="15.75" customHeight="1">
      <c r="H882" s="3"/>
    </row>
    <row r="883" ht="15.75" customHeight="1">
      <c r="H883" s="3"/>
    </row>
    <row r="884" ht="15.75" customHeight="1">
      <c r="H884" s="3"/>
    </row>
    <row r="885" ht="15.75" customHeight="1">
      <c r="H885" s="3"/>
    </row>
    <row r="886" ht="15.75" customHeight="1">
      <c r="H886" s="3"/>
    </row>
    <row r="887" ht="15.75" customHeight="1">
      <c r="H887" s="3"/>
    </row>
    <row r="888" ht="15.75" customHeight="1">
      <c r="H888" s="3"/>
    </row>
    <row r="889" ht="15.75" customHeight="1">
      <c r="H889" s="3"/>
    </row>
    <row r="890" ht="15.75" customHeight="1">
      <c r="H890" s="3"/>
    </row>
    <row r="891" ht="15.75" customHeight="1">
      <c r="H891" s="3"/>
    </row>
  </sheetData>
  <conditionalFormatting sqref="A14:A15">
    <cfRule type="expression" dxfId="8" priority="1">
      <formula>#REF!="YES"</formula>
    </cfRule>
  </conditionalFormatting>
  <conditionalFormatting sqref="A13">
    <cfRule type="expression" dxfId="8" priority="2">
      <formula>#REF!="YES"</formula>
    </cfRule>
  </conditionalFormatting>
  <conditionalFormatting sqref="A5:B15">
    <cfRule type="expression" dxfId="8" priority="3">
      <formula>$G5="YES"</formula>
    </cfRule>
  </conditionalFormatting>
  <dataValidations>
    <dataValidation type="custom" allowBlank="1" showDropDown="1" sqref="C5:F15">
      <formula1>AND(ISNUMBER(C5),(NOT(OR(NOT(ISERROR(DATEVALUE(C5))), AND(ISNUMBER(C5), LEFT(CELL("format", C5))="D")))))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86"/>
    <col customWidth="1" min="2" max="2" width="24.0"/>
    <col customWidth="1" min="3" max="26" width="8.71"/>
  </cols>
  <sheetData>
    <row r="1">
      <c r="A1" s="9" t="s">
        <v>7</v>
      </c>
    </row>
    <row r="2">
      <c r="A2" s="5"/>
      <c r="B2" s="12"/>
    </row>
    <row r="3" ht="32.25" customHeight="1">
      <c r="A3" s="18" t="s">
        <v>13</v>
      </c>
      <c r="B3" s="18" t="s">
        <v>18</v>
      </c>
    </row>
    <row r="4" ht="15.0" customHeight="1">
      <c r="A4" s="23" t="s">
        <v>22</v>
      </c>
      <c r="B4" s="30">
        <f>IF($A4="","",IFERROR(SUMIFS(ORDERS!$F$8:$F$991,ORDERS!$B$8:$B$991,"SALE",ORDERS!$D$8:$D$991,"&lt;="&amp;TODAY(),ORDERS!$E$8:$E$991,$A4),0))</f>
        <v>154000</v>
      </c>
    </row>
    <row r="5" ht="15.0" customHeight="1">
      <c r="A5" s="33" t="s">
        <v>34</v>
      </c>
      <c r="B5" s="39">
        <f>IF($A5="","",IFERROR(SUMIFS(ORDERS!$F$8:$F$991,ORDERS!$B$8:$B$991,"SALE",ORDERS!$D$8:$D$991,"&lt;="&amp;TODAY(),ORDERS!$E$8:$E$991,$A5),0))</f>
        <v>0</v>
      </c>
    </row>
    <row r="6" ht="15.0" customHeight="1">
      <c r="A6" s="33" t="s">
        <v>33</v>
      </c>
      <c r="B6" s="39">
        <f>IF($A6="","",IFERROR(SUMIFS(ORDERS!$F$8:$F$991,ORDERS!$B$8:$B$991,"SALE",ORDERS!$D$8:$D$991,"&lt;="&amp;TODAY(),ORDERS!$E$8:$E$991,$A6),0))</f>
        <v>0</v>
      </c>
    </row>
    <row r="7" ht="15.0" customHeight="1">
      <c r="A7" s="33" t="s">
        <v>51</v>
      </c>
      <c r="B7" s="39">
        <f>IF($A7="","",IFERROR(SUMIFS(ORDERS!$F$8:$F$991,ORDERS!$B$8:$B$991,"SALE",ORDERS!$D$8:$D$991,"&lt;="&amp;TODAY(),ORDERS!$E$8:$E$991,$A7),0))</f>
        <v>0</v>
      </c>
    </row>
    <row r="8" ht="15.0" customHeight="1">
      <c r="A8" s="33" t="s">
        <v>55</v>
      </c>
      <c r="B8" s="39">
        <f>IF($A8="","",IFERROR(SUMIFS(ORDERS!$F$8:$F$991,ORDERS!$B$8:$B$991,"SALE",ORDERS!$D$8:$D$991,"&lt;="&amp;TODAY(),ORDERS!$E$8:$E$991,$A8),0))</f>
        <v>0</v>
      </c>
    </row>
    <row r="9" ht="15.0" customHeight="1">
      <c r="A9" s="33" t="s">
        <v>56</v>
      </c>
      <c r="B9" s="39">
        <f>IF($A9="","",IFERROR(SUMIFS(ORDERS!$F$8:$F$991,ORDERS!$B$8:$B$991,"SALE",ORDERS!$D$8:$D$991,"&lt;="&amp;TODAY(),ORDERS!$E$8:$E$991,$A9),0))</f>
        <v>0</v>
      </c>
    </row>
    <row r="10" ht="15.0" customHeight="1">
      <c r="A10" s="23" t="s">
        <v>32</v>
      </c>
      <c r="B10" s="39">
        <f>IF($A10="","",IFERROR(SUMIFS(ORDERS!$F$8:$F$991,ORDERS!$B$8:$B$991,"SALE",ORDERS!$D$8:$D$991,"&lt;="&amp;TODAY(),ORDERS!$E$8:$E$991,$A10),0))</f>
        <v>1</v>
      </c>
    </row>
    <row r="11" ht="15.0" customHeight="1">
      <c r="A11" s="23" t="s">
        <v>57</v>
      </c>
      <c r="B11" s="39">
        <f>IF($A11="","",IFERROR(SUMIFS(ORDERS!$F$8:$F$991,ORDERS!$B$8:$B$991,"SALE",ORDERS!$D$8:$D$991,"&lt;="&amp;TODAY(),ORDERS!$E$8:$E$991,$A11),0))</f>
        <v>1</v>
      </c>
    </row>
    <row r="12" ht="15.0" customHeight="1">
      <c r="A12" s="23" t="s">
        <v>61</v>
      </c>
      <c r="B12" s="39">
        <f>IF($A12="","",IFERROR(SUMIFS(ORDERS!$F$8:$F$991,ORDERS!$B$8:$B$991,"SALE",ORDERS!$D$8:$D$991,"&lt;="&amp;TODAY(),ORDERS!$E$8:$E$991,$A12),0))</f>
        <v>0</v>
      </c>
    </row>
    <row r="13" ht="15.0" customHeight="1">
      <c r="A13" s="23" t="s">
        <v>62</v>
      </c>
      <c r="B13" s="39">
        <f>IF($A13="","",IFERROR(SUMIFS(ORDERS!$F$8:$F$991,ORDERS!$B$8:$B$991,"SALE",ORDERS!$D$8:$D$991,"&lt;="&amp;TODAY(),ORDERS!$E$8:$E$991,$A13),0))</f>
        <v>0</v>
      </c>
    </row>
    <row r="14" ht="15.0" customHeight="1">
      <c r="A14" s="23" t="s">
        <v>63</v>
      </c>
      <c r="B14" s="39">
        <f>IF($A14="","",IFERROR(SUMIFS(ORDERS!$F$8:$F$991,ORDERS!$B$8:$B$991,"SALE",ORDERS!$D$8:$D$991,"&lt;="&amp;TODAY(),ORDERS!$E$8:$E$991,$A14),0))</f>
        <v>0</v>
      </c>
    </row>
    <row r="15" ht="15.0" customHeight="1">
      <c r="A15" s="23" t="s">
        <v>64</v>
      </c>
      <c r="B15" s="39">
        <f>IF($A15="","",IFERROR(SUMIFS(ORDERS!$F$8:$F$991,ORDERS!$B$8:$B$991,"SALE",ORDERS!$D$8:$D$991,"&lt;="&amp;TODAY(),ORDERS!$E$8:$E$991,$A15),0))</f>
        <v>0</v>
      </c>
    </row>
    <row r="16" ht="15.0" customHeight="1">
      <c r="A16" s="23" t="s">
        <v>65</v>
      </c>
      <c r="B16" s="39">
        <f>IF($A16="","",IFERROR(SUMIFS(ORDERS!$F$8:$F$991,ORDERS!$B$8:$B$991,"SALE",ORDERS!$D$8:$D$991,"&lt;="&amp;TODAY(),ORDERS!$E$8:$E$991,$A16),0))</f>
        <v>0</v>
      </c>
    </row>
    <row r="17" ht="15.0" customHeight="1">
      <c r="A17" s="23" t="s">
        <v>66</v>
      </c>
      <c r="B17" s="39">
        <f>IF($A17="","",IFERROR(SUMIFS(ORDERS!$F$8:$F$991,ORDERS!$B$8:$B$991,"SALE",ORDERS!$D$8:$D$991,"&lt;="&amp;TODAY(),ORDERS!$E$8:$E$991,$A17),0))</f>
        <v>0</v>
      </c>
    </row>
    <row r="18" ht="15.0" customHeight="1">
      <c r="A18" s="31" t="s">
        <v>58</v>
      </c>
      <c r="B18" s="58">
        <f>IF($A18="","",IFERROR(SUMIFS(ORDERS!$F$8:$F$991,ORDERS!$B$8:$B$991,"SALE",ORDERS!$D$8:$D$991,"&lt;="&amp;TODAY(),ORDERS!$E$8:$E$991,$A18),0))</f>
        <v>1</v>
      </c>
    </row>
    <row r="19" ht="15.0" customHeight="1">
      <c r="A19" s="31" t="s">
        <v>67</v>
      </c>
      <c r="B19" s="58">
        <f>IF($A19="","",IFERROR(SUMIFS(ORDERS!$F$8:$F$991,ORDERS!$B$8:$B$991,"SALE",ORDERS!$D$8:$D$991,"&lt;="&amp;TODAY(),ORDERS!$E$8:$E$991,$A19),0))</f>
        <v>0</v>
      </c>
    </row>
    <row r="20" ht="15.0" customHeight="1">
      <c r="A20" s="31" t="s">
        <v>68</v>
      </c>
      <c r="B20" s="58">
        <f>IF($A20="","",IFERROR(SUMIFS(ORDERS!$F$8:$F$991,ORDERS!$B$8:$B$991,"SALE",ORDERS!$D$8:$D$991,"&lt;="&amp;TODAY(),ORDERS!$E$8:$E$991,$A20),0))</f>
        <v>0</v>
      </c>
    </row>
    <row r="21" ht="15.0" customHeight="1">
      <c r="A21" s="31" t="s">
        <v>70</v>
      </c>
      <c r="B21" s="58">
        <f>IF($A21="","",IFERROR(SUMIFS(ORDERS!$F$8:$F$991,ORDERS!$B$8:$B$991,"SALE",ORDERS!$D$8:$D$991,"&lt;="&amp;TODAY(),ORDERS!$E$8:$E$991,$A21),0))</f>
        <v>0</v>
      </c>
    </row>
    <row r="22" ht="15.0" customHeight="1">
      <c r="B22" s="59" t="str">
        <f>IF($A22="","",IFERROR(SUMIFS(ORDERS!$F$8:$F$991,ORDERS!$B$8:$B$991,"SALE",ORDERS!$D$8:$D$991,"&lt;="&amp;TODAY(),ORDERS!$E$8:$E$991,$A22),0))</f>
        <v/>
      </c>
    </row>
    <row r="23" ht="15.0" customHeight="1">
      <c r="B23" s="59" t="str">
        <f>IF($A23="","",IFERROR(SUMIFS(ORDERS!$F$8:$F$991,ORDERS!$B$8:$B$991,"SALE",ORDERS!$D$8:$D$991,"&lt;="&amp;TODAY(),ORDERS!$E$8:$E$991,$A23),0))</f>
        <v/>
      </c>
    </row>
    <row r="24" ht="15.0" customHeight="1">
      <c r="B24" s="59" t="str">
        <f>IF($A24="","",IFERROR(SUMIFS(ORDERS!$F$8:$F$991,ORDERS!$B$8:$B$991,"SALE",ORDERS!$D$8:$D$991,"&lt;="&amp;TODAY(),ORDERS!$E$8:$E$991,$A24),0))</f>
        <v/>
      </c>
    </row>
    <row r="25" ht="15.0" customHeight="1">
      <c r="B25" s="59" t="str">
        <f>IF($A25="","",IFERROR(SUMIFS(ORDERS!$F$8:$F$991,ORDERS!$B$8:$B$991,"SALE",ORDERS!$D$8:$D$991,"&lt;="&amp;TODAY(),ORDERS!$E$8:$E$991,$A25),0))</f>
        <v/>
      </c>
    </row>
    <row r="26" ht="15.0" customHeight="1">
      <c r="B26" s="59" t="str">
        <f>IF($A26="","",IFERROR(SUMIFS(ORDERS!$F$8:$F$991,ORDERS!$B$8:$B$991,"SALE",ORDERS!$D$8:$D$991,"&lt;="&amp;TODAY(),ORDERS!$E$8:$E$991,$A26),0))</f>
        <v/>
      </c>
    </row>
    <row r="27" ht="15.0" customHeight="1">
      <c r="B27" s="59" t="str">
        <f>IF($A27="","",IFERROR(SUMIFS(ORDERS!$F$8:$F$991,ORDERS!$B$8:$B$991,"SALE",ORDERS!$D$8:$D$991,"&lt;="&amp;TODAY(),ORDERS!$E$8:$E$991,$A27),0))</f>
        <v/>
      </c>
    </row>
    <row r="28" ht="15.0" customHeight="1">
      <c r="B28" s="59" t="str">
        <f>IF($A28="","",IFERROR(SUMIFS(ORDERS!$F$8:$F$991,ORDERS!$B$8:$B$991,"SALE",ORDERS!$D$8:$D$991,"&lt;="&amp;TODAY(),ORDERS!$E$8:$E$991,$A28),0))</f>
        <v/>
      </c>
    </row>
    <row r="29" ht="15.0" customHeight="1">
      <c r="B29" s="59" t="str">
        <f>IF($A29="","",IFERROR(SUMIFS(ORDERS!$F$8:$F$991,ORDERS!$B$8:$B$991,"SALE",ORDERS!$D$8:$D$991,"&lt;="&amp;TODAY(),ORDERS!$E$8:$E$991,$A29),0))</f>
        <v/>
      </c>
    </row>
    <row r="30" ht="15.0" customHeight="1">
      <c r="B30" s="59" t="str">
        <f>IF($A30="","",IFERROR(SUMIFS(ORDERS!$F$8:$F$991,ORDERS!$B$8:$B$991,"SALE",ORDERS!$D$8:$D$991,"&lt;="&amp;TODAY(),ORDERS!$E$8:$E$991,$A30),0))</f>
        <v/>
      </c>
    </row>
    <row r="31" ht="15.0" customHeight="1">
      <c r="B31" s="59" t="str">
        <f>IF($A31="","",IFERROR(SUMIFS(ORDERS!$F$8:$F$991,ORDERS!$B$8:$B$991,"SALE",ORDERS!$D$8:$D$991,"&lt;="&amp;TODAY(),ORDERS!$E$8:$E$991,$A31),0))</f>
        <v/>
      </c>
    </row>
    <row r="32" ht="15.0" customHeight="1">
      <c r="B32" s="59" t="str">
        <f>IF($A32="","",IFERROR(SUMIFS(ORDERS!$F$8:$F$991,ORDERS!$B$8:$B$991,"SALE",ORDERS!$D$8:$D$991,"&lt;="&amp;TODAY(),ORDERS!$E$8:$E$991,$A32),0))</f>
        <v/>
      </c>
    </row>
    <row r="33" ht="15.0" customHeight="1">
      <c r="B33" s="59" t="str">
        <f>IF($A33="","",IFERROR(SUMIFS(ORDERS!$F$8:$F$991,ORDERS!$B$8:$B$991,"SALE",ORDERS!$D$8:$D$991,"&lt;="&amp;TODAY(),ORDERS!$E$8:$E$991,$A33),0))</f>
        <v/>
      </c>
    </row>
    <row r="34" ht="15.0" customHeight="1">
      <c r="B34" s="59" t="str">
        <f>IF($A34="","",IFERROR(SUMIFS(ORDERS!$F$8:$F$991,ORDERS!$B$8:$B$991,"SALE",ORDERS!$D$8:$D$991,"&lt;="&amp;TODAY(),ORDERS!$E$8:$E$991,$A34),0))</f>
        <v/>
      </c>
    </row>
    <row r="35" ht="15.0" customHeight="1">
      <c r="B35" s="59" t="str">
        <f>IF($A35="","",IFERROR(SUMIFS(ORDERS!$F$8:$F$991,ORDERS!$B$8:$B$991,"SALE",ORDERS!$D$8:$D$991,"&lt;="&amp;TODAY(),ORDERS!$E$8:$E$991,$A35),0))</f>
        <v/>
      </c>
    </row>
    <row r="36" ht="15.0" customHeight="1">
      <c r="B36" s="59" t="str">
        <f>IF($A36="","",IFERROR(SUMIFS(ORDERS!$F$8:$F$991,ORDERS!$B$8:$B$991,"SALE",ORDERS!$D$8:$D$991,"&lt;="&amp;TODAY(),ORDERS!$E$8:$E$991,$A36),0))</f>
        <v/>
      </c>
    </row>
    <row r="37" ht="15.0" customHeight="1">
      <c r="B37" s="59" t="str">
        <f>IF($A37="","",IFERROR(SUMIFS(ORDERS!$F$8:$F$991,ORDERS!$B$8:$B$991,"SALE",ORDERS!$D$8:$D$991,"&lt;="&amp;TODAY(),ORDERS!$E$8:$E$991,$A37),0))</f>
        <v/>
      </c>
    </row>
    <row r="38" ht="15.0" customHeight="1">
      <c r="B38" s="59" t="str">
        <f>IF($A38="","",IFERROR(SUMIFS(ORDERS!$F$8:$F$991,ORDERS!$B$8:$B$991,"SALE",ORDERS!$D$8:$D$991,"&lt;="&amp;TODAY(),ORDERS!$E$8:$E$991,$A38),0))</f>
        <v/>
      </c>
    </row>
    <row r="39" ht="15.0" customHeight="1">
      <c r="B39" s="59" t="str">
        <f>IF($A39="","",IFERROR(SUMIFS(ORDERS!$F$8:$F$991,ORDERS!$B$8:$B$991,"SALE",ORDERS!$D$8:$D$991,"&lt;="&amp;TODAY(),ORDERS!$E$8:$E$991,$A39),0))</f>
        <v/>
      </c>
    </row>
    <row r="40" ht="15.0" customHeight="1">
      <c r="B40" s="59" t="str">
        <f>IF($A40="","",IFERROR(SUMIFS(ORDERS!$F$8:$F$991,ORDERS!$B$8:$B$991,"SALE",ORDERS!$D$8:$D$991,"&lt;="&amp;TODAY(),ORDERS!$E$8:$E$991,$A40),0))</f>
        <v/>
      </c>
    </row>
    <row r="41" ht="15.0" customHeight="1">
      <c r="B41" s="59" t="str">
        <f>IF($A41="","",IFERROR(SUMIFS(ORDERS!$F$8:$F$991,ORDERS!$B$8:$B$991,"SALE",ORDERS!$D$8:$D$991,"&lt;="&amp;TODAY(),ORDERS!$E$8:$E$991,$A41),0))</f>
        <v/>
      </c>
    </row>
    <row r="42" ht="15.0" customHeight="1">
      <c r="B42" s="59" t="str">
        <f>IF($A42="","",IFERROR(SUMIFS(ORDERS!$F$8:$F$991,ORDERS!$B$8:$B$991,"SALE",ORDERS!$D$8:$D$991,"&lt;="&amp;TODAY(),ORDERS!$E$8:$E$991,$A42),0))</f>
        <v/>
      </c>
    </row>
    <row r="43" ht="15.0" customHeight="1">
      <c r="B43" s="59" t="str">
        <f>IF($A43="","",IFERROR(SUMIFS(ORDERS!$F$8:$F$991,ORDERS!$B$8:$B$991,"SALE",ORDERS!$D$8:$D$991,"&lt;="&amp;TODAY(),ORDERS!$E$8:$E$991,$A43),0))</f>
        <v/>
      </c>
    </row>
    <row r="44" ht="15.0" customHeight="1">
      <c r="B44" s="59" t="str">
        <f>IF($A44="","",IFERROR(SUMIFS(ORDERS!$F$8:$F$991,ORDERS!$B$8:$B$991,"SALE",ORDERS!$D$8:$D$991,"&lt;="&amp;TODAY(),ORDERS!$E$8:$E$991,$A44),0))</f>
        <v/>
      </c>
    </row>
    <row r="45" ht="15.0" customHeight="1">
      <c r="B45" s="59" t="str">
        <f>IF($A45="","",IFERROR(SUMIFS(ORDERS!$F$8:$F$991,ORDERS!$B$8:$B$991,"SALE",ORDERS!$D$8:$D$991,"&lt;="&amp;TODAY(),ORDERS!$E$8:$E$991,$A45),0))</f>
        <v/>
      </c>
    </row>
    <row r="46" ht="15.0" customHeight="1">
      <c r="B46" s="59" t="str">
        <f>IF($A46="","",IFERROR(SUMIFS(ORDERS!$F$8:$F$991,ORDERS!$B$8:$B$991,"SALE",ORDERS!$D$8:$D$991,"&lt;="&amp;TODAY(),ORDERS!$E$8:$E$991,$A46),0))</f>
        <v/>
      </c>
    </row>
    <row r="47" ht="15.0" customHeight="1">
      <c r="B47" s="59" t="str">
        <f>IF($A47="","",IFERROR(SUMIFS(ORDERS!$F$8:$F$991,ORDERS!$B$8:$B$991,"SALE",ORDERS!$D$8:$D$991,"&lt;="&amp;TODAY(),ORDERS!$E$8:$E$991,$A47),0))</f>
        <v/>
      </c>
    </row>
    <row r="48" ht="15.0" customHeight="1">
      <c r="B48" s="59" t="str">
        <f>IF($A48="","",IFERROR(SUMIFS(ORDERS!$F$8:$F$991,ORDERS!$B$8:$B$991,"SALE",ORDERS!$D$8:$D$991,"&lt;="&amp;TODAY(),ORDERS!$E$8:$E$991,$A48),0))</f>
        <v/>
      </c>
    </row>
    <row r="49" ht="15.0" customHeight="1">
      <c r="B49" s="59" t="str">
        <f>IF($A49="","",IFERROR(SUMIFS(ORDERS!$F$8:$F$991,ORDERS!$B$8:$B$991,"SALE",ORDERS!$D$8:$D$991,"&lt;="&amp;TODAY(),ORDERS!$E$8:$E$991,$A49),0))</f>
        <v/>
      </c>
    </row>
    <row r="50" ht="15.0" customHeight="1">
      <c r="B50" s="59" t="str">
        <f>IF($A50="","",IFERROR(SUMIFS(ORDERS!$F$8:$F$991,ORDERS!$B$8:$B$991,"SALE",ORDERS!$D$8:$D$991,"&lt;="&amp;TODAY(),ORDERS!$E$8:$E$991,$A50),0))</f>
        <v/>
      </c>
    </row>
    <row r="51" ht="15.0" customHeight="1">
      <c r="B51" s="59" t="str">
        <f>IF($A51="","",IFERROR(SUMIFS(ORDERS!$F$8:$F$991,ORDERS!$B$8:$B$991,"SALE",ORDERS!$D$8:$D$991,"&lt;="&amp;TODAY(),ORDERS!$E$8:$E$991,$A51),0))</f>
        <v/>
      </c>
    </row>
    <row r="52" ht="15.0" customHeight="1">
      <c r="B52" s="59" t="str">
        <f>IF($A52="","",IFERROR(SUMIFS(ORDERS!$F$8:$F$991,ORDERS!$B$8:$B$991,"SALE",ORDERS!$D$8:$D$991,"&lt;="&amp;TODAY(),ORDERS!$E$8:$E$991,$A52),0))</f>
        <v/>
      </c>
    </row>
    <row r="53" ht="15.75" customHeight="1">
      <c r="B53" s="59" t="str">
        <f>IF($A53="","",IFERROR(SUMIFS(ORDERS!$F$8:$F$991,ORDERS!$B$8:$B$991,"SALE",ORDERS!$D$8:$D$991,"&lt;="&amp;TODAY(),ORDERS!$E$8:$E$991,$A53),0))</f>
        <v/>
      </c>
    </row>
    <row r="54" ht="15.75" customHeight="1">
      <c r="B54" s="59" t="str">
        <f>IF($A54="","",IFERROR(SUMIFS(ORDERS!$F$8:$F$991,ORDERS!$B$8:$B$991,"SALE",ORDERS!$D$8:$D$991,"&lt;="&amp;TODAY(),ORDERS!$E$8:$E$991,$A54),0))</f>
        <v/>
      </c>
    </row>
    <row r="55" ht="15.75" customHeight="1">
      <c r="B55" s="59" t="str">
        <f>IF($A55="","",IFERROR(SUMIFS(ORDERS!$F$8:$F$991,ORDERS!$B$8:$B$991,"SALE",ORDERS!$D$8:$D$991,"&lt;="&amp;TODAY(),ORDERS!$E$8:$E$991,$A55),0))</f>
        <v/>
      </c>
    </row>
    <row r="56" ht="15.75" customHeight="1">
      <c r="B56" s="59" t="str">
        <f>IF($A56="","",IFERROR(SUMIFS(ORDERS!$F$8:$F$991,ORDERS!$B$8:$B$991,"SALE",ORDERS!$D$8:$D$991,"&lt;="&amp;TODAY(),ORDERS!$E$8:$E$991,$A56),0))</f>
        <v/>
      </c>
    </row>
    <row r="57" ht="15.75" customHeight="1">
      <c r="B57" s="59" t="str">
        <f>IF($A57="","",IFERROR(SUMIFS(ORDERS!$F$8:$F$991,ORDERS!$B$8:$B$991,"SALE",ORDERS!$D$8:$D$991,"&lt;="&amp;TODAY(),ORDERS!$E$8:$E$991,$A57),0))</f>
        <v/>
      </c>
    </row>
    <row r="58" ht="15.75" customHeight="1">
      <c r="B58" s="59" t="str">
        <f>IF($A58="","",IFERROR(SUMIFS(ORDERS!$F$8:$F$991,ORDERS!$B$8:$B$991,"SALE",ORDERS!$D$8:$D$991,"&lt;="&amp;TODAY(),ORDERS!$E$8:$E$991,$A58),0))</f>
        <v/>
      </c>
    </row>
    <row r="59" ht="15.75" customHeight="1">
      <c r="B59" s="59" t="str">
        <f>IF($A59="","",IFERROR(SUMIFS(ORDERS!$F$8:$F$991,ORDERS!$B$8:$B$991,"SALE",ORDERS!$D$8:$D$991,"&lt;="&amp;TODAY(),ORDERS!$E$8:$E$991,$A59),0))</f>
        <v/>
      </c>
    </row>
    <row r="60" ht="15.75" customHeight="1">
      <c r="B60" s="59" t="str">
        <f>IF($A60="","",IFERROR(SUMIFS(ORDERS!$F$8:$F$991,ORDERS!$B$8:$B$991,"SALE",ORDERS!$D$8:$D$991,"&lt;="&amp;TODAY(),ORDERS!$E$8:$E$991,$A60),0))</f>
        <v/>
      </c>
    </row>
    <row r="61" ht="15.75" customHeight="1">
      <c r="B61" s="59" t="str">
        <f>IF($A61="","",IFERROR(SUMIFS(ORDERS!$F$8:$F$991,ORDERS!$B$8:$B$991,"SALE",ORDERS!$D$8:$D$991,"&lt;="&amp;TODAY(),ORDERS!$E$8:$E$991,$A61),0))</f>
        <v/>
      </c>
    </row>
    <row r="62" ht="15.75" customHeight="1">
      <c r="B62" s="59" t="str">
        <f>IF($A62="","",IFERROR(SUMIFS(ORDERS!$F$8:$F$991,ORDERS!$B$8:$B$991,"SALE",ORDERS!$D$8:$D$991,"&lt;="&amp;TODAY(),ORDERS!$E$8:$E$991,$A62),0))</f>
        <v/>
      </c>
    </row>
    <row r="63" ht="15.75" customHeight="1">
      <c r="B63" s="59" t="str">
        <f>IF($A63="","",IFERROR(SUMIFS(ORDERS!$F$8:$F$991,ORDERS!$B$8:$B$991,"SALE",ORDERS!$D$8:$D$991,"&lt;="&amp;TODAY(),ORDERS!$E$8:$E$991,$A63),0))</f>
        <v/>
      </c>
    </row>
    <row r="64" ht="15.75" customHeight="1">
      <c r="B64" s="59" t="str">
        <f>IF($A64="","",IFERROR(SUMIFS(ORDERS!$F$8:$F$991,ORDERS!$B$8:$B$991,"SALE",ORDERS!$D$8:$D$991,"&lt;="&amp;TODAY(),ORDERS!$E$8:$E$991,$A64),0))</f>
        <v/>
      </c>
    </row>
    <row r="65" ht="15.75" customHeight="1">
      <c r="B65" s="59" t="str">
        <f>IF($A65="","",IFERROR(SUMIFS(ORDERS!$F$8:$F$991,ORDERS!$B$8:$B$991,"SALE",ORDERS!$D$8:$D$991,"&lt;="&amp;TODAY(),ORDERS!$E$8:$E$991,$A65),0))</f>
        <v/>
      </c>
    </row>
    <row r="66" ht="15.75" customHeight="1">
      <c r="B66" s="59" t="str">
        <f>IF($A66="","",IFERROR(SUMIFS(ORDERS!$F$8:$F$991,ORDERS!$B$8:$B$991,"SALE",ORDERS!$D$8:$D$991,"&lt;="&amp;TODAY(),ORDERS!$E$8:$E$991,$A66),0))</f>
        <v/>
      </c>
    </row>
    <row r="67" ht="15.75" customHeight="1">
      <c r="B67" s="59" t="str">
        <f>IF($A67="","",IFERROR(SUMIFS(ORDERS!$F$8:$F$991,ORDERS!$B$8:$B$991,"SALE",ORDERS!$D$8:$D$991,"&lt;="&amp;TODAY(),ORDERS!$E$8:$E$991,$A67),0))</f>
        <v/>
      </c>
    </row>
    <row r="68" ht="15.75" customHeight="1">
      <c r="B68" s="59" t="str">
        <f>IF($A68="","",IFERROR(SUMIFS(ORDERS!$F$8:$F$991,ORDERS!$B$8:$B$991,"SALE",ORDERS!$D$8:$D$991,"&lt;="&amp;TODAY(),ORDERS!$E$8:$E$991,$A68),0))</f>
        <v/>
      </c>
    </row>
    <row r="69" ht="15.75" customHeight="1">
      <c r="B69" s="59" t="str">
        <f>IF($A69="","",IFERROR(SUMIFS(ORDERS!$F$8:$F$991,ORDERS!$B$8:$B$991,"SALE",ORDERS!$D$8:$D$991,"&lt;="&amp;TODAY(),ORDERS!$E$8:$E$991,$A69),0))</f>
        <v/>
      </c>
    </row>
    <row r="70" ht="15.75" customHeight="1">
      <c r="B70" s="59" t="str">
        <f>IF($A70="","",IFERROR(SUMIFS(ORDERS!$F$8:$F$991,ORDERS!$B$8:$B$991,"SALE",ORDERS!$D$8:$D$991,"&lt;="&amp;TODAY(),ORDERS!$E$8:$E$991,$A70),0))</f>
        <v/>
      </c>
    </row>
    <row r="71" ht="15.75" customHeight="1">
      <c r="B71" s="59" t="str">
        <f>IF($A71="","",IFERROR(SUMIFS(ORDERS!$F$8:$F$991,ORDERS!$B$8:$B$991,"SALE",ORDERS!$D$8:$D$991,"&lt;="&amp;TODAY(),ORDERS!$E$8:$E$991,$A71),0))</f>
        <v/>
      </c>
    </row>
    <row r="72" ht="15.75" customHeight="1">
      <c r="B72" s="59" t="str">
        <f>IF($A72="","",IFERROR(SUMIFS(ORDERS!$F$8:$F$991,ORDERS!$B$8:$B$991,"SALE",ORDERS!$D$8:$D$991,"&lt;="&amp;TODAY(),ORDERS!$E$8:$E$991,$A72),0))</f>
        <v/>
      </c>
    </row>
    <row r="73" ht="15.75" customHeight="1">
      <c r="B73" s="59" t="str">
        <f>IF($A73="","",IFERROR(SUMIFS(ORDERS!$F$8:$F$991,ORDERS!$B$8:$B$991,"SALE",ORDERS!$D$8:$D$991,"&lt;="&amp;TODAY(),ORDERS!$E$8:$E$991,$A73),0))</f>
        <v/>
      </c>
    </row>
    <row r="74" ht="15.75" customHeight="1">
      <c r="B74" s="59" t="str">
        <f>IF($A74="","",IFERROR(SUMIFS(ORDERS!$F$8:$F$991,ORDERS!$B$8:$B$991,"SALE",ORDERS!$D$8:$D$991,"&lt;="&amp;TODAY(),ORDERS!$E$8:$E$991,$A74),0))</f>
        <v/>
      </c>
    </row>
    <row r="75" ht="15.75" customHeight="1">
      <c r="B75" s="59" t="str">
        <f>IF($A75="","",IFERROR(SUMIFS(ORDERS!$F$8:$F$991,ORDERS!$B$8:$B$991,"SALE",ORDERS!$D$8:$D$991,"&lt;="&amp;TODAY(),ORDERS!$E$8:$E$991,$A75),0))</f>
        <v/>
      </c>
    </row>
    <row r="76" ht="15.75" customHeight="1">
      <c r="B76" s="59" t="str">
        <f>IF($A76="","",IFERROR(SUMIFS(ORDERS!$F$8:$F$991,ORDERS!$B$8:$B$991,"SALE",ORDERS!$D$8:$D$991,"&lt;="&amp;TODAY(),ORDERS!$E$8:$E$991,$A76),0))</f>
        <v/>
      </c>
    </row>
    <row r="77" ht="15.75" customHeight="1">
      <c r="B77" s="59" t="str">
        <f>IF($A77="","",IFERROR(SUMIFS(ORDERS!$F$8:$F$991,ORDERS!$B$8:$B$991,"SALE",ORDERS!$D$8:$D$991,"&lt;="&amp;TODAY(),ORDERS!$E$8:$E$991,$A77),0))</f>
        <v/>
      </c>
    </row>
    <row r="78" ht="15.75" customHeight="1">
      <c r="B78" s="59" t="str">
        <f>IF($A78="","",IFERROR(SUMIFS(ORDERS!$F$8:$F$991,ORDERS!$B$8:$B$991,"SALE",ORDERS!$D$8:$D$991,"&lt;="&amp;TODAY(),ORDERS!$E$8:$E$991,$A78),0))</f>
        <v/>
      </c>
    </row>
    <row r="79" ht="15.75" customHeight="1">
      <c r="B79" s="59" t="str">
        <f>IF($A79="","",IFERROR(SUMIFS(ORDERS!$F$8:$F$991,ORDERS!$B$8:$B$991,"SALE",ORDERS!$D$8:$D$991,"&lt;="&amp;TODAY(),ORDERS!$E$8:$E$991,$A79),0))</f>
        <v/>
      </c>
    </row>
    <row r="80" ht="15.75" customHeight="1">
      <c r="B80" s="59" t="str">
        <f>IF($A80="","",IFERROR(SUMIFS(ORDERS!$F$8:$F$991,ORDERS!$B$8:$B$991,"SALE",ORDERS!$D$8:$D$991,"&lt;="&amp;TODAY(),ORDERS!$E$8:$E$991,$A80),0))</f>
        <v/>
      </c>
    </row>
    <row r="81" ht="15.75" customHeight="1">
      <c r="B81" s="59" t="str">
        <f>IF($A81="","",IFERROR(SUMIFS(ORDERS!$F$8:$F$991,ORDERS!$B$8:$B$991,"SALE",ORDERS!$D$8:$D$991,"&lt;="&amp;TODAY(),ORDERS!$E$8:$E$991,$A81),0))</f>
        <v/>
      </c>
    </row>
    <row r="82" ht="15.75" customHeight="1">
      <c r="B82" s="59" t="str">
        <f>IF($A82="","",IFERROR(SUMIFS(ORDERS!$F$8:$F$991,ORDERS!$B$8:$B$991,"SALE",ORDERS!$D$8:$D$991,"&lt;="&amp;TODAY(),ORDERS!$E$8:$E$991,$A82),0))</f>
        <v/>
      </c>
    </row>
    <row r="83" ht="15.75" customHeight="1">
      <c r="B83" s="59" t="str">
        <f>IF($A83="","",IFERROR(SUMIFS(ORDERS!$F$8:$F$991,ORDERS!$B$8:$B$991,"SALE",ORDERS!$D$8:$D$991,"&lt;="&amp;TODAY(),ORDERS!$E$8:$E$991,$A83),0))</f>
        <v/>
      </c>
    </row>
    <row r="84" ht="15.75" customHeight="1">
      <c r="B84" s="59" t="str">
        <f>IF($A84="","",IFERROR(SUMIFS(ORDERS!$F$8:$F$991,ORDERS!$B$8:$B$991,"SALE",ORDERS!$D$8:$D$991,"&lt;="&amp;TODAY(),ORDERS!$E$8:$E$991,$A84),0))</f>
        <v/>
      </c>
    </row>
    <row r="85" ht="15.75" customHeight="1">
      <c r="B85" s="59" t="str">
        <f>IF($A85="","",IFERROR(SUMIFS(ORDERS!$F$8:$F$991,ORDERS!$B$8:$B$991,"SALE",ORDERS!$D$8:$D$991,"&lt;="&amp;TODAY(),ORDERS!$E$8:$E$991,$A85),0))</f>
        <v/>
      </c>
    </row>
    <row r="86" ht="15.75" customHeight="1">
      <c r="B86" s="59" t="str">
        <f>IF($A86="","",IFERROR(SUMIFS(ORDERS!$F$8:$F$991,ORDERS!$B$8:$B$991,"SALE",ORDERS!$D$8:$D$991,"&lt;="&amp;TODAY(),ORDERS!$E$8:$E$991,$A86),0))</f>
        <v/>
      </c>
    </row>
    <row r="87" ht="15.75" customHeight="1">
      <c r="B87" s="59" t="str">
        <f>IF($A87="","",IFERROR(SUMIFS(ORDERS!$F$8:$F$991,ORDERS!$B$8:$B$991,"SALE",ORDERS!$D$8:$D$991,"&lt;="&amp;TODAY(),ORDERS!$E$8:$E$991,$A87),0))</f>
        <v/>
      </c>
    </row>
    <row r="88" ht="15.75" customHeight="1">
      <c r="B88" s="59" t="str">
        <f>IF($A88="","",IFERROR(SUMIFS(ORDERS!$F$8:$F$991,ORDERS!$B$8:$B$991,"SALE",ORDERS!$D$8:$D$991,"&lt;="&amp;TODAY(),ORDERS!$E$8:$E$991,$A88),0))</f>
        <v/>
      </c>
    </row>
    <row r="89" ht="15.75" customHeight="1">
      <c r="B89" s="59" t="str">
        <f>IF($A89="","",IFERROR(SUMIFS(ORDERS!$F$8:$F$991,ORDERS!$B$8:$B$991,"SALE",ORDERS!$D$8:$D$991,"&lt;="&amp;TODAY(),ORDERS!$E$8:$E$991,$A89),0))</f>
        <v/>
      </c>
    </row>
    <row r="90" ht="15.75" customHeight="1">
      <c r="B90" s="59" t="str">
        <f>IF($A90="","",IFERROR(SUMIFS(ORDERS!$F$8:$F$991,ORDERS!$B$8:$B$991,"SALE",ORDERS!$D$8:$D$991,"&lt;="&amp;TODAY(),ORDERS!$E$8:$E$991,$A90),0))</f>
        <v/>
      </c>
    </row>
    <row r="91" ht="15.75" customHeight="1">
      <c r="B91" s="59" t="str">
        <f>IF($A91="","",IFERROR(SUMIFS(ORDERS!$F$8:$F$991,ORDERS!$B$8:$B$991,"SALE",ORDERS!$D$8:$D$991,"&lt;="&amp;TODAY(),ORDERS!$E$8:$E$991,$A91),0))</f>
        <v/>
      </c>
    </row>
    <row r="92" ht="15.75" customHeight="1">
      <c r="B92" s="59" t="str">
        <f>IF($A92="","",IFERROR(SUMIFS(ORDERS!$F$8:$F$991,ORDERS!$B$8:$B$991,"SALE",ORDERS!$D$8:$D$991,"&lt;="&amp;TODAY(),ORDERS!$E$8:$E$991,$A92),0))</f>
        <v/>
      </c>
    </row>
    <row r="93" ht="15.75" customHeight="1">
      <c r="B93" s="59" t="str">
        <f>IF($A93="","",IFERROR(SUMIFS(ORDERS!$F$8:$F$991,ORDERS!$B$8:$B$991,"SALE",ORDERS!$D$8:$D$991,"&lt;="&amp;TODAY(),ORDERS!$E$8:$E$991,$A93),0))</f>
        <v/>
      </c>
    </row>
    <row r="94" ht="15.75" customHeight="1">
      <c r="B94" s="59" t="str">
        <f>IF($A94="","",IFERROR(SUMIFS(ORDERS!$F$8:$F$991,ORDERS!$B$8:$B$991,"SALE",ORDERS!$D$8:$D$991,"&lt;="&amp;TODAY(),ORDERS!$E$8:$E$991,$A94),0))</f>
        <v/>
      </c>
    </row>
    <row r="95" ht="15.75" customHeight="1">
      <c r="B95" s="59" t="str">
        <f>IF($A95="","",IFERROR(SUMIFS(ORDERS!$F$8:$F$991,ORDERS!$B$8:$B$991,"SALE",ORDERS!$D$8:$D$991,"&lt;="&amp;TODAY(),ORDERS!$E$8:$E$991,$A95),0))</f>
        <v/>
      </c>
    </row>
    <row r="96" ht="15.75" customHeight="1">
      <c r="B96" s="59" t="str">
        <f>IF($A96="","",IFERROR(SUMIFS(ORDERS!$F$8:$F$991,ORDERS!$B$8:$B$991,"SALE",ORDERS!$D$8:$D$991,"&lt;="&amp;TODAY(),ORDERS!$E$8:$E$991,$A96),0))</f>
        <v/>
      </c>
    </row>
    <row r="97" ht="15.75" customHeight="1">
      <c r="B97" s="69"/>
    </row>
    <row r="98" ht="15.75" customHeight="1">
      <c r="B98" s="69"/>
    </row>
    <row r="99" ht="15.75" customHeight="1">
      <c r="B99" s="69"/>
    </row>
    <row r="100" ht="15.75" customHeight="1">
      <c r="B100" s="69"/>
    </row>
    <row r="101" ht="15.75" customHeight="1">
      <c r="B101" s="69"/>
    </row>
    <row r="102" ht="15.75" customHeight="1">
      <c r="B102" s="69"/>
    </row>
    <row r="103" ht="15.75" customHeight="1">
      <c r="B103" s="69"/>
    </row>
    <row r="104" ht="15.75" customHeight="1">
      <c r="B104" s="69"/>
    </row>
    <row r="105" ht="15.75" customHeight="1">
      <c r="B105" s="69"/>
    </row>
    <row r="106" ht="15.75" customHeight="1">
      <c r="B106" s="69"/>
    </row>
    <row r="107" ht="15.75" customHeight="1">
      <c r="B107" s="69"/>
    </row>
    <row r="108" ht="15.75" customHeight="1">
      <c r="B108" s="69"/>
    </row>
    <row r="109" ht="15.75" customHeight="1">
      <c r="B109" s="69"/>
    </row>
    <row r="110" ht="15.75" customHeight="1">
      <c r="B110" s="69"/>
    </row>
    <row r="111" ht="15.75" customHeight="1">
      <c r="B111" s="69"/>
    </row>
    <row r="112" ht="15.75" customHeight="1">
      <c r="B112" s="69"/>
    </row>
    <row r="113" ht="15.75" customHeight="1">
      <c r="B113" s="69"/>
    </row>
    <row r="114" ht="15.75" customHeight="1">
      <c r="B114" s="69"/>
    </row>
    <row r="115" ht="15.75" customHeight="1">
      <c r="B115" s="69"/>
    </row>
    <row r="116" ht="15.75" customHeight="1">
      <c r="B116" s="69"/>
    </row>
    <row r="117" ht="15.75" customHeight="1">
      <c r="B117" s="69"/>
    </row>
    <row r="118" ht="15.75" customHeight="1">
      <c r="B118" s="69"/>
    </row>
    <row r="119" ht="15.75" customHeight="1">
      <c r="B119" s="69"/>
    </row>
    <row r="120" ht="15.75" customHeight="1">
      <c r="B120" s="69"/>
    </row>
    <row r="121" ht="15.75" customHeight="1">
      <c r="B121" s="69"/>
    </row>
    <row r="122" ht="15.75" customHeight="1">
      <c r="B122" s="69"/>
    </row>
    <row r="123" ht="15.75" customHeight="1">
      <c r="B123" s="69"/>
    </row>
    <row r="124" ht="15.75" customHeight="1">
      <c r="B124" s="69"/>
    </row>
    <row r="125" ht="15.75" customHeight="1">
      <c r="B125" s="69"/>
    </row>
    <row r="126" ht="15.75" customHeight="1">
      <c r="B126" s="69"/>
    </row>
    <row r="127" ht="15.75" customHeight="1">
      <c r="B127" s="69"/>
    </row>
    <row r="128" ht="15.75" customHeight="1">
      <c r="B128" s="69"/>
    </row>
    <row r="129" ht="15.75" customHeight="1">
      <c r="B129" s="69"/>
    </row>
    <row r="130" ht="15.75" customHeight="1">
      <c r="B130" s="69"/>
    </row>
    <row r="131" ht="15.75" customHeight="1">
      <c r="B131" s="69"/>
    </row>
    <row r="132" ht="15.75" customHeight="1">
      <c r="B132" s="69"/>
    </row>
    <row r="133" ht="15.75" customHeight="1">
      <c r="B133" s="69"/>
    </row>
    <row r="134" ht="15.75" customHeight="1">
      <c r="B134" s="69"/>
    </row>
    <row r="135" ht="15.75" customHeight="1">
      <c r="B135" s="69"/>
    </row>
    <row r="136" ht="15.75" customHeight="1">
      <c r="B136" s="69"/>
    </row>
    <row r="137" ht="15.75" customHeight="1">
      <c r="B137" s="69"/>
    </row>
    <row r="138" ht="15.75" customHeight="1">
      <c r="B138" s="69"/>
    </row>
    <row r="139" ht="15.75" customHeight="1">
      <c r="B139" s="69"/>
    </row>
    <row r="140" ht="15.75" customHeight="1">
      <c r="B140" s="69"/>
    </row>
    <row r="141" ht="15.75" customHeight="1">
      <c r="B141" s="69"/>
    </row>
    <row r="142" ht="15.75" customHeight="1">
      <c r="B142" s="69"/>
    </row>
    <row r="143" ht="15.75" customHeight="1">
      <c r="B143" s="69"/>
    </row>
    <row r="144" ht="15.75" customHeight="1">
      <c r="B144" s="69"/>
    </row>
    <row r="145" ht="15.75" customHeight="1">
      <c r="B145" s="69"/>
    </row>
    <row r="146" ht="15.75" customHeight="1">
      <c r="B146" s="69"/>
    </row>
    <row r="147" ht="15.75" customHeight="1">
      <c r="B147" s="69"/>
    </row>
    <row r="148" ht="15.75" customHeight="1">
      <c r="B148" s="69"/>
    </row>
    <row r="149" ht="15.75" customHeight="1">
      <c r="B149" s="69"/>
    </row>
    <row r="150" ht="15.75" customHeight="1">
      <c r="B150" s="69"/>
    </row>
    <row r="151" ht="15.75" customHeight="1">
      <c r="B151" s="69"/>
    </row>
    <row r="152" ht="15.75" customHeight="1">
      <c r="B152" s="69"/>
    </row>
    <row r="153" ht="15.75" customHeight="1">
      <c r="B153" s="69"/>
    </row>
    <row r="154" ht="15.75" customHeight="1">
      <c r="B154" s="69"/>
    </row>
    <row r="155" ht="15.75" customHeight="1">
      <c r="B155" s="69"/>
    </row>
    <row r="156" ht="15.75" customHeight="1">
      <c r="B156" s="69"/>
    </row>
    <row r="157" ht="15.75" customHeight="1">
      <c r="B157" s="69"/>
    </row>
    <row r="158" ht="15.75" customHeight="1">
      <c r="B158" s="69"/>
    </row>
    <row r="159" ht="15.75" customHeight="1">
      <c r="B159" s="69"/>
    </row>
    <row r="160" ht="15.75" customHeight="1">
      <c r="B160" s="69"/>
    </row>
    <row r="161" ht="15.75" customHeight="1">
      <c r="B161" s="69"/>
    </row>
    <row r="162" ht="15.75" customHeight="1">
      <c r="B162" s="69"/>
    </row>
    <row r="163" ht="15.75" customHeight="1">
      <c r="B163" s="69"/>
    </row>
    <row r="164" ht="15.75" customHeight="1">
      <c r="B164" s="69"/>
    </row>
    <row r="165" ht="15.75" customHeight="1">
      <c r="B165" s="69"/>
    </row>
    <row r="166" ht="15.75" customHeight="1">
      <c r="B166" s="69"/>
    </row>
    <row r="167" ht="15.75" customHeight="1">
      <c r="B167" s="69"/>
    </row>
    <row r="168" ht="15.75" customHeight="1">
      <c r="B168" s="69"/>
    </row>
    <row r="169" ht="15.75" customHeight="1">
      <c r="B169" s="69"/>
    </row>
    <row r="170" ht="15.75" customHeight="1">
      <c r="B170" s="69"/>
    </row>
    <row r="171" ht="15.75" customHeight="1">
      <c r="B171" s="69"/>
    </row>
    <row r="172" ht="15.75" customHeight="1">
      <c r="B172" s="69"/>
    </row>
    <row r="173" ht="15.75" customHeight="1">
      <c r="B173" s="69"/>
    </row>
    <row r="174" ht="15.75" customHeight="1">
      <c r="B174" s="69"/>
    </row>
    <row r="175" ht="15.75" customHeight="1">
      <c r="B175" s="69"/>
    </row>
    <row r="176" ht="15.75" customHeight="1">
      <c r="B176" s="69"/>
    </row>
    <row r="177" ht="15.75" customHeight="1">
      <c r="B177" s="69"/>
    </row>
    <row r="178" ht="15.75" customHeight="1">
      <c r="B178" s="69"/>
    </row>
    <row r="179" ht="15.75" customHeight="1">
      <c r="B179" s="69"/>
    </row>
    <row r="180" ht="15.75" customHeight="1">
      <c r="B180" s="69"/>
    </row>
    <row r="181" ht="15.75" customHeight="1">
      <c r="B181" s="69"/>
    </row>
    <row r="182" ht="15.75" customHeight="1">
      <c r="B182" s="69"/>
    </row>
    <row r="183" ht="15.75" customHeight="1">
      <c r="B183" s="69"/>
    </row>
    <row r="184" ht="15.75" customHeight="1">
      <c r="B184" s="69"/>
    </row>
    <row r="185" ht="15.75" customHeight="1">
      <c r="B185" s="69"/>
    </row>
    <row r="186" ht="15.75" customHeight="1">
      <c r="B186" s="69"/>
    </row>
    <row r="187" ht="15.75" customHeight="1">
      <c r="B187" s="69"/>
    </row>
    <row r="188" ht="15.75" customHeight="1">
      <c r="B188" s="69"/>
    </row>
    <row r="189" ht="15.75" customHeight="1">
      <c r="B189" s="69"/>
    </row>
    <row r="190" ht="15.75" customHeight="1">
      <c r="B190" s="69"/>
    </row>
    <row r="191" ht="15.75" customHeight="1">
      <c r="B191" s="69"/>
    </row>
    <row r="192" ht="15.75" customHeight="1">
      <c r="B192" s="69"/>
    </row>
    <row r="193" ht="15.75" customHeight="1">
      <c r="B193" s="69"/>
    </row>
    <row r="194" ht="15.75" customHeight="1">
      <c r="B194" s="69"/>
    </row>
    <row r="195" ht="15.75" customHeight="1">
      <c r="B195" s="69"/>
    </row>
    <row r="196" ht="15.75" customHeight="1">
      <c r="B196" s="69"/>
    </row>
    <row r="197" ht="15.75" customHeight="1">
      <c r="B197" s="69"/>
    </row>
    <row r="198" ht="15.75" customHeight="1">
      <c r="B198" s="69"/>
    </row>
    <row r="199" ht="15.75" customHeight="1">
      <c r="B199" s="69"/>
    </row>
    <row r="200" ht="15.75" customHeight="1">
      <c r="B200" s="69"/>
    </row>
    <row r="201" ht="15.75" customHeight="1">
      <c r="B201" s="69"/>
    </row>
    <row r="202" ht="15.75" customHeight="1">
      <c r="B202" s="69"/>
    </row>
    <row r="203" ht="15.75" customHeight="1">
      <c r="B203" s="69"/>
    </row>
    <row r="204" ht="15.75" customHeight="1">
      <c r="B204" s="69"/>
    </row>
    <row r="205" ht="15.75" customHeight="1">
      <c r="B205" s="69"/>
    </row>
    <row r="206" ht="15.75" customHeight="1">
      <c r="B206" s="69"/>
    </row>
    <row r="207" ht="15.75" customHeight="1">
      <c r="B207" s="69"/>
    </row>
    <row r="208" ht="15.75" customHeight="1">
      <c r="B208" s="69"/>
    </row>
    <row r="209" ht="15.75" customHeight="1">
      <c r="B209" s="69"/>
    </row>
    <row r="210" ht="15.75" customHeight="1">
      <c r="B210" s="69"/>
    </row>
    <row r="211" ht="15.75" customHeight="1">
      <c r="B211" s="69"/>
    </row>
    <row r="212" ht="15.75" customHeight="1">
      <c r="B212" s="69"/>
    </row>
    <row r="213" ht="15.75" customHeight="1">
      <c r="B213" s="69"/>
    </row>
    <row r="214" ht="15.75" customHeight="1">
      <c r="B214" s="69"/>
    </row>
    <row r="215" ht="15.75" customHeight="1">
      <c r="B215" s="69"/>
    </row>
    <row r="216" ht="15.75" customHeight="1">
      <c r="B216" s="69"/>
    </row>
    <row r="217" ht="15.75" customHeight="1">
      <c r="B217" s="69"/>
    </row>
    <row r="218" ht="15.75" customHeight="1">
      <c r="B218" s="69"/>
    </row>
    <row r="219" ht="15.75" customHeight="1">
      <c r="B219" s="69"/>
    </row>
    <row r="220" ht="15.75" customHeight="1">
      <c r="B220" s="69"/>
    </row>
    <row r="221" ht="15.75" customHeight="1">
      <c r="B221" s="69"/>
    </row>
    <row r="222" ht="15.75" customHeight="1">
      <c r="B222" s="69"/>
    </row>
    <row r="223" ht="15.75" customHeight="1">
      <c r="B223" s="69"/>
    </row>
    <row r="224" ht="15.75" customHeight="1">
      <c r="B224" s="69"/>
    </row>
    <row r="225" ht="15.75" customHeight="1">
      <c r="B225" s="69"/>
    </row>
    <row r="226" ht="15.75" customHeight="1">
      <c r="B226" s="69"/>
    </row>
    <row r="227" ht="15.75" customHeight="1">
      <c r="B227" s="69"/>
    </row>
    <row r="228" ht="15.75" customHeight="1">
      <c r="B228" s="69"/>
    </row>
    <row r="229" ht="15.75" customHeight="1">
      <c r="B229" s="69"/>
    </row>
    <row r="230" ht="15.75" customHeight="1">
      <c r="B230" s="69"/>
    </row>
    <row r="231" ht="15.75" customHeight="1">
      <c r="B231" s="69"/>
    </row>
    <row r="232" ht="15.75" customHeight="1">
      <c r="B232" s="69"/>
    </row>
    <row r="233" ht="15.75" customHeight="1">
      <c r="B233" s="69"/>
    </row>
    <row r="234" ht="15.75" customHeight="1">
      <c r="B234" s="69"/>
    </row>
    <row r="235" ht="15.75" customHeight="1">
      <c r="B235" s="69"/>
    </row>
    <row r="236" ht="15.75" customHeight="1">
      <c r="B236" s="69"/>
    </row>
    <row r="237" ht="15.75" customHeight="1">
      <c r="B237" s="69"/>
    </row>
    <row r="238" ht="15.75" customHeight="1">
      <c r="B238" s="69"/>
    </row>
    <row r="239" ht="15.75" customHeight="1">
      <c r="B239" s="69"/>
    </row>
    <row r="240" ht="15.75" customHeight="1">
      <c r="B240" s="69"/>
    </row>
    <row r="241" ht="15.75" customHeight="1">
      <c r="B241" s="69"/>
    </row>
    <row r="242" ht="15.75" customHeight="1">
      <c r="B242" s="69"/>
    </row>
    <row r="243" ht="15.75" customHeight="1">
      <c r="B243" s="69"/>
    </row>
    <row r="244" ht="15.75" customHeight="1">
      <c r="B244" s="69"/>
    </row>
    <row r="245" ht="15.75" customHeight="1">
      <c r="B245" s="69"/>
    </row>
    <row r="246" ht="15.75" customHeight="1">
      <c r="B246" s="69"/>
    </row>
    <row r="247" ht="15.75" customHeight="1">
      <c r="B247" s="69"/>
    </row>
    <row r="248" ht="15.75" customHeight="1">
      <c r="B248" s="69"/>
    </row>
    <row r="249" ht="15.75" customHeight="1">
      <c r="B249" s="69"/>
    </row>
    <row r="250" ht="15.75" customHeight="1">
      <c r="B250" s="69"/>
    </row>
    <row r="251" ht="15.75" customHeight="1">
      <c r="B251" s="69"/>
    </row>
    <row r="252" ht="15.75" customHeight="1">
      <c r="B252" s="69"/>
    </row>
    <row r="253" ht="15.75" customHeight="1">
      <c r="B253" s="69"/>
    </row>
    <row r="254" ht="15.75" customHeight="1">
      <c r="B254" s="69"/>
    </row>
    <row r="255" ht="15.75" customHeight="1">
      <c r="B255" s="69"/>
    </row>
    <row r="256" ht="15.75" customHeight="1">
      <c r="B256" s="69"/>
    </row>
    <row r="257" ht="15.75" customHeight="1">
      <c r="B257" s="69"/>
    </row>
    <row r="258" ht="15.75" customHeight="1">
      <c r="B258" s="69"/>
    </row>
    <row r="259" ht="15.75" customHeight="1">
      <c r="B259" s="69"/>
    </row>
    <row r="260" ht="15.75" customHeight="1">
      <c r="B260" s="69"/>
    </row>
    <row r="261" ht="15.75" customHeight="1">
      <c r="B261" s="69"/>
    </row>
    <row r="262" ht="15.75" customHeight="1">
      <c r="B262" s="69"/>
    </row>
    <row r="263" ht="15.75" customHeight="1">
      <c r="B263" s="69"/>
    </row>
    <row r="264" ht="15.75" customHeight="1">
      <c r="B264" s="69"/>
    </row>
    <row r="265" ht="15.75" customHeight="1">
      <c r="B265" s="69"/>
    </row>
    <row r="266" ht="15.75" customHeight="1">
      <c r="B266" s="69"/>
    </row>
    <row r="267" ht="15.75" customHeight="1">
      <c r="B267" s="69"/>
    </row>
    <row r="268" ht="15.75" customHeight="1">
      <c r="B268" s="69"/>
    </row>
    <row r="269" ht="15.75" customHeight="1">
      <c r="B269" s="69"/>
    </row>
    <row r="270" ht="15.75" customHeight="1">
      <c r="B270" s="69"/>
    </row>
    <row r="271" ht="15.75" customHeight="1">
      <c r="B271" s="69"/>
    </row>
    <row r="272" ht="15.75" customHeight="1">
      <c r="B272" s="69"/>
    </row>
    <row r="273" ht="15.75" customHeight="1">
      <c r="B273" s="69"/>
    </row>
    <row r="274" ht="15.75" customHeight="1">
      <c r="B274" s="69"/>
    </row>
    <row r="275" ht="15.75" customHeight="1">
      <c r="B275" s="69"/>
    </row>
    <row r="276" ht="15.75" customHeight="1">
      <c r="B276" s="69"/>
    </row>
    <row r="277" ht="15.75" customHeight="1">
      <c r="B277" s="69"/>
    </row>
    <row r="278" ht="15.75" customHeight="1">
      <c r="B278" s="69"/>
    </row>
    <row r="279" ht="15.75" customHeight="1">
      <c r="B279" s="69"/>
    </row>
    <row r="280" ht="15.75" customHeight="1">
      <c r="B280" s="69"/>
    </row>
    <row r="281" ht="15.75" customHeight="1">
      <c r="B281" s="69"/>
    </row>
    <row r="282" ht="15.75" customHeight="1">
      <c r="B282" s="69"/>
    </row>
    <row r="283" ht="15.75" customHeight="1">
      <c r="B283" s="69"/>
    </row>
    <row r="284" ht="15.75" customHeight="1">
      <c r="B284" s="69"/>
    </row>
    <row r="285" ht="15.75" customHeight="1">
      <c r="B285" s="69"/>
    </row>
    <row r="286" ht="15.75" customHeight="1">
      <c r="B286" s="69"/>
    </row>
    <row r="287" ht="15.75" customHeight="1">
      <c r="B287" s="69"/>
    </row>
    <row r="288" ht="15.75" customHeight="1">
      <c r="B288" s="69"/>
    </row>
    <row r="289" ht="15.75" customHeight="1">
      <c r="B289" s="69"/>
    </row>
    <row r="290" ht="15.75" customHeight="1">
      <c r="B290" s="69"/>
    </row>
    <row r="291" ht="15.75" customHeight="1">
      <c r="B291" s="69"/>
    </row>
    <row r="292" ht="15.75" customHeight="1">
      <c r="B292" s="69"/>
    </row>
    <row r="293" ht="15.75" customHeight="1">
      <c r="B293" s="69"/>
    </row>
    <row r="294" ht="15.75" customHeight="1">
      <c r="B294" s="69"/>
    </row>
    <row r="295" ht="15.75" customHeight="1">
      <c r="B295" s="69"/>
    </row>
    <row r="296" ht="15.75" customHeight="1">
      <c r="B296" s="69"/>
    </row>
    <row r="297" ht="15.75" customHeight="1">
      <c r="B297" s="69"/>
    </row>
    <row r="298" ht="15.75" customHeight="1">
      <c r="B298" s="69"/>
    </row>
    <row r="299" ht="15.75" customHeight="1">
      <c r="B299" s="69"/>
    </row>
    <row r="300" ht="15.75" customHeight="1">
      <c r="B300" s="69"/>
    </row>
    <row r="301" ht="15.75" customHeight="1">
      <c r="B301" s="69"/>
    </row>
    <row r="302" ht="15.75" customHeight="1">
      <c r="B302" s="69"/>
    </row>
    <row r="303" ht="15.75" customHeight="1">
      <c r="B303" s="69"/>
    </row>
    <row r="304" ht="15.75" customHeight="1">
      <c r="B304" s="69"/>
    </row>
    <row r="305" ht="15.75" customHeight="1">
      <c r="B305" s="69"/>
    </row>
    <row r="306" ht="15.75" customHeight="1">
      <c r="B306" s="69"/>
    </row>
    <row r="307" ht="15.75" customHeight="1">
      <c r="B307" s="69"/>
    </row>
    <row r="308" ht="15.75" customHeight="1">
      <c r="B308" s="69"/>
    </row>
    <row r="309" ht="15.75" customHeight="1">
      <c r="B309" s="69"/>
    </row>
    <row r="310" ht="15.75" customHeight="1">
      <c r="B310" s="69"/>
    </row>
    <row r="311" ht="15.75" customHeight="1">
      <c r="B311" s="69"/>
    </row>
    <row r="312" ht="15.75" customHeight="1">
      <c r="B312" s="69"/>
    </row>
    <row r="313" ht="15.75" customHeight="1">
      <c r="B313" s="69"/>
    </row>
    <row r="314" ht="15.75" customHeight="1">
      <c r="B314" s="69"/>
    </row>
    <row r="315" ht="15.75" customHeight="1">
      <c r="B315" s="69"/>
    </row>
    <row r="316" ht="15.75" customHeight="1">
      <c r="B316" s="69"/>
    </row>
    <row r="317" ht="15.75" customHeight="1">
      <c r="B317" s="69"/>
    </row>
    <row r="318" ht="15.75" customHeight="1">
      <c r="B318" s="69"/>
    </row>
    <row r="319" ht="15.75" customHeight="1">
      <c r="B319" s="69"/>
    </row>
    <row r="320" ht="15.75" customHeight="1">
      <c r="B320" s="69"/>
    </row>
    <row r="321" ht="15.75" customHeight="1">
      <c r="B321" s="69"/>
    </row>
    <row r="322" ht="15.75" customHeight="1">
      <c r="B322" s="69"/>
    </row>
    <row r="323" ht="15.75" customHeight="1">
      <c r="B323" s="69"/>
    </row>
    <row r="324" ht="15.75" customHeight="1">
      <c r="B324" s="69"/>
    </row>
    <row r="325" ht="15.75" customHeight="1">
      <c r="B325" s="69"/>
    </row>
    <row r="326" ht="15.75" customHeight="1">
      <c r="B326" s="69"/>
    </row>
    <row r="327" ht="15.75" customHeight="1">
      <c r="B327" s="69"/>
    </row>
    <row r="328" ht="15.75" customHeight="1">
      <c r="B328" s="69"/>
    </row>
    <row r="329" ht="15.75" customHeight="1">
      <c r="B329" s="69"/>
    </row>
    <row r="330" ht="15.75" customHeight="1">
      <c r="B330" s="69"/>
    </row>
    <row r="331" ht="15.75" customHeight="1">
      <c r="B331" s="69"/>
    </row>
    <row r="332" ht="15.75" customHeight="1">
      <c r="B332" s="69"/>
    </row>
    <row r="333" ht="15.75" customHeight="1">
      <c r="B333" s="69"/>
    </row>
    <row r="334" ht="15.75" customHeight="1">
      <c r="B334" s="69"/>
    </row>
    <row r="335" ht="15.75" customHeight="1">
      <c r="B335" s="69"/>
    </row>
    <row r="336" ht="15.75" customHeight="1">
      <c r="B336" s="69"/>
    </row>
    <row r="337" ht="15.75" customHeight="1">
      <c r="B337" s="69"/>
    </row>
    <row r="338" ht="15.75" customHeight="1">
      <c r="B338" s="69"/>
    </row>
    <row r="339" ht="15.75" customHeight="1">
      <c r="B339" s="69"/>
    </row>
    <row r="340" ht="15.75" customHeight="1">
      <c r="B340" s="69"/>
    </row>
    <row r="341" ht="15.75" customHeight="1">
      <c r="B341" s="69"/>
    </row>
    <row r="342" ht="15.75" customHeight="1">
      <c r="B342" s="69"/>
    </row>
    <row r="343" ht="15.75" customHeight="1">
      <c r="B343" s="69"/>
    </row>
    <row r="344" ht="15.75" customHeight="1">
      <c r="B344" s="69"/>
    </row>
    <row r="345" ht="15.75" customHeight="1">
      <c r="B345" s="69"/>
    </row>
    <row r="346" ht="15.75" customHeight="1">
      <c r="B346" s="69"/>
    </row>
    <row r="347" ht="15.75" customHeight="1">
      <c r="B347" s="69"/>
    </row>
    <row r="348" ht="15.75" customHeight="1">
      <c r="B348" s="69"/>
    </row>
    <row r="349" ht="15.75" customHeight="1">
      <c r="B349" s="69"/>
    </row>
    <row r="350" ht="15.75" customHeight="1">
      <c r="B350" s="69"/>
    </row>
    <row r="351" ht="15.75" customHeight="1">
      <c r="B351" s="69"/>
    </row>
    <row r="352" ht="15.75" customHeight="1">
      <c r="B352" s="69"/>
    </row>
    <row r="353" ht="15.75" customHeight="1">
      <c r="B353" s="69"/>
    </row>
    <row r="354" ht="15.75" customHeight="1">
      <c r="B354" s="69"/>
    </row>
    <row r="355" ht="15.75" customHeight="1">
      <c r="B355" s="69"/>
    </row>
    <row r="356" ht="15.75" customHeight="1">
      <c r="B356" s="69"/>
    </row>
    <row r="357" ht="15.75" customHeight="1">
      <c r="B357" s="69"/>
    </row>
    <row r="358" ht="15.75" customHeight="1">
      <c r="B358" s="69"/>
    </row>
    <row r="359" ht="15.75" customHeight="1">
      <c r="B359" s="69"/>
    </row>
    <row r="360" ht="15.75" customHeight="1">
      <c r="B360" s="69"/>
    </row>
    <row r="361" ht="15.75" customHeight="1">
      <c r="B361" s="69"/>
    </row>
    <row r="362" ht="15.75" customHeight="1">
      <c r="B362" s="69"/>
    </row>
    <row r="363" ht="15.75" customHeight="1">
      <c r="B363" s="69"/>
    </row>
    <row r="364" ht="15.75" customHeight="1">
      <c r="B364" s="69"/>
    </row>
    <row r="365" ht="15.75" customHeight="1">
      <c r="B365" s="69"/>
    </row>
    <row r="366" ht="15.75" customHeight="1">
      <c r="B366" s="69"/>
    </row>
    <row r="367" ht="15.75" customHeight="1">
      <c r="B367" s="69"/>
    </row>
    <row r="368" ht="15.75" customHeight="1">
      <c r="B368" s="69"/>
    </row>
    <row r="369" ht="15.75" customHeight="1">
      <c r="B369" s="69"/>
    </row>
    <row r="370" ht="15.75" customHeight="1">
      <c r="B370" s="69"/>
    </row>
    <row r="371" ht="15.75" customHeight="1">
      <c r="B371" s="69"/>
    </row>
    <row r="372" ht="15.75" customHeight="1">
      <c r="B372" s="69"/>
    </row>
    <row r="373" ht="15.75" customHeight="1">
      <c r="B373" s="69"/>
    </row>
    <row r="374" ht="15.75" customHeight="1">
      <c r="B374" s="69"/>
    </row>
    <row r="375" ht="15.75" customHeight="1">
      <c r="B375" s="69"/>
    </row>
    <row r="376" ht="15.75" customHeight="1">
      <c r="B376" s="69"/>
    </row>
    <row r="377" ht="15.75" customHeight="1">
      <c r="B377" s="69"/>
    </row>
    <row r="378" ht="15.75" customHeight="1">
      <c r="B378" s="69"/>
    </row>
    <row r="379" ht="15.75" customHeight="1">
      <c r="B379" s="69"/>
    </row>
    <row r="380" ht="15.75" customHeight="1">
      <c r="B380" s="69"/>
    </row>
    <row r="381" ht="15.75" customHeight="1">
      <c r="B381" s="69"/>
    </row>
    <row r="382" ht="15.75" customHeight="1">
      <c r="B382" s="69"/>
    </row>
    <row r="383" ht="15.75" customHeight="1">
      <c r="B383" s="69"/>
    </row>
    <row r="384" ht="15.75" customHeight="1">
      <c r="B384" s="69"/>
    </row>
    <row r="385" ht="15.75" customHeight="1">
      <c r="B385" s="69"/>
    </row>
    <row r="386" ht="15.75" customHeight="1">
      <c r="B386" s="69"/>
    </row>
    <row r="387" ht="15.75" customHeight="1">
      <c r="B387" s="69"/>
    </row>
    <row r="388" ht="15.75" customHeight="1">
      <c r="B388" s="69"/>
    </row>
    <row r="389" ht="15.75" customHeight="1">
      <c r="B389" s="69"/>
    </row>
    <row r="390" ht="15.75" customHeight="1">
      <c r="B390" s="69"/>
    </row>
    <row r="391" ht="15.75" customHeight="1">
      <c r="B391" s="69"/>
    </row>
    <row r="392" ht="15.75" customHeight="1">
      <c r="B392" s="69"/>
    </row>
    <row r="393" ht="15.75" customHeight="1">
      <c r="B393" s="69"/>
    </row>
    <row r="394" ht="15.75" customHeight="1">
      <c r="B394" s="69"/>
    </row>
    <row r="395" ht="15.75" customHeight="1">
      <c r="B395" s="69"/>
    </row>
    <row r="396" ht="15.75" customHeight="1">
      <c r="B396" s="69"/>
    </row>
    <row r="397" ht="15.75" customHeight="1">
      <c r="B397" s="69"/>
    </row>
    <row r="398" ht="15.75" customHeight="1">
      <c r="B398" s="69"/>
    </row>
    <row r="399" ht="15.75" customHeight="1">
      <c r="B399" s="69"/>
    </row>
    <row r="400" ht="15.75" customHeight="1">
      <c r="B400" s="69"/>
    </row>
    <row r="401" ht="15.75" customHeight="1">
      <c r="B401" s="69"/>
    </row>
    <row r="402" ht="15.75" customHeight="1">
      <c r="B402" s="69"/>
    </row>
    <row r="403" ht="15.75" customHeight="1">
      <c r="B403" s="69"/>
    </row>
    <row r="404" ht="15.75" customHeight="1">
      <c r="B404" s="69"/>
    </row>
    <row r="405" ht="15.75" customHeight="1">
      <c r="B405" s="69"/>
    </row>
    <row r="406" ht="15.75" customHeight="1">
      <c r="B406" s="69"/>
    </row>
    <row r="407" ht="15.75" customHeight="1">
      <c r="B407" s="69"/>
    </row>
    <row r="408" ht="15.75" customHeight="1">
      <c r="B408" s="69"/>
    </row>
    <row r="409" ht="15.75" customHeight="1">
      <c r="B409" s="69"/>
    </row>
    <row r="410" ht="15.75" customHeight="1">
      <c r="B410" s="69"/>
    </row>
    <row r="411" ht="15.75" customHeight="1">
      <c r="B411" s="69"/>
    </row>
    <row r="412" ht="15.75" customHeight="1">
      <c r="B412" s="69"/>
    </row>
    <row r="413" ht="15.75" customHeight="1">
      <c r="B413" s="69"/>
    </row>
    <row r="414" ht="15.75" customHeight="1">
      <c r="B414" s="69"/>
    </row>
    <row r="415" ht="15.75" customHeight="1">
      <c r="B415" s="69"/>
    </row>
    <row r="416" ht="15.75" customHeight="1">
      <c r="B416" s="69"/>
    </row>
    <row r="417" ht="15.75" customHeight="1">
      <c r="B417" s="69"/>
    </row>
    <row r="418" ht="15.75" customHeight="1">
      <c r="B418" s="69"/>
    </row>
    <row r="419" ht="15.75" customHeight="1">
      <c r="B419" s="69"/>
    </row>
    <row r="420" ht="15.75" customHeight="1">
      <c r="B420" s="69"/>
    </row>
    <row r="421" ht="15.75" customHeight="1">
      <c r="B421" s="69"/>
    </row>
    <row r="422" ht="15.75" customHeight="1">
      <c r="B422" s="69"/>
    </row>
    <row r="423" ht="15.75" customHeight="1">
      <c r="B423" s="69"/>
    </row>
    <row r="424" ht="15.75" customHeight="1">
      <c r="B424" s="69"/>
    </row>
    <row r="425" ht="15.75" customHeight="1">
      <c r="B425" s="69"/>
    </row>
    <row r="426" ht="15.75" customHeight="1">
      <c r="B426" s="69"/>
    </row>
    <row r="427" ht="15.75" customHeight="1">
      <c r="B427" s="69"/>
    </row>
    <row r="428" ht="15.75" customHeight="1">
      <c r="B428" s="69"/>
    </row>
    <row r="429" ht="15.75" customHeight="1">
      <c r="B429" s="69"/>
    </row>
    <row r="430" ht="15.75" customHeight="1">
      <c r="B430" s="69"/>
    </row>
    <row r="431" ht="15.75" customHeight="1">
      <c r="B431" s="69"/>
    </row>
    <row r="432" ht="15.75" customHeight="1">
      <c r="B432" s="69"/>
    </row>
    <row r="433" ht="15.75" customHeight="1">
      <c r="B433" s="69"/>
    </row>
    <row r="434" ht="15.75" customHeight="1">
      <c r="B434" s="69"/>
    </row>
    <row r="435" ht="15.75" customHeight="1">
      <c r="B435" s="69"/>
    </row>
    <row r="436" ht="15.75" customHeight="1">
      <c r="B436" s="69"/>
    </row>
    <row r="437" ht="15.75" customHeight="1">
      <c r="B437" s="69"/>
    </row>
    <row r="438" ht="15.75" customHeight="1">
      <c r="B438" s="69"/>
    </row>
    <row r="439" ht="15.75" customHeight="1">
      <c r="B439" s="69"/>
    </row>
    <row r="440" ht="15.75" customHeight="1">
      <c r="B440" s="69"/>
    </row>
    <row r="441" ht="15.75" customHeight="1">
      <c r="B441" s="69"/>
    </row>
    <row r="442" ht="15.75" customHeight="1">
      <c r="B442" s="69"/>
    </row>
    <row r="443" ht="15.75" customHeight="1">
      <c r="B443" s="69"/>
    </row>
    <row r="444" ht="15.75" customHeight="1">
      <c r="B444" s="69"/>
    </row>
    <row r="445" ht="15.75" customHeight="1">
      <c r="B445" s="69"/>
    </row>
    <row r="446" ht="15.75" customHeight="1">
      <c r="B446" s="69"/>
    </row>
    <row r="447" ht="15.75" customHeight="1">
      <c r="B447" s="69"/>
    </row>
    <row r="448" ht="15.75" customHeight="1">
      <c r="B448" s="69"/>
    </row>
    <row r="449" ht="15.75" customHeight="1">
      <c r="B449" s="69"/>
    </row>
    <row r="450" ht="15.75" customHeight="1">
      <c r="B450" s="69"/>
    </row>
    <row r="451" ht="15.75" customHeight="1">
      <c r="B451" s="69"/>
    </row>
    <row r="452" ht="15.75" customHeight="1">
      <c r="B452" s="69"/>
    </row>
    <row r="453" ht="15.75" customHeight="1">
      <c r="B453" s="69"/>
    </row>
    <row r="454" ht="15.75" customHeight="1">
      <c r="B454" s="69"/>
    </row>
    <row r="455" ht="15.75" customHeight="1">
      <c r="B455" s="69"/>
    </row>
    <row r="456" ht="15.75" customHeight="1">
      <c r="B456" s="69"/>
    </row>
    <row r="457" ht="15.75" customHeight="1">
      <c r="B457" s="69"/>
    </row>
    <row r="458" ht="15.75" customHeight="1">
      <c r="B458" s="69"/>
    </row>
    <row r="459" ht="15.75" customHeight="1">
      <c r="B459" s="69"/>
    </row>
    <row r="460" ht="15.75" customHeight="1">
      <c r="B460" s="69"/>
    </row>
    <row r="461" ht="15.75" customHeight="1">
      <c r="B461" s="69"/>
    </row>
    <row r="462" ht="15.75" customHeight="1">
      <c r="B462" s="69"/>
    </row>
    <row r="463" ht="15.75" customHeight="1">
      <c r="B463" s="69"/>
    </row>
    <row r="464" ht="15.75" customHeight="1">
      <c r="B464" s="69"/>
    </row>
    <row r="465" ht="15.75" customHeight="1">
      <c r="B465" s="69"/>
    </row>
    <row r="466" ht="15.75" customHeight="1">
      <c r="B466" s="69"/>
    </row>
    <row r="467" ht="15.75" customHeight="1">
      <c r="B467" s="69"/>
    </row>
    <row r="468" ht="15.75" customHeight="1">
      <c r="B468" s="69"/>
    </row>
    <row r="469" ht="15.75" customHeight="1">
      <c r="B469" s="69"/>
    </row>
    <row r="470" ht="15.75" customHeight="1">
      <c r="B470" s="69"/>
    </row>
    <row r="471" ht="15.75" customHeight="1">
      <c r="B471" s="69"/>
    </row>
    <row r="472" ht="15.75" customHeight="1">
      <c r="B472" s="69"/>
    </row>
    <row r="473" ht="15.75" customHeight="1">
      <c r="B473" s="69"/>
    </row>
    <row r="474" ht="15.75" customHeight="1">
      <c r="B474" s="69"/>
    </row>
    <row r="475" ht="15.75" customHeight="1">
      <c r="B475" s="69"/>
    </row>
    <row r="476" ht="15.75" customHeight="1">
      <c r="B476" s="69"/>
    </row>
    <row r="477" ht="15.75" customHeight="1">
      <c r="B477" s="69"/>
    </row>
    <row r="478" ht="15.75" customHeight="1">
      <c r="B478" s="69"/>
    </row>
    <row r="479" ht="15.75" customHeight="1">
      <c r="B479" s="69"/>
    </row>
    <row r="480" ht="15.75" customHeight="1">
      <c r="B480" s="69"/>
    </row>
    <row r="481" ht="15.75" customHeight="1">
      <c r="B481" s="69"/>
    </row>
    <row r="482" ht="15.75" customHeight="1">
      <c r="B482" s="69"/>
    </row>
    <row r="483" ht="15.75" customHeight="1">
      <c r="B483" s="69"/>
    </row>
    <row r="484" ht="15.75" customHeight="1">
      <c r="B484" s="69"/>
    </row>
    <row r="485" ht="15.75" customHeight="1">
      <c r="B485" s="69"/>
    </row>
    <row r="486" ht="15.75" customHeight="1">
      <c r="B486" s="69"/>
    </row>
    <row r="487" ht="15.75" customHeight="1">
      <c r="B487" s="69"/>
    </row>
    <row r="488" ht="15.75" customHeight="1">
      <c r="B488" s="69"/>
    </row>
    <row r="489" ht="15.75" customHeight="1">
      <c r="B489" s="69"/>
    </row>
    <row r="490" ht="15.75" customHeight="1">
      <c r="B490" s="69"/>
    </row>
    <row r="491" ht="15.75" customHeight="1">
      <c r="B491" s="69"/>
    </row>
    <row r="492" ht="15.75" customHeight="1">
      <c r="B492" s="69"/>
    </row>
    <row r="493" ht="15.75" customHeight="1">
      <c r="B493" s="69"/>
    </row>
    <row r="494" ht="15.75" customHeight="1">
      <c r="B494" s="69"/>
    </row>
    <row r="495" ht="15.75" customHeight="1">
      <c r="B495" s="69"/>
    </row>
    <row r="496" ht="15.75" customHeight="1">
      <c r="B496" s="69"/>
    </row>
    <row r="497" ht="15.75" customHeight="1">
      <c r="B497" s="69"/>
    </row>
    <row r="498" ht="15.75" customHeight="1">
      <c r="B498" s="69"/>
    </row>
    <row r="499" ht="15.75" customHeight="1">
      <c r="B499" s="69"/>
    </row>
    <row r="500" ht="15.75" customHeight="1">
      <c r="B500" s="69"/>
    </row>
    <row r="501" ht="15.75" customHeight="1">
      <c r="B501" s="69"/>
    </row>
    <row r="502" ht="15.75" customHeight="1">
      <c r="B502" s="69"/>
    </row>
    <row r="503" ht="15.75" customHeight="1">
      <c r="B503" s="69"/>
    </row>
    <row r="504" ht="15.75" customHeight="1">
      <c r="B504" s="69"/>
    </row>
    <row r="505" ht="15.75" customHeight="1">
      <c r="B505" s="69"/>
    </row>
    <row r="506" ht="15.75" customHeight="1">
      <c r="B506" s="69"/>
    </row>
    <row r="507" ht="15.75" customHeight="1">
      <c r="B507" s="69"/>
    </row>
    <row r="508" ht="15.75" customHeight="1">
      <c r="B508" s="69"/>
    </row>
    <row r="509" ht="15.75" customHeight="1">
      <c r="B509" s="69"/>
    </row>
    <row r="510" ht="15.75" customHeight="1">
      <c r="B510" s="69"/>
    </row>
    <row r="511" ht="15.75" customHeight="1">
      <c r="B511" s="69"/>
    </row>
    <row r="512" ht="15.75" customHeight="1">
      <c r="B512" s="69"/>
    </row>
    <row r="513" ht="15.75" customHeight="1">
      <c r="B513" s="69"/>
    </row>
    <row r="514" ht="15.75" customHeight="1">
      <c r="B514" s="69"/>
    </row>
    <row r="515" ht="15.75" customHeight="1">
      <c r="B515" s="69"/>
    </row>
    <row r="516" ht="15.75" customHeight="1">
      <c r="B516" s="69"/>
    </row>
    <row r="517" ht="15.75" customHeight="1">
      <c r="B517" s="69"/>
    </row>
    <row r="518" ht="15.75" customHeight="1">
      <c r="B518" s="69"/>
    </row>
    <row r="519" ht="15.75" customHeight="1">
      <c r="B519" s="69"/>
    </row>
    <row r="520" ht="15.75" customHeight="1">
      <c r="B520" s="69"/>
    </row>
    <row r="521" ht="15.75" customHeight="1">
      <c r="B521" s="69"/>
    </row>
    <row r="522" ht="15.75" customHeight="1">
      <c r="B522" s="69"/>
    </row>
    <row r="523" ht="15.75" customHeight="1">
      <c r="B523" s="69"/>
    </row>
    <row r="524" ht="15.75" customHeight="1">
      <c r="B524" s="69"/>
    </row>
    <row r="525" ht="15.75" customHeight="1">
      <c r="B525" s="69"/>
    </row>
    <row r="526" ht="15.75" customHeight="1">
      <c r="B526" s="69"/>
    </row>
    <row r="527" ht="15.75" customHeight="1">
      <c r="B527" s="69"/>
    </row>
    <row r="528" ht="15.75" customHeight="1">
      <c r="B528" s="69"/>
    </row>
    <row r="529" ht="15.75" customHeight="1">
      <c r="B529" s="69"/>
    </row>
    <row r="530" ht="15.75" customHeight="1">
      <c r="B530" s="69"/>
    </row>
    <row r="531" ht="15.75" customHeight="1">
      <c r="B531" s="69"/>
    </row>
    <row r="532" ht="15.75" customHeight="1">
      <c r="B532" s="69"/>
    </row>
    <row r="533" ht="15.75" customHeight="1">
      <c r="B533" s="69"/>
    </row>
    <row r="534" ht="15.75" customHeight="1">
      <c r="B534" s="69"/>
    </row>
    <row r="535" ht="15.75" customHeight="1">
      <c r="B535" s="69"/>
    </row>
    <row r="536" ht="15.75" customHeight="1">
      <c r="B536" s="69"/>
    </row>
    <row r="537" ht="15.75" customHeight="1">
      <c r="B537" s="69"/>
    </row>
    <row r="538" ht="15.75" customHeight="1">
      <c r="B538" s="69"/>
    </row>
    <row r="539" ht="15.75" customHeight="1">
      <c r="B539" s="69"/>
    </row>
    <row r="540" ht="15.75" customHeight="1">
      <c r="B540" s="69"/>
    </row>
    <row r="541" ht="15.75" customHeight="1">
      <c r="B541" s="69"/>
    </row>
    <row r="542" ht="15.75" customHeight="1">
      <c r="B542" s="69"/>
    </row>
    <row r="543" ht="15.75" customHeight="1">
      <c r="B543" s="69"/>
    </row>
    <row r="544" ht="15.75" customHeight="1">
      <c r="B544" s="69"/>
    </row>
    <row r="545" ht="15.75" customHeight="1">
      <c r="B545" s="69"/>
    </row>
    <row r="546" ht="15.75" customHeight="1">
      <c r="B546" s="69"/>
    </row>
    <row r="547" ht="15.75" customHeight="1">
      <c r="B547" s="69"/>
    </row>
    <row r="548" ht="15.75" customHeight="1">
      <c r="B548" s="69"/>
    </row>
    <row r="549" ht="15.75" customHeight="1">
      <c r="B549" s="69"/>
    </row>
    <row r="550" ht="15.75" customHeight="1">
      <c r="B550" s="69"/>
    </row>
    <row r="551" ht="15.75" customHeight="1">
      <c r="B551" s="69"/>
    </row>
    <row r="552" ht="15.75" customHeight="1">
      <c r="B552" s="69"/>
    </row>
    <row r="553" ht="15.75" customHeight="1">
      <c r="B553" s="69"/>
    </row>
    <row r="554" ht="15.75" customHeight="1">
      <c r="B554" s="69"/>
    </row>
    <row r="555" ht="15.75" customHeight="1">
      <c r="B555" s="69"/>
    </row>
    <row r="556" ht="15.75" customHeight="1">
      <c r="B556" s="69"/>
    </row>
    <row r="557" ht="15.75" customHeight="1">
      <c r="B557" s="69"/>
    </row>
    <row r="558" ht="15.75" customHeight="1">
      <c r="B558" s="69"/>
    </row>
    <row r="559" ht="15.75" customHeight="1">
      <c r="B559" s="69"/>
    </row>
    <row r="560" ht="15.75" customHeight="1">
      <c r="B560" s="69"/>
    </row>
    <row r="561" ht="15.75" customHeight="1">
      <c r="B561" s="69"/>
    </row>
    <row r="562" ht="15.75" customHeight="1">
      <c r="B562" s="69"/>
    </row>
    <row r="563" ht="15.75" customHeight="1">
      <c r="B563" s="69"/>
    </row>
    <row r="564" ht="15.75" customHeight="1">
      <c r="B564" s="69"/>
    </row>
    <row r="565" ht="15.75" customHeight="1">
      <c r="B565" s="69"/>
    </row>
    <row r="566" ht="15.75" customHeight="1">
      <c r="B566" s="69"/>
    </row>
    <row r="567" ht="15.75" customHeight="1">
      <c r="B567" s="69"/>
    </row>
    <row r="568" ht="15.75" customHeight="1">
      <c r="B568" s="69"/>
    </row>
    <row r="569" ht="15.75" customHeight="1">
      <c r="B569" s="69"/>
    </row>
    <row r="570" ht="15.75" customHeight="1">
      <c r="B570" s="69"/>
    </row>
    <row r="571" ht="15.75" customHeight="1">
      <c r="B571" s="69"/>
    </row>
    <row r="572" ht="15.75" customHeight="1">
      <c r="B572" s="69"/>
    </row>
    <row r="573" ht="15.75" customHeight="1">
      <c r="B573" s="69"/>
    </row>
    <row r="574" ht="15.75" customHeight="1">
      <c r="B574" s="69"/>
    </row>
    <row r="575" ht="15.75" customHeight="1">
      <c r="B575" s="69"/>
    </row>
    <row r="576" ht="15.75" customHeight="1">
      <c r="B576" s="69"/>
    </row>
    <row r="577" ht="15.75" customHeight="1">
      <c r="B577" s="69"/>
    </row>
    <row r="578" ht="15.75" customHeight="1">
      <c r="B578" s="69"/>
    </row>
    <row r="579" ht="15.75" customHeight="1">
      <c r="B579" s="69"/>
    </row>
    <row r="580" ht="15.75" customHeight="1">
      <c r="B580" s="69"/>
    </row>
    <row r="581" ht="15.75" customHeight="1">
      <c r="B581" s="69"/>
    </row>
    <row r="582" ht="15.75" customHeight="1">
      <c r="B582" s="69"/>
    </row>
    <row r="583" ht="15.75" customHeight="1">
      <c r="B583" s="69"/>
    </row>
    <row r="584" ht="15.75" customHeight="1">
      <c r="B584" s="69"/>
    </row>
    <row r="585" ht="15.75" customHeight="1">
      <c r="B585" s="69"/>
    </row>
    <row r="586" ht="15.75" customHeight="1">
      <c r="B586" s="69"/>
    </row>
    <row r="587" ht="15.75" customHeight="1">
      <c r="B587" s="69"/>
    </row>
    <row r="588" ht="15.75" customHeight="1">
      <c r="B588" s="69"/>
    </row>
    <row r="589" ht="15.75" customHeight="1">
      <c r="B589" s="69"/>
    </row>
    <row r="590" ht="15.75" customHeight="1">
      <c r="B590" s="69"/>
    </row>
    <row r="591" ht="15.75" customHeight="1">
      <c r="B591" s="69"/>
    </row>
    <row r="592" ht="15.75" customHeight="1">
      <c r="B592" s="69"/>
    </row>
    <row r="593" ht="15.75" customHeight="1">
      <c r="B593" s="69"/>
    </row>
    <row r="594" ht="15.75" customHeight="1">
      <c r="B594" s="69"/>
    </row>
    <row r="595" ht="15.75" customHeight="1">
      <c r="B595" s="69"/>
    </row>
    <row r="596" ht="15.75" customHeight="1">
      <c r="B596" s="69"/>
    </row>
    <row r="597" ht="15.75" customHeight="1">
      <c r="B597" s="69"/>
    </row>
    <row r="598" ht="15.75" customHeight="1">
      <c r="B598" s="69"/>
    </row>
    <row r="599" ht="15.75" customHeight="1">
      <c r="B599" s="69"/>
    </row>
    <row r="600" ht="15.75" customHeight="1">
      <c r="B600" s="69"/>
    </row>
    <row r="601" ht="15.75" customHeight="1">
      <c r="B601" s="69"/>
    </row>
    <row r="602" ht="15.75" customHeight="1">
      <c r="B602" s="69"/>
    </row>
    <row r="603" ht="15.75" customHeight="1">
      <c r="B603" s="69"/>
    </row>
    <row r="604" ht="15.75" customHeight="1">
      <c r="B604" s="69"/>
    </row>
    <row r="605" ht="15.75" customHeight="1">
      <c r="B605" s="69"/>
    </row>
    <row r="606" ht="15.75" customHeight="1">
      <c r="B606" s="69"/>
    </row>
    <row r="607" ht="15.75" customHeight="1">
      <c r="B607" s="69"/>
    </row>
    <row r="608" ht="15.75" customHeight="1">
      <c r="B608" s="69"/>
    </row>
    <row r="609" ht="15.75" customHeight="1">
      <c r="B609" s="69"/>
    </row>
    <row r="610" ht="15.75" customHeight="1">
      <c r="B610" s="69"/>
    </row>
    <row r="611" ht="15.75" customHeight="1">
      <c r="B611" s="69"/>
    </row>
    <row r="612" ht="15.75" customHeight="1">
      <c r="B612" s="69"/>
    </row>
    <row r="613" ht="15.75" customHeight="1">
      <c r="B613" s="69"/>
    </row>
    <row r="614" ht="15.75" customHeight="1">
      <c r="B614" s="69"/>
    </row>
    <row r="615" ht="15.75" customHeight="1">
      <c r="B615" s="69"/>
    </row>
    <row r="616" ht="15.75" customHeight="1">
      <c r="B616" s="69"/>
    </row>
    <row r="617" ht="15.75" customHeight="1">
      <c r="B617" s="69"/>
    </row>
    <row r="618" ht="15.75" customHeight="1">
      <c r="B618" s="69"/>
    </row>
    <row r="619" ht="15.75" customHeight="1">
      <c r="B619" s="69"/>
    </row>
    <row r="620" ht="15.75" customHeight="1">
      <c r="B620" s="69"/>
    </row>
    <row r="621" ht="15.75" customHeight="1">
      <c r="B621" s="69"/>
    </row>
    <row r="622" ht="15.75" customHeight="1">
      <c r="B622" s="69"/>
    </row>
    <row r="623" ht="15.75" customHeight="1">
      <c r="B623" s="69"/>
    </row>
    <row r="624" ht="15.75" customHeight="1">
      <c r="B624" s="69"/>
    </row>
    <row r="625" ht="15.75" customHeight="1">
      <c r="B625" s="69"/>
    </row>
    <row r="626" ht="15.75" customHeight="1">
      <c r="B626" s="69"/>
    </row>
    <row r="627" ht="15.75" customHeight="1">
      <c r="B627" s="69"/>
    </row>
    <row r="628" ht="15.75" customHeight="1">
      <c r="B628" s="69"/>
    </row>
    <row r="629" ht="15.75" customHeight="1">
      <c r="B629" s="69"/>
    </row>
    <row r="630" ht="15.75" customHeight="1">
      <c r="B630" s="69"/>
    </row>
    <row r="631" ht="15.75" customHeight="1">
      <c r="B631" s="69"/>
    </row>
    <row r="632" ht="15.75" customHeight="1">
      <c r="B632" s="69"/>
    </row>
    <row r="633" ht="15.75" customHeight="1">
      <c r="B633" s="69"/>
    </row>
    <row r="634" ht="15.75" customHeight="1">
      <c r="B634" s="69"/>
    </row>
    <row r="635" ht="15.75" customHeight="1">
      <c r="B635" s="69"/>
    </row>
    <row r="636" ht="15.75" customHeight="1">
      <c r="B636" s="69"/>
    </row>
    <row r="637" ht="15.75" customHeight="1">
      <c r="B637" s="69"/>
    </row>
    <row r="638" ht="15.75" customHeight="1">
      <c r="B638" s="69"/>
    </row>
    <row r="639" ht="15.75" customHeight="1">
      <c r="B639" s="69"/>
    </row>
    <row r="640" ht="15.75" customHeight="1">
      <c r="B640" s="69"/>
    </row>
    <row r="641" ht="15.75" customHeight="1">
      <c r="B641" s="69"/>
    </row>
    <row r="642" ht="15.75" customHeight="1">
      <c r="B642" s="69"/>
    </row>
    <row r="643" ht="15.75" customHeight="1">
      <c r="B643" s="69"/>
    </row>
    <row r="644" ht="15.75" customHeight="1">
      <c r="B644" s="69"/>
    </row>
    <row r="645" ht="15.75" customHeight="1">
      <c r="B645" s="69"/>
    </row>
    <row r="646" ht="15.75" customHeight="1">
      <c r="B646" s="69"/>
    </row>
    <row r="647" ht="15.75" customHeight="1">
      <c r="B647" s="69"/>
    </row>
    <row r="648" ht="15.75" customHeight="1">
      <c r="B648" s="69"/>
    </row>
    <row r="649" ht="15.75" customHeight="1">
      <c r="B649" s="69"/>
    </row>
    <row r="650" ht="15.75" customHeight="1">
      <c r="B650" s="69"/>
    </row>
    <row r="651" ht="15.75" customHeight="1">
      <c r="B651" s="69"/>
    </row>
    <row r="652" ht="15.75" customHeight="1">
      <c r="B652" s="69"/>
    </row>
    <row r="653" ht="15.75" customHeight="1">
      <c r="B653" s="69"/>
    </row>
    <row r="654" ht="15.75" customHeight="1">
      <c r="B654" s="69"/>
    </row>
    <row r="655" ht="15.75" customHeight="1">
      <c r="B655" s="69"/>
    </row>
    <row r="656" ht="15.75" customHeight="1">
      <c r="B656" s="69"/>
    </row>
    <row r="657" ht="15.75" customHeight="1">
      <c r="B657" s="69"/>
    </row>
    <row r="658" ht="15.75" customHeight="1">
      <c r="B658" s="69"/>
    </row>
    <row r="659" ht="15.75" customHeight="1">
      <c r="B659" s="69"/>
    </row>
    <row r="660" ht="15.75" customHeight="1">
      <c r="B660" s="69"/>
    </row>
    <row r="661" ht="15.75" customHeight="1">
      <c r="B661" s="69"/>
    </row>
    <row r="662" ht="15.75" customHeight="1">
      <c r="B662" s="69"/>
    </row>
    <row r="663" ht="15.75" customHeight="1">
      <c r="B663" s="69"/>
    </row>
    <row r="664" ht="15.75" customHeight="1">
      <c r="B664" s="69"/>
    </row>
    <row r="665" ht="15.75" customHeight="1">
      <c r="B665" s="69"/>
    </row>
    <row r="666" ht="15.75" customHeight="1">
      <c r="B666" s="69"/>
    </row>
    <row r="667" ht="15.75" customHeight="1">
      <c r="B667" s="69"/>
    </row>
    <row r="668" ht="15.75" customHeight="1">
      <c r="B668" s="69"/>
    </row>
    <row r="669" ht="15.75" customHeight="1">
      <c r="B669" s="69"/>
    </row>
    <row r="670" ht="15.75" customHeight="1">
      <c r="B670" s="69"/>
    </row>
    <row r="671" ht="15.75" customHeight="1">
      <c r="B671" s="69"/>
    </row>
    <row r="672" ht="15.75" customHeight="1">
      <c r="B672" s="69"/>
    </row>
    <row r="673" ht="15.75" customHeight="1">
      <c r="B673" s="69"/>
    </row>
    <row r="674" ht="15.75" customHeight="1">
      <c r="B674" s="69"/>
    </row>
    <row r="675" ht="15.75" customHeight="1">
      <c r="B675" s="69"/>
    </row>
    <row r="676" ht="15.75" customHeight="1">
      <c r="B676" s="69"/>
    </row>
    <row r="677" ht="15.75" customHeight="1">
      <c r="B677" s="69"/>
    </row>
    <row r="678" ht="15.75" customHeight="1">
      <c r="B678" s="69"/>
    </row>
    <row r="679" ht="15.75" customHeight="1">
      <c r="B679" s="69"/>
    </row>
    <row r="680" ht="15.75" customHeight="1">
      <c r="B680" s="69"/>
    </row>
    <row r="681" ht="15.75" customHeight="1">
      <c r="B681" s="69"/>
    </row>
    <row r="682" ht="15.75" customHeight="1">
      <c r="B682" s="69"/>
    </row>
    <row r="683" ht="15.75" customHeight="1">
      <c r="B683" s="69"/>
    </row>
    <row r="684" ht="15.75" customHeight="1">
      <c r="B684" s="69"/>
    </row>
    <row r="685" ht="15.75" customHeight="1">
      <c r="B685" s="69"/>
    </row>
    <row r="686" ht="15.75" customHeight="1">
      <c r="B686" s="69"/>
    </row>
    <row r="687" ht="15.75" customHeight="1">
      <c r="B687" s="69"/>
    </row>
    <row r="688" ht="15.75" customHeight="1">
      <c r="B688" s="69"/>
    </row>
    <row r="689" ht="15.75" customHeight="1">
      <c r="B689" s="69"/>
    </row>
    <row r="690" ht="15.75" customHeight="1">
      <c r="B690" s="69"/>
    </row>
    <row r="691" ht="15.75" customHeight="1">
      <c r="B691" s="69"/>
    </row>
    <row r="692" ht="15.75" customHeight="1">
      <c r="B692" s="69"/>
    </row>
    <row r="693" ht="15.75" customHeight="1">
      <c r="B693" s="69"/>
    </row>
    <row r="694" ht="15.75" customHeight="1">
      <c r="B694" s="69"/>
    </row>
    <row r="695" ht="15.75" customHeight="1">
      <c r="B695" s="69"/>
    </row>
    <row r="696" ht="15.75" customHeight="1">
      <c r="B696" s="69"/>
    </row>
    <row r="697" ht="15.75" customHeight="1">
      <c r="B697" s="69"/>
    </row>
    <row r="698" ht="15.75" customHeight="1">
      <c r="B698" s="69"/>
    </row>
    <row r="699" ht="15.75" customHeight="1">
      <c r="B699" s="69"/>
    </row>
    <row r="700" ht="15.75" customHeight="1">
      <c r="B700" s="69"/>
    </row>
    <row r="701" ht="15.75" customHeight="1">
      <c r="B701" s="69"/>
    </row>
    <row r="702" ht="15.75" customHeight="1">
      <c r="B702" s="69"/>
    </row>
    <row r="703" ht="15.75" customHeight="1">
      <c r="B703" s="69"/>
    </row>
    <row r="704" ht="15.75" customHeight="1">
      <c r="B704" s="69"/>
    </row>
    <row r="705" ht="15.75" customHeight="1">
      <c r="B705" s="69"/>
    </row>
    <row r="706" ht="15.75" customHeight="1">
      <c r="B706" s="69"/>
    </row>
    <row r="707" ht="15.75" customHeight="1">
      <c r="B707" s="69"/>
    </row>
    <row r="708" ht="15.75" customHeight="1">
      <c r="B708" s="69"/>
    </row>
    <row r="709" ht="15.75" customHeight="1">
      <c r="B709" s="69"/>
    </row>
    <row r="710" ht="15.75" customHeight="1">
      <c r="B710" s="69"/>
    </row>
    <row r="711" ht="15.75" customHeight="1">
      <c r="B711" s="69"/>
    </row>
    <row r="712" ht="15.75" customHeight="1">
      <c r="B712" s="69"/>
    </row>
    <row r="713" ht="15.75" customHeight="1">
      <c r="B713" s="69"/>
    </row>
    <row r="714" ht="15.75" customHeight="1">
      <c r="B714" s="69"/>
    </row>
    <row r="715" ht="15.75" customHeight="1">
      <c r="B715" s="69"/>
    </row>
    <row r="716" ht="15.75" customHeight="1">
      <c r="B716" s="69"/>
    </row>
    <row r="717" ht="15.75" customHeight="1">
      <c r="B717" s="69"/>
    </row>
    <row r="718" ht="15.75" customHeight="1">
      <c r="B718" s="69"/>
    </row>
    <row r="719" ht="15.75" customHeight="1">
      <c r="B719" s="69"/>
    </row>
    <row r="720" ht="15.75" customHeight="1">
      <c r="B720" s="69"/>
    </row>
    <row r="721" ht="15.75" customHeight="1">
      <c r="B721" s="69"/>
    </row>
    <row r="722" ht="15.75" customHeight="1">
      <c r="B722" s="69"/>
    </row>
    <row r="723" ht="15.75" customHeight="1">
      <c r="B723" s="69"/>
    </row>
    <row r="724" ht="15.75" customHeight="1">
      <c r="B724" s="69"/>
    </row>
    <row r="725" ht="15.75" customHeight="1">
      <c r="B725" s="69"/>
    </row>
    <row r="726" ht="15.75" customHeight="1">
      <c r="B726" s="69"/>
    </row>
    <row r="727" ht="15.75" customHeight="1">
      <c r="B727" s="69"/>
    </row>
    <row r="728" ht="15.75" customHeight="1">
      <c r="B728" s="69"/>
    </row>
    <row r="729" ht="15.75" customHeight="1">
      <c r="B729" s="69"/>
    </row>
    <row r="730" ht="15.75" customHeight="1">
      <c r="B730" s="69"/>
    </row>
    <row r="731" ht="15.75" customHeight="1">
      <c r="B731" s="69"/>
    </row>
    <row r="732" ht="15.75" customHeight="1">
      <c r="B732" s="69"/>
    </row>
    <row r="733" ht="15.75" customHeight="1">
      <c r="B733" s="69"/>
    </row>
    <row r="734" ht="15.75" customHeight="1">
      <c r="B734" s="69"/>
    </row>
    <row r="735" ht="15.75" customHeight="1">
      <c r="B735" s="69"/>
    </row>
    <row r="736" ht="15.75" customHeight="1">
      <c r="B736" s="69"/>
    </row>
    <row r="737" ht="15.75" customHeight="1">
      <c r="B737" s="69"/>
    </row>
    <row r="738" ht="15.75" customHeight="1">
      <c r="B738" s="69"/>
    </row>
    <row r="739" ht="15.75" customHeight="1">
      <c r="B739" s="69"/>
    </row>
    <row r="740" ht="15.75" customHeight="1">
      <c r="B740" s="69"/>
    </row>
    <row r="741" ht="15.75" customHeight="1">
      <c r="B741" s="69"/>
    </row>
    <row r="742" ht="15.75" customHeight="1">
      <c r="B742" s="69"/>
    </row>
    <row r="743" ht="15.75" customHeight="1">
      <c r="B743" s="69"/>
    </row>
    <row r="744" ht="15.75" customHeight="1">
      <c r="B744" s="69"/>
    </row>
    <row r="745" ht="15.75" customHeight="1">
      <c r="B745" s="69"/>
    </row>
    <row r="746" ht="15.75" customHeight="1">
      <c r="B746" s="69"/>
    </row>
    <row r="747" ht="15.75" customHeight="1">
      <c r="B747" s="69"/>
    </row>
    <row r="748" ht="15.75" customHeight="1">
      <c r="B748" s="69"/>
    </row>
    <row r="749" ht="15.75" customHeight="1">
      <c r="B749" s="69"/>
    </row>
    <row r="750" ht="15.75" customHeight="1">
      <c r="B750" s="69"/>
    </row>
    <row r="751" ht="15.75" customHeight="1">
      <c r="B751" s="69"/>
    </row>
    <row r="752" ht="15.75" customHeight="1">
      <c r="B752" s="69"/>
    </row>
    <row r="753" ht="15.75" customHeight="1">
      <c r="B753" s="69"/>
    </row>
    <row r="754" ht="15.75" customHeight="1">
      <c r="B754" s="69"/>
    </row>
    <row r="755" ht="15.75" customHeight="1">
      <c r="B755" s="69"/>
    </row>
    <row r="756" ht="15.75" customHeight="1">
      <c r="B756" s="69"/>
    </row>
    <row r="757" ht="15.75" customHeight="1">
      <c r="B757" s="69"/>
    </row>
    <row r="758" ht="15.75" customHeight="1">
      <c r="B758" s="69"/>
    </row>
    <row r="759" ht="15.75" customHeight="1">
      <c r="B759" s="69"/>
    </row>
    <row r="760" ht="15.75" customHeight="1">
      <c r="B760" s="69"/>
    </row>
    <row r="761" ht="15.75" customHeight="1">
      <c r="B761" s="69"/>
    </row>
    <row r="762" ht="15.75" customHeight="1">
      <c r="B762" s="69"/>
    </row>
    <row r="763" ht="15.75" customHeight="1">
      <c r="B763" s="69"/>
    </row>
    <row r="764" ht="15.75" customHeight="1">
      <c r="B764" s="69"/>
    </row>
    <row r="765" ht="15.75" customHeight="1">
      <c r="B765" s="69"/>
    </row>
    <row r="766" ht="15.75" customHeight="1">
      <c r="B766" s="69"/>
    </row>
    <row r="767" ht="15.75" customHeight="1">
      <c r="B767" s="69"/>
    </row>
    <row r="768" ht="15.75" customHeight="1">
      <c r="B768" s="69"/>
    </row>
    <row r="769" ht="15.75" customHeight="1">
      <c r="B769" s="69"/>
    </row>
    <row r="770" ht="15.75" customHeight="1">
      <c r="B770" s="69"/>
    </row>
    <row r="771" ht="15.75" customHeight="1">
      <c r="B771" s="69"/>
    </row>
    <row r="772" ht="15.75" customHeight="1">
      <c r="B772" s="69"/>
    </row>
    <row r="773" ht="15.75" customHeight="1">
      <c r="B773" s="69"/>
    </row>
    <row r="774" ht="15.75" customHeight="1">
      <c r="B774" s="69"/>
    </row>
    <row r="775" ht="15.75" customHeight="1">
      <c r="B775" s="69"/>
    </row>
    <row r="776" ht="15.75" customHeight="1">
      <c r="B776" s="69"/>
    </row>
    <row r="777" ht="15.75" customHeight="1">
      <c r="B777" s="69"/>
    </row>
    <row r="778" ht="15.75" customHeight="1">
      <c r="B778" s="69"/>
    </row>
    <row r="779" ht="15.75" customHeight="1">
      <c r="B779" s="69"/>
    </row>
    <row r="780" ht="15.75" customHeight="1">
      <c r="B780" s="69"/>
    </row>
    <row r="781" ht="15.75" customHeight="1">
      <c r="B781" s="69"/>
    </row>
    <row r="782" ht="15.75" customHeight="1">
      <c r="B782" s="69"/>
    </row>
    <row r="783" ht="15.75" customHeight="1">
      <c r="B783" s="69"/>
    </row>
    <row r="784" ht="15.75" customHeight="1">
      <c r="B784" s="69"/>
    </row>
    <row r="785" ht="15.75" customHeight="1">
      <c r="B785" s="69"/>
    </row>
    <row r="786" ht="15.75" customHeight="1">
      <c r="B786" s="69"/>
    </row>
    <row r="787" ht="15.75" customHeight="1">
      <c r="B787" s="69"/>
    </row>
    <row r="788" ht="15.75" customHeight="1">
      <c r="B788" s="69"/>
    </row>
    <row r="789" ht="15.75" customHeight="1">
      <c r="B789" s="69"/>
    </row>
    <row r="790" ht="15.75" customHeight="1">
      <c r="B790" s="69"/>
    </row>
    <row r="791" ht="15.75" customHeight="1">
      <c r="B791" s="69"/>
    </row>
    <row r="792" ht="15.75" customHeight="1">
      <c r="B792" s="69"/>
    </row>
    <row r="793" ht="15.75" customHeight="1">
      <c r="B793" s="69"/>
    </row>
    <row r="794" ht="15.75" customHeight="1">
      <c r="B794" s="69"/>
    </row>
    <row r="795" ht="15.75" customHeight="1">
      <c r="B795" s="69"/>
    </row>
    <row r="796" ht="15.75" customHeight="1">
      <c r="B796" s="69"/>
    </row>
    <row r="797" ht="15.75" customHeight="1">
      <c r="B797" s="69"/>
    </row>
    <row r="798" ht="15.75" customHeight="1">
      <c r="B798" s="69"/>
    </row>
    <row r="799" ht="15.75" customHeight="1">
      <c r="B799" s="69"/>
    </row>
    <row r="800" ht="15.75" customHeight="1">
      <c r="B800" s="69"/>
    </row>
    <row r="801" ht="15.75" customHeight="1">
      <c r="B801" s="69"/>
    </row>
    <row r="802" ht="15.75" customHeight="1">
      <c r="B802" s="69"/>
    </row>
    <row r="803" ht="15.75" customHeight="1">
      <c r="B803" s="69"/>
    </row>
    <row r="804" ht="15.75" customHeight="1">
      <c r="B804" s="69"/>
    </row>
    <row r="805" ht="15.75" customHeight="1">
      <c r="B805" s="69"/>
    </row>
    <row r="806" ht="15.75" customHeight="1">
      <c r="B806" s="69"/>
    </row>
    <row r="807" ht="15.75" customHeight="1">
      <c r="B807" s="69"/>
    </row>
    <row r="808" ht="15.75" customHeight="1">
      <c r="B808" s="69"/>
    </row>
    <row r="809" ht="15.75" customHeight="1">
      <c r="B809" s="69"/>
    </row>
    <row r="810" ht="15.75" customHeight="1">
      <c r="B810" s="69"/>
    </row>
    <row r="811" ht="15.75" customHeight="1">
      <c r="B811" s="69"/>
    </row>
    <row r="812" ht="15.75" customHeight="1">
      <c r="B812" s="69"/>
    </row>
    <row r="813" ht="15.75" customHeight="1">
      <c r="B813" s="69"/>
    </row>
    <row r="814" ht="15.75" customHeight="1">
      <c r="B814" s="69"/>
    </row>
    <row r="815" ht="15.75" customHeight="1">
      <c r="B815" s="69"/>
    </row>
    <row r="816" ht="15.75" customHeight="1">
      <c r="B816" s="69"/>
    </row>
    <row r="817" ht="15.75" customHeight="1">
      <c r="B817" s="69"/>
    </row>
    <row r="818" ht="15.75" customHeight="1">
      <c r="B818" s="69"/>
    </row>
    <row r="819" ht="15.75" customHeight="1">
      <c r="B819" s="69"/>
    </row>
    <row r="820" ht="15.75" customHeight="1">
      <c r="B820" s="69"/>
    </row>
    <row r="821" ht="15.75" customHeight="1">
      <c r="B821" s="69"/>
    </row>
    <row r="822" ht="15.75" customHeight="1">
      <c r="B822" s="69"/>
    </row>
    <row r="823" ht="15.75" customHeight="1">
      <c r="B823" s="69"/>
    </row>
    <row r="824" ht="15.75" customHeight="1">
      <c r="B824" s="69"/>
    </row>
    <row r="825" ht="15.75" customHeight="1">
      <c r="B825" s="69"/>
    </row>
    <row r="826" ht="15.75" customHeight="1">
      <c r="B826" s="69"/>
    </row>
    <row r="827" ht="15.75" customHeight="1">
      <c r="B827" s="69"/>
    </row>
    <row r="828" ht="15.75" customHeight="1">
      <c r="B828" s="69"/>
    </row>
    <row r="829" ht="15.75" customHeight="1">
      <c r="B829" s="69"/>
    </row>
    <row r="830" ht="15.75" customHeight="1">
      <c r="B830" s="69"/>
    </row>
    <row r="831" ht="15.75" customHeight="1">
      <c r="B831" s="69"/>
    </row>
    <row r="832" ht="15.75" customHeight="1">
      <c r="B832" s="69"/>
    </row>
    <row r="833" ht="15.75" customHeight="1">
      <c r="B833" s="69"/>
    </row>
    <row r="834" ht="15.75" customHeight="1">
      <c r="B834" s="69"/>
    </row>
    <row r="835" ht="15.75" customHeight="1">
      <c r="B835" s="69"/>
    </row>
    <row r="836" ht="15.75" customHeight="1">
      <c r="B836" s="69"/>
    </row>
    <row r="837" ht="15.75" customHeight="1">
      <c r="B837" s="69"/>
    </row>
    <row r="838" ht="15.75" customHeight="1">
      <c r="B838" s="69"/>
    </row>
    <row r="839" ht="15.75" customHeight="1">
      <c r="B839" s="69"/>
    </row>
    <row r="840" ht="15.75" customHeight="1">
      <c r="B840" s="69"/>
    </row>
    <row r="841" ht="15.75" customHeight="1">
      <c r="B841" s="69"/>
    </row>
    <row r="842" ht="15.75" customHeight="1">
      <c r="B842" s="69"/>
    </row>
    <row r="843" ht="15.75" customHeight="1">
      <c r="B843" s="69"/>
    </row>
    <row r="844" ht="15.75" customHeight="1">
      <c r="B844" s="69"/>
    </row>
    <row r="845" ht="15.75" customHeight="1">
      <c r="B845" s="69"/>
    </row>
    <row r="846" ht="15.75" customHeight="1">
      <c r="B846" s="69"/>
    </row>
    <row r="847" ht="15.75" customHeight="1">
      <c r="B847" s="69"/>
    </row>
    <row r="848" ht="15.75" customHeight="1">
      <c r="B848" s="69"/>
    </row>
    <row r="849" ht="15.75" customHeight="1">
      <c r="B849" s="69"/>
    </row>
    <row r="850" ht="15.75" customHeight="1">
      <c r="B850" s="69"/>
    </row>
    <row r="851" ht="15.75" customHeight="1">
      <c r="B851" s="69"/>
    </row>
    <row r="852" ht="15.75" customHeight="1">
      <c r="B852" s="69"/>
    </row>
    <row r="853" ht="15.75" customHeight="1">
      <c r="B853" s="69"/>
    </row>
    <row r="854" ht="15.75" customHeight="1">
      <c r="B854" s="69"/>
    </row>
    <row r="855" ht="15.75" customHeight="1">
      <c r="B855" s="69"/>
    </row>
    <row r="856" ht="15.75" customHeight="1">
      <c r="B856" s="69"/>
    </row>
    <row r="857" ht="15.75" customHeight="1">
      <c r="B857" s="69"/>
    </row>
    <row r="858" ht="15.75" customHeight="1">
      <c r="B858" s="69"/>
    </row>
    <row r="859" ht="15.75" customHeight="1">
      <c r="B859" s="69"/>
    </row>
    <row r="860" ht="15.75" customHeight="1">
      <c r="B860" s="69"/>
    </row>
    <row r="861" ht="15.75" customHeight="1">
      <c r="B861" s="69"/>
    </row>
    <row r="862" ht="15.75" customHeight="1">
      <c r="B862" s="69"/>
    </row>
    <row r="863" ht="15.75" customHeight="1">
      <c r="B863" s="69"/>
    </row>
    <row r="864" ht="15.75" customHeight="1">
      <c r="B864" s="69"/>
    </row>
    <row r="865" ht="15.75" customHeight="1">
      <c r="B865" s="69"/>
    </row>
    <row r="866" ht="15.75" customHeight="1">
      <c r="B866" s="69"/>
    </row>
    <row r="867" ht="15.75" customHeight="1">
      <c r="B867" s="69"/>
    </row>
    <row r="868" ht="15.75" customHeight="1">
      <c r="B868" s="69"/>
    </row>
    <row r="869" ht="15.75" customHeight="1">
      <c r="B869" s="69"/>
    </row>
    <row r="870" ht="15.75" customHeight="1">
      <c r="B870" s="69"/>
    </row>
    <row r="871" ht="15.75" customHeight="1">
      <c r="B871" s="69"/>
    </row>
    <row r="872" ht="15.75" customHeight="1">
      <c r="B872" s="69"/>
    </row>
    <row r="873" ht="15.75" customHeight="1">
      <c r="B873" s="69"/>
    </row>
    <row r="874" ht="15.75" customHeight="1">
      <c r="B874" s="69"/>
    </row>
    <row r="875" ht="15.75" customHeight="1">
      <c r="B875" s="69"/>
    </row>
    <row r="876" ht="15.75" customHeight="1">
      <c r="B876" s="69"/>
    </row>
    <row r="877" ht="15.75" customHeight="1">
      <c r="B877" s="69"/>
    </row>
    <row r="878" ht="15.75" customHeight="1">
      <c r="B878" s="69"/>
    </row>
    <row r="879" ht="15.75" customHeight="1">
      <c r="B879" s="69"/>
    </row>
    <row r="880" ht="15.75" customHeight="1">
      <c r="B880" s="69"/>
    </row>
    <row r="881" ht="15.75" customHeight="1">
      <c r="B881" s="69"/>
    </row>
    <row r="882" ht="15.75" customHeight="1">
      <c r="B882" s="69"/>
    </row>
    <row r="883" ht="15.75" customHeight="1">
      <c r="B883" s="69"/>
    </row>
    <row r="884" ht="15.75" customHeight="1">
      <c r="B884" s="69"/>
    </row>
    <row r="885" ht="15.75" customHeight="1">
      <c r="B885" s="69"/>
    </row>
    <row r="886" ht="15.75" customHeight="1">
      <c r="B886" s="69"/>
    </row>
    <row r="887" ht="15.75" customHeight="1">
      <c r="B887" s="69"/>
    </row>
    <row r="888" ht="15.75" customHeight="1">
      <c r="B888" s="69"/>
    </row>
    <row r="889" ht="15.75" customHeight="1">
      <c r="B889" s="69"/>
    </row>
    <row r="890" ht="15.75" customHeight="1">
      <c r="B890" s="69"/>
    </row>
    <row r="891" ht="15.75" customHeight="1">
      <c r="B891" s="69"/>
    </row>
    <row r="892" ht="15.75" customHeight="1">
      <c r="B892" s="69"/>
    </row>
    <row r="893" ht="15.75" customHeight="1">
      <c r="B893" s="69"/>
    </row>
    <row r="894" ht="15.75" customHeight="1">
      <c r="B894" s="69"/>
    </row>
    <row r="895" ht="15.75" customHeight="1">
      <c r="B895" s="69"/>
    </row>
    <row r="896" ht="15.75" customHeight="1">
      <c r="B896" s="69"/>
    </row>
    <row r="897" ht="15.75" customHeight="1">
      <c r="B897" s="69"/>
    </row>
    <row r="898" ht="15.75" customHeight="1">
      <c r="B898" s="69"/>
    </row>
    <row r="899" ht="15.75" customHeight="1">
      <c r="B899" s="69"/>
    </row>
    <row r="900" ht="15.75" customHeight="1">
      <c r="B900" s="69"/>
    </row>
    <row r="901" ht="15.75" customHeight="1">
      <c r="B901" s="69"/>
    </row>
    <row r="902" ht="15.75" customHeight="1">
      <c r="B902" s="69"/>
    </row>
    <row r="903" ht="15.75" customHeight="1">
      <c r="B903" s="69"/>
    </row>
    <row r="904" ht="15.75" customHeight="1">
      <c r="B904" s="69"/>
    </row>
    <row r="905" ht="15.75" customHeight="1">
      <c r="B905" s="69"/>
    </row>
    <row r="906" ht="15.75" customHeight="1">
      <c r="B906" s="69"/>
    </row>
    <row r="907" ht="15.75" customHeight="1">
      <c r="B907" s="69"/>
    </row>
    <row r="908" ht="15.75" customHeight="1">
      <c r="B908" s="69"/>
    </row>
    <row r="909" ht="15.75" customHeight="1">
      <c r="B909" s="69"/>
    </row>
    <row r="910" ht="15.75" customHeight="1">
      <c r="B910" s="69"/>
    </row>
    <row r="911" ht="15.75" customHeight="1">
      <c r="B911" s="69"/>
    </row>
    <row r="912" ht="15.75" customHeight="1">
      <c r="B912" s="69"/>
    </row>
    <row r="913" ht="15.75" customHeight="1">
      <c r="B913" s="69"/>
    </row>
    <row r="914" ht="15.75" customHeight="1">
      <c r="B914" s="69"/>
    </row>
    <row r="915" ht="15.75" customHeight="1">
      <c r="B915" s="69"/>
    </row>
    <row r="916" ht="15.75" customHeight="1">
      <c r="B916" s="69"/>
    </row>
    <row r="917" ht="15.75" customHeight="1">
      <c r="B917" s="69"/>
    </row>
    <row r="918" ht="15.75" customHeight="1">
      <c r="B918" s="69"/>
    </row>
    <row r="919" ht="15.75" customHeight="1">
      <c r="B919" s="69"/>
    </row>
    <row r="920" ht="15.75" customHeight="1">
      <c r="B920" s="69"/>
    </row>
    <row r="921" ht="15.75" customHeight="1">
      <c r="B921" s="69"/>
    </row>
    <row r="922" ht="15.75" customHeight="1">
      <c r="B922" s="69"/>
    </row>
    <row r="923" ht="15.75" customHeight="1">
      <c r="B923" s="69"/>
    </row>
    <row r="924" ht="15.75" customHeight="1">
      <c r="B924" s="69"/>
    </row>
    <row r="925" ht="15.75" customHeight="1">
      <c r="B925" s="69"/>
    </row>
    <row r="926" ht="15.75" customHeight="1">
      <c r="B926" s="69"/>
    </row>
    <row r="927" ht="15.75" customHeight="1">
      <c r="B927" s="69"/>
    </row>
    <row r="928" ht="15.75" customHeight="1">
      <c r="B928" s="69"/>
    </row>
    <row r="929" ht="15.75" customHeight="1">
      <c r="B929" s="69"/>
    </row>
    <row r="930" ht="15.75" customHeight="1">
      <c r="B930" s="69"/>
    </row>
    <row r="931" ht="15.75" customHeight="1">
      <c r="B931" s="69"/>
    </row>
    <row r="932" ht="15.75" customHeight="1">
      <c r="B932" s="69"/>
    </row>
    <row r="933" ht="15.75" customHeight="1">
      <c r="B933" s="69"/>
    </row>
    <row r="934" ht="15.75" customHeight="1">
      <c r="B934" s="69"/>
    </row>
    <row r="935" ht="15.75" customHeight="1">
      <c r="B935" s="69"/>
    </row>
    <row r="936" ht="15.75" customHeight="1">
      <c r="B936" s="69"/>
    </row>
    <row r="937" ht="15.75" customHeight="1">
      <c r="B937" s="69"/>
    </row>
    <row r="938" ht="15.75" customHeight="1">
      <c r="B938" s="69"/>
    </row>
    <row r="939" ht="15.75" customHeight="1">
      <c r="B939" s="69"/>
    </row>
    <row r="940" ht="15.75" customHeight="1">
      <c r="B940" s="69"/>
    </row>
    <row r="941" ht="15.75" customHeight="1">
      <c r="B941" s="69"/>
    </row>
    <row r="942" ht="15.75" customHeight="1">
      <c r="B942" s="69"/>
    </row>
    <row r="943" ht="15.75" customHeight="1">
      <c r="B943" s="69"/>
    </row>
    <row r="944" ht="15.75" customHeight="1">
      <c r="B944" s="69"/>
    </row>
    <row r="945" ht="15.75" customHeight="1">
      <c r="B945" s="69"/>
    </row>
    <row r="946" ht="15.75" customHeight="1">
      <c r="B946" s="69"/>
    </row>
    <row r="947" ht="15.75" customHeight="1">
      <c r="B947" s="69"/>
    </row>
    <row r="948" ht="15.75" customHeight="1">
      <c r="B948" s="69"/>
    </row>
    <row r="949" ht="15.75" customHeight="1">
      <c r="B949" s="69"/>
    </row>
    <row r="950" ht="15.75" customHeight="1">
      <c r="B950" s="69"/>
    </row>
    <row r="951" ht="15.75" customHeight="1">
      <c r="B951" s="69"/>
    </row>
    <row r="952" ht="15.75" customHeight="1">
      <c r="B952" s="69"/>
    </row>
    <row r="953" ht="15.75" customHeight="1">
      <c r="B953" s="69"/>
    </row>
    <row r="954" ht="15.75" customHeight="1">
      <c r="B954" s="69"/>
    </row>
    <row r="955" ht="15.75" customHeight="1">
      <c r="B955" s="69"/>
    </row>
    <row r="956" ht="15.75" customHeight="1">
      <c r="B956" s="69"/>
    </row>
    <row r="957" ht="15.75" customHeight="1">
      <c r="B957" s="69"/>
    </row>
    <row r="958" ht="15.75" customHeight="1">
      <c r="B958" s="69"/>
    </row>
    <row r="959" ht="15.75" customHeight="1">
      <c r="B959" s="69"/>
    </row>
    <row r="960" ht="15.75" customHeight="1">
      <c r="B960" s="69"/>
    </row>
    <row r="961" ht="15.75" customHeight="1">
      <c r="B961" s="69"/>
    </row>
    <row r="962" ht="15.75" customHeight="1">
      <c r="B962" s="69"/>
    </row>
    <row r="963" ht="15.75" customHeight="1">
      <c r="B963" s="69"/>
    </row>
    <row r="964" ht="15.75" customHeight="1">
      <c r="B964" s="69"/>
    </row>
    <row r="965" ht="15.75" customHeight="1">
      <c r="B965" s="69"/>
    </row>
    <row r="966" ht="15.75" customHeight="1">
      <c r="B966" s="69"/>
    </row>
    <row r="967" ht="15.75" customHeight="1">
      <c r="B967" s="69"/>
    </row>
    <row r="968" ht="15.75" customHeight="1">
      <c r="B968" s="69"/>
    </row>
    <row r="969" ht="15.75" customHeight="1">
      <c r="B969" s="69"/>
    </row>
    <row r="970" ht="15.75" customHeight="1">
      <c r="B970" s="69"/>
    </row>
    <row r="971" ht="15.75" customHeight="1">
      <c r="B971" s="69"/>
    </row>
    <row r="972" ht="15.75" customHeight="1">
      <c r="B972" s="69"/>
    </row>
    <row r="973" ht="15.75" customHeight="1">
      <c r="B973" s="69"/>
    </row>
    <row r="974" ht="15.75" customHeight="1">
      <c r="B974" s="69"/>
    </row>
    <row r="975" ht="15.75" customHeight="1">
      <c r="B975" s="69"/>
    </row>
    <row r="976" ht="15.75" customHeight="1">
      <c r="B976" s="69"/>
    </row>
    <row r="977" ht="15.75" customHeight="1">
      <c r="B977" s="69"/>
    </row>
    <row r="978" ht="15.75" customHeight="1">
      <c r="B978" s="69"/>
    </row>
    <row r="979" ht="15.75" customHeight="1">
      <c r="B979" s="69"/>
    </row>
    <row r="980" ht="15.75" customHeight="1">
      <c r="B980" s="69"/>
    </row>
    <row r="981" ht="15.75" customHeight="1">
      <c r="B981" s="69"/>
    </row>
    <row r="982" ht="15.75" customHeight="1">
      <c r="B982" s="69"/>
    </row>
    <row r="983" ht="15.75" customHeight="1">
      <c r="B983" s="69"/>
    </row>
    <row r="984" ht="15.75" customHeight="1">
      <c r="B984" s="69"/>
    </row>
    <row r="985" ht="15.75" customHeight="1">
      <c r="B985" s="69"/>
    </row>
    <row r="986" ht="15.75" customHeight="1">
      <c r="B986" s="69"/>
    </row>
    <row r="987" ht="15.75" customHeight="1">
      <c r="B987" s="69"/>
    </row>
    <row r="988" ht="15.75" customHeight="1">
      <c r="B988" s="69"/>
    </row>
    <row r="989" ht="15.75" customHeight="1">
      <c r="B989" s="69"/>
    </row>
    <row r="990" ht="15.75" customHeight="1">
      <c r="B990" s="69"/>
    </row>
    <row r="991" ht="15.75" customHeight="1">
      <c r="B991" s="69"/>
    </row>
    <row r="992" ht="15.75" customHeight="1">
      <c r="B992" s="69"/>
    </row>
    <row r="993" ht="15.75" customHeight="1">
      <c r="B993" s="69"/>
    </row>
    <row r="994" ht="15.75" customHeight="1">
      <c r="B994" s="69"/>
    </row>
    <row r="995" ht="15.75" customHeight="1">
      <c r="B995" s="69"/>
    </row>
    <row r="996" ht="15.75" customHeight="1">
      <c r="B996" s="69"/>
    </row>
  </sheetData>
  <mergeCells count="1">
    <mergeCell ref="A1:B1"/>
  </mergeCells>
  <conditionalFormatting sqref="B4:B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A21">
    <cfRule type="expression" dxfId="8" priority="2">
      <formula>$G4="YES"</formula>
    </cfRule>
  </conditionalFormatting>
  <conditionalFormatting sqref="A12:A17 A20:A21">
    <cfRule type="expression" dxfId="8" priority="3">
      <formula>$G12="YES"</formula>
    </cfRule>
  </conditionalFormatting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8.0"/>
    <col customWidth="1" min="2" max="2" width="22.57"/>
    <col customWidth="1" min="3" max="3" width="11.14"/>
    <col customWidth="1" min="4" max="4" width="13.43"/>
    <col customWidth="1" min="5" max="5" width="23.57"/>
    <col customWidth="1" min="6" max="6" width="21.71"/>
    <col customWidth="1" min="7" max="7" width="23.86"/>
    <col customWidth="1" min="8" max="26" width="8.71"/>
  </cols>
  <sheetData>
    <row r="1">
      <c r="A1" s="9" t="s">
        <v>6</v>
      </c>
    </row>
    <row r="2">
      <c r="E2" s="5" t="s">
        <v>8</v>
      </c>
      <c r="F2" s="5" t="s">
        <v>10</v>
      </c>
      <c r="G2" s="5" t="s">
        <v>11</v>
      </c>
    </row>
    <row r="3" ht="35.25" customHeight="1">
      <c r="A3" s="14" t="s">
        <v>12</v>
      </c>
      <c r="B3" s="14" t="s">
        <v>14</v>
      </c>
      <c r="C3" s="14" t="s">
        <v>15</v>
      </c>
      <c r="D3" s="14" t="s">
        <v>16</v>
      </c>
      <c r="E3" s="19" t="s">
        <v>17</v>
      </c>
      <c r="F3" s="19" t="s">
        <v>20</v>
      </c>
      <c r="G3" s="19" t="s">
        <v>21</v>
      </c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ht="15.0" customHeight="1">
      <c r="A4" s="31" t="s">
        <v>32</v>
      </c>
      <c r="B4" s="31" t="s">
        <v>22</v>
      </c>
      <c r="C4" s="35">
        <v>2000.0</v>
      </c>
      <c r="D4" s="37" t="s">
        <v>35</v>
      </c>
      <c r="E4" s="42">
        <f>IF(OR($A4="",$B4="",$C4=""),"",IFERROR(SUMIFS(ORDERS!$F$8:$F$991,ORDERS!$B$8:$B$991,"SALE",ORDERS!$D$8:$D$991,"&lt;="&amp;TODAY(),ORDERS!$E$8:$E$991,$A4)*$C4,0))</f>
        <v>2000</v>
      </c>
      <c r="F4" s="44">
        <f t="array" ref="F4">IF($B4="","",IFERROR(INDEX('RAW MATERIALS'!$F$5:$F$15,MATCH($B4,'RAW MATERIALS'!$A$5:$A$16,0)),0))</f>
        <v>4000</v>
      </c>
      <c r="G4" s="44">
        <f t="shared" ref="G4:G30" si="1">IF(OR($B4="",$C4=""),"",MAX(0,ROUNDDOWN($F4/$C4,0)))</f>
        <v>2</v>
      </c>
    </row>
    <row r="5">
      <c r="A5" s="31" t="s">
        <v>32</v>
      </c>
      <c r="B5" s="46" t="s">
        <v>33</v>
      </c>
      <c r="C5" s="35">
        <v>2000.0</v>
      </c>
      <c r="D5" s="37" t="s">
        <v>35</v>
      </c>
      <c r="E5" s="42">
        <f>IF(OR($A5="",$B5="",$C5=""),"",IFERROR(SUMIFS(ORDERS!$F$8:$F$991,ORDERS!$B$8:$B$991,"SALE",ORDERS!$D$8:$D$991,"&lt;="&amp;TODAY(),ORDERS!$E$8:$E$991,$A5)*$C5,0))</f>
        <v>2000</v>
      </c>
      <c r="F5" s="44">
        <f t="array" ref="F5">IF($B5="","",IFERROR(INDEX('RAW MATERIALS'!$F$5:$F$15,MATCH($B5,'RAW MATERIALS'!$A$5:$A$16,0)),0))</f>
        <v>104000</v>
      </c>
      <c r="G5" s="44">
        <f t="shared" si="1"/>
        <v>52</v>
      </c>
    </row>
    <row r="6">
      <c r="A6" s="31" t="s">
        <v>32</v>
      </c>
      <c r="B6" s="46" t="s">
        <v>51</v>
      </c>
      <c r="C6" s="35">
        <v>2000.0</v>
      </c>
      <c r="D6" s="37" t="s">
        <v>35</v>
      </c>
      <c r="E6" s="42">
        <f>IF(OR($A6="",$B6="",$C6=""),"",IFERROR(SUMIFS(ORDERS!$F$8:$F$991,ORDERS!$B$8:$B$991,"SALE",ORDERS!$D$8:$D$991,"&lt;="&amp;TODAY(),ORDERS!$E$8:$E$991,$A6)*$C6,0))</f>
        <v>2000</v>
      </c>
      <c r="F6" s="44">
        <f t="array" ref="F6">IF($B6="","",IFERROR(INDEX('RAW MATERIALS'!$F$5:$F$15,MATCH($B6,'RAW MATERIALS'!$A$5:$A$16,0)),0))</f>
        <v>6000</v>
      </c>
      <c r="G6" s="44">
        <f t="shared" si="1"/>
        <v>3</v>
      </c>
    </row>
    <row r="7">
      <c r="A7" s="31" t="s">
        <v>32</v>
      </c>
      <c r="B7" s="46" t="s">
        <v>55</v>
      </c>
      <c r="C7" s="35">
        <v>1000.0</v>
      </c>
      <c r="D7" s="37" t="s">
        <v>35</v>
      </c>
      <c r="E7" s="42">
        <f>IF(OR($A7="",$B7="",$C7=""),"",IFERROR(SUMIFS(ORDERS!$F$8:$F$991,ORDERS!$B$8:$B$991,"SALE",ORDERS!$D$8:$D$991,"&lt;="&amp;TODAY(),ORDERS!$E$8:$E$991,$A7)*$C7,0))</f>
        <v>1000</v>
      </c>
      <c r="F7" s="44">
        <f t="array" ref="F7">IF($B7="","",IFERROR(INDEX('RAW MATERIALS'!$F$5:$F$15,MATCH($B7,'RAW MATERIALS'!$A$5:$A$16,0)),0))</f>
        <v>9000</v>
      </c>
      <c r="G7" s="44">
        <f t="shared" si="1"/>
        <v>9</v>
      </c>
    </row>
    <row r="8">
      <c r="A8" s="31" t="s">
        <v>32</v>
      </c>
      <c r="B8" s="46" t="s">
        <v>56</v>
      </c>
      <c r="C8" s="35">
        <v>2000.0</v>
      </c>
      <c r="D8" s="37" t="s">
        <v>35</v>
      </c>
      <c r="E8" s="42">
        <f>IF(OR($A8="",$B8="",$C8=""),"",IFERROR(SUMIFS(ORDERS!$F$8:$F$991,ORDERS!$B$8:$B$991,"SALE",ORDERS!$D$8:$D$991,"&lt;="&amp;TODAY(),ORDERS!$E$8:$E$991,$A8)*$C8,0))</f>
        <v>2000</v>
      </c>
      <c r="F8" s="44">
        <f t="array" ref="F8">IF($B8="","",IFERROR(INDEX('RAW MATERIALS'!$F$5:$F$15,MATCH($B8,'RAW MATERIALS'!$A$5:$A$16,0)),0))</f>
        <v>104000</v>
      </c>
      <c r="G8" s="44">
        <f t="shared" si="1"/>
        <v>52</v>
      </c>
    </row>
    <row r="9">
      <c r="A9" s="31" t="s">
        <v>32</v>
      </c>
      <c r="B9" s="46" t="s">
        <v>60</v>
      </c>
      <c r="C9" s="35">
        <v>1.0</v>
      </c>
      <c r="D9" s="37" t="s">
        <v>35</v>
      </c>
      <c r="E9" s="42">
        <f>IF(OR($A9="",$B9="",$C9=""),"",IFERROR(SUMIFS(ORDERS!$F$8:$F$991,ORDERS!$B$8:$B$991,"SALE",ORDERS!$D$8:$D$991,"&lt;="&amp;TODAY(),ORDERS!$E$8:$E$991,$A9)*$C9,0))</f>
        <v>1</v>
      </c>
      <c r="F9" s="44">
        <f t="array" ref="F9">IF($B9="","",IFERROR(INDEX('RAW MATERIALS'!$F$5:$F$15,MATCH($B9,'RAW MATERIALS'!$A$5:$A$16,0)),0))</f>
        <v>1497</v>
      </c>
      <c r="G9" s="44">
        <f t="shared" si="1"/>
        <v>1497</v>
      </c>
    </row>
    <row r="10">
      <c r="A10" s="31" t="s">
        <v>57</v>
      </c>
      <c r="B10" s="46" t="s">
        <v>34</v>
      </c>
      <c r="C10" s="35">
        <v>2000.0</v>
      </c>
      <c r="D10" s="37" t="s">
        <v>35</v>
      </c>
      <c r="E10" s="42">
        <f>IF(OR($A10="",$B10="",$C10=""),"",IFERROR(SUMIFS(ORDERS!$F$8:$F$991,ORDERS!$B$8:$B$991,"SALE",ORDERS!$D$8:$D$991,"&lt;="&amp;TODAY(),ORDERS!$E$8:$E$991,$A10)*$C10,0))</f>
        <v>2000</v>
      </c>
      <c r="F10" s="44">
        <f t="array" ref="F10">IF($B10="","",IFERROR(INDEX('RAW MATERIALS'!$F$5:$F$15,MATCH($B10,'RAW MATERIALS'!$A$5:$A$16,0)),0))</f>
        <v>8000</v>
      </c>
      <c r="G10" s="44">
        <f t="shared" si="1"/>
        <v>4</v>
      </c>
    </row>
    <row r="11">
      <c r="A11" s="31" t="s">
        <v>57</v>
      </c>
      <c r="B11" s="46" t="s">
        <v>33</v>
      </c>
      <c r="C11" s="35">
        <v>2000.0</v>
      </c>
      <c r="D11" s="37" t="s">
        <v>35</v>
      </c>
      <c r="E11" s="42">
        <f>IF(OR($A11="",$B11="",$C11=""),"",IFERROR(SUMIFS(ORDERS!$F$8:$F$991,ORDERS!$B$8:$B$991,"SALE",ORDERS!$D$8:$D$991,"&lt;="&amp;TODAY(),ORDERS!$E$8:$E$991,$A11)*$C11,0))</f>
        <v>2000</v>
      </c>
      <c r="F11" s="44">
        <f t="array" ref="F11">IF($B11="","",IFERROR(INDEX('RAW MATERIALS'!$F$5:$F$15,MATCH($B11,'RAW MATERIALS'!$A$5:$A$16,0)),0))</f>
        <v>104000</v>
      </c>
      <c r="G11" s="44">
        <f t="shared" si="1"/>
        <v>52</v>
      </c>
    </row>
    <row r="12">
      <c r="A12" s="31" t="s">
        <v>57</v>
      </c>
      <c r="B12" s="46" t="s">
        <v>51</v>
      </c>
      <c r="C12" s="35">
        <v>2000.0</v>
      </c>
      <c r="D12" s="37" t="s">
        <v>35</v>
      </c>
      <c r="E12" s="42">
        <f>IF(OR($A12="",$B12="",$C12=""),"",IFERROR(SUMIFS(ORDERS!$F$8:$F$991,ORDERS!$B$8:$B$991,"SALE",ORDERS!$D$8:$D$991,"&lt;="&amp;TODAY(),ORDERS!$E$8:$E$991,$A12)*$C12,0))</f>
        <v>2000</v>
      </c>
      <c r="F12" s="44">
        <f t="array" ref="F12">IF($B12="","",IFERROR(INDEX('RAW MATERIALS'!$F$5:$F$15,MATCH($B12,'RAW MATERIALS'!$A$5:$A$16,0)),0))</f>
        <v>6000</v>
      </c>
      <c r="G12" s="44">
        <f t="shared" si="1"/>
        <v>3</v>
      </c>
    </row>
    <row r="13">
      <c r="A13" s="31" t="s">
        <v>57</v>
      </c>
      <c r="B13" s="46" t="s">
        <v>56</v>
      </c>
      <c r="C13" s="35">
        <v>2000.0</v>
      </c>
      <c r="D13" s="37" t="s">
        <v>35</v>
      </c>
      <c r="E13" s="42">
        <f>IF(OR($A13="",$B13="",$C13=""),"",IFERROR(SUMIFS(ORDERS!$F$8:$F$991,ORDERS!$B$8:$B$991,"SALE",ORDERS!$D$8:$D$991,"&lt;="&amp;TODAY(),ORDERS!$E$8:$E$991,$A13)*$C13,0))</f>
        <v>2000</v>
      </c>
      <c r="F13" s="44">
        <f t="array" ref="F13">IF($B13="","",IFERROR(INDEX('RAW MATERIALS'!$F$5:$F$15,MATCH($B13,'RAW MATERIALS'!$A$5:$A$16,0)),0))</f>
        <v>104000</v>
      </c>
      <c r="G13" s="44">
        <f t="shared" si="1"/>
        <v>52</v>
      </c>
    </row>
    <row r="14">
      <c r="A14" s="31" t="s">
        <v>57</v>
      </c>
      <c r="B14" s="46" t="s">
        <v>60</v>
      </c>
      <c r="C14" s="35">
        <v>1.0</v>
      </c>
      <c r="D14" s="37" t="s">
        <v>35</v>
      </c>
      <c r="E14" s="42">
        <f>IF(OR($A14="",$B14="",$C14=""),"",IFERROR(SUMIFS(ORDERS!$F$8:$F$991,ORDERS!$B$8:$B$991,"SALE",ORDERS!$D$8:$D$991,"&lt;="&amp;TODAY(),ORDERS!$E$8:$E$991,$A14)*$C14,0))</f>
        <v>1</v>
      </c>
      <c r="F14" s="44">
        <f t="array" ref="F14">IF($B14="","",IFERROR(INDEX('RAW MATERIALS'!$F$5:$F$15,MATCH($B14,'RAW MATERIALS'!$A$5:$A$16,0)),0))</f>
        <v>1497</v>
      </c>
      <c r="G14" s="44">
        <f t="shared" si="1"/>
        <v>1497</v>
      </c>
    </row>
    <row r="15">
      <c r="A15" s="31" t="s">
        <v>22</v>
      </c>
      <c r="B15" s="31" t="s">
        <v>22</v>
      </c>
      <c r="C15" s="37">
        <v>1.0</v>
      </c>
      <c r="D15" s="37" t="s">
        <v>35</v>
      </c>
      <c r="E15" s="42">
        <f>IF(OR($A15="",$B15="",$C15=""),"",IFERROR(SUMIFS(ORDERS!$F$8:$F$991,ORDERS!$B$8:$B$991,"SALE",ORDERS!$D$8:$D$991,"&lt;="&amp;TODAY(),ORDERS!$E$8:$E$991,$A15)*$C15,0))</f>
        <v>154000</v>
      </c>
      <c r="F15" s="44">
        <f t="array" ref="F15">IF($B15="","",IFERROR(INDEX('RAW MATERIALS'!$F$5:$F$15,MATCH($B15,'RAW MATERIALS'!$A$5:$A$16,0)),0))</f>
        <v>4000</v>
      </c>
      <c r="G15" s="44">
        <f t="shared" si="1"/>
        <v>4000</v>
      </c>
    </row>
    <row r="16">
      <c r="A16" s="31" t="s">
        <v>34</v>
      </c>
      <c r="B16" s="31" t="s">
        <v>34</v>
      </c>
      <c r="C16" s="37">
        <v>1.0</v>
      </c>
      <c r="D16" s="37" t="s">
        <v>35</v>
      </c>
      <c r="E16" s="42">
        <f>IF(OR($A16="",$B16="",$C16=""),"",IFERROR(SUMIFS(ORDERS!$F$8:$F$991,ORDERS!$B$8:$B$991,"SALE",ORDERS!$D$8:$D$991,"&lt;="&amp;TODAY(),ORDERS!$E$8:$E$991,$A16)*$C16,0))</f>
        <v>0</v>
      </c>
      <c r="F16" s="44">
        <f t="array" ref="F16">IF($B16="","",IFERROR(INDEX('RAW MATERIALS'!$F$5:$F$15,MATCH($B16,'RAW MATERIALS'!$A$5:$A$16,0)),0))</f>
        <v>8000</v>
      </c>
      <c r="G16" s="44">
        <f t="shared" si="1"/>
        <v>8000</v>
      </c>
    </row>
    <row r="17">
      <c r="A17" s="31" t="s">
        <v>33</v>
      </c>
      <c r="B17" s="31" t="s">
        <v>33</v>
      </c>
      <c r="C17" s="37">
        <v>1.0</v>
      </c>
      <c r="D17" s="37" t="s">
        <v>35</v>
      </c>
      <c r="E17" s="42">
        <f>IF(OR($A17="",$B17="",$C17=""),"",IFERROR(SUMIFS(ORDERS!$F$8:$F$991,ORDERS!$B$8:$B$991,"SALE",ORDERS!$D$8:$D$991,"&lt;="&amp;TODAY(),ORDERS!$E$8:$E$991,$A17)*$C17,0))</f>
        <v>0</v>
      </c>
      <c r="F17" s="44">
        <f t="array" ref="F17">IF($B17="","",IFERROR(INDEX('RAW MATERIALS'!$F$5:$F$15,MATCH($B17,'RAW MATERIALS'!$A$5:$A$16,0)),0))</f>
        <v>104000</v>
      </c>
      <c r="G17" s="44">
        <f t="shared" si="1"/>
        <v>104000</v>
      </c>
    </row>
    <row r="18">
      <c r="A18" s="31" t="s">
        <v>51</v>
      </c>
      <c r="B18" s="31" t="s">
        <v>51</v>
      </c>
      <c r="C18" s="37">
        <v>1.0</v>
      </c>
      <c r="D18" s="37" t="s">
        <v>35</v>
      </c>
      <c r="E18" s="42">
        <f>IF(OR($A18="",$B18="",$C18=""),"",IFERROR(SUMIFS(ORDERS!$F$8:$F$991,ORDERS!$B$8:$B$991,"SALE",ORDERS!$D$8:$D$991,"&lt;="&amp;TODAY(),ORDERS!$E$8:$E$991,$A18)*$C18,0))</f>
        <v>0</v>
      </c>
      <c r="F18" s="44">
        <f t="array" ref="F18">IF($B18="","",IFERROR(INDEX('RAW MATERIALS'!$F$5:$F$15,MATCH($B18,'RAW MATERIALS'!$A$5:$A$16,0)),0))</f>
        <v>6000</v>
      </c>
      <c r="G18" s="44">
        <f t="shared" si="1"/>
        <v>6000</v>
      </c>
    </row>
    <row r="19">
      <c r="A19" s="31" t="s">
        <v>55</v>
      </c>
      <c r="B19" s="31" t="s">
        <v>55</v>
      </c>
      <c r="C19" s="37">
        <v>1.0</v>
      </c>
      <c r="D19" s="37" t="s">
        <v>35</v>
      </c>
      <c r="E19" s="42">
        <f>IF(OR($A19="",$B19="",$C19=""),"",IFERROR(SUMIFS(ORDERS!$F$8:$F$991,ORDERS!$B$8:$B$991,"SALE",ORDERS!$D$8:$D$991,"&lt;="&amp;TODAY(),ORDERS!$E$8:$E$991,$A19)*$C19,0))</f>
        <v>0</v>
      </c>
      <c r="F19" s="44">
        <f t="array" ref="F19">IF($B19="","",IFERROR(INDEX('RAW MATERIALS'!$F$5:$F$15,MATCH($B19,'RAW MATERIALS'!$A$5:$A$16,0)),0))</f>
        <v>9000</v>
      </c>
      <c r="G19" s="44">
        <f t="shared" si="1"/>
        <v>9000</v>
      </c>
    </row>
    <row r="20">
      <c r="A20" s="31" t="s">
        <v>56</v>
      </c>
      <c r="B20" s="31" t="s">
        <v>56</v>
      </c>
      <c r="C20" s="35">
        <v>1.0</v>
      </c>
      <c r="D20" s="37" t="s">
        <v>35</v>
      </c>
      <c r="E20" s="42">
        <f>IF(OR($A20="",$B20="",$C20=""),"",IFERROR(SUMIFS(ORDERS!$F$8:$F$991,ORDERS!$B$8:$B$991,"SALE",ORDERS!$D$8:$D$991,"&lt;="&amp;TODAY(),ORDERS!$E$8:$E$991,$A20)*$C20,0))</f>
        <v>0</v>
      </c>
      <c r="F20" s="44">
        <f t="array" ref="F20">IF($B20="","",IFERROR(INDEX('RAW MATERIALS'!$F$5:$F$15,MATCH($B20,'RAW MATERIALS'!$A$5:$A$16,0)),0))</f>
        <v>104000</v>
      </c>
      <c r="G20" s="44">
        <f t="shared" si="1"/>
        <v>104000</v>
      </c>
    </row>
    <row r="21">
      <c r="A21" s="31" t="s">
        <v>58</v>
      </c>
      <c r="B21" s="31" t="s">
        <v>63</v>
      </c>
      <c r="C21" s="35">
        <v>2000.0</v>
      </c>
      <c r="D21" s="37" t="s">
        <v>35</v>
      </c>
      <c r="E21" s="42">
        <f>IF(OR($A21="",$B21="",$C21=""),"",IFERROR(SUMIFS(ORDERS!$F$8:$F$991,ORDERS!$B$8:$B$991,"SALE",ORDERS!$D$8:$D$991,"&lt;="&amp;TODAY(),ORDERS!$E$8:$E$991,$A21)*$C21,0))</f>
        <v>2000</v>
      </c>
      <c r="F21" s="44">
        <f t="array" ref="F21">IF($B21="","",IFERROR(INDEX('RAW MATERIALS'!$F$5:$F$15,MATCH($B21,'RAW MATERIALS'!$A$5:$A$16,0)),0))</f>
        <v>8000</v>
      </c>
      <c r="G21" s="44">
        <f t="shared" si="1"/>
        <v>4</v>
      </c>
    </row>
    <row r="22">
      <c r="A22" s="31" t="s">
        <v>58</v>
      </c>
      <c r="B22" s="31" t="s">
        <v>33</v>
      </c>
      <c r="C22" s="35">
        <v>2000.0</v>
      </c>
      <c r="D22" s="37" t="s">
        <v>35</v>
      </c>
      <c r="E22" s="42">
        <f>IF(OR($A22="",$B22="",$C22=""),"",IFERROR(SUMIFS(ORDERS!$F$8:$F$991,ORDERS!$B$8:$B$991,"SALE",ORDERS!$D$8:$D$991,"&lt;="&amp;TODAY(),ORDERS!$E$8:$E$991,$A22)*$C22,0))</f>
        <v>2000</v>
      </c>
      <c r="F22" s="44">
        <f t="array" ref="F22">IF($B22="","",IFERROR(INDEX('RAW MATERIALS'!$F$5:$F$15,MATCH($B22,'RAW MATERIALS'!$A$5:$A$16,0)),0))</f>
        <v>104000</v>
      </c>
      <c r="G22" s="44">
        <f t="shared" si="1"/>
        <v>52</v>
      </c>
    </row>
    <row r="23">
      <c r="A23" s="31" t="s">
        <v>58</v>
      </c>
      <c r="B23" s="31" t="s">
        <v>65</v>
      </c>
      <c r="C23" s="35">
        <v>2000.0</v>
      </c>
      <c r="D23" s="37" t="s">
        <v>35</v>
      </c>
      <c r="E23" s="42">
        <f>IF(OR($A23="",$B23="",$C23=""),"",IFERROR(SUMIFS(ORDERS!$F$8:$F$991,ORDERS!$B$8:$B$991,"SALE",ORDERS!$D$8:$D$991,"&lt;="&amp;TODAY(),ORDERS!$E$8:$E$991,$A23)*$C23,0))</f>
        <v>2000</v>
      </c>
      <c r="F23" s="44">
        <f t="array" ref="F23">IF($B23="","",IFERROR(INDEX('RAW MATERIALS'!$F$5:$F$15,MATCH($B23,'RAW MATERIALS'!$A$5:$A$16,0)),0))</f>
        <v>8000</v>
      </c>
      <c r="G23" s="44">
        <f t="shared" si="1"/>
        <v>4</v>
      </c>
    </row>
    <row r="24">
      <c r="A24" s="31" t="s">
        <v>58</v>
      </c>
      <c r="B24" s="31" t="s">
        <v>66</v>
      </c>
      <c r="C24" s="35">
        <v>1000.0</v>
      </c>
      <c r="D24" s="37" t="s">
        <v>35</v>
      </c>
      <c r="E24" s="42">
        <f>IF(OR($A24="",$B24="",$C24=""),"",IFERROR(SUMIFS(ORDERS!$F$8:$F$991,ORDERS!$B$8:$B$991,"SALE",ORDERS!$D$8:$D$991,"&lt;="&amp;TODAY(),ORDERS!$E$8:$E$991,$A24)*$C24,0))</f>
        <v>1000</v>
      </c>
      <c r="F24" s="44">
        <f t="array" ref="F24">IF($B24="","",IFERROR(INDEX('RAW MATERIALS'!$F$5:$F$15,MATCH($B24,'RAW MATERIALS'!$A$5:$A$16,0)),0))</f>
        <v>9000</v>
      </c>
      <c r="G24" s="44">
        <f t="shared" si="1"/>
        <v>9</v>
      </c>
    </row>
    <row r="25">
      <c r="A25" s="31" t="s">
        <v>58</v>
      </c>
      <c r="B25" s="31" t="s">
        <v>56</v>
      </c>
      <c r="C25" s="35">
        <v>2000.0</v>
      </c>
      <c r="D25" s="37" t="s">
        <v>35</v>
      </c>
      <c r="E25" s="42">
        <f>IF(OR($A25="",$B25="",$C25=""),"",IFERROR(SUMIFS(ORDERS!$F$8:$F$991,ORDERS!$B$8:$B$991,"SALE",ORDERS!$D$8:$D$991,"&lt;="&amp;TODAY(),ORDERS!$E$8:$E$991,$A25)*$C25,0))</f>
        <v>2000</v>
      </c>
      <c r="F25" s="44">
        <f t="array" ref="F25">IF($B25="","",IFERROR(INDEX('RAW MATERIALS'!$F$5:$F$15,MATCH($B25,'RAW MATERIALS'!$A$5:$A$16,0)),0))</f>
        <v>104000</v>
      </c>
      <c r="G25" s="44">
        <f t="shared" si="1"/>
        <v>52</v>
      </c>
    </row>
    <row r="26">
      <c r="A26" s="31" t="s">
        <v>58</v>
      </c>
      <c r="B26" s="46" t="s">
        <v>60</v>
      </c>
      <c r="C26" s="35">
        <v>1.0</v>
      </c>
      <c r="D26" s="37" t="s">
        <v>35</v>
      </c>
      <c r="E26" s="42">
        <f>IF(OR($A26="",$B26="",$C26=""),"",IFERROR(SUMIFS(ORDERS!$F$8:$F$991,ORDERS!$B$8:$B$991,"SALE",ORDERS!$D$8:$D$991,"&lt;="&amp;TODAY(),ORDERS!$E$8:$E$991,$A26)*$C26,0))</f>
        <v>1</v>
      </c>
      <c r="F26" s="44">
        <f t="array" ref="F26">IF($B26="","",IFERROR(INDEX('RAW MATERIALS'!$F$5:$F$15,MATCH($B26,'RAW MATERIALS'!$A$5:$A$16,0)),0))</f>
        <v>1497</v>
      </c>
      <c r="G26" s="44">
        <f t="shared" si="1"/>
        <v>1497</v>
      </c>
    </row>
    <row r="27">
      <c r="A27" s="31" t="s">
        <v>67</v>
      </c>
      <c r="B27" s="31" t="s">
        <v>64</v>
      </c>
      <c r="C27" s="35">
        <v>2000.0</v>
      </c>
      <c r="D27" s="37" t="s">
        <v>35</v>
      </c>
      <c r="E27" s="42">
        <f>IF(OR($A27="",$B27="",$C27=""),"",IFERROR(SUMIFS(ORDERS!$F$8:$F$991,ORDERS!$B$8:$B$991,"SALE",ORDERS!$D$8:$D$991,"&lt;="&amp;TODAY(),ORDERS!$E$8:$E$991,$A27)*$C27,0))</f>
        <v>0</v>
      </c>
      <c r="F27" s="44">
        <f t="array" ref="F27">IF($B27="","",IFERROR(INDEX('RAW MATERIALS'!$F$5:$F$15,MATCH($B27,'RAW MATERIALS'!$A$5:$A$16,0)),0))</f>
        <v>10000</v>
      </c>
      <c r="G27" s="44">
        <f t="shared" si="1"/>
        <v>5</v>
      </c>
    </row>
    <row r="28">
      <c r="A28" s="31" t="s">
        <v>67</v>
      </c>
      <c r="B28" s="31" t="s">
        <v>33</v>
      </c>
      <c r="C28" s="35">
        <v>2000.0</v>
      </c>
      <c r="D28" s="37" t="s">
        <v>35</v>
      </c>
      <c r="E28" s="42">
        <f>IF(OR($A28="",$B28="",$C28=""),"",IFERROR(SUMIFS(ORDERS!$F$8:$F$991,ORDERS!$B$8:$B$991,"SALE",ORDERS!$D$8:$D$991,"&lt;="&amp;TODAY(),ORDERS!$E$8:$E$991,$A28)*$C28,0))</f>
        <v>0</v>
      </c>
      <c r="F28" s="44">
        <f t="array" ref="F28">IF($B28="","",IFERROR(INDEX('RAW MATERIALS'!$F$5:$F$15,MATCH($B28,'RAW MATERIALS'!$A$5:$A$16,0)),0))</f>
        <v>104000</v>
      </c>
      <c r="G28" s="44">
        <f t="shared" si="1"/>
        <v>52</v>
      </c>
    </row>
    <row r="29">
      <c r="A29" s="31" t="s">
        <v>67</v>
      </c>
      <c r="B29" s="31" t="s">
        <v>65</v>
      </c>
      <c r="C29" s="35">
        <v>2000.0</v>
      </c>
      <c r="D29" s="37" t="s">
        <v>35</v>
      </c>
      <c r="E29" s="42">
        <f>IF(OR($A29="",$B29="",$C29=""),"",IFERROR(SUMIFS(ORDERS!$F$8:$F$991,ORDERS!$B$8:$B$991,"SALE",ORDERS!$D$8:$D$991,"&lt;="&amp;TODAY(),ORDERS!$E$8:$E$991,$A29)*$C29,0))</f>
        <v>0</v>
      </c>
      <c r="F29" s="44">
        <f t="array" ref="F29">IF($B29="","",IFERROR(INDEX('RAW MATERIALS'!$F$5:$F$15,MATCH($B29,'RAW MATERIALS'!$A$5:$A$16,0)),0))</f>
        <v>8000</v>
      </c>
      <c r="G29" s="44">
        <f t="shared" si="1"/>
        <v>4</v>
      </c>
    </row>
    <row r="30">
      <c r="A30" s="31" t="s">
        <v>67</v>
      </c>
      <c r="B30" s="31" t="s">
        <v>56</v>
      </c>
      <c r="C30" s="35">
        <v>2000.0</v>
      </c>
      <c r="D30" s="37" t="s">
        <v>35</v>
      </c>
      <c r="E30" s="42">
        <f>IF(OR($A30="",$B30="",$C30=""),"",IFERROR(SUMIFS(ORDERS!$F$8:$F$991,ORDERS!$B$8:$B$991,"SALE",ORDERS!$D$8:$D$991,"&lt;="&amp;TODAY(),ORDERS!$E$8:$E$991,$A30)*$C30,0))</f>
        <v>0</v>
      </c>
      <c r="F30" s="44">
        <f t="array" ref="F30">IF($B30="","",IFERROR(INDEX('RAW MATERIALS'!$F$5:$F$15,MATCH($B30,'RAW MATERIALS'!$A$5:$A$16,0)),0))</f>
        <v>104000</v>
      </c>
      <c r="G30" s="44">
        <f t="shared" si="1"/>
        <v>52</v>
      </c>
    </row>
    <row r="31">
      <c r="A31" s="64" t="s">
        <v>67</v>
      </c>
      <c r="B31" s="65" t="s">
        <v>60</v>
      </c>
      <c r="C31" s="66">
        <v>1.0</v>
      </c>
      <c r="D31" s="66" t="s">
        <v>35</v>
      </c>
      <c r="E31" s="66">
        <f>IF(OR($A31="",$B31="",$C31=""),"",IFERROR(SUMIFS(ORDERS!$F$8:$F$991,ORDERS!$B$8:$B$991,"SALE",ORDERS!$D$8:$D$991,"&lt;="&amp;TODAY(),ORDERS!$E$8:$E$991,$A31)*$C31,0))</f>
        <v>0</v>
      </c>
      <c r="F31" s="67">
        <f t="array" ref="F31">IF($B31="","",IFERROR(INDEX('RAW MATERIALS'!$F$5:$F$15,MATCH($B31,'RAW MATERIALS'!$A$5:$A$16,0)),0))</f>
        <v>1497</v>
      </c>
      <c r="G31" s="67">
        <f>IF(OR($B31="",$C31=""),"",MAX(0,ROUNDDOWN($F31/$C31,0)))</f>
        <v>1497</v>
      </c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>
      <c r="A32" s="31" t="s">
        <v>63</v>
      </c>
      <c r="B32" s="31" t="s">
        <v>63</v>
      </c>
      <c r="C32" s="35">
        <v>1.0</v>
      </c>
      <c r="D32" s="37" t="s">
        <v>35</v>
      </c>
      <c r="E32" s="42">
        <f>IF(OR($A32="",$B32="",$C32=""),"",IFERROR(SUMIFS(ORDERS!$F$8:$F$991,ORDERS!$B$8:$B$991,"SALE",ORDERS!$D$8:$D$991,"&lt;="&amp;TODAY(),ORDERS!$E$8:$E$991,$A32)*$C32,0))</f>
        <v>0</v>
      </c>
      <c r="F32" s="44">
        <f t="array" ref="F32">IF($B32="","",IFERROR(INDEX('RAW MATERIALS'!$F$5:$F$15,MATCH($B32,'RAW MATERIALS'!$A$5:$A$16,0)),0))</f>
        <v>8000</v>
      </c>
      <c r="G32" s="44">
        <f t="shared" ref="G32:G35" si="2">IF(OR($B32="",$C32=""),"",MAX(0,ROUNDDOWN($F32/$C32,0)))</f>
        <v>8000</v>
      </c>
    </row>
    <row r="33">
      <c r="A33" s="31" t="s">
        <v>64</v>
      </c>
      <c r="B33" s="31" t="s">
        <v>64</v>
      </c>
      <c r="C33" s="35">
        <v>1.0</v>
      </c>
      <c r="D33" s="37" t="s">
        <v>35</v>
      </c>
      <c r="E33" s="42">
        <f>IF(OR($A33="",$B33="",$C33=""),"",IFERROR(SUMIFS(ORDERS!$F$8:$F$991,ORDERS!$B$8:$B$991,"SALE",ORDERS!$D$8:$D$991,"&lt;="&amp;TODAY(),ORDERS!$E$8:$E$991,$A33)*$C33,0))</f>
        <v>0</v>
      </c>
      <c r="F33" s="44">
        <f t="array" ref="F33">IF($B33="","",IFERROR(INDEX('RAW MATERIALS'!$F$5:$F$15,MATCH($B33,'RAW MATERIALS'!$A$5:$A$16,0)),0))</f>
        <v>10000</v>
      </c>
      <c r="G33" s="44">
        <f t="shared" si="2"/>
        <v>10000</v>
      </c>
    </row>
    <row r="34">
      <c r="A34" s="31" t="s">
        <v>65</v>
      </c>
      <c r="B34" s="31" t="s">
        <v>65</v>
      </c>
      <c r="C34" s="35">
        <v>1.0</v>
      </c>
      <c r="D34" s="37" t="s">
        <v>35</v>
      </c>
      <c r="E34" s="42">
        <f>IF(OR($A34="",$B34="",$C34=""),"",IFERROR(SUMIFS(ORDERS!$F$8:$F$991,ORDERS!$B$8:$B$991,"SALE",ORDERS!$D$8:$D$991,"&lt;="&amp;TODAY(),ORDERS!$E$8:$E$991,$A34)*$C34,0))</f>
        <v>0</v>
      </c>
      <c r="F34" s="44">
        <f t="array" ref="F34">IF($B34="","",IFERROR(INDEX('RAW MATERIALS'!$F$5:$F$15,MATCH($B34,'RAW MATERIALS'!$A$5:$A$16,0)),0))</f>
        <v>8000</v>
      </c>
      <c r="G34" s="44">
        <f t="shared" si="2"/>
        <v>8000</v>
      </c>
    </row>
    <row r="35">
      <c r="A35" s="31" t="s">
        <v>66</v>
      </c>
      <c r="B35" s="31" t="s">
        <v>66</v>
      </c>
      <c r="C35" s="35">
        <v>1.0</v>
      </c>
      <c r="D35" s="37" t="s">
        <v>35</v>
      </c>
      <c r="E35" s="42">
        <f>IF(OR($A35="",$B35="",$C35=""),"",IFERROR(SUMIFS(ORDERS!$F$8:$F$991,ORDERS!$B$8:$B$991,"SALE",ORDERS!$D$8:$D$991,"&lt;="&amp;TODAY(),ORDERS!$E$8:$E$991,$A35)*$C35,0))</f>
        <v>0</v>
      </c>
      <c r="F35" s="44">
        <f t="array" ref="F35">IF($B35="","",IFERROR(INDEX('RAW MATERIALS'!$F$5:$F$15,MATCH($B35,'RAW MATERIALS'!$A$5:$A$16,0)),0))</f>
        <v>9000</v>
      </c>
      <c r="G35" s="44">
        <f t="shared" si="2"/>
        <v>9000</v>
      </c>
    </row>
    <row r="36">
      <c r="A36" s="31"/>
      <c r="B36" s="31"/>
      <c r="C36" s="37"/>
      <c r="D36" s="37"/>
      <c r="E36" s="42"/>
      <c r="F36" s="44"/>
      <c r="G36" s="44"/>
    </row>
    <row r="37">
      <c r="A37" s="31"/>
      <c r="B37" s="31"/>
      <c r="C37" s="37"/>
      <c r="D37" s="37"/>
      <c r="E37" s="42"/>
      <c r="F37" s="44"/>
      <c r="G37" s="44"/>
    </row>
    <row r="38">
      <c r="A38" s="31"/>
      <c r="B38" s="31"/>
      <c r="C38" s="37"/>
      <c r="D38" s="37"/>
      <c r="E38" s="42"/>
      <c r="F38" s="44"/>
      <c r="G38" s="44"/>
    </row>
    <row r="39">
      <c r="A39" s="31"/>
      <c r="B39" s="31"/>
      <c r="C39" s="37"/>
      <c r="D39" s="37"/>
      <c r="E39" s="42"/>
      <c r="F39" s="44"/>
      <c r="G39" s="44"/>
    </row>
    <row r="40">
      <c r="A40" s="31"/>
      <c r="B40" s="31"/>
      <c r="C40" s="37"/>
      <c r="D40" s="37"/>
      <c r="E40" s="42" t="str">
        <f>IF(OR($A40="",$B40="",$C40=""),"",IFERROR(SUMIFS(ORDERS!$F$8:$F$991,ORDERS!$B$8:$B$991,"SALE",ORDERS!$D$8:$D$991,"&lt;="&amp;TODAY(),ORDERS!$E$8:$E$991,$A40)*$C40,0))</f>
        <v/>
      </c>
      <c r="F40" s="44" t="str">
        <f t="array" ref="F40">IF($B40="","",IFERROR(INDEX('RAW MATERIALS'!$F$5:$F$15,MATCH($B40,'RAW MATERIALS'!$A$5:$A$16,0)),0))</f>
        <v/>
      </c>
      <c r="G40" s="44" t="str">
        <f t="shared" ref="G40:G55" si="3">IF(OR($B40="",$C40=""),"",MAX(0,ROUNDDOWN($F40/$C40,0)))</f>
        <v/>
      </c>
    </row>
    <row r="41">
      <c r="A41" s="31"/>
      <c r="B41" s="31"/>
      <c r="C41" s="37"/>
      <c r="D41" s="37"/>
      <c r="E41" s="42" t="str">
        <f>IF(OR($A41="",$B41="",$C41=""),"",IFERROR(SUMIFS(ORDERS!$F$8:$F$991,ORDERS!$B$8:$B$991,"SALE",ORDERS!$D$8:$D$991,"&lt;="&amp;TODAY(),ORDERS!$E$8:$E$991,$A41)*$C41,0))</f>
        <v/>
      </c>
      <c r="F41" s="44" t="str">
        <f t="array" ref="F41">IF($B41="","",IFERROR(INDEX('RAW MATERIALS'!$F$5:$F$15,MATCH($B41,'RAW MATERIALS'!$A$5:$A$16,0)),0))</f>
        <v/>
      </c>
      <c r="G41" s="44" t="str">
        <f t="shared" si="3"/>
        <v/>
      </c>
    </row>
    <row r="42">
      <c r="A42" s="31"/>
      <c r="B42" s="31"/>
      <c r="C42" s="37"/>
      <c r="D42" s="37"/>
      <c r="E42" s="42" t="str">
        <f>IF(OR($A42="",$B42="",$C42=""),"",IFERROR(SUMIFS(ORDERS!$F$8:$F$991,ORDERS!$B$8:$B$991,"SALE",ORDERS!$D$8:$D$991,"&lt;="&amp;TODAY(),ORDERS!$E$8:$E$991,$A42)*$C42,0))</f>
        <v/>
      </c>
      <c r="F42" s="44" t="str">
        <f t="array" ref="F42">IF($B42="","",IFERROR(INDEX('RAW MATERIALS'!$F$5:$F$15,MATCH($B42,'RAW MATERIALS'!$A$5:$A$16,0)),0))</f>
        <v/>
      </c>
      <c r="G42" s="44" t="str">
        <f t="shared" si="3"/>
        <v/>
      </c>
    </row>
    <row r="43">
      <c r="A43" s="31"/>
      <c r="B43" s="31"/>
      <c r="C43" s="37"/>
      <c r="D43" s="37"/>
      <c r="E43" s="42" t="str">
        <f>IF(OR($A43="",$B43="",$C43=""),"",IFERROR(SUMIFS(ORDERS!$F$8:$F$991,ORDERS!$B$8:$B$991,"SALE",ORDERS!$D$8:$D$991,"&lt;="&amp;TODAY(),ORDERS!$E$8:$E$991,$A43)*$C43,0))</f>
        <v/>
      </c>
      <c r="F43" s="44" t="str">
        <f t="array" ref="F43">IF($B43="","",IFERROR(INDEX('RAW MATERIALS'!$F$5:$F$15,MATCH($B43,'RAW MATERIALS'!$A$5:$A$16,0)),0))</f>
        <v/>
      </c>
      <c r="G43" s="44" t="str">
        <f t="shared" si="3"/>
        <v/>
      </c>
    </row>
    <row r="44">
      <c r="A44" s="31"/>
      <c r="B44" s="31"/>
      <c r="C44" s="37"/>
      <c r="D44" s="37"/>
      <c r="E44" s="42" t="str">
        <f>IF(OR($A44="",$B44="",$C44=""),"",IFERROR(SUMIFS(ORDERS!$F$8:$F$991,ORDERS!$B$8:$B$991,"SALE",ORDERS!$D$8:$D$991,"&lt;="&amp;TODAY(),ORDERS!$E$8:$E$991,$A44)*$C44,0))</f>
        <v/>
      </c>
      <c r="F44" s="44" t="str">
        <f t="array" ref="F44">IF($B44="","",IFERROR(INDEX('RAW MATERIALS'!$F$5:$F$15,MATCH($B44,'RAW MATERIALS'!$A$5:$A$16,0)),0))</f>
        <v/>
      </c>
      <c r="G44" s="44" t="str">
        <f t="shared" si="3"/>
        <v/>
      </c>
    </row>
    <row r="45">
      <c r="A45" s="31"/>
      <c r="B45" s="31"/>
      <c r="C45" s="37"/>
      <c r="D45" s="37"/>
      <c r="E45" s="42" t="str">
        <f>IF(OR($A45="",$B45="",$C45=""),"",IFERROR(SUMIFS(ORDERS!$F$8:$F$991,ORDERS!$B$8:$B$991,"SALE",ORDERS!$D$8:$D$991,"&lt;="&amp;TODAY(),ORDERS!$E$8:$E$991,$A45)*$C45,0))</f>
        <v/>
      </c>
      <c r="F45" s="44" t="str">
        <f t="array" ref="F45">IF($B45="","",IFERROR(INDEX('RAW MATERIALS'!$F$5:$F$15,MATCH($B45,'RAW MATERIALS'!$A$5:$A$16,0)),0))</f>
        <v/>
      </c>
      <c r="G45" s="44" t="str">
        <f t="shared" si="3"/>
        <v/>
      </c>
    </row>
    <row r="46">
      <c r="A46" s="31"/>
      <c r="B46" s="31"/>
      <c r="C46" s="37"/>
      <c r="D46" s="37"/>
      <c r="E46" s="42" t="str">
        <f>IF(OR($A46="",$B46="",$C46=""),"",IFERROR(SUMIFS(ORDERS!$F$8:$F$991,ORDERS!$B$8:$B$991,"SALE",ORDERS!$D$8:$D$991,"&lt;="&amp;TODAY(),ORDERS!$E$8:$E$991,$A46)*$C46,0))</f>
        <v/>
      </c>
      <c r="F46" s="44" t="str">
        <f t="array" ref="F46">IF($B46="","",IFERROR(INDEX('RAW MATERIALS'!$F$5:$F$15,MATCH($B46,'RAW MATERIALS'!$A$5:$A$16,0)),0))</f>
        <v/>
      </c>
      <c r="G46" s="44" t="str">
        <f t="shared" si="3"/>
        <v/>
      </c>
    </row>
    <row r="47">
      <c r="A47" s="31"/>
      <c r="B47" s="31"/>
      <c r="C47" s="37"/>
      <c r="D47" s="37"/>
      <c r="E47" s="42" t="str">
        <f>IF(OR($A47="",$B47="",$C47=""),"",IFERROR(SUMIFS(ORDERS!$F$8:$F$991,ORDERS!$B$8:$B$991,"SALE",ORDERS!$D$8:$D$991,"&lt;="&amp;TODAY(),ORDERS!$E$8:$E$991,$A47)*$C47,0))</f>
        <v/>
      </c>
      <c r="F47" s="44" t="str">
        <f t="array" ref="F47">IF($B47="","",IFERROR(INDEX('RAW MATERIALS'!$F$5:$F$15,MATCH($B47,'RAW MATERIALS'!$A$5:$A$16,0)),0))</f>
        <v/>
      </c>
      <c r="G47" s="44" t="str">
        <f t="shared" si="3"/>
        <v/>
      </c>
    </row>
    <row r="48">
      <c r="A48" s="31"/>
      <c r="B48" s="31"/>
      <c r="C48" s="37"/>
      <c r="D48" s="37"/>
      <c r="E48" s="42" t="str">
        <f>IF(OR($A48="",$B48="",$C48=""),"",IFERROR(SUMIFS(ORDERS!$F$8:$F$991,ORDERS!$B$8:$B$991,"SALE",ORDERS!$D$8:$D$991,"&lt;="&amp;TODAY(),ORDERS!$E$8:$E$991,$A48)*$C48,0))</f>
        <v/>
      </c>
      <c r="F48" s="44" t="str">
        <f t="array" ref="F48">IF($B48="","",IFERROR(INDEX('RAW MATERIALS'!$F$5:$F$15,MATCH($B48,'RAW MATERIALS'!$A$5:$A$16,0)),0))</f>
        <v/>
      </c>
      <c r="G48" s="44" t="str">
        <f t="shared" si="3"/>
        <v/>
      </c>
    </row>
    <row r="49">
      <c r="A49" s="31"/>
      <c r="B49" s="31"/>
      <c r="C49" s="37"/>
      <c r="D49" s="37"/>
      <c r="E49" s="42" t="str">
        <f>IF(OR($A49="",$B49="",$C49=""),"",IFERROR(SUMIFS(ORDERS!$F$8:$F$991,ORDERS!$B$8:$B$991,"SALE",ORDERS!$D$8:$D$991,"&lt;="&amp;TODAY(),ORDERS!$E$8:$E$991,$A49)*$C49,0))</f>
        <v/>
      </c>
      <c r="F49" s="44" t="str">
        <f t="array" ref="F49">IF($B49="","",IFERROR(INDEX('RAW MATERIALS'!$F$5:$F$15,MATCH($B49,'RAW MATERIALS'!$A$5:$A$16,0)),0))</f>
        <v/>
      </c>
      <c r="G49" s="44" t="str">
        <f t="shared" si="3"/>
        <v/>
      </c>
    </row>
    <row r="50">
      <c r="A50" s="31"/>
      <c r="B50" s="31"/>
      <c r="C50" s="37"/>
      <c r="D50" s="37"/>
      <c r="E50" s="42" t="str">
        <f>IF(OR($A50="",$B50="",$C50=""),"",IFERROR(SUMIFS(ORDERS!$F$8:$F$991,ORDERS!$B$8:$B$991,"SALE",ORDERS!$D$8:$D$991,"&lt;="&amp;TODAY(),ORDERS!$E$8:$E$991,$A50)*$C50,0))</f>
        <v/>
      </c>
      <c r="F50" s="44" t="str">
        <f t="array" ref="F50">IF($B50="","",IFERROR(INDEX('RAW MATERIALS'!$F$5:$F$15,MATCH($B50,'RAW MATERIALS'!$A$5:$A$16,0)),0))</f>
        <v/>
      </c>
      <c r="G50" s="44" t="str">
        <f t="shared" si="3"/>
        <v/>
      </c>
    </row>
    <row r="51">
      <c r="A51" s="31"/>
      <c r="B51" s="31"/>
      <c r="C51" s="37"/>
      <c r="D51" s="37"/>
      <c r="E51" s="42" t="str">
        <f>IF(OR($A51="",$B51="",$C51=""),"",IFERROR(SUMIFS(ORDERS!$F$8:$F$991,ORDERS!$B$8:$B$991,"SALE",ORDERS!$D$8:$D$991,"&lt;="&amp;TODAY(),ORDERS!$E$8:$E$991,$A51)*$C51,0))</f>
        <v/>
      </c>
      <c r="F51" s="44" t="str">
        <f t="array" ref="F51">IF($B51="","",IFERROR(INDEX('RAW MATERIALS'!$F$5:$F$15,MATCH($B51,'RAW MATERIALS'!$A$5:$A$16,0)),0))</f>
        <v/>
      </c>
      <c r="G51" s="44" t="str">
        <f t="shared" si="3"/>
        <v/>
      </c>
    </row>
    <row r="52">
      <c r="A52" s="31"/>
      <c r="B52" s="31"/>
      <c r="C52" s="37"/>
      <c r="D52" s="37"/>
      <c r="E52" s="42" t="str">
        <f>IF(OR($A52="",$B52="",$C52=""),"",IFERROR(SUMIFS(ORDERS!$F$8:$F$991,ORDERS!$B$8:$B$991,"SALE",ORDERS!$D$8:$D$991,"&lt;="&amp;TODAY(),ORDERS!$E$8:$E$991,$A52)*$C52,0))</f>
        <v/>
      </c>
      <c r="F52" s="44" t="str">
        <f t="array" ref="F52">IF($B52="","",IFERROR(INDEX('RAW MATERIALS'!$F$5:$F$15,MATCH($B52,'RAW MATERIALS'!$A$5:$A$16,0)),0))</f>
        <v/>
      </c>
      <c r="G52" s="44" t="str">
        <f t="shared" si="3"/>
        <v/>
      </c>
    </row>
    <row r="53">
      <c r="A53" s="31"/>
      <c r="B53" s="31"/>
      <c r="C53" s="37"/>
      <c r="D53" s="37"/>
      <c r="E53" s="42" t="str">
        <f>IF(OR($A53="",$B53="",$C53=""),"",IFERROR(SUMIFS(ORDERS!$F$8:$F$991,ORDERS!$B$8:$B$991,"SALE",ORDERS!$D$8:$D$991,"&lt;="&amp;TODAY(),ORDERS!$E$8:$E$991,$A53)*$C53,0))</f>
        <v/>
      </c>
      <c r="F53" s="44" t="str">
        <f t="array" ref="F53">IF($B53="","",IFERROR(INDEX('RAW MATERIALS'!$F$5:$F$15,MATCH($B53,'RAW MATERIALS'!$A$5:$A$16,0)),0))</f>
        <v/>
      </c>
      <c r="G53" s="44" t="str">
        <f t="shared" si="3"/>
        <v/>
      </c>
    </row>
    <row r="54">
      <c r="A54" s="31"/>
      <c r="B54" s="31"/>
      <c r="C54" s="37"/>
      <c r="D54" s="37"/>
      <c r="E54" s="42" t="str">
        <f>IF(OR($A54="",$B54="",$C54=""),"",IFERROR(SUMIFS(ORDERS!$F$8:$F$991,ORDERS!$B$8:$B$991,"SALE",ORDERS!$D$8:$D$991,"&lt;="&amp;TODAY(),ORDERS!$E$8:$E$991,$A54)*$C54,0))</f>
        <v/>
      </c>
      <c r="F54" s="44" t="str">
        <f t="array" ref="F54">IF($B54="","",IFERROR(INDEX('RAW MATERIALS'!$F$5:$F$15,MATCH($B54,'RAW MATERIALS'!$A$5:$A$16,0)),0))</f>
        <v/>
      </c>
      <c r="G54" s="44" t="str">
        <f t="shared" si="3"/>
        <v/>
      </c>
    </row>
    <row r="55">
      <c r="A55" s="31"/>
      <c r="B55" s="31"/>
      <c r="C55" s="37"/>
      <c r="D55" s="37"/>
      <c r="E55" s="42" t="str">
        <f>IF(OR($A55="",$B55="",$C55=""),"",IFERROR(SUMIFS(ORDERS!$F$8:$F$991,ORDERS!$B$8:$B$991,"SALE",ORDERS!$D$8:$D$991,"&lt;="&amp;TODAY(),ORDERS!$E$8:$E$991,$A55)*$C55,0))</f>
        <v/>
      </c>
      <c r="F55" s="44" t="str">
        <f t="array" ref="F55">IF($B55="","",IFERROR(INDEX('RAW MATERIALS'!$F$5:$F$15,MATCH($B55,'RAW MATERIALS'!$A$5:$A$16,0)),0))</f>
        <v/>
      </c>
      <c r="G55" s="44" t="str">
        <f t="shared" si="3"/>
        <v/>
      </c>
    </row>
    <row r="56">
      <c r="A56" s="31"/>
      <c r="B56" s="31"/>
      <c r="C56" s="37"/>
      <c r="D56" s="37"/>
      <c r="E56" s="42"/>
      <c r="F56" s="44"/>
      <c r="G56" s="44"/>
    </row>
    <row r="57" ht="15.75" customHeight="1">
      <c r="A57" s="59"/>
      <c r="B57" s="59"/>
      <c r="E57" s="59" t="str">
        <f>IF(OR($A57="",$B57="",$C57=""),"",IFERROR(SUMIFS(ORDERS!$F$8:$F$991,ORDERS!$B$8:$B$991,"SALE",ORDERS!$D$8:$D$991,"&lt;="&amp;TODAY(),ORDERS!$E$8:$E$991,$A57)*$C57,0))</f>
        <v/>
      </c>
      <c r="F57" s="59" t="str">
        <f t="array" ref="F57">IF($B57="","",IFERROR(INDEX('RAW MATERIALS'!$F$5:$F$15,MATCH($B57,'RAW MATERIALS'!$A$5:$A$16,0)),0))</f>
        <v/>
      </c>
      <c r="G57" s="59" t="str">
        <f t="shared" ref="G57:G334" si="4">IF(OR($B57="",$C57=""),"",MAX(0,ROUNDDOWN($F57/$C57,0)))</f>
        <v/>
      </c>
    </row>
    <row r="58" ht="15.75" customHeight="1">
      <c r="A58" s="59"/>
      <c r="B58" s="59"/>
      <c r="E58" s="59" t="str">
        <f>IF(OR($A58="",$B58="",$C58=""),"",IFERROR(SUMIFS(ORDERS!$F$8:$F$991,ORDERS!$B$8:$B$991,"SALE",ORDERS!$D$8:$D$991,"&lt;="&amp;TODAY(),ORDERS!$E$8:$E$991,$A58)*$C58,0))</f>
        <v/>
      </c>
      <c r="F58" s="59" t="str">
        <f t="array" ref="F58">IF($B58="","",IFERROR(INDEX('RAW MATERIALS'!$F$5:$F$15,MATCH($B58,'RAW MATERIALS'!$A$5:$A$16,0)),0))</f>
        <v/>
      </c>
      <c r="G58" s="59" t="str">
        <f t="shared" si="4"/>
        <v/>
      </c>
    </row>
    <row r="59" ht="15.75" customHeight="1">
      <c r="A59" s="59"/>
      <c r="B59" s="59"/>
      <c r="E59" s="59" t="str">
        <f>IF(OR($A59="",$B59="",$C59=""),"",IFERROR(SUMIFS(ORDERS!$F$8:$F$991,ORDERS!$B$8:$B$991,"SALE",ORDERS!$D$8:$D$991,"&lt;="&amp;TODAY(),ORDERS!$E$8:$E$991,$A59)*$C59,0))</f>
        <v/>
      </c>
      <c r="F59" s="59" t="str">
        <f t="array" ref="F59">IF($B59="","",IFERROR(INDEX('RAW MATERIALS'!$F$5:$F$15,MATCH($B59,'RAW MATERIALS'!$A$5:$A$16,0)),0))</f>
        <v/>
      </c>
      <c r="G59" s="59" t="str">
        <f t="shared" si="4"/>
        <v/>
      </c>
    </row>
    <row r="60" ht="15.75" customHeight="1">
      <c r="A60" s="59"/>
      <c r="B60" s="59"/>
      <c r="E60" s="59" t="str">
        <f>IF(OR($A60="",$B60="",$C60=""),"",IFERROR(SUMIFS(ORDERS!$F$8:$F$991,ORDERS!$B$8:$B$991,"SALE",ORDERS!$D$8:$D$991,"&lt;="&amp;TODAY(),ORDERS!$E$8:$E$991,$A60)*$C60,0))</f>
        <v/>
      </c>
      <c r="F60" s="59" t="str">
        <f t="array" ref="F60">IF($B60="","",IFERROR(INDEX('RAW MATERIALS'!$F$5:$F$15,MATCH($B60,'RAW MATERIALS'!$A$5:$A$16,0)),0))</f>
        <v/>
      </c>
      <c r="G60" s="59" t="str">
        <f t="shared" si="4"/>
        <v/>
      </c>
    </row>
    <row r="61" ht="15.75" customHeight="1">
      <c r="A61" s="59"/>
      <c r="B61" s="59"/>
      <c r="E61" s="59" t="str">
        <f>IF(OR($A61="",$B61="",$C61=""),"",IFERROR(SUMIFS(ORDERS!$F$8:$F$991,ORDERS!$B$8:$B$991,"SALE",ORDERS!$D$8:$D$991,"&lt;="&amp;TODAY(),ORDERS!$E$8:$E$991,$A61)*$C61,0))</f>
        <v/>
      </c>
      <c r="F61" s="59" t="str">
        <f t="array" ref="F61">IF($B61="","",IFERROR(INDEX('RAW MATERIALS'!$F$5:$F$15,MATCH($B61,'RAW MATERIALS'!$A$5:$A$16,0)),0))</f>
        <v/>
      </c>
      <c r="G61" s="59" t="str">
        <f t="shared" si="4"/>
        <v/>
      </c>
    </row>
    <row r="62" ht="15.75" customHeight="1">
      <c r="A62" s="59"/>
      <c r="B62" s="59"/>
      <c r="E62" s="59" t="str">
        <f>IF(OR($A62="",$B62="",$C62=""),"",IFERROR(SUMIFS(ORDERS!$F$8:$F$991,ORDERS!$B$8:$B$991,"SALE",ORDERS!$D$8:$D$991,"&lt;="&amp;TODAY(),ORDERS!$E$8:$E$991,$A62)*$C62,0))</f>
        <v/>
      </c>
      <c r="F62" s="59" t="str">
        <f t="array" ref="F62">IF($B62="","",IFERROR(INDEX('RAW MATERIALS'!$F$5:$F$15,MATCH($B62,'RAW MATERIALS'!$A$5:$A$16,0)),0))</f>
        <v/>
      </c>
      <c r="G62" s="59" t="str">
        <f t="shared" si="4"/>
        <v/>
      </c>
    </row>
    <row r="63" ht="15.75" customHeight="1">
      <c r="A63" s="59"/>
      <c r="B63" s="59"/>
      <c r="E63" s="59" t="str">
        <f>IF(OR($A63="",$B63="",$C63=""),"",IFERROR(SUMIFS(ORDERS!$F$8:$F$991,ORDERS!$B$8:$B$991,"SALE",ORDERS!$D$8:$D$991,"&lt;="&amp;TODAY(),ORDERS!$E$8:$E$991,$A63)*$C63,0))</f>
        <v/>
      </c>
      <c r="F63" s="59" t="str">
        <f t="array" ref="F63">IF($B63="","",IFERROR(INDEX('RAW MATERIALS'!$F$5:$F$15,MATCH($B63,'RAW MATERIALS'!$A$5:$A$16,0)),0))</f>
        <v/>
      </c>
      <c r="G63" s="59" t="str">
        <f t="shared" si="4"/>
        <v/>
      </c>
    </row>
    <row r="64" ht="15.75" customHeight="1">
      <c r="A64" s="59"/>
      <c r="B64" s="59"/>
      <c r="E64" s="59" t="str">
        <f>IF(OR($A64="",$B64="",$C64=""),"",IFERROR(SUMIFS(ORDERS!$F$8:$F$991,ORDERS!$B$8:$B$991,"SALE",ORDERS!$D$8:$D$991,"&lt;="&amp;TODAY(),ORDERS!$E$8:$E$991,$A64)*$C64,0))</f>
        <v/>
      </c>
      <c r="F64" s="59" t="str">
        <f t="array" ref="F64">IF($B64="","",IFERROR(INDEX('RAW MATERIALS'!$F$5:$F$15,MATCH($B64,'RAW MATERIALS'!$A$5:$A$16,0)),0))</f>
        <v/>
      </c>
      <c r="G64" s="59" t="str">
        <f t="shared" si="4"/>
        <v/>
      </c>
    </row>
    <row r="65" ht="15.75" customHeight="1">
      <c r="A65" s="59"/>
      <c r="B65" s="59"/>
      <c r="E65" s="59" t="str">
        <f>IF(OR($A65="",$B65="",$C65=""),"",IFERROR(SUMIFS(ORDERS!$F$8:$F$991,ORDERS!$B$8:$B$991,"SALE",ORDERS!$D$8:$D$991,"&lt;="&amp;TODAY(),ORDERS!$E$8:$E$991,$A65)*$C65,0))</f>
        <v/>
      </c>
      <c r="F65" s="59" t="str">
        <f t="array" ref="F65">IF($B65="","",IFERROR(INDEX('RAW MATERIALS'!$F$5:$F$15,MATCH($B65,'RAW MATERIALS'!$A$5:$A$16,0)),0))</f>
        <v/>
      </c>
      <c r="G65" s="59" t="str">
        <f t="shared" si="4"/>
        <v/>
      </c>
    </row>
    <row r="66" ht="15.75" customHeight="1">
      <c r="A66" s="59"/>
      <c r="B66" s="59"/>
      <c r="E66" s="59" t="str">
        <f>IF(OR($A66="",$B66="",$C66=""),"",IFERROR(SUMIFS(ORDERS!$F$8:$F$991,ORDERS!$B$8:$B$991,"SALE",ORDERS!$D$8:$D$991,"&lt;="&amp;TODAY(),ORDERS!$E$8:$E$991,$A66)*$C66,0))</f>
        <v/>
      </c>
      <c r="F66" s="59" t="str">
        <f t="array" ref="F66">IF($B66="","",IFERROR(INDEX('RAW MATERIALS'!$F$5:$F$15,MATCH($B66,'RAW MATERIALS'!$A$5:$A$16,0)),0))</f>
        <v/>
      </c>
      <c r="G66" s="59" t="str">
        <f t="shared" si="4"/>
        <v/>
      </c>
    </row>
    <row r="67" ht="15.75" customHeight="1">
      <c r="A67" s="59"/>
      <c r="B67" s="59"/>
      <c r="E67" s="59" t="str">
        <f>IF(OR($A67="",$B67="",$C67=""),"",IFERROR(SUMIFS(ORDERS!$F$8:$F$991,ORDERS!$B$8:$B$991,"SALE",ORDERS!$D$8:$D$991,"&lt;="&amp;TODAY(),ORDERS!$E$8:$E$991,$A67)*$C67,0))</f>
        <v/>
      </c>
      <c r="F67" s="59" t="str">
        <f t="array" ref="F67">IF($B67="","",IFERROR(INDEX('RAW MATERIALS'!$F$5:$F$15,MATCH($B67,'RAW MATERIALS'!$A$5:$A$16,0)),0))</f>
        <v/>
      </c>
      <c r="G67" s="59" t="str">
        <f t="shared" si="4"/>
        <v/>
      </c>
    </row>
    <row r="68" ht="15.75" customHeight="1">
      <c r="A68" s="59"/>
      <c r="B68" s="59"/>
      <c r="E68" s="59" t="str">
        <f>IF(OR($A68="",$B68="",$C68=""),"",IFERROR(SUMIFS(ORDERS!$F$8:$F$991,ORDERS!$B$8:$B$991,"SALE",ORDERS!$D$8:$D$991,"&lt;="&amp;TODAY(),ORDERS!$E$8:$E$991,$A68)*$C68,0))</f>
        <v/>
      </c>
      <c r="F68" s="59" t="str">
        <f t="array" ref="F68">IF($B68="","",IFERROR(INDEX('RAW MATERIALS'!$F$5:$F$15,MATCH($B68,'RAW MATERIALS'!$A$5:$A$16,0)),0))</f>
        <v/>
      </c>
      <c r="G68" s="59" t="str">
        <f t="shared" si="4"/>
        <v/>
      </c>
    </row>
    <row r="69" ht="15.75" customHeight="1">
      <c r="A69" s="59"/>
      <c r="B69" s="59"/>
      <c r="E69" s="59" t="str">
        <f>IF(OR($A69="",$B69="",$C69=""),"",IFERROR(SUMIFS(ORDERS!$F$8:$F$991,ORDERS!$B$8:$B$991,"SALE",ORDERS!$D$8:$D$991,"&lt;="&amp;TODAY(),ORDERS!$E$8:$E$991,$A69)*$C69,0))</f>
        <v/>
      </c>
      <c r="F69" s="59" t="str">
        <f t="array" ref="F69">IF($B69="","",IFERROR(INDEX('RAW MATERIALS'!$F$5:$F$15,MATCH($B69,'RAW MATERIALS'!$A$5:$A$16,0)),0))</f>
        <v/>
      </c>
      <c r="G69" s="59" t="str">
        <f t="shared" si="4"/>
        <v/>
      </c>
    </row>
    <row r="70" ht="15.75" customHeight="1">
      <c r="A70" s="59"/>
      <c r="B70" s="59"/>
      <c r="E70" s="59" t="str">
        <f>IF(OR($A70="",$B70="",$C70=""),"",IFERROR(SUMIFS(ORDERS!$F$8:$F$991,ORDERS!$B$8:$B$991,"SALE",ORDERS!$D$8:$D$991,"&lt;="&amp;TODAY(),ORDERS!$E$8:$E$991,$A70)*$C70,0))</f>
        <v/>
      </c>
      <c r="F70" s="59" t="str">
        <f t="array" ref="F70">IF($B70="","",IFERROR(INDEX('RAW MATERIALS'!$F$5:$F$15,MATCH($B70,'RAW MATERIALS'!$A$5:$A$16,0)),0))</f>
        <v/>
      </c>
      <c r="G70" s="59" t="str">
        <f t="shared" si="4"/>
        <v/>
      </c>
    </row>
    <row r="71" ht="15.75" customHeight="1">
      <c r="A71" s="59"/>
      <c r="B71" s="59"/>
      <c r="E71" s="59" t="str">
        <f>IF(OR($A71="",$B71="",$C71=""),"",IFERROR(SUMIFS(ORDERS!$F$8:$F$991,ORDERS!$B$8:$B$991,"SALE",ORDERS!$D$8:$D$991,"&lt;="&amp;TODAY(),ORDERS!$E$8:$E$991,$A71)*$C71,0))</f>
        <v/>
      </c>
      <c r="F71" s="59" t="str">
        <f t="array" ref="F71">IF($B71="","",IFERROR(INDEX('RAW MATERIALS'!$F$5:$F$15,MATCH($B71,'RAW MATERIALS'!$A$5:$A$16,0)),0))</f>
        <v/>
      </c>
      <c r="G71" s="59" t="str">
        <f t="shared" si="4"/>
        <v/>
      </c>
    </row>
    <row r="72" ht="15.75" customHeight="1">
      <c r="A72" s="59"/>
      <c r="B72" s="59"/>
      <c r="E72" s="59" t="str">
        <f>IF(OR($A72="",$B72="",$C72=""),"",IFERROR(SUMIFS(ORDERS!$F$8:$F$991,ORDERS!$B$8:$B$991,"SALE",ORDERS!$D$8:$D$991,"&lt;="&amp;TODAY(),ORDERS!$E$8:$E$991,$A72)*$C72,0))</f>
        <v/>
      </c>
      <c r="F72" s="59" t="str">
        <f t="array" ref="F72">IF($B72="","",IFERROR(INDEX('RAW MATERIALS'!$F$5:$F$15,MATCH($B72,'RAW MATERIALS'!$A$5:$A$16,0)),0))</f>
        <v/>
      </c>
      <c r="G72" s="59" t="str">
        <f t="shared" si="4"/>
        <v/>
      </c>
    </row>
    <row r="73" ht="15.75" customHeight="1">
      <c r="A73" s="59"/>
      <c r="B73" s="59"/>
      <c r="E73" s="59" t="str">
        <f>IF(OR($A73="",$B73="",$C73=""),"",IFERROR(SUMIFS(ORDERS!$F$8:$F$991,ORDERS!$B$8:$B$991,"SALE",ORDERS!$D$8:$D$991,"&lt;="&amp;TODAY(),ORDERS!$E$8:$E$991,$A73)*$C73,0))</f>
        <v/>
      </c>
      <c r="F73" s="59" t="str">
        <f t="array" ref="F73">IF($B73="","",IFERROR(INDEX('RAW MATERIALS'!$F$5:$F$15,MATCH($B73,'RAW MATERIALS'!$A$5:$A$16,0)),0))</f>
        <v/>
      </c>
      <c r="G73" s="59" t="str">
        <f t="shared" si="4"/>
        <v/>
      </c>
    </row>
    <row r="74" ht="15.75" customHeight="1">
      <c r="A74" s="59"/>
      <c r="B74" s="59"/>
      <c r="E74" s="59" t="str">
        <f>IF(OR($A74="",$B74="",$C74=""),"",IFERROR(SUMIFS(ORDERS!$F$8:$F$991,ORDERS!$B$8:$B$991,"SALE",ORDERS!$D$8:$D$991,"&lt;="&amp;TODAY(),ORDERS!$E$8:$E$991,$A74)*$C74,0))</f>
        <v/>
      </c>
      <c r="F74" s="59" t="str">
        <f t="array" ref="F74">IF($B74="","",IFERROR(INDEX('RAW MATERIALS'!$F$5:$F$15,MATCH($B74,'RAW MATERIALS'!$A$5:$A$16,0)),0))</f>
        <v/>
      </c>
      <c r="G74" s="59" t="str">
        <f t="shared" si="4"/>
        <v/>
      </c>
    </row>
    <row r="75" ht="15.75" customHeight="1">
      <c r="A75" s="59"/>
      <c r="B75" s="59"/>
      <c r="E75" s="59" t="str">
        <f>IF(OR($A75="",$B75="",$C75=""),"",IFERROR(SUMIFS(ORDERS!$F$8:$F$991,ORDERS!$B$8:$B$991,"SALE",ORDERS!$D$8:$D$991,"&lt;="&amp;TODAY(),ORDERS!$E$8:$E$991,$A75)*$C75,0))</f>
        <v/>
      </c>
      <c r="F75" s="59" t="str">
        <f t="array" ref="F75">IF($B75="","",IFERROR(INDEX('RAW MATERIALS'!$F$5:$F$15,MATCH($B75,'RAW MATERIALS'!$A$5:$A$16,0)),0))</f>
        <v/>
      </c>
      <c r="G75" s="59" t="str">
        <f t="shared" si="4"/>
        <v/>
      </c>
    </row>
    <row r="76" ht="15.75" customHeight="1">
      <c r="A76" s="59"/>
      <c r="B76" s="59"/>
      <c r="E76" s="59" t="str">
        <f>IF(OR($A76="",$B76="",$C76=""),"",IFERROR(SUMIFS(ORDERS!$F$8:$F$991,ORDERS!$B$8:$B$991,"SALE",ORDERS!$D$8:$D$991,"&lt;="&amp;TODAY(),ORDERS!$E$8:$E$991,$A76)*$C76,0))</f>
        <v/>
      </c>
      <c r="F76" s="59" t="str">
        <f t="array" ref="F76">IF($B76="","",IFERROR(INDEX('RAW MATERIALS'!$F$5:$F$15,MATCH($B76,'RAW MATERIALS'!$A$5:$A$16,0)),0))</f>
        <v/>
      </c>
      <c r="G76" s="59" t="str">
        <f t="shared" si="4"/>
        <v/>
      </c>
    </row>
    <row r="77" ht="15.75" customHeight="1">
      <c r="A77" s="59"/>
      <c r="B77" s="59"/>
      <c r="E77" s="59" t="str">
        <f>IF(OR($A77="",$B77="",$C77=""),"",IFERROR(SUMIFS(ORDERS!$F$8:$F$991,ORDERS!$B$8:$B$991,"SALE",ORDERS!$D$8:$D$991,"&lt;="&amp;TODAY(),ORDERS!$E$8:$E$991,$A77)*$C77,0))</f>
        <v/>
      </c>
      <c r="F77" s="59" t="str">
        <f t="array" ref="F77">IF($B77="","",IFERROR(INDEX('RAW MATERIALS'!$F$5:$F$15,MATCH($B77,'RAW MATERIALS'!$A$5:$A$16,0)),0))</f>
        <v/>
      </c>
      <c r="G77" s="59" t="str">
        <f t="shared" si="4"/>
        <v/>
      </c>
    </row>
    <row r="78" ht="15.75" customHeight="1">
      <c r="A78" s="59"/>
      <c r="B78" s="59"/>
      <c r="E78" s="59" t="str">
        <f>IF(OR($A78="",$B78="",$C78=""),"",IFERROR(SUMIFS(ORDERS!$F$8:$F$991,ORDERS!$B$8:$B$991,"SALE",ORDERS!$D$8:$D$991,"&lt;="&amp;TODAY(),ORDERS!$E$8:$E$991,$A78)*$C78,0))</f>
        <v/>
      </c>
      <c r="F78" s="59" t="str">
        <f t="array" ref="F78">IF($B78="","",IFERROR(INDEX('RAW MATERIALS'!$F$5:$F$15,MATCH($B78,'RAW MATERIALS'!$A$5:$A$16,0)),0))</f>
        <v/>
      </c>
      <c r="G78" s="59" t="str">
        <f t="shared" si="4"/>
        <v/>
      </c>
    </row>
    <row r="79" ht="15.75" customHeight="1">
      <c r="A79" s="59"/>
      <c r="B79" s="59"/>
      <c r="E79" s="59" t="str">
        <f>IF(OR($A79="",$B79="",$C79=""),"",IFERROR(SUMIFS(ORDERS!$F$8:$F$991,ORDERS!$B$8:$B$991,"SALE",ORDERS!$D$8:$D$991,"&lt;="&amp;TODAY(),ORDERS!$E$8:$E$991,$A79)*$C79,0))</f>
        <v/>
      </c>
      <c r="F79" s="59" t="str">
        <f t="array" ref="F79">IF($B79="","",IFERROR(INDEX('RAW MATERIALS'!$F$5:$F$15,MATCH($B79,'RAW MATERIALS'!$A$5:$A$16,0)),0))</f>
        <v/>
      </c>
      <c r="G79" s="59" t="str">
        <f t="shared" si="4"/>
        <v/>
      </c>
    </row>
    <row r="80" ht="15.75" customHeight="1">
      <c r="A80" s="59"/>
      <c r="B80" s="59"/>
      <c r="E80" s="59" t="str">
        <f>IF(OR($A80="",$B80="",$C80=""),"",IFERROR(SUMIFS(ORDERS!$F$8:$F$991,ORDERS!$B$8:$B$991,"SALE",ORDERS!$D$8:$D$991,"&lt;="&amp;TODAY(),ORDERS!$E$8:$E$991,$A80)*$C80,0))</f>
        <v/>
      </c>
      <c r="F80" s="59" t="str">
        <f t="array" ref="F80">IF($B80="","",IFERROR(INDEX('RAW MATERIALS'!$F$5:$F$15,MATCH($B80,'RAW MATERIALS'!$A$5:$A$16,0)),0))</f>
        <v/>
      </c>
      <c r="G80" s="59" t="str">
        <f t="shared" si="4"/>
        <v/>
      </c>
    </row>
    <row r="81" ht="15.75" customHeight="1">
      <c r="A81" s="59"/>
      <c r="B81" s="59"/>
      <c r="E81" s="59" t="str">
        <f>IF(OR($A81="",$B81="",$C81=""),"",IFERROR(SUMIFS(ORDERS!$F$8:$F$991,ORDERS!$B$8:$B$991,"SALE",ORDERS!$D$8:$D$991,"&lt;="&amp;TODAY(),ORDERS!$E$8:$E$991,$A81)*$C81,0))</f>
        <v/>
      </c>
      <c r="F81" s="59" t="str">
        <f t="array" ref="F81">IF($B81="","",IFERROR(INDEX('RAW MATERIALS'!$F$5:$F$15,MATCH($B81,'RAW MATERIALS'!$A$5:$A$16,0)),0))</f>
        <v/>
      </c>
      <c r="G81" s="59" t="str">
        <f t="shared" si="4"/>
        <v/>
      </c>
    </row>
    <row r="82" ht="15.75" customHeight="1">
      <c r="A82" s="59"/>
      <c r="B82" s="59"/>
      <c r="E82" s="59" t="str">
        <f>IF(OR($A82="",$B82="",$C82=""),"",IFERROR(SUMIFS(ORDERS!$F$8:$F$991,ORDERS!$B$8:$B$991,"SALE",ORDERS!$D$8:$D$991,"&lt;="&amp;TODAY(),ORDERS!$E$8:$E$991,$A82)*$C82,0))</f>
        <v/>
      </c>
      <c r="F82" s="59" t="str">
        <f t="array" ref="F82">IF($B82="","",IFERROR(INDEX('RAW MATERIALS'!$F$5:$F$15,MATCH($B82,'RAW MATERIALS'!$A$5:$A$16,0)),0))</f>
        <v/>
      </c>
      <c r="G82" s="59" t="str">
        <f t="shared" si="4"/>
        <v/>
      </c>
    </row>
    <row r="83" ht="15.75" customHeight="1">
      <c r="A83" s="59"/>
      <c r="B83" s="59"/>
      <c r="E83" s="59" t="str">
        <f>IF(OR($A83="",$B83="",$C83=""),"",IFERROR(SUMIFS(ORDERS!$F$8:$F$991,ORDERS!$B$8:$B$991,"SALE",ORDERS!$D$8:$D$991,"&lt;="&amp;TODAY(),ORDERS!$E$8:$E$991,$A83)*$C83,0))</f>
        <v/>
      </c>
      <c r="F83" s="59" t="str">
        <f t="array" ref="F83">IF($B83="","",IFERROR(INDEX('RAW MATERIALS'!$F$5:$F$15,MATCH($B83,'RAW MATERIALS'!$A$5:$A$16,0)),0))</f>
        <v/>
      </c>
      <c r="G83" s="59" t="str">
        <f t="shared" si="4"/>
        <v/>
      </c>
    </row>
    <row r="84" ht="15.75" customHeight="1">
      <c r="A84" s="59"/>
      <c r="B84" s="59"/>
      <c r="E84" s="59" t="str">
        <f>IF(OR($A84="",$B84="",$C84=""),"",IFERROR(SUMIFS(ORDERS!$F$8:$F$991,ORDERS!$B$8:$B$991,"SALE",ORDERS!$D$8:$D$991,"&lt;="&amp;TODAY(),ORDERS!$E$8:$E$991,$A84)*$C84,0))</f>
        <v/>
      </c>
      <c r="F84" s="59" t="str">
        <f t="array" ref="F84">IF($B84="","",IFERROR(INDEX('RAW MATERIALS'!$F$5:$F$15,MATCH($B84,'RAW MATERIALS'!$A$5:$A$16,0)),0))</f>
        <v/>
      </c>
      <c r="G84" s="59" t="str">
        <f t="shared" si="4"/>
        <v/>
      </c>
    </row>
    <row r="85" ht="15.75" customHeight="1">
      <c r="A85" s="59"/>
      <c r="B85" s="59"/>
      <c r="E85" s="59" t="str">
        <f>IF(OR($A85="",$B85="",$C85=""),"",IFERROR(SUMIFS(ORDERS!$F$8:$F$991,ORDERS!$B$8:$B$991,"SALE",ORDERS!$D$8:$D$991,"&lt;="&amp;TODAY(),ORDERS!$E$8:$E$991,$A85)*$C85,0))</f>
        <v/>
      </c>
      <c r="F85" s="59" t="str">
        <f t="array" ref="F85">IF($B85="","",IFERROR(INDEX('RAW MATERIALS'!$F$5:$F$15,MATCH($B85,'RAW MATERIALS'!$A$5:$A$16,0)),0))</f>
        <v/>
      </c>
      <c r="G85" s="59" t="str">
        <f t="shared" si="4"/>
        <v/>
      </c>
    </row>
    <row r="86" ht="15.75" customHeight="1">
      <c r="A86" s="59"/>
      <c r="B86" s="59"/>
      <c r="E86" s="59" t="str">
        <f>IF(OR($A86="",$B86="",$C86=""),"",IFERROR(SUMIFS(ORDERS!$F$8:$F$991,ORDERS!$B$8:$B$991,"SALE",ORDERS!$D$8:$D$991,"&lt;="&amp;TODAY(),ORDERS!$E$8:$E$991,$A86)*$C86,0))</f>
        <v/>
      </c>
      <c r="F86" s="59" t="str">
        <f t="array" ref="F86">IF($B86="","",IFERROR(INDEX('RAW MATERIALS'!$F$5:$F$15,MATCH($B86,'RAW MATERIALS'!$A$5:$A$16,0)),0))</f>
        <v/>
      </c>
      <c r="G86" s="59" t="str">
        <f t="shared" si="4"/>
        <v/>
      </c>
    </row>
    <row r="87" ht="15.75" customHeight="1">
      <c r="A87" s="59"/>
      <c r="B87" s="59"/>
      <c r="E87" s="59" t="str">
        <f>IF(OR($A87="",$B87="",$C87=""),"",IFERROR(SUMIFS(ORDERS!$F$8:$F$991,ORDERS!$B$8:$B$991,"SALE",ORDERS!$D$8:$D$991,"&lt;="&amp;TODAY(),ORDERS!$E$8:$E$991,$A87)*$C87,0))</f>
        <v/>
      </c>
      <c r="F87" s="59" t="str">
        <f t="array" ref="F87">IF($B87="","",IFERROR(INDEX('RAW MATERIALS'!$F$5:$F$15,MATCH($B87,'RAW MATERIALS'!$A$5:$A$16,0)),0))</f>
        <v/>
      </c>
      <c r="G87" s="59" t="str">
        <f t="shared" si="4"/>
        <v/>
      </c>
    </row>
    <row r="88" ht="15.75" customHeight="1">
      <c r="A88" s="59"/>
      <c r="B88" s="59"/>
      <c r="E88" s="59" t="str">
        <f>IF(OR($A88="",$B88="",$C88=""),"",IFERROR(SUMIFS(ORDERS!$F$8:$F$991,ORDERS!$B$8:$B$991,"SALE",ORDERS!$D$8:$D$991,"&lt;="&amp;TODAY(),ORDERS!$E$8:$E$991,$A88)*$C88,0))</f>
        <v/>
      </c>
      <c r="F88" s="59" t="str">
        <f t="array" ref="F88">IF($B88="","",IFERROR(INDEX('RAW MATERIALS'!$F$5:$F$15,MATCH($B88,'RAW MATERIALS'!$A$5:$A$16,0)),0))</f>
        <v/>
      </c>
      <c r="G88" s="59" t="str">
        <f t="shared" si="4"/>
        <v/>
      </c>
    </row>
    <row r="89" ht="15.75" customHeight="1">
      <c r="A89" s="59"/>
      <c r="B89" s="59"/>
      <c r="E89" s="59" t="str">
        <f>IF(OR($A89="",$B89="",$C89=""),"",IFERROR(SUMIFS(ORDERS!$F$8:$F$991,ORDERS!$B$8:$B$991,"SALE",ORDERS!$D$8:$D$991,"&lt;="&amp;TODAY(),ORDERS!$E$8:$E$991,$A89)*$C89,0))</f>
        <v/>
      </c>
      <c r="F89" s="59" t="str">
        <f t="array" ref="F89">IF($B89="","",IFERROR(INDEX('RAW MATERIALS'!$F$5:$F$15,MATCH($B89,'RAW MATERIALS'!$A$5:$A$16,0)),0))</f>
        <v/>
      </c>
      <c r="G89" s="59" t="str">
        <f t="shared" si="4"/>
        <v/>
      </c>
    </row>
    <row r="90" ht="15.75" customHeight="1">
      <c r="A90" s="59"/>
      <c r="B90" s="59"/>
      <c r="E90" s="59" t="str">
        <f>IF(OR($A90="",$B90="",$C90=""),"",IFERROR(SUMIFS(ORDERS!$F$8:$F$991,ORDERS!$B$8:$B$991,"SALE",ORDERS!$D$8:$D$991,"&lt;="&amp;TODAY(),ORDERS!$E$8:$E$991,$A90)*$C90,0))</f>
        <v/>
      </c>
      <c r="F90" s="59" t="str">
        <f t="array" ref="F90">IF($B90="","",IFERROR(INDEX('RAW MATERIALS'!$F$5:$F$15,MATCH($B90,'RAW MATERIALS'!$A$5:$A$16,0)),0))</f>
        <v/>
      </c>
      <c r="G90" s="59" t="str">
        <f t="shared" si="4"/>
        <v/>
      </c>
    </row>
    <row r="91" ht="15.75" customHeight="1">
      <c r="A91" s="59"/>
      <c r="B91" s="59"/>
      <c r="E91" s="59" t="str">
        <f>IF(OR($A91="",$B91="",$C91=""),"",IFERROR(SUMIFS(ORDERS!$F$8:$F$991,ORDERS!$B$8:$B$991,"SALE",ORDERS!$D$8:$D$991,"&lt;="&amp;TODAY(),ORDERS!$E$8:$E$991,$A91)*$C91,0))</f>
        <v/>
      </c>
      <c r="F91" s="59" t="str">
        <f t="array" ref="F91">IF($B91="","",IFERROR(INDEX('RAW MATERIALS'!$F$5:$F$15,MATCH($B91,'RAW MATERIALS'!$A$5:$A$16,0)),0))</f>
        <v/>
      </c>
      <c r="G91" s="59" t="str">
        <f t="shared" si="4"/>
        <v/>
      </c>
    </row>
    <row r="92" ht="15.75" customHeight="1">
      <c r="A92" s="59"/>
      <c r="B92" s="59"/>
      <c r="E92" s="59" t="str">
        <f>IF(OR($A92="",$B92="",$C92=""),"",IFERROR(SUMIFS(ORDERS!$F$8:$F$991,ORDERS!$B$8:$B$991,"SALE",ORDERS!$D$8:$D$991,"&lt;="&amp;TODAY(),ORDERS!$E$8:$E$991,$A92)*$C92,0))</f>
        <v/>
      </c>
      <c r="F92" s="59" t="str">
        <f t="array" ref="F92">IF($B92="","",IFERROR(INDEX('RAW MATERIALS'!$F$5:$F$15,MATCH($B92,'RAW MATERIALS'!$A$5:$A$16,0)),0))</f>
        <v/>
      </c>
      <c r="G92" s="59" t="str">
        <f t="shared" si="4"/>
        <v/>
      </c>
    </row>
    <row r="93" ht="15.75" customHeight="1">
      <c r="A93" s="59"/>
      <c r="B93" s="59"/>
      <c r="E93" s="59" t="str">
        <f>IF(OR($A93="",$B93="",$C93=""),"",IFERROR(SUMIFS(ORDERS!$F$8:$F$991,ORDERS!$B$8:$B$991,"SALE",ORDERS!$D$8:$D$991,"&lt;="&amp;TODAY(),ORDERS!$E$8:$E$991,$A93)*$C93,0))</f>
        <v/>
      </c>
      <c r="F93" s="59" t="str">
        <f t="array" ref="F93">IF($B93="","",IFERROR(INDEX('RAW MATERIALS'!$F$5:$F$15,MATCH($B93,'RAW MATERIALS'!$A$5:$A$16,0)),0))</f>
        <v/>
      </c>
      <c r="G93" s="59" t="str">
        <f t="shared" si="4"/>
        <v/>
      </c>
    </row>
    <row r="94" ht="15.75" customHeight="1">
      <c r="A94" s="59"/>
      <c r="B94" s="59"/>
      <c r="E94" s="59" t="str">
        <f>IF(OR($A94="",$B94="",$C94=""),"",IFERROR(SUMIFS(ORDERS!$F$8:$F$991,ORDERS!$B$8:$B$991,"SALE",ORDERS!$D$8:$D$991,"&lt;="&amp;TODAY(),ORDERS!$E$8:$E$991,$A94)*$C94,0))</f>
        <v/>
      </c>
      <c r="F94" s="59" t="str">
        <f t="array" ref="F94">IF($B94="","",IFERROR(INDEX('RAW MATERIALS'!$F$5:$F$15,MATCH($B94,'RAW MATERIALS'!$A$5:$A$16,0)),0))</f>
        <v/>
      </c>
      <c r="G94" s="59" t="str">
        <f t="shared" si="4"/>
        <v/>
      </c>
    </row>
    <row r="95" ht="15.75" customHeight="1">
      <c r="A95" s="59"/>
      <c r="B95" s="59"/>
      <c r="E95" s="59" t="str">
        <f>IF(OR($A95="",$B95="",$C95=""),"",IFERROR(SUMIFS(ORDERS!$F$8:$F$991,ORDERS!$B$8:$B$991,"SALE",ORDERS!$D$8:$D$991,"&lt;="&amp;TODAY(),ORDERS!$E$8:$E$991,$A95)*$C95,0))</f>
        <v/>
      </c>
      <c r="F95" s="59" t="str">
        <f t="array" ref="F95">IF($B95="","",IFERROR(INDEX('RAW MATERIALS'!$F$5:$F$15,MATCH($B95,'RAW MATERIALS'!$A$5:$A$16,0)),0))</f>
        <v/>
      </c>
      <c r="G95" s="59" t="str">
        <f t="shared" si="4"/>
        <v/>
      </c>
    </row>
    <row r="96" ht="15.75" customHeight="1">
      <c r="A96" s="59"/>
      <c r="B96" s="59"/>
      <c r="E96" s="59" t="str">
        <f>IF(OR($A96="",$B96="",$C96=""),"",IFERROR(SUMIFS(ORDERS!$F$8:$F$991,ORDERS!$B$8:$B$991,"SALE",ORDERS!$D$8:$D$991,"&lt;="&amp;TODAY(),ORDERS!$E$8:$E$991,$A96)*$C96,0))</f>
        <v/>
      </c>
      <c r="F96" s="59" t="str">
        <f t="array" ref="F96">IF($B96="","",IFERROR(INDEX('RAW MATERIALS'!$F$5:$F$15,MATCH($B96,'RAW MATERIALS'!$A$5:$A$16,0)),0))</f>
        <v/>
      </c>
      <c r="G96" s="59" t="str">
        <f t="shared" si="4"/>
        <v/>
      </c>
    </row>
    <row r="97" ht="15.75" customHeight="1">
      <c r="A97" s="59"/>
      <c r="B97" s="59"/>
      <c r="E97" s="59" t="str">
        <f>IF(OR($A97="",$B97="",$C97=""),"",IFERROR(SUMIFS(ORDERS!$F$8:$F$991,ORDERS!$B$8:$B$991,"SALE",ORDERS!$D$8:$D$991,"&lt;="&amp;TODAY(),ORDERS!$E$8:$E$991,$A97)*$C97,0))</f>
        <v/>
      </c>
      <c r="F97" s="59" t="str">
        <f t="array" ref="F97">IF($B97="","",IFERROR(INDEX('RAW MATERIALS'!$F$5:$F$15,MATCH($B97,'RAW MATERIALS'!$A$5:$A$16,0)),0))</f>
        <v/>
      </c>
      <c r="G97" s="59" t="str">
        <f t="shared" si="4"/>
        <v/>
      </c>
    </row>
    <row r="98" ht="15.75" customHeight="1">
      <c r="A98" s="59"/>
      <c r="B98" s="59"/>
      <c r="E98" s="59" t="str">
        <f>IF(OR($A98="",$B98="",$C98=""),"",IFERROR(SUMIFS(ORDERS!$F$8:$F$991,ORDERS!$B$8:$B$991,"SALE",ORDERS!$D$8:$D$991,"&lt;="&amp;TODAY(),ORDERS!$E$8:$E$991,$A98)*$C98,0))</f>
        <v/>
      </c>
      <c r="F98" s="59" t="str">
        <f t="array" ref="F98">IF($B98="","",IFERROR(INDEX('RAW MATERIALS'!$F$5:$F$15,MATCH($B98,'RAW MATERIALS'!$A$5:$A$16,0)),0))</f>
        <v/>
      </c>
      <c r="G98" s="59" t="str">
        <f t="shared" si="4"/>
        <v/>
      </c>
    </row>
    <row r="99" ht="15.75" customHeight="1">
      <c r="A99" s="59"/>
      <c r="B99" s="59"/>
      <c r="E99" s="59" t="str">
        <f>IF(OR($A99="",$B99="",$C99=""),"",IFERROR(SUMIFS(ORDERS!$F$8:$F$991,ORDERS!$B$8:$B$991,"SALE",ORDERS!$D$8:$D$991,"&lt;="&amp;TODAY(),ORDERS!$E$8:$E$991,$A99)*$C99,0))</f>
        <v/>
      </c>
      <c r="F99" s="59" t="str">
        <f t="array" ref="F99">IF($B99="","",IFERROR(INDEX('RAW MATERIALS'!$F$5:$F$15,MATCH($B99,'RAW MATERIALS'!$A$5:$A$16,0)),0))</f>
        <v/>
      </c>
      <c r="G99" s="59" t="str">
        <f t="shared" si="4"/>
        <v/>
      </c>
    </row>
    <row r="100" ht="15.75" customHeight="1">
      <c r="A100" s="59"/>
      <c r="B100" s="59"/>
      <c r="E100" s="59" t="str">
        <f>IF(OR($A100="",$B100="",$C100=""),"",IFERROR(SUMIFS(ORDERS!$F$8:$F$991,ORDERS!$B$8:$B$991,"SALE",ORDERS!$D$8:$D$991,"&lt;="&amp;TODAY(),ORDERS!$E$8:$E$991,$A100)*$C100,0))</f>
        <v/>
      </c>
      <c r="F100" s="59" t="str">
        <f t="array" ref="F100">IF($B100="","",IFERROR(INDEX('RAW MATERIALS'!$F$5:$F$15,MATCH($B100,'RAW MATERIALS'!$A$5:$A$16,0)),0))</f>
        <v/>
      </c>
      <c r="G100" s="59" t="str">
        <f t="shared" si="4"/>
        <v/>
      </c>
    </row>
    <row r="101" ht="15.75" customHeight="1">
      <c r="A101" s="59"/>
      <c r="B101" s="59"/>
      <c r="E101" s="59" t="str">
        <f>IF(OR($A101="",$B101="",$C101=""),"",IFERROR(SUMIFS(ORDERS!$F$8:$F$991,ORDERS!$B$8:$B$991,"SALE",ORDERS!$D$8:$D$991,"&lt;="&amp;TODAY(),ORDERS!$E$8:$E$991,$A101)*$C101,0))</f>
        <v/>
      </c>
      <c r="F101" s="59" t="str">
        <f t="array" ref="F101">IF($B101="","",IFERROR(INDEX('RAW MATERIALS'!$F$5:$F$15,MATCH($B101,'RAW MATERIALS'!$A$5:$A$16,0)),0))</f>
        <v/>
      </c>
      <c r="G101" s="59" t="str">
        <f t="shared" si="4"/>
        <v/>
      </c>
    </row>
    <row r="102" ht="15.75" customHeight="1">
      <c r="A102" s="59"/>
      <c r="B102" s="59"/>
      <c r="E102" s="59" t="str">
        <f>IF(OR($A102="",$B102="",$C102=""),"",IFERROR(SUMIFS(ORDERS!$F$8:$F$991,ORDERS!$B$8:$B$991,"SALE",ORDERS!$D$8:$D$991,"&lt;="&amp;TODAY(),ORDERS!$E$8:$E$991,$A102)*$C102,0))</f>
        <v/>
      </c>
      <c r="F102" s="59" t="str">
        <f t="array" ref="F102">IF($B102="","",IFERROR(INDEX('RAW MATERIALS'!$F$5:$F$15,MATCH($B102,'RAW MATERIALS'!$A$5:$A$16,0)),0))</f>
        <v/>
      </c>
      <c r="G102" s="59" t="str">
        <f t="shared" si="4"/>
        <v/>
      </c>
    </row>
    <row r="103" ht="15.75" customHeight="1">
      <c r="A103" s="59"/>
      <c r="B103" s="59"/>
      <c r="E103" s="59" t="str">
        <f>IF(OR($A103="",$B103="",$C103=""),"",IFERROR(SUMIFS(ORDERS!$F$8:$F$991,ORDERS!$B$8:$B$991,"SALE",ORDERS!$D$8:$D$991,"&lt;="&amp;TODAY(),ORDERS!$E$8:$E$991,$A103)*$C103,0))</f>
        <v/>
      </c>
      <c r="F103" s="59" t="str">
        <f t="array" ref="F103">IF($B103="","",IFERROR(INDEX('RAW MATERIALS'!$F$5:$F$15,MATCH($B103,'RAW MATERIALS'!$A$5:$A$16,0)),0))</f>
        <v/>
      </c>
      <c r="G103" s="59" t="str">
        <f t="shared" si="4"/>
        <v/>
      </c>
    </row>
    <row r="104" ht="15.75" customHeight="1">
      <c r="A104" s="59"/>
      <c r="B104" s="59"/>
      <c r="E104" s="59" t="str">
        <f>IF(OR($A104="",$B104="",$C104=""),"",IFERROR(SUMIFS(ORDERS!$F$8:$F$991,ORDERS!$B$8:$B$991,"SALE",ORDERS!$D$8:$D$991,"&lt;="&amp;TODAY(),ORDERS!$E$8:$E$991,$A104)*$C104,0))</f>
        <v/>
      </c>
      <c r="F104" s="59" t="str">
        <f t="array" ref="F104">IF($B104="","",IFERROR(INDEX('RAW MATERIALS'!$F$5:$F$15,MATCH($B104,'RAW MATERIALS'!$A$5:$A$16,0)),0))</f>
        <v/>
      </c>
      <c r="G104" s="59" t="str">
        <f t="shared" si="4"/>
        <v/>
      </c>
    </row>
    <row r="105" ht="15.75" customHeight="1">
      <c r="A105" s="59"/>
      <c r="B105" s="59"/>
      <c r="E105" s="59" t="str">
        <f>IF(OR($A105="",$B105="",$C105=""),"",IFERROR(SUMIFS(ORDERS!$F$8:$F$991,ORDERS!$B$8:$B$991,"SALE",ORDERS!$D$8:$D$991,"&lt;="&amp;TODAY(),ORDERS!$E$8:$E$991,$A105)*$C105,0))</f>
        <v/>
      </c>
      <c r="F105" s="59" t="str">
        <f t="array" ref="F105">IF($B105="","",IFERROR(INDEX('RAW MATERIALS'!$F$5:$F$15,MATCH($B105,'RAW MATERIALS'!$A$5:$A$16,0)),0))</f>
        <v/>
      </c>
      <c r="G105" s="59" t="str">
        <f t="shared" si="4"/>
        <v/>
      </c>
    </row>
    <row r="106" ht="15.75" customHeight="1">
      <c r="A106" s="59"/>
      <c r="B106" s="59"/>
      <c r="E106" s="59" t="str">
        <f>IF(OR($A106="",$B106="",$C106=""),"",IFERROR(SUMIFS(ORDERS!$F$8:$F$991,ORDERS!$B$8:$B$991,"SALE",ORDERS!$D$8:$D$991,"&lt;="&amp;TODAY(),ORDERS!$E$8:$E$991,$A106)*$C106,0))</f>
        <v/>
      </c>
      <c r="F106" s="59" t="str">
        <f t="array" ref="F106">IF($B106="","",IFERROR(INDEX('RAW MATERIALS'!$F$5:$F$15,MATCH($B106,'RAW MATERIALS'!$A$5:$A$16,0)),0))</f>
        <v/>
      </c>
      <c r="G106" s="59" t="str">
        <f t="shared" si="4"/>
        <v/>
      </c>
    </row>
    <row r="107" ht="15.75" customHeight="1">
      <c r="A107" s="59"/>
      <c r="B107" s="59"/>
      <c r="E107" s="59" t="str">
        <f>IF(OR($A107="",$B107="",$C107=""),"",IFERROR(SUMIFS(ORDERS!$F$8:$F$991,ORDERS!$B$8:$B$991,"SALE",ORDERS!$D$8:$D$991,"&lt;="&amp;TODAY(),ORDERS!$E$8:$E$991,$A107)*$C107,0))</f>
        <v/>
      </c>
      <c r="F107" s="59" t="str">
        <f t="array" ref="F107">IF($B107="","",IFERROR(INDEX('RAW MATERIALS'!$F$5:$F$15,MATCH($B107,'RAW MATERIALS'!$A$5:$A$16,0)),0))</f>
        <v/>
      </c>
      <c r="G107" s="59" t="str">
        <f t="shared" si="4"/>
        <v/>
      </c>
    </row>
    <row r="108" ht="15.75" customHeight="1">
      <c r="A108" s="59"/>
      <c r="B108" s="59"/>
      <c r="E108" s="59" t="str">
        <f>IF(OR($A108="",$B108="",$C108=""),"",IFERROR(SUMIFS(ORDERS!$F$8:$F$991,ORDERS!$B$8:$B$991,"SALE",ORDERS!$D$8:$D$991,"&lt;="&amp;TODAY(),ORDERS!$E$8:$E$991,$A108)*$C108,0))</f>
        <v/>
      </c>
      <c r="F108" s="59" t="str">
        <f t="array" ref="F108">IF($B108="","",IFERROR(INDEX('RAW MATERIALS'!$F$5:$F$15,MATCH($B108,'RAW MATERIALS'!$A$5:$A$16,0)),0))</f>
        <v/>
      </c>
      <c r="G108" s="59" t="str">
        <f t="shared" si="4"/>
        <v/>
      </c>
    </row>
    <row r="109" ht="15.75" customHeight="1">
      <c r="A109" s="59"/>
      <c r="B109" s="59"/>
      <c r="E109" s="59" t="str">
        <f>IF(OR($A109="",$B109="",$C109=""),"",IFERROR(SUMIFS(ORDERS!$F$8:$F$991,ORDERS!$B$8:$B$991,"SALE",ORDERS!$D$8:$D$991,"&lt;="&amp;TODAY(),ORDERS!$E$8:$E$991,$A109)*$C109,0))</f>
        <v/>
      </c>
      <c r="F109" s="59" t="str">
        <f t="array" ref="F109">IF($B109="","",IFERROR(INDEX('RAW MATERIALS'!$F$5:$F$15,MATCH($B109,'RAW MATERIALS'!$A$5:$A$16,0)),0))</f>
        <v/>
      </c>
      <c r="G109" s="59" t="str">
        <f t="shared" si="4"/>
        <v/>
      </c>
    </row>
    <row r="110" ht="15.75" customHeight="1">
      <c r="A110" s="59"/>
      <c r="B110" s="59"/>
      <c r="E110" s="59" t="str">
        <f>IF(OR($A110="",$B110="",$C110=""),"",IFERROR(SUMIFS(ORDERS!$F$8:$F$991,ORDERS!$B$8:$B$991,"SALE",ORDERS!$D$8:$D$991,"&lt;="&amp;TODAY(),ORDERS!$E$8:$E$991,$A110)*$C110,0))</f>
        <v/>
      </c>
      <c r="F110" s="59" t="str">
        <f t="array" ref="F110">IF($B110="","",IFERROR(INDEX('RAW MATERIALS'!$F$5:$F$15,MATCH($B110,'RAW MATERIALS'!$A$5:$A$16,0)),0))</f>
        <v/>
      </c>
      <c r="G110" s="59" t="str">
        <f t="shared" si="4"/>
        <v/>
      </c>
    </row>
    <row r="111" ht="15.75" customHeight="1">
      <c r="A111" s="59"/>
      <c r="B111" s="59"/>
      <c r="E111" s="59" t="str">
        <f>IF(OR($A111="",$B111="",$C111=""),"",IFERROR(SUMIFS(ORDERS!$F$8:$F$991,ORDERS!$B$8:$B$991,"SALE",ORDERS!$D$8:$D$991,"&lt;="&amp;TODAY(),ORDERS!$E$8:$E$991,$A111)*$C111,0))</f>
        <v/>
      </c>
      <c r="F111" s="59" t="str">
        <f t="array" ref="F111">IF($B111="","",IFERROR(INDEX('RAW MATERIALS'!$F$5:$F$15,MATCH($B111,'RAW MATERIALS'!$A$5:$A$16,0)),0))</f>
        <v/>
      </c>
      <c r="G111" s="59" t="str">
        <f t="shared" si="4"/>
        <v/>
      </c>
    </row>
    <row r="112" ht="15.75" customHeight="1">
      <c r="A112" s="59"/>
      <c r="B112" s="59"/>
      <c r="E112" s="59" t="str">
        <f>IF(OR($A112="",$B112="",$C112=""),"",IFERROR(SUMIFS(ORDERS!$F$8:$F$991,ORDERS!$B$8:$B$991,"SALE",ORDERS!$D$8:$D$991,"&lt;="&amp;TODAY(),ORDERS!$E$8:$E$991,$A112)*$C112,0))</f>
        <v/>
      </c>
      <c r="F112" s="59" t="str">
        <f t="array" ref="F112">IF($B112="","",IFERROR(INDEX('RAW MATERIALS'!$F$5:$F$15,MATCH($B112,'RAW MATERIALS'!$A$5:$A$16,0)),0))</f>
        <v/>
      </c>
      <c r="G112" s="59" t="str">
        <f t="shared" si="4"/>
        <v/>
      </c>
    </row>
    <row r="113" ht="15.75" customHeight="1">
      <c r="A113" s="59"/>
      <c r="B113" s="59"/>
      <c r="E113" s="59" t="str">
        <f>IF(OR($A113="",$B113="",$C113=""),"",IFERROR(SUMIFS(ORDERS!$F$8:$F$991,ORDERS!$B$8:$B$991,"SALE",ORDERS!$D$8:$D$991,"&lt;="&amp;TODAY(),ORDERS!$E$8:$E$991,$A113)*$C113,0))</f>
        <v/>
      </c>
      <c r="F113" s="59" t="str">
        <f t="array" ref="F113">IF($B113="","",IFERROR(INDEX('RAW MATERIALS'!$F$5:$F$15,MATCH($B113,'RAW MATERIALS'!$A$5:$A$16,0)),0))</f>
        <v/>
      </c>
      <c r="G113" s="59" t="str">
        <f t="shared" si="4"/>
        <v/>
      </c>
    </row>
    <row r="114" ht="15.75" customHeight="1">
      <c r="A114" s="59"/>
      <c r="B114" s="59"/>
      <c r="E114" s="59" t="str">
        <f>IF(OR($A114="",$B114="",$C114=""),"",IFERROR(SUMIFS(ORDERS!$F$8:$F$991,ORDERS!$B$8:$B$991,"SALE",ORDERS!$D$8:$D$991,"&lt;="&amp;TODAY(),ORDERS!$E$8:$E$991,$A114)*$C114,0))</f>
        <v/>
      </c>
      <c r="F114" s="59" t="str">
        <f t="array" ref="F114">IF($B114="","",IFERROR(INDEX('RAW MATERIALS'!$F$5:$F$15,MATCH($B114,'RAW MATERIALS'!$A$5:$A$16,0)),0))</f>
        <v/>
      </c>
      <c r="G114" s="59" t="str">
        <f t="shared" si="4"/>
        <v/>
      </c>
    </row>
    <row r="115" ht="15.75" customHeight="1">
      <c r="A115" s="59"/>
      <c r="B115" s="59"/>
      <c r="E115" s="59" t="str">
        <f>IF(OR($A115="",$B115="",$C115=""),"",IFERROR(SUMIFS(ORDERS!$F$8:$F$991,ORDERS!$B$8:$B$991,"SALE",ORDERS!$D$8:$D$991,"&lt;="&amp;TODAY(),ORDERS!$E$8:$E$991,$A115)*$C115,0))</f>
        <v/>
      </c>
      <c r="F115" s="59" t="str">
        <f t="array" ref="F115">IF($B115="","",IFERROR(INDEX('RAW MATERIALS'!$F$5:$F$15,MATCH($B115,'RAW MATERIALS'!$A$5:$A$16,0)),0))</f>
        <v/>
      </c>
      <c r="G115" s="59" t="str">
        <f t="shared" si="4"/>
        <v/>
      </c>
    </row>
    <row r="116" ht="15.75" customHeight="1">
      <c r="A116" s="59"/>
      <c r="B116" s="59"/>
      <c r="E116" s="59" t="str">
        <f>IF(OR($A116="",$B116="",$C116=""),"",IFERROR(SUMIFS(ORDERS!$F$8:$F$991,ORDERS!$B$8:$B$991,"SALE",ORDERS!$D$8:$D$991,"&lt;="&amp;TODAY(),ORDERS!$E$8:$E$991,$A116)*$C116,0))</f>
        <v/>
      </c>
      <c r="F116" s="59" t="str">
        <f t="array" ref="F116">IF($B116="","",IFERROR(INDEX('RAW MATERIALS'!$F$5:$F$15,MATCH($B116,'RAW MATERIALS'!$A$5:$A$16,0)),0))</f>
        <v/>
      </c>
      <c r="G116" s="59" t="str">
        <f t="shared" si="4"/>
        <v/>
      </c>
    </row>
    <row r="117" ht="15.75" customHeight="1">
      <c r="A117" s="59"/>
      <c r="B117" s="59"/>
      <c r="E117" s="59" t="str">
        <f>IF(OR($A117="",$B117="",$C117=""),"",IFERROR(SUMIFS(ORDERS!$F$8:$F$991,ORDERS!$B$8:$B$991,"SALE",ORDERS!$D$8:$D$991,"&lt;="&amp;TODAY(),ORDERS!$E$8:$E$991,$A117)*$C117,0))</f>
        <v/>
      </c>
      <c r="F117" s="59" t="str">
        <f t="array" ref="F117">IF($B117="","",IFERROR(INDEX('RAW MATERIALS'!$F$5:$F$15,MATCH($B117,'RAW MATERIALS'!$A$5:$A$16,0)),0))</f>
        <v/>
      </c>
      <c r="G117" s="59" t="str">
        <f t="shared" si="4"/>
        <v/>
      </c>
    </row>
    <row r="118" ht="15.75" customHeight="1">
      <c r="A118" s="59"/>
      <c r="B118" s="59"/>
      <c r="E118" s="59" t="str">
        <f>IF(OR($A118="",$B118="",$C118=""),"",IFERROR(SUMIFS(ORDERS!$F$8:$F$991,ORDERS!$B$8:$B$991,"SALE",ORDERS!$D$8:$D$991,"&lt;="&amp;TODAY(),ORDERS!$E$8:$E$991,$A118)*$C118,0))</f>
        <v/>
      </c>
      <c r="F118" s="59" t="str">
        <f t="array" ref="F118">IF($B118="","",IFERROR(INDEX('RAW MATERIALS'!$F$5:$F$15,MATCH($B118,'RAW MATERIALS'!$A$5:$A$16,0)),0))</f>
        <v/>
      </c>
      <c r="G118" s="59" t="str">
        <f t="shared" si="4"/>
        <v/>
      </c>
    </row>
    <row r="119" ht="15.75" customHeight="1">
      <c r="A119" s="59"/>
      <c r="B119" s="59"/>
      <c r="E119" s="59" t="str">
        <f>IF(OR($A119="",$B119="",$C119=""),"",IFERROR(SUMIFS(ORDERS!$F$8:$F$991,ORDERS!$B$8:$B$991,"SALE",ORDERS!$D$8:$D$991,"&lt;="&amp;TODAY(),ORDERS!$E$8:$E$991,$A119)*$C119,0))</f>
        <v/>
      </c>
      <c r="F119" s="59" t="str">
        <f t="array" ref="F119">IF($B119="","",IFERROR(INDEX('RAW MATERIALS'!$F$5:$F$15,MATCH($B119,'RAW MATERIALS'!$A$5:$A$16,0)),0))</f>
        <v/>
      </c>
      <c r="G119" s="59" t="str">
        <f t="shared" si="4"/>
        <v/>
      </c>
    </row>
    <row r="120" ht="15.75" customHeight="1">
      <c r="A120" s="59"/>
      <c r="B120" s="59"/>
      <c r="E120" s="59" t="str">
        <f>IF(OR($A120="",$B120="",$C120=""),"",IFERROR(SUMIFS(ORDERS!$F$8:$F$991,ORDERS!$B$8:$B$991,"SALE",ORDERS!$D$8:$D$991,"&lt;="&amp;TODAY(),ORDERS!$E$8:$E$991,$A120)*$C120,0))</f>
        <v/>
      </c>
      <c r="F120" s="59" t="str">
        <f t="array" ref="F120">IF($B120="","",IFERROR(INDEX('RAW MATERIALS'!$F$5:$F$15,MATCH($B120,'RAW MATERIALS'!$A$5:$A$16,0)),0))</f>
        <v/>
      </c>
      <c r="G120" s="59" t="str">
        <f t="shared" si="4"/>
        <v/>
      </c>
    </row>
    <row r="121" ht="15.75" customHeight="1">
      <c r="A121" s="59"/>
      <c r="B121" s="59"/>
      <c r="E121" s="59" t="str">
        <f>IF(OR($A121="",$B121="",$C121=""),"",IFERROR(SUMIFS(ORDERS!$F$8:$F$991,ORDERS!$B$8:$B$991,"SALE",ORDERS!$D$8:$D$991,"&lt;="&amp;TODAY(),ORDERS!$E$8:$E$991,$A121)*$C121,0))</f>
        <v/>
      </c>
      <c r="F121" s="59" t="str">
        <f t="array" ref="F121">IF($B121="","",IFERROR(INDEX('RAW MATERIALS'!$F$5:$F$15,MATCH($B121,'RAW MATERIALS'!$A$5:$A$16,0)),0))</f>
        <v/>
      </c>
      <c r="G121" s="59" t="str">
        <f t="shared" si="4"/>
        <v/>
      </c>
    </row>
    <row r="122" ht="15.75" customHeight="1">
      <c r="A122" s="59"/>
      <c r="B122" s="59"/>
      <c r="E122" s="59" t="str">
        <f>IF(OR($A122="",$B122="",$C122=""),"",IFERROR(SUMIFS(ORDERS!$F$8:$F$991,ORDERS!$B$8:$B$991,"SALE",ORDERS!$D$8:$D$991,"&lt;="&amp;TODAY(),ORDERS!$E$8:$E$991,$A122)*$C122,0))</f>
        <v/>
      </c>
      <c r="F122" s="59" t="str">
        <f t="array" ref="F122">IF($B122="","",IFERROR(INDEX('RAW MATERIALS'!$F$5:$F$15,MATCH($B122,'RAW MATERIALS'!$A$5:$A$16,0)),0))</f>
        <v/>
      </c>
      <c r="G122" s="59" t="str">
        <f t="shared" si="4"/>
        <v/>
      </c>
    </row>
    <row r="123" ht="15.75" customHeight="1">
      <c r="A123" s="59"/>
      <c r="B123" s="59"/>
      <c r="E123" s="59" t="str">
        <f>IF(OR($A123="",$B123="",$C123=""),"",IFERROR(SUMIFS(ORDERS!$F$8:$F$991,ORDERS!$B$8:$B$991,"SALE",ORDERS!$D$8:$D$991,"&lt;="&amp;TODAY(),ORDERS!$E$8:$E$991,$A123)*$C123,0))</f>
        <v/>
      </c>
      <c r="F123" s="59" t="str">
        <f t="array" ref="F123">IF($B123="","",IFERROR(INDEX('RAW MATERIALS'!$F$5:$F$15,MATCH($B123,'RAW MATERIALS'!$A$5:$A$16,0)),0))</f>
        <v/>
      </c>
      <c r="G123" s="59" t="str">
        <f t="shared" si="4"/>
        <v/>
      </c>
    </row>
    <row r="124" ht="15.75" customHeight="1">
      <c r="A124" s="59"/>
      <c r="B124" s="59"/>
      <c r="E124" s="59" t="str">
        <f>IF(OR($A124="",$B124="",$C124=""),"",IFERROR(SUMIFS(ORDERS!$F$8:$F$991,ORDERS!$B$8:$B$991,"SALE",ORDERS!$D$8:$D$991,"&lt;="&amp;TODAY(),ORDERS!$E$8:$E$991,$A124)*$C124,0))</f>
        <v/>
      </c>
      <c r="F124" s="59" t="str">
        <f t="array" ref="F124">IF($B124="","",IFERROR(INDEX('RAW MATERIALS'!$F$5:$F$15,MATCH($B124,'RAW MATERIALS'!$A$5:$A$16,0)),0))</f>
        <v/>
      </c>
      <c r="G124" s="59" t="str">
        <f t="shared" si="4"/>
        <v/>
      </c>
    </row>
    <row r="125" ht="15.75" customHeight="1">
      <c r="A125" s="59"/>
      <c r="B125" s="59"/>
      <c r="E125" s="59" t="str">
        <f>IF(OR($A125="",$B125="",$C125=""),"",IFERROR(SUMIFS(ORDERS!$F$8:$F$991,ORDERS!$B$8:$B$991,"SALE",ORDERS!$D$8:$D$991,"&lt;="&amp;TODAY(),ORDERS!$E$8:$E$991,$A125)*$C125,0))</f>
        <v/>
      </c>
      <c r="F125" s="59" t="str">
        <f t="array" ref="F125">IF($B125="","",IFERROR(INDEX('RAW MATERIALS'!$F$5:$F$15,MATCH($B125,'RAW MATERIALS'!$A$5:$A$16,0)),0))</f>
        <v/>
      </c>
      <c r="G125" s="59" t="str">
        <f t="shared" si="4"/>
        <v/>
      </c>
    </row>
    <row r="126" ht="15.75" customHeight="1">
      <c r="A126" s="59"/>
      <c r="B126" s="59"/>
      <c r="E126" s="59" t="str">
        <f>IF(OR($A126="",$B126="",$C126=""),"",IFERROR(SUMIFS(ORDERS!$F$8:$F$991,ORDERS!$B$8:$B$991,"SALE",ORDERS!$D$8:$D$991,"&lt;="&amp;TODAY(),ORDERS!$E$8:$E$991,$A126)*$C126,0))</f>
        <v/>
      </c>
      <c r="F126" s="59" t="str">
        <f t="array" ref="F126">IF($B126="","",IFERROR(INDEX('RAW MATERIALS'!$F$5:$F$15,MATCH($B126,'RAW MATERIALS'!$A$5:$A$16,0)),0))</f>
        <v/>
      </c>
      <c r="G126" s="59" t="str">
        <f t="shared" si="4"/>
        <v/>
      </c>
    </row>
    <row r="127" ht="15.75" customHeight="1">
      <c r="A127" s="59"/>
      <c r="B127" s="59"/>
      <c r="E127" s="59" t="str">
        <f>IF(OR($A127="",$B127="",$C127=""),"",IFERROR(SUMIFS(ORDERS!$F$8:$F$991,ORDERS!$B$8:$B$991,"SALE",ORDERS!$D$8:$D$991,"&lt;="&amp;TODAY(),ORDERS!$E$8:$E$991,$A127)*$C127,0))</f>
        <v/>
      </c>
      <c r="F127" s="59" t="str">
        <f t="array" ref="F127">IF($B127="","",IFERROR(INDEX('RAW MATERIALS'!$F$5:$F$15,MATCH($B127,'RAW MATERIALS'!$A$5:$A$16,0)),0))</f>
        <v/>
      </c>
      <c r="G127" s="59" t="str">
        <f t="shared" si="4"/>
        <v/>
      </c>
    </row>
    <row r="128" ht="15.75" customHeight="1">
      <c r="A128" s="59"/>
      <c r="B128" s="59"/>
      <c r="E128" s="59" t="str">
        <f>IF(OR($A128="",$B128="",$C128=""),"",IFERROR(SUMIFS(ORDERS!$F$8:$F$991,ORDERS!$B$8:$B$991,"SALE",ORDERS!$D$8:$D$991,"&lt;="&amp;TODAY(),ORDERS!$E$8:$E$991,$A128)*$C128,0))</f>
        <v/>
      </c>
      <c r="F128" s="59" t="str">
        <f t="array" ref="F128">IF($B128="","",IFERROR(INDEX('RAW MATERIALS'!$F$5:$F$15,MATCH($B128,'RAW MATERIALS'!$A$5:$A$16,0)),0))</f>
        <v/>
      </c>
      <c r="G128" s="59" t="str">
        <f t="shared" si="4"/>
        <v/>
      </c>
    </row>
    <row r="129" ht="15.75" customHeight="1">
      <c r="A129" s="59"/>
      <c r="B129" s="59"/>
      <c r="E129" s="59" t="str">
        <f>IF(OR($A129="",$B129="",$C129=""),"",IFERROR(SUMIFS(ORDERS!$F$8:$F$991,ORDERS!$B$8:$B$991,"SALE",ORDERS!$D$8:$D$991,"&lt;="&amp;TODAY(),ORDERS!$E$8:$E$991,$A129)*$C129,0))</f>
        <v/>
      </c>
      <c r="F129" s="59" t="str">
        <f t="array" ref="F129">IF($B129="","",IFERROR(INDEX('RAW MATERIALS'!$F$5:$F$15,MATCH($B129,'RAW MATERIALS'!$A$5:$A$16,0)),0))</f>
        <v/>
      </c>
      <c r="G129" s="59" t="str">
        <f t="shared" si="4"/>
        <v/>
      </c>
    </row>
    <row r="130" ht="15.75" customHeight="1">
      <c r="A130" s="59"/>
      <c r="B130" s="59"/>
      <c r="E130" s="59" t="str">
        <f>IF(OR($A130="",$B130="",$C130=""),"",IFERROR(SUMIFS(ORDERS!$F$8:$F$991,ORDERS!$B$8:$B$991,"SALE",ORDERS!$D$8:$D$991,"&lt;="&amp;TODAY(),ORDERS!$E$8:$E$991,$A130)*$C130,0))</f>
        <v/>
      </c>
      <c r="F130" s="59" t="str">
        <f t="array" ref="F130">IF($B130="","",IFERROR(INDEX('RAW MATERIALS'!$F$5:$F$15,MATCH($B130,'RAW MATERIALS'!$A$5:$A$16,0)),0))</f>
        <v/>
      </c>
      <c r="G130" s="59" t="str">
        <f t="shared" si="4"/>
        <v/>
      </c>
    </row>
    <row r="131" ht="15.75" customHeight="1">
      <c r="A131" s="59"/>
      <c r="B131" s="59"/>
      <c r="E131" s="59" t="str">
        <f>IF(OR($A131="",$B131="",$C131=""),"",IFERROR(SUMIFS(ORDERS!$F$8:$F$991,ORDERS!$B$8:$B$991,"SALE",ORDERS!$D$8:$D$991,"&lt;="&amp;TODAY(),ORDERS!$E$8:$E$991,$A131)*$C131,0))</f>
        <v/>
      </c>
      <c r="F131" s="59" t="str">
        <f t="array" ref="F131">IF($B131="","",IFERROR(INDEX('RAW MATERIALS'!$F$5:$F$15,MATCH($B131,'RAW MATERIALS'!$A$5:$A$16,0)),0))</f>
        <v/>
      </c>
      <c r="G131" s="59" t="str">
        <f t="shared" si="4"/>
        <v/>
      </c>
    </row>
    <row r="132" ht="15.75" customHeight="1">
      <c r="A132" s="59"/>
      <c r="B132" s="59"/>
      <c r="E132" s="59" t="str">
        <f>IF(OR($A132="",$B132="",$C132=""),"",IFERROR(SUMIFS(ORDERS!$F$8:$F$991,ORDERS!$B$8:$B$991,"SALE",ORDERS!$D$8:$D$991,"&lt;="&amp;TODAY(),ORDERS!$E$8:$E$991,$A132)*$C132,0))</f>
        <v/>
      </c>
      <c r="F132" s="59" t="str">
        <f t="array" ref="F132">IF($B132="","",IFERROR(INDEX('RAW MATERIALS'!$F$5:$F$15,MATCH($B132,'RAW MATERIALS'!$A$5:$A$16,0)),0))</f>
        <v/>
      </c>
      <c r="G132" s="59" t="str">
        <f t="shared" si="4"/>
        <v/>
      </c>
    </row>
    <row r="133" ht="15.75" customHeight="1">
      <c r="A133" s="59"/>
      <c r="B133" s="59"/>
      <c r="E133" s="59" t="str">
        <f>IF(OR($A133="",$B133="",$C133=""),"",IFERROR(SUMIFS(ORDERS!$F$8:$F$991,ORDERS!$B$8:$B$991,"SALE",ORDERS!$D$8:$D$991,"&lt;="&amp;TODAY(),ORDERS!$E$8:$E$991,$A133)*$C133,0))</f>
        <v/>
      </c>
      <c r="F133" s="59" t="str">
        <f t="array" ref="F133">IF($B133="","",IFERROR(INDEX('RAW MATERIALS'!$F$5:$F$15,MATCH($B133,'RAW MATERIALS'!$A$5:$A$16,0)),0))</f>
        <v/>
      </c>
      <c r="G133" s="59" t="str">
        <f t="shared" si="4"/>
        <v/>
      </c>
    </row>
    <row r="134" ht="15.75" customHeight="1">
      <c r="A134" s="59"/>
      <c r="B134" s="59"/>
      <c r="E134" s="59" t="str">
        <f>IF(OR($A134="",$B134="",$C134=""),"",IFERROR(SUMIFS(ORDERS!$F$8:$F$991,ORDERS!$B$8:$B$991,"SALE",ORDERS!$D$8:$D$991,"&lt;="&amp;TODAY(),ORDERS!$E$8:$E$991,$A134)*$C134,0))</f>
        <v/>
      </c>
      <c r="F134" s="59" t="str">
        <f t="array" ref="F134">IF($B134="","",IFERROR(INDEX('RAW MATERIALS'!$F$5:$F$15,MATCH($B134,'RAW MATERIALS'!$A$5:$A$16,0)),0))</f>
        <v/>
      </c>
      <c r="G134" s="59" t="str">
        <f t="shared" si="4"/>
        <v/>
      </c>
    </row>
    <row r="135" ht="15.75" customHeight="1">
      <c r="A135" s="59"/>
      <c r="B135" s="59"/>
      <c r="E135" s="59" t="str">
        <f>IF(OR($A135="",$B135="",$C135=""),"",IFERROR(SUMIFS(ORDERS!$F$8:$F$991,ORDERS!$B$8:$B$991,"SALE",ORDERS!$D$8:$D$991,"&lt;="&amp;TODAY(),ORDERS!$E$8:$E$991,$A135)*$C135,0))</f>
        <v/>
      </c>
      <c r="F135" s="59" t="str">
        <f t="array" ref="F135">IF($B135="","",IFERROR(INDEX('RAW MATERIALS'!$F$5:$F$15,MATCH($B135,'RAW MATERIALS'!$A$5:$A$16,0)),0))</f>
        <v/>
      </c>
      <c r="G135" s="59" t="str">
        <f t="shared" si="4"/>
        <v/>
      </c>
    </row>
    <row r="136" ht="15.75" customHeight="1">
      <c r="A136" s="59"/>
      <c r="B136" s="59"/>
      <c r="E136" s="59" t="str">
        <f>IF(OR($A136="",$B136="",$C136=""),"",IFERROR(SUMIFS(ORDERS!$F$8:$F$991,ORDERS!$B$8:$B$991,"SALE",ORDERS!$D$8:$D$991,"&lt;="&amp;TODAY(),ORDERS!$E$8:$E$991,$A136)*$C136,0))</f>
        <v/>
      </c>
      <c r="F136" s="59" t="str">
        <f t="array" ref="F136">IF($B136="","",IFERROR(INDEX('RAW MATERIALS'!$F$5:$F$15,MATCH($B136,'RAW MATERIALS'!$A$5:$A$16,0)),0))</f>
        <v/>
      </c>
      <c r="G136" s="59" t="str">
        <f t="shared" si="4"/>
        <v/>
      </c>
    </row>
    <row r="137" ht="15.75" customHeight="1">
      <c r="A137" s="59"/>
      <c r="B137" s="59"/>
      <c r="E137" s="59" t="str">
        <f>IF(OR($A137="",$B137="",$C137=""),"",IFERROR(SUMIFS(ORDERS!$F$8:$F$991,ORDERS!$B$8:$B$991,"SALE",ORDERS!$D$8:$D$991,"&lt;="&amp;TODAY(),ORDERS!$E$8:$E$991,$A137)*$C137,0))</f>
        <v/>
      </c>
      <c r="F137" s="59" t="str">
        <f t="array" ref="F137">IF($B137="","",IFERROR(INDEX('RAW MATERIALS'!$F$5:$F$15,MATCH($B137,'RAW MATERIALS'!$A$5:$A$16,0)),0))</f>
        <v/>
      </c>
      <c r="G137" s="59" t="str">
        <f t="shared" si="4"/>
        <v/>
      </c>
    </row>
    <row r="138" ht="15.75" customHeight="1">
      <c r="A138" s="59"/>
      <c r="B138" s="59"/>
      <c r="E138" s="59" t="str">
        <f>IF(OR($A138="",$B138="",$C138=""),"",IFERROR(SUMIFS(ORDERS!$F$8:$F$991,ORDERS!$B$8:$B$991,"SALE",ORDERS!$D$8:$D$991,"&lt;="&amp;TODAY(),ORDERS!$E$8:$E$991,$A138)*$C138,0))</f>
        <v/>
      </c>
      <c r="F138" s="59" t="str">
        <f t="array" ref="F138">IF($B138="","",IFERROR(INDEX('RAW MATERIALS'!$F$5:$F$15,MATCH($B138,'RAW MATERIALS'!$A$5:$A$16,0)),0))</f>
        <v/>
      </c>
      <c r="G138" s="59" t="str">
        <f t="shared" si="4"/>
        <v/>
      </c>
    </row>
    <row r="139" ht="15.75" customHeight="1">
      <c r="A139" s="59"/>
      <c r="B139" s="59"/>
      <c r="E139" s="59" t="str">
        <f>IF(OR($A139="",$B139="",$C139=""),"",IFERROR(SUMIFS(ORDERS!$F$8:$F$991,ORDERS!$B$8:$B$991,"SALE",ORDERS!$D$8:$D$991,"&lt;="&amp;TODAY(),ORDERS!$E$8:$E$991,$A139)*$C139,0))</f>
        <v/>
      </c>
      <c r="F139" s="59" t="str">
        <f t="array" ref="F139">IF($B139="","",IFERROR(INDEX('RAW MATERIALS'!$F$5:$F$15,MATCH($B139,'RAW MATERIALS'!$A$5:$A$16,0)),0))</f>
        <v/>
      </c>
      <c r="G139" s="59" t="str">
        <f t="shared" si="4"/>
        <v/>
      </c>
    </row>
    <row r="140" ht="15.75" customHeight="1">
      <c r="A140" s="59"/>
      <c r="B140" s="59"/>
      <c r="E140" s="59" t="str">
        <f>IF(OR($A140="",$B140="",$C140=""),"",IFERROR(SUMIFS(ORDERS!$F$8:$F$991,ORDERS!$B$8:$B$991,"SALE",ORDERS!$D$8:$D$991,"&lt;="&amp;TODAY(),ORDERS!$E$8:$E$991,$A140)*$C140,0))</f>
        <v/>
      </c>
      <c r="F140" s="59" t="str">
        <f t="array" ref="F140">IF($B140="","",IFERROR(INDEX('RAW MATERIALS'!$F$5:$F$15,MATCH($B140,'RAW MATERIALS'!$A$5:$A$16,0)),0))</f>
        <v/>
      </c>
      <c r="G140" s="59" t="str">
        <f t="shared" si="4"/>
        <v/>
      </c>
    </row>
    <row r="141" ht="15.75" customHeight="1">
      <c r="A141" s="59"/>
      <c r="B141" s="59"/>
      <c r="E141" s="59" t="str">
        <f>IF(OR($A141="",$B141="",$C141=""),"",IFERROR(SUMIFS(ORDERS!$F$8:$F$991,ORDERS!$B$8:$B$991,"SALE",ORDERS!$D$8:$D$991,"&lt;="&amp;TODAY(),ORDERS!$E$8:$E$991,$A141)*$C141,0))</f>
        <v/>
      </c>
      <c r="F141" s="59" t="str">
        <f t="array" ref="F141">IF($B141="","",IFERROR(INDEX('RAW MATERIALS'!$F$5:$F$15,MATCH($B141,'RAW MATERIALS'!$A$5:$A$16,0)),0))</f>
        <v/>
      </c>
      <c r="G141" s="59" t="str">
        <f t="shared" si="4"/>
        <v/>
      </c>
    </row>
    <row r="142" ht="15.75" customHeight="1">
      <c r="A142" s="59"/>
      <c r="B142" s="59"/>
      <c r="E142" s="59" t="str">
        <f>IF(OR($A142="",$B142="",$C142=""),"",IFERROR(SUMIFS(ORDERS!$F$8:$F$991,ORDERS!$B$8:$B$991,"SALE",ORDERS!$D$8:$D$991,"&lt;="&amp;TODAY(),ORDERS!$E$8:$E$991,$A142)*$C142,0))</f>
        <v/>
      </c>
      <c r="F142" s="59" t="str">
        <f t="array" ref="F142">IF($B142="","",IFERROR(INDEX('RAW MATERIALS'!$F$5:$F$15,MATCH($B142,'RAW MATERIALS'!$A$5:$A$16,0)),0))</f>
        <v/>
      </c>
      <c r="G142" s="59" t="str">
        <f t="shared" si="4"/>
        <v/>
      </c>
    </row>
    <row r="143" ht="15.75" customHeight="1">
      <c r="A143" s="59"/>
      <c r="B143" s="59"/>
      <c r="E143" s="59" t="str">
        <f>IF(OR($A143="",$B143="",$C143=""),"",IFERROR(SUMIFS(ORDERS!$F$8:$F$991,ORDERS!$B$8:$B$991,"SALE",ORDERS!$D$8:$D$991,"&lt;="&amp;TODAY(),ORDERS!$E$8:$E$991,$A143)*$C143,0))</f>
        <v/>
      </c>
      <c r="F143" s="59" t="str">
        <f t="array" ref="F143">IF($B143="","",IFERROR(INDEX('RAW MATERIALS'!$F$5:$F$15,MATCH($B143,'RAW MATERIALS'!$A$5:$A$16,0)),0))</f>
        <v/>
      </c>
      <c r="G143" s="59" t="str">
        <f t="shared" si="4"/>
        <v/>
      </c>
    </row>
    <row r="144" ht="15.75" customHeight="1">
      <c r="A144" s="59"/>
      <c r="B144" s="59"/>
      <c r="E144" s="59" t="str">
        <f>IF(OR($A144="",$B144="",$C144=""),"",IFERROR(SUMIFS(ORDERS!$F$8:$F$991,ORDERS!$B$8:$B$991,"SALE",ORDERS!$D$8:$D$991,"&lt;="&amp;TODAY(),ORDERS!$E$8:$E$991,$A144)*$C144,0))</f>
        <v/>
      </c>
      <c r="F144" s="59" t="str">
        <f t="array" ref="F144">IF($B144="","",IFERROR(INDEX('RAW MATERIALS'!$F$5:$F$15,MATCH($B144,'RAW MATERIALS'!$A$5:$A$16,0)),0))</f>
        <v/>
      </c>
      <c r="G144" s="59" t="str">
        <f t="shared" si="4"/>
        <v/>
      </c>
    </row>
    <row r="145" ht="15.75" customHeight="1">
      <c r="A145" s="59"/>
      <c r="B145" s="59"/>
      <c r="E145" s="59" t="str">
        <f>IF(OR($A145="",$B145="",$C145=""),"",IFERROR(SUMIFS(ORDERS!$F$8:$F$991,ORDERS!$B$8:$B$991,"SALE",ORDERS!$D$8:$D$991,"&lt;="&amp;TODAY(),ORDERS!$E$8:$E$991,$A145)*$C145,0))</f>
        <v/>
      </c>
      <c r="F145" s="59" t="str">
        <f t="array" ref="F145">IF($B145="","",IFERROR(INDEX('RAW MATERIALS'!$F$5:$F$15,MATCH($B145,'RAW MATERIALS'!$A$5:$A$16,0)),0))</f>
        <v/>
      </c>
      <c r="G145" s="59" t="str">
        <f t="shared" si="4"/>
        <v/>
      </c>
    </row>
    <row r="146" ht="15.75" customHeight="1">
      <c r="A146" s="59"/>
      <c r="B146" s="59"/>
      <c r="E146" s="59" t="str">
        <f>IF(OR($A146="",$B146="",$C146=""),"",IFERROR(SUMIFS(ORDERS!$F$8:$F$991,ORDERS!$B$8:$B$991,"SALE",ORDERS!$D$8:$D$991,"&lt;="&amp;TODAY(),ORDERS!$E$8:$E$991,$A146)*$C146,0))</f>
        <v/>
      </c>
      <c r="F146" s="59" t="str">
        <f t="array" ref="F146">IF($B146="","",IFERROR(INDEX('RAW MATERIALS'!$F$5:$F$15,MATCH($B146,'RAW MATERIALS'!$A$5:$A$16,0)),0))</f>
        <v/>
      </c>
      <c r="G146" s="59" t="str">
        <f t="shared" si="4"/>
        <v/>
      </c>
    </row>
    <row r="147" ht="15.75" customHeight="1">
      <c r="A147" s="59"/>
      <c r="B147" s="59"/>
      <c r="E147" s="59" t="str">
        <f>IF(OR($A147="",$B147="",$C147=""),"",IFERROR(SUMIFS(ORDERS!$F$8:$F$991,ORDERS!$B$8:$B$991,"SALE",ORDERS!$D$8:$D$991,"&lt;="&amp;TODAY(),ORDERS!$E$8:$E$991,$A147)*$C147,0))</f>
        <v/>
      </c>
      <c r="F147" s="59" t="str">
        <f t="array" ref="F147">IF($B147="","",IFERROR(INDEX('RAW MATERIALS'!$F$5:$F$15,MATCH($B147,'RAW MATERIALS'!$A$5:$A$16,0)),0))</f>
        <v/>
      </c>
      <c r="G147" s="59" t="str">
        <f t="shared" si="4"/>
        <v/>
      </c>
    </row>
    <row r="148" ht="15.75" customHeight="1">
      <c r="A148" s="59"/>
      <c r="B148" s="59"/>
      <c r="E148" s="59" t="str">
        <f>IF(OR($A148="",$B148="",$C148=""),"",IFERROR(SUMIFS(ORDERS!$F$8:$F$991,ORDERS!$B$8:$B$991,"SALE",ORDERS!$D$8:$D$991,"&lt;="&amp;TODAY(),ORDERS!$E$8:$E$991,$A148)*$C148,0))</f>
        <v/>
      </c>
      <c r="F148" s="59" t="str">
        <f t="array" ref="F148">IF($B148="","",IFERROR(INDEX('RAW MATERIALS'!$F$5:$F$15,MATCH($B148,'RAW MATERIALS'!$A$5:$A$16,0)),0))</f>
        <v/>
      </c>
      <c r="G148" s="59" t="str">
        <f t="shared" si="4"/>
        <v/>
      </c>
    </row>
    <row r="149" ht="15.75" customHeight="1">
      <c r="A149" s="59"/>
      <c r="B149" s="59"/>
      <c r="E149" s="59" t="str">
        <f>IF(OR($A149="",$B149="",$C149=""),"",IFERROR(SUMIFS(ORDERS!$F$8:$F$991,ORDERS!$B$8:$B$991,"SALE",ORDERS!$D$8:$D$991,"&lt;="&amp;TODAY(),ORDERS!$E$8:$E$991,$A149)*$C149,0))</f>
        <v/>
      </c>
      <c r="F149" s="59" t="str">
        <f t="array" ref="F149">IF($B149="","",IFERROR(INDEX('RAW MATERIALS'!$F$5:$F$15,MATCH($B149,'RAW MATERIALS'!$A$5:$A$16,0)),0))</f>
        <v/>
      </c>
      <c r="G149" s="59" t="str">
        <f t="shared" si="4"/>
        <v/>
      </c>
    </row>
    <row r="150" ht="15.75" customHeight="1">
      <c r="A150" s="59"/>
      <c r="B150" s="59"/>
      <c r="E150" s="59" t="str">
        <f>IF(OR($A150="",$B150="",$C150=""),"",IFERROR(SUMIFS(ORDERS!$F$8:$F$991,ORDERS!$B$8:$B$991,"SALE",ORDERS!$D$8:$D$991,"&lt;="&amp;TODAY(),ORDERS!$E$8:$E$991,$A150)*$C150,0))</f>
        <v/>
      </c>
      <c r="F150" s="59" t="str">
        <f t="array" ref="F150">IF($B150="","",IFERROR(INDEX('RAW MATERIALS'!$F$5:$F$15,MATCH($B150,'RAW MATERIALS'!$A$5:$A$16,0)),0))</f>
        <v/>
      </c>
      <c r="G150" s="59" t="str">
        <f t="shared" si="4"/>
        <v/>
      </c>
    </row>
    <row r="151" ht="15.75" customHeight="1">
      <c r="A151" s="59"/>
      <c r="B151" s="59"/>
      <c r="E151" s="59" t="str">
        <f>IF(OR($A151="",$B151="",$C151=""),"",IFERROR(SUMIFS(ORDERS!$F$8:$F$991,ORDERS!$B$8:$B$991,"SALE",ORDERS!$D$8:$D$991,"&lt;="&amp;TODAY(),ORDERS!$E$8:$E$991,$A151)*$C151,0))</f>
        <v/>
      </c>
      <c r="F151" s="59" t="str">
        <f t="array" ref="F151">IF($B151="","",IFERROR(INDEX('RAW MATERIALS'!$F$5:$F$15,MATCH($B151,'RAW MATERIALS'!$A$5:$A$16,0)),0))</f>
        <v/>
      </c>
      <c r="G151" s="59" t="str">
        <f t="shared" si="4"/>
        <v/>
      </c>
    </row>
    <row r="152" ht="15.75" customHeight="1">
      <c r="A152" s="59"/>
      <c r="B152" s="59"/>
      <c r="E152" s="59" t="str">
        <f>IF(OR($A152="",$B152="",$C152=""),"",IFERROR(SUMIFS(ORDERS!$F$8:$F$991,ORDERS!$B$8:$B$991,"SALE",ORDERS!$D$8:$D$991,"&lt;="&amp;TODAY(),ORDERS!$E$8:$E$991,$A152)*$C152,0))</f>
        <v/>
      </c>
      <c r="F152" s="59" t="str">
        <f t="array" ref="F152">IF($B152="","",IFERROR(INDEX('RAW MATERIALS'!$F$5:$F$15,MATCH($B152,'RAW MATERIALS'!$A$5:$A$16,0)),0))</f>
        <v/>
      </c>
      <c r="G152" s="59" t="str">
        <f t="shared" si="4"/>
        <v/>
      </c>
    </row>
    <row r="153" ht="15.75" customHeight="1">
      <c r="A153" s="59"/>
      <c r="B153" s="59"/>
      <c r="E153" s="59" t="str">
        <f>IF(OR($A153="",$B153="",$C153=""),"",IFERROR(SUMIFS(ORDERS!$F$8:$F$991,ORDERS!$B$8:$B$991,"SALE",ORDERS!$D$8:$D$991,"&lt;="&amp;TODAY(),ORDERS!$E$8:$E$991,$A153)*$C153,0))</f>
        <v/>
      </c>
      <c r="F153" s="59" t="str">
        <f t="array" ref="F153">IF($B153="","",IFERROR(INDEX('RAW MATERIALS'!$F$5:$F$15,MATCH($B153,'RAW MATERIALS'!$A$5:$A$16,0)),0))</f>
        <v/>
      </c>
      <c r="G153" s="59" t="str">
        <f t="shared" si="4"/>
        <v/>
      </c>
    </row>
    <row r="154" ht="15.75" customHeight="1">
      <c r="A154" s="59"/>
      <c r="B154" s="59"/>
      <c r="E154" s="59" t="str">
        <f>IF(OR($A154="",$B154="",$C154=""),"",IFERROR(SUMIFS(ORDERS!$F$8:$F$991,ORDERS!$B$8:$B$991,"SALE",ORDERS!$D$8:$D$991,"&lt;="&amp;TODAY(),ORDERS!$E$8:$E$991,$A154)*$C154,0))</f>
        <v/>
      </c>
      <c r="F154" s="59" t="str">
        <f t="array" ref="F154">IF($B154="","",IFERROR(INDEX('RAW MATERIALS'!$F$5:$F$15,MATCH($B154,'RAW MATERIALS'!$A$5:$A$16,0)),0))</f>
        <v/>
      </c>
      <c r="G154" s="59" t="str">
        <f t="shared" si="4"/>
        <v/>
      </c>
    </row>
    <row r="155" ht="15.75" customHeight="1">
      <c r="A155" s="59"/>
      <c r="B155" s="59"/>
      <c r="E155" s="59" t="str">
        <f>IF(OR($A155="",$B155="",$C155=""),"",IFERROR(SUMIFS(ORDERS!$F$8:$F$991,ORDERS!$B$8:$B$991,"SALE",ORDERS!$D$8:$D$991,"&lt;="&amp;TODAY(),ORDERS!$E$8:$E$991,$A155)*$C155,0))</f>
        <v/>
      </c>
      <c r="F155" s="59" t="str">
        <f t="array" ref="F155">IF($B155="","",IFERROR(INDEX('RAW MATERIALS'!$F$5:$F$15,MATCH($B155,'RAW MATERIALS'!$A$5:$A$16,0)),0))</f>
        <v/>
      </c>
      <c r="G155" s="59" t="str">
        <f t="shared" si="4"/>
        <v/>
      </c>
    </row>
    <row r="156" ht="15.75" customHeight="1">
      <c r="A156" s="59"/>
      <c r="B156" s="59"/>
      <c r="E156" s="59" t="str">
        <f>IF(OR($A156="",$B156="",$C156=""),"",IFERROR(SUMIFS(ORDERS!$F$8:$F$991,ORDERS!$B$8:$B$991,"SALE",ORDERS!$D$8:$D$991,"&lt;="&amp;TODAY(),ORDERS!$E$8:$E$991,$A156)*$C156,0))</f>
        <v/>
      </c>
      <c r="F156" s="59" t="str">
        <f t="array" ref="F156">IF($B156="","",IFERROR(INDEX('RAW MATERIALS'!$F$5:$F$15,MATCH($B156,'RAW MATERIALS'!$A$5:$A$16,0)),0))</f>
        <v/>
      </c>
      <c r="G156" s="59" t="str">
        <f t="shared" si="4"/>
        <v/>
      </c>
    </row>
    <row r="157" ht="15.75" customHeight="1">
      <c r="A157" s="59"/>
      <c r="B157" s="59"/>
      <c r="E157" s="59" t="str">
        <f>IF(OR($A157="",$B157="",$C157=""),"",IFERROR(SUMIFS(ORDERS!$F$8:$F$991,ORDERS!$B$8:$B$991,"SALE",ORDERS!$D$8:$D$991,"&lt;="&amp;TODAY(),ORDERS!$E$8:$E$991,$A157)*$C157,0))</f>
        <v/>
      </c>
      <c r="F157" s="59" t="str">
        <f t="array" ref="F157">IF($B157="","",IFERROR(INDEX('RAW MATERIALS'!$F$5:$F$15,MATCH($B157,'RAW MATERIALS'!$A$5:$A$16,0)),0))</f>
        <v/>
      </c>
      <c r="G157" s="59" t="str">
        <f t="shared" si="4"/>
        <v/>
      </c>
    </row>
    <row r="158" ht="15.75" customHeight="1">
      <c r="A158" s="59"/>
      <c r="B158" s="59"/>
      <c r="E158" s="59" t="str">
        <f>IF(OR($A158="",$B158="",$C158=""),"",IFERROR(SUMIFS(ORDERS!$F$8:$F$991,ORDERS!$B$8:$B$991,"SALE",ORDERS!$D$8:$D$991,"&lt;="&amp;TODAY(),ORDERS!$E$8:$E$991,$A158)*$C158,0))</f>
        <v/>
      </c>
      <c r="F158" s="59" t="str">
        <f t="array" ref="F158">IF($B158="","",IFERROR(INDEX('RAW MATERIALS'!$F$5:$F$15,MATCH($B158,'RAW MATERIALS'!$A$5:$A$16,0)),0))</f>
        <v/>
      </c>
      <c r="G158" s="59" t="str">
        <f t="shared" si="4"/>
        <v/>
      </c>
    </row>
    <row r="159" ht="15.75" customHeight="1">
      <c r="A159" s="59"/>
      <c r="B159" s="59"/>
      <c r="E159" s="59" t="str">
        <f>IF(OR($A159="",$B159="",$C159=""),"",IFERROR(SUMIFS(ORDERS!$F$8:$F$991,ORDERS!$B$8:$B$991,"SALE",ORDERS!$D$8:$D$991,"&lt;="&amp;TODAY(),ORDERS!$E$8:$E$991,$A159)*$C159,0))</f>
        <v/>
      </c>
      <c r="F159" s="59" t="str">
        <f t="array" ref="F159">IF($B159="","",IFERROR(INDEX('RAW MATERIALS'!$F$5:$F$15,MATCH($B159,'RAW MATERIALS'!$A$5:$A$16,0)),0))</f>
        <v/>
      </c>
      <c r="G159" s="59" t="str">
        <f t="shared" si="4"/>
        <v/>
      </c>
    </row>
    <row r="160" ht="15.75" customHeight="1">
      <c r="A160" s="59"/>
      <c r="B160" s="59"/>
      <c r="E160" s="59" t="str">
        <f>IF(OR($A160="",$B160="",$C160=""),"",IFERROR(SUMIFS(ORDERS!$F$8:$F$991,ORDERS!$B$8:$B$991,"SALE",ORDERS!$D$8:$D$991,"&lt;="&amp;TODAY(),ORDERS!$E$8:$E$991,$A160)*$C160,0))</f>
        <v/>
      </c>
      <c r="F160" s="59" t="str">
        <f t="array" ref="F160">IF($B160="","",IFERROR(INDEX('RAW MATERIALS'!$F$5:$F$15,MATCH($B160,'RAW MATERIALS'!$A$5:$A$16,0)),0))</f>
        <v/>
      </c>
      <c r="G160" s="59" t="str">
        <f t="shared" si="4"/>
        <v/>
      </c>
    </row>
    <row r="161" ht="15.75" customHeight="1">
      <c r="A161" s="59"/>
      <c r="B161" s="59"/>
      <c r="E161" s="59" t="str">
        <f>IF(OR($A161="",$B161="",$C161=""),"",IFERROR(SUMIFS(ORDERS!$F$8:$F$991,ORDERS!$B$8:$B$991,"SALE",ORDERS!$D$8:$D$991,"&lt;="&amp;TODAY(),ORDERS!$E$8:$E$991,$A161)*$C161,0))</f>
        <v/>
      </c>
      <c r="F161" s="59" t="str">
        <f t="array" ref="F161">IF($B161="","",IFERROR(INDEX('RAW MATERIALS'!$F$5:$F$15,MATCH($B161,'RAW MATERIALS'!$A$5:$A$16,0)),0))</f>
        <v/>
      </c>
      <c r="G161" s="59" t="str">
        <f t="shared" si="4"/>
        <v/>
      </c>
    </row>
    <row r="162" ht="15.75" customHeight="1">
      <c r="A162" s="59"/>
      <c r="B162" s="59"/>
      <c r="E162" s="59" t="str">
        <f>IF(OR($A162="",$B162="",$C162=""),"",IFERROR(SUMIFS(ORDERS!$F$8:$F$991,ORDERS!$B$8:$B$991,"SALE",ORDERS!$D$8:$D$991,"&lt;="&amp;TODAY(),ORDERS!$E$8:$E$991,$A162)*$C162,0))</f>
        <v/>
      </c>
      <c r="F162" s="59" t="str">
        <f t="array" ref="F162">IF($B162="","",IFERROR(INDEX('RAW MATERIALS'!$F$5:$F$15,MATCH($B162,'RAW MATERIALS'!$A$5:$A$16,0)),0))</f>
        <v/>
      </c>
      <c r="G162" s="59" t="str">
        <f t="shared" si="4"/>
        <v/>
      </c>
    </row>
    <row r="163" ht="15.75" customHeight="1">
      <c r="A163" s="59"/>
      <c r="B163" s="59"/>
      <c r="E163" s="59" t="str">
        <f>IF(OR($A163="",$B163="",$C163=""),"",IFERROR(SUMIFS(ORDERS!$F$8:$F$991,ORDERS!$B$8:$B$991,"SALE",ORDERS!$D$8:$D$991,"&lt;="&amp;TODAY(),ORDERS!$E$8:$E$991,$A163)*$C163,0))</f>
        <v/>
      </c>
      <c r="F163" s="59" t="str">
        <f t="array" ref="F163">IF($B163="","",IFERROR(INDEX('RAW MATERIALS'!$F$5:$F$15,MATCH($B163,'RAW MATERIALS'!$A$5:$A$16,0)),0))</f>
        <v/>
      </c>
      <c r="G163" s="59" t="str">
        <f t="shared" si="4"/>
        <v/>
      </c>
    </row>
    <row r="164" ht="15.75" customHeight="1">
      <c r="A164" s="59"/>
      <c r="B164" s="59"/>
      <c r="E164" s="59" t="str">
        <f>IF(OR($A164="",$B164="",$C164=""),"",IFERROR(SUMIFS(ORDERS!$F$8:$F$991,ORDERS!$B$8:$B$991,"SALE",ORDERS!$D$8:$D$991,"&lt;="&amp;TODAY(),ORDERS!$E$8:$E$991,$A164)*$C164,0))</f>
        <v/>
      </c>
      <c r="F164" s="59" t="str">
        <f t="array" ref="F164">IF($B164="","",IFERROR(INDEX('RAW MATERIALS'!$F$5:$F$15,MATCH($B164,'RAW MATERIALS'!$A$5:$A$16,0)),0))</f>
        <v/>
      </c>
      <c r="G164" s="59" t="str">
        <f t="shared" si="4"/>
        <v/>
      </c>
    </row>
    <row r="165" ht="15.75" customHeight="1">
      <c r="A165" s="59"/>
      <c r="B165" s="59"/>
      <c r="E165" s="59" t="str">
        <f>IF(OR($A165="",$B165="",$C165=""),"",IFERROR(SUMIFS(ORDERS!$F$8:$F$991,ORDERS!$B$8:$B$991,"SALE",ORDERS!$D$8:$D$991,"&lt;="&amp;TODAY(),ORDERS!$E$8:$E$991,$A165)*$C165,0))</f>
        <v/>
      </c>
      <c r="F165" s="59" t="str">
        <f t="array" ref="F165">IF($B165="","",IFERROR(INDEX('RAW MATERIALS'!$F$5:$F$15,MATCH($B165,'RAW MATERIALS'!$A$5:$A$16,0)),0))</f>
        <v/>
      </c>
      <c r="G165" s="59" t="str">
        <f t="shared" si="4"/>
        <v/>
      </c>
    </row>
    <row r="166" ht="15.75" customHeight="1">
      <c r="A166" s="59"/>
      <c r="B166" s="59"/>
      <c r="E166" s="59" t="str">
        <f>IF(OR($A166="",$B166="",$C166=""),"",IFERROR(SUMIFS(ORDERS!$F$8:$F$991,ORDERS!$B$8:$B$991,"SALE",ORDERS!$D$8:$D$991,"&lt;="&amp;TODAY(),ORDERS!$E$8:$E$991,$A166)*$C166,0))</f>
        <v/>
      </c>
      <c r="F166" s="59" t="str">
        <f t="array" ref="F166">IF($B166="","",IFERROR(INDEX('RAW MATERIALS'!$F$5:$F$15,MATCH($B166,'RAW MATERIALS'!$A$5:$A$16,0)),0))</f>
        <v/>
      </c>
      <c r="G166" s="59" t="str">
        <f t="shared" si="4"/>
        <v/>
      </c>
    </row>
    <row r="167" ht="15.75" customHeight="1">
      <c r="A167" s="59"/>
      <c r="B167" s="59"/>
      <c r="E167" s="59" t="str">
        <f>IF(OR($A167="",$B167="",$C167=""),"",IFERROR(SUMIFS(ORDERS!$F$8:$F$991,ORDERS!$B$8:$B$991,"SALE",ORDERS!$D$8:$D$991,"&lt;="&amp;TODAY(),ORDERS!$E$8:$E$991,$A167)*$C167,0))</f>
        <v/>
      </c>
      <c r="F167" s="59" t="str">
        <f t="array" ref="F167">IF($B167="","",IFERROR(INDEX('RAW MATERIALS'!$F$5:$F$15,MATCH($B167,'RAW MATERIALS'!$A$5:$A$16,0)),0))</f>
        <v/>
      </c>
      <c r="G167" s="59" t="str">
        <f t="shared" si="4"/>
        <v/>
      </c>
    </row>
    <row r="168" ht="15.75" customHeight="1">
      <c r="A168" s="59"/>
      <c r="B168" s="59"/>
      <c r="E168" s="59" t="str">
        <f>IF(OR($A168="",$B168="",$C168=""),"",IFERROR(SUMIFS(ORDERS!$F$8:$F$991,ORDERS!$B$8:$B$991,"SALE",ORDERS!$D$8:$D$991,"&lt;="&amp;TODAY(),ORDERS!$E$8:$E$991,$A168)*$C168,0))</f>
        <v/>
      </c>
      <c r="F168" s="59" t="str">
        <f t="array" ref="F168">IF($B168="","",IFERROR(INDEX('RAW MATERIALS'!$F$5:$F$15,MATCH($B168,'RAW MATERIALS'!$A$5:$A$16,0)),0))</f>
        <v/>
      </c>
      <c r="G168" s="59" t="str">
        <f t="shared" si="4"/>
        <v/>
      </c>
    </row>
    <row r="169" ht="15.75" customHeight="1">
      <c r="A169" s="59"/>
      <c r="B169" s="59"/>
      <c r="E169" s="59" t="str">
        <f>IF(OR($A169="",$B169="",$C169=""),"",IFERROR(SUMIFS(ORDERS!$F$8:$F$991,ORDERS!$B$8:$B$991,"SALE",ORDERS!$D$8:$D$991,"&lt;="&amp;TODAY(),ORDERS!$E$8:$E$991,$A169)*$C169,0))</f>
        <v/>
      </c>
      <c r="F169" s="59" t="str">
        <f t="array" ref="F169">IF($B169="","",IFERROR(INDEX('RAW MATERIALS'!$F$5:$F$15,MATCH($B169,'RAW MATERIALS'!$A$5:$A$16,0)),0))</f>
        <v/>
      </c>
      <c r="G169" s="59" t="str">
        <f t="shared" si="4"/>
        <v/>
      </c>
    </row>
    <row r="170" ht="15.75" customHeight="1">
      <c r="A170" s="59"/>
      <c r="B170" s="59"/>
      <c r="E170" s="59" t="str">
        <f>IF(OR($A170="",$B170="",$C170=""),"",IFERROR(SUMIFS(ORDERS!$F$8:$F$991,ORDERS!$B$8:$B$991,"SALE",ORDERS!$D$8:$D$991,"&lt;="&amp;TODAY(),ORDERS!$E$8:$E$991,$A170)*$C170,0))</f>
        <v/>
      </c>
      <c r="F170" s="59" t="str">
        <f t="array" ref="F170">IF($B170="","",IFERROR(INDEX('RAW MATERIALS'!$F$5:$F$15,MATCH($B170,'RAW MATERIALS'!$A$5:$A$16,0)),0))</f>
        <v/>
      </c>
      <c r="G170" s="59" t="str">
        <f t="shared" si="4"/>
        <v/>
      </c>
    </row>
    <row r="171" ht="15.75" customHeight="1">
      <c r="A171" s="59"/>
      <c r="B171" s="59"/>
      <c r="E171" s="59" t="str">
        <f>IF(OR($A171="",$B171="",$C171=""),"",IFERROR(SUMIFS(ORDERS!$F$8:$F$991,ORDERS!$B$8:$B$991,"SALE",ORDERS!$D$8:$D$991,"&lt;="&amp;TODAY(),ORDERS!$E$8:$E$991,$A171)*$C171,0))</f>
        <v/>
      </c>
      <c r="F171" s="59" t="str">
        <f t="array" ref="F171">IF($B171="","",IFERROR(INDEX('RAW MATERIALS'!$F$5:$F$15,MATCH($B171,'RAW MATERIALS'!$A$5:$A$16,0)),0))</f>
        <v/>
      </c>
      <c r="G171" s="59" t="str">
        <f t="shared" si="4"/>
        <v/>
      </c>
    </row>
    <row r="172" ht="15.75" customHeight="1">
      <c r="A172" s="59"/>
      <c r="B172" s="59"/>
      <c r="E172" s="59" t="str">
        <f>IF(OR($A172="",$B172="",$C172=""),"",IFERROR(SUMIFS(ORDERS!$F$8:$F$991,ORDERS!$B$8:$B$991,"SALE",ORDERS!$D$8:$D$991,"&lt;="&amp;TODAY(),ORDERS!$E$8:$E$991,$A172)*$C172,0))</f>
        <v/>
      </c>
      <c r="F172" s="59" t="str">
        <f t="array" ref="F172">IF($B172="","",IFERROR(INDEX('RAW MATERIALS'!$F$5:$F$15,MATCH($B172,'RAW MATERIALS'!$A$5:$A$16,0)),0))</f>
        <v/>
      </c>
      <c r="G172" s="59" t="str">
        <f t="shared" si="4"/>
        <v/>
      </c>
    </row>
    <row r="173" ht="15.75" customHeight="1">
      <c r="A173" s="59"/>
      <c r="B173" s="59"/>
      <c r="E173" s="59" t="str">
        <f>IF(OR($A173="",$B173="",$C173=""),"",IFERROR(SUMIFS(ORDERS!$F$8:$F$991,ORDERS!$B$8:$B$991,"SALE",ORDERS!$D$8:$D$991,"&lt;="&amp;TODAY(),ORDERS!$E$8:$E$991,$A173)*$C173,0))</f>
        <v/>
      </c>
      <c r="F173" s="59" t="str">
        <f t="array" ref="F173">IF($B173="","",IFERROR(INDEX('RAW MATERIALS'!$F$5:$F$15,MATCH($B173,'RAW MATERIALS'!$A$5:$A$16,0)),0))</f>
        <v/>
      </c>
      <c r="G173" s="59" t="str">
        <f t="shared" si="4"/>
        <v/>
      </c>
    </row>
    <row r="174" ht="15.75" customHeight="1">
      <c r="A174" s="59"/>
      <c r="B174" s="59"/>
      <c r="E174" s="59" t="str">
        <f>IF(OR($A174="",$B174="",$C174=""),"",IFERROR(SUMIFS(ORDERS!$F$8:$F$991,ORDERS!$B$8:$B$991,"SALE",ORDERS!$D$8:$D$991,"&lt;="&amp;TODAY(),ORDERS!$E$8:$E$991,$A174)*$C174,0))</f>
        <v/>
      </c>
      <c r="F174" s="59" t="str">
        <f t="array" ref="F174">IF($B174="","",IFERROR(INDEX('RAW MATERIALS'!$F$5:$F$15,MATCH($B174,'RAW MATERIALS'!$A$5:$A$16,0)),0))</f>
        <v/>
      </c>
      <c r="G174" s="59" t="str">
        <f t="shared" si="4"/>
        <v/>
      </c>
    </row>
    <row r="175" ht="15.75" customHeight="1">
      <c r="A175" s="59"/>
      <c r="B175" s="59"/>
      <c r="E175" s="59" t="str">
        <f>IF(OR($A175="",$B175="",$C175=""),"",IFERROR(SUMIFS(ORDERS!$F$8:$F$991,ORDERS!$B$8:$B$991,"SALE",ORDERS!$D$8:$D$991,"&lt;="&amp;TODAY(),ORDERS!$E$8:$E$991,$A175)*$C175,0))</f>
        <v/>
      </c>
      <c r="F175" s="59" t="str">
        <f t="array" ref="F175">IF($B175="","",IFERROR(INDEX('RAW MATERIALS'!$F$5:$F$15,MATCH($B175,'RAW MATERIALS'!$A$5:$A$16,0)),0))</f>
        <v/>
      </c>
      <c r="G175" s="59" t="str">
        <f t="shared" si="4"/>
        <v/>
      </c>
    </row>
    <row r="176" ht="15.75" customHeight="1">
      <c r="A176" s="59"/>
      <c r="B176" s="59"/>
      <c r="E176" s="59" t="str">
        <f>IF(OR($A176="",$B176="",$C176=""),"",IFERROR(SUMIFS(ORDERS!$F$8:$F$991,ORDERS!$B$8:$B$991,"SALE",ORDERS!$D$8:$D$991,"&lt;="&amp;TODAY(),ORDERS!$E$8:$E$991,$A176)*$C176,0))</f>
        <v/>
      </c>
      <c r="F176" s="59" t="str">
        <f t="array" ref="F176">IF($B176="","",IFERROR(INDEX('RAW MATERIALS'!$F$5:$F$15,MATCH($B176,'RAW MATERIALS'!$A$5:$A$16,0)),0))</f>
        <v/>
      </c>
      <c r="G176" s="59" t="str">
        <f t="shared" si="4"/>
        <v/>
      </c>
    </row>
    <row r="177" ht="15.75" customHeight="1">
      <c r="A177" s="59"/>
      <c r="B177" s="59"/>
      <c r="E177" s="59" t="str">
        <f>IF(OR($A177="",$B177="",$C177=""),"",IFERROR(SUMIFS(ORDERS!$F$8:$F$991,ORDERS!$B$8:$B$991,"SALE",ORDERS!$D$8:$D$991,"&lt;="&amp;TODAY(),ORDERS!$E$8:$E$991,$A177)*$C177,0))</f>
        <v/>
      </c>
      <c r="F177" s="59" t="str">
        <f t="array" ref="F177">IF($B177="","",IFERROR(INDEX('RAW MATERIALS'!$F$5:$F$15,MATCH($B177,'RAW MATERIALS'!$A$5:$A$16,0)),0))</f>
        <v/>
      </c>
      <c r="G177" s="59" t="str">
        <f t="shared" si="4"/>
        <v/>
      </c>
    </row>
    <row r="178" ht="15.75" customHeight="1">
      <c r="A178" s="59"/>
      <c r="B178" s="59"/>
      <c r="E178" s="59" t="str">
        <f>IF(OR($A178="",$B178="",$C178=""),"",IFERROR(SUMIFS(ORDERS!$F$8:$F$991,ORDERS!$B$8:$B$991,"SALE",ORDERS!$D$8:$D$991,"&lt;="&amp;TODAY(),ORDERS!$E$8:$E$991,$A178)*$C178,0))</f>
        <v/>
      </c>
      <c r="F178" s="59" t="str">
        <f t="array" ref="F178">IF($B178="","",IFERROR(INDEX('RAW MATERIALS'!$F$5:$F$15,MATCH($B178,'RAW MATERIALS'!$A$5:$A$16,0)),0))</f>
        <v/>
      </c>
      <c r="G178" s="59" t="str">
        <f t="shared" si="4"/>
        <v/>
      </c>
    </row>
    <row r="179" ht="15.75" customHeight="1">
      <c r="A179" s="59"/>
      <c r="B179" s="59"/>
      <c r="E179" s="59" t="str">
        <f>IF(OR($A179="",$B179="",$C179=""),"",IFERROR(SUMIFS(ORDERS!$F$8:$F$991,ORDERS!$B$8:$B$991,"SALE",ORDERS!$D$8:$D$991,"&lt;="&amp;TODAY(),ORDERS!$E$8:$E$991,$A179)*$C179,0))</f>
        <v/>
      </c>
      <c r="F179" s="59" t="str">
        <f t="array" ref="F179">IF($B179="","",IFERROR(INDEX('RAW MATERIALS'!$F$5:$F$15,MATCH($B179,'RAW MATERIALS'!$A$5:$A$16,0)),0))</f>
        <v/>
      </c>
      <c r="G179" s="59" t="str">
        <f t="shared" si="4"/>
        <v/>
      </c>
    </row>
    <row r="180" ht="15.75" customHeight="1">
      <c r="A180" s="59"/>
      <c r="B180" s="59"/>
      <c r="E180" s="59" t="str">
        <f>IF(OR($A180="",$B180="",$C180=""),"",IFERROR(SUMIFS(ORDERS!$F$8:$F$991,ORDERS!$B$8:$B$991,"SALE",ORDERS!$D$8:$D$991,"&lt;="&amp;TODAY(),ORDERS!$E$8:$E$991,$A180)*$C180,0))</f>
        <v/>
      </c>
      <c r="F180" s="59" t="str">
        <f t="array" ref="F180">IF($B180="","",IFERROR(INDEX('RAW MATERIALS'!$F$5:$F$15,MATCH($B180,'RAW MATERIALS'!$A$5:$A$16,0)),0))</f>
        <v/>
      </c>
      <c r="G180" s="59" t="str">
        <f t="shared" si="4"/>
        <v/>
      </c>
    </row>
    <row r="181" ht="15.75" customHeight="1">
      <c r="A181" s="59"/>
      <c r="B181" s="59"/>
      <c r="E181" s="59" t="str">
        <f>IF(OR($A181="",$B181="",$C181=""),"",IFERROR(SUMIFS(ORDERS!$F$8:$F$991,ORDERS!$B$8:$B$991,"SALE",ORDERS!$D$8:$D$991,"&lt;="&amp;TODAY(),ORDERS!$E$8:$E$991,$A181)*$C181,0))</f>
        <v/>
      </c>
      <c r="F181" s="59" t="str">
        <f t="array" ref="F181">IF($B181="","",IFERROR(INDEX('RAW MATERIALS'!$F$5:$F$15,MATCH($B181,'RAW MATERIALS'!$A$5:$A$16,0)),0))</f>
        <v/>
      </c>
      <c r="G181" s="59" t="str">
        <f t="shared" si="4"/>
        <v/>
      </c>
    </row>
    <row r="182" ht="15.75" customHeight="1">
      <c r="A182" s="59"/>
      <c r="B182" s="59"/>
      <c r="E182" s="59" t="str">
        <f>IF(OR($A182="",$B182="",$C182=""),"",IFERROR(SUMIFS(ORDERS!$F$8:$F$991,ORDERS!$B$8:$B$991,"SALE",ORDERS!$D$8:$D$991,"&lt;="&amp;TODAY(),ORDERS!$E$8:$E$991,$A182)*$C182,0))</f>
        <v/>
      </c>
      <c r="F182" s="59" t="str">
        <f t="array" ref="F182">IF($B182="","",IFERROR(INDEX('RAW MATERIALS'!$F$5:$F$15,MATCH($B182,'RAW MATERIALS'!$A$5:$A$16,0)),0))</f>
        <v/>
      </c>
      <c r="G182" s="59" t="str">
        <f t="shared" si="4"/>
        <v/>
      </c>
    </row>
    <row r="183" ht="15.75" customHeight="1">
      <c r="A183" s="59"/>
      <c r="B183" s="59"/>
      <c r="E183" s="59" t="str">
        <f>IF(OR($A183="",$B183="",$C183=""),"",IFERROR(SUMIFS(ORDERS!$F$8:$F$991,ORDERS!$B$8:$B$991,"SALE",ORDERS!$D$8:$D$991,"&lt;="&amp;TODAY(),ORDERS!$E$8:$E$991,$A183)*$C183,0))</f>
        <v/>
      </c>
      <c r="F183" s="59" t="str">
        <f t="array" ref="F183">IF($B183="","",IFERROR(INDEX('RAW MATERIALS'!$F$5:$F$15,MATCH($B183,'RAW MATERIALS'!$A$5:$A$16,0)),0))</f>
        <v/>
      </c>
      <c r="G183" s="59" t="str">
        <f t="shared" si="4"/>
        <v/>
      </c>
    </row>
    <row r="184" ht="15.75" customHeight="1">
      <c r="A184" s="59"/>
      <c r="B184" s="59"/>
      <c r="E184" s="59" t="str">
        <f>IF(OR($A184="",$B184="",$C184=""),"",IFERROR(SUMIFS(ORDERS!$F$8:$F$991,ORDERS!$B$8:$B$991,"SALE",ORDERS!$D$8:$D$991,"&lt;="&amp;TODAY(),ORDERS!$E$8:$E$991,$A184)*$C184,0))</f>
        <v/>
      </c>
      <c r="F184" s="59" t="str">
        <f t="array" ref="F184">IF($B184="","",IFERROR(INDEX('RAW MATERIALS'!$F$5:$F$15,MATCH($B184,'RAW MATERIALS'!$A$5:$A$16,0)),0))</f>
        <v/>
      </c>
      <c r="G184" s="59" t="str">
        <f t="shared" si="4"/>
        <v/>
      </c>
    </row>
    <row r="185" ht="15.75" customHeight="1">
      <c r="A185" s="59"/>
      <c r="B185" s="59"/>
      <c r="E185" s="59" t="str">
        <f>IF(OR($A185="",$B185="",$C185=""),"",IFERROR(SUMIFS(ORDERS!$F$8:$F$991,ORDERS!$B$8:$B$991,"SALE",ORDERS!$D$8:$D$991,"&lt;="&amp;TODAY(),ORDERS!$E$8:$E$991,$A185)*$C185,0))</f>
        <v/>
      </c>
      <c r="F185" s="59" t="str">
        <f t="array" ref="F185">IF($B185="","",IFERROR(INDEX('RAW MATERIALS'!$F$5:$F$15,MATCH($B185,'RAW MATERIALS'!$A$5:$A$16,0)),0))</f>
        <v/>
      </c>
      <c r="G185" s="59" t="str">
        <f t="shared" si="4"/>
        <v/>
      </c>
    </row>
    <row r="186" ht="15.75" customHeight="1">
      <c r="A186" s="59"/>
      <c r="B186" s="59"/>
      <c r="E186" s="59" t="str">
        <f>IF(OR($A186="",$B186="",$C186=""),"",IFERROR(SUMIFS(ORDERS!$F$8:$F$991,ORDERS!$B$8:$B$991,"SALE",ORDERS!$D$8:$D$991,"&lt;="&amp;TODAY(),ORDERS!$E$8:$E$991,$A186)*$C186,0))</f>
        <v/>
      </c>
      <c r="F186" s="59" t="str">
        <f t="array" ref="F186">IF($B186="","",IFERROR(INDEX('RAW MATERIALS'!$F$5:$F$15,MATCH($B186,'RAW MATERIALS'!$A$5:$A$16,0)),0))</f>
        <v/>
      </c>
      <c r="G186" s="59" t="str">
        <f t="shared" si="4"/>
        <v/>
      </c>
    </row>
    <row r="187" ht="15.75" customHeight="1">
      <c r="A187" s="59"/>
      <c r="B187" s="59"/>
      <c r="E187" s="59" t="str">
        <f>IF(OR($A187="",$B187="",$C187=""),"",IFERROR(SUMIFS(ORDERS!$F$8:$F$991,ORDERS!$B$8:$B$991,"SALE",ORDERS!$D$8:$D$991,"&lt;="&amp;TODAY(),ORDERS!$E$8:$E$991,$A187)*$C187,0))</f>
        <v/>
      </c>
      <c r="F187" s="59" t="str">
        <f t="array" ref="F187">IF($B187="","",IFERROR(INDEX('RAW MATERIALS'!$F$5:$F$15,MATCH($B187,'RAW MATERIALS'!$A$5:$A$16,0)),0))</f>
        <v/>
      </c>
      <c r="G187" s="59" t="str">
        <f t="shared" si="4"/>
        <v/>
      </c>
    </row>
    <row r="188" ht="15.75" customHeight="1">
      <c r="A188" s="59"/>
      <c r="B188" s="59"/>
      <c r="E188" s="59" t="str">
        <f>IF(OR($A188="",$B188="",$C188=""),"",IFERROR(SUMIFS(ORDERS!$F$8:$F$991,ORDERS!$B$8:$B$991,"SALE",ORDERS!$D$8:$D$991,"&lt;="&amp;TODAY(),ORDERS!$E$8:$E$991,$A188)*$C188,0))</f>
        <v/>
      </c>
      <c r="F188" s="59" t="str">
        <f t="array" ref="F188">IF($B188="","",IFERROR(INDEX('RAW MATERIALS'!$F$5:$F$15,MATCH($B188,'RAW MATERIALS'!$A$5:$A$16,0)),0))</f>
        <v/>
      </c>
      <c r="G188" s="59" t="str">
        <f t="shared" si="4"/>
        <v/>
      </c>
    </row>
    <row r="189" ht="15.75" customHeight="1">
      <c r="A189" s="59"/>
      <c r="B189" s="59"/>
      <c r="E189" s="59" t="str">
        <f>IF(OR($A189="",$B189="",$C189=""),"",IFERROR(SUMIFS(ORDERS!$F$8:$F$991,ORDERS!$B$8:$B$991,"SALE",ORDERS!$D$8:$D$991,"&lt;="&amp;TODAY(),ORDERS!$E$8:$E$991,$A189)*$C189,0))</f>
        <v/>
      </c>
      <c r="F189" s="59" t="str">
        <f t="array" ref="F189">IF($B189="","",IFERROR(INDEX('RAW MATERIALS'!$F$5:$F$15,MATCH($B189,'RAW MATERIALS'!$A$5:$A$16,0)),0))</f>
        <v/>
      </c>
      <c r="G189" s="59" t="str">
        <f t="shared" si="4"/>
        <v/>
      </c>
    </row>
    <row r="190" ht="15.75" customHeight="1">
      <c r="A190" s="59"/>
      <c r="B190" s="59"/>
      <c r="E190" s="59" t="str">
        <f>IF(OR($A190="",$B190="",$C190=""),"",IFERROR(SUMIFS(ORDERS!$F$8:$F$991,ORDERS!$B$8:$B$991,"SALE",ORDERS!$D$8:$D$991,"&lt;="&amp;TODAY(),ORDERS!$E$8:$E$991,$A190)*$C190,0))</f>
        <v/>
      </c>
      <c r="F190" s="59" t="str">
        <f t="array" ref="F190">IF($B190="","",IFERROR(INDEX('RAW MATERIALS'!$F$5:$F$15,MATCH($B190,'RAW MATERIALS'!$A$5:$A$16,0)),0))</f>
        <v/>
      </c>
      <c r="G190" s="59" t="str">
        <f t="shared" si="4"/>
        <v/>
      </c>
    </row>
    <row r="191" ht="15.75" customHeight="1">
      <c r="A191" s="59"/>
      <c r="B191" s="59"/>
      <c r="E191" s="59" t="str">
        <f>IF(OR($A191="",$B191="",$C191=""),"",IFERROR(SUMIFS(ORDERS!$F$8:$F$991,ORDERS!$B$8:$B$991,"SALE",ORDERS!$D$8:$D$991,"&lt;="&amp;TODAY(),ORDERS!$E$8:$E$991,$A191)*$C191,0))</f>
        <v/>
      </c>
      <c r="F191" s="59" t="str">
        <f t="array" ref="F191">IF($B191="","",IFERROR(INDEX('RAW MATERIALS'!$F$5:$F$15,MATCH($B191,'RAW MATERIALS'!$A$5:$A$16,0)),0))</f>
        <v/>
      </c>
      <c r="G191" s="59" t="str">
        <f t="shared" si="4"/>
        <v/>
      </c>
    </row>
    <row r="192" ht="15.75" customHeight="1">
      <c r="A192" s="59"/>
      <c r="B192" s="59"/>
      <c r="E192" s="59" t="str">
        <f>IF(OR($A192="",$B192="",$C192=""),"",IFERROR(SUMIFS(ORDERS!$F$8:$F$991,ORDERS!$B$8:$B$991,"SALE",ORDERS!$D$8:$D$991,"&lt;="&amp;TODAY(),ORDERS!$E$8:$E$991,$A192)*$C192,0))</f>
        <v/>
      </c>
      <c r="F192" s="59" t="str">
        <f t="array" ref="F192">IF($B192="","",IFERROR(INDEX('RAW MATERIALS'!$F$5:$F$15,MATCH($B192,'RAW MATERIALS'!$A$5:$A$16,0)),0))</f>
        <v/>
      </c>
      <c r="G192" s="59" t="str">
        <f t="shared" si="4"/>
        <v/>
      </c>
    </row>
    <row r="193" ht="15.75" customHeight="1">
      <c r="A193" s="59"/>
      <c r="B193" s="59"/>
      <c r="E193" s="59" t="str">
        <f>IF(OR($A193="",$B193="",$C193=""),"",IFERROR(SUMIFS(ORDERS!$F$8:$F$991,ORDERS!$B$8:$B$991,"SALE",ORDERS!$D$8:$D$991,"&lt;="&amp;TODAY(),ORDERS!$E$8:$E$991,$A193)*$C193,0))</f>
        <v/>
      </c>
      <c r="F193" s="59" t="str">
        <f t="array" ref="F193">IF($B193="","",IFERROR(INDEX('RAW MATERIALS'!$F$5:$F$15,MATCH($B193,'RAW MATERIALS'!$A$5:$A$16,0)),0))</f>
        <v/>
      </c>
      <c r="G193" s="59" t="str">
        <f t="shared" si="4"/>
        <v/>
      </c>
    </row>
    <row r="194" ht="15.75" customHeight="1">
      <c r="A194" s="59"/>
      <c r="B194" s="59"/>
      <c r="E194" s="59" t="str">
        <f>IF(OR($A194="",$B194="",$C194=""),"",IFERROR(SUMIFS(ORDERS!$F$8:$F$991,ORDERS!$B$8:$B$991,"SALE",ORDERS!$D$8:$D$991,"&lt;="&amp;TODAY(),ORDERS!$E$8:$E$991,$A194)*$C194,0))</f>
        <v/>
      </c>
      <c r="F194" s="59" t="str">
        <f t="array" ref="F194">IF($B194="","",IFERROR(INDEX('RAW MATERIALS'!$F$5:$F$15,MATCH($B194,'RAW MATERIALS'!$A$5:$A$16,0)),0))</f>
        <v/>
      </c>
      <c r="G194" s="59" t="str">
        <f t="shared" si="4"/>
        <v/>
      </c>
    </row>
    <row r="195" ht="15.75" customHeight="1">
      <c r="A195" s="59"/>
      <c r="B195" s="59"/>
      <c r="E195" s="59" t="str">
        <f>IF(OR($A195="",$B195="",$C195=""),"",IFERROR(SUMIFS(ORDERS!$F$8:$F$991,ORDERS!$B$8:$B$991,"SALE",ORDERS!$D$8:$D$991,"&lt;="&amp;TODAY(),ORDERS!$E$8:$E$991,$A195)*$C195,0))</f>
        <v/>
      </c>
      <c r="F195" s="59" t="str">
        <f t="array" ref="F195">IF($B195="","",IFERROR(INDEX('RAW MATERIALS'!$F$5:$F$15,MATCH($B195,'RAW MATERIALS'!$A$5:$A$16,0)),0))</f>
        <v/>
      </c>
      <c r="G195" s="59" t="str">
        <f t="shared" si="4"/>
        <v/>
      </c>
    </row>
    <row r="196" ht="15.75" customHeight="1">
      <c r="A196" s="59"/>
      <c r="B196" s="59"/>
      <c r="E196" s="59" t="str">
        <f>IF(OR($A196="",$B196="",$C196=""),"",IFERROR(SUMIFS(ORDERS!$F$8:$F$991,ORDERS!$B$8:$B$991,"SALE",ORDERS!$D$8:$D$991,"&lt;="&amp;TODAY(),ORDERS!$E$8:$E$991,$A196)*$C196,0))</f>
        <v/>
      </c>
      <c r="F196" s="59" t="str">
        <f t="array" ref="F196">IF($B196="","",IFERROR(INDEX('RAW MATERIALS'!$F$5:$F$15,MATCH($B196,'RAW MATERIALS'!$A$5:$A$16,0)),0))</f>
        <v/>
      </c>
      <c r="G196" s="59" t="str">
        <f t="shared" si="4"/>
        <v/>
      </c>
    </row>
    <row r="197" ht="15.75" customHeight="1">
      <c r="A197" s="59"/>
      <c r="B197" s="59"/>
      <c r="E197" s="59" t="str">
        <f>IF(OR($A197="",$B197="",$C197=""),"",IFERROR(SUMIFS(ORDERS!$F$8:$F$991,ORDERS!$B$8:$B$991,"SALE",ORDERS!$D$8:$D$991,"&lt;="&amp;TODAY(),ORDERS!$E$8:$E$991,$A197)*$C197,0))</f>
        <v/>
      </c>
      <c r="F197" s="59" t="str">
        <f t="array" ref="F197">IF($B197="","",IFERROR(INDEX('RAW MATERIALS'!$F$5:$F$15,MATCH($B197,'RAW MATERIALS'!$A$5:$A$16,0)),0))</f>
        <v/>
      </c>
      <c r="G197" s="59" t="str">
        <f t="shared" si="4"/>
        <v/>
      </c>
    </row>
    <row r="198" ht="15.75" customHeight="1">
      <c r="A198" s="59"/>
      <c r="B198" s="59"/>
      <c r="E198" s="59" t="str">
        <f>IF(OR($A198="",$B198="",$C198=""),"",IFERROR(SUMIFS(ORDERS!$F$8:$F$991,ORDERS!$B$8:$B$991,"SALE",ORDERS!$D$8:$D$991,"&lt;="&amp;TODAY(),ORDERS!$E$8:$E$991,$A198)*$C198,0))</f>
        <v/>
      </c>
      <c r="F198" s="59" t="str">
        <f t="array" ref="F198">IF($B198="","",IFERROR(INDEX('RAW MATERIALS'!$F$5:$F$15,MATCH($B198,'RAW MATERIALS'!$A$5:$A$16,0)),0))</f>
        <v/>
      </c>
      <c r="G198" s="59" t="str">
        <f t="shared" si="4"/>
        <v/>
      </c>
    </row>
    <row r="199" ht="15.75" customHeight="1">
      <c r="A199" s="59"/>
      <c r="B199" s="59"/>
      <c r="E199" s="59" t="str">
        <f>IF(OR($A199="",$B199="",$C199=""),"",IFERROR(SUMIFS(ORDERS!$F$8:$F$991,ORDERS!$B$8:$B$991,"SALE",ORDERS!$D$8:$D$991,"&lt;="&amp;TODAY(),ORDERS!$E$8:$E$991,$A199)*$C199,0))</f>
        <v/>
      </c>
      <c r="F199" s="59" t="str">
        <f t="array" ref="F199">IF($B199="","",IFERROR(INDEX('RAW MATERIALS'!$F$5:$F$15,MATCH($B199,'RAW MATERIALS'!$A$5:$A$16,0)),0))</f>
        <v/>
      </c>
      <c r="G199" s="59" t="str">
        <f t="shared" si="4"/>
        <v/>
      </c>
    </row>
    <row r="200" ht="15.75" customHeight="1">
      <c r="A200" s="59"/>
      <c r="B200" s="59"/>
      <c r="E200" s="59" t="str">
        <f>IF(OR($A200="",$B200="",$C200=""),"",IFERROR(SUMIFS(ORDERS!$F$8:$F$991,ORDERS!$B$8:$B$991,"SALE",ORDERS!$D$8:$D$991,"&lt;="&amp;TODAY(),ORDERS!$E$8:$E$991,$A200)*$C200,0))</f>
        <v/>
      </c>
      <c r="F200" s="59" t="str">
        <f t="array" ref="F200">IF($B200="","",IFERROR(INDEX('RAW MATERIALS'!$F$5:$F$15,MATCH($B200,'RAW MATERIALS'!$A$5:$A$16,0)),0))</f>
        <v/>
      </c>
      <c r="G200" s="59" t="str">
        <f t="shared" si="4"/>
        <v/>
      </c>
    </row>
    <row r="201" ht="15.75" customHeight="1">
      <c r="A201" s="59"/>
      <c r="B201" s="59"/>
      <c r="E201" s="59" t="str">
        <f>IF(OR($A201="",$B201="",$C201=""),"",IFERROR(SUMIFS(ORDERS!$F$8:$F$991,ORDERS!$B$8:$B$991,"SALE",ORDERS!$D$8:$D$991,"&lt;="&amp;TODAY(),ORDERS!$E$8:$E$991,$A201)*$C201,0))</f>
        <v/>
      </c>
      <c r="F201" s="59" t="str">
        <f t="array" ref="F201">IF($B201="","",IFERROR(INDEX('RAW MATERIALS'!$F$5:$F$15,MATCH($B201,'RAW MATERIALS'!$A$5:$A$16,0)),0))</f>
        <v/>
      </c>
      <c r="G201" s="59" t="str">
        <f t="shared" si="4"/>
        <v/>
      </c>
    </row>
    <row r="202" ht="15.75" customHeight="1">
      <c r="A202" s="59"/>
      <c r="B202" s="59"/>
      <c r="E202" s="59" t="str">
        <f>IF(OR($A202="",$B202="",$C202=""),"",IFERROR(SUMIFS(ORDERS!$F$8:$F$991,ORDERS!$B$8:$B$991,"SALE",ORDERS!$D$8:$D$991,"&lt;="&amp;TODAY(),ORDERS!$E$8:$E$991,$A202)*$C202,0))</f>
        <v/>
      </c>
      <c r="F202" s="59" t="str">
        <f t="array" ref="F202">IF($B202="","",IFERROR(INDEX('RAW MATERIALS'!$F$5:$F$15,MATCH($B202,'RAW MATERIALS'!$A$5:$A$16,0)),0))</f>
        <v/>
      </c>
      <c r="G202" s="59" t="str">
        <f t="shared" si="4"/>
        <v/>
      </c>
    </row>
    <row r="203" ht="15.75" customHeight="1">
      <c r="A203" s="59"/>
      <c r="B203" s="59"/>
      <c r="E203" s="59" t="str">
        <f>IF(OR($A203="",$B203="",$C203=""),"",IFERROR(SUMIFS(ORDERS!$F$8:$F$991,ORDERS!$B$8:$B$991,"SALE",ORDERS!$D$8:$D$991,"&lt;="&amp;TODAY(),ORDERS!$E$8:$E$991,$A203)*$C203,0))</f>
        <v/>
      </c>
      <c r="F203" s="59" t="str">
        <f t="array" ref="F203">IF($B203="","",IFERROR(INDEX('RAW MATERIALS'!$F$5:$F$15,MATCH($B203,'RAW MATERIALS'!$A$5:$A$16,0)),0))</f>
        <v/>
      </c>
      <c r="G203" s="59" t="str">
        <f t="shared" si="4"/>
        <v/>
      </c>
    </row>
    <row r="204" ht="15.75" customHeight="1">
      <c r="A204" s="59"/>
      <c r="B204" s="59"/>
      <c r="E204" s="59" t="str">
        <f>IF(OR($A204="",$B204="",$C204=""),"",IFERROR(SUMIFS(ORDERS!$F$8:$F$991,ORDERS!$B$8:$B$991,"SALE",ORDERS!$D$8:$D$991,"&lt;="&amp;TODAY(),ORDERS!$E$8:$E$991,$A204)*$C204,0))</f>
        <v/>
      </c>
      <c r="F204" s="59" t="str">
        <f t="array" ref="F204">IF($B204="","",IFERROR(INDEX('RAW MATERIALS'!$F$5:$F$15,MATCH($B204,'RAW MATERIALS'!$A$5:$A$16,0)),0))</f>
        <v/>
      </c>
      <c r="G204" s="59" t="str">
        <f t="shared" si="4"/>
        <v/>
      </c>
    </row>
    <row r="205" ht="15.75" customHeight="1">
      <c r="A205" s="59"/>
      <c r="B205" s="59"/>
      <c r="E205" s="59" t="str">
        <f>IF(OR($A205="",$B205="",$C205=""),"",IFERROR(SUMIFS(ORDERS!$F$8:$F$991,ORDERS!$B$8:$B$991,"SALE",ORDERS!$D$8:$D$991,"&lt;="&amp;TODAY(),ORDERS!$E$8:$E$991,$A205)*$C205,0))</f>
        <v/>
      </c>
      <c r="F205" s="59" t="str">
        <f t="array" ref="F205">IF($B205="","",IFERROR(INDEX('RAW MATERIALS'!$F$5:$F$15,MATCH($B205,'RAW MATERIALS'!$A$5:$A$16,0)),0))</f>
        <v/>
      </c>
      <c r="G205" s="59" t="str">
        <f t="shared" si="4"/>
        <v/>
      </c>
    </row>
    <row r="206" ht="15.75" customHeight="1">
      <c r="A206" s="59"/>
      <c r="B206" s="59"/>
      <c r="E206" s="59" t="str">
        <f>IF(OR($A206="",$B206="",$C206=""),"",IFERROR(SUMIFS(ORDERS!$F$8:$F$991,ORDERS!$B$8:$B$991,"SALE",ORDERS!$D$8:$D$991,"&lt;="&amp;TODAY(),ORDERS!$E$8:$E$991,$A206)*$C206,0))</f>
        <v/>
      </c>
      <c r="F206" s="59" t="str">
        <f t="array" ref="F206">IF($B206="","",IFERROR(INDEX('RAW MATERIALS'!$F$5:$F$15,MATCH($B206,'RAW MATERIALS'!$A$5:$A$16,0)),0))</f>
        <v/>
      </c>
      <c r="G206" s="59" t="str">
        <f t="shared" si="4"/>
        <v/>
      </c>
    </row>
    <row r="207" ht="15.75" customHeight="1">
      <c r="A207" s="59"/>
      <c r="B207" s="59"/>
      <c r="E207" s="59" t="str">
        <f>IF(OR($A207="",$B207="",$C207=""),"",IFERROR(SUMIFS(ORDERS!$F$8:$F$991,ORDERS!$B$8:$B$991,"SALE",ORDERS!$D$8:$D$991,"&lt;="&amp;TODAY(),ORDERS!$E$8:$E$991,$A207)*$C207,0))</f>
        <v/>
      </c>
      <c r="F207" s="59" t="str">
        <f t="array" ref="F207">IF($B207="","",IFERROR(INDEX('RAW MATERIALS'!$F$5:$F$15,MATCH($B207,'RAW MATERIALS'!$A$5:$A$16,0)),0))</f>
        <v/>
      </c>
      <c r="G207" s="59" t="str">
        <f t="shared" si="4"/>
        <v/>
      </c>
    </row>
    <row r="208" ht="15.75" customHeight="1">
      <c r="A208" s="59"/>
      <c r="B208" s="59"/>
      <c r="E208" s="59" t="str">
        <f>IF(OR($A208="",$B208="",$C208=""),"",IFERROR(SUMIFS(ORDERS!$F$8:$F$991,ORDERS!$B$8:$B$991,"SALE",ORDERS!$D$8:$D$991,"&lt;="&amp;TODAY(),ORDERS!$E$8:$E$991,$A208)*$C208,0))</f>
        <v/>
      </c>
      <c r="F208" s="59" t="str">
        <f t="array" ref="F208">IF($B208="","",IFERROR(INDEX('RAW MATERIALS'!$F$5:$F$15,MATCH($B208,'RAW MATERIALS'!$A$5:$A$16,0)),0))</f>
        <v/>
      </c>
      <c r="G208" s="59" t="str">
        <f t="shared" si="4"/>
        <v/>
      </c>
    </row>
    <row r="209" ht="15.75" customHeight="1">
      <c r="A209" s="59"/>
      <c r="B209" s="59"/>
      <c r="E209" s="59" t="str">
        <f>IF(OR($A209="",$B209="",$C209=""),"",IFERROR(SUMIFS(ORDERS!$F$8:$F$991,ORDERS!$B$8:$B$991,"SALE",ORDERS!$D$8:$D$991,"&lt;="&amp;TODAY(),ORDERS!$E$8:$E$991,$A209)*$C209,0))</f>
        <v/>
      </c>
      <c r="F209" s="59" t="str">
        <f t="array" ref="F209">IF($B209="","",IFERROR(INDEX('RAW MATERIALS'!$F$5:$F$15,MATCH($B209,'RAW MATERIALS'!$A$5:$A$16,0)),0))</f>
        <v/>
      </c>
      <c r="G209" s="59" t="str">
        <f t="shared" si="4"/>
        <v/>
      </c>
    </row>
    <row r="210" ht="15.75" customHeight="1">
      <c r="A210" s="59"/>
      <c r="B210" s="59"/>
      <c r="E210" s="59" t="str">
        <f>IF(OR($A210="",$B210="",$C210=""),"",IFERROR(SUMIFS(ORDERS!$F$8:$F$991,ORDERS!$B$8:$B$991,"SALE",ORDERS!$D$8:$D$991,"&lt;="&amp;TODAY(),ORDERS!$E$8:$E$991,$A210)*$C210,0))</f>
        <v/>
      </c>
      <c r="F210" s="59" t="str">
        <f t="array" ref="F210">IF($B210="","",IFERROR(INDEX('RAW MATERIALS'!$F$5:$F$15,MATCH($B210,'RAW MATERIALS'!$A$5:$A$16,0)),0))</f>
        <v/>
      </c>
      <c r="G210" s="59" t="str">
        <f t="shared" si="4"/>
        <v/>
      </c>
    </row>
    <row r="211" ht="15.75" customHeight="1">
      <c r="A211" s="59"/>
      <c r="B211" s="59"/>
      <c r="E211" s="59" t="str">
        <f>IF(OR($A211="",$B211="",$C211=""),"",IFERROR(SUMIFS(ORDERS!$F$8:$F$991,ORDERS!$B$8:$B$991,"SALE",ORDERS!$D$8:$D$991,"&lt;="&amp;TODAY(),ORDERS!$E$8:$E$991,$A211)*$C211,0))</f>
        <v/>
      </c>
      <c r="F211" s="59" t="str">
        <f t="array" ref="F211">IF($B211="","",IFERROR(INDEX('RAW MATERIALS'!$F$5:$F$15,MATCH($B211,'RAW MATERIALS'!$A$5:$A$16,0)),0))</f>
        <v/>
      </c>
      <c r="G211" s="59" t="str">
        <f t="shared" si="4"/>
        <v/>
      </c>
    </row>
    <row r="212" ht="15.75" customHeight="1">
      <c r="A212" s="59"/>
      <c r="B212" s="59"/>
      <c r="E212" s="59" t="str">
        <f>IF(OR($A212="",$B212="",$C212=""),"",IFERROR(SUMIFS(ORDERS!$F$8:$F$991,ORDERS!$B$8:$B$991,"SALE",ORDERS!$D$8:$D$991,"&lt;="&amp;TODAY(),ORDERS!$E$8:$E$991,$A212)*$C212,0))</f>
        <v/>
      </c>
      <c r="F212" s="59" t="str">
        <f t="array" ref="F212">IF($B212="","",IFERROR(INDEX('RAW MATERIALS'!$F$5:$F$15,MATCH($B212,'RAW MATERIALS'!$A$5:$A$16,0)),0))</f>
        <v/>
      </c>
      <c r="G212" s="59" t="str">
        <f t="shared" si="4"/>
        <v/>
      </c>
    </row>
    <row r="213" ht="15.75" customHeight="1">
      <c r="A213" s="59"/>
      <c r="B213" s="59"/>
      <c r="E213" s="59" t="str">
        <f>IF(OR($A213="",$B213="",$C213=""),"",IFERROR(SUMIFS(ORDERS!$F$8:$F$991,ORDERS!$B$8:$B$991,"SALE",ORDERS!$D$8:$D$991,"&lt;="&amp;TODAY(),ORDERS!$E$8:$E$991,$A213)*$C213,0))</f>
        <v/>
      </c>
      <c r="F213" s="59" t="str">
        <f t="array" ref="F213">IF($B213="","",IFERROR(INDEX('RAW MATERIALS'!$F$5:$F$15,MATCH($B213,'RAW MATERIALS'!$A$5:$A$16,0)),0))</f>
        <v/>
      </c>
      <c r="G213" s="59" t="str">
        <f t="shared" si="4"/>
        <v/>
      </c>
    </row>
    <row r="214" ht="15.75" customHeight="1">
      <c r="A214" s="59"/>
      <c r="B214" s="59"/>
      <c r="E214" s="59" t="str">
        <f>IF(OR($A214="",$B214="",$C214=""),"",IFERROR(SUMIFS(ORDERS!$F$8:$F$991,ORDERS!$B$8:$B$991,"SALE",ORDERS!$D$8:$D$991,"&lt;="&amp;TODAY(),ORDERS!$E$8:$E$991,$A214)*$C214,0))</f>
        <v/>
      </c>
      <c r="F214" s="59" t="str">
        <f t="array" ref="F214">IF($B214="","",IFERROR(INDEX('RAW MATERIALS'!$F$5:$F$15,MATCH($B214,'RAW MATERIALS'!$A$5:$A$16,0)),0))</f>
        <v/>
      </c>
      <c r="G214" s="59" t="str">
        <f t="shared" si="4"/>
        <v/>
      </c>
    </row>
    <row r="215" ht="15.75" customHeight="1">
      <c r="A215" s="59"/>
      <c r="B215" s="59"/>
      <c r="E215" s="59" t="str">
        <f>IF(OR($A215="",$B215="",$C215=""),"",IFERROR(SUMIFS(ORDERS!$F$8:$F$991,ORDERS!$B$8:$B$991,"SALE",ORDERS!$D$8:$D$991,"&lt;="&amp;TODAY(),ORDERS!$E$8:$E$991,$A215)*$C215,0))</f>
        <v/>
      </c>
      <c r="F215" s="59" t="str">
        <f t="array" ref="F215">IF($B215="","",IFERROR(INDEX('RAW MATERIALS'!$F$5:$F$15,MATCH($B215,'RAW MATERIALS'!$A$5:$A$16,0)),0))</f>
        <v/>
      </c>
      <c r="G215" s="59" t="str">
        <f t="shared" si="4"/>
        <v/>
      </c>
    </row>
    <row r="216" ht="15.75" customHeight="1">
      <c r="A216" s="59"/>
      <c r="B216" s="59"/>
      <c r="E216" s="59" t="str">
        <f>IF(OR($A216="",$B216="",$C216=""),"",IFERROR(SUMIFS(ORDERS!$F$8:$F$991,ORDERS!$B$8:$B$991,"SALE",ORDERS!$D$8:$D$991,"&lt;="&amp;TODAY(),ORDERS!$E$8:$E$991,$A216)*$C216,0))</f>
        <v/>
      </c>
      <c r="F216" s="59" t="str">
        <f t="array" ref="F216">IF($B216="","",IFERROR(INDEX('RAW MATERIALS'!$F$5:$F$15,MATCH($B216,'RAW MATERIALS'!$A$5:$A$16,0)),0))</f>
        <v/>
      </c>
      <c r="G216" s="59" t="str">
        <f t="shared" si="4"/>
        <v/>
      </c>
    </row>
    <row r="217" ht="15.75" customHeight="1">
      <c r="A217" s="59"/>
      <c r="B217" s="59"/>
      <c r="E217" s="59" t="str">
        <f>IF(OR($A217="",$B217="",$C217=""),"",IFERROR(SUMIFS(ORDERS!$F$8:$F$991,ORDERS!$B$8:$B$991,"SALE",ORDERS!$D$8:$D$991,"&lt;="&amp;TODAY(),ORDERS!$E$8:$E$991,$A217)*$C217,0))</f>
        <v/>
      </c>
      <c r="F217" s="59" t="str">
        <f t="array" ref="F217">IF($B217="","",IFERROR(INDEX('RAW MATERIALS'!$F$5:$F$15,MATCH($B217,'RAW MATERIALS'!$A$5:$A$16,0)),0))</f>
        <v/>
      </c>
      <c r="G217" s="59" t="str">
        <f t="shared" si="4"/>
        <v/>
      </c>
    </row>
    <row r="218" ht="15.75" customHeight="1">
      <c r="A218" s="59"/>
      <c r="B218" s="59"/>
      <c r="E218" s="59" t="str">
        <f>IF(OR($A218="",$B218="",$C218=""),"",IFERROR(SUMIFS(ORDERS!$F$8:$F$991,ORDERS!$B$8:$B$991,"SALE",ORDERS!$D$8:$D$991,"&lt;="&amp;TODAY(),ORDERS!$E$8:$E$991,$A218)*$C218,0))</f>
        <v/>
      </c>
      <c r="F218" s="59" t="str">
        <f t="array" ref="F218">IF($B218="","",IFERROR(INDEX('RAW MATERIALS'!$F$5:$F$15,MATCH($B218,'RAW MATERIALS'!$A$5:$A$16,0)),0))</f>
        <v/>
      </c>
      <c r="G218" s="59" t="str">
        <f t="shared" si="4"/>
        <v/>
      </c>
    </row>
    <row r="219" ht="15.75" customHeight="1">
      <c r="A219" s="59"/>
      <c r="B219" s="59"/>
      <c r="E219" s="59" t="str">
        <f>IF(OR($A219="",$B219="",$C219=""),"",IFERROR(SUMIFS(ORDERS!$F$8:$F$991,ORDERS!$B$8:$B$991,"SALE",ORDERS!$D$8:$D$991,"&lt;="&amp;TODAY(),ORDERS!$E$8:$E$991,$A219)*$C219,0))</f>
        <v/>
      </c>
      <c r="F219" s="59" t="str">
        <f t="array" ref="F219">IF($B219="","",IFERROR(INDEX('RAW MATERIALS'!$F$5:$F$15,MATCH($B219,'RAW MATERIALS'!$A$5:$A$16,0)),0))</f>
        <v/>
      </c>
      <c r="G219" s="59" t="str">
        <f t="shared" si="4"/>
        <v/>
      </c>
    </row>
    <row r="220" ht="15.75" customHeight="1">
      <c r="A220" s="59"/>
      <c r="B220" s="59"/>
      <c r="E220" s="59" t="str">
        <f>IF(OR($A220="",$B220="",$C220=""),"",IFERROR(SUMIFS(ORDERS!$F$8:$F$991,ORDERS!$B$8:$B$991,"SALE",ORDERS!$D$8:$D$991,"&lt;="&amp;TODAY(),ORDERS!$E$8:$E$991,$A220)*$C220,0))</f>
        <v/>
      </c>
      <c r="F220" s="59" t="str">
        <f t="array" ref="F220">IF($B220="","",IFERROR(INDEX('RAW MATERIALS'!$F$5:$F$15,MATCH($B220,'RAW MATERIALS'!$A$5:$A$16,0)),0))</f>
        <v/>
      </c>
      <c r="G220" s="59" t="str">
        <f t="shared" si="4"/>
        <v/>
      </c>
    </row>
    <row r="221" ht="15.75" customHeight="1">
      <c r="A221" s="59"/>
      <c r="B221" s="59"/>
      <c r="E221" s="59" t="str">
        <f>IF(OR($A221="",$B221="",$C221=""),"",IFERROR(SUMIFS(ORDERS!$F$8:$F$991,ORDERS!$B$8:$B$991,"SALE",ORDERS!$D$8:$D$991,"&lt;="&amp;TODAY(),ORDERS!$E$8:$E$991,$A221)*$C221,0))</f>
        <v/>
      </c>
      <c r="F221" s="59" t="str">
        <f t="array" ref="F221">IF($B221="","",IFERROR(INDEX('RAW MATERIALS'!$F$5:$F$15,MATCH($B221,'RAW MATERIALS'!$A$5:$A$16,0)),0))</f>
        <v/>
      </c>
      <c r="G221" s="59" t="str">
        <f t="shared" si="4"/>
        <v/>
      </c>
    </row>
    <row r="222" ht="15.75" customHeight="1">
      <c r="A222" s="59"/>
      <c r="B222" s="59"/>
      <c r="E222" s="59" t="str">
        <f>IF(OR($A222="",$B222="",$C222=""),"",IFERROR(SUMIFS(ORDERS!$F$8:$F$991,ORDERS!$B$8:$B$991,"SALE",ORDERS!$D$8:$D$991,"&lt;="&amp;TODAY(),ORDERS!$E$8:$E$991,$A222)*$C222,0))</f>
        <v/>
      </c>
      <c r="F222" s="59" t="str">
        <f t="array" ref="F222">IF($B222="","",IFERROR(INDEX('RAW MATERIALS'!$F$5:$F$15,MATCH($B222,'RAW MATERIALS'!$A$5:$A$16,0)),0))</f>
        <v/>
      </c>
      <c r="G222" s="59" t="str">
        <f t="shared" si="4"/>
        <v/>
      </c>
    </row>
    <row r="223" ht="15.75" customHeight="1">
      <c r="A223" s="59"/>
      <c r="B223" s="59"/>
      <c r="E223" s="59" t="str">
        <f>IF(OR($A223="",$B223="",$C223=""),"",IFERROR(SUMIFS(ORDERS!$F$8:$F$991,ORDERS!$B$8:$B$991,"SALE",ORDERS!$D$8:$D$991,"&lt;="&amp;TODAY(),ORDERS!$E$8:$E$991,$A223)*$C223,0))</f>
        <v/>
      </c>
      <c r="F223" s="59" t="str">
        <f t="array" ref="F223">IF($B223="","",IFERROR(INDEX('RAW MATERIALS'!$F$5:$F$15,MATCH($B223,'RAW MATERIALS'!$A$5:$A$16,0)),0))</f>
        <v/>
      </c>
      <c r="G223" s="59" t="str">
        <f t="shared" si="4"/>
        <v/>
      </c>
    </row>
    <row r="224" ht="15.75" customHeight="1">
      <c r="A224" s="59"/>
      <c r="B224" s="59"/>
      <c r="E224" s="59" t="str">
        <f>IF(OR($A224="",$B224="",$C224=""),"",IFERROR(SUMIFS(ORDERS!$F$8:$F$991,ORDERS!$B$8:$B$991,"SALE",ORDERS!$D$8:$D$991,"&lt;="&amp;TODAY(),ORDERS!$E$8:$E$991,$A224)*$C224,0))</f>
        <v/>
      </c>
      <c r="F224" s="59" t="str">
        <f t="array" ref="F224">IF($B224="","",IFERROR(INDEX('RAW MATERIALS'!$F$5:$F$15,MATCH($B224,'RAW MATERIALS'!$A$5:$A$16,0)),0))</f>
        <v/>
      </c>
      <c r="G224" s="59" t="str">
        <f t="shared" si="4"/>
        <v/>
      </c>
    </row>
    <row r="225" ht="15.75" customHeight="1">
      <c r="A225" s="59"/>
      <c r="B225" s="59"/>
      <c r="E225" s="59" t="str">
        <f>IF(OR($A225="",$B225="",$C225=""),"",IFERROR(SUMIFS(ORDERS!$F$8:$F$991,ORDERS!$B$8:$B$991,"SALE",ORDERS!$D$8:$D$991,"&lt;="&amp;TODAY(),ORDERS!$E$8:$E$991,$A225)*$C225,0))</f>
        <v/>
      </c>
      <c r="F225" s="59" t="str">
        <f t="array" ref="F225">IF($B225="","",IFERROR(INDEX('RAW MATERIALS'!$F$5:$F$15,MATCH($B225,'RAW MATERIALS'!$A$5:$A$16,0)),0))</f>
        <v/>
      </c>
      <c r="G225" s="59" t="str">
        <f t="shared" si="4"/>
        <v/>
      </c>
    </row>
    <row r="226" ht="15.75" customHeight="1">
      <c r="A226" s="59"/>
      <c r="B226" s="59"/>
      <c r="E226" s="59" t="str">
        <f>IF(OR($A226="",$B226="",$C226=""),"",IFERROR(SUMIFS(ORDERS!$F$8:$F$991,ORDERS!$B$8:$B$991,"SALE",ORDERS!$D$8:$D$991,"&lt;="&amp;TODAY(),ORDERS!$E$8:$E$991,$A226)*$C226,0))</f>
        <v/>
      </c>
      <c r="F226" s="59" t="str">
        <f t="array" ref="F226">IF($B226="","",IFERROR(INDEX('RAW MATERIALS'!$F$5:$F$15,MATCH($B226,'RAW MATERIALS'!$A$5:$A$16,0)),0))</f>
        <v/>
      </c>
      <c r="G226" s="59" t="str">
        <f t="shared" si="4"/>
        <v/>
      </c>
    </row>
    <row r="227" ht="15.75" customHeight="1">
      <c r="A227" s="59"/>
      <c r="B227" s="59"/>
      <c r="E227" s="59" t="str">
        <f>IF(OR($A227="",$B227="",$C227=""),"",IFERROR(SUMIFS(ORDERS!$F$8:$F$991,ORDERS!$B$8:$B$991,"SALE",ORDERS!$D$8:$D$991,"&lt;="&amp;TODAY(),ORDERS!$E$8:$E$991,$A227)*$C227,0))</f>
        <v/>
      </c>
      <c r="F227" s="59" t="str">
        <f t="array" ref="F227">IF($B227="","",IFERROR(INDEX('RAW MATERIALS'!$F$5:$F$15,MATCH($B227,'RAW MATERIALS'!$A$5:$A$16,0)),0))</f>
        <v/>
      </c>
      <c r="G227" s="59" t="str">
        <f t="shared" si="4"/>
        <v/>
      </c>
    </row>
    <row r="228" ht="15.75" customHeight="1">
      <c r="A228" s="59"/>
      <c r="B228" s="59"/>
      <c r="E228" s="59" t="str">
        <f>IF(OR($A228="",$B228="",$C228=""),"",IFERROR(SUMIFS(ORDERS!$F$8:$F$991,ORDERS!$B$8:$B$991,"SALE",ORDERS!$D$8:$D$991,"&lt;="&amp;TODAY(),ORDERS!$E$8:$E$991,$A228)*$C228,0))</f>
        <v/>
      </c>
      <c r="F228" s="59" t="str">
        <f t="array" ref="F228">IF($B228="","",IFERROR(INDEX('RAW MATERIALS'!$F$5:$F$15,MATCH($B228,'RAW MATERIALS'!$A$5:$A$16,0)),0))</f>
        <v/>
      </c>
      <c r="G228" s="59" t="str">
        <f t="shared" si="4"/>
        <v/>
      </c>
    </row>
    <row r="229" ht="15.75" customHeight="1">
      <c r="A229" s="59"/>
      <c r="B229" s="59"/>
      <c r="E229" s="59" t="str">
        <f>IF(OR($A229="",$B229="",$C229=""),"",IFERROR(SUMIFS(ORDERS!$F$8:$F$991,ORDERS!$B$8:$B$991,"SALE",ORDERS!$D$8:$D$991,"&lt;="&amp;TODAY(),ORDERS!$E$8:$E$991,$A229)*$C229,0))</f>
        <v/>
      </c>
      <c r="F229" s="59" t="str">
        <f t="array" ref="F229">IF($B229="","",IFERROR(INDEX('RAW MATERIALS'!$F$5:$F$15,MATCH($B229,'RAW MATERIALS'!$A$5:$A$16,0)),0))</f>
        <v/>
      </c>
      <c r="G229" s="59" t="str">
        <f t="shared" si="4"/>
        <v/>
      </c>
    </row>
    <row r="230" ht="15.75" customHeight="1">
      <c r="A230" s="59"/>
      <c r="B230" s="59"/>
      <c r="E230" s="59" t="str">
        <f>IF(OR($A230="",$B230="",$C230=""),"",IFERROR(SUMIFS(ORDERS!$F$8:$F$991,ORDERS!$B$8:$B$991,"SALE",ORDERS!$D$8:$D$991,"&lt;="&amp;TODAY(),ORDERS!$E$8:$E$991,$A230)*$C230,0))</f>
        <v/>
      </c>
      <c r="F230" s="59" t="str">
        <f t="array" ref="F230">IF($B230="","",IFERROR(INDEX('RAW MATERIALS'!$F$5:$F$15,MATCH($B230,'RAW MATERIALS'!$A$5:$A$16,0)),0))</f>
        <v/>
      </c>
      <c r="G230" s="59" t="str">
        <f t="shared" si="4"/>
        <v/>
      </c>
    </row>
    <row r="231" ht="15.75" customHeight="1">
      <c r="A231" s="59"/>
      <c r="B231" s="59"/>
      <c r="E231" s="59" t="str">
        <f>IF(OR($A231="",$B231="",$C231=""),"",IFERROR(SUMIFS(ORDERS!$F$8:$F$991,ORDERS!$B$8:$B$991,"SALE",ORDERS!$D$8:$D$991,"&lt;="&amp;TODAY(),ORDERS!$E$8:$E$991,$A231)*$C231,0))</f>
        <v/>
      </c>
      <c r="F231" s="59" t="str">
        <f t="array" ref="F231">IF($B231="","",IFERROR(INDEX('RAW MATERIALS'!$F$5:$F$15,MATCH($B231,'RAW MATERIALS'!$A$5:$A$16,0)),0))</f>
        <v/>
      </c>
      <c r="G231" s="59" t="str">
        <f t="shared" si="4"/>
        <v/>
      </c>
    </row>
    <row r="232" ht="15.75" customHeight="1">
      <c r="A232" s="59"/>
      <c r="B232" s="59"/>
      <c r="E232" s="59" t="str">
        <f>IF(OR($A232="",$B232="",$C232=""),"",IFERROR(SUMIFS(ORDERS!$F$8:$F$991,ORDERS!$B$8:$B$991,"SALE",ORDERS!$D$8:$D$991,"&lt;="&amp;TODAY(),ORDERS!$E$8:$E$991,$A232)*$C232,0))</f>
        <v/>
      </c>
      <c r="F232" s="59" t="str">
        <f t="array" ref="F232">IF($B232="","",IFERROR(INDEX('RAW MATERIALS'!$F$5:$F$15,MATCH($B232,'RAW MATERIALS'!$A$5:$A$16,0)),0))</f>
        <v/>
      </c>
      <c r="G232" s="59" t="str">
        <f t="shared" si="4"/>
        <v/>
      </c>
    </row>
    <row r="233" ht="15.75" customHeight="1">
      <c r="A233" s="59"/>
      <c r="B233" s="59"/>
      <c r="E233" s="59" t="str">
        <f>IF(OR($A233="",$B233="",$C233=""),"",IFERROR(SUMIFS(ORDERS!$F$8:$F$991,ORDERS!$B$8:$B$991,"SALE",ORDERS!$D$8:$D$991,"&lt;="&amp;TODAY(),ORDERS!$E$8:$E$991,$A233)*$C233,0))</f>
        <v/>
      </c>
      <c r="F233" s="59" t="str">
        <f t="array" ref="F233">IF($B233="","",IFERROR(INDEX('RAW MATERIALS'!$F$5:$F$15,MATCH($B233,'RAW MATERIALS'!$A$5:$A$16,0)),0))</f>
        <v/>
      </c>
      <c r="G233" s="59" t="str">
        <f t="shared" si="4"/>
        <v/>
      </c>
    </row>
    <row r="234" ht="15.75" customHeight="1">
      <c r="A234" s="59"/>
      <c r="B234" s="59"/>
      <c r="E234" s="59" t="str">
        <f>IF(OR($A234="",$B234="",$C234=""),"",IFERROR(SUMIFS(ORDERS!$F$8:$F$991,ORDERS!$B$8:$B$991,"SALE",ORDERS!$D$8:$D$991,"&lt;="&amp;TODAY(),ORDERS!$E$8:$E$991,$A234)*$C234,0))</f>
        <v/>
      </c>
      <c r="F234" s="59" t="str">
        <f t="array" ref="F234">IF($B234="","",IFERROR(INDEX('RAW MATERIALS'!$F$5:$F$15,MATCH($B234,'RAW MATERIALS'!$A$5:$A$16,0)),0))</f>
        <v/>
      </c>
      <c r="G234" s="59" t="str">
        <f t="shared" si="4"/>
        <v/>
      </c>
    </row>
    <row r="235" ht="15.75" customHeight="1">
      <c r="A235" s="59"/>
      <c r="B235" s="59"/>
      <c r="E235" s="59" t="str">
        <f>IF(OR($A235="",$B235="",$C235=""),"",IFERROR(SUMIFS(ORDERS!$F$8:$F$991,ORDERS!$B$8:$B$991,"SALE",ORDERS!$D$8:$D$991,"&lt;="&amp;TODAY(),ORDERS!$E$8:$E$991,$A235)*$C235,0))</f>
        <v/>
      </c>
      <c r="F235" s="59" t="str">
        <f t="array" ref="F235">IF($B235="","",IFERROR(INDEX('RAW MATERIALS'!$F$5:$F$15,MATCH($B235,'RAW MATERIALS'!$A$5:$A$16,0)),0))</f>
        <v/>
      </c>
      <c r="G235" s="59" t="str">
        <f t="shared" si="4"/>
        <v/>
      </c>
    </row>
    <row r="236" ht="15.75" customHeight="1">
      <c r="A236" s="59"/>
      <c r="B236" s="59"/>
      <c r="E236" s="59" t="str">
        <f>IF(OR($A236="",$B236="",$C236=""),"",IFERROR(SUMIFS(ORDERS!$F$8:$F$991,ORDERS!$B$8:$B$991,"SALE",ORDERS!$D$8:$D$991,"&lt;="&amp;TODAY(),ORDERS!$E$8:$E$991,$A236)*$C236,0))</f>
        <v/>
      </c>
      <c r="F236" s="59" t="str">
        <f t="array" ref="F236">IF($B236="","",IFERROR(INDEX('RAW MATERIALS'!$F$5:$F$15,MATCH($B236,'RAW MATERIALS'!$A$5:$A$16,0)),0))</f>
        <v/>
      </c>
      <c r="G236" s="59" t="str">
        <f t="shared" si="4"/>
        <v/>
      </c>
    </row>
    <row r="237" ht="15.75" customHeight="1">
      <c r="A237" s="59"/>
      <c r="B237" s="59"/>
      <c r="E237" s="59" t="str">
        <f>IF(OR($A237="",$B237="",$C237=""),"",IFERROR(SUMIFS(ORDERS!$F$8:$F$991,ORDERS!$B$8:$B$991,"SALE",ORDERS!$D$8:$D$991,"&lt;="&amp;TODAY(),ORDERS!$E$8:$E$991,$A237)*$C237,0))</f>
        <v/>
      </c>
      <c r="F237" s="59" t="str">
        <f t="array" ref="F237">IF($B237="","",IFERROR(INDEX('RAW MATERIALS'!$F$5:$F$15,MATCH($B237,'RAW MATERIALS'!$A$5:$A$16,0)),0))</f>
        <v/>
      </c>
      <c r="G237" s="59" t="str">
        <f t="shared" si="4"/>
        <v/>
      </c>
    </row>
    <row r="238" ht="15.75" customHeight="1">
      <c r="A238" s="59"/>
      <c r="B238" s="59"/>
      <c r="E238" s="59" t="str">
        <f>IF(OR($A238="",$B238="",$C238=""),"",IFERROR(SUMIFS(ORDERS!$F$8:$F$991,ORDERS!$B$8:$B$991,"SALE",ORDERS!$D$8:$D$991,"&lt;="&amp;TODAY(),ORDERS!$E$8:$E$991,$A238)*$C238,0))</f>
        <v/>
      </c>
      <c r="F238" s="59" t="str">
        <f t="array" ref="F238">IF($B238="","",IFERROR(INDEX('RAW MATERIALS'!$F$5:$F$15,MATCH($B238,'RAW MATERIALS'!$A$5:$A$16,0)),0))</f>
        <v/>
      </c>
      <c r="G238" s="59" t="str">
        <f t="shared" si="4"/>
        <v/>
      </c>
    </row>
    <row r="239" ht="15.75" customHeight="1">
      <c r="A239" s="59"/>
      <c r="B239" s="59"/>
      <c r="E239" s="59" t="str">
        <f>IF(OR($A239="",$B239="",$C239=""),"",IFERROR(SUMIFS(ORDERS!$F$8:$F$991,ORDERS!$B$8:$B$991,"SALE",ORDERS!$D$8:$D$991,"&lt;="&amp;TODAY(),ORDERS!$E$8:$E$991,$A239)*$C239,0))</f>
        <v/>
      </c>
      <c r="F239" s="59" t="str">
        <f t="array" ref="F239">IF($B239="","",IFERROR(INDEX('RAW MATERIALS'!$F$5:$F$15,MATCH($B239,'RAW MATERIALS'!$A$5:$A$16,0)),0))</f>
        <v/>
      </c>
      <c r="G239" s="59" t="str">
        <f t="shared" si="4"/>
        <v/>
      </c>
    </row>
    <row r="240" ht="15.75" customHeight="1">
      <c r="A240" s="59"/>
      <c r="B240" s="59"/>
      <c r="E240" s="59" t="str">
        <f>IF(OR($A240="",$B240="",$C240=""),"",IFERROR(SUMIFS(ORDERS!$F$8:$F$991,ORDERS!$B$8:$B$991,"SALE",ORDERS!$D$8:$D$991,"&lt;="&amp;TODAY(),ORDERS!$E$8:$E$991,$A240)*$C240,0))</f>
        <v/>
      </c>
      <c r="F240" s="59" t="str">
        <f t="array" ref="F240">IF($B240="","",IFERROR(INDEX('RAW MATERIALS'!$F$5:$F$15,MATCH($B240,'RAW MATERIALS'!$A$5:$A$16,0)),0))</f>
        <v/>
      </c>
      <c r="G240" s="59" t="str">
        <f t="shared" si="4"/>
        <v/>
      </c>
    </row>
    <row r="241" ht="15.75" customHeight="1">
      <c r="A241" s="59"/>
      <c r="B241" s="59"/>
      <c r="E241" s="59" t="str">
        <f>IF(OR($A241="",$B241="",$C241=""),"",IFERROR(SUMIFS(ORDERS!$F$8:$F$991,ORDERS!$B$8:$B$991,"SALE",ORDERS!$D$8:$D$991,"&lt;="&amp;TODAY(),ORDERS!$E$8:$E$991,$A241)*$C241,0))</f>
        <v/>
      </c>
      <c r="F241" s="59" t="str">
        <f t="array" ref="F241">IF($B241="","",IFERROR(INDEX('RAW MATERIALS'!$F$5:$F$15,MATCH($B241,'RAW MATERIALS'!$A$5:$A$16,0)),0))</f>
        <v/>
      </c>
      <c r="G241" s="59" t="str">
        <f t="shared" si="4"/>
        <v/>
      </c>
    </row>
    <row r="242" ht="15.75" customHeight="1">
      <c r="A242" s="59"/>
      <c r="B242" s="59"/>
      <c r="E242" s="59" t="str">
        <f>IF(OR($A242="",$B242="",$C242=""),"",IFERROR(SUMIFS(ORDERS!$F$8:$F$991,ORDERS!$B$8:$B$991,"SALE",ORDERS!$D$8:$D$991,"&lt;="&amp;TODAY(),ORDERS!$E$8:$E$991,$A242)*$C242,0))</f>
        <v/>
      </c>
      <c r="F242" s="59" t="str">
        <f t="array" ref="F242">IF($B242="","",IFERROR(INDEX('RAW MATERIALS'!$F$5:$F$15,MATCH($B242,'RAW MATERIALS'!$A$5:$A$16,0)),0))</f>
        <v/>
      </c>
      <c r="G242" s="59" t="str">
        <f t="shared" si="4"/>
        <v/>
      </c>
    </row>
    <row r="243" ht="15.75" customHeight="1">
      <c r="A243" s="59"/>
      <c r="B243" s="59"/>
      <c r="E243" s="59" t="str">
        <f>IF(OR($A243="",$B243="",$C243=""),"",IFERROR(SUMIFS(ORDERS!$F$8:$F$991,ORDERS!$B$8:$B$991,"SALE",ORDERS!$D$8:$D$991,"&lt;="&amp;TODAY(),ORDERS!$E$8:$E$991,$A243)*$C243,0))</f>
        <v/>
      </c>
      <c r="F243" s="59" t="str">
        <f t="array" ref="F243">IF($B243="","",IFERROR(INDEX('RAW MATERIALS'!$F$5:$F$15,MATCH($B243,'RAW MATERIALS'!$A$5:$A$16,0)),0))</f>
        <v/>
      </c>
      <c r="G243" s="59" t="str">
        <f t="shared" si="4"/>
        <v/>
      </c>
    </row>
    <row r="244" ht="15.75" customHeight="1">
      <c r="A244" s="59"/>
      <c r="B244" s="59"/>
      <c r="E244" s="59" t="str">
        <f>IF(OR($A244="",$B244="",$C244=""),"",IFERROR(SUMIFS(ORDERS!$F$8:$F$991,ORDERS!$B$8:$B$991,"SALE",ORDERS!$D$8:$D$991,"&lt;="&amp;TODAY(),ORDERS!$E$8:$E$991,$A244)*$C244,0))</f>
        <v/>
      </c>
      <c r="F244" s="59" t="str">
        <f t="array" ref="F244">IF($B244="","",IFERROR(INDEX('RAW MATERIALS'!$F$5:$F$15,MATCH($B244,'RAW MATERIALS'!$A$5:$A$16,0)),0))</f>
        <v/>
      </c>
      <c r="G244" s="59" t="str">
        <f t="shared" si="4"/>
        <v/>
      </c>
    </row>
    <row r="245" ht="15.75" customHeight="1">
      <c r="A245" s="59"/>
      <c r="B245" s="59"/>
      <c r="E245" s="59" t="str">
        <f>IF(OR($A245="",$B245="",$C245=""),"",IFERROR(SUMIFS(ORDERS!$F$8:$F$991,ORDERS!$B$8:$B$991,"SALE",ORDERS!$D$8:$D$991,"&lt;="&amp;TODAY(),ORDERS!$E$8:$E$991,$A245)*$C245,0))</f>
        <v/>
      </c>
      <c r="F245" s="59" t="str">
        <f t="array" ref="F245">IF($B245="","",IFERROR(INDEX('RAW MATERIALS'!$F$5:$F$15,MATCH($B245,'RAW MATERIALS'!$A$5:$A$16,0)),0))</f>
        <v/>
      </c>
      <c r="G245" s="59" t="str">
        <f t="shared" si="4"/>
        <v/>
      </c>
    </row>
    <row r="246" ht="15.75" customHeight="1">
      <c r="A246" s="59"/>
      <c r="B246" s="59"/>
      <c r="E246" s="59" t="str">
        <f>IF(OR($A246="",$B246="",$C246=""),"",IFERROR(SUMIFS(ORDERS!$F$8:$F$991,ORDERS!$B$8:$B$991,"SALE",ORDERS!$D$8:$D$991,"&lt;="&amp;TODAY(),ORDERS!$E$8:$E$991,$A246)*$C246,0))</f>
        <v/>
      </c>
      <c r="F246" s="59" t="str">
        <f t="array" ref="F246">IF($B246="","",IFERROR(INDEX('RAW MATERIALS'!$F$5:$F$15,MATCH($B246,'RAW MATERIALS'!$A$5:$A$16,0)),0))</f>
        <v/>
      </c>
      <c r="G246" s="59" t="str">
        <f t="shared" si="4"/>
        <v/>
      </c>
    </row>
    <row r="247" ht="15.75" customHeight="1">
      <c r="A247" s="59"/>
      <c r="B247" s="59"/>
      <c r="E247" s="59" t="str">
        <f>IF(OR($A247="",$B247="",$C247=""),"",IFERROR(SUMIFS(ORDERS!$F$8:$F$991,ORDERS!$B$8:$B$991,"SALE",ORDERS!$D$8:$D$991,"&lt;="&amp;TODAY(),ORDERS!$E$8:$E$991,$A247)*$C247,0))</f>
        <v/>
      </c>
      <c r="F247" s="59" t="str">
        <f t="array" ref="F247">IF($B247="","",IFERROR(INDEX('RAW MATERIALS'!$F$5:$F$15,MATCH($B247,'RAW MATERIALS'!$A$5:$A$16,0)),0))</f>
        <v/>
      </c>
      <c r="G247" s="59" t="str">
        <f t="shared" si="4"/>
        <v/>
      </c>
    </row>
    <row r="248" ht="15.75" customHeight="1">
      <c r="A248" s="59"/>
      <c r="B248" s="59"/>
      <c r="E248" s="59" t="str">
        <f>IF(OR($A248="",$B248="",$C248=""),"",IFERROR(SUMIFS(ORDERS!$F$8:$F$991,ORDERS!$B$8:$B$991,"SALE",ORDERS!$D$8:$D$991,"&lt;="&amp;TODAY(),ORDERS!$E$8:$E$991,$A248)*$C248,0))</f>
        <v/>
      </c>
      <c r="F248" s="59" t="str">
        <f t="array" ref="F248">IF($B248="","",IFERROR(INDEX('RAW MATERIALS'!$F$5:$F$15,MATCH($B248,'RAW MATERIALS'!$A$5:$A$16,0)),0))</f>
        <v/>
      </c>
      <c r="G248" s="59" t="str">
        <f t="shared" si="4"/>
        <v/>
      </c>
    </row>
    <row r="249" ht="15.75" customHeight="1">
      <c r="A249" s="59"/>
      <c r="B249" s="59"/>
      <c r="E249" s="59" t="str">
        <f>IF(OR($A249="",$B249="",$C249=""),"",IFERROR(SUMIFS(ORDERS!$F$8:$F$991,ORDERS!$B$8:$B$991,"SALE",ORDERS!$D$8:$D$991,"&lt;="&amp;TODAY(),ORDERS!$E$8:$E$991,$A249)*$C249,0))</f>
        <v/>
      </c>
      <c r="F249" s="59" t="str">
        <f t="array" ref="F249">IF($B249="","",IFERROR(INDEX('RAW MATERIALS'!$F$5:$F$15,MATCH($B249,'RAW MATERIALS'!$A$5:$A$16,0)),0))</f>
        <v/>
      </c>
      <c r="G249" s="59" t="str">
        <f t="shared" si="4"/>
        <v/>
      </c>
    </row>
    <row r="250" ht="15.75" customHeight="1">
      <c r="A250" s="59"/>
      <c r="B250" s="59"/>
      <c r="E250" s="59" t="str">
        <f>IF(OR($A250="",$B250="",$C250=""),"",IFERROR(SUMIFS(ORDERS!$F$8:$F$991,ORDERS!$B$8:$B$991,"SALE",ORDERS!$D$8:$D$991,"&lt;="&amp;TODAY(),ORDERS!$E$8:$E$991,$A250)*$C250,0))</f>
        <v/>
      </c>
      <c r="F250" s="59" t="str">
        <f t="array" ref="F250">IF($B250="","",IFERROR(INDEX('RAW MATERIALS'!$F$5:$F$15,MATCH($B250,'RAW MATERIALS'!$A$5:$A$16,0)),0))</f>
        <v/>
      </c>
      <c r="G250" s="59" t="str">
        <f t="shared" si="4"/>
        <v/>
      </c>
    </row>
    <row r="251" ht="15.75" customHeight="1">
      <c r="A251" s="59"/>
      <c r="B251" s="59"/>
      <c r="E251" s="59" t="str">
        <f>IF(OR($A251="",$B251="",$C251=""),"",IFERROR(SUMIFS(ORDERS!$F$8:$F$991,ORDERS!$B$8:$B$991,"SALE",ORDERS!$D$8:$D$991,"&lt;="&amp;TODAY(),ORDERS!$E$8:$E$991,$A251)*$C251,0))</f>
        <v/>
      </c>
      <c r="F251" s="59" t="str">
        <f t="array" ref="F251">IF($B251="","",IFERROR(INDEX('RAW MATERIALS'!$F$5:$F$15,MATCH($B251,'RAW MATERIALS'!$A$5:$A$16,0)),0))</f>
        <v/>
      </c>
      <c r="G251" s="59" t="str">
        <f t="shared" si="4"/>
        <v/>
      </c>
    </row>
    <row r="252" ht="15.75" customHeight="1">
      <c r="A252" s="59"/>
      <c r="B252" s="59"/>
      <c r="E252" s="59" t="str">
        <f>IF(OR($A252="",$B252="",$C252=""),"",IFERROR(SUMIFS(ORDERS!$F$8:$F$991,ORDERS!$B$8:$B$991,"SALE",ORDERS!$D$8:$D$991,"&lt;="&amp;TODAY(),ORDERS!$E$8:$E$991,$A252)*$C252,0))</f>
        <v/>
      </c>
      <c r="F252" s="59" t="str">
        <f t="array" ref="F252">IF($B252="","",IFERROR(INDEX('RAW MATERIALS'!$F$5:$F$15,MATCH($B252,'RAW MATERIALS'!$A$5:$A$16,0)),0))</f>
        <v/>
      </c>
      <c r="G252" s="59" t="str">
        <f t="shared" si="4"/>
        <v/>
      </c>
    </row>
    <row r="253" ht="15.75" customHeight="1">
      <c r="A253" s="59"/>
      <c r="B253" s="59"/>
      <c r="E253" s="59" t="str">
        <f>IF(OR($A253="",$B253="",$C253=""),"",IFERROR(SUMIFS(ORDERS!$F$8:$F$991,ORDERS!$B$8:$B$991,"SALE",ORDERS!$D$8:$D$991,"&lt;="&amp;TODAY(),ORDERS!$E$8:$E$991,$A253)*$C253,0))</f>
        <v/>
      </c>
      <c r="F253" s="59" t="str">
        <f t="array" ref="F253">IF($B253="","",IFERROR(INDEX('RAW MATERIALS'!$F$5:$F$15,MATCH($B253,'RAW MATERIALS'!$A$5:$A$16,0)),0))</f>
        <v/>
      </c>
      <c r="G253" s="59" t="str">
        <f t="shared" si="4"/>
        <v/>
      </c>
    </row>
    <row r="254" ht="15.75" customHeight="1">
      <c r="A254" s="59"/>
      <c r="B254" s="59"/>
      <c r="E254" s="59" t="str">
        <f>IF(OR($A254="",$B254="",$C254=""),"",IFERROR(SUMIFS(ORDERS!$F$8:$F$991,ORDERS!$B$8:$B$991,"SALE",ORDERS!$D$8:$D$991,"&lt;="&amp;TODAY(),ORDERS!$E$8:$E$991,$A254)*$C254,0))</f>
        <v/>
      </c>
      <c r="F254" s="59" t="str">
        <f t="array" ref="F254">IF($B254="","",IFERROR(INDEX('RAW MATERIALS'!$F$5:$F$15,MATCH($B254,'RAW MATERIALS'!$A$5:$A$16,0)),0))</f>
        <v/>
      </c>
      <c r="G254" s="59" t="str">
        <f t="shared" si="4"/>
        <v/>
      </c>
    </row>
    <row r="255" ht="15.75" customHeight="1">
      <c r="A255" s="59"/>
      <c r="B255" s="59"/>
      <c r="E255" s="59" t="str">
        <f>IF(OR($A255="",$B255="",$C255=""),"",IFERROR(SUMIFS(ORDERS!$F$8:$F$991,ORDERS!$B$8:$B$991,"SALE",ORDERS!$D$8:$D$991,"&lt;="&amp;TODAY(),ORDERS!$E$8:$E$991,$A255)*$C255,0))</f>
        <v/>
      </c>
      <c r="F255" s="59" t="str">
        <f t="array" ref="F255">IF($B255="","",IFERROR(INDEX('RAW MATERIALS'!$F$5:$F$15,MATCH($B255,'RAW MATERIALS'!$A$5:$A$16,0)),0))</f>
        <v/>
      </c>
      <c r="G255" s="59" t="str">
        <f t="shared" si="4"/>
        <v/>
      </c>
    </row>
    <row r="256" ht="15.75" customHeight="1">
      <c r="A256" s="59"/>
      <c r="B256" s="59"/>
      <c r="E256" s="59" t="str">
        <f>IF(OR($A256="",$B256="",$C256=""),"",IFERROR(SUMIFS(ORDERS!$F$8:$F$991,ORDERS!$B$8:$B$991,"SALE",ORDERS!$D$8:$D$991,"&lt;="&amp;TODAY(),ORDERS!$E$8:$E$991,$A256)*$C256,0))</f>
        <v/>
      </c>
      <c r="F256" s="59" t="str">
        <f t="array" ref="F256">IF($B256="","",IFERROR(INDEX('RAW MATERIALS'!$F$5:$F$15,MATCH($B256,'RAW MATERIALS'!$A$5:$A$16,0)),0))</f>
        <v/>
      </c>
      <c r="G256" s="59" t="str">
        <f t="shared" si="4"/>
        <v/>
      </c>
    </row>
    <row r="257" ht="15.75" customHeight="1">
      <c r="A257" s="59"/>
      <c r="B257" s="59"/>
      <c r="E257" s="59" t="str">
        <f>IF(OR($A257="",$B257="",$C257=""),"",IFERROR(SUMIFS(ORDERS!$F$8:$F$991,ORDERS!$B$8:$B$991,"SALE",ORDERS!$D$8:$D$991,"&lt;="&amp;TODAY(),ORDERS!$E$8:$E$991,$A257)*$C257,0))</f>
        <v/>
      </c>
      <c r="F257" s="59" t="str">
        <f t="array" ref="F257">IF($B257="","",IFERROR(INDEX('RAW MATERIALS'!$F$5:$F$15,MATCH($B257,'RAW MATERIALS'!$A$5:$A$16,0)),0))</f>
        <v/>
      </c>
      <c r="G257" s="59" t="str">
        <f t="shared" si="4"/>
        <v/>
      </c>
    </row>
    <row r="258" ht="15.75" customHeight="1">
      <c r="A258" s="59"/>
      <c r="B258" s="59"/>
      <c r="E258" s="59" t="str">
        <f>IF(OR($A258="",$B258="",$C258=""),"",IFERROR(SUMIFS(ORDERS!$F$8:$F$991,ORDERS!$B$8:$B$991,"SALE",ORDERS!$D$8:$D$991,"&lt;="&amp;TODAY(),ORDERS!$E$8:$E$991,$A258)*$C258,0))</f>
        <v/>
      </c>
      <c r="F258" s="59" t="str">
        <f t="array" ref="F258">IF($B258="","",IFERROR(INDEX('RAW MATERIALS'!$F$5:$F$15,MATCH($B258,'RAW MATERIALS'!$A$5:$A$16,0)),0))</f>
        <v/>
      </c>
      <c r="G258" s="59" t="str">
        <f t="shared" si="4"/>
        <v/>
      </c>
    </row>
    <row r="259" ht="15.75" customHeight="1">
      <c r="A259" s="59"/>
      <c r="B259" s="59"/>
      <c r="E259" s="59" t="str">
        <f>IF(OR($A259="",$B259="",$C259=""),"",IFERROR(SUMIFS(ORDERS!$F$8:$F$991,ORDERS!$B$8:$B$991,"SALE",ORDERS!$D$8:$D$991,"&lt;="&amp;TODAY(),ORDERS!$E$8:$E$991,$A259)*$C259,0))</f>
        <v/>
      </c>
      <c r="F259" s="59" t="str">
        <f t="array" ref="F259">IF($B259="","",IFERROR(INDEX('RAW MATERIALS'!$F$5:$F$15,MATCH($B259,'RAW MATERIALS'!$A$5:$A$16,0)),0))</f>
        <v/>
      </c>
      <c r="G259" s="59" t="str">
        <f t="shared" si="4"/>
        <v/>
      </c>
    </row>
    <row r="260" ht="15.75" customHeight="1">
      <c r="A260" s="59"/>
      <c r="B260" s="59"/>
      <c r="E260" s="59" t="str">
        <f>IF(OR($A260="",$B260="",$C260=""),"",IFERROR(SUMIFS(ORDERS!$F$8:$F$991,ORDERS!$B$8:$B$991,"SALE",ORDERS!$D$8:$D$991,"&lt;="&amp;TODAY(),ORDERS!$E$8:$E$991,$A260)*$C260,0))</f>
        <v/>
      </c>
      <c r="F260" s="59" t="str">
        <f t="array" ref="F260">IF($B260="","",IFERROR(INDEX('RAW MATERIALS'!$F$5:$F$15,MATCH($B260,'RAW MATERIALS'!$A$5:$A$16,0)),0))</f>
        <v/>
      </c>
      <c r="G260" s="59" t="str">
        <f t="shared" si="4"/>
        <v/>
      </c>
    </row>
    <row r="261" ht="15.75" customHeight="1">
      <c r="A261" s="59"/>
      <c r="B261" s="59"/>
      <c r="E261" s="59" t="str">
        <f>IF(OR($A261="",$B261="",$C261=""),"",IFERROR(SUMIFS(ORDERS!$F$8:$F$991,ORDERS!$B$8:$B$991,"SALE",ORDERS!$D$8:$D$991,"&lt;="&amp;TODAY(),ORDERS!$E$8:$E$991,$A261)*$C261,0))</f>
        <v/>
      </c>
      <c r="F261" s="59" t="str">
        <f t="array" ref="F261">IF($B261="","",IFERROR(INDEX('RAW MATERIALS'!$F$5:$F$15,MATCH($B261,'RAW MATERIALS'!$A$5:$A$16,0)),0))</f>
        <v/>
      </c>
      <c r="G261" s="59" t="str">
        <f t="shared" si="4"/>
        <v/>
      </c>
    </row>
    <row r="262" ht="15.75" customHeight="1">
      <c r="A262" s="59"/>
      <c r="B262" s="59"/>
      <c r="E262" s="59" t="str">
        <f>IF(OR($A262="",$B262="",$C262=""),"",IFERROR(SUMIFS(ORDERS!$F$8:$F$991,ORDERS!$B$8:$B$991,"SALE",ORDERS!$D$8:$D$991,"&lt;="&amp;TODAY(),ORDERS!$E$8:$E$991,$A262)*$C262,0))</f>
        <v/>
      </c>
      <c r="F262" s="59" t="str">
        <f t="array" ref="F262">IF($B262="","",IFERROR(INDEX('RAW MATERIALS'!$F$5:$F$15,MATCH($B262,'RAW MATERIALS'!$A$5:$A$16,0)),0))</f>
        <v/>
      </c>
      <c r="G262" s="59" t="str">
        <f t="shared" si="4"/>
        <v/>
      </c>
    </row>
    <row r="263" ht="15.75" customHeight="1">
      <c r="A263" s="59"/>
      <c r="B263" s="59"/>
      <c r="E263" s="59" t="str">
        <f>IF(OR($A263="",$B263="",$C263=""),"",IFERROR(SUMIFS(ORDERS!$F$8:$F$991,ORDERS!$B$8:$B$991,"SALE",ORDERS!$D$8:$D$991,"&lt;="&amp;TODAY(),ORDERS!$E$8:$E$991,$A263)*$C263,0))</f>
        <v/>
      </c>
      <c r="F263" s="59" t="str">
        <f t="array" ref="F263">IF($B263="","",IFERROR(INDEX('RAW MATERIALS'!$F$5:$F$15,MATCH($B263,'RAW MATERIALS'!$A$5:$A$16,0)),0))</f>
        <v/>
      </c>
      <c r="G263" s="59" t="str">
        <f t="shared" si="4"/>
        <v/>
      </c>
    </row>
    <row r="264" ht="15.75" customHeight="1">
      <c r="A264" s="59"/>
      <c r="B264" s="59"/>
      <c r="E264" s="59" t="str">
        <f>IF(OR($A264="",$B264="",$C264=""),"",IFERROR(SUMIFS(ORDERS!$F$8:$F$991,ORDERS!$B$8:$B$991,"SALE",ORDERS!$D$8:$D$991,"&lt;="&amp;TODAY(),ORDERS!$E$8:$E$991,$A264)*$C264,0))</f>
        <v/>
      </c>
      <c r="F264" s="59" t="str">
        <f t="array" ref="F264">IF($B264="","",IFERROR(INDEX('RAW MATERIALS'!$F$5:$F$15,MATCH($B264,'RAW MATERIALS'!$A$5:$A$16,0)),0))</f>
        <v/>
      </c>
      <c r="G264" s="59" t="str">
        <f t="shared" si="4"/>
        <v/>
      </c>
    </row>
    <row r="265" ht="15.75" customHeight="1">
      <c r="A265" s="59"/>
      <c r="B265" s="59"/>
      <c r="E265" s="59" t="str">
        <f>IF(OR($A265="",$B265="",$C265=""),"",IFERROR(SUMIFS(ORDERS!$F$8:$F$991,ORDERS!$B$8:$B$991,"SALE",ORDERS!$D$8:$D$991,"&lt;="&amp;TODAY(),ORDERS!$E$8:$E$991,$A265)*$C265,0))</f>
        <v/>
      </c>
      <c r="F265" s="59" t="str">
        <f t="array" ref="F265">IF($B265="","",IFERROR(INDEX('RAW MATERIALS'!$F$5:$F$15,MATCH($B265,'RAW MATERIALS'!$A$5:$A$16,0)),0))</f>
        <v/>
      </c>
      <c r="G265" s="59" t="str">
        <f t="shared" si="4"/>
        <v/>
      </c>
    </row>
    <row r="266" ht="15.75" customHeight="1">
      <c r="A266" s="59"/>
      <c r="B266" s="59"/>
      <c r="E266" s="59" t="str">
        <f>IF(OR($A266="",$B266="",$C266=""),"",IFERROR(SUMIFS(ORDERS!$F$8:$F$991,ORDERS!$B$8:$B$991,"SALE",ORDERS!$D$8:$D$991,"&lt;="&amp;TODAY(),ORDERS!$E$8:$E$991,$A266)*$C266,0))</f>
        <v/>
      </c>
      <c r="F266" s="59" t="str">
        <f t="array" ref="F266">IF($B266="","",IFERROR(INDEX('RAW MATERIALS'!$F$5:$F$15,MATCH($B266,'RAW MATERIALS'!$A$5:$A$16,0)),0))</f>
        <v/>
      </c>
      <c r="G266" s="59" t="str">
        <f t="shared" si="4"/>
        <v/>
      </c>
    </row>
    <row r="267" ht="15.75" customHeight="1">
      <c r="A267" s="59"/>
      <c r="B267" s="59"/>
      <c r="E267" s="59" t="str">
        <f>IF(OR($A267="",$B267="",$C267=""),"",IFERROR(SUMIFS(ORDERS!$F$8:$F$991,ORDERS!$B$8:$B$991,"SALE",ORDERS!$D$8:$D$991,"&lt;="&amp;TODAY(),ORDERS!$E$8:$E$991,$A267)*$C267,0))</f>
        <v/>
      </c>
      <c r="F267" s="59" t="str">
        <f t="array" ref="F267">IF($B267="","",IFERROR(INDEX('RAW MATERIALS'!$F$5:$F$15,MATCH($B267,'RAW MATERIALS'!$A$5:$A$16,0)),0))</f>
        <v/>
      </c>
      <c r="G267" s="59" t="str">
        <f t="shared" si="4"/>
        <v/>
      </c>
    </row>
    <row r="268" ht="15.75" customHeight="1">
      <c r="A268" s="59"/>
      <c r="B268" s="59"/>
      <c r="E268" s="59" t="str">
        <f>IF(OR($A268="",$B268="",$C268=""),"",IFERROR(SUMIFS(ORDERS!$F$8:$F$991,ORDERS!$B$8:$B$991,"SALE",ORDERS!$D$8:$D$991,"&lt;="&amp;TODAY(),ORDERS!$E$8:$E$991,$A268)*$C268,0))</f>
        <v/>
      </c>
      <c r="F268" s="59" t="str">
        <f t="array" ref="F268">IF($B268="","",IFERROR(INDEX('RAW MATERIALS'!$F$5:$F$15,MATCH($B268,'RAW MATERIALS'!$A$5:$A$16,0)),0))</f>
        <v/>
      </c>
      <c r="G268" s="59" t="str">
        <f t="shared" si="4"/>
        <v/>
      </c>
    </row>
    <row r="269" ht="15.75" customHeight="1">
      <c r="A269" s="59"/>
      <c r="B269" s="59"/>
      <c r="E269" s="59" t="str">
        <f>IF(OR($A269="",$B269="",$C269=""),"",IFERROR(SUMIFS(ORDERS!$F$8:$F$991,ORDERS!$B$8:$B$991,"SALE",ORDERS!$D$8:$D$991,"&lt;="&amp;TODAY(),ORDERS!$E$8:$E$991,$A269)*$C269,0))</f>
        <v/>
      </c>
      <c r="F269" s="59" t="str">
        <f t="array" ref="F269">IF($B269="","",IFERROR(INDEX('RAW MATERIALS'!$F$5:$F$15,MATCH($B269,'RAW MATERIALS'!$A$5:$A$16,0)),0))</f>
        <v/>
      </c>
      <c r="G269" s="59" t="str">
        <f t="shared" si="4"/>
        <v/>
      </c>
    </row>
    <row r="270" ht="15.75" customHeight="1">
      <c r="A270" s="59"/>
      <c r="B270" s="59"/>
      <c r="E270" s="59" t="str">
        <f>IF(OR($A270="",$B270="",$C270=""),"",IFERROR(SUMIFS(ORDERS!$F$8:$F$991,ORDERS!$B$8:$B$991,"SALE",ORDERS!$D$8:$D$991,"&lt;="&amp;TODAY(),ORDERS!$E$8:$E$991,$A270)*$C270,0))</f>
        <v/>
      </c>
      <c r="F270" s="59" t="str">
        <f t="array" ref="F270">IF($B270="","",IFERROR(INDEX('RAW MATERIALS'!$F$5:$F$15,MATCH($B270,'RAW MATERIALS'!$A$5:$A$16,0)),0))</f>
        <v/>
      </c>
      <c r="G270" s="59" t="str">
        <f t="shared" si="4"/>
        <v/>
      </c>
    </row>
    <row r="271" ht="15.75" customHeight="1">
      <c r="A271" s="59"/>
      <c r="B271" s="59"/>
      <c r="E271" s="59" t="str">
        <f>IF(OR($A271="",$B271="",$C271=""),"",IFERROR(SUMIFS(ORDERS!$F$8:$F$991,ORDERS!$B$8:$B$991,"SALE",ORDERS!$D$8:$D$991,"&lt;="&amp;TODAY(),ORDERS!$E$8:$E$991,$A271)*$C271,0))</f>
        <v/>
      </c>
      <c r="F271" s="59" t="str">
        <f t="array" ref="F271">IF($B271="","",IFERROR(INDEX('RAW MATERIALS'!$F$5:$F$15,MATCH($B271,'RAW MATERIALS'!$A$5:$A$16,0)),0))</f>
        <v/>
      </c>
      <c r="G271" s="59" t="str">
        <f t="shared" si="4"/>
        <v/>
      </c>
    </row>
    <row r="272" ht="15.75" customHeight="1">
      <c r="A272" s="59"/>
      <c r="B272" s="59"/>
      <c r="E272" s="59" t="str">
        <f>IF(OR($A272="",$B272="",$C272=""),"",IFERROR(SUMIFS(ORDERS!$F$8:$F$991,ORDERS!$B$8:$B$991,"SALE",ORDERS!$D$8:$D$991,"&lt;="&amp;TODAY(),ORDERS!$E$8:$E$991,$A272)*$C272,0))</f>
        <v/>
      </c>
      <c r="F272" s="59" t="str">
        <f t="array" ref="F272">IF($B272="","",IFERROR(INDEX('RAW MATERIALS'!$F$5:$F$15,MATCH($B272,'RAW MATERIALS'!$A$5:$A$16,0)),0))</f>
        <v/>
      </c>
      <c r="G272" s="59" t="str">
        <f t="shared" si="4"/>
        <v/>
      </c>
    </row>
    <row r="273" ht="15.75" customHeight="1">
      <c r="A273" s="59"/>
      <c r="B273" s="59"/>
      <c r="E273" s="59" t="str">
        <f>IF(OR($A273="",$B273="",$C273=""),"",IFERROR(SUMIFS(ORDERS!$F$8:$F$991,ORDERS!$B$8:$B$991,"SALE",ORDERS!$D$8:$D$991,"&lt;="&amp;TODAY(),ORDERS!$E$8:$E$991,$A273)*$C273,0))</f>
        <v/>
      </c>
      <c r="F273" s="59" t="str">
        <f t="array" ref="F273">IF($B273="","",IFERROR(INDEX('RAW MATERIALS'!$F$5:$F$15,MATCH($B273,'RAW MATERIALS'!$A$5:$A$16,0)),0))</f>
        <v/>
      </c>
      <c r="G273" s="59" t="str">
        <f t="shared" si="4"/>
        <v/>
      </c>
    </row>
    <row r="274" ht="15.75" customHeight="1">
      <c r="A274" s="59"/>
      <c r="B274" s="59"/>
      <c r="E274" s="59" t="str">
        <f>IF(OR($A274="",$B274="",$C274=""),"",IFERROR(SUMIFS(ORDERS!$F$8:$F$991,ORDERS!$B$8:$B$991,"SALE",ORDERS!$D$8:$D$991,"&lt;="&amp;TODAY(),ORDERS!$E$8:$E$991,$A274)*$C274,0))</f>
        <v/>
      </c>
      <c r="F274" s="59" t="str">
        <f t="array" ref="F274">IF($B274="","",IFERROR(INDEX('RAW MATERIALS'!$F$5:$F$15,MATCH($B274,'RAW MATERIALS'!$A$5:$A$16,0)),0))</f>
        <v/>
      </c>
      <c r="G274" s="59" t="str">
        <f t="shared" si="4"/>
        <v/>
      </c>
    </row>
    <row r="275" ht="15.75" customHeight="1">
      <c r="A275" s="59"/>
      <c r="B275" s="59"/>
      <c r="E275" s="59" t="str">
        <f>IF(OR($A275="",$B275="",$C275=""),"",IFERROR(SUMIFS(ORDERS!$F$8:$F$991,ORDERS!$B$8:$B$991,"SALE",ORDERS!$D$8:$D$991,"&lt;="&amp;TODAY(),ORDERS!$E$8:$E$991,$A275)*$C275,0))</f>
        <v/>
      </c>
      <c r="F275" s="59" t="str">
        <f t="array" ref="F275">IF($B275="","",IFERROR(INDEX('RAW MATERIALS'!$F$5:$F$15,MATCH($B275,'RAW MATERIALS'!$A$5:$A$16,0)),0))</f>
        <v/>
      </c>
      <c r="G275" s="59" t="str">
        <f t="shared" si="4"/>
        <v/>
      </c>
    </row>
    <row r="276" ht="15.75" customHeight="1">
      <c r="A276" s="59"/>
      <c r="B276" s="59"/>
      <c r="E276" s="59" t="str">
        <f>IF(OR($A276="",$B276="",$C276=""),"",IFERROR(SUMIFS(ORDERS!$F$8:$F$991,ORDERS!$B$8:$B$991,"SALE",ORDERS!$D$8:$D$991,"&lt;="&amp;TODAY(),ORDERS!$E$8:$E$991,$A276)*$C276,0))</f>
        <v/>
      </c>
      <c r="F276" s="59" t="str">
        <f t="array" ref="F276">IF($B276="","",IFERROR(INDEX('RAW MATERIALS'!$F$5:$F$15,MATCH($B276,'RAW MATERIALS'!$A$5:$A$16,0)),0))</f>
        <v/>
      </c>
      <c r="G276" s="59" t="str">
        <f t="shared" si="4"/>
        <v/>
      </c>
    </row>
    <row r="277" ht="15.75" customHeight="1">
      <c r="A277" s="59"/>
      <c r="B277" s="59"/>
      <c r="E277" s="59" t="str">
        <f>IF(OR($A277="",$B277="",$C277=""),"",IFERROR(SUMIFS(ORDERS!$F$8:$F$991,ORDERS!$B$8:$B$991,"SALE",ORDERS!$D$8:$D$991,"&lt;="&amp;TODAY(),ORDERS!$E$8:$E$991,$A277)*$C277,0))</f>
        <v/>
      </c>
      <c r="F277" s="59" t="str">
        <f t="array" ref="F277">IF($B277="","",IFERROR(INDEX('RAW MATERIALS'!$F$5:$F$15,MATCH($B277,'RAW MATERIALS'!$A$5:$A$16,0)),0))</f>
        <v/>
      </c>
      <c r="G277" s="59" t="str">
        <f t="shared" si="4"/>
        <v/>
      </c>
    </row>
    <row r="278" ht="15.75" customHeight="1">
      <c r="A278" s="59"/>
      <c r="B278" s="59"/>
      <c r="E278" s="59" t="str">
        <f>IF(OR($A278="",$B278="",$C278=""),"",IFERROR(SUMIFS(ORDERS!$F$8:$F$991,ORDERS!$B$8:$B$991,"SALE",ORDERS!$D$8:$D$991,"&lt;="&amp;TODAY(),ORDERS!$E$8:$E$991,$A278)*$C278,0))</f>
        <v/>
      </c>
      <c r="F278" s="59" t="str">
        <f t="array" ref="F278">IF($B278="","",IFERROR(INDEX('RAW MATERIALS'!$F$5:$F$15,MATCH($B278,'RAW MATERIALS'!$A$5:$A$16,0)),0))</f>
        <v/>
      </c>
      <c r="G278" s="59" t="str">
        <f t="shared" si="4"/>
        <v/>
      </c>
    </row>
    <row r="279" ht="15.75" customHeight="1">
      <c r="A279" s="59"/>
      <c r="B279" s="59"/>
      <c r="E279" s="59" t="str">
        <f>IF(OR($A279="",$B279="",$C279=""),"",IFERROR(SUMIFS(ORDERS!$F$8:$F$991,ORDERS!$B$8:$B$991,"SALE",ORDERS!$D$8:$D$991,"&lt;="&amp;TODAY(),ORDERS!$E$8:$E$991,$A279)*$C279,0))</f>
        <v/>
      </c>
      <c r="F279" s="59" t="str">
        <f t="array" ref="F279">IF($B279="","",IFERROR(INDEX('RAW MATERIALS'!$F$5:$F$15,MATCH($B279,'RAW MATERIALS'!$A$5:$A$16,0)),0))</f>
        <v/>
      </c>
      <c r="G279" s="59" t="str">
        <f t="shared" si="4"/>
        <v/>
      </c>
    </row>
    <row r="280" ht="15.75" customHeight="1">
      <c r="A280" s="59"/>
      <c r="B280" s="59"/>
      <c r="E280" s="59" t="str">
        <f>IF(OR($A280="",$B280="",$C280=""),"",IFERROR(SUMIFS(ORDERS!$F$8:$F$991,ORDERS!$B$8:$B$991,"SALE",ORDERS!$D$8:$D$991,"&lt;="&amp;TODAY(),ORDERS!$E$8:$E$991,$A280)*$C280,0))</f>
        <v/>
      </c>
      <c r="F280" s="59" t="str">
        <f t="array" ref="F280">IF($B280="","",IFERROR(INDEX('RAW MATERIALS'!$F$5:$F$15,MATCH($B280,'RAW MATERIALS'!$A$5:$A$16,0)),0))</f>
        <v/>
      </c>
      <c r="G280" s="59" t="str">
        <f t="shared" si="4"/>
        <v/>
      </c>
    </row>
    <row r="281" ht="15.75" customHeight="1">
      <c r="A281" s="59"/>
      <c r="B281" s="59"/>
      <c r="E281" s="59" t="str">
        <f>IF(OR($A281="",$B281="",$C281=""),"",IFERROR(SUMIFS(ORDERS!$F$8:$F$991,ORDERS!$B$8:$B$991,"SALE",ORDERS!$D$8:$D$991,"&lt;="&amp;TODAY(),ORDERS!$E$8:$E$991,$A281)*$C281,0))</f>
        <v/>
      </c>
      <c r="F281" s="59" t="str">
        <f t="array" ref="F281">IF($B281="","",IFERROR(INDEX('RAW MATERIALS'!$F$5:$F$15,MATCH($B281,'RAW MATERIALS'!$A$5:$A$16,0)),0))</f>
        <v/>
      </c>
      <c r="G281" s="59" t="str">
        <f t="shared" si="4"/>
        <v/>
      </c>
    </row>
    <row r="282" ht="15.75" customHeight="1">
      <c r="A282" s="59"/>
      <c r="B282" s="59"/>
      <c r="E282" s="59" t="str">
        <f>IF(OR($A282="",$B282="",$C282=""),"",IFERROR(SUMIFS(ORDERS!$F$8:$F$991,ORDERS!$B$8:$B$991,"SALE",ORDERS!$D$8:$D$991,"&lt;="&amp;TODAY(),ORDERS!$E$8:$E$991,$A282)*$C282,0))</f>
        <v/>
      </c>
      <c r="F282" s="59" t="str">
        <f t="array" ref="F282">IF($B282="","",IFERROR(INDEX('RAW MATERIALS'!$F$5:$F$15,MATCH($B282,'RAW MATERIALS'!$A$5:$A$16,0)),0))</f>
        <v/>
      </c>
      <c r="G282" s="59" t="str">
        <f t="shared" si="4"/>
        <v/>
      </c>
    </row>
    <row r="283" ht="15.75" customHeight="1">
      <c r="A283" s="59"/>
      <c r="B283" s="59"/>
      <c r="E283" s="59" t="str">
        <f>IF(OR($A283="",$B283="",$C283=""),"",IFERROR(SUMIFS(ORDERS!$F$8:$F$991,ORDERS!$B$8:$B$991,"SALE",ORDERS!$D$8:$D$991,"&lt;="&amp;TODAY(),ORDERS!$E$8:$E$991,$A283)*$C283,0))</f>
        <v/>
      </c>
      <c r="F283" s="59" t="str">
        <f t="array" ref="F283">IF($B283="","",IFERROR(INDEX('RAW MATERIALS'!$F$5:$F$15,MATCH($B283,'RAW MATERIALS'!$A$5:$A$16,0)),0))</f>
        <v/>
      </c>
      <c r="G283" s="59" t="str">
        <f t="shared" si="4"/>
        <v/>
      </c>
    </row>
    <row r="284" ht="15.75" customHeight="1">
      <c r="A284" s="59"/>
      <c r="B284" s="59"/>
      <c r="E284" s="59" t="str">
        <f>IF(OR($A284="",$B284="",$C284=""),"",IFERROR(SUMIFS(ORDERS!$F$8:$F$991,ORDERS!$B$8:$B$991,"SALE",ORDERS!$D$8:$D$991,"&lt;="&amp;TODAY(),ORDERS!$E$8:$E$991,$A284)*$C284,0))</f>
        <v/>
      </c>
      <c r="F284" s="59" t="str">
        <f t="array" ref="F284">IF($B284="","",IFERROR(INDEX('RAW MATERIALS'!$F$5:$F$15,MATCH($B284,'RAW MATERIALS'!$A$5:$A$16,0)),0))</f>
        <v/>
      </c>
      <c r="G284" s="59" t="str">
        <f t="shared" si="4"/>
        <v/>
      </c>
    </row>
    <row r="285" ht="15.75" customHeight="1">
      <c r="A285" s="59"/>
      <c r="B285" s="59"/>
      <c r="E285" s="59" t="str">
        <f>IF(OR($A285="",$B285="",$C285=""),"",IFERROR(SUMIFS(ORDERS!$F$8:$F$991,ORDERS!$B$8:$B$991,"SALE",ORDERS!$D$8:$D$991,"&lt;="&amp;TODAY(),ORDERS!$E$8:$E$991,$A285)*$C285,0))</f>
        <v/>
      </c>
      <c r="F285" s="59" t="str">
        <f t="array" ref="F285">IF($B285="","",IFERROR(INDEX('RAW MATERIALS'!$F$5:$F$15,MATCH($B285,'RAW MATERIALS'!$A$5:$A$16,0)),0))</f>
        <v/>
      </c>
      <c r="G285" s="59" t="str">
        <f t="shared" si="4"/>
        <v/>
      </c>
    </row>
    <row r="286" ht="15.75" customHeight="1">
      <c r="A286" s="59"/>
      <c r="B286" s="59"/>
      <c r="E286" s="59" t="str">
        <f>IF(OR($A286="",$B286="",$C286=""),"",IFERROR(SUMIFS(ORDERS!$F$8:$F$991,ORDERS!$B$8:$B$991,"SALE",ORDERS!$D$8:$D$991,"&lt;="&amp;TODAY(),ORDERS!$E$8:$E$991,$A286)*$C286,0))</f>
        <v/>
      </c>
      <c r="F286" s="59" t="str">
        <f t="array" ref="F286">IF($B286="","",IFERROR(INDEX('RAW MATERIALS'!$F$5:$F$15,MATCH($B286,'RAW MATERIALS'!$A$5:$A$16,0)),0))</f>
        <v/>
      </c>
      <c r="G286" s="59" t="str">
        <f t="shared" si="4"/>
        <v/>
      </c>
    </row>
    <row r="287" ht="15.75" customHeight="1">
      <c r="A287" s="59"/>
      <c r="B287" s="59"/>
      <c r="E287" s="59" t="str">
        <f>IF(OR($A287="",$B287="",$C287=""),"",IFERROR(SUMIFS(ORDERS!$F$8:$F$991,ORDERS!$B$8:$B$991,"SALE",ORDERS!$D$8:$D$991,"&lt;="&amp;TODAY(),ORDERS!$E$8:$E$991,$A287)*$C287,0))</f>
        <v/>
      </c>
      <c r="F287" s="59" t="str">
        <f t="array" ref="F287">IF($B287="","",IFERROR(INDEX('RAW MATERIALS'!$F$5:$F$15,MATCH($B287,'RAW MATERIALS'!$A$5:$A$16,0)),0))</f>
        <v/>
      </c>
      <c r="G287" s="59" t="str">
        <f t="shared" si="4"/>
        <v/>
      </c>
    </row>
    <row r="288" ht="15.75" customHeight="1">
      <c r="A288" s="59"/>
      <c r="B288" s="59"/>
      <c r="E288" s="59" t="str">
        <f>IF(OR($A288="",$B288="",$C288=""),"",IFERROR(SUMIFS(ORDERS!$F$8:$F$991,ORDERS!$B$8:$B$991,"SALE",ORDERS!$D$8:$D$991,"&lt;="&amp;TODAY(),ORDERS!$E$8:$E$991,$A288)*$C288,0))</f>
        <v/>
      </c>
      <c r="F288" s="59" t="str">
        <f t="array" ref="F288">IF($B288="","",IFERROR(INDEX('RAW MATERIALS'!$F$5:$F$15,MATCH($B288,'RAW MATERIALS'!$A$5:$A$16,0)),0))</f>
        <v/>
      </c>
      <c r="G288" s="59" t="str">
        <f t="shared" si="4"/>
        <v/>
      </c>
    </row>
    <row r="289" ht="15.75" customHeight="1">
      <c r="A289" s="59"/>
      <c r="B289" s="59"/>
      <c r="E289" s="59" t="str">
        <f>IF(OR($A289="",$B289="",$C289=""),"",IFERROR(SUMIFS(ORDERS!$F$8:$F$991,ORDERS!$B$8:$B$991,"SALE",ORDERS!$D$8:$D$991,"&lt;="&amp;TODAY(),ORDERS!$E$8:$E$991,$A289)*$C289,0))</f>
        <v/>
      </c>
      <c r="F289" s="59" t="str">
        <f t="array" ref="F289">IF($B289="","",IFERROR(INDEX('RAW MATERIALS'!$F$5:$F$15,MATCH($B289,'RAW MATERIALS'!$A$5:$A$16,0)),0))</f>
        <v/>
      </c>
      <c r="G289" s="59" t="str">
        <f t="shared" si="4"/>
        <v/>
      </c>
    </row>
    <row r="290" ht="15.75" customHeight="1">
      <c r="A290" s="59"/>
      <c r="B290" s="59"/>
      <c r="E290" s="59" t="str">
        <f>IF(OR($A290="",$B290="",$C290=""),"",IFERROR(SUMIFS(ORDERS!$F$8:$F$991,ORDERS!$B$8:$B$991,"SALE",ORDERS!$D$8:$D$991,"&lt;="&amp;TODAY(),ORDERS!$E$8:$E$991,$A290)*$C290,0))</f>
        <v/>
      </c>
      <c r="F290" s="59" t="str">
        <f t="array" ref="F290">IF($B290="","",IFERROR(INDEX('RAW MATERIALS'!$F$5:$F$15,MATCH($B290,'RAW MATERIALS'!$A$5:$A$16,0)),0))</f>
        <v/>
      </c>
      <c r="G290" s="59" t="str">
        <f t="shared" si="4"/>
        <v/>
      </c>
    </row>
    <row r="291" ht="15.75" customHeight="1">
      <c r="A291" s="59"/>
      <c r="B291" s="59"/>
      <c r="E291" s="59" t="str">
        <f>IF(OR($A291="",$B291="",$C291=""),"",IFERROR(SUMIFS(ORDERS!$F$8:$F$991,ORDERS!$B$8:$B$991,"SALE",ORDERS!$D$8:$D$991,"&lt;="&amp;TODAY(),ORDERS!$E$8:$E$991,$A291)*$C291,0))</f>
        <v/>
      </c>
      <c r="F291" s="59" t="str">
        <f t="array" ref="F291">IF($B291="","",IFERROR(INDEX('RAW MATERIALS'!$F$5:$F$15,MATCH($B291,'RAW MATERIALS'!$A$5:$A$16,0)),0))</f>
        <v/>
      </c>
      <c r="G291" s="59" t="str">
        <f t="shared" si="4"/>
        <v/>
      </c>
    </row>
    <row r="292" ht="15.75" customHeight="1">
      <c r="A292" s="59"/>
      <c r="B292" s="59"/>
      <c r="E292" s="59" t="str">
        <f>IF(OR($A292="",$B292="",$C292=""),"",IFERROR(SUMIFS(ORDERS!$F$8:$F$991,ORDERS!$B$8:$B$991,"SALE",ORDERS!$D$8:$D$991,"&lt;="&amp;TODAY(),ORDERS!$E$8:$E$991,$A292)*$C292,0))</f>
        <v/>
      </c>
      <c r="F292" s="59" t="str">
        <f t="array" ref="F292">IF($B292="","",IFERROR(INDEX('RAW MATERIALS'!$F$5:$F$15,MATCH($B292,'RAW MATERIALS'!$A$5:$A$16,0)),0))</f>
        <v/>
      </c>
      <c r="G292" s="59" t="str">
        <f t="shared" si="4"/>
        <v/>
      </c>
    </row>
    <row r="293" ht="15.75" customHeight="1">
      <c r="A293" s="59"/>
      <c r="B293" s="59"/>
      <c r="E293" s="59" t="str">
        <f>IF(OR($A293="",$B293="",$C293=""),"",IFERROR(SUMIFS(ORDERS!$F$8:$F$991,ORDERS!$B$8:$B$991,"SALE",ORDERS!$D$8:$D$991,"&lt;="&amp;TODAY(),ORDERS!$E$8:$E$991,$A293)*$C293,0))</f>
        <v/>
      </c>
      <c r="F293" s="59" t="str">
        <f t="array" ref="F293">IF($B293="","",IFERROR(INDEX('RAW MATERIALS'!$F$5:$F$15,MATCH($B293,'RAW MATERIALS'!$A$5:$A$16,0)),0))</f>
        <v/>
      </c>
      <c r="G293" s="59" t="str">
        <f t="shared" si="4"/>
        <v/>
      </c>
    </row>
    <row r="294" ht="15.75" customHeight="1">
      <c r="A294" s="59"/>
      <c r="B294" s="59"/>
      <c r="E294" s="59" t="str">
        <f>IF(OR($A294="",$B294="",$C294=""),"",IFERROR(SUMIFS(ORDERS!$F$8:$F$991,ORDERS!$B$8:$B$991,"SALE",ORDERS!$D$8:$D$991,"&lt;="&amp;TODAY(),ORDERS!$E$8:$E$991,$A294)*$C294,0))</f>
        <v/>
      </c>
      <c r="F294" s="59" t="str">
        <f t="array" ref="F294">IF($B294="","",IFERROR(INDEX('RAW MATERIALS'!$F$5:$F$15,MATCH($B294,'RAW MATERIALS'!$A$5:$A$16,0)),0))</f>
        <v/>
      </c>
      <c r="G294" s="59" t="str">
        <f t="shared" si="4"/>
        <v/>
      </c>
    </row>
    <row r="295" ht="15.75" customHeight="1">
      <c r="A295" s="59"/>
      <c r="B295" s="59"/>
      <c r="E295" s="59" t="str">
        <f>IF(OR($A295="",$B295="",$C295=""),"",IFERROR(SUMIFS(ORDERS!$F$8:$F$991,ORDERS!$B$8:$B$991,"SALE",ORDERS!$D$8:$D$991,"&lt;="&amp;TODAY(),ORDERS!$E$8:$E$991,$A295)*$C295,0))</f>
        <v/>
      </c>
      <c r="F295" s="59" t="str">
        <f t="array" ref="F295">IF($B295="","",IFERROR(INDEX('RAW MATERIALS'!$F$5:$F$15,MATCH($B295,'RAW MATERIALS'!$A$5:$A$16,0)),0))</f>
        <v/>
      </c>
      <c r="G295" s="59" t="str">
        <f t="shared" si="4"/>
        <v/>
      </c>
    </row>
    <row r="296" ht="15.75" customHeight="1">
      <c r="A296" s="59"/>
      <c r="B296" s="59"/>
      <c r="E296" s="59" t="str">
        <f>IF(OR($A296="",$B296="",$C296=""),"",IFERROR(SUMIFS(ORDERS!$F$8:$F$991,ORDERS!$B$8:$B$991,"SALE",ORDERS!$D$8:$D$991,"&lt;="&amp;TODAY(),ORDERS!$E$8:$E$991,$A296)*$C296,0))</f>
        <v/>
      </c>
      <c r="F296" s="59" t="str">
        <f t="array" ref="F296">IF($B296="","",IFERROR(INDEX('RAW MATERIALS'!$F$5:$F$15,MATCH($B296,'RAW MATERIALS'!$A$5:$A$16,0)),0))</f>
        <v/>
      </c>
      <c r="G296" s="59" t="str">
        <f t="shared" si="4"/>
        <v/>
      </c>
    </row>
    <row r="297" ht="15.75" customHeight="1">
      <c r="A297" s="59"/>
      <c r="B297" s="59"/>
      <c r="E297" s="59" t="str">
        <f>IF(OR($A297="",$B297="",$C297=""),"",IFERROR(SUMIFS(ORDERS!$F$8:$F$991,ORDERS!$B$8:$B$991,"SALE",ORDERS!$D$8:$D$991,"&lt;="&amp;TODAY(),ORDERS!$E$8:$E$991,$A297)*$C297,0))</f>
        <v/>
      </c>
      <c r="F297" s="59" t="str">
        <f t="array" ref="F297">IF($B297="","",IFERROR(INDEX('RAW MATERIALS'!$F$5:$F$15,MATCH($B297,'RAW MATERIALS'!$A$5:$A$16,0)),0))</f>
        <v/>
      </c>
      <c r="G297" s="59" t="str">
        <f t="shared" si="4"/>
        <v/>
      </c>
    </row>
    <row r="298" ht="15.75" customHeight="1">
      <c r="A298" s="59"/>
      <c r="B298" s="59"/>
      <c r="E298" s="59" t="str">
        <f>IF(OR($A298="",$B298="",$C298=""),"",IFERROR(SUMIFS(ORDERS!$F$8:$F$991,ORDERS!$B$8:$B$991,"SALE",ORDERS!$D$8:$D$991,"&lt;="&amp;TODAY(),ORDERS!$E$8:$E$991,$A298)*$C298,0))</f>
        <v/>
      </c>
      <c r="F298" s="59" t="str">
        <f t="array" ref="F298">IF($B298="","",IFERROR(INDEX('RAW MATERIALS'!$F$5:$F$15,MATCH($B298,'RAW MATERIALS'!$A$5:$A$16,0)),0))</f>
        <v/>
      </c>
      <c r="G298" s="59" t="str">
        <f t="shared" si="4"/>
        <v/>
      </c>
    </row>
    <row r="299" ht="15.75" customHeight="1">
      <c r="A299" s="59"/>
      <c r="B299" s="59"/>
      <c r="E299" s="59" t="str">
        <f>IF(OR($A299="",$B299="",$C299=""),"",IFERROR(SUMIFS(ORDERS!$F$8:$F$991,ORDERS!$B$8:$B$991,"SALE",ORDERS!$D$8:$D$991,"&lt;="&amp;TODAY(),ORDERS!$E$8:$E$991,$A299)*$C299,0))</f>
        <v/>
      </c>
      <c r="F299" s="59" t="str">
        <f t="array" ref="F299">IF($B299="","",IFERROR(INDEX('RAW MATERIALS'!$F$5:$F$15,MATCH($B299,'RAW MATERIALS'!$A$5:$A$16,0)),0))</f>
        <v/>
      </c>
      <c r="G299" s="59" t="str">
        <f t="shared" si="4"/>
        <v/>
      </c>
    </row>
    <row r="300" ht="15.75" customHeight="1">
      <c r="A300" s="59"/>
      <c r="B300" s="59"/>
      <c r="E300" s="59" t="str">
        <f>IF(OR($A300="",$B300="",$C300=""),"",IFERROR(SUMIFS(ORDERS!$F$8:$F$991,ORDERS!$B$8:$B$991,"SALE",ORDERS!$D$8:$D$991,"&lt;="&amp;TODAY(),ORDERS!$E$8:$E$991,$A300)*$C300,0))</f>
        <v/>
      </c>
      <c r="F300" s="59" t="str">
        <f t="array" ref="F300">IF($B300="","",IFERROR(INDEX('RAW MATERIALS'!$F$5:$F$15,MATCH($B300,'RAW MATERIALS'!$A$5:$A$16,0)),0))</f>
        <v/>
      </c>
      <c r="G300" s="59" t="str">
        <f t="shared" si="4"/>
        <v/>
      </c>
    </row>
    <row r="301" ht="15.75" customHeight="1">
      <c r="A301" s="59"/>
      <c r="B301" s="59"/>
      <c r="E301" s="59" t="str">
        <f>IF(OR($A301="",$B301="",$C301=""),"",IFERROR(SUMIFS(ORDERS!$F$8:$F$991,ORDERS!$B$8:$B$991,"SALE",ORDERS!$D$8:$D$991,"&lt;="&amp;TODAY(),ORDERS!$E$8:$E$991,$A301)*$C301,0))</f>
        <v/>
      </c>
      <c r="F301" s="59" t="str">
        <f t="array" ref="F301">IF($B301="","",IFERROR(INDEX('RAW MATERIALS'!$F$5:$F$15,MATCH($B301,'RAW MATERIALS'!$A$5:$A$16,0)),0))</f>
        <v/>
      </c>
      <c r="G301" s="59" t="str">
        <f t="shared" si="4"/>
        <v/>
      </c>
    </row>
    <row r="302" ht="15.75" customHeight="1">
      <c r="A302" s="59"/>
      <c r="B302" s="59"/>
      <c r="E302" s="59" t="str">
        <f>IF(OR($A302="",$B302="",$C302=""),"",IFERROR(SUMIFS(ORDERS!$F$8:$F$991,ORDERS!$B$8:$B$991,"SALE",ORDERS!$D$8:$D$991,"&lt;="&amp;TODAY(),ORDERS!$E$8:$E$991,$A302)*$C302,0))</f>
        <v/>
      </c>
      <c r="F302" s="59" t="str">
        <f t="array" ref="F302">IF($B302="","",IFERROR(INDEX('RAW MATERIALS'!$F$5:$F$15,MATCH($B302,'RAW MATERIALS'!$A$5:$A$16,0)),0))</f>
        <v/>
      </c>
      <c r="G302" s="59" t="str">
        <f t="shared" si="4"/>
        <v/>
      </c>
    </row>
    <row r="303" ht="15.75" customHeight="1">
      <c r="A303" s="59"/>
      <c r="B303" s="59"/>
      <c r="E303" s="59" t="str">
        <f>IF(OR($A303="",$B303="",$C303=""),"",IFERROR(SUMIFS(ORDERS!$F$8:$F$991,ORDERS!$B$8:$B$991,"SALE",ORDERS!$D$8:$D$991,"&lt;="&amp;TODAY(),ORDERS!$E$8:$E$991,$A303)*$C303,0))</f>
        <v/>
      </c>
      <c r="F303" s="59" t="str">
        <f t="array" ref="F303">IF($B303="","",IFERROR(INDEX('RAW MATERIALS'!$F$5:$F$15,MATCH($B303,'RAW MATERIALS'!$A$5:$A$16,0)),0))</f>
        <v/>
      </c>
      <c r="G303" s="59" t="str">
        <f t="shared" si="4"/>
        <v/>
      </c>
    </row>
    <row r="304" ht="15.75" customHeight="1">
      <c r="A304" s="59"/>
      <c r="B304" s="59"/>
      <c r="E304" s="59" t="str">
        <f>IF(OR($A304="",$B304="",$C304=""),"",IFERROR(SUMIFS(ORDERS!$F$8:$F$991,ORDERS!$B$8:$B$991,"SALE",ORDERS!$D$8:$D$991,"&lt;="&amp;TODAY(),ORDERS!$E$8:$E$991,$A304)*$C304,0))</f>
        <v/>
      </c>
      <c r="F304" s="59" t="str">
        <f t="array" ref="F304">IF($B304="","",IFERROR(INDEX('RAW MATERIALS'!$F$5:$F$15,MATCH($B304,'RAW MATERIALS'!$A$5:$A$16,0)),0))</f>
        <v/>
      </c>
      <c r="G304" s="59" t="str">
        <f t="shared" si="4"/>
        <v/>
      </c>
    </row>
    <row r="305" ht="15.75" customHeight="1">
      <c r="A305" s="59"/>
      <c r="B305" s="59"/>
      <c r="E305" s="59" t="str">
        <f>IF(OR($A305="",$B305="",$C305=""),"",IFERROR(SUMIFS(ORDERS!$F$8:$F$991,ORDERS!$B$8:$B$991,"SALE",ORDERS!$D$8:$D$991,"&lt;="&amp;TODAY(),ORDERS!$E$8:$E$991,$A305)*$C305,0))</f>
        <v/>
      </c>
      <c r="F305" s="59" t="str">
        <f t="array" ref="F305">IF($B305="","",IFERROR(INDEX('RAW MATERIALS'!$F$5:$F$15,MATCH($B305,'RAW MATERIALS'!$A$5:$A$16,0)),0))</f>
        <v/>
      </c>
      <c r="G305" s="59" t="str">
        <f t="shared" si="4"/>
        <v/>
      </c>
    </row>
    <row r="306" ht="15.75" customHeight="1">
      <c r="A306" s="59"/>
      <c r="B306" s="59"/>
      <c r="E306" s="59" t="str">
        <f>IF(OR($A306="",$B306="",$C306=""),"",IFERROR(SUMIFS(ORDERS!$F$8:$F$991,ORDERS!$B$8:$B$991,"SALE",ORDERS!$D$8:$D$991,"&lt;="&amp;TODAY(),ORDERS!$E$8:$E$991,$A306)*$C306,0))</f>
        <v/>
      </c>
      <c r="F306" s="59" t="str">
        <f t="array" ref="F306">IF($B306="","",IFERROR(INDEX('RAW MATERIALS'!$F$5:$F$15,MATCH($B306,'RAW MATERIALS'!$A$5:$A$16,0)),0))</f>
        <v/>
      </c>
      <c r="G306" s="59" t="str">
        <f t="shared" si="4"/>
        <v/>
      </c>
    </row>
    <row r="307" ht="15.75" customHeight="1">
      <c r="A307" s="59"/>
      <c r="B307" s="59"/>
      <c r="E307" s="59" t="str">
        <f>IF(OR($A307="",$B307="",$C307=""),"",IFERROR(SUMIFS(ORDERS!$F$8:$F$991,ORDERS!$B$8:$B$991,"SALE",ORDERS!$D$8:$D$991,"&lt;="&amp;TODAY(),ORDERS!$E$8:$E$991,$A307)*$C307,0))</f>
        <v/>
      </c>
      <c r="F307" s="59" t="str">
        <f t="array" ref="F307">IF($B307="","",IFERROR(INDEX('RAW MATERIALS'!$F$5:$F$15,MATCH($B307,'RAW MATERIALS'!$A$5:$A$16,0)),0))</f>
        <v/>
      </c>
      <c r="G307" s="59" t="str">
        <f t="shared" si="4"/>
        <v/>
      </c>
    </row>
    <row r="308" ht="15.75" customHeight="1">
      <c r="A308" s="59"/>
      <c r="B308" s="59"/>
      <c r="E308" s="59" t="str">
        <f>IF(OR($A308="",$B308="",$C308=""),"",IFERROR(SUMIFS(ORDERS!$F$8:$F$991,ORDERS!$B$8:$B$991,"SALE",ORDERS!$D$8:$D$991,"&lt;="&amp;TODAY(),ORDERS!$E$8:$E$991,$A308)*$C308,0))</f>
        <v/>
      </c>
      <c r="F308" s="59" t="str">
        <f t="array" ref="F308">IF($B308="","",IFERROR(INDEX('RAW MATERIALS'!$F$5:$F$15,MATCH($B308,'RAW MATERIALS'!$A$5:$A$16,0)),0))</f>
        <v/>
      </c>
      <c r="G308" s="59" t="str">
        <f t="shared" si="4"/>
        <v/>
      </c>
    </row>
    <row r="309" ht="15.75" customHeight="1">
      <c r="A309" s="59"/>
      <c r="B309" s="59"/>
      <c r="E309" s="59" t="str">
        <f>IF(OR($A309="",$B309="",$C309=""),"",IFERROR(SUMIFS(ORDERS!$F$8:$F$991,ORDERS!$B$8:$B$991,"SALE",ORDERS!$D$8:$D$991,"&lt;="&amp;TODAY(),ORDERS!$E$8:$E$991,$A309)*$C309,0))</f>
        <v/>
      </c>
      <c r="F309" s="59" t="str">
        <f t="array" ref="F309">IF($B309="","",IFERROR(INDEX('RAW MATERIALS'!$F$5:$F$15,MATCH($B309,'RAW MATERIALS'!$A$5:$A$16,0)),0))</f>
        <v/>
      </c>
      <c r="G309" s="59" t="str">
        <f t="shared" si="4"/>
        <v/>
      </c>
    </row>
    <row r="310" ht="15.75" customHeight="1">
      <c r="A310" s="59"/>
      <c r="B310" s="59"/>
      <c r="E310" s="59" t="str">
        <f>IF(OR($A310="",$B310="",$C310=""),"",IFERROR(SUMIFS(ORDERS!$F$8:$F$991,ORDERS!$B$8:$B$991,"SALE",ORDERS!$D$8:$D$991,"&lt;="&amp;TODAY(),ORDERS!$E$8:$E$991,$A310)*$C310,0))</f>
        <v/>
      </c>
      <c r="F310" s="59" t="str">
        <f t="array" ref="F310">IF($B310="","",IFERROR(INDEX('RAW MATERIALS'!$F$5:$F$15,MATCH($B310,'RAW MATERIALS'!$A$5:$A$16,0)),0))</f>
        <v/>
      </c>
      <c r="G310" s="59" t="str">
        <f t="shared" si="4"/>
        <v/>
      </c>
    </row>
    <row r="311" ht="15.75" customHeight="1">
      <c r="A311" s="59"/>
      <c r="B311" s="59"/>
      <c r="E311" s="59" t="str">
        <f>IF(OR($A311="",$B311="",$C311=""),"",IFERROR(SUMIFS(ORDERS!$F$8:$F$991,ORDERS!$B$8:$B$991,"SALE",ORDERS!$D$8:$D$991,"&lt;="&amp;TODAY(),ORDERS!$E$8:$E$991,$A311)*$C311,0))</f>
        <v/>
      </c>
      <c r="F311" s="59" t="str">
        <f t="array" ref="F311">IF($B311="","",IFERROR(INDEX('RAW MATERIALS'!$F$5:$F$15,MATCH($B311,'RAW MATERIALS'!$A$5:$A$16,0)),0))</f>
        <v/>
      </c>
      <c r="G311" s="59" t="str">
        <f t="shared" si="4"/>
        <v/>
      </c>
    </row>
    <row r="312" ht="15.75" customHeight="1">
      <c r="A312" s="59"/>
      <c r="B312" s="59"/>
      <c r="E312" s="59" t="str">
        <f>IF(OR($A312="",$B312="",$C312=""),"",IFERROR(SUMIFS(ORDERS!$F$8:$F$991,ORDERS!$B$8:$B$991,"SALE",ORDERS!$D$8:$D$991,"&lt;="&amp;TODAY(),ORDERS!$E$8:$E$991,$A312)*$C312,0))</f>
        <v/>
      </c>
      <c r="F312" s="59" t="str">
        <f t="array" ref="F312">IF($B312="","",IFERROR(INDEX('RAW MATERIALS'!$F$5:$F$15,MATCH($B312,'RAW MATERIALS'!$A$5:$A$16,0)),0))</f>
        <v/>
      </c>
      <c r="G312" s="59" t="str">
        <f t="shared" si="4"/>
        <v/>
      </c>
    </row>
    <row r="313" ht="15.75" customHeight="1">
      <c r="A313" s="59"/>
      <c r="B313" s="59"/>
      <c r="E313" s="59" t="str">
        <f>IF(OR($A313="",$B313="",$C313=""),"",IFERROR(SUMIFS(ORDERS!$F$8:$F$991,ORDERS!$B$8:$B$991,"SALE",ORDERS!$D$8:$D$991,"&lt;="&amp;TODAY(),ORDERS!$E$8:$E$991,$A313)*$C313,0))</f>
        <v/>
      </c>
      <c r="F313" s="59" t="str">
        <f t="array" ref="F313">IF($B313="","",IFERROR(INDEX('RAW MATERIALS'!$F$5:$F$15,MATCH($B313,'RAW MATERIALS'!$A$5:$A$16,0)),0))</f>
        <v/>
      </c>
      <c r="G313" s="59" t="str">
        <f t="shared" si="4"/>
        <v/>
      </c>
    </row>
    <row r="314" ht="15.75" customHeight="1">
      <c r="A314" s="59"/>
      <c r="B314" s="59"/>
      <c r="E314" s="59" t="str">
        <f>IF(OR($A314="",$B314="",$C314=""),"",IFERROR(SUMIFS(ORDERS!$F$8:$F$991,ORDERS!$B$8:$B$991,"SALE",ORDERS!$D$8:$D$991,"&lt;="&amp;TODAY(),ORDERS!$E$8:$E$991,$A314)*$C314,0))</f>
        <v/>
      </c>
      <c r="F314" s="59" t="str">
        <f t="array" ref="F314">IF($B314="","",IFERROR(INDEX('RAW MATERIALS'!$F$5:$F$15,MATCH($B314,'RAW MATERIALS'!$A$5:$A$16,0)),0))</f>
        <v/>
      </c>
      <c r="G314" s="59" t="str">
        <f t="shared" si="4"/>
        <v/>
      </c>
    </row>
    <row r="315" ht="15.75" customHeight="1">
      <c r="A315" s="59"/>
      <c r="B315" s="59"/>
      <c r="E315" s="59" t="str">
        <f>IF(OR($A315="",$B315="",$C315=""),"",IFERROR(SUMIFS(ORDERS!$F$8:$F$991,ORDERS!$B$8:$B$991,"SALE",ORDERS!$D$8:$D$991,"&lt;="&amp;TODAY(),ORDERS!$E$8:$E$991,$A315)*$C315,0))</f>
        <v/>
      </c>
      <c r="F315" s="59" t="str">
        <f t="array" ref="F315">IF($B315="","",IFERROR(INDEX('RAW MATERIALS'!$F$5:$F$15,MATCH($B315,'RAW MATERIALS'!$A$5:$A$16,0)),0))</f>
        <v/>
      </c>
      <c r="G315" s="59" t="str">
        <f t="shared" si="4"/>
        <v/>
      </c>
    </row>
    <row r="316" ht="15.75" customHeight="1">
      <c r="A316" s="59"/>
      <c r="B316" s="59"/>
      <c r="E316" s="59" t="str">
        <f>IF(OR($A316="",$B316="",$C316=""),"",IFERROR(SUMIFS(ORDERS!$F$8:$F$991,ORDERS!$B$8:$B$991,"SALE",ORDERS!$D$8:$D$991,"&lt;="&amp;TODAY(),ORDERS!$E$8:$E$991,$A316)*$C316,0))</f>
        <v/>
      </c>
      <c r="F316" s="59" t="str">
        <f t="array" ref="F316">IF($B316="","",IFERROR(INDEX('RAW MATERIALS'!$F$5:$F$15,MATCH($B316,'RAW MATERIALS'!$A$5:$A$16,0)),0))</f>
        <v/>
      </c>
      <c r="G316" s="59" t="str">
        <f t="shared" si="4"/>
        <v/>
      </c>
    </row>
    <row r="317" ht="15.75" customHeight="1">
      <c r="A317" s="59"/>
      <c r="B317" s="59"/>
      <c r="E317" s="59" t="str">
        <f>IF(OR($A317="",$B317="",$C317=""),"",IFERROR(SUMIFS(ORDERS!$F$8:$F$991,ORDERS!$B$8:$B$991,"SALE",ORDERS!$D$8:$D$991,"&lt;="&amp;TODAY(),ORDERS!$E$8:$E$991,$A317)*$C317,0))</f>
        <v/>
      </c>
      <c r="F317" s="59" t="str">
        <f t="array" ref="F317">IF($B317="","",IFERROR(INDEX('RAW MATERIALS'!$F$5:$F$15,MATCH($B317,'RAW MATERIALS'!$A$5:$A$16,0)),0))</f>
        <v/>
      </c>
      <c r="G317" s="59" t="str">
        <f t="shared" si="4"/>
        <v/>
      </c>
    </row>
    <row r="318" ht="15.75" customHeight="1">
      <c r="A318" s="59"/>
      <c r="B318" s="59"/>
      <c r="E318" s="59" t="str">
        <f>IF(OR($A318="",$B318="",$C318=""),"",IFERROR(SUMIFS(ORDERS!$F$8:$F$991,ORDERS!$B$8:$B$991,"SALE",ORDERS!$D$8:$D$991,"&lt;="&amp;TODAY(),ORDERS!$E$8:$E$991,$A318)*$C318,0))</f>
        <v/>
      </c>
      <c r="F318" s="59" t="str">
        <f t="array" ref="F318">IF($B318="","",IFERROR(INDEX('RAW MATERIALS'!$F$5:$F$15,MATCH($B318,'RAW MATERIALS'!$A$5:$A$16,0)),0))</f>
        <v/>
      </c>
      <c r="G318" s="59" t="str">
        <f t="shared" si="4"/>
        <v/>
      </c>
    </row>
    <row r="319" ht="15.75" customHeight="1">
      <c r="A319" s="59"/>
      <c r="B319" s="59"/>
      <c r="E319" s="59" t="str">
        <f>IF(OR($A319="",$B319="",$C319=""),"",IFERROR(SUMIFS(ORDERS!$F$8:$F$991,ORDERS!$B$8:$B$991,"SALE",ORDERS!$D$8:$D$991,"&lt;="&amp;TODAY(),ORDERS!$E$8:$E$991,$A319)*$C319,0))</f>
        <v/>
      </c>
      <c r="F319" s="59" t="str">
        <f t="array" ref="F319">IF($B319="","",IFERROR(INDEX('RAW MATERIALS'!$F$5:$F$15,MATCH($B319,'RAW MATERIALS'!$A$5:$A$16,0)),0))</f>
        <v/>
      </c>
      <c r="G319" s="59" t="str">
        <f t="shared" si="4"/>
        <v/>
      </c>
    </row>
    <row r="320" ht="15.75" customHeight="1">
      <c r="A320" s="59"/>
      <c r="B320" s="59"/>
      <c r="E320" s="59" t="str">
        <f>IF(OR($A320="",$B320="",$C320=""),"",IFERROR(SUMIFS(ORDERS!$F$8:$F$991,ORDERS!$B$8:$B$991,"SALE",ORDERS!$D$8:$D$991,"&lt;="&amp;TODAY(),ORDERS!$E$8:$E$991,$A320)*$C320,0))</f>
        <v/>
      </c>
      <c r="F320" s="59" t="str">
        <f t="array" ref="F320">IF($B320="","",IFERROR(INDEX('RAW MATERIALS'!$F$5:$F$15,MATCH($B320,'RAW MATERIALS'!$A$5:$A$16,0)),0))</f>
        <v/>
      </c>
      <c r="G320" s="59" t="str">
        <f t="shared" si="4"/>
        <v/>
      </c>
    </row>
    <row r="321" ht="15.75" customHeight="1">
      <c r="A321" s="59"/>
      <c r="B321" s="59"/>
      <c r="E321" s="59" t="str">
        <f>IF(OR($A321="",$B321="",$C321=""),"",IFERROR(SUMIFS(ORDERS!$F$8:$F$991,ORDERS!$B$8:$B$991,"SALE",ORDERS!$D$8:$D$991,"&lt;="&amp;TODAY(),ORDERS!$E$8:$E$991,$A321)*$C321,0))</f>
        <v/>
      </c>
      <c r="F321" s="59" t="str">
        <f t="array" ref="F321">IF($B321="","",IFERROR(INDEX('RAW MATERIALS'!$F$5:$F$15,MATCH($B321,'RAW MATERIALS'!$A$5:$A$16,0)),0))</f>
        <v/>
      </c>
      <c r="G321" s="59" t="str">
        <f t="shared" si="4"/>
        <v/>
      </c>
    </row>
    <row r="322" ht="15.75" customHeight="1">
      <c r="A322" s="59"/>
      <c r="B322" s="59"/>
      <c r="E322" s="59" t="str">
        <f>IF(OR($A322="",$B322="",$C322=""),"",IFERROR(SUMIFS(ORDERS!$F$8:$F$991,ORDERS!$B$8:$B$991,"SALE",ORDERS!$D$8:$D$991,"&lt;="&amp;TODAY(),ORDERS!$E$8:$E$991,$A322)*$C322,0))</f>
        <v/>
      </c>
      <c r="F322" s="59" t="str">
        <f t="array" ref="F322">IF($B322="","",IFERROR(INDEX('RAW MATERIALS'!$F$5:$F$15,MATCH($B322,'RAW MATERIALS'!$A$5:$A$16,0)),0))</f>
        <v/>
      </c>
      <c r="G322" s="59" t="str">
        <f t="shared" si="4"/>
        <v/>
      </c>
    </row>
    <row r="323" ht="15.75" customHeight="1">
      <c r="A323" s="59"/>
      <c r="B323" s="59"/>
      <c r="E323" s="59" t="str">
        <f>IF(OR($A323="",$B323="",$C323=""),"",IFERROR(SUMIFS(ORDERS!$F$8:$F$991,ORDERS!$B$8:$B$991,"SALE",ORDERS!$D$8:$D$991,"&lt;="&amp;TODAY(),ORDERS!$E$8:$E$991,$A323)*$C323,0))</f>
        <v/>
      </c>
      <c r="F323" s="59" t="str">
        <f t="array" ref="F323">IF($B323="","",IFERROR(INDEX('RAW MATERIALS'!$F$5:$F$15,MATCH($B323,'RAW MATERIALS'!$A$5:$A$16,0)),0))</f>
        <v/>
      </c>
      <c r="G323" s="59" t="str">
        <f t="shared" si="4"/>
        <v/>
      </c>
    </row>
    <row r="324" ht="15.75" customHeight="1">
      <c r="A324" s="59"/>
      <c r="B324" s="59"/>
      <c r="E324" s="59" t="str">
        <f>IF(OR($A324="",$B324="",$C324=""),"",IFERROR(SUMIFS(ORDERS!$F$8:$F$991,ORDERS!$B$8:$B$991,"SALE",ORDERS!$D$8:$D$991,"&lt;="&amp;TODAY(),ORDERS!$E$8:$E$991,$A324)*$C324,0))</f>
        <v/>
      </c>
      <c r="F324" s="59" t="str">
        <f t="array" ref="F324">IF($B324="","",IFERROR(INDEX('RAW MATERIALS'!$F$5:$F$15,MATCH($B324,'RAW MATERIALS'!$A$5:$A$16,0)),0))</f>
        <v/>
      </c>
      <c r="G324" s="59" t="str">
        <f t="shared" si="4"/>
        <v/>
      </c>
    </row>
    <row r="325" ht="15.75" customHeight="1">
      <c r="A325" s="59"/>
      <c r="B325" s="59"/>
      <c r="E325" s="59" t="str">
        <f>IF(OR($A325="",$B325="",$C325=""),"",IFERROR(SUMIFS(ORDERS!$F$8:$F$991,ORDERS!$B$8:$B$991,"SALE",ORDERS!$D$8:$D$991,"&lt;="&amp;TODAY(),ORDERS!$E$8:$E$991,$A325)*$C325,0))</f>
        <v/>
      </c>
      <c r="F325" s="59" t="str">
        <f t="array" ref="F325">IF($B325="","",IFERROR(INDEX('RAW MATERIALS'!$F$5:$F$15,MATCH($B325,'RAW MATERIALS'!$A$5:$A$16,0)),0))</f>
        <v/>
      </c>
      <c r="G325" s="59" t="str">
        <f t="shared" si="4"/>
        <v/>
      </c>
    </row>
    <row r="326" ht="15.75" customHeight="1">
      <c r="A326" s="59"/>
      <c r="B326" s="59"/>
      <c r="E326" s="59" t="str">
        <f>IF(OR($A326="",$B326="",$C326=""),"",IFERROR(SUMIFS(ORDERS!$F$8:$F$991,ORDERS!$B$8:$B$991,"SALE",ORDERS!$D$8:$D$991,"&lt;="&amp;TODAY(),ORDERS!$E$8:$E$991,$A326)*$C326,0))</f>
        <v/>
      </c>
      <c r="F326" s="59" t="str">
        <f t="array" ref="F326">IF($B326="","",IFERROR(INDEX('RAW MATERIALS'!$F$5:$F$15,MATCH($B326,'RAW MATERIALS'!$A$5:$A$16,0)),0))</f>
        <v/>
      </c>
      <c r="G326" s="59" t="str">
        <f t="shared" si="4"/>
        <v/>
      </c>
    </row>
    <row r="327" ht="15.75" customHeight="1">
      <c r="A327" s="59"/>
      <c r="B327" s="59"/>
      <c r="E327" s="59" t="str">
        <f>IF(OR($A327="",$B327="",$C327=""),"",IFERROR(SUMIFS(ORDERS!$F$8:$F$991,ORDERS!$B$8:$B$991,"SALE",ORDERS!$D$8:$D$991,"&lt;="&amp;TODAY(),ORDERS!$E$8:$E$991,$A327)*$C327,0))</f>
        <v/>
      </c>
      <c r="F327" s="59" t="str">
        <f t="array" ref="F327">IF($B327="","",IFERROR(INDEX('RAW MATERIALS'!$F$5:$F$15,MATCH($B327,'RAW MATERIALS'!$A$5:$A$16,0)),0))</f>
        <v/>
      </c>
      <c r="G327" s="59" t="str">
        <f t="shared" si="4"/>
        <v/>
      </c>
    </row>
    <row r="328" ht="15.75" customHeight="1">
      <c r="A328" s="59"/>
      <c r="B328" s="59"/>
      <c r="E328" s="59" t="str">
        <f>IF(OR($A328="",$B328="",$C328=""),"",IFERROR(SUMIFS(ORDERS!$F$8:$F$991,ORDERS!$B$8:$B$991,"SALE",ORDERS!$D$8:$D$991,"&lt;="&amp;TODAY(),ORDERS!$E$8:$E$991,$A328)*$C328,0))</f>
        <v/>
      </c>
      <c r="F328" s="59" t="str">
        <f t="array" ref="F328">IF($B328="","",IFERROR(INDEX('RAW MATERIALS'!$F$5:$F$15,MATCH($B328,'RAW MATERIALS'!$A$5:$A$16,0)),0))</f>
        <v/>
      </c>
      <c r="G328" s="59" t="str">
        <f t="shared" si="4"/>
        <v/>
      </c>
    </row>
    <row r="329" ht="15.75" customHeight="1">
      <c r="A329" s="59"/>
      <c r="B329" s="59"/>
      <c r="E329" s="59" t="str">
        <f>IF(OR($A329="",$B329="",$C329=""),"",IFERROR(SUMIFS(ORDERS!$F$8:$F$991,ORDERS!$B$8:$B$991,"SALE",ORDERS!$D$8:$D$991,"&lt;="&amp;TODAY(),ORDERS!$E$8:$E$991,$A329)*$C329,0))</f>
        <v/>
      </c>
      <c r="F329" s="59" t="str">
        <f t="array" ref="F329">IF($B329="","",IFERROR(INDEX('RAW MATERIALS'!$F$5:$F$15,MATCH($B329,'RAW MATERIALS'!$A$5:$A$16,0)),0))</f>
        <v/>
      </c>
      <c r="G329" s="59" t="str">
        <f t="shared" si="4"/>
        <v/>
      </c>
    </row>
    <row r="330" ht="15.75" customHeight="1">
      <c r="A330" s="59"/>
      <c r="B330" s="59"/>
      <c r="E330" s="59" t="str">
        <f>IF(OR($A330="",$B330="",$C330=""),"",IFERROR(SUMIFS(ORDERS!$F$8:$F$991,ORDERS!$B$8:$B$991,"SALE",ORDERS!$D$8:$D$991,"&lt;="&amp;TODAY(),ORDERS!$E$8:$E$991,$A330)*$C330,0))</f>
        <v/>
      </c>
      <c r="F330" s="59" t="str">
        <f t="array" ref="F330">IF($B330="","",IFERROR(INDEX('RAW MATERIALS'!$F$5:$F$15,MATCH($B330,'RAW MATERIALS'!$A$5:$A$16,0)),0))</f>
        <v/>
      </c>
      <c r="G330" s="59" t="str">
        <f t="shared" si="4"/>
        <v/>
      </c>
    </row>
    <row r="331" ht="15.75" customHeight="1">
      <c r="A331" s="59"/>
      <c r="B331" s="59"/>
      <c r="E331" s="59" t="str">
        <f>IF(OR($A331="",$B331="",$C331=""),"",IFERROR(SUMIFS(ORDERS!$F$8:$F$991,ORDERS!$B$8:$B$991,"SALE",ORDERS!$D$8:$D$991,"&lt;="&amp;TODAY(),ORDERS!$E$8:$E$991,$A331)*$C331,0))</f>
        <v/>
      </c>
      <c r="F331" s="59" t="str">
        <f t="array" ref="F331">IF($B331="","",IFERROR(INDEX('RAW MATERIALS'!$F$5:$F$15,MATCH($B331,'RAW MATERIALS'!$A$5:$A$16,0)),0))</f>
        <v/>
      </c>
      <c r="G331" s="59" t="str">
        <f t="shared" si="4"/>
        <v/>
      </c>
    </row>
    <row r="332" ht="15.75" customHeight="1">
      <c r="A332" s="59"/>
      <c r="B332" s="59"/>
      <c r="E332" s="59" t="str">
        <f>IF(OR($A332="",$B332="",$C332=""),"",IFERROR(SUMIFS(ORDERS!$F$8:$F$991,ORDERS!$B$8:$B$991,"SALE",ORDERS!$D$8:$D$991,"&lt;="&amp;TODAY(),ORDERS!$E$8:$E$991,$A332)*$C332,0))</f>
        <v/>
      </c>
      <c r="F332" s="59" t="str">
        <f t="array" ref="F332">IF($B332="","",IFERROR(INDEX('RAW MATERIALS'!$F$5:$F$15,MATCH($B332,'RAW MATERIALS'!$A$5:$A$16,0)),0))</f>
        <v/>
      </c>
      <c r="G332" s="59" t="str">
        <f t="shared" si="4"/>
        <v/>
      </c>
    </row>
    <row r="333" ht="15.75" customHeight="1">
      <c r="A333" s="59"/>
      <c r="B333" s="59"/>
      <c r="E333" s="59" t="str">
        <f>IF(OR($A333="",$B333="",$C333=""),"",IFERROR(SUMIFS(ORDERS!$F$8:$F$991,ORDERS!$B$8:$B$991,"SALE",ORDERS!$D$8:$D$991,"&lt;="&amp;TODAY(),ORDERS!$E$8:$E$991,$A333)*$C333,0))</f>
        <v/>
      </c>
      <c r="F333" s="59" t="str">
        <f t="array" ref="F333">IF($B333="","",IFERROR(INDEX('RAW MATERIALS'!$F$5:$F$15,MATCH($B333,'RAW MATERIALS'!$A$5:$A$16,0)),0))</f>
        <v/>
      </c>
      <c r="G333" s="59" t="str">
        <f t="shared" si="4"/>
        <v/>
      </c>
    </row>
    <row r="334" ht="15.75" customHeight="1">
      <c r="A334" s="59"/>
      <c r="B334" s="59"/>
      <c r="E334" s="59" t="str">
        <f>IF(OR($A334="",$B334="",$C334=""),"",IFERROR(SUMIFS(ORDERS!$F$8:$F$991,ORDERS!$B$8:$B$991,"SALE",ORDERS!$D$8:$D$991,"&lt;="&amp;TODAY(),ORDERS!$E$8:$E$991,$A334)*$C334,0))</f>
        <v/>
      </c>
      <c r="F334" s="59" t="str">
        <f t="array" ref="F334">IF($B334="","",IFERROR(INDEX('RAW MATERIALS'!$F$5:$F$15,MATCH($B334,'RAW MATERIALS'!$A$5:$A$16,0)),0))</f>
        <v/>
      </c>
      <c r="G334" s="59" t="str">
        <f t="shared" si="4"/>
        <v/>
      </c>
    </row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">
    <mergeCell ref="A1:B1"/>
  </mergeCells>
  <conditionalFormatting sqref="B4:B14 B26">
    <cfRule type="expression" dxfId="8" priority="1">
      <formula>$F4="YES"</formula>
    </cfRule>
  </conditionalFormatting>
  <conditionalFormatting sqref="A4:A8 A14:A56 B20:B56">
    <cfRule type="expression" dxfId="8" priority="2">
      <formula>$G4="YES"</formula>
    </cfRule>
  </conditionalFormatting>
  <conditionalFormatting sqref="A14:A56 B20:B56">
    <cfRule type="expression" dxfId="8" priority="3">
      <formula>$G14="YES"</formula>
    </cfRule>
  </conditionalFormatting>
  <conditionalFormatting sqref="B14:B15">
    <cfRule type="expression" dxfId="8" priority="4">
      <formula>$G14="YES"</formula>
    </cfRule>
  </conditionalFormatting>
  <conditionalFormatting sqref="B14:B15">
    <cfRule type="expression" dxfId="8" priority="5">
      <formula>$G14="YES"</formula>
    </cfRule>
  </conditionalFormatting>
  <conditionalFormatting sqref="B16">
    <cfRule type="expression" dxfId="8" priority="6">
      <formula>$G16="YES"</formula>
    </cfRule>
  </conditionalFormatting>
  <conditionalFormatting sqref="B16">
    <cfRule type="expression" dxfId="8" priority="7">
      <formula>$G16="YES"</formula>
    </cfRule>
  </conditionalFormatting>
  <conditionalFormatting sqref="B17">
    <cfRule type="expression" dxfId="8" priority="8">
      <formula>$G17="YES"</formula>
    </cfRule>
  </conditionalFormatting>
  <conditionalFormatting sqref="B17">
    <cfRule type="expression" dxfId="8" priority="9">
      <formula>$G17="YES"</formula>
    </cfRule>
  </conditionalFormatting>
  <conditionalFormatting sqref="B18">
    <cfRule type="expression" dxfId="8" priority="10">
      <formula>$G18="YES"</formula>
    </cfRule>
  </conditionalFormatting>
  <conditionalFormatting sqref="B18">
    <cfRule type="expression" dxfId="8" priority="11">
      <formula>$G18="YES"</formula>
    </cfRule>
  </conditionalFormatting>
  <conditionalFormatting sqref="B19">
    <cfRule type="expression" dxfId="8" priority="12">
      <formula>$G19="YES"</formula>
    </cfRule>
  </conditionalFormatting>
  <conditionalFormatting sqref="B19">
    <cfRule type="expression" dxfId="8" priority="13">
      <formula>$G19="YES"</formula>
    </cfRule>
  </conditionalFormatting>
  <conditionalFormatting sqref="B20:B56">
    <cfRule type="expression" dxfId="8" priority="14">
      <formula>$G20="YES"</formula>
    </cfRule>
  </conditionalFormatting>
  <conditionalFormatting sqref="B20:B56">
    <cfRule type="expression" dxfId="8" priority="15">
      <formula>$G20="YES"</formula>
    </cfRule>
  </conditionalFormatting>
  <conditionalFormatting sqref="A9:A14 A26">
    <cfRule type="expression" dxfId="8" priority="16">
      <formula>$G9="YES"</formula>
    </cfRule>
  </conditionalFormatting>
  <conditionalFormatting sqref="A11:A14">
    <cfRule type="expression" dxfId="8" priority="17">
      <formula>$G11="YES"</formula>
    </cfRule>
  </conditionalFormatting>
  <conditionalFormatting sqref="A12:A14">
    <cfRule type="expression" dxfId="8" priority="18">
      <formula>$G12="YES"</formula>
    </cfRule>
  </conditionalFormatting>
  <conditionalFormatting sqref="A13:A14">
    <cfRule type="expression" dxfId="8" priority="19">
      <formula>$G13="YES"</formula>
    </cfRule>
  </conditionalFormatting>
  <dataValidations>
    <dataValidation type="list" allowBlank="1" sqref="A4:A19 A20:B25 A26 A27:B30 A31 A32:B56 A57:A334">
      <formula1>'SETUP LISTS'!$B$2:$B$98</formula1>
    </dataValidation>
    <dataValidation type="list" allowBlank="1" sqref="B4:B19 B26 B31 B57:B334">
      <formula1>'SETUP LISTS'!$A$2:$A$98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43"/>
    <col customWidth="1" min="2" max="2" width="14.43"/>
    <col customWidth="1" min="3" max="3" width="14.86"/>
    <col customWidth="1" min="4" max="4" width="18.86"/>
    <col customWidth="1" min="5" max="5" width="36.71"/>
    <col customWidth="1" min="6" max="6" width="15.14"/>
    <col customWidth="1" min="7" max="7" width="19.0"/>
    <col customWidth="1" min="8" max="8" width="26.43"/>
    <col customWidth="1" hidden="1" min="9" max="9" width="15.57"/>
    <col customWidth="1" min="10" max="26" width="8.71"/>
  </cols>
  <sheetData>
    <row r="1">
      <c r="A1" s="1" t="s">
        <v>3</v>
      </c>
      <c r="C1" s="7"/>
      <c r="D1" s="3"/>
      <c r="F1" s="3"/>
      <c r="G1" s="3"/>
    </row>
    <row r="2">
      <c r="A2" s="10"/>
      <c r="C2" s="7"/>
      <c r="D2" s="13" t="s">
        <v>9</v>
      </c>
      <c r="E2" s="15"/>
      <c r="F2" s="16"/>
      <c r="G2" s="20"/>
    </row>
    <row r="3">
      <c r="A3" s="22"/>
      <c r="C3" s="7"/>
      <c r="D3" s="3"/>
      <c r="E3" s="24" t="s">
        <v>12</v>
      </c>
      <c r="F3" s="25" t="s">
        <v>26</v>
      </c>
      <c r="G3" s="25"/>
    </row>
    <row r="4">
      <c r="A4" s="10"/>
      <c r="C4" s="7"/>
      <c r="D4" s="3"/>
      <c r="E4" s="28" t="s">
        <v>33</v>
      </c>
      <c r="F4" s="34">
        <f>IFERROR(__xludf.DUMMYFUNCTION("ARRAY_CONSTRAIN(ARRAYFORMULA(IF($E$4="""","""",IFERROR(MIN(FILTER(BOM!$G$4:$G$334,BOM!$A$4:$A$334=$E$4)),0))), 1, 1)"),104000.0)</f>
        <v>104000</v>
      </c>
      <c r="G4" s="36"/>
    </row>
    <row r="5">
      <c r="A5" s="5" t="s">
        <v>36</v>
      </c>
      <c r="B5" s="5" t="s">
        <v>37</v>
      </c>
      <c r="C5" s="4" t="s">
        <v>38</v>
      </c>
      <c r="D5" s="4" t="s">
        <v>39</v>
      </c>
      <c r="E5" s="5" t="s">
        <v>40</v>
      </c>
      <c r="F5" s="4" t="s">
        <v>41</v>
      </c>
      <c r="G5" s="4"/>
      <c r="H5" s="5" t="s">
        <v>42</v>
      </c>
      <c r="I5" s="4" t="s">
        <v>43</v>
      </c>
    </row>
    <row r="6">
      <c r="A6" s="38"/>
      <c r="B6" s="38"/>
      <c r="C6" s="40"/>
      <c r="D6" s="40"/>
      <c r="E6" s="38"/>
      <c r="F6" s="40"/>
      <c r="G6" s="40"/>
      <c r="H6" s="38"/>
      <c r="I6" s="38"/>
    </row>
    <row r="7" ht="22.5" customHeight="1">
      <c r="A7" s="43" t="s">
        <v>44</v>
      </c>
      <c r="B7" s="43" t="s">
        <v>45</v>
      </c>
      <c r="C7" s="43" t="s">
        <v>46</v>
      </c>
      <c r="D7" s="43" t="s">
        <v>47</v>
      </c>
      <c r="E7" s="43" t="s">
        <v>48</v>
      </c>
      <c r="F7" s="43" t="s">
        <v>49</v>
      </c>
      <c r="G7" s="43" t="s">
        <v>50</v>
      </c>
      <c r="H7" s="43" t="s">
        <v>52</v>
      </c>
      <c r="I7" s="43" t="s">
        <v>53</v>
      </c>
    </row>
    <row r="8" ht="15.0" customHeight="1">
      <c r="A8" s="39"/>
      <c r="B8" s="47" t="s">
        <v>54</v>
      </c>
      <c r="C8" s="49">
        <v>46217.0</v>
      </c>
      <c r="D8" s="49">
        <v>46095.0</v>
      </c>
      <c r="E8" s="47" t="s">
        <v>32</v>
      </c>
      <c r="F8" s="50">
        <v>1.0</v>
      </c>
      <c r="G8" s="51"/>
      <c r="H8" s="52"/>
      <c r="I8" s="53"/>
    </row>
    <row r="9" ht="15.0" customHeight="1">
      <c r="A9" s="54"/>
      <c r="B9" s="47" t="s">
        <v>54</v>
      </c>
      <c r="C9" s="49">
        <v>46217.0</v>
      </c>
      <c r="D9" s="49">
        <v>46095.0</v>
      </c>
      <c r="E9" s="47" t="s">
        <v>57</v>
      </c>
      <c r="F9" s="50">
        <v>1.0</v>
      </c>
      <c r="G9" s="51"/>
      <c r="H9" s="55"/>
      <c r="I9" s="56"/>
    </row>
    <row r="10" ht="15.0" customHeight="1">
      <c r="A10" s="39"/>
      <c r="B10" s="47" t="s">
        <v>54</v>
      </c>
      <c r="C10" s="49">
        <v>46217.0</v>
      </c>
      <c r="D10" s="49">
        <v>46095.0</v>
      </c>
      <c r="E10" s="47" t="s">
        <v>58</v>
      </c>
      <c r="F10" s="50">
        <v>1.0</v>
      </c>
      <c r="G10" s="51"/>
      <c r="H10" s="57"/>
      <c r="I10" s="56"/>
    </row>
    <row r="11" ht="15.0" customHeight="1">
      <c r="A11" s="39"/>
      <c r="B11" s="47" t="s">
        <v>59</v>
      </c>
      <c r="C11" s="49">
        <v>46217.0</v>
      </c>
      <c r="D11" s="49">
        <v>46217.0</v>
      </c>
      <c r="E11" s="47" t="s">
        <v>22</v>
      </c>
      <c r="F11" s="50">
        <v>100000.0</v>
      </c>
      <c r="G11" s="51"/>
      <c r="H11" s="57"/>
      <c r="I11" s="56"/>
    </row>
    <row r="12" ht="15.0" customHeight="1">
      <c r="A12" s="39"/>
      <c r="B12" s="47" t="s">
        <v>59</v>
      </c>
      <c r="C12" s="49">
        <v>46217.0</v>
      </c>
      <c r="D12" s="49">
        <v>46217.0</v>
      </c>
      <c r="E12" s="47" t="s">
        <v>33</v>
      </c>
      <c r="F12" s="50">
        <v>100000.0</v>
      </c>
      <c r="G12" s="51"/>
      <c r="H12" s="57"/>
      <c r="I12" s="56"/>
    </row>
    <row r="13" ht="15.0" customHeight="1">
      <c r="A13" s="39"/>
      <c r="B13" s="47" t="s">
        <v>59</v>
      </c>
      <c r="C13" s="49">
        <v>46217.0</v>
      </c>
      <c r="D13" s="49">
        <v>46217.0</v>
      </c>
      <c r="E13" s="47" t="s">
        <v>56</v>
      </c>
      <c r="F13" s="50">
        <v>100000.0</v>
      </c>
      <c r="G13" s="51"/>
      <c r="H13" s="57"/>
      <c r="I13" s="56"/>
    </row>
    <row r="14" ht="15.0" customHeight="1">
      <c r="A14" s="39"/>
      <c r="B14" s="47" t="s">
        <v>59</v>
      </c>
      <c r="C14" s="49">
        <v>46217.0</v>
      </c>
      <c r="D14" s="49">
        <v>46217.0</v>
      </c>
      <c r="E14" s="47" t="s">
        <v>60</v>
      </c>
      <c r="F14" s="50">
        <v>500.0</v>
      </c>
      <c r="G14" s="51"/>
      <c r="H14" s="57"/>
      <c r="I14" s="56"/>
    </row>
    <row r="15" ht="15.0" customHeight="1">
      <c r="A15" s="39"/>
      <c r="B15" s="47" t="s">
        <v>54</v>
      </c>
      <c r="C15" s="49">
        <v>46217.0</v>
      </c>
      <c r="D15" s="49">
        <v>46217.0</v>
      </c>
      <c r="E15" s="47" t="s">
        <v>22</v>
      </c>
      <c r="F15" s="50">
        <v>86000.0</v>
      </c>
      <c r="G15" s="51"/>
      <c r="H15" s="57"/>
      <c r="I15" s="56"/>
    </row>
    <row r="16" ht="15.0" customHeight="1">
      <c r="A16" s="39"/>
      <c r="B16" s="47" t="s">
        <v>54</v>
      </c>
      <c r="C16" s="49">
        <v>46217.0</v>
      </c>
      <c r="D16" s="49">
        <v>46217.0</v>
      </c>
      <c r="E16" s="47" t="s">
        <v>22</v>
      </c>
      <c r="F16" s="50">
        <v>20000.0</v>
      </c>
      <c r="G16" s="51"/>
      <c r="H16" s="57"/>
      <c r="I16" s="56"/>
    </row>
    <row r="17" ht="15.0" customHeight="1">
      <c r="A17" s="39"/>
      <c r="B17" s="47" t="s">
        <v>59</v>
      </c>
      <c r="C17" s="49">
        <v>46217.0</v>
      </c>
      <c r="D17" s="49">
        <v>46217.0</v>
      </c>
      <c r="E17" s="47" t="s">
        <v>22</v>
      </c>
      <c r="F17" s="50">
        <v>50000.0</v>
      </c>
      <c r="G17" s="51"/>
      <c r="H17" s="57"/>
      <c r="I17" s="56"/>
    </row>
    <row r="18" ht="15.0" customHeight="1">
      <c r="A18" s="39"/>
      <c r="B18" s="47" t="s">
        <v>54</v>
      </c>
      <c r="C18" s="49">
        <v>46217.0</v>
      </c>
      <c r="D18" s="49">
        <v>46217.0</v>
      </c>
      <c r="E18" s="47" t="s">
        <v>22</v>
      </c>
      <c r="F18" s="50">
        <v>48000.0</v>
      </c>
      <c r="G18" s="51"/>
      <c r="H18" s="57"/>
      <c r="I18" s="56"/>
    </row>
    <row r="19" ht="15.0" customHeight="1">
      <c r="A19" s="39"/>
      <c r="B19" s="47"/>
      <c r="C19" s="49"/>
      <c r="D19" s="49"/>
      <c r="E19" s="47"/>
      <c r="F19" s="50"/>
      <c r="G19" s="51"/>
      <c r="H19" s="57"/>
      <c r="I19" s="56"/>
    </row>
    <row r="20" ht="15.0" customHeight="1">
      <c r="A20" s="60"/>
      <c r="B20" s="60"/>
      <c r="C20" s="61"/>
      <c r="D20" s="61"/>
      <c r="E20" s="60"/>
      <c r="F20" s="62"/>
      <c r="G20" s="62"/>
      <c r="H20" s="60"/>
    </row>
    <row r="21" ht="15.0" customHeight="1">
      <c r="A21" s="60"/>
      <c r="B21" s="60"/>
      <c r="C21" s="61"/>
      <c r="D21" s="61"/>
      <c r="E21" s="60"/>
      <c r="F21" s="62"/>
      <c r="G21" s="62"/>
      <c r="H21" s="60"/>
    </row>
    <row r="22" ht="15.0" customHeight="1">
      <c r="A22" s="60"/>
      <c r="B22" s="60"/>
      <c r="C22" s="61"/>
      <c r="D22" s="61"/>
      <c r="E22" s="60"/>
      <c r="F22" s="62"/>
      <c r="G22" s="62"/>
      <c r="H22" s="60"/>
    </row>
    <row r="23" ht="15.0" customHeight="1">
      <c r="A23" s="60"/>
      <c r="B23" s="60"/>
      <c r="C23" s="61"/>
      <c r="D23" s="61"/>
      <c r="E23" s="60"/>
      <c r="F23" s="62"/>
      <c r="G23" s="62"/>
      <c r="H23" s="60"/>
    </row>
    <row r="24" ht="15.0" customHeight="1">
      <c r="A24" s="60"/>
      <c r="B24" s="60"/>
      <c r="C24" s="61"/>
      <c r="D24" s="61"/>
      <c r="E24" s="60"/>
      <c r="F24" s="62"/>
      <c r="G24" s="62"/>
      <c r="H24" s="60"/>
    </row>
    <row r="25" ht="15.0" customHeight="1">
      <c r="A25" s="60"/>
      <c r="B25" s="60"/>
      <c r="C25" s="61"/>
      <c r="D25" s="61"/>
      <c r="E25" s="60"/>
      <c r="F25" s="62"/>
      <c r="G25" s="62"/>
      <c r="H25" s="60"/>
    </row>
    <row r="26" ht="15.0" customHeight="1">
      <c r="A26" s="60"/>
      <c r="B26" s="60"/>
      <c r="C26" s="61"/>
      <c r="D26" s="61"/>
      <c r="E26" s="60"/>
      <c r="F26" s="62"/>
      <c r="G26" s="62"/>
      <c r="H26" s="60"/>
    </row>
    <row r="27" ht="15.0" customHeight="1">
      <c r="A27" s="60"/>
      <c r="B27" s="60"/>
      <c r="C27" s="61"/>
      <c r="D27" s="61"/>
      <c r="E27" s="60"/>
      <c r="F27" s="62"/>
      <c r="G27" s="62"/>
      <c r="H27" s="60"/>
    </row>
    <row r="28" ht="15.0" customHeight="1">
      <c r="A28" s="60"/>
      <c r="B28" s="60"/>
      <c r="C28" s="61"/>
      <c r="D28" s="61"/>
      <c r="E28" s="60"/>
      <c r="F28" s="62"/>
      <c r="G28" s="62"/>
      <c r="H28" s="60"/>
    </row>
    <row r="29" ht="15.0" customHeight="1">
      <c r="B29" s="59"/>
      <c r="C29" s="63"/>
      <c r="D29" s="63"/>
      <c r="E29" s="59"/>
      <c r="F29" s="3"/>
      <c r="G29" s="3"/>
    </row>
    <row r="30" ht="15.0" customHeight="1">
      <c r="B30" s="59"/>
      <c r="C30" s="63"/>
      <c r="D30" s="63"/>
      <c r="E30" s="59"/>
      <c r="F30" s="3"/>
      <c r="G30" s="3"/>
    </row>
    <row r="31" ht="15.0" customHeight="1">
      <c r="B31" s="59"/>
      <c r="C31" s="63"/>
      <c r="D31" s="63"/>
      <c r="E31" s="59"/>
      <c r="F31" s="3"/>
      <c r="G31" s="3"/>
    </row>
    <row r="32" ht="15.0" customHeight="1">
      <c r="B32" s="59"/>
      <c r="C32" s="63"/>
      <c r="D32" s="63"/>
      <c r="E32" s="59"/>
      <c r="F32" s="3"/>
      <c r="G32" s="3"/>
    </row>
    <row r="33" ht="15.0" customHeight="1">
      <c r="B33" s="59"/>
      <c r="C33" s="63"/>
      <c r="D33" s="63"/>
      <c r="E33" s="59"/>
      <c r="F33" s="3"/>
      <c r="G33" s="3"/>
    </row>
    <row r="34" ht="15.75" customHeight="1">
      <c r="B34" s="59"/>
      <c r="C34" s="63"/>
      <c r="D34" s="63"/>
      <c r="E34" s="59"/>
      <c r="F34" s="3"/>
      <c r="G34" s="3"/>
    </row>
    <row r="35" ht="15.75" customHeight="1">
      <c r="B35" s="59"/>
      <c r="C35" s="63"/>
      <c r="D35" s="63"/>
      <c r="E35" s="59"/>
      <c r="F35" s="3"/>
      <c r="G35" s="3"/>
    </row>
    <row r="36" ht="15.75" customHeight="1">
      <c r="B36" s="59"/>
      <c r="C36" s="63"/>
      <c r="D36" s="63"/>
      <c r="E36" s="59"/>
      <c r="F36" s="3"/>
      <c r="G36" s="3"/>
    </row>
    <row r="37" ht="15.75" customHeight="1">
      <c r="B37" s="59"/>
      <c r="C37" s="63"/>
      <c r="D37" s="63"/>
      <c r="E37" s="59"/>
      <c r="F37" s="3"/>
      <c r="G37" s="3"/>
    </row>
    <row r="38" ht="15.75" customHeight="1">
      <c r="B38" s="59"/>
      <c r="C38" s="63"/>
      <c r="D38" s="63"/>
      <c r="E38" s="59"/>
      <c r="F38" s="3"/>
      <c r="G38" s="3"/>
    </row>
    <row r="39" ht="15.75" customHeight="1">
      <c r="B39" s="59"/>
      <c r="C39" s="63"/>
      <c r="D39" s="63"/>
      <c r="E39" s="59"/>
      <c r="F39" s="3"/>
      <c r="G39" s="3"/>
    </row>
    <row r="40" ht="15.75" customHeight="1">
      <c r="B40" s="59"/>
      <c r="C40" s="63"/>
      <c r="D40" s="63"/>
      <c r="E40" s="59"/>
      <c r="F40" s="3"/>
      <c r="G40" s="3"/>
    </row>
    <row r="41" ht="15.75" customHeight="1">
      <c r="B41" s="59"/>
      <c r="C41" s="63"/>
      <c r="D41" s="63"/>
      <c r="E41" s="59"/>
      <c r="F41" s="3"/>
      <c r="G41" s="3"/>
    </row>
    <row r="42" ht="15.75" customHeight="1">
      <c r="B42" s="59"/>
      <c r="C42" s="63"/>
      <c r="D42" s="63"/>
      <c r="E42" s="59"/>
      <c r="F42" s="3"/>
      <c r="G42" s="3"/>
    </row>
    <row r="43" ht="15.75" customHeight="1">
      <c r="B43" s="59"/>
      <c r="C43" s="63"/>
      <c r="D43" s="63"/>
      <c r="E43" s="59"/>
      <c r="F43" s="3"/>
      <c r="G43" s="3"/>
    </row>
    <row r="44" ht="15.75" customHeight="1">
      <c r="B44" s="59"/>
      <c r="C44" s="63"/>
      <c r="D44" s="63"/>
      <c r="E44" s="59"/>
      <c r="F44" s="3"/>
      <c r="G44" s="3"/>
    </row>
    <row r="45" ht="15.75" customHeight="1">
      <c r="B45" s="59"/>
      <c r="C45" s="63"/>
      <c r="D45" s="63"/>
      <c r="E45" s="59"/>
      <c r="F45" s="3"/>
      <c r="G45" s="3"/>
    </row>
    <row r="46" ht="15.75" customHeight="1">
      <c r="B46" s="59"/>
      <c r="C46" s="63"/>
      <c r="D46" s="63"/>
      <c r="E46" s="59"/>
      <c r="F46" s="3"/>
      <c r="G46" s="3"/>
    </row>
    <row r="47" ht="15.75" customHeight="1">
      <c r="B47" s="59"/>
      <c r="C47" s="63"/>
      <c r="D47" s="63"/>
      <c r="E47" s="59"/>
      <c r="F47" s="3"/>
      <c r="G47" s="3"/>
    </row>
    <row r="48" ht="15.75" customHeight="1">
      <c r="B48" s="59"/>
      <c r="C48" s="63"/>
      <c r="D48" s="63"/>
      <c r="E48" s="59"/>
      <c r="F48" s="3"/>
      <c r="G48" s="3"/>
    </row>
    <row r="49" ht="15.75" customHeight="1">
      <c r="B49" s="59"/>
      <c r="C49" s="63"/>
      <c r="D49" s="63"/>
      <c r="E49" s="59"/>
      <c r="F49" s="3"/>
      <c r="G49" s="3"/>
    </row>
    <row r="50" ht="15.75" customHeight="1">
      <c r="B50" s="59"/>
      <c r="C50" s="63"/>
      <c r="D50" s="63"/>
      <c r="E50" s="59"/>
      <c r="F50" s="3"/>
      <c r="G50" s="3"/>
    </row>
    <row r="51" ht="15.75" customHeight="1">
      <c r="B51" s="59"/>
      <c r="C51" s="63"/>
      <c r="D51" s="63"/>
      <c r="E51" s="59"/>
      <c r="F51" s="3"/>
      <c r="G51" s="3"/>
    </row>
    <row r="52" ht="15.75" customHeight="1">
      <c r="B52" s="59"/>
      <c r="C52" s="63"/>
      <c r="D52" s="63"/>
      <c r="E52" s="59"/>
      <c r="F52" s="3"/>
      <c r="G52" s="3"/>
    </row>
    <row r="53" ht="15.75" customHeight="1">
      <c r="B53" s="59"/>
      <c r="C53" s="63"/>
      <c r="D53" s="63"/>
      <c r="E53" s="59"/>
      <c r="F53" s="3"/>
      <c r="G53" s="3"/>
    </row>
    <row r="54" ht="15.75" customHeight="1">
      <c r="B54" s="59"/>
      <c r="C54" s="63"/>
      <c r="D54" s="63"/>
      <c r="E54" s="59"/>
      <c r="F54" s="3"/>
      <c r="G54" s="3"/>
    </row>
    <row r="55" ht="15.75" customHeight="1">
      <c r="B55" s="59"/>
      <c r="C55" s="63"/>
      <c r="D55" s="63"/>
      <c r="E55" s="59"/>
      <c r="F55" s="3"/>
      <c r="G55" s="3"/>
    </row>
    <row r="56" ht="15.75" customHeight="1">
      <c r="B56" s="59"/>
      <c r="C56" s="63"/>
      <c r="D56" s="63"/>
      <c r="E56" s="59"/>
      <c r="F56" s="3"/>
      <c r="G56" s="3"/>
    </row>
    <row r="57" ht="15.75" customHeight="1">
      <c r="B57" s="59"/>
      <c r="C57" s="63"/>
      <c r="D57" s="63"/>
      <c r="E57" s="59"/>
      <c r="F57" s="3"/>
      <c r="G57" s="3"/>
    </row>
    <row r="58" ht="15.75" customHeight="1">
      <c r="B58" s="59"/>
      <c r="C58" s="63"/>
      <c r="D58" s="63"/>
      <c r="E58" s="59"/>
      <c r="F58" s="3"/>
      <c r="G58" s="3"/>
    </row>
    <row r="59" ht="15.75" customHeight="1">
      <c r="B59" s="59"/>
      <c r="C59" s="63"/>
      <c r="D59" s="63"/>
      <c r="E59" s="59"/>
      <c r="F59" s="3"/>
      <c r="G59" s="3"/>
    </row>
    <row r="60" ht="15.75" customHeight="1">
      <c r="B60" s="59"/>
      <c r="C60" s="63"/>
      <c r="D60" s="63"/>
      <c r="E60" s="59"/>
      <c r="F60" s="3"/>
      <c r="G60" s="3"/>
    </row>
    <row r="61" ht="15.75" customHeight="1">
      <c r="B61" s="59"/>
      <c r="C61" s="63"/>
      <c r="D61" s="63"/>
      <c r="E61" s="59"/>
      <c r="F61" s="3"/>
      <c r="G61" s="3"/>
    </row>
    <row r="62" ht="15.75" customHeight="1">
      <c r="B62" s="59"/>
      <c r="C62" s="63"/>
      <c r="D62" s="63"/>
      <c r="E62" s="59"/>
      <c r="F62" s="3"/>
      <c r="G62" s="3"/>
    </row>
    <row r="63" ht="15.75" customHeight="1">
      <c r="B63" s="59"/>
      <c r="C63" s="63"/>
      <c r="D63" s="63"/>
      <c r="E63" s="59"/>
      <c r="F63" s="3"/>
      <c r="G63" s="3"/>
    </row>
    <row r="64" ht="15.75" customHeight="1">
      <c r="B64" s="59"/>
      <c r="C64" s="63"/>
      <c r="D64" s="63"/>
      <c r="E64" s="59"/>
      <c r="F64" s="3"/>
      <c r="G64" s="3"/>
    </row>
    <row r="65" ht="15.75" customHeight="1">
      <c r="B65" s="59"/>
      <c r="C65" s="63"/>
      <c r="D65" s="63"/>
      <c r="E65" s="59"/>
      <c r="F65" s="3"/>
      <c r="G65" s="3"/>
    </row>
    <row r="66" ht="15.75" customHeight="1">
      <c r="B66" s="59"/>
      <c r="C66" s="63"/>
      <c r="D66" s="63"/>
      <c r="E66" s="59"/>
      <c r="F66" s="3"/>
      <c r="G66" s="3"/>
    </row>
    <row r="67" ht="15.75" customHeight="1">
      <c r="B67" s="59"/>
      <c r="C67" s="63"/>
      <c r="D67" s="63"/>
      <c r="E67" s="59"/>
      <c r="F67" s="3"/>
      <c r="G67" s="3"/>
    </row>
    <row r="68" ht="15.75" customHeight="1">
      <c r="B68" s="59"/>
      <c r="C68" s="63"/>
      <c r="D68" s="63"/>
      <c r="E68" s="59"/>
      <c r="F68" s="3"/>
      <c r="G68" s="3"/>
    </row>
    <row r="69" ht="15.75" customHeight="1">
      <c r="B69" s="59"/>
      <c r="C69" s="63"/>
      <c r="D69" s="63"/>
      <c r="E69" s="59"/>
      <c r="F69" s="3"/>
      <c r="G69" s="3"/>
    </row>
    <row r="70" ht="15.75" customHeight="1">
      <c r="B70" s="59"/>
      <c r="C70" s="63"/>
      <c r="D70" s="63"/>
      <c r="E70" s="59"/>
      <c r="F70" s="3"/>
      <c r="G70" s="3"/>
    </row>
    <row r="71" ht="15.75" customHeight="1">
      <c r="B71" s="59"/>
      <c r="C71" s="63"/>
      <c r="D71" s="63"/>
      <c r="E71" s="59"/>
      <c r="F71" s="3"/>
      <c r="G71" s="3"/>
    </row>
    <row r="72" ht="15.75" customHeight="1">
      <c r="B72" s="59"/>
      <c r="C72" s="63"/>
      <c r="D72" s="63"/>
      <c r="E72" s="59"/>
      <c r="F72" s="3"/>
      <c r="G72" s="3"/>
    </row>
    <row r="73" ht="15.75" customHeight="1">
      <c r="B73" s="59"/>
      <c r="C73" s="63"/>
      <c r="D73" s="63"/>
      <c r="E73" s="59"/>
      <c r="F73" s="3"/>
      <c r="G73" s="3"/>
    </row>
    <row r="74" ht="15.75" customHeight="1">
      <c r="B74" s="59"/>
      <c r="C74" s="63"/>
      <c r="D74" s="63"/>
      <c r="E74" s="59"/>
      <c r="F74" s="3"/>
      <c r="G74" s="3"/>
    </row>
    <row r="75" ht="15.75" customHeight="1">
      <c r="B75" s="59"/>
      <c r="C75" s="63"/>
      <c r="D75" s="63"/>
      <c r="E75" s="59"/>
      <c r="F75" s="3"/>
      <c r="G75" s="3"/>
    </row>
    <row r="76" ht="15.75" customHeight="1">
      <c r="B76" s="59"/>
      <c r="C76" s="63"/>
      <c r="D76" s="63"/>
      <c r="E76" s="59"/>
      <c r="F76" s="3"/>
      <c r="G76" s="3"/>
    </row>
    <row r="77" ht="15.75" customHeight="1">
      <c r="B77" s="59"/>
      <c r="C77" s="63"/>
      <c r="D77" s="63"/>
      <c r="E77" s="59"/>
      <c r="F77" s="3"/>
      <c r="G77" s="3"/>
    </row>
    <row r="78" ht="15.75" customHeight="1">
      <c r="B78" s="59"/>
      <c r="C78" s="63"/>
      <c r="D78" s="63"/>
      <c r="E78" s="59"/>
      <c r="F78" s="3"/>
      <c r="G78" s="3"/>
    </row>
    <row r="79" ht="15.75" customHeight="1">
      <c r="B79" s="59"/>
      <c r="C79" s="63"/>
      <c r="D79" s="63"/>
      <c r="E79" s="59"/>
      <c r="F79" s="3"/>
      <c r="G79" s="3"/>
    </row>
    <row r="80" ht="15.75" customHeight="1">
      <c r="B80" s="59"/>
      <c r="C80" s="63"/>
      <c r="D80" s="63"/>
      <c r="E80" s="59"/>
      <c r="F80" s="3"/>
      <c r="G80" s="3"/>
    </row>
    <row r="81" ht="15.75" customHeight="1">
      <c r="B81" s="59"/>
      <c r="C81" s="63"/>
      <c r="D81" s="63"/>
      <c r="E81" s="59"/>
      <c r="F81" s="3"/>
      <c r="G81" s="3"/>
    </row>
    <row r="82" ht="15.75" customHeight="1">
      <c r="B82" s="59"/>
      <c r="C82" s="63"/>
      <c r="D82" s="63"/>
      <c r="E82" s="59"/>
      <c r="F82" s="3"/>
      <c r="G82" s="3"/>
    </row>
    <row r="83" ht="15.75" customHeight="1">
      <c r="B83" s="59"/>
      <c r="C83" s="63"/>
      <c r="D83" s="63"/>
      <c r="E83" s="59"/>
      <c r="F83" s="3"/>
      <c r="G83" s="3"/>
    </row>
    <row r="84" ht="15.75" customHeight="1">
      <c r="B84" s="59"/>
      <c r="C84" s="63"/>
      <c r="D84" s="63"/>
      <c r="E84" s="59"/>
      <c r="F84" s="3"/>
      <c r="G84" s="3"/>
    </row>
    <row r="85" ht="15.75" customHeight="1">
      <c r="B85" s="59"/>
      <c r="C85" s="63"/>
      <c r="D85" s="63"/>
      <c r="E85" s="59"/>
      <c r="F85" s="3"/>
      <c r="G85" s="3"/>
    </row>
    <row r="86" ht="15.75" customHeight="1">
      <c r="B86" s="59"/>
      <c r="C86" s="63"/>
      <c r="D86" s="63"/>
      <c r="E86" s="59"/>
      <c r="F86" s="3"/>
      <c r="G86" s="3"/>
    </row>
    <row r="87" ht="15.75" customHeight="1">
      <c r="B87" s="59"/>
      <c r="C87" s="63"/>
      <c r="D87" s="63"/>
      <c r="E87" s="59"/>
      <c r="F87" s="3"/>
      <c r="G87" s="3"/>
    </row>
    <row r="88" ht="15.75" customHeight="1">
      <c r="B88" s="59"/>
      <c r="C88" s="63"/>
      <c r="D88" s="63"/>
      <c r="E88" s="59"/>
      <c r="F88" s="3"/>
      <c r="G88" s="3"/>
    </row>
    <row r="89" ht="15.75" customHeight="1">
      <c r="B89" s="59"/>
      <c r="C89" s="63"/>
      <c r="D89" s="63"/>
      <c r="E89" s="59"/>
      <c r="F89" s="3"/>
      <c r="G89" s="3"/>
    </row>
    <row r="90" ht="15.75" customHeight="1">
      <c r="B90" s="59"/>
      <c r="C90" s="63"/>
      <c r="D90" s="63"/>
      <c r="E90" s="59"/>
      <c r="F90" s="3"/>
      <c r="G90" s="3"/>
    </row>
    <row r="91" ht="15.75" customHeight="1">
      <c r="B91" s="59"/>
      <c r="C91" s="63"/>
      <c r="D91" s="63"/>
      <c r="E91" s="59"/>
      <c r="F91" s="3"/>
      <c r="G91" s="3"/>
    </row>
    <row r="92" ht="15.75" customHeight="1">
      <c r="B92" s="59"/>
      <c r="C92" s="63"/>
      <c r="D92" s="63"/>
      <c r="E92" s="59"/>
      <c r="F92" s="3"/>
      <c r="G92" s="3"/>
    </row>
    <row r="93" ht="15.75" customHeight="1">
      <c r="B93" s="59"/>
      <c r="C93" s="63"/>
      <c r="D93" s="63"/>
      <c r="E93" s="59"/>
      <c r="F93" s="3"/>
      <c r="G93" s="3"/>
    </row>
    <row r="94" ht="15.75" customHeight="1">
      <c r="B94" s="59"/>
      <c r="C94" s="63"/>
      <c r="D94" s="63"/>
      <c r="E94" s="59"/>
      <c r="F94" s="3"/>
      <c r="G94" s="3"/>
    </row>
    <row r="95" ht="15.75" customHeight="1">
      <c r="B95" s="59"/>
      <c r="C95" s="63"/>
      <c r="D95" s="63"/>
      <c r="E95" s="59"/>
      <c r="F95" s="3"/>
      <c r="G95" s="3"/>
    </row>
    <row r="96" ht="15.75" customHeight="1">
      <c r="B96" s="59"/>
      <c r="C96" s="63"/>
      <c r="D96" s="63"/>
      <c r="E96" s="59"/>
      <c r="F96" s="3"/>
      <c r="G96" s="3"/>
    </row>
    <row r="97" ht="15.75" customHeight="1">
      <c r="B97" s="59"/>
      <c r="C97" s="63"/>
      <c r="D97" s="63"/>
      <c r="E97" s="59"/>
      <c r="F97" s="3"/>
      <c r="G97" s="3"/>
    </row>
    <row r="98" ht="15.75" customHeight="1">
      <c r="B98" s="59"/>
      <c r="C98" s="63"/>
      <c r="D98" s="63"/>
      <c r="E98" s="59"/>
      <c r="F98" s="3"/>
      <c r="G98" s="3"/>
    </row>
    <row r="99" ht="15.75" customHeight="1">
      <c r="B99" s="59"/>
      <c r="C99" s="63"/>
      <c r="D99" s="63"/>
      <c r="E99" s="59"/>
      <c r="F99" s="3"/>
      <c r="G99" s="3"/>
    </row>
    <row r="100" ht="15.75" customHeight="1">
      <c r="B100" s="59"/>
      <c r="C100" s="63"/>
      <c r="D100" s="63"/>
      <c r="E100" s="59"/>
      <c r="F100" s="3"/>
      <c r="G100" s="3"/>
    </row>
    <row r="101" ht="15.75" customHeight="1">
      <c r="B101" s="59"/>
      <c r="C101" s="63"/>
      <c r="D101" s="63"/>
      <c r="E101" s="59"/>
      <c r="F101" s="3"/>
      <c r="G101" s="3"/>
    </row>
    <row r="102" ht="15.75" customHeight="1">
      <c r="B102" s="59"/>
      <c r="C102" s="63"/>
      <c r="D102" s="63"/>
      <c r="E102" s="59"/>
      <c r="F102" s="3"/>
      <c r="G102" s="3"/>
    </row>
    <row r="103" ht="15.75" customHeight="1">
      <c r="B103" s="59"/>
      <c r="C103" s="63"/>
      <c r="D103" s="63"/>
      <c r="E103" s="59"/>
      <c r="F103" s="3"/>
      <c r="G103" s="3"/>
    </row>
    <row r="104" ht="15.75" customHeight="1">
      <c r="B104" s="59"/>
      <c r="C104" s="63"/>
      <c r="D104" s="63"/>
      <c r="E104" s="59"/>
      <c r="F104" s="3"/>
      <c r="G104" s="3"/>
    </row>
    <row r="105" ht="15.75" customHeight="1">
      <c r="B105" s="59"/>
      <c r="C105" s="63"/>
      <c r="D105" s="63"/>
      <c r="E105" s="59"/>
      <c r="F105" s="3"/>
      <c r="G105" s="3"/>
    </row>
    <row r="106" ht="15.75" customHeight="1">
      <c r="B106" s="59"/>
      <c r="C106" s="63"/>
      <c r="D106" s="63"/>
      <c r="E106" s="59"/>
      <c r="F106" s="3"/>
      <c r="G106" s="3"/>
    </row>
    <row r="107" ht="15.75" customHeight="1">
      <c r="B107" s="59"/>
      <c r="C107" s="63"/>
      <c r="D107" s="63"/>
      <c r="E107" s="59"/>
      <c r="F107" s="3"/>
      <c r="G107" s="3"/>
    </row>
    <row r="108" ht="15.75" customHeight="1">
      <c r="B108" s="59"/>
      <c r="C108" s="63"/>
      <c r="D108" s="63"/>
      <c r="E108" s="59"/>
      <c r="F108" s="3"/>
      <c r="G108" s="3"/>
    </row>
    <row r="109" ht="15.75" customHeight="1">
      <c r="B109" s="59"/>
      <c r="C109" s="63"/>
      <c r="D109" s="63"/>
      <c r="E109" s="59"/>
      <c r="F109" s="3"/>
      <c r="G109" s="3"/>
    </row>
    <row r="110" ht="15.75" customHeight="1">
      <c r="B110" s="59"/>
      <c r="C110" s="63"/>
      <c r="D110" s="63"/>
      <c r="E110" s="59"/>
      <c r="F110" s="3"/>
      <c r="G110" s="3"/>
    </row>
    <row r="111" ht="15.75" customHeight="1">
      <c r="B111" s="59"/>
      <c r="C111" s="63"/>
      <c r="D111" s="63"/>
      <c r="E111" s="59"/>
      <c r="F111" s="3"/>
      <c r="G111" s="3"/>
    </row>
    <row r="112" ht="15.75" customHeight="1">
      <c r="B112" s="59"/>
      <c r="C112" s="63"/>
      <c r="D112" s="63"/>
      <c r="E112" s="59"/>
      <c r="F112" s="3"/>
      <c r="G112" s="3"/>
    </row>
    <row r="113" ht="15.75" customHeight="1">
      <c r="B113" s="59"/>
      <c r="C113" s="63"/>
      <c r="D113" s="63"/>
      <c r="E113" s="59"/>
      <c r="F113" s="3"/>
      <c r="G113" s="3"/>
    </row>
    <row r="114" ht="15.75" customHeight="1">
      <c r="B114" s="59"/>
      <c r="C114" s="63"/>
      <c r="D114" s="63"/>
      <c r="E114" s="59"/>
      <c r="F114" s="3"/>
      <c r="G114" s="3"/>
    </row>
    <row r="115" ht="15.75" customHeight="1">
      <c r="B115" s="59"/>
      <c r="C115" s="63"/>
      <c r="D115" s="63"/>
      <c r="E115" s="59"/>
      <c r="F115" s="3"/>
      <c r="G115" s="3"/>
    </row>
    <row r="116" ht="15.75" customHeight="1">
      <c r="B116" s="59"/>
      <c r="C116" s="63"/>
      <c r="D116" s="63"/>
      <c r="E116" s="59"/>
      <c r="F116" s="3"/>
      <c r="G116" s="3"/>
    </row>
    <row r="117" ht="15.75" customHeight="1">
      <c r="B117" s="59"/>
      <c r="C117" s="63"/>
      <c r="D117" s="63"/>
      <c r="E117" s="59"/>
      <c r="F117" s="3"/>
      <c r="G117" s="3"/>
    </row>
    <row r="118" ht="15.75" customHeight="1">
      <c r="B118" s="59"/>
      <c r="C118" s="63"/>
      <c r="D118" s="63"/>
      <c r="E118" s="59"/>
      <c r="F118" s="3"/>
      <c r="G118" s="3"/>
    </row>
    <row r="119" ht="15.75" customHeight="1">
      <c r="B119" s="59"/>
      <c r="C119" s="63"/>
      <c r="D119" s="63"/>
      <c r="E119" s="59"/>
      <c r="F119" s="3"/>
      <c r="G119" s="3"/>
    </row>
    <row r="120" ht="15.75" customHeight="1">
      <c r="B120" s="59"/>
      <c r="C120" s="63"/>
      <c r="D120" s="63"/>
      <c r="E120" s="59"/>
      <c r="F120" s="3"/>
      <c r="G120" s="3"/>
    </row>
    <row r="121" ht="15.75" customHeight="1">
      <c r="B121" s="59"/>
      <c r="C121" s="63"/>
      <c r="D121" s="63"/>
      <c r="E121" s="59"/>
      <c r="F121" s="3"/>
      <c r="G121" s="3"/>
    </row>
    <row r="122" ht="15.75" customHeight="1">
      <c r="B122" s="59"/>
      <c r="C122" s="63"/>
      <c r="D122" s="63"/>
      <c r="E122" s="59"/>
      <c r="F122" s="3"/>
      <c r="G122" s="3"/>
    </row>
    <row r="123" ht="15.75" customHeight="1">
      <c r="B123" s="59"/>
      <c r="C123" s="63"/>
      <c r="D123" s="63"/>
      <c r="E123" s="59"/>
      <c r="F123" s="3"/>
      <c r="G123" s="3"/>
    </row>
    <row r="124" ht="15.75" customHeight="1">
      <c r="B124" s="59"/>
      <c r="C124" s="63"/>
      <c r="D124" s="63"/>
      <c r="E124" s="59"/>
      <c r="F124" s="3"/>
      <c r="G124" s="3"/>
    </row>
    <row r="125" ht="15.75" customHeight="1">
      <c r="B125" s="59"/>
      <c r="C125" s="63"/>
      <c r="D125" s="63"/>
      <c r="E125" s="59"/>
      <c r="F125" s="3"/>
      <c r="G125" s="3"/>
    </row>
    <row r="126" ht="15.75" customHeight="1">
      <c r="B126" s="59"/>
      <c r="C126" s="63"/>
      <c r="D126" s="63"/>
      <c r="E126" s="59"/>
      <c r="F126" s="3"/>
      <c r="G126" s="3"/>
    </row>
    <row r="127" ht="15.75" customHeight="1">
      <c r="B127" s="59"/>
      <c r="C127" s="63"/>
      <c r="D127" s="63"/>
      <c r="E127" s="59"/>
      <c r="F127" s="3"/>
      <c r="G127" s="3"/>
    </row>
    <row r="128" ht="15.75" customHeight="1">
      <c r="B128" s="59"/>
      <c r="C128" s="63"/>
      <c r="D128" s="63"/>
      <c r="E128" s="59"/>
      <c r="F128" s="3"/>
      <c r="G128" s="3"/>
    </row>
    <row r="129" ht="15.75" customHeight="1">
      <c r="B129" s="59"/>
      <c r="C129" s="63"/>
      <c r="D129" s="63"/>
      <c r="E129" s="59"/>
      <c r="F129" s="3"/>
      <c r="G129" s="3"/>
    </row>
    <row r="130" ht="15.75" customHeight="1">
      <c r="B130" s="59"/>
      <c r="C130" s="63"/>
      <c r="D130" s="63"/>
      <c r="E130" s="59"/>
      <c r="F130" s="3"/>
      <c r="G130" s="3"/>
    </row>
    <row r="131" ht="15.75" customHeight="1">
      <c r="B131" s="59"/>
      <c r="C131" s="63"/>
      <c r="D131" s="63"/>
      <c r="E131" s="59"/>
      <c r="F131" s="3"/>
      <c r="G131" s="3"/>
    </row>
    <row r="132" ht="15.75" customHeight="1">
      <c r="B132" s="59"/>
      <c r="C132" s="63"/>
      <c r="D132" s="63"/>
      <c r="E132" s="59"/>
      <c r="F132" s="3"/>
      <c r="G132" s="3"/>
    </row>
    <row r="133" ht="15.75" customHeight="1">
      <c r="B133" s="59"/>
      <c r="C133" s="63"/>
      <c r="D133" s="63"/>
      <c r="E133" s="59"/>
      <c r="F133" s="3"/>
      <c r="G133" s="3"/>
    </row>
    <row r="134" ht="15.75" customHeight="1">
      <c r="B134" s="59"/>
      <c r="C134" s="63"/>
      <c r="D134" s="63"/>
      <c r="E134" s="59"/>
      <c r="F134" s="3"/>
      <c r="G134" s="3"/>
    </row>
    <row r="135" ht="15.75" customHeight="1">
      <c r="B135" s="59"/>
      <c r="C135" s="63"/>
      <c r="D135" s="63"/>
      <c r="E135" s="59"/>
      <c r="F135" s="3"/>
      <c r="G135" s="3"/>
    </row>
    <row r="136" ht="15.75" customHeight="1">
      <c r="B136" s="59"/>
      <c r="C136" s="63"/>
      <c r="D136" s="63"/>
      <c r="E136" s="59"/>
      <c r="F136" s="3"/>
      <c r="G136" s="3"/>
    </row>
    <row r="137" ht="15.75" customHeight="1">
      <c r="B137" s="59"/>
      <c r="C137" s="63"/>
      <c r="D137" s="63"/>
      <c r="E137" s="59"/>
      <c r="F137" s="3"/>
      <c r="G137" s="3"/>
    </row>
    <row r="138" ht="15.75" customHeight="1">
      <c r="B138" s="59"/>
      <c r="C138" s="63"/>
      <c r="D138" s="63"/>
      <c r="E138" s="59"/>
      <c r="F138" s="3"/>
      <c r="G138" s="3"/>
    </row>
    <row r="139" ht="15.75" customHeight="1">
      <c r="B139" s="59"/>
      <c r="C139" s="63"/>
      <c r="D139" s="63"/>
      <c r="E139" s="59"/>
      <c r="F139" s="3"/>
      <c r="G139" s="3"/>
    </row>
    <row r="140" ht="15.75" customHeight="1">
      <c r="B140" s="59"/>
      <c r="C140" s="63"/>
      <c r="D140" s="63"/>
      <c r="E140" s="59"/>
      <c r="F140" s="3"/>
      <c r="G140" s="3"/>
    </row>
    <row r="141" ht="15.75" customHeight="1">
      <c r="B141" s="59"/>
      <c r="C141" s="63"/>
      <c r="D141" s="63"/>
      <c r="E141" s="59"/>
      <c r="F141" s="3"/>
      <c r="G141" s="3"/>
    </row>
    <row r="142" ht="15.75" customHeight="1">
      <c r="B142" s="59"/>
      <c r="C142" s="63"/>
      <c r="D142" s="63"/>
      <c r="E142" s="59"/>
      <c r="F142" s="3"/>
      <c r="G142" s="3"/>
    </row>
    <row r="143" ht="15.75" customHeight="1">
      <c r="B143" s="59"/>
      <c r="C143" s="63"/>
      <c r="D143" s="63"/>
      <c r="E143" s="59"/>
      <c r="F143" s="3"/>
      <c r="G143" s="3"/>
    </row>
    <row r="144" ht="15.75" customHeight="1">
      <c r="B144" s="59"/>
      <c r="C144" s="63"/>
      <c r="D144" s="63"/>
      <c r="E144" s="59"/>
      <c r="F144" s="3"/>
      <c r="G144" s="3"/>
    </row>
    <row r="145" ht="15.75" customHeight="1">
      <c r="B145" s="59"/>
      <c r="C145" s="63"/>
      <c r="D145" s="63"/>
      <c r="E145" s="59"/>
      <c r="F145" s="3"/>
      <c r="G145" s="3"/>
    </row>
    <row r="146" ht="15.75" customHeight="1">
      <c r="B146" s="59"/>
      <c r="C146" s="63"/>
      <c r="D146" s="63"/>
      <c r="E146" s="59"/>
      <c r="F146" s="3"/>
      <c r="G146" s="3"/>
    </row>
    <row r="147" ht="15.75" customHeight="1">
      <c r="B147" s="59"/>
      <c r="C147" s="63"/>
      <c r="D147" s="63"/>
      <c r="E147" s="59"/>
      <c r="F147" s="3"/>
      <c r="G147" s="3"/>
    </row>
    <row r="148" ht="15.75" customHeight="1">
      <c r="B148" s="59"/>
      <c r="C148" s="63"/>
      <c r="D148" s="63"/>
      <c r="E148" s="59"/>
      <c r="F148" s="3"/>
      <c r="G148" s="3"/>
    </row>
    <row r="149" ht="15.75" customHeight="1">
      <c r="B149" s="59"/>
      <c r="C149" s="63"/>
      <c r="D149" s="63"/>
      <c r="E149" s="59"/>
      <c r="F149" s="3"/>
      <c r="G149" s="3"/>
    </row>
    <row r="150" ht="15.75" customHeight="1">
      <c r="B150" s="59"/>
      <c r="C150" s="63"/>
      <c r="D150" s="63"/>
      <c r="E150" s="59"/>
      <c r="F150" s="3"/>
      <c r="G150" s="3"/>
    </row>
    <row r="151" ht="15.75" customHeight="1">
      <c r="B151" s="59"/>
      <c r="C151" s="63"/>
      <c r="D151" s="63"/>
      <c r="E151" s="59"/>
      <c r="F151" s="3"/>
      <c r="G151" s="3"/>
    </row>
    <row r="152" ht="15.75" customHeight="1">
      <c r="B152" s="59"/>
      <c r="C152" s="63"/>
      <c r="D152" s="63"/>
      <c r="E152" s="59"/>
      <c r="F152" s="3"/>
      <c r="G152" s="3"/>
    </row>
    <row r="153" ht="15.75" customHeight="1">
      <c r="B153" s="59"/>
      <c r="C153" s="63"/>
      <c r="D153" s="63"/>
      <c r="E153" s="59"/>
      <c r="F153" s="3"/>
      <c r="G153" s="3"/>
    </row>
    <row r="154" ht="15.75" customHeight="1">
      <c r="B154" s="59"/>
      <c r="C154" s="63"/>
      <c r="D154" s="63"/>
      <c r="E154" s="59"/>
      <c r="F154" s="3"/>
      <c r="G154" s="3"/>
    </row>
    <row r="155" ht="15.75" customHeight="1">
      <c r="B155" s="59"/>
      <c r="C155" s="63"/>
      <c r="D155" s="63"/>
      <c r="E155" s="59"/>
      <c r="F155" s="3"/>
      <c r="G155" s="3"/>
    </row>
    <row r="156" ht="15.75" customHeight="1">
      <c r="B156" s="59"/>
      <c r="C156" s="63"/>
      <c r="D156" s="63"/>
      <c r="E156" s="59"/>
      <c r="F156" s="3"/>
      <c r="G156" s="3"/>
    </row>
    <row r="157" ht="15.75" customHeight="1">
      <c r="B157" s="59"/>
      <c r="C157" s="63"/>
      <c r="D157" s="63"/>
      <c r="E157" s="59"/>
      <c r="F157" s="3"/>
      <c r="G157" s="3"/>
    </row>
    <row r="158" ht="15.75" customHeight="1">
      <c r="B158" s="59"/>
      <c r="C158" s="63"/>
      <c r="D158" s="63"/>
      <c r="E158" s="59"/>
      <c r="F158" s="3"/>
      <c r="G158" s="3"/>
    </row>
    <row r="159" ht="15.75" customHeight="1">
      <c r="B159" s="59"/>
      <c r="C159" s="63"/>
      <c r="D159" s="63"/>
      <c r="E159" s="59"/>
      <c r="F159" s="3"/>
      <c r="G159" s="3"/>
    </row>
    <row r="160" ht="15.75" customHeight="1">
      <c r="B160" s="59"/>
      <c r="C160" s="63"/>
      <c r="D160" s="63"/>
      <c r="E160" s="59"/>
      <c r="F160" s="3"/>
      <c r="G160" s="3"/>
    </row>
    <row r="161" ht="15.75" customHeight="1">
      <c r="B161" s="59"/>
      <c r="C161" s="63"/>
      <c r="D161" s="63"/>
      <c r="E161" s="59"/>
      <c r="F161" s="3"/>
      <c r="G161" s="3"/>
    </row>
    <row r="162" ht="15.75" customHeight="1">
      <c r="B162" s="59"/>
      <c r="C162" s="63"/>
      <c r="D162" s="63"/>
      <c r="E162" s="59"/>
      <c r="F162" s="3"/>
      <c r="G162" s="3"/>
    </row>
    <row r="163" ht="15.75" customHeight="1">
      <c r="B163" s="59"/>
      <c r="C163" s="63"/>
      <c r="D163" s="63"/>
      <c r="E163" s="59"/>
      <c r="F163" s="3"/>
      <c r="G163" s="3"/>
    </row>
    <row r="164" ht="15.75" customHeight="1">
      <c r="B164" s="59"/>
      <c r="C164" s="63"/>
      <c r="D164" s="63"/>
      <c r="E164" s="59"/>
      <c r="F164" s="3"/>
      <c r="G164" s="3"/>
    </row>
    <row r="165" ht="15.75" customHeight="1">
      <c r="B165" s="59"/>
      <c r="C165" s="63"/>
      <c r="D165" s="63"/>
      <c r="E165" s="59"/>
      <c r="F165" s="3"/>
      <c r="G165" s="3"/>
    </row>
    <row r="166" ht="15.75" customHeight="1">
      <c r="B166" s="59"/>
      <c r="C166" s="63"/>
      <c r="D166" s="63"/>
      <c r="E166" s="59"/>
      <c r="F166" s="3"/>
      <c r="G166" s="3"/>
    </row>
    <row r="167" ht="15.75" customHeight="1">
      <c r="B167" s="59"/>
      <c r="C167" s="63"/>
      <c r="D167" s="63"/>
      <c r="E167" s="59"/>
      <c r="F167" s="3"/>
      <c r="G167" s="3"/>
    </row>
    <row r="168" ht="15.75" customHeight="1">
      <c r="B168" s="59"/>
      <c r="C168" s="63"/>
      <c r="D168" s="63"/>
      <c r="E168" s="59"/>
      <c r="F168" s="3"/>
      <c r="G168" s="3"/>
    </row>
    <row r="169" ht="15.75" customHeight="1">
      <c r="B169" s="59"/>
      <c r="C169" s="63"/>
      <c r="D169" s="63"/>
      <c r="E169" s="59"/>
      <c r="F169" s="3"/>
      <c r="G169" s="3"/>
    </row>
    <row r="170" ht="15.75" customHeight="1">
      <c r="B170" s="59"/>
      <c r="C170" s="63"/>
      <c r="D170" s="63"/>
      <c r="E170" s="59"/>
      <c r="F170" s="3"/>
      <c r="G170" s="3"/>
    </row>
    <row r="171" ht="15.75" customHeight="1">
      <c r="B171" s="59"/>
      <c r="C171" s="63"/>
      <c r="D171" s="63"/>
      <c r="E171" s="59"/>
      <c r="F171" s="3"/>
      <c r="G171" s="3"/>
    </row>
    <row r="172" ht="15.75" customHeight="1">
      <c r="B172" s="59"/>
      <c r="C172" s="63"/>
      <c r="D172" s="63"/>
      <c r="E172" s="59"/>
      <c r="F172" s="3"/>
      <c r="G172" s="3"/>
    </row>
    <row r="173" ht="15.75" customHeight="1">
      <c r="B173" s="59"/>
      <c r="C173" s="63"/>
      <c r="D173" s="63"/>
      <c r="E173" s="59"/>
      <c r="F173" s="3"/>
      <c r="G173" s="3"/>
    </row>
    <row r="174" ht="15.75" customHeight="1">
      <c r="B174" s="59"/>
      <c r="C174" s="63"/>
      <c r="D174" s="63"/>
      <c r="E174" s="59"/>
      <c r="F174" s="3"/>
      <c r="G174" s="3"/>
    </row>
    <row r="175" ht="15.75" customHeight="1">
      <c r="B175" s="59"/>
      <c r="C175" s="63"/>
      <c r="D175" s="63"/>
      <c r="E175" s="59"/>
      <c r="F175" s="3"/>
      <c r="G175" s="3"/>
    </row>
    <row r="176" ht="15.75" customHeight="1">
      <c r="B176" s="59"/>
      <c r="C176" s="63"/>
      <c r="D176" s="63"/>
      <c r="E176" s="59"/>
      <c r="F176" s="3"/>
      <c r="G176" s="3"/>
    </row>
    <row r="177" ht="15.75" customHeight="1">
      <c r="B177" s="59"/>
      <c r="C177" s="63"/>
      <c r="D177" s="63"/>
      <c r="E177" s="59"/>
      <c r="F177" s="3"/>
      <c r="G177" s="3"/>
    </row>
    <row r="178" ht="15.75" customHeight="1">
      <c r="B178" s="59"/>
      <c r="C178" s="63"/>
      <c r="D178" s="63"/>
      <c r="E178" s="59"/>
      <c r="F178" s="3"/>
      <c r="G178" s="3"/>
    </row>
    <row r="179" ht="15.75" customHeight="1">
      <c r="B179" s="59"/>
      <c r="C179" s="63"/>
      <c r="D179" s="63"/>
      <c r="E179" s="59"/>
      <c r="F179" s="3"/>
      <c r="G179" s="3"/>
    </row>
    <row r="180" ht="15.75" customHeight="1">
      <c r="B180" s="59"/>
      <c r="C180" s="63"/>
      <c r="D180" s="63"/>
      <c r="E180" s="59"/>
      <c r="F180" s="3"/>
      <c r="G180" s="3"/>
    </row>
    <row r="181" ht="15.75" customHeight="1">
      <c r="B181" s="59"/>
      <c r="C181" s="63"/>
      <c r="D181" s="63"/>
      <c r="E181" s="59"/>
      <c r="F181" s="3"/>
      <c r="G181" s="3"/>
    </row>
    <row r="182" ht="15.75" customHeight="1">
      <c r="B182" s="59"/>
      <c r="C182" s="63"/>
      <c r="D182" s="63"/>
      <c r="E182" s="59"/>
      <c r="F182" s="3"/>
      <c r="G182" s="3"/>
    </row>
    <row r="183" ht="15.75" customHeight="1">
      <c r="B183" s="59"/>
      <c r="C183" s="63"/>
      <c r="D183" s="63"/>
      <c r="E183" s="59"/>
      <c r="F183" s="3"/>
      <c r="G183" s="3"/>
    </row>
    <row r="184" ht="15.75" customHeight="1">
      <c r="B184" s="59"/>
      <c r="C184" s="63"/>
      <c r="D184" s="63"/>
      <c r="E184" s="59"/>
      <c r="F184" s="3"/>
      <c r="G184" s="3"/>
    </row>
    <row r="185" ht="15.75" customHeight="1">
      <c r="B185" s="59"/>
      <c r="C185" s="63"/>
      <c r="D185" s="63"/>
      <c r="E185" s="59"/>
      <c r="F185" s="3"/>
      <c r="G185" s="3"/>
    </row>
    <row r="186" ht="15.75" customHeight="1">
      <c r="B186" s="59"/>
      <c r="C186" s="63"/>
      <c r="D186" s="63"/>
      <c r="E186" s="59"/>
      <c r="F186" s="3"/>
      <c r="G186" s="3"/>
    </row>
    <row r="187" ht="15.75" customHeight="1">
      <c r="B187" s="59"/>
      <c r="C187" s="63"/>
      <c r="D187" s="63"/>
      <c r="E187" s="59"/>
      <c r="F187" s="3"/>
      <c r="G187" s="3"/>
    </row>
    <row r="188" ht="15.75" customHeight="1">
      <c r="B188" s="59"/>
      <c r="C188" s="63"/>
      <c r="D188" s="63"/>
      <c r="E188" s="59"/>
      <c r="F188" s="3"/>
      <c r="G188" s="3"/>
    </row>
    <row r="189" ht="15.75" customHeight="1">
      <c r="B189" s="59"/>
      <c r="C189" s="63"/>
      <c r="D189" s="63"/>
      <c r="E189" s="59"/>
      <c r="F189" s="3"/>
      <c r="G189" s="3"/>
    </row>
    <row r="190" ht="15.75" customHeight="1">
      <c r="B190" s="59"/>
      <c r="C190" s="63"/>
      <c r="D190" s="63"/>
      <c r="E190" s="59"/>
      <c r="F190" s="3"/>
      <c r="G190" s="3"/>
    </row>
    <row r="191" ht="15.75" customHeight="1">
      <c r="B191" s="59"/>
      <c r="C191" s="63"/>
      <c r="D191" s="63"/>
      <c r="E191" s="59"/>
      <c r="F191" s="3"/>
      <c r="G191" s="3"/>
    </row>
    <row r="192" ht="15.75" customHeight="1">
      <c r="B192" s="59"/>
      <c r="C192" s="63"/>
      <c r="D192" s="63"/>
      <c r="E192" s="59"/>
      <c r="F192" s="3"/>
      <c r="G192" s="3"/>
    </row>
    <row r="193" ht="15.75" customHeight="1">
      <c r="B193" s="59"/>
      <c r="C193" s="63"/>
      <c r="D193" s="63"/>
      <c r="E193" s="59"/>
      <c r="F193" s="3"/>
      <c r="G193" s="3"/>
    </row>
    <row r="194" ht="15.75" customHeight="1">
      <c r="B194" s="59"/>
      <c r="C194" s="63"/>
      <c r="D194" s="63"/>
      <c r="E194" s="59"/>
      <c r="F194" s="3"/>
      <c r="G194" s="3"/>
    </row>
    <row r="195" ht="15.75" customHeight="1">
      <c r="B195" s="59"/>
      <c r="C195" s="63"/>
      <c r="D195" s="63"/>
      <c r="E195" s="59"/>
      <c r="F195" s="3"/>
      <c r="G195" s="3"/>
    </row>
    <row r="196" ht="15.75" customHeight="1">
      <c r="B196" s="59"/>
      <c r="C196" s="63"/>
      <c r="D196" s="63"/>
      <c r="E196" s="59"/>
      <c r="F196" s="3"/>
      <c r="G196" s="3"/>
    </row>
    <row r="197" ht="15.75" customHeight="1">
      <c r="B197" s="59"/>
      <c r="C197" s="63"/>
      <c r="D197" s="63"/>
      <c r="E197" s="59"/>
      <c r="F197" s="3"/>
      <c r="G197" s="3"/>
    </row>
    <row r="198" ht="15.75" customHeight="1">
      <c r="B198" s="59"/>
      <c r="C198" s="63"/>
      <c r="D198" s="63"/>
      <c r="E198" s="59"/>
      <c r="F198" s="3"/>
      <c r="G198" s="3"/>
    </row>
    <row r="199" ht="15.75" customHeight="1">
      <c r="B199" s="59"/>
      <c r="C199" s="63"/>
      <c r="D199" s="63"/>
      <c r="E199" s="59"/>
      <c r="F199" s="3"/>
      <c r="G199" s="3"/>
    </row>
    <row r="200" ht="15.75" customHeight="1">
      <c r="B200" s="59"/>
      <c r="C200" s="63"/>
      <c r="D200" s="63"/>
      <c r="E200" s="59"/>
      <c r="F200" s="3"/>
      <c r="G200" s="3"/>
    </row>
    <row r="201" ht="15.75" customHeight="1">
      <c r="B201" s="59"/>
      <c r="C201" s="63"/>
      <c r="D201" s="63"/>
      <c r="E201" s="59"/>
      <c r="F201" s="3"/>
      <c r="G201" s="3"/>
    </row>
    <row r="202" ht="15.75" customHeight="1">
      <c r="B202" s="59"/>
      <c r="C202" s="63"/>
      <c r="D202" s="63"/>
      <c r="E202" s="59"/>
      <c r="F202" s="3"/>
      <c r="G202" s="3"/>
    </row>
    <row r="203" ht="15.75" customHeight="1">
      <c r="B203" s="59"/>
      <c r="C203" s="63"/>
      <c r="D203" s="63"/>
      <c r="E203" s="59"/>
      <c r="F203" s="3"/>
      <c r="G203" s="3"/>
    </row>
    <row r="204" ht="15.75" customHeight="1">
      <c r="B204" s="59"/>
      <c r="C204" s="63"/>
      <c r="D204" s="63"/>
      <c r="E204" s="59"/>
      <c r="F204" s="3"/>
      <c r="G204" s="3"/>
    </row>
    <row r="205" ht="15.75" customHeight="1">
      <c r="B205" s="59"/>
      <c r="C205" s="63"/>
      <c r="D205" s="63"/>
      <c r="E205" s="59"/>
      <c r="F205" s="3"/>
      <c r="G205" s="3"/>
    </row>
    <row r="206" ht="15.75" customHeight="1">
      <c r="B206" s="59"/>
      <c r="C206" s="63"/>
      <c r="D206" s="63"/>
      <c r="E206" s="59"/>
      <c r="F206" s="3"/>
      <c r="G206" s="3"/>
    </row>
    <row r="207" ht="15.75" customHeight="1">
      <c r="B207" s="59"/>
      <c r="C207" s="63"/>
      <c r="D207" s="63"/>
      <c r="E207" s="59"/>
      <c r="F207" s="3"/>
      <c r="G207" s="3"/>
    </row>
    <row r="208" ht="15.75" customHeight="1">
      <c r="B208" s="59"/>
      <c r="C208" s="63"/>
      <c r="D208" s="63"/>
      <c r="E208" s="59"/>
      <c r="F208" s="3"/>
      <c r="G208" s="3"/>
    </row>
    <row r="209" ht="15.75" customHeight="1">
      <c r="B209" s="59"/>
      <c r="C209" s="63"/>
      <c r="D209" s="63"/>
      <c r="E209" s="59"/>
      <c r="F209" s="3"/>
      <c r="G209" s="3"/>
    </row>
    <row r="210" ht="15.75" customHeight="1">
      <c r="B210" s="59"/>
      <c r="C210" s="63"/>
      <c r="D210" s="63"/>
      <c r="E210" s="59"/>
      <c r="F210" s="3"/>
      <c r="G210" s="3"/>
    </row>
    <row r="211" ht="15.75" customHeight="1">
      <c r="B211" s="59"/>
      <c r="C211" s="63"/>
      <c r="D211" s="63"/>
      <c r="E211" s="59"/>
      <c r="F211" s="3"/>
      <c r="G211" s="3"/>
    </row>
    <row r="212" ht="15.75" customHeight="1">
      <c r="B212" s="59"/>
      <c r="C212" s="7"/>
      <c r="D212" s="3"/>
      <c r="E212" s="59"/>
      <c r="F212" s="3"/>
      <c r="G212" s="3"/>
    </row>
    <row r="213" ht="15.75" customHeight="1">
      <c r="B213" s="59"/>
      <c r="C213" s="7"/>
      <c r="D213" s="3"/>
      <c r="E213" s="59"/>
      <c r="F213" s="3"/>
      <c r="G213" s="3"/>
    </row>
    <row r="214" ht="15.75" customHeight="1">
      <c r="B214" s="59"/>
      <c r="C214" s="7"/>
      <c r="D214" s="3"/>
      <c r="E214" s="59"/>
      <c r="F214" s="3"/>
      <c r="G214" s="3"/>
    </row>
    <row r="215" ht="15.75" customHeight="1">
      <c r="B215" s="59"/>
      <c r="C215" s="7"/>
      <c r="D215" s="3"/>
      <c r="E215" s="59"/>
      <c r="F215" s="3"/>
      <c r="G215" s="3"/>
    </row>
    <row r="216" ht="15.75" customHeight="1">
      <c r="B216" s="59"/>
      <c r="C216" s="7"/>
      <c r="D216" s="3"/>
      <c r="E216" s="59"/>
      <c r="F216" s="3"/>
      <c r="G216" s="3"/>
    </row>
    <row r="217" ht="15.75" customHeight="1">
      <c r="B217" s="59"/>
      <c r="C217" s="7"/>
      <c r="D217" s="3"/>
      <c r="E217" s="59"/>
      <c r="F217" s="3"/>
      <c r="G217" s="3"/>
    </row>
    <row r="218" ht="15.75" customHeight="1">
      <c r="B218" s="59"/>
      <c r="C218" s="7"/>
      <c r="D218" s="3"/>
      <c r="E218" s="59"/>
      <c r="F218" s="3"/>
      <c r="G218" s="3"/>
    </row>
    <row r="219" ht="15.75" customHeight="1">
      <c r="B219" s="59"/>
      <c r="C219" s="7"/>
      <c r="D219" s="3"/>
      <c r="E219" s="59"/>
      <c r="F219" s="3"/>
      <c r="G219" s="3"/>
    </row>
    <row r="220" ht="15.75" customHeight="1">
      <c r="B220" s="59"/>
      <c r="C220" s="7"/>
      <c r="D220" s="3"/>
      <c r="E220" s="59"/>
      <c r="F220" s="3"/>
      <c r="G220" s="3"/>
    </row>
    <row r="221" ht="15.75" customHeight="1">
      <c r="B221" s="59"/>
      <c r="C221" s="7"/>
      <c r="D221" s="3"/>
      <c r="E221" s="59"/>
      <c r="F221" s="3"/>
      <c r="G221" s="3"/>
    </row>
    <row r="222" ht="15.75" customHeight="1">
      <c r="B222" s="59"/>
      <c r="C222" s="7"/>
      <c r="D222" s="3"/>
      <c r="E222" s="59"/>
      <c r="F222" s="3"/>
      <c r="G222" s="3"/>
    </row>
    <row r="223" ht="15.75" customHeight="1">
      <c r="B223" s="59"/>
      <c r="C223" s="7"/>
      <c r="D223" s="3"/>
      <c r="E223" s="59"/>
      <c r="F223" s="3"/>
      <c r="G223" s="3"/>
    </row>
    <row r="224" ht="15.75" customHeight="1">
      <c r="B224" s="59"/>
      <c r="C224" s="7"/>
      <c r="D224" s="3"/>
      <c r="E224" s="59"/>
      <c r="F224" s="3"/>
      <c r="G224" s="3"/>
    </row>
    <row r="225" ht="15.75" customHeight="1">
      <c r="B225" s="59"/>
      <c r="C225" s="7"/>
      <c r="D225" s="3"/>
      <c r="E225" s="59"/>
      <c r="F225" s="3"/>
      <c r="G225" s="3"/>
    </row>
    <row r="226" ht="15.75" customHeight="1">
      <c r="B226" s="59"/>
      <c r="C226" s="7"/>
      <c r="D226" s="3"/>
      <c r="E226" s="59"/>
      <c r="F226" s="3"/>
      <c r="G226" s="3"/>
    </row>
    <row r="227" ht="15.75" customHeight="1">
      <c r="B227" s="59"/>
      <c r="C227" s="7"/>
      <c r="D227" s="3"/>
      <c r="E227" s="59"/>
      <c r="F227" s="3"/>
      <c r="G227" s="3"/>
    </row>
    <row r="228" ht="15.75" customHeight="1">
      <c r="B228" s="59"/>
      <c r="C228" s="7"/>
      <c r="D228" s="3"/>
      <c r="E228" s="59"/>
      <c r="F228" s="3"/>
      <c r="G228" s="3"/>
    </row>
    <row r="229" ht="15.75" customHeight="1">
      <c r="B229" s="59"/>
      <c r="C229" s="7"/>
      <c r="D229" s="3"/>
      <c r="E229" s="59"/>
      <c r="F229" s="3"/>
      <c r="G229" s="3"/>
    </row>
    <row r="230" ht="15.75" customHeight="1">
      <c r="B230" s="59"/>
      <c r="C230" s="7"/>
      <c r="D230" s="3"/>
      <c r="E230" s="59"/>
      <c r="F230" s="3"/>
      <c r="G230" s="3"/>
    </row>
    <row r="231" ht="15.75" customHeight="1">
      <c r="B231" s="59"/>
      <c r="C231" s="7"/>
      <c r="D231" s="3"/>
      <c r="E231" s="59"/>
      <c r="F231" s="3"/>
      <c r="G231" s="3"/>
    </row>
    <row r="232" ht="15.75" customHeight="1">
      <c r="B232" s="59"/>
      <c r="C232" s="7"/>
      <c r="D232" s="3"/>
      <c r="E232" s="59"/>
      <c r="F232" s="3"/>
      <c r="G232" s="3"/>
    </row>
    <row r="233" ht="15.75" customHeight="1">
      <c r="B233" s="59"/>
      <c r="C233" s="7"/>
      <c r="D233" s="3"/>
      <c r="E233" s="59"/>
      <c r="F233" s="3"/>
      <c r="G233" s="3"/>
    </row>
    <row r="234" ht="15.75" customHeight="1">
      <c r="B234" s="59"/>
      <c r="C234" s="7"/>
      <c r="D234" s="3"/>
      <c r="E234" s="59"/>
      <c r="F234" s="3"/>
      <c r="G234" s="3"/>
    </row>
    <row r="235" ht="15.75" customHeight="1">
      <c r="B235" s="59"/>
      <c r="C235" s="7"/>
      <c r="D235" s="3"/>
      <c r="E235" s="59"/>
      <c r="F235" s="3"/>
      <c r="G235" s="3"/>
    </row>
    <row r="236" ht="15.75" customHeight="1">
      <c r="B236" s="59"/>
      <c r="C236" s="7"/>
      <c r="D236" s="3"/>
      <c r="E236" s="59"/>
      <c r="F236" s="3"/>
      <c r="G236" s="3"/>
    </row>
    <row r="237" ht="15.75" customHeight="1">
      <c r="B237" s="59"/>
      <c r="C237" s="7"/>
      <c r="D237" s="3"/>
      <c r="E237" s="59"/>
      <c r="F237" s="3"/>
      <c r="G237" s="3"/>
    </row>
    <row r="238" ht="15.75" customHeight="1">
      <c r="B238" s="59"/>
      <c r="C238" s="7"/>
      <c r="D238" s="3"/>
      <c r="E238" s="59"/>
      <c r="F238" s="3"/>
      <c r="G238" s="3"/>
    </row>
    <row r="239" ht="15.75" customHeight="1">
      <c r="B239" s="59"/>
      <c r="C239" s="7"/>
      <c r="D239" s="3"/>
      <c r="E239" s="59"/>
      <c r="F239" s="3"/>
      <c r="G239" s="3"/>
    </row>
    <row r="240" ht="15.75" customHeight="1">
      <c r="B240" s="59"/>
      <c r="C240" s="7"/>
      <c r="D240" s="3"/>
      <c r="E240" s="59"/>
      <c r="F240" s="3"/>
      <c r="G240" s="3"/>
    </row>
    <row r="241" ht="15.75" customHeight="1">
      <c r="B241" s="59"/>
      <c r="C241" s="7"/>
      <c r="D241" s="3"/>
      <c r="E241" s="59"/>
      <c r="F241" s="3"/>
      <c r="G241" s="3"/>
    </row>
    <row r="242" ht="15.75" customHeight="1">
      <c r="B242" s="59"/>
      <c r="C242" s="7"/>
      <c r="D242" s="3"/>
      <c r="E242" s="59"/>
      <c r="F242" s="3"/>
      <c r="G242" s="3"/>
    </row>
    <row r="243" ht="15.75" customHeight="1">
      <c r="B243" s="59"/>
      <c r="C243" s="7"/>
      <c r="D243" s="3"/>
      <c r="E243" s="59"/>
      <c r="F243" s="3"/>
      <c r="G243" s="3"/>
    </row>
    <row r="244" ht="15.75" customHeight="1">
      <c r="B244" s="59"/>
      <c r="C244" s="7"/>
      <c r="D244" s="3"/>
      <c r="E244" s="59"/>
      <c r="F244" s="3"/>
      <c r="G244" s="3"/>
    </row>
    <row r="245" ht="15.75" customHeight="1">
      <c r="B245" s="59"/>
      <c r="C245" s="7"/>
      <c r="D245" s="3"/>
      <c r="E245" s="59"/>
      <c r="F245" s="3"/>
      <c r="G245" s="3"/>
    </row>
    <row r="246" ht="15.75" customHeight="1">
      <c r="B246" s="59"/>
      <c r="C246" s="7"/>
      <c r="D246" s="3"/>
      <c r="E246" s="59"/>
      <c r="F246" s="3"/>
      <c r="G246" s="3"/>
    </row>
    <row r="247" ht="15.75" customHeight="1">
      <c r="B247" s="59"/>
      <c r="C247" s="7"/>
      <c r="D247" s="3"/>
      <c r="E247" s="59"/>
      <c r="F247" s="3"/>
      <c r="G247" s="3"/>
    </row>
    <row r="248" ht="15.75" customHeight="1">
      <c r="B248" s="59"/>
      <c r="C248" s="7"/>
      <c r="D248" s="3"/>
      <c r="E248" s="59"/>
      <c r="F248" s="3"/>
      <c r="G248" s="3"/>
    </row>
    <row r="249" ht="15.75" customHeight="1">
      <c r="B249" s="59"/>
      <c r="C249" s="7"/>
      <c r="D249" s="3"/>
      <c r="E249" s="59"/>
      <c r="F249" s="3"/>
      <c r="G249" s="3"/>
    </row>
    <row r="250" ht="15.75" customHeight="1">
      <c r="B250" s="59"/>
      <c r="C250" s="7"/>
      <c r="D250" s="3"/>
      <c r="E250" s="59"/>
      <c r="F250" s="3"/>
      <c r="G250" s="3"/>
    </row>
    <row r="251" ht="15.75" customHeight="1">
      <c r="B251" s="59"/>
      <c r="C251" s="7"/>
      <c r="D251" s="3"/>
      <c r="E251" s="59"/>
      <c r="F251" s="3"/>
      <c r="G251" s="3"/>
    </row>
    <row r="252" ht="15.75" customHeight="1">
      <c r="B252" s="59"/>
      <c r="C252" s="7"/>
      <c r="D252" s="3"/>
      <c r="E252" s="59"/>
      <c r="F252" s="3"/>
      <c r="G252" s="3"/>
    </row>
    <row r="253" ht="15.75" customHeight="1">
      <c r="B253" s="59"/>
      <c r="C253" s="7"/>
      <c r="D253" s="3"/>
      <c r="E253" s="59"/>
      <c r="F253" s="3"/>
      <c r="G253" s="3"/>
    </row>
    <row r="254" ht="15.75" customHeight="1">
      <c r="B254" s="59"/>
      <c r="C254" s="7"/>
      <c r="D254" s="3"/>
      <c r="E254" s="59"/>
      <c r="F254" s="3"/>
      <c r="G254" s="3"/>
    </row>
    <row r="255" ht="15.75" customHeight="1">
      <c r="B255" s="59"/>
      <c r="C255" s="7"/>
      <c r="D255" s="3"/>
      <c r="E255" s="59"/>
      <c r="F255" s="3"/>
      <c r="G255" s="3"/>
    </row>
    <row r="256" ht="15.75" customHeight="1">
      <c r="B256" s="59"/>
      <c r="C256" s="7"/>
      <c r="D256" s="3"/>
      <c r="E256" s="59"/>
      <c r="F256" s="3"/>
      <c r="G256" s="3"/>
    </row>
    <row r="257" ht="15.75" customHeight="1">
      <c r="B257" s="59"/>
      <c r="C257" s="7"/>
      <c r="D257" s="3"/>
      <c r="E257" s="59"/>
      <c r="F257" s="3"/>
      <c r="G257" s="3"/>
    </row>
    <row r="258" ht="15.75" customHeight="1">
      <c r="B258" s="59"/>
      <c r="C258" s="7"/>
      <c r="D258" s="3"/>
      <c r="E258" s="59"/>
      <c r="F258" s="3"/>
      <c r="G258" s="3"/>
    </row>
    <row r="259" ht="15.75" customHeight="1">
      <c r="B259" s="59"/>
      <c r="C259" s="7"/>
      <c r="D259" s="3"/>
      <c r="E259" s="59"/>
      <c r="F259" s="3"/>
      <c r="G259" s="3"/>
    </row>
    <row r="260" ht="15.75" customHeight="1">
      <c r="B260" s="59"/>
      <c r="C260" s="7"/>
      <c r="D260" s="3"/>
      <c r="E260" s="59"/>
      <c r="F260" s="3"/>
      <c r="G260" s="3"/>
    </row>
    <row r="261" ht="15.75" customHeight="1">
      <c r="B261" s="59"/>
      <c r="C261" s="7"/>
      <c r="D261" s="3"/>
      <c r="E261" s="59"/>
      <c r="F261" s="3"/>
      <c r="G261" s="3"/>
    </row>
    <row r="262" ht="15.75" customHeight="1">
      <c r="B262" s="59"/>
      <c r="C262" s="7"/>
      <c r="D262" s="3"/>
      <c r="E262" s="59"/>
      <c r="F262" s="3"/>
      <c r="G262" s="3"/>
    </row>
    <row r="263" ht="15.75" customHeight="1">
      <c r="B263" s="59"/>
      <c r="C263" s="7"/>
      <c r="D263" s="3"/>
      <c r="E263" s="59"/>
      <c r="F263" s="3"/>
      <c r="G263" s="3"/>
    </row>
    <row r="264" ht="15.75" customHeight="1">
      <c r="B264" s="59"/>
      <c r="C264" s="7"/>
      <c r="D264" s="3"/>
      <c r="E264" s="59"/>
      <c r="F264" s="3"/>
      <c r="G264" s="3"/>
    </row>
    <row r="265" ht="15.75" customHeight="1">
      <c r="B265" s="59"/>
      <c r="C265" s="7"/>
      <c r="D265" s="3"/>
      <c r="E265" s="59"/>
      <c r="F265" s="3"/>
      <c r="G265" s="3"/>
    </row>
    <row r="266" ht="15.75" customHeight="1">
      <c r="B266" s="59"/>
      <c r="C266" s="7"/>
      <c r="D266" s="3"/>
      <c r="E266" s="59"/>
      <c r="F266" s="3"/>
      <c r="G266" s="3"/>
    </row>
    <row r="267" ht="15.75" customHeight="1">
      <c r="B267" s="59"/>
      <c r="C267" s="7"/>
      <c r="D267" s="3"/>
      <c r="E267" s="59"/>
      <c r="F267" s="3"/>
      <c r="G267" s="3"/>
    </row>
    <row r="268" ht="15.75" customHeight="1">
      <c r="B268" s="59"/>
      <c r="C268" s="7"/>
      <c r="D268" s="3"/>
      <c r="E268" s="59"/>
      <c r="F268" s="3"/>
      <c r="G268" s="3"/>
    </row>
    <row r="269" ht="15.75" customHeight="1">
      <c r="B269" s="59"/>
      <c r="C269" s="7"/>
      <c r="D269" s="3"/>
      <c r="E269" s="59"/>
      <c r="F269" s="3"/>
      <c r="G269" s="3"/>
    </row>
    <row r="270" ht="15.75" customHeight="1">
      <c r="B270" s="59"/>
      <c r="C270" s="7"/>
      <c r="D270" s="3"/>
      <c r="E270" s="59"/>
      <c r="F270" s="3"/>
      <c r="G270" s="3"/>
    </row>
    <row r="271" ht="15.75" customHeight="1">
      <c r="B271" s="59"/>
      <c r="C271" s="7"/>
      <c r="D271" s="3"/>
      <c r="E271" s="59"/>
      <c r="F271" s="3"/>
      <c r="G271" s="3"/>
    </row>
    <row r="272" ht="15.75" customHeight="1">
      <c r="B272" s="59"/>
      <c r="C272" s="7"/>
      <c r="D272" s="3"/>
      <c r="E272" s="59"/>
      <c r="F272" s="3"/>
      <c r="G272" s="3"/>
    </row>
    <row r="273" ht="15.75" customHeight="1">
      <c r="B273" s="59"/>
      <c r="C273" s="7"/>
      <c r="D273" s="3"/>
      <c r="E273" s="59"/>
      <c r="F273" s="3"/>
      <c r="G273" s="3"/>
    </row>
    <row r="274" ht="15.75" customHeight="1">
      <c r="B274" s="59"/>
      <c r="C274" s="7"/>
      <c r="D274" s="3"/>
      <c r="E274" s="59"/>
      <c r="F274" s="3"/>
      <c r="G274" s="3"/>
    </row>
    <row r="275" ht="15.75" customHeight="1">
      <c r="B275" s="59"/>
      <c r="C275" s="7"/>
      <c r="D275" s="3"/>
      <c r="E275" s="59"/>
      <c r="F275" s="3"/>
      <c r="G275" s="3"/>
    </row>
    <row r="276" ht="15.75" customHeight="1">
      <c r="B276" s="59"/>
      <c r="C276" s="7"/>
      <c r="D276" s="3"/>
      <c r="E276" s="59"/>
      <c r="F276" s="3"/>
      <c r="G276" s="3"/>
    </row>
    <row r="277" ht="15.75" customHeight="1">
      <c r="B277" s="59"/>
      <c r="C277" s="7"/>
      <c r="D277" s="3"/>
      <c r="E277" s="59"/>
      <c r="F277" s="3"/>
      <c r="G277" s="3"/>
    </row>
    <row r="278" ht="15.75" customHeight="1">
      <c r="B278" s="59"/>
      <c r="C278" s="7"/>
      <c r="D278" s="3"/>
      <c r="E278" s="59"/>
      <c r="F278" s="3"/>
      <c r="G278" s="3"/>
    </row>
    <row r="279" ht="15.75" customHeight="1">
      <c r="B279" s="59"/>
      <c r="C279" s="7"/>
      <c r="D279" s="3"/>
      <c r="E279" s="59"/>
      <c r="F279" s="3"/>
      <c r="G279" s="3"/>
    </row>
    <row r="280" ht="15.75" customHeight="1">
      <c r="B280" s="59"/>
      <c r="C280" s="7"/>
      <c r="D280" s="3"/>
      <c r="E280" s="59"/>
      <c r="F280" s="3"/>
      <c r="G280" s="3"/>
    </row>
    <row r="281" ht="15.75" customHeight="1">
      <c r="B281" s="59"/>
      <c r="C281" s="7"/>
      <c r="D281" s="3"/>
      <c r="E281" s="59"/>
      <c r="F281" s="3"/>
      <c r="G281" s="3"/>
    </row>
    <row r="282" ht="15.75" customHeight="1">
      <c r="B282" s="59"/>
      <c r="C282" s="7"/>
      <c r="D282" s="3"/>
      <c r="E282" s="59"/>
      <c r="F282" s="3"/>
      <c r="G282" s="3"/>
    </row>
    <row r="283" ht="15.75" customHeight="1">
      <c r="B283" s="59"/>
      <c r="C283" s="7"/>
      <c r="D283" s="3"/>
      <c r="E283" s="59"/>
      <c r="F283" s="3"/>
      <c r="G283" s="3"/>
    </row>
    <row r="284" ht="15.75" customHeight="1">
      <c r="B284" s="59"/>
      <c r="C284" s="7"/>
      <c r="D284" s="3"/>
      <c r="E284" s="59"/>
      <c r="F284" s="3"/>
      <c r="G284" s="3"/>
    </row>
    <row r="285" ht="15.75" customHeight="1">
      <c r="B285" s="59"/>
      <c r="C285" s="7"/>
      <c r="D285" s="3"/>
      <c r="E285" s="59"/>
      <c r="F285" s="3"/>
      <c r="G285" s="3"/>
    </row>
    <row r="286" ht="15.75" customHeight="1">
      <c r="B286" s="59"/>
      <c r="C286" s="7"/>
      <c r="D286" s="3"/>
      <c r="E286" s="59"/>
      <c r="F286" s="3"/>
      <c r="G286" s="3"/>
    </row>
    <row r="287" ht="15.75" customHeight="1">
      <c r="B287" s="59"/>
      <c r="C287" s="7"/>
      <c r="D287" s="3"/>
      <c r="E287" s="59"/>
      <c r="F287" s="3"/>
      <c r="G287" s="3"/>
    </row>
    <row r="288" ht="15.75" customHeight="1">
      <c r="B288" s="59"/>
      <c r="C288" s="7"/>
      <c r="D288" s="3"/>
      <c r="E288" s="59"/>
      <c r="F288" s="3"/>
      <c r="G288" s="3"/>
    </row>
    <row r="289" ht="15.75" customHeight="1">
      <c r="B289" s="59"/>
      <c r="C289" s="7"/>
      <c r="D289" s="3"/>
      <c r="E289" s="59"/>
      <c r="F289" s="3"/>
      <c r="G289" s="3"/>
    </row>
    <row r="290" ht="15.75" customHeight="1">
      <c r="B290" s="59"/>
      <c r="C290" s="7"/>
      <c r="D290" s="3"/>
      <c r="E290" s="59"/>
      <c r="F290" s="3"/>
      <c r="G290" s="3"/>
    </row>
    <row r="291" ht="15.75" customHeight="1">
      <c r="B291" s="59"/>
      <c r="C291" s="7"/>
      <c r="D291" s="3"/>
      <c r="E291" s="59"/>
      <c r="F291" s="3"/>
      <c r="G291" s="3"/>
    </row>
    <row r="292" ht="15.75" customHeight="1">
      <c r="B292" s="59"/>
      <c r="C292" s="7"/>
      <c r="D292" s="3"/>
      <c r="E292" s="59"/>
      <c r="F292" s="3"/>
      <c r="G292" s="3"/>
    </row>
    <row r="293" ht="15.75" customHeight="1">
      <c r="B293" s="59"/>
      <c r="C293" s="7"/>
      <c r="D293" s="3"/>
      <c r="E293" s="59"/>
      <c r="F293" s="3"/>
      <c r="G293" s="3"/>
    </row>
    <row r="294" ht="15.75" customHeight="1">
      <c r="B294" s="59"/>
      <c r="C294" s="7"/>
      <c r="D294" s="3"/>
      <c r="E294" s="59"/>
      <c r="F294" s="3"/>
      <c r="G294" s="3"/>
    </row>
    <row r="295" ht="15.75" customHeight="1">
      <c r="B295" s="59"/>
      <c r="C295" s="7"/>
      <c r="D295" s="3"/>
      <c r="E295" s="59"/>
      <c r="F295" s="3"/>
      <c r="G295" s="3"/>
    </row>
    <row r="296" ht="15.75" customHeight="1">
      <c r="B296" s="59"/>
      <c r="C296" s="7"/>
      <c r="D296" s="3"/>
      <c r="E296" s="59"/>
      <c r="F296" s="3"/>
      <c r="G296" s="3"/>
    </row>
    <row r="297" ht="15.75" customHeight="1">
      <c r="B297" s="59"/>
      <c r="C297" s="7"/>
      <c r="D297" s="3"/>
      <c r="E297" s="59"/>
      <c r="F297" s="3"/>
      <c r="G297" s="3"/>
    </row>
    <row r="298" ht="15.75" customHeight="1">
      <c r="B298" s="59"/>
      <c r="C298" s="7"/>
      <c r="D298" s="3"/>
      <c r="E298" s="59"/>
      <c r="F298" s="3"/>
      <c r="G298" s="3"/>
    </row>
    <row r="299" ht="15.75" customHeight="1">
      <c r="B299" s="59"/>
      <c r="C299" s="7"/>
      <c r="D299" s="3"/>
      <c r="E299" s="59"/>
      <c r="F299" s="3"/>
      <c r="G299" s="3"/>
    </row>
    <row r="300" ht="15.75" customHeight="1">
      <c r="B300" s="59"/>
      <c r="C300" s="7"/>
      <c r="D300" s="3"/>
      <c r="E300" s="59"/>
      <c r="F300" s="3"/>
      <c r="G300" s="3"/>
    </row>
    <row r="301" ht="15.75" customHeight="1">
      <c r="B301" s="59"/>
      <c r="C301" s="7"/>
      <c r="D301" s="3"/>
      <c r="E301" s="59"/>
      <c r="F301" s="3"/>
      <c r="G301" s="3"/>
    </row>
    <row r="302" ht="15.75" customHeight="1">
      <c r="B302" s="59"/>
      <c r="C302" s="7"/>
      <c r="D302" s="3"/>
      <c r="E302" s="59"/>
      <c r="F302" s="3"/>
      <c r="G302" s="3"/>
    </row>
    <row r="303" ht="15.75" customHeight="1">
      <c r="B303" s="59"/>
      <c r="C303" s="7"/>
      <c r="D303" s="3"/>
      <c r="E303" s="59"/>
      <c r="F303" s="3"/>
      <c r="G303" s="3"/>
    </row>
    <row r="304" ht="15.75" customHeight="1">
      <c r="B304" s="59"/>
      <c r="C304" s="7"/>
      <c r="D304" s="3"/>
      <c r="E304" s="59"/>
      <c r="F304" s="3"/>
      <c r="G304" s="3"/>
    </row>
    <row r="305" ht="15.75" customHeight="1">
      <c r="B305" s="59"/>
      <c r="C305" s="7"/>
      <c r="D305" s="3"/>
      <c r="E305" s="59"/>
      <c r="F305" s="3"/>
      <c r="G305" s="3"/>
    </row>
    <row r="306" ht="15.75" customHeight="1">
      <c r="B306" s="59"/>
      <c r="C306" s="7"/>
      <c r="D306" s="3"/>
      <c r="E306" s="59"/>
      <c r="F306" s="3"/>
      <c r="G306" s="3"/>
    </row>
    <row r="307" ht="15.75" customHeight="1">
      <c r="B307" s="59"/>
      <c r="C307" s="7"/>
      <c r="D307" s="3"/>
      <c r="E307" s="59"/>
      <c r="F307" s="3"/>
      <c r="G307" s="3"/>
    </row>
    <row r="308" ht="15.75" customHeight="1">
      <c r="B308" s="59"/>
      <c r="C308" s="7"/>
      <c r="D308" s="3"/>
      <c r="E308" s="59"/>
      <c r="F308" s="3"/>
      <c r="G308" s="3"/>
    </row>
    <row r="309" ht="15.75" customHeight="1">
      <c r="B309" s="59"/>
      <c r="C309" s="7"/>
      <c r="D309" s="3"/>
      <c r="E309" s="59"/>
      <c r="F309" s="3"/>
      <c r="G309" s="3"/>
    </row>
    <row r="310" ht="15.75" customHeight="1">
      <c r="B310" s="59"/>
      <c r="C310" s="7"/>
      <c r="D310" s="3"/>
      <c r="E310" s="59"/>
      <c r="F310" s="3"/>
      <c r="G310" s="3"/>
    </row>
    <row r="311" ht="15.75" customHeight="1">
      <c r="B311" s="59"/>
      <c r="C311" s="7"/>
      <c r="D311" s="3"/>
      <c r="E311" s="59"/>
      <c r="F311" s="3"/>
      <c r="G311" s="3"/>
    </row>
    <row r="312" ht="15.75" customHeight="1">
      <c r="B312" s="59"/>
      <c r="C312" s="7"/>
      <c r="D312" s="3"/>
      <c r="E312" s="59"/>
      <c r="F312" s="3"/>
      <c r="G312" s="3"/>
    </row>
    <row r="313" ht="15.75" customHeight="1">
      <c r="B313" s="59"/>
      <c r="C313" s="7"/>
      <c r="D313" s="3"/>
      <c r="E313" s="59"/>
      <c r="F313" s="3"/>
      <c r="G313" s="3"/>
    </row>
    <row r="314" ht="15.75" customHeight="1">
      <c r="B314" s="59"/>
      <c r="C314" s="7"/>
      <c r="D314" s="3"/>
      <c r="E314" s="59"/>
      <c r="F314" s="3"/>
      <c r="G314" s="3"/>
    </row>
    <row r="315" ht="15.75" customHeight="1">
      <c r="B315" s="59"/>
      <c r="C315" s="7"/>
      <c r="D315" s="3"/>
      <c r="E315" s="59"/>
      <c r="F315" s="3"/>
      <c r="G315" s="3"/>
    </row>
    <row r="316" ht="15.75" customHeight="1">
      <c r="B316" s="59"/>
      <c r="C316" s="7"/>
      <c r="D316" s="3"/>
      <c r="E316" s="59"/>
      <c r="F316" s="3"/>
      <c r="G316" s="3"/>
    </row>
    <row r="317" ht="15.75" customHeight="1">
      <c r="B317" s="59"/>
      <c r="C317" s="7"/>
      <c r="D317" s="3"/>
      <c r="E317" s="59"/>
      <c r="F317" s="3"/>
      <c r="G317" s="3"/>
    </row>
    <row r="318" ht="15.75" customHeight="1">
      <c r="B318" s="59"/>
      <c r="C318" s="7"/>
      <c r="D318" s="3"/>
      <c r="E318" s="59"/>
      <c r="F318" s="3"/>
      <c r="G318" s="3"/>
    </row>
    <row r="319" ht="15.75" customHeight="1">
      <c r="B319" s="59"/>
      <c r="C319" s="7"/>
      <c r="D319" s="3"/>
      <c r="E319" s="59"/>
      <c r="F319" s="3"/>
      <c r="G319" s="3"/>
    </row>
    <row r="320" ht="15.75" customHeight="1">
      <c r="B320" s="59"/>
      <c r="C320" s="7"/>
      <c r="D320" s="3"/>
      <c r="E320" s="59"/>
      <c r="F320" s="3"/>
      <c r="G320" s="3"/>
    </row>
    <row r="321" ht="15.75" customHeight="1">
      <c r="B321" s="59"/>
      <c r="C321" s="7"/>
      <c r="D321" s="3"/>
      <c r="E321" s="59"/>
      <c r="F321" s="3"/>
      <c r="G321" s="3"/>
    </row>
    <row r="322" ht="15.75" customHeight="1">
      <c r="B322" s="59"/>
      <c r="C322" s="7"/>
      <c r="D322" s="3"/>
      <c r="E322" s="59"/>
      <c r="F322" s="3"/>
      <c r="G322" s="3"/>
    </row>
    <row r="323" ht="15.75" customHeight="1">
      <c r="B323" s="59"/>
      <c r="C323" s="7"/>
      <c r="D323" s="3"/>
      <c r="E323" s="59"/>
      <c r="F323" s="3"/>
      <c r="G323" s="3"/>
    </row>
    <row r="324" ht="15.75" customHeight="1">
      <c r="B324" s="59"/>
      <c r="C324" s="7"/>
      <c r="D324" s="3"/>
      <c r="E324" s="59"/>
      <c r="F324" s="3"/>
      <c r="G324" s="3"/>
    </row>
    <row r="325" ht="15.75" customHeight="1">
      <c r="B325" s="59"/>
      <c r="C325" s="7"/>
      <c r="D325" s="3"/>
      <c r="E325" s="59"/>
      <c r="F325" s="3"/>
      <c r="G325" s="3"/>
    </row>
    <row r="326" ht="15.75" customHeight="1">
      <c r="B326" s="59"/>
      <c r="C326" s="7"/>
      <c r="D326" s="3"/>
      <c r="E326" s="59"/>
      <c r="F326" s="3"/>
      <c r="G326" s="3"/>
    </row>
    <row r="327" ht="15.75" customHeight="1">
      <c r="B327" s="59"/>
      <c r="C327" s="7"/>
      <c r="D327" s="3"/>
      <c r="E327" s="59"/>
      <c r="F327" s="3"/>
      <c r="G327" s="3"/>
    </row>
    <row r="328" ht="15.75" customHeight="1">
      <c r="B328" s="59"/>
      <c r="C328" s="7"/>
      <c r="D328" s="3"/>
      <c r="E328" s="59"/>
      <c r="F328" s="3"/>
      <c r="G328" s="3"/>
    </row>
    <row r="329" ht="15.75" customHeight="1">
      <c r="B329" s="59"/>
      <c r="C329" s="7"/>
      <c r="D329" s="3"/>
      <c r="E329" s="59"/>
      <c r="F329" s="3"/>
      <c r="G329" s="3"/>
    </row>
    <row r="330" ht="15.75" customHeight="1">
      <c r="B330" s="59"/>
      <c r="C330" s="7"/>
      <c r="D330" s="3"/>
      <c r="E330" s="59"/>
      <c r="F330" s="3"/>
      <c r="G330" s="3"/>
    </row>
    <row r="331" ht="15.75" customHeight="1">
      <c r="B331" s="59"/>
      <c r="C331" s="7"/>
      <c r="D331" s="3"/>
      <c r="E331" s="59"/>
      <c r="F331" s="3"/>
      <c r="G331" s="3"/>
    </row>
    <row r="332" ht="15.75" customHeight="1">
      <c r="B332" s="59"/>
      <c r="C332" s="7"/>
      <c r="D332" s="3"/>
      <c r="E332" s="59"/>
      <c r="F332" s="3"/>
      <c r="G332" s="3"/>
    </row>
    <row r="333" ht="15.75" customHeight="1">
      <c r="B333" s="59"/>
      <c r="C333" s="7"/>
      <c r="D333" s="3"/>
      <c r="E333" s="59"/>
      <c r="F333" s="3"/>
      <c r="G333" s="3"/>
    </row>
    <row r="334" ht="15.75" customHeight="1">
      <c r="B334" s="59"/>
      <c r="C334" s="7"/>
      <c r="D334" s="3"/>
      <c r="E334" s="59"/>
      <c r="F334" s="3"/>
      <c r="G334" s="3"/>
    </row>
    <row r="335" ht="15.75" customHeight="1">
      <c r="B335" s="59"/>
      <c r="C335" s="7"/>
      <c r="D335" s="3"/>
      <c r="E335" s="59"/>
      <c r="F335" s="3"/>
      <c r="G335" s="3"/>
    </row>
    <row r="336" ht="15.75" customHeight="1">
      <c r="B336" s="59"/>
      <c r="C336" s="7"/>
      <c r="D336" s="3"/>
      <c r="E336" s="59"/>
      <c r="F336" s="3"/>
      <c r="G336" s="3"/>
    </row>
    <row r="337" ht="15.75" customHeight="1">
      <c r="B337" s="59"/>
      <c r="C337" s="7"/>
      <c r="D337" s="3"/>
      <c r="E337" s="59"/>
      <c r="F337" s="3"/>
      <c r="G337" s="3"/>
    </row>
    <row r="338" ht="15.75" customHeight="1">
      <c r="B338" s="59"/>
      <c r="C338" s="7"/>
      <c r="D338" s="3"/>
      <c r="E338" s="59"/>
      <c r="F338" s="3"/>
      <c r="G338" s="3"/>
    </row>
    <row r="339" ht="15.75" customHeight="1">
      <c r="B339" s="59"/>
      <c r="C339" s="7"/>
      <c r="D339" s="3"/>
      <c r="E339" s="59"/>
      <c r="F339" s="3"/>
      <c r="G339" s="3"/>
    </row>
    <row r="340" ht="15.75" customHeight="1">
      <c r="B340" s="59"/>
      <c r="C340" s="7"/>
      <c r="D340" s="3"/>
      <c r="E340" s="59"/>
      <c r="F340" s="3"/>
      <c r="G340" s="3"/>
    </row>
    <row r="341" ht="15.75" customHeight="1">
      <c r="B341" s="59"/>
      <c r="C341" s="7"/>
      <c r="D341" s="3"/>
      <c r="E341" s="59"/>
      <c r="F341" s="3"/>
      <c r="G341" s="3"/>
    </row>
    <row r="342" ht="15.75" customHeight="1">
      <c r="B342" s="59"/>
      <c r="C342" s="7"/>
      <c r="D342" s="3"/>
      <c r="E342" s="59"/>
      <c r="F342" s="3"/>
      <c r="G342" s="3"/>
    </row>
    <row r="343" ht="15.75" customHeight="1">
      <c r="B343" s="59"/>
      <c r="C343" s="7"/>
      <c r="D343" s="3"/>
      <c r="E343" s="59"/>
      <c r="F343" s="3"/>
      <c r="G343" s="3"/>
    </row>
    <row r="344" ht="15.75" customHeight="1">
      <c r="B344" s="59"/>
      <c r="C344" s="7"/>
      <c r="D344" s="3"/>
      <c r="E344" s="59"/>
      <c r="F344" s="3"/>
      <c r="G344" s="3"/>
    </row>
    <row r="345" ht="15.75" customHeight="1">
      <c r="B345" s="59"/>
      <c r="C345" s="7"/>
      <c r="D345" s="3"/>
      <c r="E345" s="59"/>
      <c r="F345" s="3"/>
      <c r="G345" s="3"/>
    </row>
    <row r="346" ht="15.75" customHeight="1">
      <c r="B346" s="59"/>
      <c r="C346" s="7"/>
      <c r="D346" s="3"/>
      <c r="E346" s="59"/>
      <c r="F346" s="3"/>
      <c r="G346" s="3"/>
    </row>
    <row r="347" ht="15.75" customHeight="1">
      <c r="B347" s="59"/>
      <c r="C347" s="7"/>
      <c r="D347" s="3"/>
      <c r="E347" s="59"/>
      <c r="F347" s="3"/>
      <c r="G347" s="3"/>
    </row>
    <row r="348" ht="15.75" customHeight="1">
      <c r="B348" s="59"/>
      <c r="C348" s="7"/>
      <c r="D348" s="3"/>
      <c r="E348" s="59"/>
      <c r="F348" s="3"/>
      <c r="G348" s="3"/>
    </row>
    <row r="349" ht="15.75" customHeight="1">
      <c r="B349" s="59"/>
      <c r="C349" s="7"/>
      <c r="D349" s="3"/>
      <c r="E349" s="59"/>
      <c r="F349" s="3"/>
      <c r="G349" s="3"/>
    </row>
    <row r="350" ht="15.75" customHeight="1">
      <c r="B350" s="59"/>
      <c r="C350" s="7"/>
      <c r="D350" s="3"/>
      <c r="E350" s="59"/>
      <c r="F350" s="3"/>
      <c r="G350" s="3"/>
    </row>
    <row r="351" ht="15.75" customHeight="1">
      <c r="B351" s="59"/>
      <c r="C351" s="7"/>
      <c r="D351" s="3"/>
      <c r="E351" s="59"/>
      <c r="F351" s="3"/>
      <c r="G351" s="3"/>
    </row>
    <row r="352" ht="15.75" customHeight="1">
      <c r="B352" s="59"/>
      <c r="C352" s="7"/>
      <c r="D352" s="3"/>
      <c r="E352" s="59"/>
      <c r="F352" s="3"/>
      <c r="G352" s="3"/>
    </row>
    <row r="353" ht="15.75" customHeight="1">
      <c r="B353" s="59"/>
      <c r="C353" s="7"/>
      <c r="D353" s="3"/>
      <c r="E353" s="59"/>
      <c r="F353" s="3"/>
      <c r="G353" s="3"/>
    </row>
    <row r="354" ht="15.75" customHeight="1">
      <c r="B354" s="59"/>
      <c r="C354" s="7"/>
      <c r="D354" s="3"/>
      <c r="E354" s="59"/>
      <c r="F354" s="3"/>
      <c r="G354" s="3"/>
    </row>
    <row r="355" ht="15.75" customHeight="1">
      <c r="B355" s="59"/>
      <c r="C355" s="7"/>
      <c r="D355" s="3"/>
      <c r="E355" s="59"/>
      <c r="F355" s="3"/>
      <c r="G355" s="3"/>
    </row>
    <row r="356" ht="15.75" customHeight="1">
      <c r="B356" s="59"/>
      <c r="C356" s="7"/>
      <c r="D356" s="3"/>
      <c r="E356" s="59"/>
      <c r="F356" s="3"/>
      <c r="G356" s="3"/>
    </row>
    <row r="357" ht="15.75" customHeight="1">
      <c r="B357" s="59"/>
      <c r="C357" s="7"/>
      <c r="D357" s="3"/>
      <c r="E357" s="59"/>
      <c r="F357" s="3"/>
      <c r="G357" s="3"/>
    </row>
    <row r="358" ht="15.75" customHeight="1">
      <c r="B358" s="59"/>
      <c r="C358" s="7"/>
      <c r="D358" s="3"/>
      <c r="E358" s="59"/>
      <c r="F358" s="3"/>
      <c r="G358" s="3"/>
    </row>
    <row r="359" ht="15.75" customHeight="1">
      <c r="B359" s="59"/>
      <c r="C359" s="7"/>
      <c r="D359" s="3"/>
      <c r="E359" s="59"/>
      <c r="F359" s="3"/>
      <c r="G359" s="3"/>
    </row>
    <row r="360" ht="15.75" customHeight="1">
      <c r="B360" s="59"/>
      <c r="C360" s="7"/>
      <c r="D360" s="3"/>
      <c r="E360" s="59"/>
      <c r="F360" s="3"/>
      <c r="G360" s="3"/>
    </row>
    <row r="361" ht="15.75" customHeight="1">
      <c r="B361" s="59"/>
      <c r="C361" s="7"/>
      <c r="D361" s="3"/>
      <c r="E361" s="59"/>
      <c r="F361" s="3"/>
      <c r="G361" s="3"/>
    </row>
    <row r="362" ht="15.75" customHeight="1">
      <c r="B362" s="59"/>
      <c r="C362" s="7"/>
      <c r="D362" s="3"/>
      <c r="E362" s="59"/>
      <c r="F362" s="3"/>
      <c r="G362" s="3"/>
    </row>
    <row r="363" ht="15.75" customHeight="1">
      <c r="B363" s="59"/>
      <c r="C363" s="7"/>
      <c r="D363" s="3"/>
      <c r="E363" s="59"/>
      <c r="F363" s="3"/>
      <c r="G363" s="3"/>
    </row>
    <row r="364" ht="15.75" customHeight="1">
      <c r="B364" s="59"/>
      <c r="C364" s="7"/>
      <c r="D364" s="3"/>
      <c r="E364" s="59"/>
      <c r="F364" s="3"/>
      <c r="G364" s="3"/>
    </row>
    <row r="365" ht="15.75" customHeight="1">
      <c r="B365" s="59"/>
      <c r="C365" s="7"/>
      <c r="D365" s="3"/>
      <c r="E365" s="59"/>
      <c r="F365" s="3"/>
      <c r="G365" s="3"/>
    </row>
    <row r="366" ht="15.75" customHeight="1">
      <c r="B366" s="59"/>
      <c r="C366" s="7"/>
      <c r="D366" s="3"/>
      <c r="E366" s="59"/>
      <c r="F366" s="3"/>
      <c r="G366" s="3"/>
    </row>
    <row r="367" ht="15.75" customHeight="1">
      <c r="B367" s="59"/>
      <c r="C367" s="7"/>
      <c r="D367" s="3"/>
      <c r="E367" s="59"/>
      <c r="F367" s="3"/>
      <c r="G367" s="3"/>
    </row>
    <row r="368" ht="15.75" customHeight="1">
      <c r="B368" s="59"/>
      <c r="C368" s="7"/>
      <c r="D368" s="3"/>
      <c r="E368" s="59"/>
      <c r="F368" s="3"/>
      <c r="G368" s="3"/>
    </row>
    <row r="369" ht="15.75" customHeight="1">
      <c r="B369" s="59"/>
      <c r="C369" s="7"/>
      <c r="D369" s="3"/>
      <c r="E369" s="59"/>
      <c r="F369" s="3"/>
      <c r="G369" s="3"/>
    </row>
    <row r="370" ht="15.75" customHeight="1">
      <c r="B370" s="59"/>
      <c r="C370" s="7"/>
      <c r="D370" s="3"/>
      <c r="E370" s="59"/>
      <c r="F370" s="3"/>
      <c r="G370" s="3"/>
    </row>
    <row r="371" ht="15.75" customHeight="1">
      <c r="B371" s="59"/>
      <c r="C371" s="7"/>
      <c r="D371" s="3"/>
      <c r="E371" s="59"/>
      <c r="F371" s="3"/>
      <c r="G371" s="3"/>
    </row>
    <row r="372" ht="15.75" customHeight="1">
      <c r="B372" s="59"/>
      <c r="C372" s="7"/>
      <c r="D372" s="3"/>
      <c r="E372" s="59"/>
      <c r="F372" s="3"/>
      <c r="G372" s="3"/>
    </row>
    <row r="373" ht="15.75" customHeight="1">
      <c r="B373" s="59"/>
      <c r="C373" s="7"/>
      <c r="D373" s="3"/>
      <c r="E373" s="59"/>
      <c r="F373" s="3"/>
      <c r="G373" s="3"/>
    </row>
    <row r="374" ht="15.75" customHeight="1">
      <c r="B374" s="59"/>
      <c r="C374" s="7"/>
      <c r="D374" s="3"/>
      <c r="E374" s="59"/>
      <c r="F374" s="3"/>
      <c r="G374" s="3"/>
    </row>
    <row r="375" ht="15.75" customHeight="1">
      <c r="B375" s="59"/>
      <c r="C375" s="7"/>
      <c r="D375" s="3"/>
      <c r="E375" s="59"/>
      <c r="F375" s="3"/>
      <c r="G375" s="3"/>
    </row>
    <row r="376" ht="15.75" customHeight="1">
      <c r="B376" s="59"/>
      <c r="C376" s="7"/>
      <c r="D376" s="3"/>
      <c r="E376" s="59"/>
      <c r="F376" s="3"/>
      <c r="G376" s="3"/>
    </row>
    <row r="377" ht="15.75" customHeight="1">
      <c r="B377" s="59"/>
      <c r="C377" s="7"/>
      <c r="D377" s="3"/>
      <c r="E377" s="59"/>
      <c r="F377" s="3"/>
      <c r="G377" s="3"/>
    </row>
    <row r="378" ht="15.75" customHeight="1">
      <c r="B378" s="59"/>
      <c r="C378" s="7"/>
      <c r="D378" s="3"/>
      <c r="E378" s="59"/>
      <c r="F378" s="3"/>
      <c r="G378" s="3"/>
    </row>
    <row r="379" ht="15.75" customHeight="1">
      <c r="B379" s="59"/>
      <c r="C379" s="7"/>
      <c r="D379" s="3"/>
      <c r="E379" s="59"/>
      <c r="F379" s="3"/>
      <c r="G379" s="3"/>
    </row>
    <row r="380" ht="15.75" customHeight="1">
      <c r="B380" s="59"/>
      <c r="C380" s="7"/>
      <c r="D380" s="3"/>
      <c r="E380" s="59"/>
      <c r="F380" s="3"/>
      <c r="G380" s="3"/>
    </row>
    <row r="381" ht="15.75" customHeight="1">
      <c r="B381" s="59"/>
      <c r="C381" s="7"/>
      <c r="D381" s="3"/>
      <c r="E381" s="59"/>
      <c r="F381" s="3"/>
      <c r="G381" s="3"/>
    </row>
    <row r="382" ht="15.75" customHeight="1">
      <c r="B382" s="59"/>
      <c r="C382" s="7"/>
      <c r="D382" s="3"/>
      <c r="E382" s="59"/>
      <c r="F382" s="3"/>
      <c r="G382" s="3"/>
    </row>
    <row r="383" ht="15.75" customHeight="1">
      <c r="B383" s="59"/>
      <c r="C383" s="7"/>
      <c r="D383" s="3"/>
      <c r="E383" s="59"/>
      <c r="F383" s="3"/>
      <c r="G383" s="3"/>
    </row>
    <row r="384" ht="15.75" customHeight="1">
      <c r="B384" s="59"/>
      <c r="C384" s="7"/>
      <c r="D384" s="3"/>
      <c r="E384" s="59"/>
      <c r="F384" s="3"/>
      <c r="G384" s="3"/>
    </row>
    <row r="385" ht="15.75" customHeight="1">
      <c r="B385" s="59"/>
      <c r="C385" s="7"/>
      <c r="D385" s="3"/>
      <c r="E385" s="59"/>
      <c r="F385" s="3"/>
      <c r="G385" s="3"/>
    </row>
    <row r="386" ht="15.75" customHeight="1">
      <c r="B386" s="59"/>
      <c r="C386" s="7"/>
      <c r="D386" s="3"/>
      <c r="E386" s="59"/>
      <c r="F386" s="3"/>
      <c r="G386" s="3"/>
    </row>
    <row r="387" ht="15.75" customHeight="1">
      <c r="B387" s="59"/>
      <c r="C387" s="7"/>
      <c r="D387" s="3"/>
      <c r="E387" s="59"/>
      <c r="F387" s="3"/>
      <c r="G387" s="3"/>
    </row>
    <row r="388" ht="15.75" customHeight="1">
      <c r="B388" s="59"/>
      <c r="C388" s="7"/>
      <c r="D388" s="3"/>
      <c r="E388" s="59"/>
      <c r="F388" s="3"/>
      <c r="G388" s="3"/>
    </row>
    <row r="389" ht="15.75" customHeight="1">
      <c r="B389" s="59"/>
      <c r="C389" s="7"/>
      <c r="D389" s="3"/>
      <c r="E389" s="59"/>
      <c r="F389" s="3"/>
      <c r="G389" s="3"/>
    </row>
    <row r="390" ht="15.75" customHeight="1">
      <c r="B390" s="59"/>
      <c r="C390" s="7"/>
      <c r="D390" s="3"/>
      <c r="E390" s="59"/>
      <c r="F390" s="3"/>
      <c r="G390" s="3"/>
    </row>
    <row r="391" ht="15.75" customHeight="1">
      <c r="B391" s="59"/>
      <c r="C391" s="7"/>
      <c r="D391" s="3"/>
      <c r="E391" s="59"/>
      <c r="F391" s="3"/>
      <c r="G391" s="3"/>
    </row>
    <row r="392" ht="15.75" customHeight="1">
      <c r="B392" s="59"/>
      <c r="C392" s="7"/>
      <c r="D392" s="3"/>
      <c r="E392" s="59"/>
      <c r="F392" s="3"/>
      <c r="G392" s="3"/>
    </row>
    <row r="393" ht="15.75" customHeight="1">
      <c r="B393" s="59"/>
      <c r="C393" s="7"/>
      <c r="D393" s="3"/>
      <c r="E393" s="59"/>
      <c r="F393" s="3"/>
      <c r="G393" s="3"/>
    </row>
    <row r="394" ht="15.75" customHeight="1">
      <c r="B394" s="59"/>
      <c r="C394" s="7"/>
      <c r="D394" s="3"/>
      <c r="E394" s="59"/>
      <c r="F394" s="3"/>
      <c r="G394" s="3"/>
    </row>
    <row r="395" ht="15.75" customHeight="1">
      <c r="B395" s="59"/>
      <c r="C395" s="7"/>
      <c r="D395" s="3"/>
      <c r="E395" s="59"/>
      <c r="F395" s="3"/>
      <c r="G395" s="3"/>
    </row>
    <row r="396" ht="15.75" customHeight="1">
      <c r="B396" s="59"/>
      <c r="C396" s="7"/>
      <c r="D396" s="3"/>
      <c r="E396" s="59"/>
      <c r="F396" s="3"/>
      <c r="G396" s="3"/>
    </row>
    <row r="397" ht="15.75" customHeight="1">
      <c r="B397" s="59"/>
      <c r="C397" s="7"/>
      <c r="D397" s="3"/>
      <c r="E397" s="59"/>
      <c r="F397" s="3"/>
      <c r="G397" s="3"/>
    </row>
    <row r="398" ht="15.75" customHeight="1">
      <c r="B398" s="59"/>
      <c r="C398" s="7"/>
      <c r="D398" s="3"/>
      <c r="E398" s="59"/>
      <c r="F398" s="3"/>
      <c r="G398" s="3"/>
    </row>
    <row r="399" ht="15.75" customHeight="1">
      <c r="B399" s="59"/>
      <c r="C399" s="7"/>
      <c r="D399" s="3"/>
      <c r="E399" s="59"/>
      <c r="F399" s="3"/>
      <c r="G399" s="3"/>
    </row>
    <row r="400" ht="15.75" customHeight="1">
      <c r="B400" s="59"/>
      <c r="C400" s="7"/>
      <c r="D400" s="3"/>
      <c r="E400" s="59"/>
      <c r="F400" s="3"/>
      <c r="G400" s="3"/>
    </row>
    <row r="401" ht="15.75" customHeight="1">
      <c r="B401" s="59"/>
      <c r="C401" s="7"/>
      <c r="D401" s="3"/>
      <c r="E401" s="59"/>
      <c r="F401" s="3"/>
      <c r="G401" s="3"/>
    </row>
    <row r="402" ht="15.75" customHeight="1">
      <c r="B402" s="59"/>
      <c r="C402" s="7"/>
      <c r="D402" s="3"/>
      <c r="E402" s="59"/>
      <c r="F402" s="3"/>
      <c r="G402" s="3"/>
    </row>
    <row r="403" ht="15.75" customHeight="1">
      <c r="B403" s="59"/>
      <c r="C403" s="7"/>
      <c r="D403" s="3"/>
      <c r="E403" s="59"/>
      <c r="F403" s="3"/>
      <c r="G403" s="3"/>
    </row>
    <row r="404" ht="15.75" customHeight="1">
      <c r="B404" s="59"/>
      <c r="C404" s="7"/>
      <c r="D404" s="3"/>
      <c r="E404" s="59"/>
      <c r="F404" s="3"/>
      <c r="G404" s="3"/>
    </row>
    <row r="405" ht="15.75" customHeight="1">
      <c r="B405" s="59"/>
      <c r="C405" s="7"/>
      <c r="D405" s="3"/>
      <c r="E405" s="59"/>
      <c r="F405" s="3"/>
      <c r="G405" s="3"/>
    </row>
    <row r="406" ht="15.75" customHeight="1">
      <c r="B406" s="59"/>
      <c r="C406" s="7"/>
      <c r="D406" s="3"/>
      <c r="E406" s="59"/>
      <c r="F406" s="3"/>
      <c r="G406" s="3"/>
    </row>
    <row r="407" ht="15.75" customHeight="1">
      <c r="B407" s="59"/>
      <c r="C407" s="7"/>
      <c r="D407" s="3"/>
      <c r="E407" s="59"/>
      <c r="F407" s="3"/>
      <c r="G407" s="3"/>
    </row>
    <row r="408" ht="15.75" customHeight="1">
      <c r="B408" s="59"/>
      <c r="C408" s="7"/>
      <c r="D408" s="3"/>
      <c r="E408" s="59"/>
      <c r="F408" s="3"/>
      <c r="G408" s="3"/>
    </row>
    <row r="409" ht="15.75" customHeight="1">
      <c r="B409" s="59"/>
      <c r="C409" s="7"/>
      <c r="D409" s="3"/>
      <c r="E409" s="59"/>
      <c r="F409" s="3"/>
      <c r="G409" s="3"/>
    </row>
    <row r="410" ht="15.75" customHeight="1">
      <c r="B410" s="59"/>
      <c r="C410" s="7"/>
      <c r="D410" s="3"/>
      <c r="E410" s="59"/>
      <c r="F410" s="3"/>
      <c r="G410" s="3"/>
    </row>
    <row r="411" ht="15.75" customHeight="1">
      <c r="B411" s="59"/>
      <c r="C411" s="7"/>
      <c r="D411" s="3"/>
      <c r="E411" s="59"/>
      <c r="F411" s="3"/>
      <c r="G411" s="3"/>
    </row>
    <row r="412" ht="15.75" customHeight="1">
      <c r="B412" s="59"/>
      <c r="C412" s="7"/>
      <c r="D412" s="3"/>
      <c r="E412" s="59"/>
      <c r="F412" s="3"/>
      <c r="G412" s="3"/>
    </row>
    <row r="413" ht="15.75" customHeight="1">
      <c r="B413" s="59"/>
      <c r="C413" s="7"/>
      <c r="D413" s="3"/>
      <c r="E413" s="59"/>
      <c r="F413" s="3"/>
      <c r="G413" s="3"/>
    </row>
    <row r="414" ht="15.75" customHeight="1">
      <c r="B414" s="59"/>
      <c r="C414" s="7"/>
      <c r="D414" s="3"/>
      <c r="E414" s="59"/>
      <c r="F414" s="3"/>
      <c r="G414" s="3"/>
    </row>
    <row r="415" ht="15.75" customHeight="1">
      <c r="B415" s="59"/>
      <c r="C415" s="7"/>
      <c r="D415" s="3"/>
      <c r="E415" s="59"/>
      <c r="F415" s="3"/>
      <c r="G415" s="3"/>
    </row>
    <row r="416" ht="15.75" customHeight="1">
      <c r="B416" s="59"/>
      <c r="C416" s="7"/>
      <c r="D416" s="3"/>
      <c r="E416" s="59"/>
      <c r="F416" s="3"/>
      <c r="G416" s="3"/>
    </row>
    <row r="417" ht="15.75" customHeight="1">
      <c r="B417" s="59"/>
      <c r="C417" s="7"/>
      <c r="D417" s="3"/>
      <c r="E417" s="59"/>
      <c r="F417" s="3"/>
      <c r="G417" s="3"/>
    </row>
    <row r="418" ht="15.75" customHeight="1">
      <c r="B418" s="59"/>
      <c r="C418" s="7"/>
      <c r="D418" s="3"/>
      <c r="E418" s="59"/>
      <c r="F418" s="3"/>
      <c r="G418" s="3"/>
    </row>
    <row r="419" ht="15.75" customHeight="1">
      <c r="B419" s="59"/>
      <c r="C419" s="7"/>
      <c r="D419" s="3"/>
      <c r="E419" s="59"/>
      <c r="F419" s="3"/>
      <c r="G419" s="3"/>
    </row>
    <row r="420" ht="15.75" customHeight="1">
      <c r="B420" s="59"/>
      <c r="C420" s="7"/>
      <c r="D420" s="3"/>
      <c r="E420" s="59"/>
      <c r="F420" s="3"/>
      <c r="G420" s="3"/>
    </row>
    <row r="421" ht="15.75" customHeight="1">
      <c r="B421" s="59"/>
      <c r="C421" s="7"/>
      <c r="D421" s="3"/>
      <c r="E421" s="59"/>
      <c r="F421" s="3"/>
      <c r="G421" s="3"/>
    </row>
    <row r="422" ht="15.75" customHeight="1">
      <c r="B422" s="59"/>
      <c r="C422" s="7"/>
      <c r="D422" s="3"/>
      <c r="E422" s="59"/>
      <c r="F422" s="3"/>
      <c r="G422" s="3"/>
    </row>
    <row r="423" ht="15.75" customHeight="1">
      <c r="B423" s="59"/>
      <c r="C423" s="7"/>
      <c r="D423" s="3"/>
      <c r="E423" s="59"/>
      <c r="F423" s="3"/>
      <c r="G423" s="3"/>
    </row>
    <row r="424" ht="15.75" customHeight="1">
      <c r="B424" s="59"/>
      <c r="C424" s="7"/>
      <c r="D424" s="3"/>
      <c r="E424" s="59"/>
      <c r="F424" s="3"/>
      <c r="G424" s="3"/>
    </row>
    <row r="425" ht="15.75" customHeight="1">
      <c r="B425" s="59"/>
      <c r="C425" s="7"/>
      <c r="D425" s="3"/>
      <c r="E425" s="59"/>
      <c r="F425" s="3"/>
      <c r="G425" s="3"/>
    </row>
    <row r="426" ht="15.75" customHeight="1">
      <c r="B426" s="59"/>
      <c r="C426" s="7"/>
      <c r="D426" s="3"/>
      <c r="E426" s="59"/>
      <c r="F426" s="3"/>
      <c r="G426" s="3"/>
    </row>
    <row r="427" ht="15.75" customHeight="1">
      <c r="B427" s="59"/>
      <c r="C427" s="7"/>
      <c r="D427" s="3"/>
      <c r="E427" s="59"/>
      <c r="F427" s="3"/>
      <c r="G427" s="3"/>
    </row>
    <row r="428" ht="15.75" customHeight="1">
      <c r="B428" s="59"/>
      <c r="C428" s="7"/>
      <c r="D428" s="3"/>
      <c r="E428" s="59"/>
      <c r="F428" s="3"/>
      <c r="G428" s="3"/>
    </row>
    <row r="429" ht="15.75" customHeight="1">
      <c r="B429" s="59"/>
      <c r="C429" s="7"/>
      <c r="D429" s="3"/>
      <c r="E429" s="59"/>
      <c r="F429" s="3"/>
      <c r="G429" s="3"/>
    </row>
    <row r="430" ht="15.75" customHeight="1">
      <c r="B430" s="59"/>
      <c r="C430" s="7"/>
      <c r="D430" s="3"/>
      <c r="E430" s="59"/>
      <c r="F430" s="3"/>
      <c r="G430" s="3"/>
    </row>
    <row r="431" ht="15.75" customHeight="1">
      <c r="B431" s="59"/>
      <c r="C431" s="7"/>
      <c r="D431" s="3"/>
      <c r="E431" s="59"/>
      <c r="F431" s="3"/>
      <c r="G431" s="3"/>
    </row>
    <row r="432" ht="15.75" customHeight="1">
      <c r="B432" s="59"/>
      <c r="C432" s="7"/>
      <c r="D432" s="3"/>
      <c r="E432" s="59"/>
      <c r="F432" s="3"/>
      <c r="G432" s="3"/>
    </row>
    <row r="433" ht="15.75" customHeight="1">
      <c r="B433" s="59"/>
      <c r="C433" s="7"/>
      <c r="D433" s="3"/>
      <c r="E433" s="59"/>
      <c r="F433" s="3"/>
      <c r="G433" s="3"/>
    </row>
    <row r="434" ht="15.75" customHeight="1">
      <c r="B434" s="59"/>
      <c r="C434" s="7"/>
      <c r="D434" s="3"/>
      <c r="E434" s="59"/>
      <c r="F434" s="3"/>
      <c r="G434" s="3"/>
    </row>
    <row r="435" ht="15.75" customHeight="1">
      <c r="B435" s="59"/>
      <c r="C435" s="7"/>
      <c r="D435" s="3"/>
      <c r="E435" s="59"/>
      <c r="F435" s="3"/>
      <c r="G435" s="3"/>
    </row>
    <row r="436" ht="15.75" customHeight="1">
      <c r="B436" s="59"/>
      <c r="C436" s="7"/>
      <c r="D436" s="3"/>
      <c r="E436" s="59"/>
      <c r="F436" s="3"/>
      <c r="G436" s="3"/>
    </row>
    <row r="437" ht="15.75" customHeight="1">
      <c r="B437" s="59"/>
      <c r="C437" s="7"/>
      <c r="D437" s="3"/>
      <c r="E437" s="59"/>
      <c r="F437" s="3"/>
      <c r="G437" s="3"/>
    </row>
    <row r="438" ht="15.75" customHeight="1">
      <c r="B438" s="59"/>
      <c r="C438" s="7"/>
      <c r="D438" s="3"/>
      <c r="E438" s="59"/>
      <c r="F438" s="3"/>
      <c r="G438" s="3"/>
    </row>
    <row r="439" ht="15.75" customHeight="1">
      <c r="B439" s="59"/>
      <c r="C439" s="7"/>
      <c r="D439" s="3"/>
      <c r="E439" s="59"/>
      <c r="F439" s="3"/>
      <c r="G439" s="3"/>
    </row>
    <row r="440" ht="15.75" customHeight="1">
      <c r="B440" s="59"/>
      <c r="C440" s="7"/>
      <c r="D440" s="3"/>
      <c r="E440" s="59"/>
      <c r="F440" s="3"/>
      <c r="G440" s="3"/>
    </row>
    <row r="441" ht="15.75" customHeight="1">
      <c r="B441" s="59"/>
      <c r="C441" s="7"/>
      <c r="D441" s="3"/>
      <c r="E441" s="59"/>
      <c r="F441" s="3"/>
      <c r="G441" s="3"/>
    </row>
    <row r="442" ht="15.75" customHeight="1">
      <c r="B442" s="59"/>
      <c r="C442" s="7"/>
      <c r="D442" s="3"/>
      <c r="E442" s="59"/>
      <c r="F442" s="3"/>
      <c r="G442" s="3"/>
    </row>
    <row r="443" ht="15.75" customHeight="1">
      <c r="B443" s="59"/>
      <c r="C443" s="7"/>
      <c r="D443" s="3"/>
      <c r="E443" s="59"/>
      <c r="F443" s="3"/>
      <c r="G443" s="3"/>
    </row>
    <row r="444" ht="15.75" customHeight="1">
      <c r="B444" s="59"/>
      <c r="C444" s="7"/>
      <c r="D444" s="3"/>
      <c r="E444" s="59"/>
      <c r="F444" s="3"/>
      <c r="G444" s="3"/>
    </row>
    <row r="445" ht="15.75" customHeight="1">
      <c r="B445" s="59"/>
      <c r="C445" s="7"/>
      <c r="D445" s="3"/>
      <c r="E445" s="59"/>
      <c r="F445" s="3"/>
      <c r="G445" s="3"/>
    </row>
    <row r="446" ht="15.75" customHeight="1">
      <c r="B446" s="59"/>
      <c r="C446" s="7"/>
      <c r="D446" s="3"/>
      <c r="E446" s="59"/>
      <c r="F446" s="3"/>
      <c r="G446" s="3"/>
    </row>
    <row r="447" ht="15.75" customHeight="1">
      <c r="B447" s="59"/>
      <c r="C447" s="7"/>
      <c r="D447" s="3"/>
      <c r="E447" s="59"/>
      <c r="F447" s="3"/>
      <c r="G447" s="3"/>
    </row>
    <row r="448" ht="15.75" customHeight="1">
      <c r="B448" s="59"/>
      <c r="C448" s="7"/>
      <c r="D448" s="3"/>
      <c r="E448" s="59"/>
      <c r="F448" s="3"/>
      <c r="G448" s="3"/>
    </row>
    <row r="449" ht="15.75" customHeight="1">
      <c r="B449" s="59"/>
      <c r="C449" s="7"/>
      <c r="D449" s="3"/>
      <c r="E449" s="59"/>
      <c r="F449" s="3"/>
      <c r="G449" s="3"/>
    </row>
    <row r="450" ht="15.75" customHeight="1">
      <c r="B450" s="59"/>
      <c r="C450" s="7"/>
      <c r="D450" s="3"/>
      <c r="E450" s="59"/>
      <c r="F450" s="3"/>
      <c r="G450" s="3"/>
    </row>
    <row r="451" ht="15.75" customHeight="1">
      <c r="B451" s="59"/>
      <c r="C451" s="7"/>
      <c r="D451" s="3"/>
      <c r="E451" s="59"/>
      <c r="F451" s="3"/>
      <c r="G451" s="3"/>
    </row>
    <row r="452" ht="15.75" customHeight="1">
      <c r="B452" s="59"/>
      <c r="C452" s="7"/>
      <c r="D452" s="3"/>
      <c r="E452" s="59"/>
      <c r="F452" s="3"/>
      <c r="G452" s="3"/>
    </row>
    <row r="453" ht="15.75" customHeight="1">
      <c r="B453" s="59"/>
      <c r="C453" s="7"/>
      <c r="D453" s="3"/>
      <c r="E453" s="59"/>
      <c r="F453" s="3"/>
      <c r="G453" s="3"/>
    </row>
    <row r="454" ht="15.75" customHeight="1">
      <c r="B454" s="59"/>
      <c r="C454" s="7"/>
      <c r="D454" s="3"/>
      <c r="E454" s="59"/>
      <c r="F454" s="3"/>
      <c r="G454" s="3"/>
    </row>
    <row r="455" ht="15.75" customHeight="1">
      <c r="B455" s="59"/>
      <c r="C455" s="7"/>
      <c r="D455" s="3"/>
      <c r="E455" s="59"/>
      <c r="F455" s="3"/>
      <c r="G455" s="3"/>
    </row>
    <row r="456" ht="15.75" customHeight="1">
      <c r="B456" s="59"/>
      <c r="C456" s="7"/>
      <c r="D456" s="3"/>
      <c r="E456" s="59"/>
      <c r="F456" s="3"/>
      <c r="G456" s="3"/>
    </row>
    <row r="457" ht="15.75" customHeight="1">
      <c r="B457" s="59"/>
      <c r="C457" s="7"/>
      <c r="D457" s="3"/>
      <c r="E457" s="59"/>
      <c r="F457" s="3"/>
      <c r="G457" s="3"/>
    </row>
    <row r="458" ht="15.75" customHeight="1">
      <c r="B458" s="59"/>
      <c r="C458" s="7"/>
      <c r="D458" s="3"/>
      <c r="E458" s="59"/>
      <c r="F458" s="3"/>
      <c r="G458" s="3"/>
    </row>
    <row r="459" ht="15.75" customHeight="1">
      <c r="B459" s="59"/>
      <c r="C459" s="7"/>
      <c r="D459" s="3"/>
      <c r="E459" s="59"/>
      <c r="F459" s="3"/>
      <c r="G459" s="3"/>
    </row>
    <row r="460" ht="15.75" customHeight="1">
      <c r="B460" s="59"/>
      <c r="C460" s="7"/>
      <c r="D460" s="3"/>
      <c r="E460" s="59"/>
      <c r="F460" s="3"/>
      <c r="G460" s="3"/>
    </row>
    <row r="461" ht="15.75" customHeight="1">
      <c r="B461" s="59"/>
      <c r="C461" s="7"/>
      <c r="D461" s="3"/>
      <c r="E461" s="59"/>
      <c r="F461" s="3"/>
      <c r="G461" s="3"/>
    </row>
    <row r="462" ht="15.75" customHeight="1">
      <c r="B462" s="59"/>
      <c r="C462" s="7"/>
      <c r="D462" s="3"/>
      <c r="E462" s="59"/>
      <c r="F462" s="3"/>
      <c r="G462" s="3"/>
    </row>
    <row r="463" ht="15.75" customHeight="1">
      <c r="B463" s="59"/>
      <c r="C463" s="7"/>
      <c r="D463" s="3"/>
      <c r="E463" s="59"/>
      <c r="F463" s="3"/>
      <c r="G463" s="3"/>
    </row>
    <row r="464" ht="15.75" customHeight="1">
      <c r="B464" s="59"/>
      <c r="C464" s="7"/>
      <c r="D464" s="3"/>
      <c r="E464" s="59"/>
      <c r="F464" s="3"/>
      <c r="G464" s="3"/>
    </row>
    <row r="465" ht="15.75" customHeight="1">
      <c r="B465" s="59"/>
      <c r="C465" s="7"/>
      <c r="D465" s="3"/>
      <c r="E465" s="59"/>
      <c r="F465" s="3"/>
      <c r="G465" s="3"/>
    </row>
    <row r="466" ht="15.75" customHeight="1">
      <c r="B466" s="59"/>
      <c r="C466" s="7"/>
      <c r="D466" s="3"/>
      <c r="E466" s="59"/>
      <c r="F466" s="3"/>
      <c r="G466" s="3"/>
    </row>
    <row r="467" ht="15.75" customHeight="1">
      <c r="B467" s="59"/>
      <c r="C467" s="7"/>
      <c r="D467" s="3"/>
      <c r="E467" s="59"/>
      <c r="F467" s="3"/>
      <c r="G467" s="3"/>
    </row>
    <row r="468" ht="15.75" customHeight="1">
      <c r="B468" s="59"/>
      <c r="C468" s="7"/>
      <c r="D468" s="3"/>
      <c r="E468" s="59"/>
      <c r="F468" s="3"/>
      <c r="G468" s="3"/>
    </row>
    <row r="469" ht="15.75" customHeight="1">
      <c r="B469" s="59"/>
      <c r="C469" s="7"/>
      <c r="D469" s="3"/>
      <c r="E469" s="59"/>
      <c r="F469" s="3"/>
      <c r="G469" s="3"/>
    </row>
    <row r="470" ht="15.75" customHeight="1">
      <c r="B470" s="59"/>
      <c r="C470" s="7"/>
      <c r="D470" s="3"/>
      <c r="E470" s="59"/>
      <c r="F470" s="3"/>
      <c r="G470" s="3"/>
    </row>
    <row r="471" ht="15.75" customHeight="1">
      <c r="B471" s="59"/>
      <c r="C471" s="7"/>
      <c r="D471" s="3"/>
      <c r="E471" s="59"/>
      <c r="F471" s="3"/>
      <c r="G471" s="3"/>
    </row>
    <row r="472" ht="15.75" customHeight="1">
      <c r="B472" s="59"/>
      <c r="C472" s="7"/>
      <c r="D472" s="3"/>
      <c r="E472" s="59"/>
      <c r="F472" s="3"/>
      <c r="G472" s="3"/>
    </row>
    <row r="473" ht="15.75" customHeight="1">
      <c r="B473" s="59"/>
      <c r="C473" s="7"/>
      <c r="D473" s="3"/>
      <c r="E473" s="59"/>
      <c r="F473" s="3"/>
      <c r="G473" s="3"/>
    </row>
    <row r="474" ht="15.75" customHeight="1">
      <c r="B474" s="59"/>
      <c r="C474" s="7"/>
      <c r="D474" s="3"/>
      <c r="E474" s="59"/>
      <c r="F474" s="3"/>
      <c r="G474" s="3"/>
    </row>
    <row r="475" ht="15.75" customHeight="1">
      <c r="B475" s="59"/>
      <c r="C475" s="7"/>
      <c r="D475" s="3"/>
      <c r="E475" s="59"/>
      <c r="F475" s="3"/>
      <c r="G475" s="3"/>
    </row>
    <row r="476" ht="15.75" customHeight="1">
      <c r="B476" s="59"/>
      <c r="C476" s="7"/>
      <c r="D476" s="3"/>
      <c r="E476" s="59"/>
      <c r="F476" s="3"/>
      <c r="G476" s="3"/>
    </row>
    <row r="477" ht="15.75" customHeight="1">
      <c r="B477" s="59"/>
      <c r="C477" s="7"/>
      <c r="D477" s="3"/>
      <c r="E477" s="59"/>
      <c r="F477" s="3"/>
      <c r="G477" s="3"/>
    </row>
    <row r="478" ht="15.75" customHeight="1">
      <c r="B478" s="59"/>
      <c r="C478" s="7"/>
      <c r="D478" s="3"/>
      <c r="E478" s="59"/>
      <c r="F478" s="3"/>
      <c r="G478" s="3"/>
    </row>
    <row r="479" ht="15.75" customHeight="1">
      <c r="B479" s="59"/>
      <c r="C479" s="7"/>
      <c r="D479" s="3"/>
      <c r="E479" s="59"/>
      <c r="F479" s="3"/>
      <c r="G479" s="3"/>
    </row>
    <row r="480" ht="15.75" customHeight="1">
      <c r="B480" s="59"/>
      <c r="C480" s="7"/>
      <c r="D480" s="3"/>
      <c r="E480" s="59"/>
      <c r="F480" s="3"/>
      <c r="G480" s="3"/>
    </row>
    <row r="481" ht="15.75" customHeight="1">
      <c r="B481" s="59"/>
      <c r="C481" s="7"/>
      <c r="D481" s="3"/>
      <c r="E481" s="59"/>
      <c r="F481" s="3"/>
      <c r="G481" s="3"/>
    </row>
    <row r="482" ht="15.75" customHeight="1">
      <c r="B482" s="59"/>
      <c r="C482" s="7"/>
      <c r="D482" s="3"/>
      <c r="E482" s="59"/>
      <c r="F482" s="3"/>
      <c r="G482" s="3"/>
    </row>
    <row r="483" ht="15.75" customHeight="1">
      <c r="B483" s="59"/>
      <c r="C483" s="7"/>
      <c r="D483" s="3"/>
      <c r="E483" s="59"/>
      <c r="F483" s="3"/>
      <c r="G483" s="3"/>
    </row>
    <row r="484" ht="15.75" customHeight="1">
      <c r="B484" s="59"/>
      <c r="C484" s="7"/>
      <c r="D484" s="3"/>
      <c r="E484" s="59"/>
      <c r="F484" s="3"/>
      <c r="G484" s="3"/>
    </row>
    <row r="485" ht="15.75" customHeight="1">
      <c r="B485" s="59"/>
      <c r="C485" s="7"/>
      <c r="D485" s="3"/>
      <c r="E485" s="59"/>
      <c r="F485" s="3"/>
      <c r="G485" s="3"/>
    </row>
    <row r="486" ht="15.75" customHeight="1">
      <c r="B486" s="59"/>
      <c r="C486" s="7"/>
      <c r="D486" s="3"/>
      <c r="E486" s="59"/>
      <c r="F486" s="3"/>
      <c r="G486" s="3"/>
    </row>
    <row r="487" ht="15.75" customHeight="1">
      <c r="B487" s="59"/>
      <c r="C487" s="7"/>
      <c r="D487" s="3"/>
      <c r="E487" s="59"/>
      <c r="F487" s="3"/>
      <c r="G487" s="3"/>
    </row>
    <row r="488" ht="15.75" customHeight="1">
      <c r="B488" s="59"/>
      <c r="C488" s="7"/>
      <c r="D488" s="3"/>
      <c r="E488" s="59"/>
      <c r="F488" s="3"/>
      <c r="G488" s="3"/>
    </row>
    <row r="489" ht="15.75" customHeight="1">
      <c r="B489" s="59"/>
      <c r="C489" s="7"/>
      <c r="D489" s="3"/>
      <c r="E489" s="59"/>
      <c r="F489" s="3"/>
      <c r="G489" s="3"/>
    </row>
    <row r="490" ht="15.75" customHeight="1">
      <c r="B490" s="59"/>
      <c r="C490" s="7"/>
      <c r="D490" s="3"/>
      <c r="E490" s="59"/>
      <c r="F490" s="3"/>
      <c r="G490" s="3"/>
    </row>
    <row r="491" ht="15.75" customHeight="1">
      <c r="B491" s="59"/>
      <c r="C491" s="7"/>
      <c r="D491" s="3"/>
      <c r="E491" s="59"/>
      <c r="F491" s="3"/>
      <c r="G491" s="3"/>
    </row>
    <row r="492" ht="15.75" customHeight="1">
      <c r="B492" s="59"/>
      <c r="C492" s="7"/>
      <c r="D492" s="3"/>
      <c r="E492" s="59"/>
      <c r="F492" s="3"/>
      <c r="G492" s="3"/>
    </row>
    <row r="493" ht="15.75" customHeight="1">
      <c r="B493" s="59"/>
      <c r="C493" s="7"/>
      <c r="D493" s="3"/>
      <c r="E493" s="59"/>
      <c r="F493" s="3"/>
      <c r="G493" s="3"/>
    </row>
    <row r="494" ht="15.75" customHeight="1">
      <c r="B494" s="59"/>
      <c r="C494" s="7"/>
      <c r="D494" s="3"/>
      <c r="E494" s="59"/>
      <c r="F494" s="3"/>
      <c r="G494" s="3"/>
    </row>
    <row r="495" ht="15.75" customHeight="1">
      <c r="B495" s="59"/>
      <c r="C495" s="7"/>
      <c r="D495" s="3"/>
      <c r="E495" s="59"/>
      <c r="F495" s="3"/>
      <c r="G495" s="3"/>
    </row>
    <row r="496" ht="15.75" customHeight="1">
      <c r="B496" s="59"/>
      <c r="C496" s="7"/>
      <c r="D496" s="3"/>
      <c r="E496" s="59"/>
      <c r="F496" s="3"/>
      <c r="G496" s="3"/>
    </row>
    <row r="497" ht="15.75" customHeight="1">
      <c r="B497" s="59"/>
      <c r="C497" s="7"/>
      <c r="D497" s="3"/>
      <c r="E497" s="59"/>
      <c r="F497" s="3"/>
      <c r="G497" s="3"/>
    </row>
    <row r="498" ht="15.75" customHeight="1">
      <c r="B498" s="59"/>
      <c r="C498" s="7"/>
      <c r="D498" s="3"/>
      <c r="E498" s="59"/>
      <c r="F498" s="3"/>
      <c r="G498" s="3"/>
    </row>
    <row r="499" ht="15.75" customHeight="1">
      <c r="B499" s="59"/>
      <c r="C499" s="7"/>
      <c r="D499" s="3"/>
      <c r="E499" s="59"/>
      <c r="F499" s="3"/>
      <c r="G499" s="3"/>
    </row>
    <row r="500" ht="15.75" customHeight="1">
      <c r="B500" s="59"/>
      <c r="C500" s="7"/>
      <c r="D500" s="3"/>
      <c r="E500" s="59"/>
      <c r="F500" s="3"/>
      <c r="G500" s="3"/>
    </row>
    <row r="501" ht="15.75" customHeight="1">
      <c r="B501" s="59"/>
      <c r="C501" s="7"/>
      <c r="D501" s="3"/>
      <c r="E501" s="59"/>
      <c r="F501" s="3"/>
      <c r="G501" s="3"/>
    </row>
    <row r="502" ht="15.75" customHeight="1">
      <c r="B502" s="59"/>
      <c r="C502" s="7"/>
      <c r="D502" s="3"/>
      <c r="E502" s="59"/>
      <c r="F502" s="3"/>
      <c r="G502" s="3"/>
    </row>
    <row r="503" ht="15.75" customHeight="1">
      <c r="B503" s="59"/>
      <c r="C503" s="7"/>
      <c r="D503" s="3"/>
      <c r="E503" s="59"/>
      <c r="F503" s="3"/>
      <c r="G503" s="3"/>
    </row>
    <row r="504" ht="15.75" customHeight="1">
      <c r="B504" s="59"/>
      <c r="C504" s="7"/>
      <c r="D504" s="3"/>
      <c r="E504" s="59"/>
      <c r="F504" s="3"/>
      <c r="G504" s="3"/>
    </row>
    <row r="505" ht="15.75" customHeight="1">
      <c r="B505" s="59"/>
      <c r="C505" s="7"/>
      <c r="D505" s="3"/>
      <c r="E505" s="59"/>
      <c r="F505" s="3"/>
      <c r="G505" s="3"/>
    </row>
    <row r="506" ht="15.75" customHeight="1">
      <c r="B506" s="59"/>
      <c r="C506" s="7"/>
      <c r="D506" s="3"/>
      <c r="E506" s="59"/>
      <c r="F506" s="3"/>
      <c r="G506" s="3"/>
    </row>
    <row r="507" ht="15.75" customHeight="1">
      <c r="B507" s="59"/>
      <c r="C507" s="7"/>
      <c r="D507" s="3"/>
      <c r="E507" s="59"/>
      <c r="F507" s="3"/>
      <c r="G507" s="3"/>
    </row>
    <row r="508" ht="15.75" customHeight="1">
      <c r="B508" s="59"/>
      <c r="C508" s="7"/>
      <c r="D508" s="3"/>
      <c r="E508" s="59"/>
      <c r="F508" s="3"/>
      <c r="G508" s="3"/>
    </row>
    <row r="509" ht="15.75" customHeight="1">
      <c r="B509" s="59"/>
      <c r="C509" s="7"/>
      <c r="D509" s="3"/>
      <c r="E509" s="59"/>
      <c r="F509" s="3"/>
      <c r="G509" s="3"/>
    </row>
    <row r="510" ht="15.75" customHeight="1">
      <c r="B510" s="59"/>
      <c r="C510" s="7"/>
      <c r="D510" s="3"/>
      <c r="E510" s="59"/>
      <c r="F510" s="3"/>
      <c r="G510" s="3"/>
    </row>
    <row r="511" ht="15.75" customHeight="1">
      <c r="B511" s="59"/>
      <c r="C511" s="7"/>
      <c r="D511" s="3"/>
      <c r="E511" s="59"/>
      <c r="F511" s="3"/>
      <c r="G511" s="3"/>
    </row>
    <row r="512" ht="15.75" customHeight="1">
      <c r="B512" s="59"/>
      <c r="C512" s="7"/>
      <c r="D512" s="3"/>
      <c r="E512" s="59"/>
      <c r="F512" s="3"/>
      <c r="G512" s="3"/>
    </row>
    <row r="513" ht="15.75" customHeight="1">
      <c r="B513" s="59"/>
      <c r="C513" s="7"/>
      <c r="D513" s="3"/>
      <c r="E513" s="59"/>
      <c r="F513" s="3"/>
      <c r="G513" s="3"/>
    </row>
    <row r="514" ht="15.75" customHeight="1">
      <c r="B514" s="59"/>
      <c r="C514" s="7"/>
      <c r="D514" s="3"/>
      <c r="E514" s="59"/>
      <c r="F514" s="3"/>
      <c r="G514" s="3"/>
    </row>
    <row r="515" ht="15.75" customHeight="1">
      <c r="B515" s="59"/>
      <c r="C515" s="7"/>
      <c r="D515" s="3"/>
      <c r="E515" s="59"/>
      <c r="F515" s="3"/>
      <c r="G515" s="3"/>
    </row>
    <row r="516" ht="15.75" customHeight="1">
      <c r="B516" s="59"/>
      <c r="C516" s="7"/>
      <c r="D516" s="3"/>
      <c r="E516" s="59"/>
      <c r="F516" s="3"/>
      <c r="G516" s="3"/>
    </row>
    <row r="517" ht="15.75" customHeight="1">
      <c r="B517" s="59"/>
      <c r="C517" s="7"/>
      <c r="D517" s="3"/>
      <c r="E517" s="59"/>
      <c r="F517" s="3"/>
      <c r="G517" s="3"/>
    </row>
    <row r="518" ht="15.75" customHeight="1">
      <c r="B518" s="59"/>
      <c r="C518" s="7"/>
      <c r="D518" s="3"/>
      <c r="E518" s="59"/>
      <c r="F518" s="3"/>
      <c r="G518" s="3"/>
    </row>
    <row r="519" ht="15.75" customHeight="1">
      <c r="B519" s="59"/>
      <c r="C519" s="7"/>
      <c r="D519" s="3"/>
      <c r="E519" s="59"/>
      <c r="F519" s="3"/>
      <c r="G519" s="3"/>
    </row>
    <row r="520" ht="15.75" customHeight="1">
      <c r="B520" s="59"/>
      <c r="C520" s="7"/>
      <c r="D520" s="3"/>
      <c r="E520" s="59"/>
      <c r="F520" s="3"/>
      <c r="G520" s="3"/>
    </row>
    <row r="521" ht="15.75" customHeight="1">
      <c r="B521" s="59"/>
      <c r="C521" s="7"/>
      <c r="D521" s="3"/>
      <c r="E521" s="59"/>
      <c r="F521" s="3"/>
      <c r="G521" s="3"/>
    </row>
    <row r="522" ht="15.75" customHeight="1">
      <c r="B522" s="59"/>
      <c r="C522" s="7"/>
      <c r="D522" s="3"/>
      <c r="E522" s="59"/>
      <c r="F522" s="3"/>
      <c r="G522" s="3"/>
    </row>
    <row r="523" ht="15.75" customHeight="1">
      <c r="B523" s="59"/>
      <c r="C523" s="7"/>
      <c r="D523" s="3"/>
      <c r="E523" s="59"/>
      <c r="F523" s="3"/>
      <c r="G523" s="3"/>
    </row>
    <row r="524" ht="15.75" customHeight="1">
      <c r="B524" s="59"/>
      <c r="C524" s="7"/>
      <c r="D524" s="3"/>
      <c r="E524" s="59"/>
      <c r="F524" s="3"/>
      <c r="G524" s="3"/>
    </row>
    <row r="525" ht="15.75" customHeight="1">
      <c r="B525" s="59"/>
      <c r="C525" s="7"/>
      <c r="D525" s="3"/>
      <c r="E525" s="59"/>
      <c r="F525" s="3"/>
      <c r="G525" s="3"/>
    </row>
    <row r="526" ht="15.75" customHeight="1">
      <c r="B526" s="59"/>
      <c r="C526" s="7"/>
      <c r="D526" s="3"/>
      <c r="E526" s="59"/>
      <c r="F526" s="3"/>
      <c r="G526" s="3"/>
    </row>
    <row r="527" ht="15.75" customHeight="1">
      <c r="B527" s="59"/>
      <c r="C527" s="7"/>
      <c r="D527" s="3"/>
      <c r="E527" s="59"/>
      <c r="F527" s="3"/>
      <c r="G527" s="3"/>
    </row>
    <row r="528" ht="15.75" customHeight="1">
      <c r="B528" s="59"/>
      <c r="C528" s="7"/>
      <c r="D528" s="3"/>
      <c r="E528" s="59"/>
      <c r="F528" s="3"/>
      <c r="G528" s="3"/>
    </row>
    <row r="529" ht="15.75" customHeight="1">
      <c r="B529" s="59"/>
      <c r="C529" s="7"/>
      <c r="D529" s="3"/>
      <c r="E529" s="59"/>
      <c r="F529" s="3"/>
      <c r="G529" s="3"/>
    </row>
    <row r="530" ht="15.75" customHeight="1">
      <c r="B530" s="59"/>
      <c r="C530" s="7"/>
      <c r="D530" s="3"/>
      <c r="E530" s="59"/>
      <c r="F530" s="3"/>
      <c r="G530" s="3"/>
    </row>
    <row r="531" ht="15.75" customHeight="1">
      <c r="B531" s="59"/>
      <c r="C531" s="7"/>
      <c r="D531" s="3"/>
      <c r="E531" s="59"/>
      <c r="F531" s="3"/>
      <c r="G531" s="3"/>
    </row>
    <row r="532" ht="15.75" customHeight="1">
      <c r="B532" s="59"/>
      <c r="C532" s="7"/>
      <c r="D532" s="3"/>
      <c r="E532" s="59"/>
      <c r="F532" s="3"/>
      <c r="G532" s="3"/>
    </row>
    <row r="533" ht="15.75" customHeight="1">
      <c r="B533" s="59"/>
      <c r="C533" s="7"/>
      <c r="D533" s="3"/>
      <c r="E533" s="59"/>
      <c r="F533" s="3"/>
      <c r="G533" s="3"/>
    </row>
    <row r="534" ht="15.75" customHeight="1">
      <c r="B534" s="59"/>
      <c r="C534" s="7"/>
      <c r="D534" s="3"/>
      <c r="E534" s="59"/>
      <c r="F534" s="3"/>
      <c r="G534" s="3"/>
    </row>
    <row r="535" ht="15.75" customHeight="1">
      <c r="B535" s="59"/>
      <c r="C535" s="7"/>
      <c r="D535" s="3"/>
      <c r="E535" s="59"/>
      <c r="F535" s="3"/>
      <c r="G535" s="3"/>
    </row>
    <row r="536" ht="15.75" customHeight="1">
      <c r="B536" s="59"/>
      <c r="C536" s="7"/>
      <c r="D536" s="3"/>
      <c r="E536" s="59"/>
      <c r="F536" s="3"/>
      <c r="G536" s="3"/>
    </row>
    <row r="537" ht="15.75" customHeight="1">
      <c r="B537" s="59"/>
      <c r="C537" s="7"/>
      <c r="D537" s="3"/>
      <c r="E537" s="59"/>
      <c r="F537" s="3"/>
      <c r="G537" s="3"/>
    </row>
    <row r="538" ht="15.75" customHeight="1">
      <c r="B538" s="59"/>
      <c r="C538" s="7"/>
      <c r="D538" s="3"/>
      <c r="E538" s="59"/>
      <c r="F538" s="3"/>
      <c r="G538" s="3"/>
    </row>
    <row r="539" ht="15.75" customHeight="1">
      <c r="B539" s="59"/>
      <c r="C539" s="7"/>
      <c r="D539" s="3"/>
      <c r="E539" s="59"/>
      <c r="F539" s="3"/>
      <c r="G539" s="3"/>
    </row>
    <row r="540" ht="15.75" customHeight="1">
      <c r="B540" s="59"/>
      <c r="C540" s="7"/>
      <c r="D540" s="3"/>
      <c r="E540" s="59"/>
      <c r="F540" s="3"/>
      <c r="G540" s="3"/>
    </row>
    <row r="541" ht="15.75" customHeight="1">
      <c r="B541" s="59"/>
      <c r="C541" s="7"/>
      <c r="D541" s="3"/>
      <c r="E541" s="59"/>
      <c r="F541" s="3"/>
      <c r="G541" s="3"/>
    </row>
    <row r="542" ht="15.75" customHeight="1">
      <c r="B542" s="59"/>
      <c r="C542" s="7"/>
      <c r="D542" s="3"/>
      <c r="E542" s="59"/>
      <c r="F542" s="3"/>
      <c r="G542" s="3"/>
    </row>
    <row r="543" ht="15.75" customHeight="1">
      <c r="B543" s="59"/>
      <c r="C543" s="7"/>
      <c r="D543" s="3"/>
      <c r="E543" s="59"/>
      <c r="F543" s="3"/>
      <c r="G543" s="3"/>
    </row>
    <row r="544" ht="15.75" customHeight="1">
      <c r="B544" s="59"/>
      <c r="C544" s="7"/>
      <c r="D544" s="3"/>
      <c r="E544" s="59"/>
      <c r="F544" s="3"/>
      <c r="G544" s="3"/>
    </row>
    <row r="545" ht="15.75" customHeight="1">
      <c r="B545" s="59"/>
      <c r="C545" s="7"/>
      <c r="D545" s="3"/>
      <c r="E545" s="59"/>
      <c r="F545" s="3"/>
      <c r="G545" s="3"/>
    </row>
    <row r="546" ht="15.75" customHeight="1">
      <c r="B546" s="59"/>
      <c r="C546" s="7"/>
      <c r="D546" s="3"/>
      <c r="E546" s="59"/>
      <c r="F546" s="3"/>
      <c r="G546" s="3"/>
    </row>
    <row r="547" ht="15.75" customHeight="1">
      <c r="B547" s="59"/>
      <c r="C547" s="7"/>
      <c r="D547" s="3"/>
      <c r="E547" s="59"/>
      <c r="F547" s="3"/>
      <c r="G547" s="3"/>
    </row>
    <row r="548" ht="15.75" customHeight="1">
      <c r="B548" s="59"/>
      <c r="C548" s="7"/>
      <c r="D548" s="3"/>
      <c r="E548" s="59"/>
      <c r="F548" s="3"/>
      <c r="G548" s="3"/>
    </row>
    <row r="549" ht="15.75" customHeight="1">
      <c r="B549" s="59"/>
      <c r="C549" s="7"/>
      <c r="D549" s="3"/>
      <c r="E549" s="59"/>
      <c r="F549" s="3"/>
      <c r="G549" s="3"/>
    </row>
    <row r="550" ht="15.75" customHeight="1">
      <c r="B550" s="59"/>
      <c r="C550" s="7"/>
      <c r="D550" s="3"/>
      <c r="E550" s="59"/>
      <c r="F550" s="3"/>
      <c r="G550" s="3"/>
    </row>
    <row r="551" ht="15.75" customHeight="1">
      <c r="B551" s="59"/>
      <c r="C551" s="7"/>
      <c r="D551" s="3"/>
      <c r="E551" s="59"/>
      <c r="F551" s="3"/>
      <c r="G551" s="3"/>
    </row>
    <row r="552" ht="15.75" customHeight="1">
      <c r="B552" s="59"/>
      <c r="C552" s="7"/>
      <c r="D552" s="3"/>
      <c r="E552" s="59"/>
      <c r="F552" s="3"/>
      <c r="G552" s="3"/>
    </row>
    <row r="553" ht="15.75" customHeight="1">
      <c r="B553" s="59"/>
      <c r="C553" s="7"/>
      <c r="D553" s="3"/>
      <c r="E553" s="59"/>
      <c r="F553" s="3"/>
      <c r="G553" s="3"/>
    </row>
    <row r="554" ht="15.75" customHeight="1">
      <c r="B554" s="59"/>
      <c r="C554" s="7"/>
      <c r="D554" s="3"/>
      <c r="E554" s="59"/>
      <c r="F554" s="3"/>
      <c r="G554" s="3"/>
    </row>
    <row r="555" ht="15.75" customHeight="1">
      <c r="B555" s="59"/>
      <c r="C555" s="7"/>
      <c r="D555" s="3"/>
      <c r="E555" s="59"/>
      <c r="F555" s="3"/>
      <c r="G555" s="3"/>
    </row>
    <row r="556" ht="15.75" customHeight="1">
      <c r="B556" s="59"/>
      <c r="C556" s="7"/>
      <c r="D556" s="3"/>
      <c r="E556" s="59"/>
      <c r="F556" s="3"/>
      <c r="G556" s="3"/>
    </row>
    <row r="557" ht="15.75" customHeight="1">
      <c r="B557" s="59"/>
      <c r="C557" s="7"/>
      <c r="D557" s="3"/>
      <c r="E557" s="59"/>
      <c r="F557" s="3"/>
      <c r="G557" s="3"/>
    </row>
    <row r="558" ht="15.75" customHeight="1">
      <c r="B558" s="59"/>
      <c r="C558" s="7"/>
      <c r="D558" s="3"/>
      <c r="E558" s="59"/>
      <c r="F558" s="3"/>
      <c r="G558" s="3"/>
    </row>
    <row r="559" ht="15.75" customHeight="1">
      <c r="B559" s="59"/>
      <c r="C559" s="7"/>
      <c r="D559" s="3"/>
      <c r="E559" s="59"/>
      <c r="F559" s="3"/>
      <c r="G559" s="3"/>
    </row>
    <row r="560" ht="15.75" customHeight="1">
      <c r="B560" s="59"/>
      <c r="C560" s="7"/>
      <c r="D560" s="3"/>
      <c r="E560" s="59"/>
      <c r="F560" s="3"/>
      <c r="G560" s="3"/>
    </row>
    <row r="561" ht="15.75" customHeight="1">
      <c r="B561" s="59"/>
      <c r="C561" s="7"/>
      <c r="D561" s="3"/>
      <c r="E561" s="59"/>
      <c r="F561" s="3"/>
      <c r="G561" s="3"/>
    </row>
    <row r="562" ht="15.75" customHeight="1">
      <c r="B562" s="59"/>
      <c r="C562" s="7"/>
      <c r="D562" s="3"/>
      <c r="E562" s="59"/>
      <c r="F562" s="3"/>
      <c r="G562" s="3"/>
    </row>
    <row r="563" ht="15.75" customHeight="1">
      <c r="B563" s="59"/>
      <c r="C563" s="7"/>
      <c r="D563" s="3"/>
      <c r="E563" s="59"/>
      <c r="F563" s="3"/>
      <c r="G563" s="3"/>
    </row>
    <row r="564" ht="15.75" customHeight="1">
      <c r="B564" s="59"/>
      <c r="C564" s="7"/>
      <c r="D564" s="3"/>
      <c r="E564" s="59"/>
      <c r="F564" s="3"/>
      <c r="G564" s="3"/>
    </row>
    <row r="565" ht="15.75" customHeight="1">
      <c r="B565" s="59"/>
      <c r="C565" s="7"/>
      <c r="D565" s="3"/>
      <c r="E565" s="59"/>
      <c r="F565" s="3"/>
      <c r="G565" s="3"/>
    </row>
    <row r="566" ht="15.75" customHeight="1">
      <c r="B566" s="59"/>
      <c r="C566" s="7"/>
      <c r="D566" s="3"/>
      <c r="E566" s="59"/>
      <c r="F566" s="3"/>
      <c r="G566" s="3"/>
    </row>
    <row r="567" ht="15.75" customHeight="1">
      <c r="B567" s="59"/>
      <c r="C567" s="7"/>
      <c r="D567" s="3"/>
      <c r="E567" s="59"/>
      <c r="F567" s="3"/>
      <c r="G567" s="3"/>
    </row>
    <row r="568" ht="15.75" customHeight="1">
      <c r="B568" s="59"/>
      <c r="C568" s="7"/>
      <c r="D568" s="3"/>
      <c r="E568" s="59"/>
      <c r="F568" s="3"/>
      <c r="G568" s="3"/>
    </row>
    <row r="569" ht="15.75" customHeight="1">
      <c r="B569" s="59"/>
      <c r="C569" s="7"/>
      <c r="D569" s="3"/>
      <c r="E569" s="59"/>
      <c r="F569" s="3"/>
      <c r="G569" s="3"/>
    </row>
    <row r="570" ht="15.75" customHeight="1">
      <c r="B570" s="59"/>
      <c r="C570" s="7"/>
      <c r="D570" s="3"/>
      <c r="E570" s="59"/>
      <c r="F570" s="3"/>
      <c r="G570" s="3"/>
    </row>
    <row r="571" ht="15.75" customHeight="1">
      <c r="B571" s="59"/>
      <c r="C571" s="7"/>
      <c r="D571" s="3"/>
      <c r="E571" s="59"/>
      <c r="F571" s="3"/>
      <c r="G571" s="3"/>
    </row>
    <row r="572" ht="15.75" customHeight="1">
      <c r="B572" s="59"/>
      <c r="C572" s="7"/>
      <c r="D572" s="3"/>
      <c r="E572" s="59"/>
      <c r="F572" s="3"/>
      <c r="G572" s="3"/>
    </row>
    <row r="573" ht="15.75" customHeight="1">
      <c r="B573" s="59"/>
      <c r="C573" s="7"/>
      <c r="D573" s="3"/>
      <c r="E573" s="59"/>
      <c r="F573" s="3"/>
      <c r="G573" s="3"/>
    </row>
    <row r="574" ht="15.75" customHeight="1">
      <c r="B574" s="59"/>
      <c r="C574" s="7"/>
      <c r="D574" s="3"/>
      <c r="E574" s="59"/>
      <c r="F574" s="3"/>
      <c r="G574" s="3"/>
    </row>
    <row r="575" ht="15.75" customHeight="1">
      <c r="B575" s="59"/>
      <c r="C575" s="7"/>
      <c r="D575" s="3"/>
      <c r="E575" s="59"/>
      <c r="F575" s="3"/>
      <c r="G575" s="3"/>
    </row>
    <row r="576" ht="15.75" customHeight="1">
      <c r="B576" s="59"/>
      <c r="C576" s="7"/>
      <c r="D576" s="3"/>
      <c r="E576" s="59"/>
      <c r="F576" s="3"/>
      <c r="G576" s="3"/>
    </row>
    <row r="577" ht="15.75" customHeight="1">
      <c r="B577" s="59"/>
      <c r="C577" s="7"/>
      <c r="D577" s="3"/>
      <c r="E577" s="59"/>
      <c r="F577" s="3"/>
      <c r="G577" s="3"/>
    </row>
    <row r="578" ht="15.75" customHeight="1">
      <c r="B578" s="59"/>
      <c r="C578" s="7"/>
      <c r="D578" s="3"/>
      <c r="E578" s="59"/>
      <c r="F578" s="3"/>
      <c r="G578" s="3"/>
    </row>
    <row r="579" ht="15.75" customHeight="1">
      <c r="B579" s="59"/>
      <c r="C579" s="7"/>
      <c r="D579" s="3"/>
      <c r="E579" s="59"/>
      <c r="F579" s="3"/>
      <c r="G579" s="3"/>
    </row>
    <row r="580" ht="15.75" customHeight="1">
      <c r="B580" s="59"/>
      <c r="C580" s="7"/>
      <c r="D580" s="3"/>
      <c r="E580" s="59"/>
      <c r="F580" s="3"/>
      <c r="G580" s="3"/>
    </row>
    <row r="581" ht="15.75" customHeight="1">
      <c r="B581" s="59"/>
      <c r="C581" s="7"/>
      <c r="D581" s="3"/>
      <c r="E581" s="59"/>
      <c r="F581" s="3"/>
      <c r="G581" s="3"/>
    </row>
    <row r="582" ht="15.75" customHeight="1">
      <c r="B582" s="59"/>
      <c r="C582" s="7"/>
      <c r="D582" s="3"/>
      <c r="E582" s="59"/>
      <c r="F582" s="3"/>
      <c r="G582" s="3"/>
    </row>
    <row r="583" ht="15.75" customHeight="1">
      <c r="B583" s="59"/>
      <c r="C583" s="7"/>
      <c r="D583" s="3"/>
      <c r="E583" s="59"/>
      <c r="F583" s="3"/>
      <c r="G583" s="3"/>
    </row>
    <row r="584" ht="15.75" customHeight="1">
      <c r="B584" s="59"/>
      <c r="C584" s="7"/>
      <c r="D584" s="3"/>
      <c r="E584" s="59"/>
      <c r="F584" s="3"/>
      <c r="G584" s="3"/>
    </row>
    <row r="585" ht="15.75" customHeight="1">
      <c r="B585" s="59"/>
      <c r="C585" s="7"/>
      <c r="D585" s="3"/>
      <c r="E585" s="59"/>
      <c r="F585" s="3"/>
      <c r="G585" s="3"/>
    </row>
    <row r="586" ht="15.75" customHeight="1">
      <c r="B586" s="59"/>
      <c r="C586" s="7"/>
      <c r="D586" s="3"/>
      <c r="E586" s="59"/>
      <c r="F586" s="3"/>
      <c r="G586" s="3"/>
    </row>
    <row r="587" ht="15.75" customHeight="1">
      <c r="B587" s="59"/>
      <c r="C587" s="7"/>
      <c r="D587" s="3"/>
      <c r="E587" s="59"/>
      <c r="F587" s="3"/>
      <c r="G587" s="3"/>
    </row>
    <row r="588" ht="15.75" customHeight="1">
      <c r="B588" s="59"/>
      <c r="C588" s="7"/>
      <c r="D588" s="3"/>
      <c r="E588" s="59"/>
      <c r="F588" s="3"/>
      <c r="G588" s="3"/>
    </row>
    <row r="589" ht="15.75" customHeight="1">
      <c r="B589" s="59"/>
      <c r="C589" s="7"/>
      <c r="D589" s="3"/>
      <c r="E589" s="59"/>
      <c r="F589" s="3"/>
      <c r="G589" s="3"/>
    </row>
    <row r="590" ht="15.75" customHeight="1">
      <c r="B590" s="59"/>
      <c r="C590" s="7"/>
      <c r="D590" s="3"/>
      <c r="E590" s="59"/>
      <c r="F590" s="3"/>
      <c r="G590" s="3"/>
    </row>
    <row r="591" ht="15.75" customHeight="1">
      <c r="B591" s="59"/>
      <c r="C591" s="7"/>
      <c r="D591" s="3"/>
      <c r="E591" s="59"/>
      <c r="F591" s="3"/>
      <c r="G591" s="3"/>
    </row>
    <row r="592" ht="15.75" customHeight="1">
      <c r="B592" s="59"/>
      <c r="C592" s="7"/>
      <c r="D592" s="3"/>
      <c r="E592" s="59"/>
      <c r="F592" s="3"/>
      <c r="G592" s="3"/>
    </row>
    <row r="593" ht="15.75" customHeight="1">
      <c r="B593" s="59"/>
      <c r="C593" s="7"/>
      <c r="D593" s="3"/>
      <c r="E593" s="59"/>
      <c r="F593" s="3"/>
      <c r="G593" s="3"/>
    </row>
    <row r="594" ht="15.75" customHeight="1">
      <c r="B594" s="59"/>
      <c r="C594" s="7"/>
      <c r="D594" s="3"/>
      <c r="E594" s="59"/>
      <c r="F594" s="3"/>
      <c r="G594" s="3"/>
    </row>
    <row r="595" ht="15.75" customHeight="1">
      <c r="B595" s="59"/>
      <c r="C595" s="7"/>
      <c r="D595" s="3"/>
      <c r="E595" s="59"/>
      <c r="F595" s="3"/>
      <c r="G595" s="3"/>
    </row>
    <row r="596" ht="15.75" customHeight="1">
      <c r="B596" s="59"/>
      <c r="C596" s="7"/>
      <c r="D596" s="3"/>
      <c r="E596" s="59"/>
      <c r="F596" s="3"/>
      <c r="G596" s="3"/>
    </row>
    <row r="597" ht="15.75" customHeight="1">
      <c r="B597" s="59"/>
      <c r="C597" s="7"/>
      <c r="D597" s="3"/>
      <c r="E597" s="59"/>
      <c r="F597" s="3"/>
      <c r="G597" s="3"/>
    </row>
    <row r="598" ht="15.75" customHeight="1">
      <c r="B598" s="59"/>
      <c r="C598" s="7"/>
      <c r="D598" s="3"/>
      <c r="E598" s="59"/>
      <c r="F598" s="3"/>
      <c r="G598" s="3"/>
    </row>
    <row r="599" ht="15.75" customHeight="1">
      <c r="B599" s="59"/>
      <c r="C599" s="7"/>
      <c r="D599" s="3"/>
      <c r="E599" s="59"/>
      <c r="F599" s="3"/>
      <c r="G599" s="3"/>
    </row>
    <row r="600" ht="15.75" customHeight="1">
      <c r="B600" s="59"/>
      <c r="C600" s="7"/>
      <c r="D600" s="3"/>
      <c r="E600" s="59"/>
      <c r="F600" s="3"/>
      <c r="G600" s="3"/>
    </row>
    <row r="601" ht="15.75" customHeight="1">
      <c r="B601" s="59"/>
      <c r="C601" s="7"/>
      <c r="D601" s="3"/>
      <c r="E601" s="59"/>
      <c r="F601" s="3"/>
      <c r="G601" s="3"/>
    </row>
    <row r="602" ht="15.75" customHeight="1">
      <c r="B602" s="59"/>
      <c r="C602" s="7"/>
      <c r="D602" s="3"/>
      <c r="E602" s="59"/>
      <c r="F602" s="3"/>
      <c r="G602" s="3"/>
    </row>
    <row r="603" ht="15.75" customHeight="1">
      <c r="B603" s="59"/>
      <c r="C603" s="7"/>
      <c r="D603" s="3"/>
      <c r="E603" s="59"/>
      <c r="F603" s="3"/>
      <c r="G603" s="3"/>
    </row>
    <row r="604" ht="15.75" customHeight="1">
      <c r="B604" s="59"/>
      <c r="C604" s="7"/>
      <c r="D604" s="3"/>
      <c r="E604" s="59"/>
      <c r="F604" s="3"/>
      <c r="G604" s="3"/>
    </row>
    <row r="605" ht="15.75" customHeight="1">
      <c r="B605" s="59"/>
      <c r="C605" s="7"/>
      <c r="D605" s="3"/>
      <c r="E605" s="59"/>
      <c r="F605" s="3"/>
      <c r="G605" s="3"/>
    </row>
    <row r="606" ht="15.75" customHeight="1">
      <c r="B606" s="59"/>
      <c r="C606" s="7"/>
      <c r="D606" s="3"/>
      <c r="E606" s="59"/>
      <c r="F606" s="3"/>
      <c r="G606" s="3"/>
    </row>
    <row r="607" ht="15.75" customHeight="1">
      <c r="B607" s="59"/>
      <c r="C607" s="7"/>
      <c r="D607" s="3"/>
      <c r="E607" s="59"/>
      <c r="F607" s="3"/>
      <c r="G607" s="3"/>
    </row>
    <row r="608" ht="15.75" customHeight="1">
      <c r="B608" s="59"/>
      <c r="C608" s="7"/>
      <c r="D608" s="3"/>
      <c r="E608" s="59"/>
      <c r="F608" s="3"/>
      <c r="G608" s="3"/>
    </row>
    <row r="609" ht="15.75" customHeight="1">
      <c r="B609" s="59"/>
      <c r="C609" s="7"/>
      <c r="D609" s="3"/>
      <c r="E609" s="59"/>
      <c r="F609" s="3"/>
      <c r="G609" s="3"/>
    </row>
    <row r="610" ht="15.75" customHeight="1">
      <c r="B610" s="59"/>
      <c r="C610" s="7"/>
      <c r="D610" s="3"/>
      <c r="E610" s="59"/>
      <c r="F610" s="3"/>
      <c r="G610" s="3"/>
    </row>
    <row r="611" ht="15.75" customHeight="1">
      <c r="B611" s="59"/>
      <c r="C611" s="7"/>
      <c r="D611" s="3"/>
      <c r="E611" s="59"/>
      <c r="F611" s="3"/>
      <c r="G611" s="3"/>
    </row>
    <row r="612" ht="15.75" customHeight="1">
      <c r="B612" s="59"/>
      <c r="C612" s="7"/>
      <c r="D612" s="3"/>
      <c r="E612" s="59"/>
      <c r="F612" s="3"/>
      <c r="G612" s="3"/>
    </row>
    <row r="613" ht="15.75" customHeight="1">
      <c r="B613" s="59"/>
      <c r="C613" s="7"/>
      <c r="D613" s="3"/>
      <c r="E613" s="59"/>
      <c r="F613" s="3"/>
      <c r="G613" s="3"/>
    </row>
    <row r="614" ht="15.75" customHeight="1">
      <c r="B614" s="59"/>
      <c r="C614" s="7"/>
      <c r="D614" s="3"/>
      <c r="E614" s="59"/>
      <c r="F614" s="3"/>
      <c r="G614" s="3"/>
    </row>
    <row r="615" ht="15.75" customHeight="1">
      <c r="B615" s="59"/>
      <c r="C615" s="7"/>
      <c r="D615" s="3"/>
      <c r="E615" s="59"/>
      <c r="F615" s="3"/>
      <c r="G615" s="3"/>
    </row>
    <row r="616" ht="15.75" customHeight="1">
      <c r="B616" s="59"/>
      <c r="C616" s="7"/>
      <c r="D616" s="3"/>
      <c r="E616" s="59"/>
      <c r="F616" s="3"/>
      <c r="G616" s="3"/>
    </row>
    <row r="617" ht="15.75" customHeight="1">
      <c r="B617" s="59"/>
      <c r="C617" s="7"/>
      <c r="D617" s="3"/>
      <c r="E617" s="59"/>
      <c r="F617" s="3"/>
      <c r="G617" s="3"/>
    </row>
    <row r="618" ht="15.75" customHeight="1">
      <c r="B618" s="59"/>
      <c r="C618" s="7"/>
      <c r="D618" s="3"/>
      <c r="E618" s="59"/>
      <c r="F618" s="3"/>
      <c r="G618" s="3"/>
    </row>
    <row r="619" ht="15.75" customHeight="1">
      <c r="B619" s="59"/>
      <c r="C619" s="7"/>
      <c r="D619" s="3"/>
      <c r="E619" s="59"/>
      <c r="F619" s="3"/>
      <c r="G619" s="3"/>
    </row>
    <row r="620" ht="15.75" customHeight="1">
      <c r="B620" s="59"/>
      <c r="C620" s="7"/>
      <c r="D620" s="3"/>
      <c r="E620" s="59"/>
      <c r="F620" s="3"/>
      <c r="G620" s="3"/>
    </row>
    <row r="621" ht="15.75" customHeight="1">
      <c r="B621" s="59"/>
      <c r="C621" s="7"/>
      <c r="D621" s="3"/>
      <c r="E621" s="59"/>
      <c r="F621" s="3"/>
      <c r="G621" s="3"/>
    </row>
    <row r="622" ht="15.75" customHeight="1">
      <c r="B622" s="59"/>
      <c r="C622" s="7"/>
      <c r="D622" s="3"/>
      <c r="E622" s="59"/>
      <c r="F622" s="3"/>
      <c r="G622" s="3"/>
    </row>
    <row r="623" ht="15.75" customHeight="1">
      <c r="B623" s="59"/>
      <c r="C623" s="7"/>
      <c r="D623" s="3"/>
      <c r="E623" s="59"/>
      <c r="F623" s="3"/>
      <c r="G623" s="3"/>
    </row>
    <row r="624" ht="15.75" customHeight="1">
      <c r="B624" s="59"/>
      <c r="C624" s="7"/>
      <c r="D624" s="3"/>
      <c r="E624" s="59"/>
      <c r="F624" s="3"/>
      <c r="G624" s="3"/>
    </row>
    <row r="625" ht="15.75" customHeight="1">
      <c r="B625" s="59"/>
      <c r="C625" s="7"/>
      <c r="D625" s="3"/>
      <c r="E625" s="59"/>
      <c r="F625" s="3"/>
      <c r="G625" s="3"/>
    </row>
    <row r="626" ht="15.75" customHeight="1">
      <c r="B626" s="59"/>
      <c r="C626" s="7"/>
      <c r="D626" s="3"/>
      <c r="E626" s="59"/>
      <c r="F626" s="3"/>
      <c r="G626" s="3"/>
    </row>
    <row r="627" ht="15.75" customHeight="1">
      <c r="B627" s="59"/>
      <c r="C627" s="7"/>
      <c r="D627" s="3"/>
      <c r="E627" s="59"/>
      <c r="F627" s="3"/>
      <c r="G627" s="3"/>
    </row>
    <row r="628" ht="15.75" customHeight="1">
      <c r="B628" s="59"/>
      <c r="C628" s="7"/>
      <c r="D628" s="3"/>
      <c r="E628" s="59"/>
      <c r="F628" s="3"/>
      <c r="G628" s="3"/>
    </row>
    <row r="629" ht="15.75" customHeight="1">
      <c r="B629" s="59"/>
      <c r="C629" s="7"/>
      <c r="D629" s="3"/>
      <c r="E629" s="59"/>
      <c r="F629" s="3"/>
      <c r="G629" s="3"/>
    </row>
    <row r="630" ht="15.75" customHeight="1">
      <c r="B630" s="59"/>
      <c r="C630" s="7"/>
      <c r="D630" s="3"/>
      <c r="E630" s="59"/>
      <c r="F630" s="3"/>
      <c r="G630" s="3"/>
    </row>
    <row r="631" ht="15.75" customHeight="1">
      <c r="B631" s="59"/>
      <c r="C631" s="7"/>
      <c r="D631" s="3"/>
      <c r="E631" s="59"/>
      <c r="F631" s="3"/>
      <c r="G631" s="3"/>
    </row>
    <row r="632" ht="15.75" customHeight="1">
      <c r="B632" s="59"/>
      <c r="C632" s="7"/>
      <c r="D632" s="3"/>
      <c r="E632" s="59"/>
      <c r="F632" s="3"/>
      <c r="G632" s="3"/>
    </row>
    <row r="633" ht="15.75" customHeight="1">
      <c r="B633" s="59"/>
      <c r="C633" s="7"/>
      <c r="D633" s="3"/>
      <c r="E633" s="59"/>
      <c r="F633" s="3"/>
      <c r="G633" s="3"/>
    </row>
    <row r="634" ht="15.75" customHeight="1">
      <c r="B634" s="59"/>
      <c r="C634" s="7"/>
      <c r="D634" s="3"/>
      <c r="E634" s="59"/>
      <c r="F634" s="3"/>
      <c r="G634" s="3"/>
    </row>
    <row r="635" ht="15.75" customHeight="1">
      <c r="B635" s="59"/>
      <c r="C635" s="7"/>
      <c r="D635" s="3"/>
      <c r="E635" s="59"/>
      <c r="F635" s="3"/>
      <c r="G635" s="3"/>
    </row>
    <row r="636" ht="15.75" customHeight="1">
      <c r="B636" s="59"/>
      <c r="C636" s="7"/>
      <c r="D636" s="3"/>
      <c r="E636" s="59"/>
      <c r="F636" s="3"/>
      <c r="G636" s="3"/>
    </row>
    <row r="637" ht="15.75" customHeight="1">
      <c r="B637" s="59"/>
      <c r="C637" s="7"/>
      <c r="D637" s="3"/>
      <c r="E637" s="59"/>
      <c r="F637" s="3"/>
      <c r="G637" s="3"/>
    </row>
    <row r="638" ht="15.75" customHeight="1">
      <c r="B638" s="59"/>
      <c r="C638" s="7"/>
      <c r="D638" s="3"/>
      <c r="E638" s="59"/>
      <c r="F638" s="3"/>
      <c r="G638" s="3"/>
    </row>
    <row r="639" ht="15.75" customHeight="1">
      <c r="B639" s="59"/>
      <c r="C639" s="7"/>
      <c r="D639" s="3"/>
      <c r="E639" s="59"/>
      <c r="F639" s="3"/>
      <c r="G639" s="3"/>
    </row>
    <row r="640" ht="15.75" customHeight="1">
      <c r="B640" s="59"/>
      <c r="C640" s="7"/>
      <c r="D640" s="3"/>
      <c r="E640" s="59"/>
      <c r="F640" s="3"/>
      <c r="G640" s="3"/>
    </row>
    <row r="641" ht="15.75" customHeight="1">
      <c r="B641" s="59"/>
      <c r="C641" s="7"/>
      <c r="D641" s="3"/>
      <c r="E641" s="59"/>
      <c r="F641" s="3"/>
      <c r="G641" s="3"/>
    </row>
    <row r="642" ht="15.75" customHeight="1">
      <c r="B642" s="59"/>
      <c r="C642" s="7"/>
      <c r="D642" s="3"/>
      <c r="E642" s="59"/>
      <c r="F642" s="3"/>
      <c r="G642" s="3"/>
    </row>
    <row r="643" ht="15.75" customHeight="1">
      <c r="B643" s="59"/>
      <c r="C643" s="7"/>
      <c r="D643" s="3"/>
      <c r="E643" s="59"/>
      <c r="F643" s="3"/>
      <c r="G643" s="3"/>
    </row>
    <row r="644" ht="15.75" customHeight="1">
      <c r="B644" s="59"/>
      <c r="C644" s="7"/>
      <c r="D644" s="3"/>
      <c r="E644" s="59"/>
      <c r="F644" s="3"/>
      <c r="G644" s="3"/>
    </row>
    <row r="645" ht="15.75" customHeight="1">
      <c r="B645" s="59"/>
      <c r="C645" s="7"/>
      <c r="D645" s="3"/>
      <c r="E645" s="59"/>
      <c r="F645" s="3"/>
      <c r="G645" s="3"/>
    </row>
    <row r="646" ht="15.75" customHeight="1">
      <c r="B646" s="59"/>
      <c r="C646" s="7"/>
      <c r="D646" s="3"/>
      <c r="E646" s="59"/>
      <c r="F646" s="3"/>
      <c r="G646" s="3"/>
    </row>
    <row r="647" ht="15.75" customHeight="1">
      <c r="B647" s="59"/>
      <c r="C647" s="7"/>
      <c r="D647" s="3"/>
      <c r="E647" s="59"/>
      <c r="F647" s="3"/>
      <c r="G647" s="3"/>
    </row>
    <row r="648" ht="15.75" customHeight="1">
      <c r="B648" s="59"/>
      <c r="C648" s="7"/>
      <c r="D648" s="3"/>
      <c r="E648" s="59"/>
      <c r="F648" s="3"/>
      <c r="G648" s="3"/>
    </row>
    <row r="649" ht="15.75" customHeight="1">
      <c r="B649" s="59"/>
      <c r="C649" s="7"/>
      <c r="D649" s="3"/>
      <c r="E649" s="59"/>
      <c r="F649" s="3"/>
      <c r="G649" s="3"/>
    </row>
    <row r="650" ht="15.75" customHeight="1">
      <c r="B650" s="59"/>
      <c r="C650" s="7"/>
      <c r="D650" s="3"/>
      <c r="E650" s="59"/>
      <c r="F650" s="3"/>
      <c r="G650" s="3"/>
    </row>
    <row r="651" ht="15.75" customHeight="1">
      <c r="B651" s="59"/>
      <c r="C651" s="7"/>
      <c r="D651" s="3"/>
      <c r="E651" s="59"/>
      <c r="F651" s="3"/>
      <c r="G651" s="3"/>
    </row>
    <row r="652" ht="15.75" customHeight="1">
      <c r="B652" s="59"/>
      <c r="C652" s="7"/>
      <c r="D652" s="3"/>
      <c r="E652" s="59"/>
      <c r="F652" s="3"/>
      <c r="G652" s="3"/>
    </row>
    <row r="653" ht="15.75" customHeight="1">
      <c r="B653" s="59"/>
      <c r="C653" s="7"/>
      <c r="D653" s="3"/>
      <c r="E653" s="59"/>
      <c r="F653" s="3"/>
      <c r="G653" s="3"/>
    </row>
    <row r="654" ht="15.75" customHeight="1">
      <c r="B654" s="59"/>
      <c r="C654" s="7"/>
      <c r="D654" s="3"/>
      <c r="E654" s="59"/>
      <c r="F654" s="3"/>
      <c r="G654" s="3"/>
    </row>
    <row r="655" ht="15.75" customHeight="1">
      <c r="B655" s="59"/>
      <c r="C655" s="7"/>
      <c r="D655" s="3"/>
      <c r="E655" s="59"/>
      <c r="F655" s="3"/>
      <c r="G655" s="3"/>
    </row>
    <row r="656" ht="15.75" customHeight="1">
      <c r="B656" s="59"/>
      <c r="C656" s="7"/>
      <c r="D656" s="3"/>
      <c r="E656" s="59"/>
      <c r="F656" s="3"/>
      <c r="G656" s="3"/>
    </row>
    <row r="657" ht="15.75" customHeight="1">
      <c r="B657" s="59"/>
      <c r="C657" s="7"/>
      <c r="D657" s="3"/>
      <c r="E657" s="59"/>
      <c r="F657" s="3"/>
      <c r="G657" s="3"/>
    </row>
    <row r="658" ht="15.75" customHeight="1">
      <c r="B658" s="59"/>
      <c r="C658" s="7"/>
      <c r="D658" s="3"/>
      <c r="E658" s="59"/>
      <c r="F658" s="3"/>
      <c r="G658" s="3"/>
    </row>
    <row r="659" ht="15.75" customHeight="1">
      <c r="B659" s="59"/>
      <c r="C659" s="7"/>
      <c r="D659" s="3"/>
      <c r="E659" s="59"/>
      <c r="F659" s="3"/>
      <c r="G659" s="3"/>
    </row>
    <row r="660" ht="15.75" customHeight="1">
      <c r="B660" s="59"/>
      <c r="C660" s="7"/>
      <c r="D660" s="3"/>
      <c r="E660" s="59"/>
      <c r="F660" s="3"/>
      <c r="G660" s="3"/>
    </row>
    <row r="661" ht="15.75" customHeight="1">
      <c r="B661" s="59"/>
      <c r="C661" s="7"/>
      <c r="D661" s="3"/>
      <c r="E661" s="59"/>
      <c r="F661" s="3"/>
      <c r="G661" s="3"/>
    </row>
    <row r="662" ht="15.75" customHeight="1">
      <c r="B662" s="59"/>
      <c r="C662" s="7"/>
      <c r="D662" s="3"/>
      <c r="E662" s="59"/>
      <c r="F662" s="3"/>
      <c r="G662" s="3"/>
    </row>
    <row r="663" ht="15.75" customHeight="1">
      <c r="B663" s="59"/>
      <c r="C663" s="7"/>
      <c r="D663" s="3"/>
      <c r="E663" s="59"/>
      <c r="F663" s="3"/>
      <c r="G663" s="3"/>
    </row>
    <row r="664" ht="15.75" customHeight="1">
      <c r="B664" s="59"/>
      <c r="C664" s="7"/>
      <c r="D664" s="3"/>
      <c r="E664" s="59"/>
      <c r="F664" s="3"/>
      <c r="G664" s="3"/>
    </row>
    <row r="665" ht="15.75" customHeight="1">
      <c r="B665" s="59"/>
      <c r="C665" s="7"/>
      <c r="D665" s="3"/>
      <c r="E665" s="59"/>
      <c r="F665" s="3"/>
      <c r="G665" s="3"/>
    </row>
    <row r="666" ht="15.75" customHeight="1">
      <c r="B666" s="59"/>
      <c r="C666" s="7"/>
      <c r="D666" s="3"/>
      <c r="E666" s="59"/>
      <c r="F666" s="3"/>
      <c r="G666" s="3"/>
    </row>
    <row r="667" ht="15.75" customHeight="1">
      <c r="B667" s="59"/>
      <c r="C667" s="7"/>
      <c r="D667" s="3"/>
      <c r="E667" s="59"/>
      <c r="F667" s="3"/>
      <c r="G667" s="3"/>
    </row>
    <row r="668" ht="15.75" customHeight="1">
      <c r="B668" s="59"/>
      <c r="C668" s="7"/>
      <c r="D668" s="3"/>
      <c r="E668" s="59"/>
      <c r="F668" s="3"/>
      <c r="G668" s="3"/>
    </row>
    <row r="669" ht="15.75" customHeight="1">
      <c r="B669" s="59"/>
      <c r="C669" s="7"/>
      <c r="D669" s="3"/>
      <c r="E669" s="59"/>
      <c r="F669" s="3"/>
      <c r="G669" s="3"/>
    </row>
    <row r="670" ht="15.75" customHeight="1">
      <c r="B670" s="59"/>
      <c r="C670" s="7"/>
      <c r="D670" s="3"/>
      <c r="E670" s="59"/>
      <c r="F670" s="3"/>
      <c r="G670" s="3"/>
    </row>
    <row r="671" ht="15.75" customHeight="1">
      <c r="B671" s="59"/>
      <c r="C671" s="7"/>
      <c r="D671" s="3"/>
      <c r="E671" s="59"/>
      <c r="F671" s="3"/>
      <c r="G671" s="3"/>
    </row>
    <row r="672" ht="15.75" customHeight="1">
      <c r="B672" s="59"/>
      <c r="C672" s="7"/>
      <c r="D672" s="3"/>
      <c r="E672" s="59"/>
      <c r="F672" s="3"/>
      <c r="G672" s="3"/>
    </row>
    <row r="673" ht="15.75" customHeight="1">
      <c r="B673" s="59"/>
      <c r="C673" s="7"/>
      <c r="D673" s="3"/>
      <c r="E673" s="59"/>
      <c r="F673" s="3"/>
      <c r="G673" s="3"/>
    </row>
    <row r="674" ht="15.75" customHeight="1">
      <c r="B674" s="59"/>
      <c r="C674" s="7"/>
      <c r="D674" s="3"/>
      <c r="E674" s="59"/>
      <c r="F674" s="3"/>
      <c r="G674" s="3"/>
    </row>
    <row r="675" ht="15.75" customHeight="1">
      <c r="B675" s="59"/>
      <c r="C675" s="7"/>
      <c r="D675" s="3"/>
      <c r="E675" s="59"/>
      <c r="F675" s="3"/>
      <c r="G675" s="3"/>
    </row>
    <row r="676" ht="15.75" customHeight="1">
      <c r="B676" s="59"/>
      <c r="C676" s="7"/>
      <c r="D676" s="3"/>
      <c r="E676" s="59"/>
      <c r="F676" s="3"/>
      <c r="G676" s="3"/>
    </row>
    <row r="677" ht="15.75" customHeight="1">
      <c r="B677" s="59"/>
      <c r="C677" s="7"/>
      <c r="D677" s="3"/>
      <c r="E677" s="59"/>
      <c r="F677" s="3"/>
      <c r="G677" s="3"/>
    </row>
    <row r="678" ht="15.75" customHeight="1">
      <c r="B678" s="59"/>
      <c r="C678" s="7"/>
      <c r="D678" s="3"/>
      <c r="E678" s="59"/>
      <c r="F678" s="3"/>
      <c r="G678" s="3"/>
    </row>
    <row r="679" ht="15.75" customHeight="1">
      <c r="B679" s="59"/>
      <c r="C679" s="7"/>
      <c r="D679" s="3"/>
      <c r="E679" s="59"/>
      <c r="F679" s="3"/>
      <c r="G679" s="3"/>
    </row>
    <row r="680" ht="15.75" customHeight="1">
      <c r="B680" s="59"/>
      <c r="C680" s="7"/>
      <c r="D680" s="3"/>
      <c r="E680" s="59"/>
      <c r="F680" s="3"/>
      <c r="G680" s="3"/>
    </row>
    <row r="681" ht="15.75" customHeight="1">
      <c r="B681" s="59"/>
      <c r="C681" s="7"/>
      <c r="D681" s="3"/>
      <c r="E681" s="59"/>
      <c r="F681" s="3"/>
      <c r="G681" s="3"/>
    </row>
    <row r="682" ht="15.75" customHeight="1">
      <c r="B682" s="59"/>
      <c r="C682" s="7"/>
      <c r="D682" s="3"/>
      <c r="E682" s="59"/>
      <c r="F682" s="3"/>
      <c r="G682" s="3"/>
    </row>
    <row r="683" ht="15.75" customHeight="1">
      <c r="B683" s="59"/>
      <c r="C683" s="7"/>
      <c r="D683" s="3"/>
      <c r="E683" s="59"/>
      <c r="F683" s="3"/>
      <c r="G683" s="3"/>
    </row>
    <row r="684" ht="15.75" customHeight="1">
      <c r="B684" s="59"/>
      <c r="C684" s="7"/>
      <c r="D684" s="3"/>
      <c r="E684" s="59"/>
      <c r="F684" s="3"/>
      <c r="G684" s="3"/>
    </row>
    <row r="685" ht="15.75" customHeight="1">
      <c r="B685" s="59"/>
      <c r="C685" s="7"/>
      <c r="D685" s="3"/>
      <c r="E685" s="59"/>
      <c r="F685" s="3"/>
      <c r="G685" s="3"/>
    </row>
    <row r="686" ht="15.75" customHeight="1">
      <c r="B686" s="59"/>
      <c r="C686" s="7"/>
      <c r="D686" s="3"/>
      <c r="E686" s="59"/>
      <c r="F686" s="3"/>
      <c r="G686" s="3"/>
    </row>
    <row r="687" ht="15.75" customHeight="1">
      <c r="B687" s="59"/>
      <c r="C687" s="7"/>
      <c r="D687" s="3"/>
      <c r="E687" s="59"/>
      <c r="F687" s="3"/>
      <c r="G687" s="3"/>
    </row>
    <row r="688" ht="15.75" customHeight="1">
      <c r="B688" s="59"/>
      <c r="C688" s="7"/>
      <c r="D688" s="3"/>
      <c r="E688" s="59"/>
      <c r="F688" s="3"/>
      <c r="G688" s="3"/>
    </row>
    <row r="689" ht="15.75" customHeight="1">
      <c r="B689" s="59"/>
      <c r="C689" s="7"/>
      <c r="D689" s="3"/>
      <c r="E689" s="59"/>
      <c r="F689" s="3"/>
      <c r="G689" s="3"/>
    </row>
    <row r="690" ht="15.75" customHeight="1">
      <c r="B690" s="59"/>
      <c r="C690" s="7"/>
      <c r="D690" s="3"/>
      <c r="E690" s="59"/>
      <c r="F690" s="3"/>
      <c r="G690" s="3"/>
    </row>
    <row r="691" ht="15.75" customHeight="1">
      <c r="B691" s="59"/>
      <c r="C691" s="7"/>
      <c r="D691" s="3"/>
      <c r="E691" s="59"/>
      <c r="F691" s="3"/>
      <c r="G691" s="3"/>
    </row>
    <row r="692" ht="15.75" customHeight="1">
      <c r="B692" s="59"/>
      <c r="C692" s="7"/>
      <c r="D692" s="3"/>
      <c r="E692" s="59"/>
      <c r="F692" s="3"/>
      <c r="G692" s="3"/>
    </row>
    <row r="693" ht="15.75" customHeight="1">
      <c r="B693" s="59"/>
      <c r="C693" s="7"/>
      <c r="D693" s="3"/>
      <c r="E693" s="59"/>
      <c r="F693" s="3"/>
      <c r="G693" s="3"/>
    </row>
    <row r="694" ht="15.75" customHeight="1">
      <c r="B694" s="59"/>
      <c r="C694" s="7"/>
      <c r="D694" s="3"/>
      <c r="E694" s="59"/>
      <c r="F694" s="3"/>
      <c r="G694" s="3"/>
    </row>
    <row r="695" ht="15.75" customHeight="1">
      <c r="B695" s="59"/>
      <c r="C695" s="7"/>
      <c r="D695" s="3"/>
      <c r="E695" s="59"/>
      <c r="F695" s="3"/>
      <c r="G695" s="3"/>
    </row>
    <row r="696" ht="15.75" customHeight="1">
      <c r="B696" s="59"/>
      <c r="C696" s="7"/>
      <c r="D696" s="3"/>
      <c r="E696" s="59"/>
      <c r="F696" s="3"/>
      <c r="G696" s="3"/>
    </row>
    <row r="697" ht="15.75" customHeight="1">
      <c r="B697" s="59"/>
      <c r="C697" s="7"/>
      <c r="D697" s="3"/>
      <c r="E697" s="59"/>
      <c r="F697" s="3"/>
      <c r="G697" s="3"/>
    </row>
    <row r="698" ht="15.75" customHeight="1">
      <c r="B698" s="59"/>
      <c r="C698" s="7"/>
      <c r="D698" s="3"/>
      <c r="E698" s="59"/>
      <c r="F698" s="3"/>
      <c r="G698" s="3"/>
    </row>
    <row r="699" ht="15.75" customHeight="1">
      <c r="B699" s="59"/>
      <c r="C699" s="7"/>
      <c r="D699" s="3"/>
      <c r="E699" s="59"/>
      <c r="F699" s="3"/>
      <c r="G699" s="3"/>
    </row>
    <row r="700" ht="15.75" customHeight="1">
      <c r="B700" s="59"/>
      <c r="C700" s="7"/>
      <c r="D700" s="3"/>
      <c r="E700" s="59"/>
      <c r="F700" s="3"/>
      <c r="G700" s="3"/>
    </row>
    <row r="701" ht="15.75" customHeight="1">
      <c r="B701" s="59"/>
      <c r="C701" s="7"/>
      <c r="D701" s="3"/>
      <c r="E701" s="59"/>
      <c r="F701" s="3"/>
      <c r="G701" s="3"/>
    </row>
    <row r="702" ht="15.75" customHeight="1">
      <c r="B702" s="59"/>
      <c r="C702" s="7"/>
      <c r="D702" s="3"/>
      <c r="E702" s="59"/>
      <c r="F702" s="3"/>
      <c r="G702" s="3"/>
    </row>
    <row r="703" ht="15.75" customHeight="1">
      <c r="B703" s="59"/>
      <c r="C703" s="7"/>
      <c r="D703" s="3"/>
      <c r="E703" s="59"/>
      <c r="F703" s="3"/>
      <c r="G703" s="3"/>
    </row>
    <row r="704" ht="15.75" customHeight="1">
      <c r="B704" s="59"/>
      <c r="C704" s="7"/>
      <c r="D704" s="3"/>
      <c r="E704" s="59"/>
      <c r="F704" s="3"/>
      <c r="G704" s="3"/>
    </row>
    <row r="705" ht="15.75" customHeight="1">
      <c r="B705" s="59"/>
      <c r="C705" s="7"/>
      <c r="D705" s="3"/>
      <c r="E705" s="59"/>
      <c r="F705" s="3"/>
      <c r="G705" s="3"/>
    </row>
    <row r="706" ht="15.75" customHeight="1">
      <c r="B706" s="59"/>
      <c r="C706" s="7"/>
      <c r="D706" s="3"/>
      <c r="E706" s="59"/>
      <c r="F706" s="3"/>
      <c r="G706" s="3"/>
    </row>
    <row r="707" ht="15.75" customHeight="1">
      <c r="B707" s="59"/>
      <c r="C707" s="7"/>
      <c r="D707" s="3"/>
      <c r="E707" s="59"/>
      <c r="F707" s="3"/>
      <c r="G707" s="3"/>
    </row>
    <row r="708" ht="15.75" customHeight="1">
      <c r="B708" s="59"/>
      <c r="C708" s="7"/>
      <c r="D708" s="3"/>
      <c r="E708" s="59"/>
      <c r="F708" s="3"/>
      <c r="G708" s="3"/>
    </row>
    <row r="709" ht="15.75" customHeight="1">
      <c r="B709" s="59"/>
      <c r="C709" s="7"/>
      <c r="D709" s="3"/>
      <c r="E709" s="59"/>
      <c r="F709" s="3"/>
      <c r="G709" s="3"/>
    </row>
    <row r="710" ht="15.75" customHeight="1">
      <c r="B710" s="59"/>
      <c r="C710" s="7"/>
      <c r="D710" s="3"/>
      <c r="E710" s="59"/>
      <c r="F710" s="3"/>
      <c r="G710" s="3"/>
    </row>
    <row r="711" ht="15.75" customHeight="1">
      <c r="B711" s="59"/>
      <c r="C711" s="7"/>
      <c r="D711" s="3"/>
      <c r="E711" s="59"/>
      <c r="F711" s="3"/>
      <c r="G711" s="3"/>
    </row>
    <row r="712" ht="15.75" customHeight="1">
      <c r="B712" s="59"/>
      <c r="C712" s="7"/>
      <c r="D712" s="3"/>
      <c r="E712" s="59"/>
      <c r="F712" s="3"/>
      <c r="G712" s="3"/>
    </row>
    <row r="713" ht="15.75" customHeight="1">
      <c r="B713" s="59"/>
      <c r="C713" s="7"/>
      <c r="D713" s="3"/>
      <c r="E713" s="59"/>
      <c r="F713" s="3"/>
      <c r="G713" s="3"/>
    </row>
    <row r="714" ht="15.75" customHeight="1">
      <c r="B714" s="59"/>
      <c r="C714" s="7"/>
      <c r="D714" s="3"/>
      <c r="E714" s="59"/>
      <c r="F714" s="3"/>
      <c r="G714" s="3"/>
    </row>
    <row r="715" ht="15.75" customHeight="1">
      <c r="B715" s="59"/>
      <c r="C715" s="7"/>
      <c r="D715" s="3"/>
      <c r="E715" s="59"/>
      <c r="F715" s="3"/>
      <c r="G715" s="3"/>
    </row>
    <row r="716" ht="15.75" customHeight="1">
      <c r="B716" s="59"/>
      <c r="C716" s="7"/>
      <c r="D716" s="3"/>
      <c r="E716" s="59"/>
      <c r="F716" s="3"/>
      <c r="G716" s="3"/>
    </row>
    <row r="717" ht="15.75" customHeight="1">
      <c r="B717" s="59"/>
      <c r="C717" s="7"/>
      <c r="D717" s="3"/>
      <c r="E717" s="59"/>
      <c r="F717" s="3"/>
      <c r="G717" s="3"/>
    </row>
    <row r="718" ht="15.75" customHeight="1">
      <c r="B718" s="59"/>
      <c r="C718" s="7"/>
      <c r="D718" s="3"/>
      <c r="E718" s="59"/>
      <c r="F718" s="3"/>
      <c r="G718" s="3"/>
    </row>
    <row r="719" ht="15.75" customHeight="1">
      <c r="B719" s="59"/>
      <c r="C719" s="7"/>
      <c r="D719" s="3"/>
      <c r="E719" s="59"/>
      <c r="F719" s="3"/>
      <c r="G719" s="3"/>
    </row>
    <row r="720" ht="15.75" customHeight="1">
      <c r="B720" s="59"/>
      <c r="C720" s="7"/>
      <c r="D720" s="3"/>
      <c r="E720" s="59"/>
      <c r="F720" s="3"/>
      <c r="G720" s="3"/>
    </row>
    <row r="721" ht="15.75" customHeight="1">
      <c r="B721" s="59"/>
      <c r="C721" s="7"/>
      <c r="D721" s="3"/>
      <c r="E721" s="59"/>
      <c r="F721" s="3"/>
      <c r="G721" s="3"/>
    </row>
    <row r="722" ht="15.75" customHeight="1">
      <c r="B722" s="59"/>
      <c r="C722" s="7"/>
      <c r="D722" s="3"/>
      <c r="E722" s="59"/>
      <c r="F722" s="3"/>
      <c r="G722" s="3"/>
    </row>
    <row r="723" ht="15.75" customHeight="1">
      <c r="B723" s="59"/>
      <c r="C723" s="7"/>
      <c r="D723" s="3"/>
      <c r="E723" s="59"/>
      <c r="F723" s="3"/>
      <c r="G723" s="3"/>
    </row>
    <row r="724" ht="15.75" customHeight="1">
      <c r="B724" s="59"/>
      <c r="C724" s="7"/>
      <c r="D724" s="3"/>
      <c r="E724" s="59"/>
      <c r="F724" s="3"/>
      <c r="G724" s="3"/>
    </row>
    <row r="725" ht="15.75" customHeight="1">
      <c r="B725" s="59"/>
      <c r="C725" s="7"/>
      <c r="D725" s="3"/>
      <c r="E725" s="59"/>
      <c r="F725" s="3"/>
      <c r="G725" s="3"/>
    </row>
    <row r="726" ht="15.75" customHeight="1">
      <c r="B726" s="59"/>
      <c r="C726" s="7"/>
      <c r="D726" s="3"/>
      <c r="E726" s="59"/>
      <c r="F726" s="3"/>
      <c r="G726" s="3"/>
    </row>
    <row r="727" ht="15.75" customHeight="1">
      <c r="B727" s="59"/>
      <c r="C727" s="7"/>
      <c r="D727" s="3"/>
      <c r="E727" s="59"/>
      <c r="F727" s="3"/>
      <c r="G727" s="3"/>
    </row>
    <row r="728" ht="15.75" customHeight="1">
      <c r="B728" s="59"/>
      <c r="C728" s="7"/>
      <c r="D728" s="3"/>
      <c r="E728" s="59"/>
      <c r="F728" s="3"/>
      <c r="G728" s="3"/>
    </row>
    <row r="729" ht="15.75" customHeight="1">
      <c r="B729" s="59"/>
      <c r="C729" s="7"/>
      <c r="D729" s="3"/>
      <c r="E729" s="59"/>
      <c r="F729" s="3"/>
      <c r="G729" s="3"/>
    </row>
    <row r="730" ht="15.75" customHeight="1">
      <c r="B730" s="59"/>
      <c r="C730" s="7"/>
      <c r="D730" s="3"/>
      <c r="E730" s="59"/>
      <c r="F730" s="3"/>
      <c r="G730" s="3"/>
    </row>
    <row r="731" ht="15.75" customHeight="1">
      <c r="B731" s="59"/>
      <c r="C731" s="7"/>
      <c r="D731" s="3"/>
      <c r="E731" s="59"/>
      <c r="F731" s="3"/>
      <c r="G731" s="3"/>
    </row>
    <row r="732" ht="15.75" customHeight="1">
      <c r="B732" s="59"/>
      <c r="C732" s="7"/>
      <c r="D732" s="3"/>
      <c r="E732" s="59"/>
      <c r="F732" s="3"/>
      <c r="G732" s="3"/>
    </row>
    <row r="733" ht="15.75" customHeight="1">
      <c r="B733" s="59"/>
      <c r="C733" s="7"/>
      <c r="D733" s="3"/>
      <c r="E733" s="59"/>
      <c r="F733" s="3"/>
      <c r="G733" s="3"/>
    </row>
    <row r="734" ht="15.75" customHeight="1">
      <c r="B734" s="59"/>
      <c r="C734" s="7"/>
      <c r="D734" s="3"/>
      <c r="E734" s="59"/>
      <c r="F734" s="3"/>
      <c r="G734" s="3"/>
    </row>
    <row r="735" ht="15.75" customHeight="1">
      <c r="B735" s="59"/>
      <c r="C735" s="7"/>
      <c r="D735" s="3"/>
      <c r="E735" s="59"/>
      <c r="F735" s="3"/>
      <c r="G735" s="3"/>
    </row>
    <row r="736" ht="15.75" customHeight="1">
      <c r="B736" s="59"/>
      <c r="C736" s="7"/>
      <c r="D736" s="3"/>
      <c r="E736" s="59"/>
      <c r="F736" s="3"/>
      <c r="G736" s="3"/>
    </row>
    <row r="737" ht="15.75" customHeight="1">
      <c r="B737" s="59"/>
      <c r="C737" s="7"/>
      <c r="D737" s="3"/>
      <c r="E737" s="59"/>
      <c r="F737" s="3"/>
      <c r="G737" s="3"/>
    </row>
    <row r="738" ht="15.75" customHeight="1">
      <c r="B738" s="59"/>
      <c r="C738" s="7"/>
      <c r="D738" s="3"/>
      <c r="E738" s="59"/>
      <c r="F738" s="3"/>
      <c r="G738" s="3"/>
    </row>
    <row r="739" ht="15.75" customHeight="1">
      <c r="B739" s="59"/>
      <c r="C739" s="7"/>
      <c r="D739" s="3"/>
      <c r="E739" s="59"/>
      <c r="F739" s="3"/>
      <c r="G739" s="3"/>
    </row>
    <row r="740" ht="15.75" customHeight="1">
      <c r="B740" s="59"/>
      <c r="C740" s="7"/>
      <c r="D740" s="3"/>
      <c r="E740" s="59"/>
      <c r="F740" s="3"/>
      <c r="G740" s="3"/>
    </row>
    <row r="741" ht="15.75" customHeight="1">
      <c r="B741" s="59"/>
      <c r="C741" s="7"/>
      <c r="D741" s="3"/>
      <c r="E741" s="59"/>
      <c r="F741" s="3"/>
      <c r="G741" s="3"/>
    </row>
    <row r="742" ht="15.75" customHeight="1">
      <c r="B742" s="59"/>
      <c r="C742" s="7"/>
      <c r="D742" s="3"/>
      <c r="E742" s="59"/>
      <c r="F742" s="3"/>
      <c r="G742" s="3"/>
    </row>
    <row r="743" ht="15.75" customHeight="1">
      <c r="B743" s="59"/>
      <c r="C743" s="7"/>
      <c r="D743" s="3"/>
      <c r="E743" s="59"/>
      <c r="F743" s="3"/>
      <c r="G743" s="3"/>
    </row>
    <row r="744" ht="15.75" customHeight="1">
      <c r="B744" s="59"/>
      <c r="C744" s="7"/>
      <c r="D744" s="3"/>
      <c r="E744" s="59"/>
      <c r="F744" s="3"/>
      <c r="G744" s="3"/>
    </row>
    <row r="745" ht="15.75" customHeight="1">
      <c r="B745" s="59"/>
      <c r="C745" s="7"/>
      <c r="D745" s="3"/>
      <c r="E745" s="59"/>
      <c r="F745" s="3"/>
      <c r="G745" s="3"/>
    </row>
    <row r="746" ht="15.75" customHeight="1">
      <c r="B746" s="59"/>
      <c r="C746" s="7"/>
      <c r="D746" s="3"/>
      <c r="E746" s="59"/>
      <c r="F746" s="3"/>
      <c r="G746" s="3"/>
    </row>
    <row r="747" ht="15.75" customHeight="1">
      <c r="B747" s="59"/>
      <c r="C747" s="7"/>
      <c r="D747" s="3"/>
      <c r="E747" s="59"/>
      <c r="F747" s="3"/>
      <c r="G747" s="3"/>
    </row>
    <row r="748" ht="15.75" customHeight="1">
      <c r="B748" s="59"/>
      <c r="C748" s="7"/>
      <c r="D748" s="3"/>
      <c r="E748" s="59"/>
      <c r="F748" s="3"/>
      <c r="G748" s="3"/>
    </row>
    <row r="749" ht="15.75" customHeight="1">
      <c r="B749" s="59"/>
      <c r="C749" s="7"/>
      <c r="D749" s="3"/>
      <c r="E749" s="59"/>
      <c r="F749" s="3"/>
      <c r="G749" s="3"/>
    </row>
    <row r="750" ht="15.75" customHeight="1">
      <c r="B750" s="59"/>
      <c r="C750" s="7"/>
      <c r="D750" s="3"/>
      <c r="E750" s="59"/>
      <c r="F750" s="3"/>
      <c r="G750" s="3"/>
    </row>
    <row r="751" ht="15.75" customHeight="1">
      <c r="B751" s="59"/>
      <c r="C751" s="7"/>
      <c r="D751" s="3"/>
      <c r="E751" s="59"/>
      <c r="F751" s="3"/>
      <c r="G751" s="3"/>
    </row>
    <row r="752" ht="15.75" customHeight="1">
      <c r="B752" s="59"/>
      <c r="C752" s="7"/>
      <c r="D752" s="3"/>
      <c r="E752" s="59"/>
      <c r="F752" s="3"/>
      <c r="G752" s="3"/>
    </row>
    <row r="753" ht="15.75" customHeight="1">
      <c r="B753" s="59"/>
      <c r="C753" s="7"/>
      <c r="D753" s="3"/>
      <c r="E753" s="59"/>
      <c r="F753" s="3"/>
      <c r="G753" s="3"/>
    </row>
    <row r="754" ht="15.75" customHeight="1">
      <c r="B754" s="59"/>
      <c r="C754" s="7"/>
      <c r="D754" s="3"/>
      <c r="E754" s="59"/>
      <c r="F754" s="3"/>
      <c r="G754" s="3"/>
    </row>
    <row r="755" ht="15.75" customHeight="1">
      <c r="B755" s="59"/>
      <c r="C755" s="7"/>
      <c r="D755" s="3"/>
      <c r="E755" s="59"/>
      <c r="F755" s="3"/>
      <c r="G755" s="3"/>
    </row>
    <row r="756" ht="15.75" customHeight="1">
      <c r="B756" s="59"/>
      <c r="C756" s="7"/>
      <c r="D756" s="3"/>
      <c r="E756" s="59"/>
      <c r="F756" s="3"/>
      <c r="G756" s="3"/>
    </row>
    <row r="757" ht="15.75" customHeight="1">
      <c r="B757" s="59"/>
      <c r="C757" s="7"/>
      <c r="D757" s="3"/>
      <c r="E757" s="59"/>
      <c r="F757" s="3"/>
      <c r="G757" s="3"/>
    </row>
    <row r="758" ht="15.75" customHeight="1">
      <c r="B758" s="59"/>
      <c r="C758" s="7"/>
      <c r="D758" s="3"/>
      <c r="E758" s="59"/>
      <c r="F758" s="3"/>
      <c r="G758" s="3"/>
    </row>
    <row r="759" ht="15.75" customHeight="1">
      <c r="B759" s="59"/>
      <c r="C759" s="7"/>
      <c r="D759" s="3"/>
      <c r="E759" s="59"/>
      <c r="F759" s="3"/>
      <c r="G759" s="3"/>
    </row>
    <row r="760" ht="15.75" customHeight="1">
      <c r="B760" s="59"/>
      <c r="C760" s="7"/>
      <c r="D760" s="3"/>
      <c r="E760" s="59"/>
      <c r="F760" s="3"/>
      <c r="G760" s="3"/>
    </row>
    <row r="761" ht="15.75" customHeight="1">
      <c r="B761" s="59"/>
      <c r="C761" s="7"/>
      <c r="D761" s="3"/>
      <c r="E761" s="59"/>
      <c r="F761" s="3"/>
      <c r="G761" s="3"/>
    </row>
    <row r="762" ht="15.75" customHeight="1">
      <c r="B762" s="59"/>
      <c r="C762" s="7"/>
      <c r="D762" s="3"/>
      <c r="E762" s="59"/>
      <c r="F762" s="3"/>
      <c r="G762" s="3"/>
    </row>
    <row r="763" ht="15.75" customHeight="1">
      <c r="B763" s="59"/>
      <c r="C763" s="7"/>
      <c r="D763" s="3"/>
      <c r="E763" s="59"/>
      <c r="F763" s="3"/>
      <c r="G763" s="3"/>
    </row>
    <row r="764" ht="15.75" customHeight="1">
      <c r="B764" s="59"/>
      <c r="C764" s="7"/>
      <c r="D764" s="3"/>
      <c r="E764" s="59"/>
      <c r="F764" s="3"/>
      <c r="G764" s="3"/>
    </row>
    <row r="765" ht="15.75" customHeight="1">
      <c r="B765" s="59"/>
      <c r="C765" s="7"/>
      <c r="D765" s="3"/>
      <c r="E765" s="59"/>
      <c r="F765" s="3"/>
      <c r="G765" s="3"/>
    </row>
    <row r="766" ht="15.75" customHeight="1">
      <c r="B766" s="59"/>
      <c r="C766" s="7"/>
      <c r="D766" s="3"/>
      <c r="E766" s="59"/>
      <c r="F766" s="3"/>
      <c r="G766" s="3"/>
    </row>
    <row r="767" ht="15.75" customHeight="1">
      <c r="B767" s="59"/>
      <c r="C767" s="7"/>
      <c r="D767" s="3"/>
      <c r="E767" s="59"/>
      <c r="F767" s="3"/>
      <c r="G767" s="3"/>
    </row>
    <row r="768" ht="15.75" customHeight="1">
      <c r="B768" s="59"/>
      <c r="C768" s="7"/>
      <c r="D768" s="3"/>
      <c r="E768" s="59"/>
      <c r="F768" s="3"/>
      <c r="G768" s="3"/>
    </row>
    <row r="769" ht="15.75" customHeight="1">
      <c r="B769" s="59"/>
      <c r="C769" s="7"/>
      <c r="D769" s="3"/>
      <c r="E769" s="59"/>
      <c r="F769" s="3"/>
      <c r="G769" s="3"/>
    </row>
    <row r="770" ht="15.75" customHeight="1">
      <c r="B770" s="59"/>
      <c r="C770" s="7"/>
      <c r="D770" s="3"/>
      <c r="E770" s="59"/>
      <c r="F770" s="3"/>
      <c r="G770" s="3"/>
    </row>
    <row r="771" ht="15.75" customHeight="1">
      <c r="B771" s="59"/>
      <c r="C771" s="7"/>
      <c r="D771" s="3"/>
      <c r="E771" s="59"/>
      <c r="F771" s="3"/>
      <c r="G771" s="3"/>
    </row>
    <row r="772" ht="15.75" customHeight="1">
      <c r="B772" s="59"/>
      <c r="C772" s="7"/>
      <c r="D772" s="3"/>
      <c r="E772" s="59"/>
      <c r="F772" s="3"/>
      <c r="G772" s="3"/>
    </row>
    <row r="773" ht="15.75" customHeight="1">
      <c r="B773" s="59"/>
      <c r="C773" s="7"/>
      <c r="D773" s="3"/>
      <c r="E773" s="59"/>
      <c r="F773" s="3"/>
      <c r="G773" s="3"/>
    </row>
    <row r="774" ht="15.75" customHeight="1">
      <c r="B774" s="59"/>
      <c r="C774" s="7"/>
      <c r="D774" s="3"/>
      <c r="E774" s="59"/>
      <c r="F774" s="3"/>
      <c r="G774" s="3"/>
    </row>
    <row r="775" ht="15.75" customHeight="1">
      <c r="B775" s="59"/>
      <c r="C775" s="7"/>
      <c r="D775" s="3"/>
      <c r="E775" s="59"/>
      <c r="F775" s="3"/>
      <c r="G775" s="3"/>
    </row>
    <row r="776" ht="15.75" customHeight="1">
      <c r="B776" s="59"/>
      <c r="C776" s="7"/>
      <c r="D776" s="3"/>
      <c r="E776" s="59"/>
      <c r="F776" s="3"/>
      <c r="G776" s="3"/>
    </row>
    <row r="777" ht="15.75" customHeight="1">
      <c r="B777" s="59"/>
      <c r="C777" s="7"/>
      <c r="D777" s="3"/>
      <c r="E777" s="59"/>
      <c r="F777" s="3"/>
      <c r="G777" s="3"/>
    </row>
    <row r="778" ht="15.75" customHeight="1">
      <c r="B778" s="59"/>
      <c r="C778" s="7"/>
      <c r="D778" s="3"/>
      <c r="E778" s="59"/>
      <c r="F778" s="3"/>
      <c r="G778" s="3"/>
    </row>
    <row r="779" ht="15.75" customHeight="1">
      <c r="B779" s="59"/>
      <c r="C779" s="7"/>
      <c r="D779" s="3"/>
      <c r="E779" s="59"/>
      <c r="F779" s="3"/>
      <c r="G779" s="3"/>
    </row>
    <row r="780" ht="15.75" customHeight="1">
      <c r="B780" s="59"/>
      <c r="C780" s="7"/>
      <c r="D780" s="3"/>
      <c r="E780" s="59"/>
      <c r="F780" s="3"/>
      <c r="G780" s="3"/>
    </row>
    <row r="781" ht="15.75" customHeight="1">
      <c r="B781" s="59"/>
      <c r="C781" s="7"/>
      <c r="D781" s="3"/>
      <c r="E781" s="59"/>
      <c r="F781" s="3"/>
      <c r="G781" s="3"/>
    </row>
    <row r="782" ht="15.75" customHeight="1">
      <c r="B782" s="59"/>
      <c r="C782" s="7"/>
      <c r="D782" s="3"/>
      <c r="E782" s="59"/>
      <c r="F782" s="3"/>
      <c r="G782" s="3"/>
    </row>
    <row r="783" ht="15.75" customHeight="1">
      <c r="B783" s="59"/>
      <c r="C783" s="7"/>
      <c r="D783" s="3"/>
      <c r="E783" s="59"/>
      <c r="F783" s="3"/>
      <c r="G783" s="3"/>
    </row>
    <row r="784" ht="15.75" customHeight="1">
      <c r="B784" s="59"/>
      <c r="C784" s="7"/>
      <c r="D784" s="3"/>
      <c r="E784" s="59"/>
      <c r="F784" s="3"/>
      <c r="G784" s="3"/>
    </row>
    <row r="785" ht="15.75" customHeight="1">
      <c r="B785" s="59"/>
      <c r="C785" s="7"/>
      <c r="D785" s="3"/>
      <c r="E785" s="59"/>
      <c r="F785" s="3"/>
      <c r="G785" s="3"/>
    </row>
    <row r="786" ht="15.75" customHeight="1">
      <c r="B786" s="59"/>
      <c r="C786" s="7"/>
      <c r="D786" s="3"/>
      <c r="E786" s="59"/>
      <c r="F786" s="3"/>
      <c r="G786" s="3"/>
    </row>
    <row r="787" ht="15.75" customHeight="1">
      <c r="B787" s="59"/>
      <c r="C787" s="7"/>
      <c r="D787" s="3"/>
      <c r="E787" s="59"/>
      <c r="F787" s="3"/>
      <c r="G787" s="3"/>
    </row>
    <row r="788" ht="15.75" customHeight="1">
      <c r="B788" s="59"/>
      <c r="C788" s="7"/>
      <c r="D788" s="3"/>
      <c r="E788" s="59"/>
      <c r="F788" s="3"/>
      <c r="G788" s="3"/>
    </row>
    <row r="789" ht="15.75" customHeight="1">
      <c r="B789" s="59"/>
      <c r="C789" s="7"/>
      <c r="D789" s="3"/>
      <c r="E789" s="59"/>
      <c r="F789" s="3"/>
      <c r="G789" s="3"/>
    </row>
    <row r="790" ht="15.75" customHeight="1">
      <c r="B790" s="59"/>
      <c r="C790" s="7"/>
      <c r="D790" s="3"/>
      <c r="E790" s="59"/>
      <c r="F790" s="3"/>
      <c r="G790" s="3"/>
    </row>
    <row r="791" ht="15.75" customHeight="1">
      <c r="B791" s="59"/>
      <c r="C791" s="7"/>
      <c r="D791" s="3"/>
      <c r="E791" s="59"/>
      <c r="F791" s="3"/>
      <c r="G791" s="3"/>
    </row>
    <row r="792" ht="15.75" customHeight="1">
      <c r="B792" s="59"/>
      <c r="C792" s="7"/>
      <c r="D792" s="3"/>
      <c r="E792" s="59"/>
      <c r="F792" s="3"/>
      <c r="G792" s="3"/>
    </row>
    <row r="793" ht="15.75" customHeight="1">
      <c r="B793" s="59"/>
      <c r="C793" s="7"/>
      <c r="D793" s="3"/>
      <c r="E793" s="59"/>
      <c r="F793" s="3"/>
      <c r="G793" s="3"/>
    </row>
    <row r="794" ht="15.75" customHeight="1">
      <c r="B794" s="59"/>
      <c r="C794" s="7"/>
      <c r="D794" s="3"/>
      <c r="E794" s="59"/>
      <c r="F794" s="3"/>
      <c r="G794" s="3"/>
    </row>
    <row r="795" ht="15.75" customHeight="1">
      <c r="B795" s="59"/>
      <c r="C795" s="7"/>
      <c r="D795" s="3"/>
      <c r="E795" s="59"/>
      <c r="F795" s="3"/>
      <c r="G795" s="3"/>
    </row>
    <row r="796" ht="15.75" customHeight="1">
      <c r="B796" s="59"/>
      <c r="C796" s="7"/>
      <c r="D796" s="3"/>
      <c r="E796" s="59"/>
      <c r="F796" s="3"/>
      <c r="G796" s="3"/>
    </row>
    <row r="797" ht="15.75" customHeight="1">
      <c r="B797" s="59"/>
      <c r="C797" s="7"/>
      <c r="D797" s="3"/>
      <c r="E797" s="59"/>
      <c r="F797" s="3"/>
      <c r="G797" s="3"/>
    </row>
    <row r="798" ht="15.75" customHeight="1">
      <c r="B798" s="59"/>
      <c r="C798" s="7"/>
      <c r="D798" s="3"/>
      <c r="E798" s="59"/>
      <c r="F798" s="3"/>
      <c r="G798" s="3"/>
    </row>
    <row r="799" ht="15.75" customHeight="1">
      <c r="B799" s="59"/>
      <c r="C799" s="7"/>
      <c r="D799" s="3"/>
      <c r="E799" s="59"/>
      <c r="F799" s="3"/>
      <c r="G799" s="3"/>
    </row>
    <row r="800" ht="15.75" customHeight="1">
      <c r="B800" s="59"/>
      <c r="C800" s="7"/>
      <c r="D800" s="3"/>
      <c r="E800" s="59"/>
      <c r="F800" s="3"/>
      <c r="G800" s="3"/>
    </row>
    <row r="801" ht="15.75" customHeight="1">
      <c r="B801" s="59"/>
      <c r="C801" s="7"/>
      <c r="D801" s="3"/>
      <c r="E801" s="59"/>
      <c r="F801" s="3"/>
      <c r="G801" s="3"/>
    </row>
    <row r="802" ht="15.75" customHeight="1">
      <c r="B802" s="59"/>
      <c r="C802" s="7"/>
      <c r="D802" s="3"/>
      <c r="E802" s="59"/>
      <c r="F802" s="3"/>
      <c r="G802" s="3"/>
    </row>
    <row r="803" ht="15.75" customHeight="1">
      <c r="B803" s="59"/>
      <c r="C803" s="7"/>
      <c r="D803" s="3"/>
      <c r="E803" s="59"/>
      <c r="F803" s="3"/>
      <c r="G803" s="3"/>
    </row>
    <row r="804" ht="15.75" customHeight="1">
      <c r="B804" s="59"/>
      <c r="C804" s="7"/>
      <c r="D804" s="3"/>
      <c r="E804" s="59"/>
      <c r="F804" s="3"/>
      <c r="G804" s="3"/>
    </row>
    <row r="805" ht="15.75" customHeight="1">
      <c r="B805" s="59"/>
      <c r="C805" s="7"/>
      <c r="D805" s="3"/>
      <c r="E805" s="59"/>
      <c r="F805" s="3"/>
      <c r="G805" s="3"/>
    </row>
    <row r="806" ht="15.75" customHeight="1">
      <c r="B806" s="59"/>
      <c r="C806" s="7"/>
      <c r="D806" s="3"/>
      <c r="E806" s="59"/>
      <c r="F806" s="3"/>
      <c r="G806" s="3"/>
    </row>
    <row r="807" ht="15.75" customHeight="1">
      <c r="B807" s="59"/>
      <c r="C807" s="7"/>
      <c r="D807" s="3"/>
      <c r="E807" s="59"/>
      <c r="F807" s="3"/>
      <c r="G807" s="3"/>
    </row>
    <row r="808" ht="15.75" customHeight="1">
      <c r="B808" s="59"/>
      <c r="C808" s="7"/>
      <c r="D808" s="3"/>
      <c r="E808" s="59"/>
      <c r="F808" s="3"/>
      <c r="G808" s="3"/>
    </row>
    <row r="809" ht="15.75" customHeight="1">
      <c r="B809" s="59"/>
      <c r="C809" s="7"/>
      <c r="D809" s="3"/>
      <c r="E809" s="59"/>
      <c r="F809" s="3"/>
      <c r="G809" s="3"/>
    </row>
    <row r="810" ht="15.75" customHeight="1">
      <c r="B810" s="59"/>
      <c r="C810" s="7"/>
      <c r="D810" s="3"/>
      <c r="E810" s="59"/>
      <c r="F810" s="3"/>
      <c r="G810" s="3"/>
    </row>
    <row r="811" ht="15.75" customHeight="1">
      <c r="B811" s="59"/>
      <c r="C811" s="7"/>
      <c r="D811" s="3"/>
      <c r="E811" s="59"/>
      <c r="F811" s="3"/>
      <c r="G811" s="3"/>
    </row>
    <row r="812" ht="15.75" customHeight="1">
      <c r="B812" s="59"/>
      <c r="C812" s="7"/>
      <c r="D812" s="3"/>
      <c r="E812" s="59"/>
      <c r="F812" s="3"/>
      <c r="G812" s="3"/>
    </row>
    <row r="813" ht="15.75" customHeight="1">
      <c r="B813" s="59"/>
      <c r="C813" s="7"/>
      <c r="D813" s="3"/>
      <c r="E813" s="59"/>
      <c r="F813" s="3"/>
      <c r="G813" s="3"/>
    </row>
    <row r="814" ht="15.75" customHeight="1">
      <c r="B814" s="59"/>
      <c r="C814" s="7"/>
      <c r="D814" s="3"/>
      <c r="E814" s="59"/>
      <c r="F814" s="3"/>
      <c r="G814" s="3"/>
    </row>
    <row r="815" ht="15.75" customHeight="1">
      <c r="B815" s="59"/>
      <c r="C815" s="7"/>
      <c r="D815" s="3"/>
      <c r="E815" s="59"/>
      <c r="F815" s="3"/>
      <c r="G815" s="3"/>
    </row>
    <row r="816" ht="15.75" customHeight="1">
      <c r="B816" s="59"/>
      <c r="C816" s="7"/>
      <c r="D816" s="3"/>
      <c r="E816" s="59"/>
      <c r="F816" s="3"/>
      <c r="G816" s="3"/>
    </row>
    <row r="817" ht="15.75" customHeight="1">
      <c r="B817" s="59"/>
      <c r="C817" s="7"/>
      <c r="D817" s="3"/>
      <c r="E817" s="59"/>
      <c r="F817" s="3"/>
      <c r="G817" s="3"/>
    </row>
    <row r="818" ht="15.75" customHeight="1">
      <c r="B818" s="59"/>
      <c r="C818" s="7"/>
      <c r="D818" s="3"/>
      <c r="E818" s="59"/>
      <c r="F818" s="3"/>
      <c r="G818" s="3"/>
    </row>
    <row r="819" ht="15.75" customHeight="1">
      <c r="B819" s="59"/>
      <c r="C819" s="7"/>
      <c r="D819" s="3"/>
      <c r="E819" s="59"/>
      <c r="F819" s="3"/>
      <c r="G819" s="3"/>
    </row>
    <row r="820" ht="15.75" customHeight="1">
      <c r="B820" s="59"/>
      <c r="C820" s="7"/>
      <c r="D820" s="3"/>
      <c r="E820" s="59"/>
      <c r="F820" s="3"/>
      <c r="G820" s="3"/>
    </row>
    <row r="821" ht="15.75" customHeight="1">
      <c r="B821" s="59"/>
      <c r="C821" s="7"/>
      <c r="D821" s="3"/>
      <c r="E821" s="59"/>
      <c r="F821" s="3"/>
      <c r="G821" s="3"/>
    </row>
    <row r="822" ht="15.75" customHeight="1">
      <c r="B822" s="59"/>
      <c r="C822" s="7"/>
      <c r="D822" s="3"/>
      <c r="E822" s="59"/>
      <c r="F822" s="3"/>
      <c r="G822" s="3"/>
    </row>
    <row r="823" ht="15.75" customHeight="1">
      <c r="B823" s="59"/>
      <c r="C823" s="7"/>
      <c r="D823" s="3"/>
      <c r="E823" s="59"/>
      <c r="F823" s="3"/>
      <c r="G823" s="3"/>
    </row>
    <row r="824" ht="15.75" customHeight="1">
      <c r="B824" s="59"/>
      <c r="C824" s="7"/>
      <c r="D824" s="3"/>
      <c r="E824" s="59"/>
      <c r="F824" s="3"/>
      <c r="G824" s="3"/>
    </row>
    <row r="825" ht="15.75" customHeight="1">
      <c r="B825" s="59"/>
      <c r="C825" s="7"/>
      <c r="D825" s="3"/>
      <c r="E825" s="59"/>
      <c r="F825" s="3"/>
      <c r="G825" s="3"/>
    </row>
    <row r="826" ht="15.75" customHeight="1">
      <c r="B826" s="59"/>
      <c r="C826" s="7"/>
      <c r="D826" s="3"/>
      <c r="E826" s="59"/>
      <c r="F826" s="3"/>
      <c r="G826" s="3"/>
    </row>
    <row r="827" ht="15.75" customHeight="1">
      <c r="B827" s="59"/>
      <c r="C827" s="7"/>
      <c r="D827" s="3"/>
      <c r="E827" s="59"/>
      <c r="F827" s="3"/>
      <c r="G827" s="3"/>
    </row>
    <row r="828" ht="15.75" customHeight="1">
      <c r="B828" s="59"/>
      <c r="C828" s="7"/>
      <c r="D828" s="3"/>
      <c r="E828" s="59"/>
      <c r="F828" s="3"/>
      <c r="G828" s="3"/>
    </row>
    <row r="829" ht="15.75" customHeight="1">
      <c r="B829" s="59"/>
      <c r="C829" s="7"/>
      <c r="D829" s="3"/>
      <c r="E829" s="59"/>
      <c r="F829" s="3"/>
      <c r="G829" s="3"/>
    </row>
    <row r="830" ht="15.75" customHeight="1">
      <c r="B830" s="59"/>
      <c r="C830" s="7"/>
      <c r="D830" s="3"/>
      <c r="E830" s="59"/>
      <c r="F830" s="3"/>
      <c r="G830" s="3"/>
    </row>
    <row r="831" ht="15.75" customHeight="1">
      <c r="B831" s="59"/>
      <c r="C831" s="7"/>
      <c r="D831" s="3"/>
      <c r="E831" s="59"/>
      <c r="F831" s="3"/>
      <c r="G831" s="3"/>
    </row>
    <row r="832" ht="15.75" customHeight="1">
      <c r="B832" s="59"/>
      <c r="C832" s="7"/>
      <c r="D832" s="3"/>
      <c r="E832" s="59"/>
      <c r="F832" s="3"/>
      <c r="G832" s="3"/>
    </row>
    <row r="833" ht="15.75" customHeight="1">
      <c r="B833" s="59"/>
      <c r="C833" s="7"/>
      <c r="D833" s="3"/>
      <c r="E833" s="59"/>
      <c r="F833" s="3"/>
      <c r="G833" s="3"/>
    </row>
    <row r="834" ht="15.75" customHeight="1">
      <c r="B834" s="59"/>
      <c r="C834" s="7"/>
      <c r="D834" s="3"/>
      <c r="E834" s="59"/>
      <c r="F834" s="3"/>
      <c r="G834" s="3"/>
    </row>
    <row r="835" ht="15.75" customHeight="1">
      <c r="B835" s="59"/>
      <c r="C835" s="7"/>
      <c r="D835" s="3"/>
      <c r="E835" s="59"/>
      <c r="F835" s="3"/>
      <c r="G835" s="3"/>
    </row>
    <row r="836" ht="15.75" customHeight="1">
      <c r="B836" s="59"/>
      <c r="C836" s="7"/>
      <c r="D836" s="3"/>
      <c r="E836" s="59"/>
      <c r="F836" s="3"/>
      <c r="G836" s="3"/>
    </row>
    <row r="837" ht="15.75" customHeight="1">
      <c r="B837" s="59"/>
      <c r="C837" s="7"/>
      <c r="D837" s="3"/>
      <c r="E837" s="59"/>
      <c r="F837" s="3"/>
      <c r="G837" s="3"/>
    </row>
    <row r="838" ht="15.75" customHeight="1">
      <c r="B838" s="59"/>
      <c r="C838" s="7"/>
      <c r="D838" s="3"/>
      <c r="E838" s="59"/>
      <c r="F838" s="3"/>
      <c r="G838" s="3"/>
    </row>
    <row r="839" ht="15.75" customHeight="1">
      <c r="B839" s="59"/>
      <c r="C839" s="7"/>
      <c r="D839" s="3"/>
      <c r="E839" s="59"/>
      <c r="F839" s="3"/>
      <c r="G839" s="3"/>
    </row>
    <row r="840" ht="15.75" customHeight="1">
      <c r="B840" s="59"/>
      <c r="C840" s="7"/>
      <c r="D840" s="3"/>
      <c r="E840" s="59"/>
      <c r="F840" s="3"/>
      <c r="G840" s="3"/>
    </row>
    <row r="841" ht="15.75" customHeight="1">
      <c r="B841" s="59"/>
      <c r="C841" s="7"/>
      <c r="D841" s="3"/>
      <c r="E841" s="59"/>
      <c r="F841" s="3"/>
      <c r="G841" s="3"/>
    </row>
    <row r="842" ht="15.75" customHeight="1">
      <c r="B842" s="59"/>
      <c r="C842" s="7"/>
      <c r="D842" s="3"/>
      <c r="E842" s="59"/>
      <c r="F842" s="3"/>
      <c r="G842" s="3"/>
    </row>
    <row r="843" ht="15.75" customHeight="1">
      <c r="B843" s="59"/>
      <c r="C843" s="7"/>
      <c r="D843" s="3"/>
      <c r="E843" s="59"/>
      <c r="F843" s="3"/>
      <c r="G843" s="3"/>
    </row>
    <row r="844" ht="15.75" customHeight="1">
      <c r="B844" s="59"/>
      <c r="C844" s="7"/>
      <c r="D844" s="3"/>
      <c r="E844" s="59"/>
      <c r="F844" s="3"/>
      <c r="G844" s="3"/>
    </row>
    <row r="845" ht="15.75" customHeight="1">
      <c r="B845" s="59"/>
      <c r="C845" s="7"/>
      <c r="D845" s="3"/>
      <c r="E845" s="59"/>
      <c r="F845" s="3"/>
      <c r="G845" s="3"/>
    </row>
    <row r="846" ht="15.75" customHeight="1">
      <c r="B846" s="59"/>
      <c r="C846" s="7"/>
      <c r="D846" s="3"/>
      <c r="E846" s="59"/>
      <c r="F846" s="3"/>
      <c r="G846" s="3"/>
    </row>
    <row r="847" ht="15.75" customHeight="1">
      <c r="B847" s="59"/>
      <c r="C847" s="7"/>
      <c r="D847" s="3"/>
      <c r="E847" s="59"/>
      <c r="F847" s="3"/>
      <c r="G847" s="3"/>
    </row>
    <row r="848" ht="15.75" customHeight="1">
      <c r="B848" s="59"/>
      <c r="C848" s="7"/>
      <c r="D848" s="3"/>
      <c r="E848" s="59"/>
      <c r="F848" s="3"/>
      <c r="G848" s="3"/>
    </row>
    <row r="849" ht="15.75" customHeight="1">
      <c r="B849" s="59"/>
      <c r="C849" s="7"/>
      <c r="D849" s="3"/>
      <c r="E849" s="59"/>
      <c r="F849" s="3"/>
      <c r="G849" s="3"/>
    </row>
    <row r="850" ht="15.75" customHeight="1">
      <c r="B850" s="59"/>
      <c r="C850" s="7"/>
      <c r="D850" s="3"/>
      <c r="E850" s="59"/>
      <c r="F850" s="3"/>
      <c r="G850" s="3"/>
    </row>
    <row r="851" ht="15.75" customHeight="1">
      <c r="B851" s="59"/>
      <c r="C851" s="7"/>
      <c r="D851" s="3"/>
      <c r="E851" s="59"/>
      <c r="F851" s="3"/>
      <c r="G851" s="3"/>
    </row>
    <row r="852" ht="15.75" customHeight="1">
      <c r="B852" s="59"/>
      <c r="C852" s="7"/>
      <c r="D852" s="3"/>
      <c r="E852" s="59"/>
      <c r="F852" s="3"/>
      <c r="G852" s="3"/>
    </row>
    <row r="853" ht="15.75" customHeight="1">
      <c r="B853" s="59"/>
      <c r="C853" s="7"/>
      <c r="D853" s="3"/>
      <c r="E853" s="59"/>
      <c r="F853" s="3"/>
      <c r="G853" s="3"/>
    </row>
    <row r="854" ht="15.75" customHeight="1">
      <c r="B854" s="59"/>
      <c r="C854" s="7"/>
      <c r="D854" s="3"/>
      <c r="E854" s="59"/>
      <c r="F854" s="3"/>
      <c r="G854" s="3"/>
    </row>
    <row r="855" ht="15.75" customHeight="1">
      <c r="B855" s="59"/>
      <c r="C855" s="7"/>
      <c r="D855" s="3"/>
      <c r="E855" s="59"/>
      <c r="F855" s="3"/>
      <c r="G855" s="3"/>
    </row>
    <row r="856" ht="15.75" customHeight="1">
      <c r="B856" s="59"/>
      <c r="C856" s="7"/>
      <c r="D856" s="3"/>
      <c r="E856" s="59"/>
      <c r="F856" s="3"/>
      <c r="G856" s="3"/>
    </row>
    <row r="857" ht="15.75" customHeight="1">
      <c r="B857" s="59"/>
      <c r="C857" s="7"/>
      <c r="D857" s="3"/>
      <c r="E857" s="59"/>
      <c r="F857" s="3"/>
      <c r="G857" s="3"/>
    </row>
    <row r="858" ht="15.75" customHeight="1">
      <c r="B858" s="59"/>
      <c r="C858" s="7"/>
      <c r="D858" s="3"/>
      <c r="E858" s="59"/>
      <c r="F858" s="3"/>
      <c r="G858" s="3"/>
    </row>
    <row r="859" ht="15.75" customHeight="1">
      <c r="B859" s="59"/>
      <c r="C859" s="7"/>
      <c r="D859" s="3"/>
      <c r="E859" s="59"/>
      <c r="F859" s="3"/>
      <c r="G859" s="3"/>
    </row>
    <row r="860" ht="15.75" customHeight="1">
      <c r="B860" s="59"/>
      <c r="C860" s="7"/>
      <c r="D860" s="3"/>
      <c r="E860" s="59"/>
      <c r="F860" s="3"/>
      <c r="G860" s="3"/>
    </row>
    <row r="861" ht="15.75" customHeight="1">
      <c r="B861" s="59"/>
      <c r="C861" s="7"/>
      <c r="D861" s="3"/>
      <c r="E861" s="59"/>
      <c r="F861" s="3"/>
      <c r="G861" s="3"/>
    </row>
    <row r="862" ht="15.75" customHeight="1">
      <c r="B862" s="59"/>
      <c r="C862" s="7"/>
      <c r="D862" s="3"/>
      <c r="E862" s="59"/>
      <c r="F862" s="3"/>
      <c r="G862" s="3"/>
    </row>
    <row r="863" ht="15.75" customHeight="1">
      <c r="B863" s="59"/>
      <c r="C863" s="7"/>
      <c r="D863" s="3"/>
      <c r="E863" s="59"/>
      <c r="F863" s="3"/>
      <c r="G863" s="3"/>
    </row>
    <row r="864" ht="15.75" customHeight="1">
      <c r="B864" s="59"/>
      <c r="C864" s="7"/>
      <c r="D864" s="3"/>
      <c r="E864" s="59"/>
      <c r="F864" s="3"/>
      <c r="G864" s="3"/>
    </row>
    <row r="865" ht="15.75" customHeight="1">
      <c r="B865" s="59"/>
      <c r="C865" s="7"/>
      <c r="D865" s="3"/>
      <c r="E865" s="59"/>
      <c r="F865" s="3"/>
      <c r="G865" s="3"/>
    </row>
    <row r="866" ht="15.75" customHeight="1">
      <c r="B866" s="59"/>
      <c r="C866" s="7"/>
      <c r="D866" s="3"/>
      <c r="E866" s="59"/>
      <c r="F866" s="3"/>
      <c r="G866" s="3"/>
    </row>
    <row r="867" ht="15.75" customHeight="1">
      <c r="B867" s="59"/>
      <c r="C867" s="7"/>
      <c r="D867" s="3"/>
      <c r="E867" s="59"/>
      <c r="F867" s="3"/>
      <c r="G867" s="3"/>
    </row>
    <row r="868" ht="15.75" customHeight="1">
      <c r="B868" s="59"/>
      <c r="C868" s="7"/>
      <c r="D868" s="3"/>
      <c r="E868" s="59"/>
      <c r="F868" s="3"/>
      <c r="G868" s="3"/>
    </row>
    <row r="869" ht="15.75" customHeight="1">
      <c r="B869" s="59"/>
      <c r="C869" s="7"/>
      <c r="D869" s="3"/>
      <c r="E869" s="59"/>
      <c r="F869" s="3"/>
      <c r="G869" s="3"/>
    </row>
    <row r="870" ht="15.75" customHeight="1">
      <c r="B870" s="59"/>
      <c r="C870" s="7"/>
      <c r="D870" s="3"/>
      <c r="E870" s="59"/>
      <c r="F870" s="3"/>
      <c r="G870" s="3"/>
    </row>
    <row r="871" ht="15.75" customHeight="1">
      <c r="B871" s="59"/>
      <c r="C871" s="7"/>
      <c r="D871" s="3"/>
      <c r="E871" s="59"/>
      <c r="F871" s="3"/>
      <c r="G871" s="3"/>
    </row>
    <row r="872" ht="15.75" customHeight="1">
      <c r="B872" s="59"/>
      <c r="C872" s="7"/>
      <c r="D872" s="3"/>
      <c r="E872" s="59"/>
      <c r="F872" s="3"/>
      <c r="G872" s="3"/>
    </row>
    <row r="873" ht="15.75" customHeight="1">
      <c r="B873" s="59"/>
      <c r="C873" s="7"/>
      <c r="D873" s="3"/>
      <c r="E873" s="59"/>
      <c r="F873" s="3"/>
      <c r="G873" s="3"/>
    </row>
    <row r="874" ht="15.75" customHeight="1">
      <c r="B874" s="59"/>
      <c r="C874" s="7"/>
      <c r="D874" s="3"/>
      <c r="E874" s="59"/>
      <c r="F874" s="3"/>
      <c r="G874" s="3"/>
    </row>
    <row r="875" ht="15.75" customHeight="1">
      <c r="B875" s="59"/>
      <c r="C875" s="7"/>
      <c r="D875" s="3"/>
      <c r="E875" s="59"/>
      <c r="F875" s="3"/>
      <c r="G875" s="3"/>
    </row>
    <row r="876" ht="15.75" customHeight="1">
      <c r="B876" s="59"/>
      <c r="C876" s="7"/>
      <c r="D876" s="3"/>
      <c r="E876" s="59"/>
      <c r="F876" s="3"/>
      <c r="G876" s="3"/>
    </row>
    <row r="877" ht="15.75" customHeight="1">
      <c r="B877" s="59"/>
      <c r="C877" s="7"/>
      <c r="D877" s="3"/>
      <c r="E877" s="59"/>
      <c r="F877" s="3"/>
      <c r="G877" s="3"/>
    </row>
    <row r="878" ht="15.75" customHeight="1">
      <c r="B878" s="59"/>
      <c r="C878" s="7"/>
      <c r="D878" s="3"/>
      <c r="E878" s="59"/>
      <c r="F878" s="3"/>
      <c r="G878" s="3"/>
    </row>
    <row r="879" ht="15.75" customHeight="1">
      <c r="B879" s="59"/>
      <c r="C879" s="7"/>
      <c r="D879" s="3"/>
      <c r="E879" s="59"/>
      <c r="F879" s="3"/>
      <c r="G879" s="3"/>
    </row>
    <row r="880" ht="15.75" customHeight="1">
      <c r="B880" s="59"/>
      <c r="C880" s="7"/>
      <c r="D880" s="3"/>
      <c r="E880" s="59"/>
      <c r="F880" s="3"/>
      <c r="G880" s="3"/>
    </row>
    <row r="881" ht="15.75" customHeight="1">
      <c r="B881" s="59"/>
      <c r="C881" s="7"/>
      <c r="D881" s="3"/>
      <c r="E881" s="59"/>
      <c r="F881" s="3"/>
      <c r="G881" s="3"/>
    </row>
    <row r="882" ht="15.75" customHeight="1">
      <c r="B882" s="59"/>
      <c r="C882" s="7"/>
      <c r="D882" s="3"/>
      <c r="E882" s="59"/>
      <c r="F882" s="3"/>
      <c r="G882" s="3"/>
    </row>
    <row r="883" ht="15.75" customHeight="1">
      <c r="B883" s="59"/>
      <c r="C883" s="7"/>
      <c r="D883" s="3"/>
      <c r="E883" s="59"/>
      <c r="F883" s="3"/>
      <c r="G883" s="3"/>
    </row>
    <row r="884" ht="15.75" customHeight="1">
      <c r="B884" s="59"/>
      <c r="C884" s="7"/>
      <c r="D884" s="3"/>
      <c r="E884" s="59"/>
      <c r="F884" s="3"/>
      <c r="G884" s="3"/>
    </row>
    <row r="885" ht="15.75" customHeight="1">
      <c r="B885" s="59"/>
      <c r="C885" s="7"/>
      <c r="D885" s="3"/>
      <c r="E885" s="59"/>
      <c r="F885" s="3"/>
      <c r="G885" s="3"/>
    </row>
    <row r="886" ht="15.75" customHeight="1">
      <c r="B886" s="59"/>
      <c r="C886" s="7"/>
      <c r="D886" s="3"/>
      <c r="E886" s="59"/>
      <c r="F886" s="3"/>
      <c r="G886" s="3"/>
    </row>
    <row r="887" ht="15.75" customHeight="1">
      <c r="B887" s="59"/>
      <c r="C887" s="7"/>
      <c r="D887" s="3"/>
      <c r="E887" s="59"/>
      <c r="F887" s="3"/>
      <c r="G887" s="3"/>
    </row>
    <row r="888" ht="15.75" customHeight="1">
      <c r="B888" s="59"/>
      <c r="C888" s="7"/>
      <c r="D888" s="3"/>
      <c r="E888" s="59"/>
      <c r="F888" s="3"/>
      <c r="G888" s="3"/>
    </row>
    <row r="889" ht="15.75" customHeight="1">
      <c r="B889" s="59"/>
      <c r="C889" s="7"/>
      <c r="D889" s="3"/>
      <c r="E889" s="59"/>
      <c r="F889" s="3"/>
      <c r="G889" s="3"/>
    </row>
    <row r="890" ht="15.75" customHeight="1">
      <c r="B890" s="59"/>
      <c r="C890" s="7"/>
      <c r="D890" s="3"/>
      <c r="E890" s="59"/>
      <c r="F890" s="3"/>
      <c r="G890" s="3"/>
    </row>
    <row r="891" ht="15.75" customHeight="1">
      <c r="B891" s="59"/>
      <c r="C891" s="7"/>
      <c r="D891" s="3"/>
      <c r="E891" s="59"/>
      <c r="F891" s="3"/>
      <c r="G891" s="3"/>
    </row>
    <row r="892" ht="15.75" customHeight="1">
      <c r="B892" s="59"/>
      <c r="C892" s="7"/>
      <c r="D892" s="3"/>
      <c r="E892" s="59"/>
      <c r="F892" s="3"/>
      <c r="G892" s="3"/>
    </row>
    <row r="893" ht="15.75" customHeight="1">
      <c r="B893" s="59"/>
      <c r="C893" s="7"/>
      <c r="D893" s="3"/>
      <c r="E893" s="59"/>
      <c r="F893" s="3"/>
      <c r="G893" s="3"/>
    </row>
    <row r="894" ht="15.75" customHeight="1">
      <c r="B894" s="59"/>
      <c r="C894" s="7"/>
      <c r="D894" s="3"/>
      <c r="E894" s="59"/>
      <c r="F894" s="3"/>
      <c r="G894" s="3"/>
    </row>
    <row r="895" ht="15.75" customHeight="1">
      <c r="B895" s="59"/>
      <c r="C895" s="7"/>
      <c r="D895" s="3"/>
      <c r="E895" s="59"/>
      <c r="F895" s="3"/>
      <c r="G895" s="3"/>
    </row>
    <row r="896" ht="15.75" customHeight="1">
      <c r="B896" s="59"/>
      <c r="C896" s="7"/>
      <c r="D896" s="3"/>
      <c r="E896" s="59"/>
      <c r="F896" s="3"/>
      <c r="G896" s="3"/>
    </row>
    <row r="897" ht="15.75" customHeight="1">
      <c r="B897" s="59"/>
      <c r="C897" s="7"/>
      <c r="D897" s="3"/>
      <c r="E897" s="59"/>
      <c r="F897" s="3"/>
      <c r="G897" s="3"/>
    </row>
    <row r="898" ht="15.75" customHeight="1">
      <c r="B898" s="59"/>
      <c r="C898" s="7"/>
      <c r="D898" s="3"/>
      <c r="E898" s="59"/>
      <c r="F898" s="3"/>
      <c r="G898" s="3"/>
    </row>
    <row r="899" ht="15.75" customHeight="1">
      <c r="B899" s="59"/>
      <c r="C899" s="7"/>
      <c r="D899" s="3"/>
      <c r="E899" s="59"/>
      <c r="F899" s="3"/>
      <c r="G899" s="3"/>
    </row>
    <row r="900" ht="15.75" customHeight="1">
      <c r="B900" s="59"/>
      <c r="C900" s="7"/>
      <c r="D900" s="3"/>
      <c r="E900" s="59"/>
      <c r="F900" s="3"/>
      <c r="G900" s="3"/>
    </row>
    <row r="901" ht="15.75" customHeight="1">
      <c r="B901" s="59"/>
      <c r="C901" s="7"/>
      <c r="D901" s="3"/>
      <c r="E901" s="59"/>
      <c r="F901" s="3"/>
      <c r="G901" s="3"/>
    </row>
    <row r="902" ht="15.75" customHeight="1">
      <c r="B902" s="59"/>
      <c r="C902" s="7"/>
      <c r="D902" s="3"/>
      <c r="E902" s="59"/>
      <c r="F902" s="3"/>
      <c r="G902" s="3"/>
    </row>
    <row r="903" ht="15.75" customHeight="1">
      <c r="B903" s="59"/>
      <c r="C903" s="7"/>
      <c r="D903" s="3"/>
      <c r="E903" s="59"/>
      <c r="F903" s="3"/>
      <c r="G903" s="3"/>
    </row>
    <row r="904" ht="15.75" customHeight="1">
      <c r="B904" s="59"/>
      <c r="C904" s="7"/>
      <c r="D904" s="3"/>
      <c r="E904" s="59"/>
      <c r="F904" s="3"/>
      <c r="G904" s="3"/>
    </row>
    <row r="905" ht="15.75" customHeight="1">
      <c r="B905" s="59"/>
      <c r="C905" s="7"/>
      <c r="D905" s="3"/>
      <c r="E905" s="59"/>
      <c r="F905" s="3"/>
      <c r="G905" s="3"/>
    </row>
    <row r="906" ht="15.75" customHeight="1">
      <c r="B906" s="59"/>
      <c r="C906" s="7"/>
      <c r="D906" s="3"/>
      <c r="E906" s="59"/>
      <c r="F906" s="3"/>
      <c r="G906" s="3"/>
    </row>
    <row r="907" ht="15.75" customHeight="1">
      <c r="B907" s="59"/>
      <c r="C907" s="7"/>
      <c r="D907" s="3"/>
      <c r="E907" s="59"/>
      <c r="F907" s="3"/>
      <c r="G907" s="3"/>
    </row>
    <row r="908" ht="15.75" customHeight="1">
      <c r="B908" s="59"/>
      <c r="C908" s="7"/>
      <c r="D908" s="3"/>
      <c r="E908" s="59"/>
      <c r="F908" s="3"/>
      <c r="G908" s="3"/>
    </row>
    <row r="909" ht="15.75" customHeight="1">
      <c r="B909" s="59"/>
      <c r="C909" s="7"/>
      <c r="D909" s="3"/>
      <c r="E909" s="59"/>
      <c r="F909" s="3"/>
      <c r="G909" s="3"/>
    </row>
    <row r="910" ht="15.75" customHeight="1">
      <c r="B910" s="59"/>
      <c r="C910" s="7"/>
      <c r="D910" s="3"/>
      <c r="E910" s="59"/>
      <c r="F910" s="3"/>
      <c r="G910" s="3"/>
    </row>
    <row r="911" ht="15.75" customHeight="1">
      <c r="B911" s="59"/>
      <c r="C911" s="7"/>
      <c r="D911" s="3"/>
      <c r="E911" s="59"/>
      <c r="F911" s="3"/>
      <c r="G911" s="3"/>
    </row>
    <row r="912" ht="15.75" customHeight="1">
      <c r="B912" s="59"/>
      <c r="C912" s="7"/>
      <c r="D912" s="3"/>
      <c r="E912" s="59"/>
      <c r="F912" s="3"/>
      <c r="G912" s="3"/>
    </row>
    <row r="913" ht="15.75" customHeight="1">
      <c r="B913" s="59"/>
      <c r="C913" s="7"/>
      <c r="D913" s="3"/>
      <c r="E913" s="59"/>
      <c r="F913" s="3"/>
      <c r="G913" s="3"/>
    </row>
    <row r="914" ht="15.75" customHeight="1">
      <c r="B914" s="59"/>
      <c r="C914" s="7"/>
      <c r="D914" s="3"/>
      <c r="E914" s="59"/>
      <c r="F914" s="3"/>
      <c r="G914" s="3"/>
    </row>
    <row r="915" ht="15.75" customHeight="1">
      <c r="B915" s="59"/>
      <c r="C915" s="7"/>
      <c r="D915" s="3"/>
      <c r="E915" s="59"/>
      <c r="F915" s="3"/>
      <c r="G915" s="3"/>
    </row>
    <row r="916" ht="15.75" customHeight="1">
      <c r="B916" s="59"/>
      <c r="C916" s="7"/>
      <c r="D916" s="3"/>
      <c r="E916" s="59"/>
      <c r="F916" s="3"/>
      <c r="G916" s="3"/>
    </row>
    <row r="917" ht="15.75" customHeight="1">
      <c r="B917" s="59"/>
      <c r="C917" s="7"/>
      <c r="D917" s="3"/>
      <c r="E917" s="59"/>
      <c r="F917" s="3"/>
      <c r="G917" s="3"/>
    </row>
    <row r="918" ht="15.75" customHeight="1">
      <c r="B918" s="59"/>
      <c r="C918" s="7"/>
      <c r="D918" s="3"/>
      <c r="E918" s="59"/>
      <c r="F918" s="3"/>
      <c r="G918" s="3"/>
    </row>
    <row r="919" ht="15.75" customHeight="1">
      <c r="B919" s="59"/>
      <c r="C919" s="7"/>
      <c r="D919" s="3"/>
      <c r="E919" s="59"/>
      <c r="F919" s="3"/>
      <c r="G919" s="3"/>
    </row>
    <row r="920" ht="15.75" customHeight="1">
      <c r="B920" s="59"/>
      <c r="C920" s="7"/>
      <c r="D920" s="3"/>
      <c r="E920" s="59"/>
      <c r="F920" s="3"/>
      <c r="G920" s="3"/>
    </row>
    <row r="921" ht="15.75" customHeight="1">
      <c r="B921" s="59"/>
      <c r="C921" s="7"/>
      <c r="D921" s="3"/>
      <c r="E921" s="59"/>
      <c r="F921" s="3"/>
      <c r="G921" s="3"/>
    </row>
    <row r="922" ht="15.75" customHeight="1">
      <c r="B922" s="59"/>
      <c r="C922" s="7"/>
      <c r="D922" s="3"/>
      <c r="E922" s="59"/>
      <c r="F922" s="3"/>
      <c r="G922" s="3"/>
    </row>
    <row r="923" ht="15.75" customHeight="1">
      <c r="B923" s="59"/>
      <c r="C923" s="7"/>
      <c r="D923" s="3"/>
      <c r="E923" s="59"/>
      <c r="F923" s="3"/>
      <c r="G923" s="3"/>
    </row>
    <row r="924" ht="15.75" customHeight="1">
      <c r="B924" s="59"/>
      <c r="C924" s="7"/>
      <c r="D924" s="3"/>
      <c r="E924" s="59"/>
      <c r="F924" s="3"/>
      <c r="G924" s="3"/>
    </row>
    <row r="925" ht="15.75" customHeight="1">
      <c r="B925" s="59"/>
      <c r="C925" s="7"/>
      <c r="D925" s="3"/>
      <c r="E925" s="59"/>
      <c r="F925" s="3"/>
      <c r="G925" s="3"/>
    </row>
    <row r="926" ht="15.75" customHeight="1">
      <c r="B926" s="59"/>
      <c r="C926" s="7"/>
      <c r="D926" s="3"/>
      <c r="E926" s="59"/>
      <c r="F926" s="3"/>
      <c r="G926" s="3"/>
    </row>
    <row r="927" ht="15.75" customHeight="1">
      <c r="B927" s="59"/>
      <c r="C927" s="7"/>
      <c r="D927" s="3"/>
      <c r="E927" s="59"/>
      <c r="F927" s="3"/>
      <c r="G927" s="3"/>
    </row>
    <row r="928" ht="15.75" customHeight="1">
      <c r="B928" s="59"/>
      <c r="C928" s="7"/>
      <c r="D928" s="3"/>
      <c r="E928" s="59"/>
      <c r="F928" s="3"/>
      <c r="G928" s="3"/>
    </row>
    <row r="929" ht="15.75" customHeight="1">
      <c r="B929" s="59"/>
      <c r="C929" s="7"/>
      <c r="D929" s="3"/>
      <c r="E929" s="59"/>
      <c r="F929" s="3"/>
      <c r="G929" s="3"/>
    </row>
    <row r="930" ht="15.75" customHeight="1">
      <c r="B930" s="59"/>
      <c r="C930" s="7"/>
      <c r="D930" s="3"/>
      <c r="E930" s="59"/>
      <c r="F930" s="3"/>
      <c r="G930" s="3"/>
    </row>
    <row r="931" ht="15.75" customHeight="1">
      <c r="B931" s="59"/>
      <c r="C931" s="7"/>
      <c r="D931" s="3"/>
      <c r="E931" s="59"/>
      <c r="F931" s="3"/>
      <c r="G931" s="3"/>
    </row>
    <row r="932" ht="15.75" customHeight="1">
      <c r="B932" s="59"/>
      <c r="C932" s="7"/>
      <c r="D932" s="3"/>
      <c r="E932" s="59"/>
      <c r="F932" s="3"/>
      <c r="G932" s="3"/>
    </row>
    <row r="933" ht="15.75" customHeight="1">
      <c r="B933" s="59"/>
      <c r="C933" s="7"/>
      <c r="D933" s="3"/>
      <c r="E933" s="59"/>
      <c r="F933" s="3"/>
      <c r="G933" s="3"/>
    </row>
    <row r="934" ht="15.75" customHeight="1">
      <c r="B934" s="59"/>
      <c r="C934" s="7"/>
      <c r="D934" s="3"/>
      <c r="E934" s="59"/>
      <c r="F934" s="3"/>
      <c r="G934" s="3"/>
    </row>
    <row r="935" ht="15.75" customHeight="1">
      <c r="B935" s="59"/>
      <c r="C935" s="7"/>
      <c r="D935" s="3"/>
      <c r="E935" s="59"/>
      <c r="F935" s="3"/>
      <c r="G935" s="3"/>
    </row>
    <row r="936" ht="15.75" customHeight="1">
      <c r="B936" s="59"/>
      <c r="C936" s="7"/>
      <c r="D936" s="3"/>
      <c r="E936" s="59"/>
      <c r="F936" s="3"/>
      <c r="G936" s="3"/>
    </row>
    <row r="937" ht="15.75" customHeight="1">
      <c r="B937" s="59"/>
      <c r="C937" s="7"/>
      <c r="D937" s="3"/>
      <c r="E937" s="59"/>
      <c r="F937" s="3"/>
      <c r="G937" s="3"/>
    </row>
    <row r="938" ht="15.75" customHeight="1">
      <c r="B938" s="59"/>
      <c r="C938" s="7"/>
      <c r="D938" s="3"/>
      <c r="E938" s="59"/>
      <c r="F938" s="3"/>
      <c r="G938" s="3"/>
    </row>
    <row r="939" ht="15.75" customHeight="1">
      <c r="B939" s="59"/>
      <c r="C939" s="7"/>
      <c r="D939" s="3"/>
      <c r="E939" s="59"/>
      <c r="F939" s="3"/>
      <c r="G939" s="3"/>
    </row>
    <row r="940" ht="15.75" customHeight="1">
      <c r="B940" s="59"/>
      <c r="C940" s="7"/>
      <c r="D940" s="3"/>
      <c r="E940" s="59"/>
      <c r="F940" s="3"/>
      <c r="G940" s="3"/>
    </row>
    <row r="941" ht="15.75" customHeight="1">
      <c r="B941" s="59"/>
      <c r="C941" s="7"/>
      <c r="D941" s="3"/>
      <c r="E941" s="59"/>
      <c r="F941" s="3"/>
      <c r="G941" s="3"/>
    </row>
    <row r="942" ht="15.75" customHeight="1">
      <c r="B942" s="59"/>
      <c r="C942" s="7"/>
      <c r="D942" s="3"/>
      <c r="E942" s="59"/>
      <c r="F942" s="3"/>
      <c r="G942" s="3"/>
    </row>
    <row r="943" ht="15.75" customHeight="1">
      <c r="B943" s="59"/>
      <c r="C943" s="7"/>
      <c r="D943" s="3"/>
      <c r="E943" s="59"/>
      <c r="F943" s="3"/>
      <c r="G943" s="3"/>
    </row>
    <row r="944" ht="15.75" customHeight="1">
      <c r="B944" s="59"/>
      <c r="C944" s="7"/>
      <c r="D944" s="3"/>
      <c r="E944" s="59"/>
      <c r="F944" s="3"/>
      <c r="G944" s="3"/>
    </row>
    <row r="945" ht="15.75" customHeight="1">
      <c r="B945" s="59"/>
      <c r="C945" s="7"/>
      <c r="D945" s="3"/>
      <c r="E945" s="59"/>
      <c r="F945" s="3"/>
      <c r="G945" s="3"/>
    </row>
    <row r="946" ht="15.75" customHeight="1">
      <c r="B946" s="59"/>
      <c r="C946" s="7"/>
      <c r="D946" s="3"/>
      <c r="E946" s="59"/>
      <c r="F946" s="3"/>
      <c r="G946" s="3"/>
    </row>
    <row r="947" ht="15.75" customHeight="1">
      <c r="B947" s="59"/>
      <c r="C947" s="7"/>
      <c r="D947" s="3"/>
      <c r="E947" s="59"/>
      <c r="F947" s="3"/>
      <c r="G947" s="3"/>
    </row>
    <row r="948" ht="15.75" customHeight="1">
      <c r="B948" s="59"/>
      <c r="C948" s="7"/>
      <c r="D948" s="3"/>
      <c r="E948" s="59"/>
      <c r="F948" s="3"/>
      <c r="G948" s="3"/>
    </row>
    <row r="949" ht="15.75" customHeight="1">
      <c r="B949" s="59"/>
      <c r="C949" s="7"/>
      <c r="D949" s="3"/>
      <c r="E949" s="59"/>
      <c r="F949" s="3"/>
      <c r="G949" s="3"/>
    </row>
    <row r="950" ht="15.75" customHeight="1">
      <c r="B950" s="59"/>
      <c r="C950" s="7"/>
      <c r="D950" s="3"/>
      <c r="E950" s="59"/>
      <c r="F950" s="3"/>
      <c r="G950" s="3"/>
    </row>
    <row r="951" ht="15.75" customHeight="1">
      <c r="B951" s="59"/>
      <c r="C951" s="7"/>
      <c r="D951" s="3"/>
      <c r="E951" s="59"/>
      <c r="F951" s="3"/>
      <c r="G951" s="3"/>
    </row>
    <row r="952" ht="15.75" customHeight="1">
      <c r="B952" s="59"/>
      <c r="C952" s="7"/>
      <c r="D952" s="3"/>
      <c r="E952" s="59"/>
      <c r="F952" s="3"/>
      <c r="G952" s="3"/>
    </row>
    <row r="953" ht="15.75" customHeight="1">
      <c r="B953" s="59"/>
      <c r="C953" s="7"/>
      <c r="D953" s="3"/>
      <c r="E953" s="59"/>
      <c r="F953" s="3"/>
      <c r="G953" s="3"/>
    </row>
    <row r="954" ht="15.75" customHeight="1">
      <c r="B954" s="59"/>
      <c r="C954" s="7"/>
      <c r="D954" s="3"/>
      <c r="E954" s="59"/>
      <c r="F954" s="3"/>
      <c r="G954" s="3"/>
    </row>
    <row r="955" ht="15.75" customHeight="1">
      <c r="B955" s="59"/>
      <c r="C955" s="7"/>
      <c r="D955" s="3"/>
      <c r="E955" s="59"/>
      <c r="F955" s="3"/>
      <c r="G955" s="3"/>
    </row>
    <row r="956" ht="15.75" customHeight="1">
      <c r="B956" s="59"/>
      <c r="C956" s="7"/>
      <c r="D956" s="3"/>
      <c r="E956" s="59"/>
      <c r="F956" s="3"/>
      <c r="G956" s="3"/>
    </row>
    <row r="957" ht="15.75" customHeight="1">
      <c r="B957" s="59"/>
      <c r="C957" s="7"/>
      <c r="D957" s="3"/>
      <c r="E957" s="59"/>
      <c r="F957" s="3"/>
      <c r="G957" s="3"/>
    </row>
    <row r="958" ht="15.75" customHeight="1">
      <c r="B958" s="59"/>
      <c r="C958" s="7"/>
      <c r="D958" s="3"/>
      <c r="E958" s="59"/>
      <c r="F958" s="3"/>
      <c r="G958" s="3"/>
    </row>
    <row r="959" ht="15.75" customHeight="1">
      <c r="B959" s="59"/>
      <c r="C959" s="7"/>
      <c r="D959" s="3"/>
      <c r="E959" s="59"/>
      <c r="F959" s="3"/>
      <c r="G959" s="3"/>
    </row>
    <row r="960" ht="15.75" customHeight="1">
      <c r="B960" s="59"/>
      <c r="C960" s="7"/>
      <c r="D960" s="3"/>
      <c r="E960" s="59"/>
      <c r="F960" s="3"/>
      <c r="G960" s="3"/>
    </row>
    <row r="961" ht="15.75" customHeight="1">
      <c r="B961" s="59"/>
      <c r="C961" s="7"/>
      <c r="D961" s="3"/>
      <c r="E961" s="59"/>
      <c r="F961" s="3"/>
      <c r="G961" s="3"/>
    </row>
    <row r="962" ht="15.75" customHeight="1">
      <c r="B962" s="59"/>
      <c r="C962" s="7"/>
      <c r="D962" s="3"/>
      <c r="E962" s="59"/>
      <c r="F962" s="3"/>
      <c r="G962" s="3"/>
    </row>
    <row r="963" ht="15.75" customHeight="1">
      <c r="B963" s="59"/>
      <c r="C963" s="7"/>
      <c r="D963" s="3"/>
      <c r="E963" s="59"/>
      <c r="F963" s="3"/>
      <c r="G963" s="3"/>
    </row>
    <row r="964" ht="15.75" customHeight="1">
      <c r="B964" s="59"/>
      <c r="C964" s="7"/>
      <c r="D964" s="3"/>
      <c r="E964" s="59"/>
      <c r="F964" s="3"/>
      <c r="G964" s="3"/>
    </row>
    <row r="965" ht="15.75" customHeight="1">
      <c r="B965" s="59"/>
      <c r="C965" s="7"/>
      <c r="D965" s="3"/>
      <c r="E965" s="59"/>
      <c r="F965" s="3"/>
      <c r="G965" s="3"/>
    </row>
    <row r="966" ht="15.75" customHeight="1">
      <c r="B966" s="59"/>
      <c r="C966" s="7"/>
      <c r="D966" s="3"/>
      <c r="E966" s="59"/>
      <c r="F966" s="3"/>
      <c r="G966" s="3"/>
    </row>
    <row r="967" ht="15.75" customHeight="1">
      <c r="B967" s="59"/>
      <c r="C967" s="7"/>
      <c r="D967" s="3"/>
      <c r="E967" s="59"/>
      <c r="F967" s="3"/>
      <c r="G967" s="3"/>
    </row>
    <row r="968" ht="15.75" customHeight="1">
      <c r="B968" s="59"/>
      <c r="C968" s="7"/>
      <c r="D968" s="3"/>
      <c r="E968" s="59"/>
      <c r="F968" s="3"/>
      <c r="G968" s="3"/>
    </row>
    <row r="969" ht="15.75" customHeight="1">
      <c r="B969" s="59"/>
      <c r="C969" s="7"/>
      <c r="D969" s="3"/>
      <c r="E969" s="59"/>
      <c r="F969" s="3"/>
      <c r="G969" s="3"/>
    </row>
    <row r="970" ht="15.75" customHeight="1">
      <c r="B970" s="59"/>
      <c r="C970" s="7"/>
      <c r="D970" s="3"/>
      <c r="E970" s="59"/>
      <c r="F970" s="3"/>
      <c r="G970" s="3"/>
    </row>
    <row r="971" ht="15.75" customHeight="1">
      <c r="B971" s="59"/>
      <c r="C971" s="7"/>
      <c r="D971" s="3"/>
      <c r="E971" s="59"/>
      <c r="F971" s="3"/>
      <c r="G971" s="3"/>
    </row>
    <row r="972" ht="15.75" customHeight="1">
      <c r="B972" s="59"/>
      <c r="C972" s="7"/>
      <c r="D972" s="3"/>
      <c r="E972" s="59"/>
      <c r="F972" s="3"/>
      <c r="G972" s="3"/>
    </row>
    <row r="973" ht="15.75" customHeight="1">
      <c r="B973" s="59"/>
      <c r="C973" s="7"/>
      <c r="D973" s="3"/>
      <c r="E973" s="59"/>
      <c r="F973" s="3"/>
      <c r="G973" s="3"/>
    </row>
    <row r="974" ht="15.75" customHeight="1">
      <c r="B974" s="59"/>
      <c r="C974" s="7"/>
      <c r="D974" s="3"/>
      <c r="E974" s="59"/>
      <c r="F974" s="3"/>
      <c r="G974" s="3"/>
    </row>
    <row r="975" ht="15.75" customHeight="1">
      <c r="B975" s="59"/>
      <c r="C975" s="7"/>
      <c r="D975" s="3"/>
      <c r="E975" s="59"/>
      <c r="F975" s="3"/>
      <c r="G975" s="3"/>
    </row>
    <row r="976" ht="15.75" customHeight="1">
      <c r="B976" s="59"/>
      <c r="C976" s="7"/>
      <c r="D976" s="3"/>
      <c r="E976" s="59"/>
      <c r="F976" s="3"/>
      <c r="G976" s="3"/>
    </row>
    <row r="977" ht="15.75" customHeight="1">
      <c r="B977" s="59"/>
      <c r="C977" s="7"/>
      <c r="D977" s="3"/>
      <c r="E977" s="59"/>
      <c r="F977" s="3"/>
      <c r="G977" s="3"/>
    </row>
    <row r="978" ht="15.75" customHeight="1">
      <c r="B978" s="59"/>
      <c r="C978" s="7"/>
      <c r="D978" s="3"/>
      <c r="E978" s="59"/>
      <c r="F978" s="3"/>
      <c r="G978" s="3"/>
    </row>
    <row r="979" ht="15.75" customHeight="1">
      <c r="B979" s="59"/>
      <c r="C979" s="7"/>
      <c r="D979" s="3"/>
      <c r="E979" s="59"/>
      <c r="F979" s="3"/>
      <c r="G979" s="3"/>
    </row>
    <row r="980" ht="15.75" customHeight="1">
      <c r="B980" s="59"/>
      <c r="C980" s="7"/>
      <c r="D980" s="3"/>
      <c r="E980" s="59"/>
      <c r="F980" s="3"/>
      <c r="G980" s="3"/>
    </row>
    <row r="981" ht="15.75" customHeight="1">
      <c r="B981" s="59"/>
      <c r="C981" s="7"/>
      <c r="D981" s="3"/>
      <c r="E981" s="59"/>
      <c r="F981" s="3"/>
      <c r="G981" s="3"/>
    </row>
    <row r="982" ht="15.75" customHeight="1">
      <c r="B982" s="59"/>
      <c r="C982" s="7"/>
      <c r="D982" s="3"/>
      <c r="E982" s="59"/>
      <c r="F982" s="3"/>
      <c r="G982" s="3"/>
    </row>
    <row r="983" ht="15.75" customHeight="1">
      <c r="B983" s="59"/>
      <c r="C983" s="7"/>
      <c r="D983" s="3"/>
      <c r="E983" s="59"/>
      <c r="F983" s="3"/>
      <c r="G983" s="3"/>
    </row>
    <row r="984" ht="15.75" customHeight="1">
      <c r="B984" s="59"/>
      <c r="C984" s="7"/>
      <c r="D984" s="3"/>
      <c r="E984" s="59"/>
      <c r="F984" s="3"/>
      <c r="G984" s="3"/>
    </row>
    <row r="985" ht="15.75" customHeight="1">
      <c r="B985" s="59"/>
      <c r="C985" s="7"/>
      <c r="D985" s="3"/>
      <c r="E985" s="59"/>
      <c r="F985" s="3"/>
      <c r="G985" s="3"/>
    </row>
    <row r="986" ht="15.75" customHeight="1">
      <c r="B986" s="59"/>
      <c r="C986" s="7"/>
      <c r="D986" s="3"/>
      <c r="E986" s="59"/>
      <c r="F986" s="3"/>
      <c r="G986" s="3"/>
    </row>
    <row r="987" ht="15.75" customHeight="1">
      <c r="B987" s="59"/>
      <c r="C987" s="7"/>
      <c r="D987" s="3"/>
      <c r="E987" s="59"/>
      <c r="F987" s="3"/>
      <c r="G987" s="3"/>
    </row>
    <row r="988" ht="15.75" customHeight="1">
      <c r="B988" s="59"/>
      <c r="C988" s="7"/>
      <c r="D988" s="3"/>
      <c r="E988" s="59"/>
      <c r="F988" s="3"/>
      <c r="G988" s="3"/>
    </row>
    <row r="989" ht="15.75" customHeight="1">
      <c r="B989" s="59"/>
      <c r="C989" s="7"/>
      <c r="D989" s="3"/>
      <c r="E989" s="59"/>
      <c r="F989" s="3"/>
      <c r="G989" s="3"/>
    </row>
    <row r="990" ht="15.75" customHeight="1">
      <c r="B990" s="59"/>
      <c r="C990" s="7"/>
      <c r="D990" s="3"/>
      <c r="E990" s="59"/>
      <c r="F990" s="3"/>
      <c r="G990" s="3"/>
    </row>
    <row r="991" ht="15.75" customHeight="1">
      <c r="B991" s="59"/>
      <c r="C991" s="7"/>
      <c r="D991" s="3"/>
      <c r="E991" s="59"/>
      <c r="F991" s="3"/>
      <c r="G991" s="3"/>
    </row>
  </sheetData>
  <dataValidations>
    <dataValidation type="list" allowBlank="1" sqref="B8:B19">
      <formula1>"PURCHASE,SALE"</formula1>
    </dataValidation>
    <dataValidation type="list" allowBlank="1" sqref="B20:B991">
      <formula1>"PURCHASE,SALE"</formula1>
    </dataValidation>
    <dataValidation type="custom" allowBlank="1" showDropDown="1" sqref="C8:D19">
      <formula1>OR(NOT(ISERROR(DATEVALUE(C8))), AND(ISNUMBER(C8), LEFT(CELL("format", C8))="D"))</formula1>
    </dataValidation>
    <dataValidation type="list" allowBlank="1" sqref="E8:E19">
      <formula1>#REF!</formula1>
    </dataValidation>
    <dataValidation type="list" allowBlank="1" sqref="E20:E991">
      <formula1>'SETUP LISTS'!$C$2:$C$195</formula1>
    </dataValidation>
    <dataValidation type="list" allowBlank="1" showErrorMessage="1" sqref="E4">
      <formula1>'SETUP LISTS'!$B$2:$B$98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57"/>
    <col customWidth="1" min="2" max="2" width="25.57"/>
    <col customWidth="1" min="3" max="3" width="25.0"/>
    <col customWidth="1" min="4" max="26" width="8.71"/>
  </cols>
  <sheetData>
    <row r="1">
      <c r="A1" s="70" t="s">
        <v>0</v>
      </c>
      <c r="B1" s="70" t="s">
        <v>72</v>
      </c>
      <c r="C1" s="70" t="s">
        <v>73</v>
      </c>
    </row>
    <row r="2">
      <c r="A2" s="60" t="str">
        <f>'RAW MATERIALS'!A5</f>
        <v>HEX NUT 13</v>
      </c>
      <c r="B2" s="60" t="str">
        <f>PRODUCTS!A4</f>
        <v>HEX NUT 13</v>
      </c>
      <c r="C2" s="60" t="str">
        <f t="shared" ref="C2:C84" si="1">A2</f>
        <v>HEX NUT 13</v>
      </c>
    </row>
    <row r="3">
      <c r="A3" s="60" t="str">
        <f>'RAW MATERIALS'!A6</f>
        <v>ROUND NUT 13</v>
      </c>
      <c r="B3" s="60" t="str">
        <f>PRODUCTS!A5</f>
        <v>ROUND NUT 13</v>
      </c>
      <c r="C3" s="60" t="str">
        <f t="shared" si="1"/>
        <v>ROUND NUT 13</v>
      </c>
    </row>
    <row r="4">
      <c r="A4" s="60" t="str">
        <f>'RAW MATERIALS'!A7</f>
        <v>INNER</v>
      </c>
      <c r="B4" s="60" t="str">
        <f>PRODUCTS!A6</f>
        <v>INNER</v>
      </c>
      <c r="C4" s="60" t="str">
        <f t="shared" si="1"/>
        <v>INNER</v>
      </c>
    </row>
    <row r="5">
      <c r="A5" s="60" t="str">
        <f>'RAW MATERIALS'!A8</f>
        <v>CAP 13</v>
      </c>
      <c r="B5" s="60" t="str">
        <f>PRODUCTS!A7</f>
        <v>CAP 13</v>
      </c>
      <c r="C5" s="60" t="str">
        <f t="shared" si="1"/>
        <v>CAP 13</v>
      </c>
    </row>
    <row r="6">
      <c r="A6" s="60" t="str">
        <f>'RAW MATERIALS'!A9</f>
        <v>KEY 13</v>
      </c>
      <c r="B6" s="60" t="str">
        <f>PRODUCTS!A8</f>
        <v>KEY 13</v>
      </c>
      <c r="C6" s="60" t="str">
        <f t="shared" si="1"/>
        <v>KEY 13</v>
      </c>
    </row>
    <row r="7">
      <c r="A7" s="60" t="str">
        <f>'RAW MATERIALS'!A10</f>
        <v>WASHER</v>
      </c>
      <c r="B7" s="60" t="str">
        <f>PRODUCTS!A9</f>
        <v>WASHER</v>
      </c>
      <c r="C7" s="60" t="str">
        <f t="shared" si="1"/>
        <v>WASHER</v>
      </c>
    </row>
    <row r="8">
      <c r="A8" s="60" t="str">
        <f>'RAW MATERIALS'!A11</f>
        <v>HEX NUT 13.5</v>
      </c>
      <c r="B8" s="60" t="str">
        <f>PRODUCTS!A10</f>
        <v>HEX NUT SET 13 1000</v>
      </c>
      <c r="C8" s="60" t="str">
        <f t="shared" si="1"/>
        <v>HEX NUT 13.5</v>
      </c>
    </row>
    <row r="9">
      <c r="A9" s="60" t="str">
        <f>'RAW MATERIALS'!A12</f>
        <v>ROUND NUT 13.5</v>
      </c>
      <c r="B9" s="60" t="str">
        <f>PRODUCTS!A11</f>
        <v>ROUND NUT SET 13 1000</v>
      </c>
      <c r="C9" s="60" t="str">
        <f t="shared" si="1"/>
        <v>ROUND NUT 13.5</v>
      </c>
    </row>
    <row r="10">
      <c r="A10" s="60" t="str">
        <f>'RAW MATERIALS'!A13</f>
        <v>CAP 13.5</v>
      </c>
      <c r="B10" s="60" t="str">
        <f>PRODUCTS!A14</f>
        <v>HEX NUT 13.5</v>
      </c>
      <c r="C10" s="60" t="str">
        <f t="shared" si="1"/>
        <v>CAP 13.5</v>
      </c>
    </row>
    <row r="11">
      <c r="A11" s="60" t="str">
        <f>'RAW MATERIALS'!A14</f>
        <v>KEY 13.5</v>
      </c>
      <c r="B11" s="60" t="str">
        <f>PRODUCTS!A15</f>
        <v>ROUND NUT 13.5</v>
      </c>
      <c r="C11" s="60" t="str">
        <f t="shared" si="1"/>
        <v>KEY 13.5</v>
      </c>
    </row>
    <row r="12">
      <c r="A12" s="60" t="str">
        <f>'RAW MATERIALS'!A15</f>
        <v>POLY 30X40 PRINTED</v>
      </c>
      <c r="B12" s="60" t="str">
        <f>PRODUCTS!A16</f>
        <v>CAP 13.5</v>
      </c>
      <c r="C12" s="60" t="str">
        <f t="shared" si="1"/>
        <v>POLY 30X40 PRINTED</v>
      </c>
    </row>
    <row r="13">
      <c r="A13" s="60" t="str">
        <f>'RAW MATERIALS'!A16</f>
        <v/>
      </c>
      <c r="B13" s="60" t="str">
        <f>PRODUCTS!A17</f>
        <v>KEY 13.5</v>
      </c>
      <c r="C13" s="60" t="str">
        <f t="shared" si="1"/>
        <v/>
      </c>
    </row>
    <row r="14">
      <c r="A14" s="60" t="str">
        <f>'RAW MATERIALS'!A17</f>
        <v/>
      </c>
      <c r="B14" s="60" t="str">
        <f>PRODUCTS!A18</f>
        <v>HEX NUT SET 13.5 1000</v>
      </c>
      <c r="C14" s="60" t="str">
        <f t="shared" si="1"/>
        <v/>
      </c>
    </row>
    <row r="15">
      <c r="A15" s="60" t="str">
        <f>'RAW MATERIALS'!A18</f>
        <v/>
      </c>
      <c r="B15" s="60" t="str">
        <f>PRODUCTS!A19</f>
        <v>ROUND NUT SET 13.5 1000</v>
      </c>
      <c r="C15" s="60" t="str">
        <f t="shared" si="1"/>
        <v/>
      </c>
    </row>
    <row r="16">
      <c r="A16" s="60" t="str">
        <f>'RAW MATERIALS'!A19</f>
        <v/>
      </c>
      <c r="B16" s="60" t="str">
        <f>PRODUCTS!A20</f>
        <v>HEX NUT SET 13.5 2000</v>
      </c>
      <c r="C16" s="60" t="str">
        <f t="shared" si="1"/>
        <v/>
      </c>
    </row>
    <row r="17">
      <c r="A17" s="60" t="str">
        <f>'RAW MATERIALS'!A20</f>
        <v/>
      </c>
      <c r="B17" s="60" t="str">
        <f>PRODUCTS!A21</f>
        <v>ROUND NUT SET 13.5 2000</v>
      </c>
      <c r="C17" s="60" t="str">
        <f t="shared" si="1"/>
        <v/>
      </c>
    </row>
    <row r="18">
      <c r="A18" s="60" t="str">
        <f>'RAW MATERIALS'!A21</f>
        <v/>
      </c>
      <c r="B18" s="60" t="str">
        <f>PRODUCTS!A22</f>
        <v/>
      </c>
      <c r="C18" s="60" t="str">
        <f t="shared" si="1"/>
        <v/>
      </c>
    </row>
    <row r="19">
      <c r="A19" s="60" t="str">
        <f>'RAW MATERIALS'!A22</f>
        <v/>
      </c>
      <c r="B19" s="60" t="str">
        <f>PRODUCTS!A23</f>
        <v/>
      </c>
      <c r="C19" s="60" t="str">
        <f t="shared" si="1"/>
        <v/>
      </c>
    </row>
    <row r="20">
      <c r="A20" s="60" t="str">
        <f>'RAW MATERIALS'!A23</f>
        <v/>
      </c>
      <c r="B20" s="60" t="str">
        <f>PRODUCTS!A24</f>
        <v/>
      </c>
      <c r="C20" s="60" t="str">
        <f t="shared" si="1"/>
        <v/>
      </c>
    </row>
    <row r="21" ht="15.75" customHeight="1">
      <c r="A21" s="60" t="str">
        <f>'RAW MATERIALS'!A24</f>
        <v/>
      </c>
      <c r="B21" s="60" t="str">
        <f>PRODUCTS!A25</f>
        <v/>
      </c>
      <c r="C21" s="60" t="str">
        <f t="shared" si="1"/>
        <v/>
      </c>
    </row>
    <row r="22" ht="15.75" customHeight="1">
      <c r="A22" s="60" t="str">
        <f>'RAW MATERIALS'!A25</f>
        <v/>
      </c>
      <c r="B22" s="60" t="str">
        <f>PRODUCTS!A26</f>
        <v/>
      </c>
      <c r="C22" s="60" t="str">
        <f t="shared" si="1"/>
        <v/>
      </c>
    </row>
    <row r="23" ht="15.75" customHeight="1">
      <c r="A23" s="60" t="str">
        <f>'RAW MATERIALS'!A26</f>
        <v/>
      </c>
      <c r="B23" s="60" t="str">
        <f>PRODUCTS!A27</f>
        <v/>
      </c>
      <c r="C23" s="60" t="str">
        <f t="shared" si="1"/>
        <v/>
      </c>
    </row>
    <row r="24" ht="15.75" customHeight="1">
      <c r="A24" s="60" t="str">
        <f>'RAW MATERIALS'!A27</f>
        <v/>
      </c>
      <c r="B24" s="60" t="str">
        <f>PRODUCTS!A28</f>
        <v/>
      </c>
      <c r="C24" s="60" t="str">
        <f t="shared" si="1"/>
        <v/>
      </c>
    </row>
    <row r="25" ht="15.75" customHeight="1">
      <c r="A25" s="60" t="str">
        <f>'RAW MATERIALS'!A28</f>
        <v/>
      </c>
      <c r="B25" s="60" t="str">
        <f>PRODUCTS!A29</f>
        <v/>
      </c>
      <c r="C25" s="60" t="str">
        <f t="shared" si="1"/>
        <v/>
      </c>
    </row>
    <row r="26" ht="15.75" customHeight="1">
      <c r="A26" s="60" t="str">
        <f>'RAW MATERIALS'!A29</f>
        <v/>
      </c>
      <c r="B26" s="60" t="str">
        <f>PRODUCTS!A30</f>
        <v/>
      </c>
      <c r="C26" s="60" t="str">
        <f t="shared" si="1"/>
        <v/>
      </c>
    </row>
    <row r="27" ht="15.75" customHeight="1">
      <c r="A27" s="60" t="str">
        <f>'RAW MATERIALS'!A30</f>
        <v/>
      </c>
      <c r="B27" s="60" t="str">
        <f>PRODUCTS!A31</f>
        <v/>
      </c>
      <c r="C27" s="60" t="str">
        <f t="shared" si="1"/>
        <v/>
      </c>
    </row>
    <row r="28" ht="15.75" customHeight="1">
      <c r="A28" s="60" t="str">
        <f>'RAW MATERIALS'!A31</f>
        <v/>
      </c>
      <c r="B28" s="60" t="str">
        <f>PRODUCTS!A32</f>
        <v/>
      </c>
      <c r="C28" s="60" t="str">
        <f t="shared" si="1"/>
        <v/>
      </c>
    </row>
    <row r="29" ht="15.75" customHeight="1">
      <c r="A29" s="60" t="str">
        <f>'RAW MATERIALS'!A32</f>
        <v/>
      </c>
      <c r="B29" s="60" t="str">
        <f>PRODUCTS!A33</f>
        <v/>
      </c>
      <c r="C29" s="60" t="str">
        <f t="shared" si="1"/>
        <v/>
      </c>
    </row>
    <row r="30" ht="15.75" customHeight="1">
      <c r="A30" s="60" t="str">
        <f>'RAW MATERIALS'!A33</f>
        <v/>
      </c>
      <c r="B30" s="60" t="str">
        <f>PRODUCTS!A34</f>
        <v/>
      </c>
      <c r="C30" s="60" t="str">
        <f t="shared" si="1"/>
        <v/>
      </c>
    </row>
    <row r="31" ht="15.75" customHeight="1">
      <c r="A31" s="60" t="str">
        <f>'RAW MATERIALS'!A34</f>
        <v/>
      </c>
      <c r="B31" s="60" t="str">
        <f>PRODUCTS!A35</f>
        <v/>
      </c>
      <c r="C31" s="60" t="str">
        <f t="shared" si="1"/>
        <v/>
      </c>
    </row>
    <row r="32" ht="15.75" customHeight="1">
      <c r="A32" s="60" t="str">
        <f>'RAW MATERIALS'!A35</f>
        <v/>
      </c>
      <c r="B32" s="60" t="str">
        <f>PRODUCTS!A36</f>
        <v/>
      </c>
      <c r="C32" s="60" t="str">
        <f t="shared" si="1"/>
        <v/>
      </c>
    </row>
    <row r="33" ht="15.75" customHeight="1">
      <c r="A33" s="60" t="str">
        <f>'RAW MATERIALS'!A36</f>
        <v/>
      </c>
      <c r="B33" s="60" t="str">
        <f>PRODUCTS!A37</f>
        <v/>
      </c>
      <c r="C33" s="60" t="str">
        <f t="shared" si="1"/>
        <v/>
      </c>
    </row>
    <row r="34" ht="15.75" customHeight="1">
      <c r="A34" s="60" t="str">
        <f>'RAW MATERIALS'!A37</f>
        <v/>
      </c>
      <c r="B34" s="60" t="str">
        <f>PRODUCTS!A38</f>
        <v/>
      </c>
      <c r="C34" s="60" t="str">
        <f t="shared" si="1"/>
        <v/>
      </c>
    </row>
    <row r="35" ht="15.75" customHeight="1">
      <c r="A35" s="60" t="str">
        <f>'RAW MATERIALS'!A38</f>
        <v/>
      </c>
      <c r="B35" s="60" t="str">
        <f>PRODUCTS!A39</f>
        <v/>
      </c>
      <c r="C35" s="60" t="str">
        <f t="shared" si="1"/>
        <v/>
      </c>
    </row>
    <row r="36" ht="15.75" customHeight="1">
      <c r="A36" s="60" t="str">
        <f>'RAW MATERIALS'!A39</f>
        <v/>
      </c>
      <c r="B36" s="60" t="str">
        <f>PRODUCTS!A40</f>
        <v/>
      </c>
      <c r="C36" s="60" t="str">
        <f t="shared" si="1"/>
        <v/>
      </c>
    </row>
    <row r="37" ht="15.75" customHeight="1">
      <c r="A37" s="60" t="str">
        <f>'RAW MATERIALS'!A40</f>
        <v/>
      </c>
      <c r="B37" s="60" t="str">
        <f>PRODUCTS!A41</f>
        <v/>
      </c>
      <c r="C37" s="60" t="str">
        <f t="shared" si="1"/>
        <v/>
      </c>
    </row>
    <row r="38" ht="15.75" customHeight="1">
      <c r="A38" s="60" t="str">
        <f>'RAW MATERIALS'!A41</f>
        <v/>
      </c>
      <c r="B38" s="60" t="str">
        <f>PRODUCTS!A42</f>
        <v/>
      </c>
      <c r="C38" s="60" t="str">
        <f t="shared" si="1"/>
        <v/>
      </c>
    </row>
    <row r="39" ht="15.75" customHeight="1">
      <c r="A39" s="60" t="str">
        <f>'RAW MATERIALS'!A42</f>
        <v/>
      </c>
      <c r="B39" s="60" t="str">
        <f>PRODUCTS!A43</f>
        <v/>
      </c>
      <c r="C39" s="60" t="str">
        <f t="shared" si="1"/>
        <v/>
      </c>
    </row>
    <row r="40" ht="15.75" customHeight="1">
      <c r="A40" s="60" t="str">
        <f>'RAW MATERIALS'!A43</f>
        <v/>
      </c>
      <c r="B40" s="60" t="str">
        <f>PRODUCTS!A44</f>
        <v/>
      </c>
      <c r="C40" s="60" t="str">
        <f t="shared" si="1"/>
        <v/>
      </c>
    </row>
    <row r="41" ht="15.75" customHeight="1">
      <c r="A41" s="60" t="str">
        <f>'RAW MATERIALS'!A44</f>
        <v/>
      </c>
      <c r="B41" s="60" t="str">
        <f>PRODUCTS!A45</f>
        <v/>
      </c>
      <c r="C41" s="60" t="str">
        <f t="shared" si="1"/>
        <v/>
      </c>
    </row>
    <row r="42" ht="15.75" customHeight="1">
      <c r="A42" s="60" t="str">
        <f>'RAW MATERIALS'!A45</f>
        <v/>
      </c>
      <c r="B42" s="60" t="str">
        <f>PRODUCTS!A46</f>
        <v/>
      </c>
      <c r="C42" s="60" t="str">
        <f t="shared" si="1"/>
        <v/>
      </c>
    </row>
    <row r="43" ht="15.75" customHeight="1">
      <c r="A43" s="60" t="str">
        <f>'RAW MATERIALS'!A46</f>
        <v/>
      </c>
      <c r="B43" s="60" t="str">
        <f>PRODUCTS!A47</f>
        <v/>
      </c>
      <c r="C43" s="60" t="str">
        <f t="shared" si="1"/>
        <v/>
      </c>
    </row>
    <row r="44" ht="15.75" customHeight="1">
      <c r="A44" s="60" t="str">
        <f>'RAW MATERIALS'!A47</f>
        <v/>
      </c>
      <c r="B44" s="60" t="str">
        <f>PRODUCTS!A48</f>
        <v/>
      </c>
      <c r="C44" s="60" t="str">
        <f t="shared" si="1"/>
        <v/>
      </c>
    </row>
    <row r="45" ht="15.75" customHeight="1">
      <c r="A45" s="60" t="str">
        <f>'RAW MATERIALS'!A48</f>
        <v/>
      </c>
      <c r="B45" s="60" t="str">
        <f>PRODUCTS!A49</f>
        <v/>
      </c>
      <c r="C45" s="60" t="str">
        <f t="shared" si="1"/>
        <v/>
      </c>
    </row>
    <row r="46" ht="15.75" customHeight="1">
      <c r="A46" s="60" t="str">
        <f>'RAW MATERIALS'!A49</f>
        <v/>
      </c>
      <c r="B46" s="60" t="str">
        <f>PRODUCTS!A50</f>
        <v/>
      </c>
      <c r="C46" s="60" t="str">
        <f t="shared" si="1"/>
        <v/>
      </c>
    </row>
    <row r="47" ht="15.75" customHeight="1">
      <c r="A47" s="60" t="str">
        <f>'RAW MATERIALS'!A50</f>
        <v/>
      </c>
      <c r="B47" s="60" t="str">
        <f>PRODUCTS!A51</f>
        <v/>
      </c>
      <c r="C47" s="60" t="str">
        <f t="shared" si="1"/>
        <v/>
      </c>
    </row>
    <row r="48" ht="15.75" customHeight="1">
      <c r="A48" s="60" t="str">
        <f>'RAW MATERIALS'!A51</f>
        <v/>
      </c>
      <c r="B48" s="60" t="str">
        <f>PRODUCTS!A52</f>
        <v/>
      </c>
      <c r="C48" s="60" t="str">
        <f t="shared" si="1"/>
        <v/>
      </c>
    </row>
    <row r="49" ht="15.75" customHeight="1">
      <c r="A49" s="60" t="str">
        <f>'RAW MATERIALS'!A52</f>
        <v/>
      </c>
      <c r="B49" s="60" t="str">
        <f>PRODUCTS!A53</f>
        <v/>
      </c>
      <c r="C49" s="60" t="str">
        <f t="shared" si="1"/>
        <v/>
      </c>
    </row>
    <row r="50" ht="15.75" customHeight="1">
      <c r="A50" s="60" t="str">
        <f>'RAW MATERIALS'!A53</f>
        <v/>
      </c>
      <c r="B50" s="60" t="str">
        <f>PRODUCTS!A54</f>
        <v/>
      </c>
      <c r="C50" s="60" t="str">
        <f t="shared" si="1"/>
        <v/>
      </c>
    </row>
    <row r="51" ht="15.75" customHeight="1">
      <c r="A51" s="60" t="str">
        <f>'RAW MATERIALS'!A54</f>
        <v/>
      </c>
      <c r="B51" s="60" t="str">
        <f>PRODUCTS!A55</f>
        <v/>
      </c>
      <c r="C51" s="60" t="str">
        <f t="shared" si="1"/>
        <v/>
      </c>
    </row>
    <row r="52" ht="15.75" customHeight="1">
      <c r="A52" s="60" t="str">
        <f>'RAW MATERIALS'!A55</f>
        <v/>
      </c>
      <c r="B52" s="60" t="str">
        <f>PRODUCTS!A56</f>
        <v/>
      </c>
      <c r="C52" s="60" t="str">
        <f t="shared" si="1"/>
        <v/>
      </c>
    </row>
    <row r="53" ht="15.75" customHeight="1">
      <c r="A53" s="60" t="str">
        <f>'RAW MATERIALS'!A56</f>
        <v/>
      </c>
      <c r="B53" s="60" t="str">
        <f>PRODUCTS!A57</f>
        <v/>
      </c>
      <c r="C53" s="60" t="str">
        <f t="shared" si="1"/>
        <v/>
      </c>
    </row>
    <row r="54" ht="15.75" customHeight="1">
      <c r="A54" s="60" t="str">
        <f>'RAW MATERIALS'!A57</f>
        <v/>
      </c>
      <c r="B54" s="60" t="str">
        <f>PRODUCTS!A58</f>
        <v/>
      </c>
      <c r="C54" s="60" t="str">
        <f t="shared" si="1"/>
        <v/>
      </c>
    </row>
    <row r="55" ht="15.75" customHeight="1">
      <c r="A55" s="60" t="str">
        <f>'RAW MATERIALS'!A58</f>
        <v/>
      </c>
      <c r="B55" s="60" t="str">
        <f>PRODUCTS!A59</f>
        <v/>
      </c>
      <c r="C55" s="60" t="str">
        <f t="shared" si="1"/>
        <v/>
      </c>
    </row>
    <row r="56" ht="15.75" customHeight="1">
      <c r="A56" s="60" t="str">
        <f>'RAW MATERIALS'!A59</f>
        <v/>
      </c>
      <c r="B56" s="60" t="str">
        <f>PRODUCTS!A60</f>
        <v/>
      </c>
      <c r="C56" s="60" t="str">
        <f t="shared" si="1"/>
        <v/>
      </c>
    </row>
    <row r="57" ht="15.75" customHeight="1">
      <c r="A57" s="60" t="str">
        <f>'RAW MATERIALS'!A60</f>
        <v/>
      </c>
      <c r="B57" s="60" t="str">
        <f>PRODUCTS!A61</f>
        <v/>
      </c>
      <c r="C57" s="60" t="str">
        <f t="shared" si="1"/>
        <v/>
      </c>
    </row>
    <row r="58" ht="15.75" customHeight="1">
      <c r="A58" s="60" t="str">
        <f>'RAW MATERIALS'!A61</f>
        <v/>
      </c>
      <c r="B58" s="60" t="str">
        <f>PRODUCTS!A62</f>
        <v/>
      </c>
      <c r="C58" s="60" t="str">
        <f t="shared" si="1"/>
        <v/>
      </c>
    </row>
    <row r="59" ht="15.75" customHeight="1">
      <c r="A59" s="60" t="str">
        <f>'RAW MATERIALS'!A62</f>
        <v/>
      </c>
      <c r="B59" s="60" t="str">
        <f>PRODUCTS!A63</f>
        <v/>
      </c>
      <c r="C59" s="60" t="str">
        <f t="shared" si="1"/>
        <v/>
      </c>
    </row>
    <row r="60" ht="15.75" customHeight="1">
      <c r="A60" s="60" t="str">
        <f>'RAW MATERIALS'!A63</f>
        <v/>
      </c>
      <c r="B60" s="60" t="str">
        <f>PRODUCTS!A64</f>
        <v/>
      </c>
      <c r="C60" s="60" t="str">
        <f t="shared" si="1"/>
        <v/>
      </c>
    </row>
    <row r="61" ht="15.75" customHeight="1">
      <c r="A61" s="60" t="str">
        <f>'RAW MATERIALS'!A64</f>
        <v/>
      </c>
      <c r="B61" s="60" t="str">
        <f>PRODUCTS!A65</f>
        <v/>
      </c>
      <c r="C61" s="60" t="str">
        <f t="shared" si="1"/>
        <v/>
      </c>
    </row>
    <row r="62" ht="15.75" customHeight="1">
      <c r="A62" s="60" t="str">
        <f>'RAW MATERIALS'!A65</f>
        <v/>
      </c>
      <c r="B62" s="60" t="str">
        <f>PRODUCTS!A66</f>
        <v/>
      </c>
      <c r="C62" s="60" t="str">
        <f t="shared" si="1"/>
        <v/>
      </c>
    </row>
    <row r="63" ht="15.75" customHeight="1">
      <c r="A63" s="60" t="str">
        <f>'RAW MATERIALS'!A66</f>
        <v/>
      </c>
      <c r="B63" s="60" t="str">
        <f>PRODUCTS!A67</f>
        <v/>
      </c>
      <c r="C63" s="60" t="str">
        <f t="shared" si="1"/>
        <v/>
      </c>
    </row>
    <row r="64" ht="15.75" customHeight="1">
      <c r="A64" s="60" t="str">
        <f>'RAW MATERIALS'!A67</f>
        <v/>
      </c>
      <c r="B64" s="60" t="str">
        <f>PRODUCTS!A68</f>
        <v/>
      </c>
      <c r="C64" s="60" t="str">
        <f t="shared" si="1"/>
        <v/>
      </c>
    </row>
    <row r="65" ht="15.75" customHeight="1">
      <c r="A65" s="60" t="str">
        <f>'RAW MATERIALS'!A68</f>
        <v/>
      </c>
      <c r="B65" s="60" t="str">
        <f>PRODUCTS!A69</f>
        <v/>
      </c>
      <c r="C65" s="60" t="str">
        <f t="shared" si="1"/>
        <v/>
      </c>
    </row>
    <row r="66" ht="15.75" customHeight="1">
      <c r="A66" s="60" t="str">
        <f>'RAW MATERIALS'!A69</f>
        <v/>
      </c>
      <c r="B66" s="60" t="str">
        <f>PRODUCTS!A70</f>
        <v/>
      </c>
      <c r="C66" s="60" t="str">
        <f t="shared" si="1"/>
        <v/>
      </c>
    </row>
    <row r="67" ht="15.75" customHeight="1">
      <c r="A67" s="60" t="str">
        <f>'RAW MATERIALS'!A70</f>
        <v/>
      </c>
      <c r="B67" s="60" t="str">
        <f>PRODUCTS!A71</f>
        <v/>
      </c>
      <c r="C67" s="60" t="str">
        <f t="shared" si="1"/>
        <v/>
      </c>
    </row>
    <row r="68" ht="15.75" customHeight="1">
      <c r="A68" s="60" t="str">
        <f>'RAW MATERIALS'!A71</f>
        <v/>
      </c>
      <c r="B68" s="60" t="str">
        <f>PRODUCTS!A72</f>
        <v/>
      </c>
      <c r="C68" s="60" t="str">
        <f t="shared" si="1"/>
        <v/>
      </c>
    </row>
    <row r="69" ht="15.75" customHeight="1">
      <c r="A69" s="60" t="str">
        <f>'RAW MATERIALS'!A72</f>
        <v/>
      </c>
      <c r="B69" s="60" t="str">
        <f>PRODUCTS!A73</f>
        <v/>
      </c>
      <c r="C69" s="60" t="str">
        <f t="shared" si="1"/>
        <v/>
      </c>
    </row>
    <row r="70" ht="15.75" customHeight="1">
      <c r="A70" s="60" t="str">
        <f>'RAW MATERIALS'!A73</f>
        <v/>
      </c>
      <c r="B70" s="60" t="str">
        <f>PRODUCTS!A74</f>
        <v/>
      </c>
      <c r="C70" s="60" t="str">
        <f t="shared" si="1"/>
        <v/>
      </c>
    </row>
    <row r="71" ht="15.75" customHeight="1">
      <c r="A71" s="60" t="str">
        <f>'RAW MATERIALS'!A74</f>
        <v/>
      </c>
      <c r="B71" s="60" t="str">
        <f>PRODUCTS!A75</f>
        <v/>
      </c>
      <c r="C71" s="60" t="str">
        <f t="shared" si="1"/>
        <v/>
      </c>
    </row>
    <row r="72" ht="15.75" customHeight="1">
      <c r="A72" s="60" t="str">
        <f>'RAW MATERIALS'!A75</f>
        <v/>
      </c>
      <c r="B72" s="60" t="str">
        <f>PRODUCTS!A76</f>
        <v/>
      </c>
      <c r="C72" s="60" t="str">
        <f t="shared" si="1"/>
        <v/>
      </c>
    </row>
    <row r="73" ht="15.75" customHeight="1">
      <c r="A73" s="60" t="str">
        <f>'RAW MATERIALS'!A76</f>
        <v/>
      </c>
      <c r="B73" s="60" t="str">
        <f>PRODUCTS!A77</f>
        <v/>
      </c>
      <c r="C73" s="60" t="str">
        <f t="shared" si="1"/>
        <v/>
      </c>
    </row>
    <row r="74" ht="15.75" customHeight="1">
      <c r="A74" s="60" t="str">
        <f>'RAW MATERIALS'!A77</f>
        <v/>
      </c>
      <c r="B74" s="60" t="str">
        <f>PRODUCTS!A78</f>
        <v/>
      </c>
      <c r="C74" s="60" t="str">
        <f t="shared" si="1"/>
        <v/>
      </c>
    </row>
    <row r="75" ht="15.75" customHeight="1">
      <c r="A75" s="60" t="str">
        <f>'RAW MATERIALS'!A78</f>
        <v/>
      </c>
      <c r="B75" s="60" t="str">
        <f>PRODUCTS!A79</f>
        <v/>
      </c>
      <c r="C75" s="60" t="str">
        <f t="shared" si="1"/>
        <v/>
      </c>
    </row>
    <row r="76" ht="15.75" customHeight="1">
      <c r="A76" s="60" t="str">
        <f>'RAW MATERIALS'!A79</f>
        <v/>
      </c>
      <c r="B76" s="60" t="str">
        <f>PRODUCTS!A80</f>
        <v/>
      </c>
      <c r="C76" s="60" t="str">
        <f t="shared" si="1"/>
        <v/>
      </c>
    </row>
    <row r="77" ht="15.75" customHeight="1">
      <c r="A77" s="60" t="str">
        <f>'RAW MATERIALS'!A80</f>
        <v/>
      </c>
      <c r="B77" s="60" t="str">
        <f>PRODUCTS!A81</f>
        <v/>
      </c>
      <c r="C77" s="60" t="str">
        <f t="shared" si="1"/>
        <v/>
      </c>
    </row>
    <row r="78" ht="15.75" customHeight="1">
      <c r="A78" s="60" t="str">
        <f>'RAW MATERIALS'!A81</f>
        <v/>
      </c>
      <c r="B78" s="60" t="str">
        <f>PRODUCTS!A82</f>
        <v/>
      </c>
      <c r="C78" s="60" t="str">
        <f t="shared" si="1"/>
        <v/>
      </c>
    </row>
    <row r="79" ht="15.75" customHeight="1">
      <c r="A79" s="60" t="str">
        <f>'RAW MATERIALS'!A82</f>
        <v/>
      </c>
      <c r="B79" s="60" t="str">
        <f>PRODUCTS!A83</f>
        <v/>
      </c>
      <c r="C79" s="60" t="str">
        <f t="shared" si="1"/>
        <v/>
      </c>
    </row>
    <row r="80" ht="15.75" customHeight="1">
      <c r="A80" s="60" t="str">
        <f>'RAW MATERIALS'!A83</f>
        <v/>
      </c>
      <c r="B80" s="60" t="str">
        <f>PRODUCTS!A84</f>
        <v/>
      </c>
      <c r="C80" s="60" t="str">
        <f t="shared" si="1"/>
        <v/>
      </c>
    </row>
    <row r="81" ht="15.75" customHeight="1">
      <c r="A81" s="60" t="str">
        <f>'RAW MATERIALS'!A84</f>
        <v/>
      </c>
      <c r="B81" s="60" t="str">
        <f>PRODUCTS!A85</f>
        <v/>
      </c>
      <c r="C81" s="60" t="str">
        <f t="shared" si="1"/>
        <v/>
      </c>
    </row>
    <row r="82" ht="15.75" customHeight="1">
      <c r="A82" s="60" t="str">
        <f>'RAW MATERIALS'!A85</f>
        <v/>
      </c>
      <c r="B82" s="60" t="str">
        <f>PRODUCTS!A86</f>
        <v/>
      </c>
      <c r="C82" s="60" t="str">
        <f t="shared" si="1"/>
        <v/>
      </c>
    </row>
    <row r="83" ht="15.75" customHeight="1">
      <c r="A83" s="60" t="str">
        <f>'RAW MATERIALS'!A86</f>
        <v/>
      </c>
      <c r="B83" s="60" t="str">
        <f>PRODUCTS!A87</f>
        <v/>
      </c>
      <c r="C83" s="60" t="str">
        <f t="shared" si="1"/>
        <v/>
      </c>
    </row>
    <row r="84" ht="15.75" customHeight="1">
      <c r="A84" s="60" t="str">
        <f>'RAW MATERIALS'!A87</f>
        <v/>
      </c>
      <c r="B84" s="60" t="str">
        <f>PRODUCTS!A88</f>
        <v/>
      </c>
      <c r="C84" s="60" t="str">
        <f t="shared" si="1"/>
        <v/>
      </c>
    </row>
    <row r="85" ht="15.75" customHeight="1">
      <c r="B85" s="59" t="str">
        <f>PRODUCTS!A83</f>
        <v/>
      </c>
    </row>
    <row r="86" ht="15.75" customHeight="1">
      <c r="B86" s="59" t="str">
        <f>PRODUCTS!A84</f>
        <v/>
      </c>
    </row>
    <row r="87" ht="15.75" customHeight="1">
      <c r="B87" s="59" t="str">
        <f>PRODUCTS!A85</f>
        <v/>
      </c>
    </row>
    <row r="88" ht="15.75" customHeight="1">
      <c r="B88" s="59" t="str">
        <f>PRODUCTS!A86</f>
        <v/>
      </c>
    </row>
    <row r="89" ht="15.75" customHeight="1">
      <c r="B89" s="59" t="str">
        <f>PRODUCTS!A87</f>
        <v/>
      </c>
    </row>
    <row r="90" ht="15.75" customHeight="1">
      <c r="B90" s="59" t="str">
        <f>PRODUCTS!A88</f>
        <v/>
      </c>
    </row>
    <row r="91" ht="15.75" customHeight="1">
      <c r="B91" s="59" t="str">
        <f>PRODUCTS!A89</f>
        <v/>
      </c>
    </row>
    <row r="92" ht="15.75" customHeight="1">
      <c r="B92" s="59" t="str">
        <f>PRODUCTS!A90</f>
        <v/>
      </c>
    </row>
    <row r="93" ht="15.75" customHeight="1">
      <c r="B93" s="59" t="str">
        <f>PRODUCTS!A91</f>
        <v/>
      </c>
    </row>
    <row r="94" ht="15.75" customHeight="1">
      <c r="B94" s="59" t="str">
        <f>PRODUCTS!A92</f>
        <v/>
      </c>
    </row>
    <row r="95" ht="15.75" customHeight="1">
      <c r="B95" s="59" t="str">
        <f>PRODUCTS!A93</f>
        <v/>
      </c>
    </row>
    <row r="96" ht="15.75" customHeight="1">
      <c r="B96" s="59" t="str">
        <f>PRODUCTS!A94</f>
        <v/>
      </c>
    </row>
    <row r="97" ht="15.75" customHeight="1">
      <c r="B97" s="59" t="str">
        <f>PRODUCTS!A95</f>
        <v/>
      </c>
    </row>
    <row r="98" ht="15.75" customHeight="1">
      <c r="B98" s="59" t="str">
        <f>PRODUCTS!A96</f>
        <v/>
      </c>
    </row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>
      <c r="C122" s="59" t="str">
        <f t="shared" ref="C122:C195" si="2">B25</f>
        <v/>
      </c>
    </row>
    <row r="123" ht="15.75" customHeight="1">
      <c r="C123" s="59" t="str">
        <f t="shared" si="2"/>
        <v/>
      </c>
    </row>
    <row r="124" ht="15.75" customHeight="1">
      <c r="C124" s="59" t="str">
        <f t="shared" si="2"/>
        <v/>
      </c>
    </row>
    <row r="125" ht="15.75" customHeight="1">
      <c r="C125" s="59" t="str">
        <f t="shared" si="2"/>
        <v/>
      </c>
    </row>
    <row r="126" ht="15.75" customHeight="1">
      <c r="C126" s="59" t="str">
        <f t="shared" si="2"/>
        <v/>
      </c>
    </row>
    <row r="127" ht="15.75" customHeight="1">
      <c r="C127" s="59" t="str">
        <f t="shared" si="2"/>
        <v/>
      </c>
    </row>
    <row r="128" ht="15.75" customHeight="1">
      <c r="C128" s="59" t="str">
        <f t="shared" si="2"/>
        <v/>
      </c>
    </row>
    <row r="129" ht="15.75" customHeight="1">
      <c r="C129" s="59" t="str">
        <f t="shared" si="2"/>
        <v/>
      </c>
    </row>
    <row r="130" ht="15.75" customHeight="1">
      <c r="C130" s="59" t="str">
        <f t="shared" si="2"/>
        <v/>
      </c>
    </row>
    <row r="131" ht="15.75" customHeight="1">
      <c r="C131" s="59" t="str">
        <f t="shared" si="2"/>
        <v/>
      </c>
    </row>
    <row r="132" ht="15.75" customHeight="1">
      <c r="C132" s="59" t="str">
        <f t="shared" si="2"/>
        <v/>
      </c>
    </row>
    <row r="133" ht="15.75" customHeight="1">
      <c r="C133" s="59" t="str">
        <f t="shared" si="2"/>
        <v/>
      </c>
    </row>
    <row r="134" ht="15.75" customHeight="1">
      <c r="C134" s="59" t="str">
        <f t="shared" si="2"/>
        <v/>
      </c>
    </row>
    <row r="135" ht="15.75" customHeight="1">
      <c r="C135" s="59" t="str">
        <f t="shared" si="2"/>
        <v/>
      </c>
    </row>
    <row r="136" ht="15.75" customHeight="1">
      <c r="C136" s="59" t="str">
        <f t="shared" si="2"/>
        <v/>
      </c>
    </row>
    <row r="137" ht="15.75" customHeight="1">
      <c r="C137" s="59" t="str">
        <f t="shared" si="2"/>
        <v/>
      </c>
    </row>
    <row r="138" ht="15.75" customHeight="1">
      <c r="C138" s="59" t="str">
        <f t="shared" si="2"/>
        <v/>
      </c>
    </row>
    <row r="139" ht="15.75" customHeight="1">
      <c r="C139" s="59" t="str">
        <f t="shared" si="2"/>
        <v/>
      </c>
    </row>
    <row r="140" ht="15.75" customHeight="1">
      <c r="C140" s="59" t="str">
        <f t="shared" si="2"/>
        <v/>
      </c>
    </row>
    <row r="141" ht="15.75" customHeight="1">
      <c r="C141" s="59" t="str">
        <f t="shared" si="2"/>
        <v/>
      </c>
    </row>
    <row r="142" ht="15.75" customHeight="1">
      <c r="C142" s="59" t="str">
        <f t="shared" si="2"/>
        <v/>
      </c>
    </row>
    <row r="143" ht="15.75" customHeight="1">
      <c r="C143" s="59" t="str">
        <f t="shared" si="2"/>
        <v/>
      </c>
    </row>
    <row r="144" ht="15.75" customHeight="1">
      <c r="C144" s="59" t="str">
        <f t="shared" si="2"/>
        <v/>
      </c>
    </row>
    <row r="145" ht="15.75" customHeight="1">
      <c r="C145" s="59" t="str">
        <f t="shared" si="2"/>
        <v/>
      </c>
    </row>
    <row r="146" ht="15.75" customHeight="1">
      <c r="C146" s="59" t="str">
        <f t="shared" si="2"/>
        <v/>
      </c>
    </row>
    <row r="147" ht="15.75" customHeight="1">
      <c r="C147" s="59" t="str">
        <f t="shared" si="2"/>
        <v/>
      </c>
    </row>
    <row r="148" ht="15.75" customHeight="1">
      <c r="C148" s="59" t="str">
        <f t="shared" si="2"/>
        <v/>
      </c>
    </row>
    <row r="149" ht="15.75" customHeight="1">
      <c r="C149" s="59" t="str">
        <f t="shared" si="2"/>
        <v/>
      </c>
    </row>
    <row r="150" ht="15.75" customHeight="1">
      <c r="C150" s="59" t="str">
        <f t="shared" si="2"/>
        <v/>
      </c>
    </row>
    <row r="151" ht="15.75" customHeight="1">
      <c r="C151" s="59" t="str">
        <f t="shared" si="2"/>
        <v/>
      </c>
    </row>
    <row r="152" ht="15.75" customHeight="1">
      <c r="C152" s="59" t="str">
        <f t="shared" si="2"/>
        <v/>
      </c>
    </row>
    <row r="153" ht="15.75" customHeight="1">
      <c r="C153" s="59" t="str">
        <f t="shared" si="2"/>
        <v/>
      </c>
    </row>
    <row r="154" ht="15.75" customHeight="1">
      <c r="C154" s="59" t="str">
        <f t="shared" si="2"/>
        <v/>
      </c>
    </row>
    <row r="155" ht="15.75" customHeight="1">
      <c r="C155" s="59" t="str">
        <f t="shared" si="2"/>
        <v/>
      </c>
    </row>
    <row r="156" ht="15.75" customHeight="1">
      <c r="C156" s="59" t="str">
        <f t="shared" si="2"/>
        <v/>
      </c>
    </row>
    <row r="157" ht="15.75" customHeight="1">
      <c r="C157" s="59" t="str">
        <f t="shared" si="2"/>
        <v/>
      </c>
    </row>
    <row r="158" ht="15.75" customHeight="1">
      <c r="C158" s="59" t="str">
        <f t="shared" si="2"/>
        <v/>
      </c>
    </row>
    <row r="159" ht="15.75" customHeight="1">
      <c r="C159" s="59" t="str">
        <f t="shared" si="2"/>
        <v/>
      </c>
    </row>
    <row r="160" ht="15.75" customHeight="1">
      <c r="C160" s="59" t="str">
        <f t="shared" si="2"/>
        <v/>
      </c>
    </row>
    <row r="161" ht="15.75" customHeight="1">
      <c r="C161" s="59" t="str">
        <f t="shared" si="2"/>
        <v/>
      </c>
    </row>
    <row r="162" ht="15.75" customHeight="1">
      <c r="C162" s="59" t="str">
        <f t="shared" si="2"/>
        <v/>
      </c>
    </row>
    <row r="163" ht="15.75" customHeight="1">
      <c r="C163" s="59" t="str">
        <f t="shared" si="2"/>
        <v/>
      </c>
    </row>
    <row r="164" ht="15.75" customHeight="1">
      <c r="C164" s="59" t="str">
        <f t="shared" si="2"/>
        <v/>
      </c>
    </row>
    <row r="165" ht="15.75" customHeight="1">
      <c r="C165" s="59" t="str">
        <f t="shared" si="2"/>
        <v/>
      </c>
    </row>
    <row r="166" ht="15.75" customHeight="1">
      <c r="C166" s="59" t="str">
        <f t="shared" si="2"/>
        <v/>
      </c>
    </row>
    <row r="167" ht="15.75" customHeight="1">
      <c r="C167" s="59" t="str">
        <f t="shared" si="2"/>
        <v/>
      </c>
    </row>
    <row r="168" ht="15.75" customHeight="1">
      <c r="C168" s="59" t="str">
        <f t="shared" si="2"/>
        <v/>
      </c>
    </row>
    <row r="169" ht="15.75" customHeight="1">
      <c r="C169" s="59" t="str">
        <f t="shared" si="2"/>
        <v/>
      </c>
    </row>
    <row r="170" ht="15.75" customHeight="1">
      <c r="C170" s="59" t="str">
        <f t="shared" si="2"/>
        <v/>
      </c>
    </row>
    <row r="171" ht="15.75" customHeight="1">
      <c r="C171" s="59" t="str">
        <f t="shared" si="2"/>
        <v/>
      </c>
    </row>
    <row r="172" ht="15.75" customHeight="1">
      <c r="C172" s="59" t="str">
        <f t="shared" si="2"/>
        <v/>
      </c>
    </row>
    <row r="173" ht="15.75" customHeight="1">
      <c r="C173" s="59" t="str">
        <f t="shared" si="2"/>
        <v/>
      </c>
    </row>
    <row r="174" ht="15.75" customHeight="1">
      <c r="C174" s="59" t="str">
        <f t="shared" si="2"/>
        <v/>
      </c>
    </row>
    <row r="175" ht="15.75" customHeight="1">
      <c r="C175" s="59" t="str">
        <f t="shared" si="2"/>
        <v/>
      </c>
    </row>
    <row r="176" ht="15.75" customHeight="1">
      <c r="C176" s="59" t="str">
        <f t="shared" si="2"/>
        <v/>
      </c>
    </row>
    <row r="177" ht="15.75" customHeight="1">
      <c r="C177" s="59" t="str">
        <f t="shared" si="2"/>
        <v/>
      </c>
    </row>
    <row r="178" ht="15.75" customHeight="1">
      <c r="C178" s="59" t="str">
        <f t="shared" si="2"/>
        <v/>
      </c>
    </row>
    <row r="179" ht="15.75" customHeight="1">
      <c r="C179" s="59" t="str">
        <f t="shared" si="2"/>
        <v/>
      </c>
    </row>
    <row r="180" ht="15.75" customHeight="1">
      <c r="C180" s="59" t="str">
        <f t="shared" si="2"/>
        <v/>
      </c>
    </row>
    <row r="181" ht="15.75" customHeight="1">
      <c r="C181" s="59" t="str">
        <f t="shared" si="2"/>
        <v/>
      </c>
    </row>
    <row r="182" ht="15.75" customHeight="1">
      <c r="C182" s="59" t="str">
        <f t="shared" si="2"/>
        <v/>
      </c>
    </row>
    <row r="183" ht="15.75" customHeight="1">
      <c r="C183" s="59" t="str">
        <f t="shared" si="2"/>
        <v/>
      </c>
    </row>
    <row r="184" ht="15.75" customHeight="1">
      <c r="C184" s="59" t="str">
        <f t="shared" si="2"/>
        <v/>
      </c>
    </row>
    <row r="185" ht="15.75" customHeight="1">
      <c r="C185" s="59" t="str">
        <f t="shared" si="2"/>
        <v/>
      </c>
    </row>
    <row r="186" ht="15.75" customHeight="1">
      <c r="C186" s="59" t="str">
        <f t="shared" si="2"/>
        <v/>
      </c>
    </row>
    <row r="187" ht="15.75" customHeight="1">
      <c r="C187" s="59" t="str">
        <f t="shared" si="2"/>
        <v/>
      </c>
    </row>
    <row r="188" ht="15.75" customHeight="1">
      <c r="C188" s="59" t="str">
        <f t="shared" si="2"/>
        <v/>
      </c>
    </row>
    <row r="189" ht="15.75" customHeight="1">
      <c r="C189" s="59" t="str">
        <f t="shared" si="2"/>
        <v/>
      </c>
    </row>
    <row r="190" ht="15.75" customHeight="1">
      <c r="C190" s="59" t="str">
        <f t="shared" si="2"/>
        <v/>
      </c>
    </row>
    <row r="191" ht="15.75" customHeight="1">
      <c r="C191" s="59" t="str">
        <f t="shared" si="2"/>
        <v/>
      </c>
    </row>
    <row r="192" ht="15.75" customHeight="1">
      <c r="C192" s="59" t="str">
        <f t="shared" si="2"/>
        <v/>
      </c>
    </row>
    <row r="193" ht="15.75" customHeight="1">
      <c r="C193" s="59" t="str">
        <f t="shared" si="2"/>
        <v/>
      </c>
    </row>
    <row r="194" ht="15.75" customHeight="1">
      <c r="C194" s="59" t="str">
        <f t="shared" si="2"/>
        <v/>
      </c>
    </row>
    <row r="195" ht="15.75" customHeight="1">
      <c r="C195" s="59" t="str">
        <f t="shared" si="2"/>
        <v/>
      </c>
    </row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22.86"/>
    <col customWidth="1" min="2" max="2" width="16.14"/>
    <col customWidth="1" min="3" max="3" width="16.57"/>
    <col customWidth="1" min="4" max="4" width="15.71"/>
    <col customWidth="1" min="5" max="5" width="15.29"/>
    <col customWidth="1" min="6" max="6" width="14.43"/>
    <col customWidth="1" min="7" max="7" width="13.14"/>
    <col customWidth="1" min="8" max="8" width="21.86"/>
    <col customWidth="1" min="9" max="26" width="8.71"/>
  </cols>
  <sheetData>
    <row r="1">
      <c r="A1" s="1" t="s">
        <v>0</v>
      </c>
      <c r="B1" s="1"/>
      <c r="C1" s="2"/>
      <c r="H1" s="3"/>
    </row>
    <row r="2">
      <c r="A2" s="4"/>
      <c r="B2" s="4"/>
      <c r="C2" s="5" t="s">
        <v>1</v>
      </c>
      <c r="D2" s="5"/>
      <c r="E2" s="6" t="s">
        <v>2</v>
      </c>
      <c r="F2" s="6" t="s">
        <v>4</v>
      </c>
      <c r="G2" s="6" t="s">
        <v>5</v>
      </c>
      <c r="H2" s="8"/>
    </row>
    <row r="3" ht="35.25" customHeight="1">
      <c r="A3" s="11"/>
      <c r="B3" s="11"/>
      <c r="C3" s="11"/>
      <c r="D3" s="11"/>
      <c r="E3" s="11"/>
      <c r="F3" s="11"/>
      <c r="G3" s="11"/>
      <c r="H3" s="17"/>
    </row>
    <row r="4" ht="35.25" customHeight="1">
      <c r="A4" s="18" t="s">
        <v>19</v>
      </c>
      <c r="B4" s="18" t="s">
        <v>23</v>
      </c>
      <c r="C4" s="18" t="s">
        <v>24</v>
      </c>
      <c r="D4" s="18" t="s">
        <v>25</v>
      </c>
      <c r="E4" s="18" t="s">
        <v>27</v>
      </c>
      <c r="F4" s="18" t="s">
        <v>28</v>
      </c>
      <c r="G4" s="18" t="s">
        <v>29</v>
      </c>
      <c r="H4" s="26" t="s">
        <v>30</v>
      </c>
    </row>
    <row r="5" ht="15.0" customHeight="1">
      <c r="A5" s="23" t="s">
        <v>22</v>
      </c>
      <c r="B5" s="27" t="s">
        <v>31</v>
      </c>
      <c r="C5" s="29">
        <v>10000.0</v>
      </c>
      <c r="D5" s="32">
        <v>5000.0</v>
      </c>
      <c r="E5" s="41">
        <f>IF($A5="","",IFERROR(SUMIFS(ORDERS!$F$8:$F$991,ORDERS!$E$8:$E$991,$A5,ORDERS!$B$8:$B$991,"PURCHASE",ORDERS!$D$8:$D$991,"&lt;="&amp;TODAY()),0))</f>
        <v>150000</v>
      </c>
      <c r="F5" s="41">
        <f>IF($A5="","",IFERROR($C5+$E5-SUMIF(BOM!$B$4:$B$334,$A5,BOM!$E$4:$E$334),0))</f>
        <v>4000</v>
      </c>
      <c r="G5" s="45" t="str">
        <f t="shared" ref="G5:G12" si="1">IF($A5="","",IF($F5&lt;=$D5,"YES","NO"))</f>
        <v>YES</v>
      </c>
      <c r="H5" s="48"/>
    </row>
    <row r="6" ht="22.5" customHeight="1">
      <c r="A6" s="33" t="s">
        <v>34</v>
      </c>
      <c r="B6" s="27" t="s">
        <v>31</v>
      </c>
      <c r="C6" s="29">
        <v>10000.0</v>
      </c>
      <c r="D6" s="32">
        <v>5000.0</v>
      </c>
      <c r="E6" s="41">
        <f>IF($A6="","",IFERROR(SUMIFS(ORDERS!$F$8:$F$991,ORDERS!$E$8:$E$991,$A6,ORDERS!$B$8:$B$991,"PURCHASE",ORDERS!$D$8:$D$991,"&lt;="&amp;TODAY()),0))</f>
        <v>0</v>
      </c>
      <c r="F6" s="41">
        <f>IF($A6="","",IFERROR($C6+$E6-SUMIF(BOM!$B$4:$B$334,$A6,BOM!$E$4:$E$334),0))</f>
        <v>8000</v>
      </c>
      <c r="G6" s="45" t="str">
        <f t="shared" si="1"/>
        <v>NO</v>
      </c>
      <c r="H6" s="48"/>
    </row>
    <row r="7" ht="22.5" customHeight="1">
      <c r="A7" s="33" t="s">
        <v>33</v>
      </c>
      <c r="B7" s="27" t="s">
        <v>31</v>
      </c>
      <c r="C7" s="29">
        <v>10000.0</v>
      </c>
      <c r="D7" s="32">
        <v>5000.0</v>
      </c>
      <c r="E7" s="41">
        <f>IF($A7="","",IFERROR(SUMIFS(ORDERS!$F$8:$F$991,ORDERS!$E$8:$E$991,$A7,ORDERS!$B$8:$B$991,"PURCHASE",ORDERS!$D$8:$D$991,"&lt;="&amp;TODAY()),0))</f>
        <v>100000</v>
      </c>
      <c r="F7" s="41">
        <f>IF($A7="","",IFERROR($C7+$E7-SUMIF(BOM!$B$4:$B$334,$A7,BOM!$E$4:$E$334),0))</f>
        <v>104000</v>
      </c>
      <c r="G7" s="45" t="str">
        <f t="shared" si="1"/>
        <v>NO</v>
      </c>
      <c r="H7" s="48"/>
    </row>
    <row r="8" ht="22.5" customHeight="1">
      <c r="A8" s="33" t="s">
        <v>51</v>
      </c>
      <c r="B8" s="27" t="s">
        <v>31</v>
      </c>
      <c r="C8" s="29">
        <v>10000.0</v>
      </c>
      <c r="D8" s="32">
        <v>5000.0</v>
      </c>
      <c r="E8" s="41">
        <f>IF($A8="","",IFERROR(SUMIFS(ORDERS!$F$8:$F$991,ORDERS!$E$8:$E$991,$A8,ORDERS!$B$8:$B$991,"PURCHASE",ORDERS!$D$8:$D$991,"&lt;="&amp;TODAY()),0))</f>
        <v>0</v>
      </c>
      <c r="F8" s="41">
        <f>IF($A8="","",IFERROR($C8+$E8-SUMIF(BOM!$B$4:$B$334,$A8,BOM!$E$4:$E$334),0))</f>
        <v>6000</v>
      </c>
      <c r="G8" s="45" t="str">
        <f t="shared" si="1"/>
        <v>NO</v>
      </c>
      <c r="H8" s="48"/>
    </row>
    <row r="9" ht="22.5" customHeight="1">
      <c r="A9" s="33" t="s">
        <v>55</v>
      </c>
      <c r="B9" s="27" t="s">
        <v>31</v>
      </c>
      <c r="C9" s="29">
        <v>10000.0</v>
      </c>
      <c r="D9" s="32">
        <v>5000.0</v>
      </c>
      <c r="E9" s="41">
        <f>IF($A9="","",IFERROR(SUMIFS(ORDERS!$F$8:$F$991,ORDERS!$E$8:$E$991,$A9,ORDERS!$B$8:$B$991,"PURCHASE",ORDERS!$D$8:$D$991,"&lt;="&amp;TODAY()),0))</f>
        <v>0</v>
      </c>
      <c r="F9" s="41">
        <f>IF($A9="","",IFERROR($C9+$E9-SUMIF(BOM!$B$4:$B$334,$A9,BOM!$E$4:$E$334),0))</f>
        <v>9000</v>
      </c>
      <c r="G9" s="45" t="str">
        <f t="shared" si="1"/>
        <v>NO</v>
      </c>
      <c r="H9" s="48"/>
    </row>
    <row r="10" ht="22.5" customHeight="1">
      <c r="A10" s="33" t="s">
        <v>56</v>
      </c>
      <c r="B10" s="23" t="s">
        <v>69</v>
      </c>
      <c r="C10" s="29">
        <v>10000.0</v>
      </c>
      <c r="D10" s="32">
        <v>5000.0</v>
      </c>
      <c r="E10" s="41">
        <f>IF($A10="","",IFERROR(SUMIFS(ORDERS!$F$8:$F$991,ORDERS!$E$8:$E$991,$A10,ORDERS!$B$8:$B$991,"PURCHASE",ORDERS!$D$8:$D$991,"&lt;="&amp;TODAY()),0))</f>
        <v>100000</v>
      </c>
      <c r="F10" s="41">
        <f>IF($A10="","",IFERROR($C10+$E10-SUMIF(BOM!$B$4:$B$334,$A10,BOM!$E$4:$E$334),0))</f>
        <v>104000</v>
      </c>
      <c r="G10" s="45" t="str">
        <f t="shared" si="1"/>
        <v>NO</v>
      </c>
      <c r="H10" s="48"/>
    </row>
    <row r="11" ht="22.5" customHeight="1">
      <c r="A11" s="33" t="s">
        <v>63</v>
      </c>
      <c r="B11" s="27" t="s">
        <v>31</v>
      </c>
      <c r="C11" s="29">
        <v>10000.0</v>
      </c>
      <c r="D11" s="32">
        <v>5000.0</v>
      </c>
      <c r="E11" s="41">
        <f>IF($A11="","",IFERROR(SUMIFS(ORDERS!$F$8:$F$991,ORDERS!$E$8:$E$991,$A11,ORDERS!$B$8:$B$991,"PURCHASE",ORDERS!$D$8:$D$991,"&lt;="&amp;TODAY()),0))</f>
        <v>0</v>
      </c>
      <c r="F11" s="41">
        <f>IF($A11="","",IFERROR($C11+$E11-SUMIF(BOM!$B$4:$B$334,$A11,BOM!$E$4:$E$334),0))</f>
        <v>8000</v>
      </c>
      <c r="G11" s="45" t="str">
        <f t="shared" si="1"/>
        <v>NO</v>
      </c>
      <c r="H11" s="48"/>
    </row>
    <row r="12" ht="22.5" customHeight="1">
      <c r="A12" s="33" t="s">
        <v>64</v>
      </c>
      <c r="B12" s="27" t="s">
        <v>31</v>
      </c>
      <c r="C12" s="29">
        <v>10000.0</v>
      </c>
      <c r="D12" s="32">
        <v>5000.0</v>
      </c>
      <c r="E12" s="41">
        <f>IF($A12="","",IFERROR(SUMIFS(ORDERS!$F$8:$F$991,ORDERS!$E$8:$E$991,$A12,ORDERS!$B$8:$B$991,"PURCHASE",ORDERS!$D$8:$D$991,"&lt;="&amp;TODAY()),0))</f>
        <v>0</v>
      </c>
      <c r="F12" s="41">
        <f>IF($A12="","",IFERROR($C12+$E12-SUMIF(BOM!$B$4:$B$334,$A12,BOM!$E$4:$E$334),0))</f>
        <v>10000</v>
      </c>
      <c r="G12" s="45" t="str">
        <f t="shared" si="1"/>
        <v>NO</v>
      </c>
      <c r="H12" s="48"/>
    </row>
    <row r="13" ht="22.5" customHeight="1">
      <c r="A13" s="33" t="s">
        <v>65</v>
      </c>
      <c r="B13" s="27" t="s">
        <v>31</v>
      </c>
      <c r="C13" s="29">
        <v>10000.0</v>
      </c>
      <c r="D13" s="32">
        <v>5000.0</v>
      </c>
      <c r="E13" s="41"/>
      <c r="F13" s="41"/>
      <c r="G13" s="45"/>
      <c r="H13" s="48"/>
    </row>
    <row r="14" ht="22.5" customHeight="1">
      <c r="A14" s="33"/>
      <c r="B14" s="27"/>
      <c r="C14" s="29"/>
      <c r="D14" s="32"/>
      <c r="E14" s="41"/>
      <c r="F14" s="41"/>
      <c r="G14" s="45"/>
      <c r="H14" s="48"/>
    </row>
    <row r="15" ht="22.5" customHeight="1">
      <c r="A15" s="33"/>
      <c r="B15" s="27"/>
      <c r="C15" s="29"/>
      <c r="D15" s="32"/>
      <c r="E15" s="41"/>
      <c r="F15" s="41"/>
      <c r="G15" s="45"/>
      <c r="H15" s="48"/>
    </row>
    <row r="16" ht="22.5" customHeight="1">
      <c r="A16" s="33"/>
      <c r="B16" s="27"/>
      <c r="C16" s="29"/>
      <c r="D16" s="32"/>
      <c r="E16" s="41"/>
      <c r="F16" s="41"/>
      <c r="G16" s="45"/>
      <c r="H16" s="48"/>
    </row>
    <row r="17" ht="22.5" customHeight="1">
      <c r="A17" s="33"/>
      <c r="B17" s="27"/>
      <c r="C17" s="29"/>
      <c r="D17" s="32"/>
      <c r="E17" s="41"/>
      <c r="F17" s="41"/>
      <c r="G17" s="45"/>
      <c r="H17" s="48"/>
    </row>
    <row r="18" ht="22.5" customHeight="1">
      <c r="A18" s="33"/>
      <c r="B18" s="27"/>
      <c r="C18" s="29"/>
      <c r="D18" s="32"/>
      <c r="E18" s="41"/>
      <c r="F18" s="41"/>
      <c r="G18" s="45"/>
      <c r="H18" s="48"/>
    </row>
    <row r="19" ht="22.5" customHeight="1">
      <c r="A19" s="33"/>
      <c r="B19" s="27"/>
      <c r="C19" s="29"/>
      <c r="D19" s="32"/>
      <c r="E19" s="41"/>
      <c r="F19" s="41"/>
      <c r="G19" s="45"/>
      <c r="H19" s="48"/>
    </row>
    <row r="20" ht="22.5" customHeight="1">
      <c r="A20" s="33"/>
      <c r="B20" s="27"/>
      <c r="C20" s="29"/>
      <c r="D20" s="32"/>
      <c r="E20" s="41"/>
      <c r="F20" s="41"/>
      <c r="G20" s="45"/>
      <c r="H20" s="48"/>
    </row>
    <row r="21" ht="22.5" customHeight="1">
      <c r="A21" s="33"/>
      <c r="B21" s="27"/>
      <c r="C21" s="29"/>
      <c r="D21" s="32"/>
      <c r="E21" s="41"/>
      <c r="F21" s="41"/>
      <c r="G21" s="45"/>
      <c r="H21" s="48"/>
    </row>
    <row r="22" ht="22.5" customHeight="1">
      <c r="A22" s="33"/>
      <c r="B22" s="27"/>
      <c r="C22" s="29"/>
      <c r="D22" s="32"/>
      <c r="E22" s="41"/>
      <c r="F22" s="41"/>
      <c r="G22" s="45"/>
      <c r="H22" s="48"/>
    </row>
    <row r="23" ht="22.5" customHeight="1">
      <c r="A23" s="33"/>
      <c r="B23" s="27"/>
      <c r="C23" s="29"/>
      <c r="D23" s="32"/>
      <c r="E23" s="41"/>
      <c r="F23" s="41"/>
      <c r="G23" s="45"/>
      <c r="H23" s="48"/>
    </row>
    <row r="24" ht="22.5" customHeight="1">
      <c r="A24" s="33"/>
      <c r="B24" s="27"/>
      <c r="C24" s="29"/>
      <c r="D24" s="32"/>
      <c r="E24" s="41"/>
      <c r="F24" s="41"/>
      <c r="G24" s="45"/>
      <c r="H24" s="48"/>
    </row>
    <row r="25" ht="22.5" customHeight="1">
      <c r="A25" s="33"/>
      <c r="B25" s="27"/>
      <c r="C25" s="29"/>
      <c r="D25" s="32"/>
      <c r="E25" s="41"/>
      <c r="F25" s="41"/>
      <c r="G25" s="45"/>
      <c r="H25" s="48"/>
    </row>
    <row r="26" ht="22.5" customHeight="1">
      <c r="A26" s="33"/>
      <c r="B26" s="27"/>
      <c r="C26" s="29"/>
      <c r="D26" s="32"/>
      <c r="E26" s="41"/>
      <c r="F26" s="41"/>
      <c r="G26" s="45"/>
      <c r="H26" s="48"/>
    </row>
    <row r="27" ht="22.5" customHeight="1">
      <c r="A27" s="33"/>
      <c r="B27" s="27"/>
      <c r="C27" s="29"/>
      <c r="D27" s="32"/>
      <c r="E27" s="41"/>
      <c r="F27" s="41"/>
      <c r="G27" s="45"/>
      <c r="H27" s="48"/>
    </row>
    <row r="28" ht="22.5" customHeight="1">
      <c r="A28" s="33"/>
      <c r="B28" s="27"/>
      <c r="C28" s="29"/>
      <c r="D28" s="32"/>
      <c r="E28" s="41"/>
      <c r="F28" s="41"/>
      <c r="G28" s="45"/>
      <c r="H28" s="48"/>
    </row>
    <row r="29" ht="22.5" customHeight="1">
      <c r="A29" s="33"/>
      <c r="B29" s="27"/>
      <c r="C29" s="29"/>
      <c r="D29" s="32"/>
      <c r="E29" s="41"/>
      <c r="F29" s="41"/>
      <c r="G29" s="45"/>
      <c r="H29" s="48"/>
    </row>
    <row r="30" ht="22.5" customHeight="1">
      <c r="A30" s="33"/>
      <c r="B30" s="27"/>
      <c r="C30" s="29"/>
      <c r="D30" s="32"/>
      <c r="E30" s="41"/>
      <c r="F30" s="41"/>
      <c r="G30" s="45"/>
      <c r="H30" s="48"/>
    </row>
    <row r="31" ht="22.5" customHeight="1">
      <c r="A31" s="33"/>
      <c r="B31" s="27"/>
      <c r="C31" s="29"/>
      <c r="D31" s="32"/>
      <c r="E31" s="41"/>
      <c r="F31" s="41"/>
      <c r="G31" s="45"/>
      <c r="H31" s="48"/>
    </row>
    <row r="32" ht="22.5" customHeight="1">
      <c r="A32" s="33"/>
      <c r="B32" s="27"/>
      <c r="C32" s="29"/>
      <c r="D32" s="32"/>
      <c r="E32" s="41"/>
      <c r="F32" s="41"/>
      <c r="G32" s="45"/>
      <c r="H32" s="48"/>
    </row>
    <row r="33" ht="22.5" customHeight="1">
      <c r="A33" s="33"/>
      <c r="B33" s="27"/>
      <c r="C33" s="29"/>
      <c r="D33" s="32"/>
      <c r="E33" s="41"/>
      <c r="F33" s="41"/>
      <c r="G33" s="45"/>
      <c r="H33" s="48"/>
    </row>
    <row r="34" ht="22.5" customHeight="1">
      <c r="A34" s="33"/>
      <c r="B34" s="27"/>
      <c r="C34" s="29"/>
      <c r="D34" s="32"/>
      <c r="E34" s="41"/>
      <c r="F34" s="41"/>
      <c r="G34" s="45"/>
      <c r="H34" s="48"/>
    </row>
    <row r="35" ht="22.5" customHeight="1">
      <c r="A35" s="33"/>
      <c r="B35" s="27"/>
      <c r="C35" s="29"/>
      <c r="D35" s="32"/>
      <c r="E35" s="41"/>
      <c r="F35" s="41"/>
      <c r="G35" s="45"/>
      <c r="H35" s="48"/>
    </row>
    <row r="36" ht="22.5" customHeight="1">
      <c r="A36" s="33"/>
      <c r="B36" s="27"/>
      <c r="C36" s="29"/>
      <c r="D36" s="32"/>
      <c r="E36" s="41"/>
      <c r="F36" s="41"/>
      <c r="G36" s="45"/>
      <c r="H36" s="48"/>
    </row>
    <row r="37" ht="22.5" customHeight="1">
      <c r="A37" s="33"/>
      <c r="B37" s="27"/>
      <c r="C37" s="29"/>
      <c r="D37" s="32"/>
      <c r="E37" s="41"/>
      <c r="F37" s="41"/>
      <c r="G37" s="45"/>
      <c r="H37" s="48"/>
    </row>
    <row r="38" ht="22.5" customHeight="1">
      <c r="A38" s="33"/>
      <c r="B38" s="27"/>
      <c r="C38" s="29"/>
      <c r="D38" s="32"/>
      <c r="E38" s="41"/>
      <c r="F38" s="41"/>
      <c r="G38" s="45"/>
      <c r="H38" s="48"/>
    </row>
    <row r="39" ht="22.5" customHeight="1">
      <c r="A39" s="33"/>
      <c r="B39" s="27"/>
      <c r="C39" s="29"/>
      <c r="D39" s="32"/>
      <c r="E39" s="41"/>
      <c r="F39" s="41"/>
      <c r="G39" s="45"/>
      <c r="H39" s="48"/>
    </row>
    <row r="40" ht="22.5" customHeight="1">
      <c r="A40" s="33"/>
      <c r="B40" s="27"/>
      <c r="C40" s="29"/>
      <c r="D40" s="32"/>
      <c r="E40" s="41"/>
      <c r="F40" s="41"/>
      <c r="G40" s="45"/>
      <c r="H40" s="48"/>
    </row>
    <row r="41" ht="22.5" customHeight="1">
      <c r="A41" s="33"/>
      <c r="B41" s="27"/>
      <c r="C41" s="29"/>
      <c r="D41" s="32"/>
      <c r="E41" s="41"/>
      <c r="F41" s="41"/>
      <c r="G41" s="45"/>
      <c r="H41" s="48"/>
    </row>
    <row r="42" ht="22.5" customHeight="1">
      <c r="A42" s="33"/>
      <c r="B42" s="27"/>
      <c r="C42" s="29"/>
      <c r="D42" s="32"/>
      <c r="E42" s="41"/>
      <c r="F42" s="41"/>
      <c r="G42" s="45"/>
      <c r="H42" s="48"/>
    </row>
    <row r="43" ht="22.5" customHeight="1">
      <c r="A43" s="33"/>
      <c r="B43" s="27"/>
      <c r="C43" s="29"/>
      <c r="D43" s="32"/>
      <c r="E43" s="41"/>
      <c r="F43" s="41"/>
      <c r="G43" s="45"/>
      <c r="H43" s="48"/>
    </row>
    <row r="44" ht="22.5" customHeight="1">
      <c r="A44" s="33"/>
      <c r="B44" s="27"/>
      <c r="C44" s="29"/>
      <c r="D44" s="32"/>
      <c r="E44" s="41"/>
      <c r="F44" s="41"/>
      <c r="G44" s="45"/>
      <c r="H44" s="48"/>
    </row>
    <row r="45" ht="22.5" customHeight="1">
      <c r="A45" s="33"/>
      <c r="B45" s="27"/>
      <c r="C45" s="29"/>
      <c r="D45" s="32"/>
      <c r="E45" s="41"/>
      <c r="F45" s="41"/>
      <c r="G45" s="45"/>
      <c r="H45" s="48"/>
    </row>
    <row r="46" ht="22.5" customHeight="1">
      <c r="A46" s="33"/>
      <c r="B46" s="27"/>
      <c r="C46" s="29"/>
      <c r="D46" s="32"/>
      <c r="E46" s="41"/>
      <c r="F46" s="41"/>
      <c r="G46" s="45"/>
      <c r="H46" s="48"/>
    </row>
    <row r="47" ht="22.5" customHeight="1">
      <c r="A47" s="33"/>
      <c r="B47" s="27"/>
      <c r="C47" s="29"/>
      <c r="D47" s="32"/>
      <c r="E47" s="41"/>
      <c r="F47" s="41"/>
      <c r="G47" s="45"/>
      <c r="H47" s="48"/>
    </row>
    <row r="48" ht="22.5" customHeight="1">
      <c r="A48" s="33"/>
      <c r="B48" s="27"/>
      <c r="C48" s="29"/>
      <c r="D48" s="32"/>
      <c r="E48" s="41"/>
      <c r="F48" s="41"/>
      <c r="G48" s="45"/>
      <c r="H48" s="48"/>
    </row>
    <row r="49" ht="22.5" customHeight="1">
      <c r="A49" s="33" t="s">
        <v>74</v>
      </c>
      <c r="B49" s="23" t="s">
        <v>75</v>
      </c>
      <c r="C49" s="29"/>
      <c r="D49" s="29">
        <v>5000.0</v>
      </c>
      <c r="E49" s="41">
        <f>IF($A49="","",IFERROR(SUMIFS(ORDERS!$F$8:$F$991,ORDERS!$E$8:$E$991,$A49,ORDERS!$B$8:$B$991,"PURCHASE",ORDERS!$D$8:$D$991,"&lt;="&amp;TODAY()),0))</f>
        <v>0</v>
      </c>
      <c r="F49" s="41">
        <f>IF($A49="","",IFERROR($C49+$E49-SUMIF(BOM!$B$4:$B$334,$A49,BOM!$E$4:$E$334),0))</f>
        <v>0</v>
      </c>
      <c r="G49" s="45" t="str">
        <f t="shared" ref="G49:G143" si="2">IF($A49="","",IF($F49&lt;=$D49,"YES","NO"))</f>
        <v>YES</v>
      </c>
      <c r="H49" s="48"/>
    </row>
    <row r="50">
      <c r="A50" s="46" t="s">
        <v>76</v>
      </c>
      <c r="B50" s="31" t="s">
        <v>75</v>
      </c>
      <c r="C50" s="71"/>
      <c r="D50" s="71">
        <v>5000.0</v>
      </c>
      <c r="E50" s="72">
        <f>IF($A50="","",IFERROR(SUMIFS(ORDERS!$F$8:$F$991,ORDERS!$E$8:$E$991,$A50,ORDERS!$B$8:$B$991,"PURCHASE",ORDERS!$D$8:$D$991,"&lt;="&amp;TODAY()),0))</f>
        <v>0</v>
      </c>
      <c r="F50" s="72">
        <f>IF($A50="","",IFERROR($C50+$E50-SUMIF(BOM!$B$4:$B$334,$A50,BOM!$E$4:$E$334),0))</f>
        <v>0</v>
      </c>
      <c r="G50" s="73" t="str">
        <f t="shared" si="2"/>
        <v>YES</v>
      </c>
      <c r="H50" s="74"/>
    </row>
    <row r="51">
      <c r="A51" s="46" t="s">
        <v>77</v>
      </c>
      <c r="B51" s="31" t="s">
        <v>75</v>
      </c>
      <c r="C51" s="71"/>
      <c r="D51" s="71">
        <v>5000.0</v>
      </c>
      <c r="E51" s="72">
        <f>IF($A51="","",IFERROR(SUMIFS(ORDERS!$F$8:$F$991,ORDERS!$E$8:$E$991,$A51,ORDERS!$B$8:$B$991,"PURCHASE",ORDERS!$D$8:$D$991,"&lt;="&amp;TODAY()),0))</f>
        <v>0</v>
      </c>
      <c r="F51" s="72">
        <f>IF($A51="","",IFERROR($C51+$E51-SUMIF(BOM!$B$4:$B$334,$A51,BOM!$E$4:$E$334),0))</f>
        <v>0</v>
      </c>
      <c r="G51" s="73" t="str">
        <f t="shared" si="2"/>
        <v>YES</v>
      </c>
      <c r="H51" s="74"/>
    </row>
    <row r="52">
      <c r="A52" s="46" t="s">
        <v>78</v>
      </c>
      <c r="B52" s="31" t="s">
        <v>79</v>
      </c>
      <c r="D52" s="71">
        <v>5000.0</v>
      </c>
      <c r="E52" s="72">
        <f>IF($A52="","",IFERROR(SUMIFS(ORDERS!$F$8:$F$991,ORDERS!$E$8:$E$991,$A52,ORDERS!$B$8:$B$991,"PURCHASE",ORDERS!$D$8:$D$991,"&lt;="&amp;TODAY()),0))</f>
        <v>0</v>
      </c>
      <c r="F52" s="72">
        <f>IF($A52="","",IFERROR($C53+$E52-SUMIF(BOM!$B$4:$B$334,$A52,BOM!$E$4:$E$334),0))</f>
        <v>0</v>
      </c>
      <c r="G52" s="73" t="str">
        <f t="shared" si="2"/>
        <v>YES</v>
      </c>
      <c r="H52" s="74"/>
    </row>
    <row r="53">
      <c r="A53" s="46" t="s">
        <v>80</v>
      </c>
      <c r="B53" s="31" t="s">
        <v>81</v>
      </c>
      <c r="C53" s="71"/>
      <c r="D53" s="71">
        <v>10000.0</v>
      </c>
      <c r="E53" s="72">
        <f>IF($A53="","",IFERROR(SUMIFS(ORDERS!$F$8:$F$991,ORDERS!$E$8:$E$991,$A53,ORDERS!$B$8:$B$991,"PURCHASE",ORDERS!$D$8:$D$991,"&lt;="&amp;TODAY()),0))</f>
        <v>0</v>
      </c>
      <c r="F53" s="72">
        <f>IF($A53="","",IFERROR($C54+$E53-SUMIF(BOM!$B$4:$B$334,$A53,BOM!$E$4:$E$334),0))</f>
        <v>0</v>
      </c>
      <c r="G53" s="73" t="str">
        <f t="shared" si="2"/>
        <v>YES</v>
      </c>
      <c r="H53" s="74"/>
    </row>
    <row r="54">
      <c r="A54" s="46" t="s">
        <v>82</v>
      </c>
      <c r="B54" s="31" t="s">
        <v>81</v>
      </c>
      <c r="C54" s="71"/>
      <c r="D54" s="71">
        <v>10000.0</v>
      </c>
      <c r="E54" s="72">
        <f>IF($A54="","",IFERROR(SUMIFS(ORDERS!$F$8:$F$991,ORDERS!$E$8:$E$991,$A54,ORDERS!$B$8:$B$991,"PURCHASE",ORDERS!$D$8:$D$991,"&lt;="&amp;TODAY()),0))</f>
        <v>0</v>
      </c>
      <c r="F54" s="72">
        <f>IF($A54="","",IFERROR(#REF!+$E54-SUMIF(BOM!$B$4:$B$334,$A54,BOM!$E$4:$E$334),0))</f>
        <v>0</v>
      </c>
      <c r="G54" s="73" t="str">
        <f t="shared" si="2"/>
        <v>YES</v>
      </c>
      <c r="H54" s="74"/>
    </row>
    <row r="55">
      <c r="A55" s="46" t="s">
        <v>83</v>
      </c>
      <c r="B55" s="31" t="s">
        <v>84</v>
      </c>
      <c r="C55" s="71"/>
      <c r="D55" s="71">
        <v>3000.0</v>
      </c>
      <c r="E55" s="72">
        <f>IF($A55="","",IFERROR(SUMIFS(ORDERS!$F$8:$F$991,ORDERS!$E$8:$E$991,$A55,ORDERS!$B$8:$B$991,"PURCHASE",ORDERS!$D$8:$D$991,"&lt;="&amp;TODAY()),0))</f>
        <v>0</v>
      </c>
      <c r="F55" s="72">
        <f>IF($A55="","",IFERROR($C55+$E55-SUMIF(BOM!$B$4:$B$334,$A55,BOM!$E$4:$E$334),0))</f>
        <v>0</v>
      </c>
      <c r="G55" s="73" t="str">
        <f t="shared" si="2"/>
        <v>YES</v>
      </c>
      <c r="H55" s="74"/>
    </row>
    <row r="56">
      <c r="A56" s="46" t="s">
        <v>85</v>
      </c>
      <c r="B56" s="31" t="s">
        <v>86</v>
      </c>
      <c r="C56" s="71"/>
      <c r="D56" s="71">
        <v>5000.0</v>
      </c>
      <c r="E56" s="72">
        <f>IF($A56="","",IFERROR(SUMIFS(ORDERS!$F$8:$F$991,ORDERS!$E$8:$E$991,$A56,ORDERS!$B$8:$B$991,"PURCHASE",ORDERS!$D$8:$D$991,"&lt;="&amp;TODAY()),0))</f>
        <v>0</v>
      </c>
      <c r="F56" s="72">
        <f>IF($A56="","",IFERROR($C56+$E56-SUMIF(BOM!$B$4:$B$334,$A56,BOM!$E$4:$E$334),0))</f>
        <v>0</v>
      </c>
      <c r="G56" s="73" t="str">
        <f t="shared" si="2"/>
        <v>YES</v>
      </c>
      <c r="H56" s="74"/>
    </row>
    <row r="57" ht="15.75" customHeight="1">
      <c r="A57" s="46" t="s">
        <v>87</v>
      </c>
      <c r="B57" s="31" t="s">
        <v>86</v>
      </c>
      <c r="C57" s="71"/>
      <c r="D57" s="71">
        <v>5000.0</v>
      </c>
      <c r="E57" s="72">
        <f>IF($A57="","",IFERROR(SUMIFS(ORDERS!$F$8:$F$991,ORDERS!$E$8:$E$991,$A57,ORDERS!$B$8:$B$991,"PURCHASE",ORDERS!$D$8:$D$991,"&lt;="&amp;TODAY()),0))</f>
        <v>0</v>
      </c>
      <c r="F57" s="72">
        <f>IF($A57="","",IFERROR($C57+$E57-SUMIF(BOM!$B$4:$B$334,$A57,BOM!$E$4:$E$334),0))</f>
        <v>0</v>
      </c>
      <c r="G57" s="73" t="str">
        <f t="shared" si="2"/>
        <v>YES</v>
      </c>
      <c r="H57" s="74"/>
    </row>
    <row r="58" ht="15.75" customHeight="1">
      <c r="A58" s="46" t="s">
        <v>88</v>
      </c>
      <c r="B58" s="31" t="s">
        <v>81</v>
      </c>
      <c r="C58" s="71"/>
      <c r="D58" s="71">
        <v>500.0</v>
      </c>
      <c r="E58" s="72">
        <f>IF($A58="","",IFERROR(SUMIFS(ORDERS!$F$8:$F$991,ORDERS!$E$8:$E$991,$A58,ORDERS!$B$8:$B$991,"PURCHASE",ORDERS!$D$8:$D$991,"&lt;="&amp;TODAY()),0))</f>
        <v>0</v>
      </c>
      <c r="F58" s="72">
        <f>IF($A58="","",IFERROR($C58+$E58-SUMIF(BOM!$B$4:$B$334,$A58,BOM!$E$4:$E$334),0))</f>
        <v>0</v>
      </c>
      <c r="G58" s="73" t="str">
        <f t="shared" si="2"/>
        <v>YES</v>
      </c>
      <c r="H58" s="74"/>
    </row>
    <row r="59" ht="15.75" customHeight="1">
      <c r="A59" s="46" t="s">
        <v>89</v>
      </c>
      <c r="B59" s="31" t="s">
        <v>81</v>
      </c>
      <c r="C59" s="71"/>
      <c r="D59" s="71">
        <v>2000.0</v>
      </c>
      <c r="E59" s="72">
        <f>IF($A59="","",IFERROR(SUMIFS(ORDERS!$F$8:$F$991,ORDERS!$E$8:$E$991,$A59,ORDERS!$B$8:$B$991,"PURCHASE",ORDERS!$D$8:$D$991,"&lt;="&amp;TODAY()),0))</f>
        <v>0</v>
      </c>
      <c r="F59" s="72">
        <f>IF($A59="","",IFERROR($C59+$E59-SUMIF(BOM!$B$4:$B$334,$A59,BOM!$E$4:$E$334),0))</f>
        <v>0</v>
      </c>
      <c r="G59" s="73" t="str">
        <f t="shared" si="2"/>
        <v>YES</v>
      </c>
      <c r="H59" s="74"/>
    </row>
    <row r="60" ht="15.75" customHeight="1">
      <c r="A60" s="46" t="s">
        <v>90</v>
      </c>
      <c r="B60" s="31" t="s">
        <v>81</v>
      </c>
      <c r="C60" s="71"/>
      <c r="D60" s="71">
        <v>6000.0</v>
      </c>
      <c r="E60" s="72">
        <f>IF($A60="","",IFERROR(SUMIFS(ORDERS!$F$8:$F$991,ORDERS!$E$8:$E$991,$A60,ORDERS!$B$8:$B$991,"PURCHASE",ORDERS!$D$8:$D$991,"&lt;="&amp;TODAY()),0))</f>
        <v>0</v>
      </c>
      <c r="F60" s="72">
        <f>IF($A60="","",IFERROR($C60+$E60-SUMIF(BOM!$B$4:$B$334,$A60,BOM!$E$4:$E$334),0))</f>
        <v>0</v>
      </c>
      <c r="G60" s="73" t="str">
        <f t="shared" si="2"/>
        <v>YES</v>
      </c>
      <c r="H60" s="74"/>
    </row>
    <row r="61" ht="15.75" customHeight="1">
      <c r="A61" s="46" t="s">
        <v>91</v>
      </c>
      <c r="B61" s="31" t="s">
        <v>81</v>
      </c>
      <c r="C61" s="71"/>
      <c r="D61" s="71">
        <v>1000.0</v>
      </c>
      <c r="E61" s="72">
        <f>IF($A61="","",IFERROR(SUMIFS(ORDERS!$F$8:$F$991,ORDERS!$E$8:$E$991,$A61,ORDERS!$B$8:$B$991,"PURCHASE",ORDERS!$D$8:$D$991,"&lt;="&amp;TODAY()),0))</f>
        <v>0</v>
      </c>
      <c r="F61" s="72">
        <f>IF($A61="","",IFERROR($C61+$E61-SUMIF(BOM!$B$4:$B$334,$A61,BOM!$E$4:$E$334),0))</f>
        <v>0</v>
      </c>
      <c r="G61" s="73" t="str">
        <f t="shared" si="2"/>
        <v>YES</v>
      </c>
      <c r="H61" s="74"/>
    </row>
    <row r="62" ht="15.75" customHeight="1">
      <c r="A62" s="46" t="s">
        <v>92</v>
      </c>
      <c r="B62" s="31" t="s">
        <v>81</v>
      </c>
      <c r="C62" s="71"/>
      <c r="D62" s="71">
        <v>2000.0</v>
      </c>
      <c r="E62" s="72">
        <f>IF($A62="","",IFERROR(SUMIFS(ORDERS!$F$8:$F$991,ORDERS!$E$8:$E$991,$A62,ORDERS!$B$8:$B$991,"PURCHASE",ORDERS!$D$8:$D$991,"&lt;="&amp;TODAY()),0))</f>
        <v>0</v>
      </c>
      <c r="F62" s="72">
        <f>IF($A62="","",IFERROR($C62+$E62-SUMIF(BOM!$B$4:$B$334,$A62,BOM!$E$4:$E$334),0))</f>
        <v>0</v>
      </c>
      <c r="G62" s="73" t="str">
        <f t="shared" si="2"/>
        <v>YES</v>
      </c>
      <c r="H62" s="74"/>
    </row>
    <row r="63" ht="15.75" customHeight="1">
      <c r="A63" s="46" t="s">
        <v>93</v>
      </c>
      <c r="B63" s="31" t="s">
        <v>81</v>
      </c>
      <c r="C63" s="71"/>
      <c r="D63" s="71">
        <v>1000.0</v>
      </c>
      <c r="E63" s="72">
        <f>IF($A63="","",IFERROR(SUMIFS(ORDERS!$F$8:$F$991,ORDERS!$E$8:$E$991,$A63,ORDERS!$B$8:$B$991,"PURCHASE",ORDERS!$D$8:$D$991,"&lt;="&amp;TODAY()),0))</f>
        <v>0</v>
      </c>
      <c r="F63" s="72">
        <f>IF($A63="","",IFERROR($C63+$E63-SUMIF(BOM!$B$4:$B$334,$A63,BOM!$E$4:$E$334),0))</f>
        <v>0</v>
      </c>
      <c r="G63" s="73" t="str">
        <f t="shared" si="2"/>
        <v>YES</v>
      </c>
      <c r="H63" s="74"/>
    </row>
    <row r="64" ht="15.75" customHeight="1">
      <c r="A64" s="46" t="s">
        <v>94</v>
      </c>
      <c r="B64" s="31" t="s">
        <v>81</v>
      </c>
      <c r="C64" s="71"/>
      <c r="D64" s="71">
        <v>500.0</v>
      </c>
      <c r="E64" s="72">
        <f>IF($A64="","",IFERROR(SUMIFS(ORDERS!$F$8:$F$991,ORDERS!$E$8:$E$991,$A64,ORDERS!$B$8:$B$991,"PURCHASE",ORDERS!$D$8:$D$991,"&lt;="&amp;TODAY()),0))</f>
        <v>0</v>
      </c>
      <c r="F64" s="72">
        <f>IF($A64="","",IFERROR($C64+$E64-SUMIF(BOM!$B$4:$B$334,$A64,BOM!$E$4:$E$334),0))</f>
        <v>0</v>
      </c>
      <c r="G64" s="73" t="str">
        <f t="shared" si="2"/>
        <v>YES</v>
      </c>
      <c r="H64" s="74"/>
    </row>
    <row r="65" ht="15.75" customHeight="1">
      <c r="A65" s="46" t="s">
        <v>95</v>
      </c>
      <c r="B65" s="31" t="s">
        <v>86</v>
      </c>
      <c r="C65" s="71"/>
      <c r="D65" s="71">
        <v>6000.0</v>
      </c>
      <c r="E65" s="72">
        <f>IF($A65="","",IFERROR(SUMIFS(ORDERS!$F$8:$F$991,ORDERS!$E$8:$E$991,$A65,ORDERS!$B$8:$B$991,"PURCHASE",ORDERS!$D$8:$D$991,"&lt;="&amp;TODAY()),0))</f>
        <v>0</v>
      </c>
      <c r="F65" s="72">
        <f>IF($A65="","",IFERROR($C65+$E65-SUMIF(BOM!$B$4:$B$334,$A65,BOM!$E$4:$E$334),0))</f>
        <v>0</v>
      </c>
      <c r="G65" s="73" t="str">
        <f t="shared" si="2"/>
        <v>YES</v>
      </c>
      <c r="H65" s="74"/>
    </row>
    <row r="66" ht="15.75" customHeight="1">
      <c r="A66" s="46" t="s">
        <v>96</v>
      </c>
      <c r="B66" s="31" t="s">
        <v>86</v>
      </c>
      <c r="C66" s="71"/>
      <c r="D66" s="71">
        <v>6000.0</v>
      </c>
      <c r="E66" s="72">
        <f>IF($A66="","",IFERROR(SUMIFS(ORDERS!$F$8:$F$991,ORDERS!$E$8:$E$991,$A66,ORDERS!$B$8:$B$991,"PURCHASE",ORDERS!$D$8:$D$991,"&lt;="&amp;TODAY()),0))</f>
        <v>0</v>
      </c>
      <c r="F66" s="72">
        <f>IF($A66="","",IFERROR($C66+$E66-SUMIF(BOM!$B$4:$B$334,$A66,BOM!$E$4:$E$334),0))</f>
        <v>0</v>
      </c>
      <c r="G66" s="73" t="str">
        <f t="shared" si="2"/>
        <v>YES</v>
      </c>
      <c r="H66" s="74"/>
    </row>
    <row r="67" ht="15.75" customHeight="1">
      <c r="A67" s="46" t="s">
        <v>97</v>
      </c>
      <c r="B67" s="31" t="s">
        <v>86</v>
      </c>
      <c r="C67" s="71"/>
      <c r="D67" s="71">
        <v>6000.0</v>
      </c>
      <c r="E67" s="72">
        <f>IF($A67="","",IFERROR(SUMIFS(ORDERS!$F$8:$F$991,ORDERS!$E$8:$E$991,$A67,ORDERS!$B$8:$B$991,"PURCHASE",ORDERS!$D$8:$D$991,"&lt;="&amp;TODAY()),0))</f>
        <v>0</v>
      </c>
      <c r="F67" s="72">
        <f>IF($A67="","",IFERROR($C67+$E67-SUMIF(BOM!$B$4:$B$334,$A67,BOM!$E$4:$E$334),0))</f>
        <v>0</v>
      </c>
      <c r="G67" s="73" t="str">
        <f t="shared" si="2"/>
        <v>YES</v>
      </c>
      <c r="H67" s="74"/>
    </row>
    <row r="68" ht="15.75" customHeight="1">
      <c r="A68" s="46" t="s">
        <v>98</v>
      </c>
      <c r="B68" s="31" t="s">
        <v>81</v>
      </c>
      <c r="C68" s="71"/>
      <c r="D68" s="71">
        <v>500.0</v>
      </c>
      <c r="E68" s="72">
        <f>IF($A68="","",IFERROR(SUMIFS(ORDERS!$F$8:$F$991,ORDERS!$E$8:$E$991,$A68,ORDERS!$B$8:$B$991,"PURCHASE",ORDERS!$D$8:$D$991,"&lt;="&amp;TODAY()),0))</f>
        <v>0</v>
      </c>
      <c r="F68" s="72">
        <f>IF($A68="","",IFERROR($C68+$E68-SUMIF(BOM!$B$4:$B$334,$A68,BOM!$E$4:$E$334),0))</f>
        <v>0</v>
      </c>
      <c r="G68" s="73" t="str">
        <f t="shared" si="2"/>
        <v>YES</v>
      </c>
      <c r="H68" s="74"/>
    </row>
    <row r="69" ht="15.75" customHeight="1">
      <c r="A69" s="46" t="s">
        <v>99</v>
      </c>
      <c r="B69" s="31" t="s">
        <v>81</v>
      </c>
      <c r="C69" s="71"/>
      <c r="D69" s="71">
        <v>2000.0</v>
      </c>
      <c r="E69" s="72">
        <f>IF($A69="","",IFERROR(SUMIFS(ORDERS!$F$8:$F$991,ORDERS!$E$8:$E$991,$A69,ORDERS!$B$8:$B$991,"PURCHASE",ORDERS!$D$8:$D$991,"&lt;="&amp;TODAY()),0))</f>
        <v>0</v>
      </c>
      <c r="F69" s="72">
        <f>IF($A69="","",IFERROR($C69+$E69-SUMIF(BOM!$B$4:$B$334,$A69,BOM!$E$4:$E$334),0))</f>
        <v>0</v>
      </c>
      <c r="G69" s="73" t="str">
        <f t="shared" si="2"/>
        <v>YES</v>
      </c>
      <c r="H69" s="74"/>
    </row>
    <row r="70" ht="15.75" customHeight="1">
      <c r="A70" s="46" t="s">
        <v>100</v>
      </c>
      <c r="B70" s="31" t="s">
        <v>81</v>
      </c>
      <c r="C70" s="71"/>
      <c r="D70" s="71">
        <v>6000.0</v>
      </c>
      <c r="E70" s="72">
        <f>IF($A70="","",IFERROR(SUMIFS(ORDERS!$F$8:$F$991,ORDERS!$E$8:$E$991,$A70,ORDERS!$B$8:$B$991,"PURCHASE",ORDERS!$D$8:$D$991,"&lt;="&amp;TODAY()),0))</f>
        <v>0</v>
      </c>
      <c r="F70" s="72">
        <f>IF($A70="","",IFERROR($C70+$E70-SUMIF(BOM!$B$4:$B$334,$A70,BOM!$E$4:$E$334),0))</f>
        <v>0</v>
      </c>
      <c r="G70" s="73" t="str">
        <f t="shared" si="2"/>
        <v>YES</v>
      </c>
      <c r="H70" s="74"/>
    </row>
    <row r="71" ht="15.75" customHeight="1">
      <c r="A71" s="46" t="s">
        <v>101</v>
      </c>
      <c r="B71" s="31" t="s">
        <v>81</v>
      </c>
      <c r="C71" s="71"/>
      <c r="D71" s="71">
        <v>1000.0</v>
      </c>
      <c r="E71" s="72">
        <f>IF($A71="","",IFERROR(SUMIFS(ORDERS!$F$8:$F$991,ORDERS!$E$8:$E$991,$A71,ORDERS!$B$8:$B$991,"PURCHASE",ORDERS!$D$8:$D$991,"&lt;="&amp;TODAY()),0))</f>
        <v>0</v>
      </c>
      <c r="F71" s="72">
        <f>IF($A71="","",IFERROR($C71+$E71-SUMIF(BOM!$B$4:$B$334,$A71,BOM!$E$4:$E$334),0))</f>
        <v>0</v>
      </c>
      <c r="G71" s="73" t="str">
        <f t="shared" si="2"/>
        <v>YES</v>
      </c>
      <c r="H71" s="74"/>
    </row>
    <row r="72" ht="15.75" customHeight="1">
      <c r="A72" s="46" t="s">
        <v>102</v>
      </c>
      <c r="B72" s="31" t="s">
        <v>81</v>
      </c>
      <c r="C72" s="71"/>
      <c r="D72" s="71">
        <v>2000.0</v>
      </c>
      <c r="E72" s="72">
        <f>IF($A72="","",IFERROR(SUMIFS(ORDERS!$F$8:$F$991,ORDERS!$E$8:$E$991,$A72,ORDERS!$B$8:$B$991,"PURCHASE",ORDERS!$D$8:$D$991,"&lt;="&amp;TODAY()),0))</f>
        <v>0</v>
      </c>
      <c r="F72" s="72">
        <f>IF($A72="","",IFERROR($C72+$E72-SUMIF(BOM!$B$4:$B$334,$A72,BOM!$E$4:$E$334),0))</f>
        <v>0</v>
      </c>
      <c r="G72" s="73" t="str">
        <f t="shared" si="2"/>
        <v>YES</v>
      </c>
      <c r="H72" s="74"/>
    </row>
    <row r="73" ht="15.75" customHeight="1">
      <c r="A73" s="46" t="s">
        <v>103</v>
      </c>
      <c r="B73" s="31" t="s">
        <v>81</v>
      </c>
      <c r="C73" s="71"/>
      <c r="D73" s="71">
        <v>1000.0</v>
      </c>
      <c r="E73" s="72">
        <f>IF($A73="","",IFERROR(SUMIFS(ORDERS!$F$8:$F$991,ORDERS!$E$8:$E$991,$A73,ORDERS!$B$8:$B$991,"PURCHASE",ORDERS!$D$8:$D$991,"&lt;="&amp;TODAY()),0))</f>
        <v>0</v>
      </c>
      <c r="F73" s="72">
        <f>IF($A73="","",IFERROR($C73+$E73-SUMIF(BOM!$B$4:$B$334,$A73,BOM!$E$4:$E$334),0))</f>
        <v>0</v>
      </c>
      <c r="G73" s="73" t="str">
        <f t="shared" si="2"/>
        <v>YES</v>
      </c>
      <c r="H73" s="74"/>
    </row>
    <row r="74" ht="15.75" customHeight="1">
      <c r="A74" s="46" t="s">
        <v>104</v>
      </c>
      <c r="B74" s="31" t="s">
        <v>81</v>
      </c>
      <c r="C74" s="71"/>
      <c r="D74" s="71">
        <v>500.0</v>
      </c>
      <c r="E74" s="72">
        <f>IF($A74="","",IFERROR(SUMIFS(ORDERS!$F$8:$F$991,ORDERS!$E$8:$E$991,$A74,ORDERS!$B$8:$B$991,"PURCHASE",ORDERS!$D$8:$D$991,"&lt;="&amp;TODAY()),0))</f>
        <v>0</v>
      </c>
      <c r="F74" s="72">
        <f>IF($A74="","",IFERROR($C74+$E74-SUMIF(BOM!$B$4:$B$334,$A74,BOM!$E$4:$E$334),0))</f>
        <v>0</v>
      </c>
      <c r="G74" s="73" t="str">
        <f t="shared" si="2"/>
        <v>YES</v>
      </c>
      <c r="H74" s="74"/>
    </row>
    <row r="75" ht="15.75" customHeight="1">
      <c r="A75" s="46" t="s">
        <v>105</v>
      </c>
      <c r="B75" s="31" t="s">
        <v>86</v>
      </c>
      <c r="C75" s="71"/>
      <c r="D75" s="71">
        <v>6000.0</v>
      </c>
      <c r="E75" s="72">
        <f>IF($A75="","",IFERROR(SUMIFS(ORDERS!$F$8:$F$991,ORDERS!$E$8:$E$991,$A75,ORDERS!$B$8:$B$991,"PURCHASE",ORDERS!$D$8:$D$991,"&lt;="&amp;TODAY()),0))</f>
        <v>0</v>
      </c>
      <c r="F75" s="72">
        <f>IF($A75="","",IFERROR($C75+$E75-SUMIF(BOM!$B$4:$B$334,$A75,BOM!$E$4:$E$334),0))</f>
        <v>0</v>
      </c>
      <c r="G75" s="73" t="str">
        <f t="shared" si="2"/>
        <v>YES</v>
      </c>
      <c r="H75" s="74"/>
    </row>
    <row r="76" ht="15.75" customHeight="1">
      <c r="A76" s="46" t="s">
        <v>106</v>
      </c>
      <c r="B76" s="31" t="s">
        <v>86</v>
      </c>
      <c r="C76" s="71"/>
      <c r="D76" s="71">
        <v>6000.0</v>
      </c>
      <c r="E76" s="72">
        <f>IF($A76="","",IFERROR(SUMIFS(ORDERS!$F$8:$F$991,ORDERS!$E$8:$E$991,$A76,ORDERS!$B$8:$B$991,"PURCHASE",ORDERS!$D$8:$D$991,"&lt;="&amp;TODAY()),0))</f>
        <v>0</v>
      </c>
      <c r="F76" s="72">
        <f>IF($A76="","",IFERROR($C76+$E76-SUMIF(BOM!$B$4:$B$334,$A76,BOM!$E$4:$E$334),0))</f>
        <v>0</v>
      </c>
      <c r="G76" s="73" t="str">
        <f t="shared" si="2"/>
        <v>YES</v>
      </c>
      <c r="H76" s="74"/>
    </row>
    <row r="77" ht="15.75" customHeight="1">
      <c r="A77" s="46" t="s">
        <v>107</v>
      </c>
      <c r="B77" s="31" t="s">
        <v>86</v>
      </c>
      <c r="C77" s="71"/>
      <c r="D77" s="71">
        <v>6000.0</v>
      </c>
      <c r="E77" s="72">
        <f>IF($A77="","",IFERROR(SUMIFS(ORDERS!$F$8:$F$991,ORDERS!$E$8:$E$991,$A77,ORDERS!$B$8:$B$991,"PURCHASE",ORDERS!$D$8:$D$991,"&lt;="&amp;TODAY()),0))</f>
        <v>0</v>
      </c>
      <c r="F77" s="72">
        <f>IF($A77="","",IFERROR($C77+$E77-SUMIF(BOM!$B$4:$B$334,$A77,BOM!$E$4:$E$334),0))</f>
        <v>0</v>
      </c>
      <c r="G77" s="73" t="str">
        <f t="shared" si="2"/>
        <v>YES</v>
      </c>
      <c r="H77" s="74"/>
    </row>
    <row r="78" ht="15.75" customHeight="1">
      <c r="A78" s="46" t="s">
        <v>108</v>
      </c>
      <c r="B78" s="31" t="s">
        <v>81</v>
      </c>
      <c r="C78" s="71"/>
      <c r="D78" s="71">
        <v>100.0</v>
      </c>
      <c r="E78" s="72">
        <f>IF($A78="","",IFERROR(SUMIFS(ORDERS!$F$8:$F$991,ORDERS!$E$8:$E$991,$A78,ORDERS!$B$8:$B$991,"PURCHASE",ORDERS!$D$8:$D$991,"&lt;="&amp;TODAY()),0))</f>
        <v>0</v>
      </c>
      <c r="F78" s="72">
        <f>IF($A78="","",IFERROR($C78+$E78-SUMIF(BOM!$B$4:$B$334,$A78,BOM!$E$4:$E$334),0))</f>
        <v>0</v>
      </c>
      <c r="G78" s="73" t="str">
        <f t="shared" si="2"/>
        <v>YES</v>
      </c>
      <c r="H78" s="74"/>
    </row>
    <row r="79" ht="15.75" customHeight="1">
      <c r="A79" s="46" t="s">
        <v>109</v>
      </c>
      <c r="B79" s="31" t="s">
        <v>81</v>
      </c>
      <c r="C79" s="71"/>
      <c r="D79" s="71">
        <v>100.0</v>
      </c>
      <c r="E79" s="72">
        <f>IF($A79="","",IFERROR(SUMIFS(ORDERS!$F$8:$F$991,ORDERS!$E$8:$E$991,$A79,ORDERS!$B$8:$B$991,"PURCHASE",ORDERS!$D$8:$D$991,"&lt;="&amp;TODAY()),0))</f>
        <v>0</v>
      </c>
      <c r="F79" s="72">
        <f>IF($A79="","",IFERROR($C79+$E79-SUMIF(BOM!$B$4:$B$334,$A79,BOM!$E$4:$E$334),0))</f>
        <v>0</v>
      </c>
      <c r="G79" s="73" t="str">
        <f t="shared" si="2"/>
        <v>YES</v>
      </c>
      <c r="H79" s="74"/>
    </row>
    <row r="80" ht="15.75" customHeight="1">
      <c r="A80" s="46" t="s">
        <v>110</v>
      </c>
      <c r="B80" s="31" t="s">
        <v>81</v>
      </c>
      <c r="C80" s="71"/>
      <c r="D80" s="71">
        <v>100.0</v>
      </c>
      <c r="E80" s="72">
        <f>IF($A80="","",IFERROR(SUMIFS(ORDERS!$F$8:$F$991,ORDERS!$E$8:$E$991,$A80,ORDERS!$B$8:$B$991,"PURCHASE",ORDERS!$D$8:$D$991,"&lt;="&amp;TODAY()),0))</f>
        <v>0</v>
      </c>
      <c r="F80" s="72">
        <f>IF($A80="","",IFERROR($C80+$E80-SUMIF(BOM!$B$4:$B$334,$A80,BOM!$E$4:$E$334),0))</f>
        <v>0</v>
      </c>
      <c r="G80" s="73" t="str">
        <f t="shared" si="2"/>
        <v>YES</v>
      </c>
      <c r="H80" s="74"/>
    </row>
    <row r="81" ht="15.75" customHeight="1">
      <c r="A81" s="46" t="s">
        <v>111</v>
      </c>
      <c r="B81" s="31" t="s">
        <v>81</v>
      </c>
      <c r="C81" s="71"/>
      <c r="D81" s="71">
        <v>100.0</v>
      </c>
      <c r="E81" s="72">
        <f>IF($A81="","",IFERROR(SUMIFS(ORDERS!$F$8:$F$991,ORDERS!$E$8:$E$991,$A81,ORDERS!$B$8:$B$991,"PURCHASE",ORDERS!$D$8:$D$991,"&lt;="&amp;TODAY()),0))</f>
        <v>0</v>
      </c>
      <c r="F81" s="72">
        <f>IF($A81="","",IFERROR($C81+$E81-SUMIF(BOM!$B$4:$B$334,$A81,BOM!$E$4:$E$334),0))</f>
        <v>0</v>
      </c>
      <c r="G81" s="73" t="str">
        <f t="shared" si="2"/>
        <v>YES</v>
      </c>
      <c r="H81" s="74"/>
    </row>
    <row r="82" ht="15.75" customHeight="1">
      <c r="A82" s="46" t="s">
        <v>112</v>
      </c>
      <c r="B82" s="31" t="s">
        <v>81</v>
      </c>
      <c r="C82" s="71"/>
      <c r="D82" s="71">
        <v>100.0</v>
      </c>
      <c r="E82" s="72">
        <f>IF($A82="","",IFERROR(SUMIFS(ORDERS!$F$8:$F$991,ORDERS!$E$8:$E$991,$A82,ORDERS!$B$8:$B$991,"PURCHASE",ORDERS!$D$8:$D$991,"&lt;="&amp;TODAY()),0))</f>
        <v>0</v>
      </c>
      <c r="F82" s="72">
        <f>IF($A82="","",IFERROR($C82+$E82-SUMIF(BOM!$B$4:$B$334,$A82,BOM!$E$4:$E$334),0))</f>
        <v>0</v>
      </c>
      <c r="G82" s="73" t="str">
        <f t="shared" si="2"/>
        <v>YES</v>
      </c>
      <c r="H82" s="74"/>
    </row>
    <row r="83" ht="15.75" customHeight="1">
      <c r="A83" s="46" t="s">
        <v>113</v>
      </c>
      <c r="B83" s="31" t="s">
        <v>81</v>
      </c>
      <c r="C83" s="71"/>
      <c r="D83" s="71">
        <v>100.0</v>
      </c>
      <c r="E83" s="72">
        <f>IF($A83="","",IFERROR(SUMIFS(ORDERS!$F$8:$F$991,ORDERS!$E$8:$E$991,$A83,ORDERS!$B$8:$B$991,"PURCHASE",ORDERS!$D$8:$D$991,"&lt;="&amp;TODAY()),0))</f>
        <v>0</v>
      </c>
      <c r="F83" s="72">
        <f>IF($A83="","",IFERROR($C83+$E83-SUMIF(BOM!$B$4:$B$334,$A83,BOM!$E$4:$E$334),0))</f>
        <v>0</v>
      </c>
      <c r="G83" s="73" t="str">
        <f t="shared" si="2"/>
        <v>YES</v>
      </c>
      <c r="H83" s="74"/>
    </row>
    <row r="84" ht="15.75" customHeight="1">
      <c r="A84" s="46" t="s">
        <v>114</v>
      </c>
      <c r="B84" s="31" t="s">
        <v>81</v>
      </c>
      <c r="C84" s="71"/>
      <c r="D84" s="71">
        <v>100.0</v>
      </c>
      <c r="E84" s="72">
        <f>IF($A84="","",IFERROR(SUMIFS(ORDERS!$F$8:$F$991,ORDERS!$E$8:$E$991,$A84,ORDERS!$B$8:$B$991,"PURCHASE",ORDERS!$D$8:$D$991,"&lt;="&amp;TODAY()),0))</f>
        <v>0</v>
      </c>
      <c r="F84" s="72">
        <f>IF($A84="","",IFERROR($C84+$E84-SUMIF(BOM!$B$4:$B$334,$A84,BOM!$E$4:$E$334),0))</f>
        <v>0</v>
      </c>
      <c r="G84" s="73" t="str">
        <f t="shared" si="2"/>
        <v>YES</v>
      </c>
      <c r="H84" s="74"/>
    </row>
    <row r="85" ht="15.75" customHeight="1">
      <c r="A85" s="46" t="s">
        <v>115</v>
      </c>
      <c r="B85" s="31" t="s">
        <v>86</v>
      </c>
      <c r="C85" s="71"/>
      <c r="D85" s="71">
        <v>5000.0</v>
      </c>
      <c r="E85" s="72">
        <f>IF($A85="","",IFERROR(SUMIFS(ORDERS!$F$8:$F$991,ORDERS!$E$8:$E$991,$A85,ORDERS!$B$8:$B$991,"PURCHASE",ORDERS!$D$8:$D$991,"&lt;="&amp;TODAY()),0))</f>
        <v>0</v>
      </c>
      <c r="F85" s="72">
        <f>IF($A85="","",IFERROR($C85+$E85-SUMIF(BOM!$B$4:$B$334,$A85,BOM!$E$4:$E$334),0))</f>
        <v>0</v>
      </c>
      <c r="G85" s="73" t="str">
        <f t="shared" si="2"/>
        <v>YES</v>
      </c>
      <c r="H85" s="74"/>
    </row>
    <row r="86" ht="15.75" customHeight="1">
      <c r="A86" s="46" t="s">
        <v>116</v>
      </c>
      <c r="B86" s="31" t="s">
        <v>86</v>
      </c>
      <c r="C86" s="71"/>
      <c r="D86" s="71">
        <v>5000.0</v>
      </c>
      <c r="E86" s="72">
        <f>IF($A86="","",IFERROR(SUMIFS(ORDERS!$F$8:$F$991,ORDERS!$E$8:$E$991,$A86,ORDERS!$B$8:$B$991,"PURCHASE",ORDERS!$D$8:$D$991,"&lt;="&amp;TODAY()),0))</f>
        <v>0</v>
      </c>
      <c r="F86" s="72">
        <f>IF($A86="","",IFERROR($C86+$E86-SUMIF(BOM!$B$4:$B$334,$A86,BOM!$E$4:$E$334),0))</f>
        <v>0</v>
      </c>
      <c r="G86" s="73" t="str">
        <f t="shared" si="2"/>
        <v>YES</v>
      </c>
      <c r="H86" s="74"/>
    </row>
    <row r="87" ht="15.75" customHeight="1">
      <c r="A87" s="46" t="s">
        <v>117</v>
      </c>
      <c r="B87" s="31" t="s">
        <v>86</v>
      </c>
      <c r="C87" s="71"/>
      <c r="D87" s="71">
        <v>5000.0</v>
      </c>
      <c r="E87" s="72">
        <f>IF($A87="","",IFERROR(SUMIFS(ORDERS!$F$8:$F$991,ORDERS!$E$8:$E$991,$A87,ORDERS!$B$8:$B$991,"PURCHASE",ORDERS!$D$8:$D$991,"&lt;="&amp;TODAY()),0))</f>
        <v>0</v>
      </c>
      <c r="F87" s="72">
        <f>IF($A87="","",IFERROR($C87+$E87-SUMIF(BOM!$B$4:$B$334,$A87,BOM!$E$4:$E$334),0))</f>
        <v>0</v>
      </c>
      <c r="G87" s="73" t="str">
        <f t="shared" si="2"/>
        <v>YES</v>
      </c>
      <c r="H87" s="74"/>
    </row>
    <row r="88" ht="15.75" customHeight="1">
      <c r="A88" s="46" t="s">
        <v>118</v>
      </c>
      <c r="B88" s="31" t="s">
        <v>86</v>
      </c>
      <c r="C88" s="71"/>
      <c r="D88" s="71">
        <v>5000.0</v>
      </c>
      <c r="E88" s="72">
        <f>IF($A88="","",IFERROR(SUMIFS(ORDERS!$F$8:$F$991,ORDERS!$E$8:$E$991,$A88,ORDERS!$B$8:$B$991,"PURCHASE",ORDERS!$D$8:$D$991,"&lt;="&amp;TODAY()),0))</f>
        <v>0</v>
      </c>
      <c r="F88" s="72">
        <f>IF($A88="","",IFERROR($C88+$E88-SUMIF(BOM!$B$4:$B$334,$A88,BOM!$E$4:$E$334),0))</f>
        <v>0</v>
      </c>
      <c r="G88" s="73" t="str">
        <f t="shared" si="2"/>
        <v>YES</v>
      </c>
      <c r="H88" s="74"/>
    </row>
    <row r="89" ht="15.75" customHeight="1">
      <c r="A89" s="46" t="s">
        <v>119</v>
      </c>
      <c r="B89" s="31" t="s">
        <v>86</v>
      </c>
      <c r="C89" s="71"/>
      <c r="D89" s="71">
        <v>5000.0</v>
      </c>
      <c r="E89" s="72">
        <f>IF($A89="","",IFERROR(SUMIFS(ORDERS!$F$8:$F$991,ORDERS!$E$8:$E$991,$A89,ORDERS!$B$8:$B$991,"PURCHASE",ORDERS!$D$8:$D$991,"&lt;="&amp;TODAY()),0))</f>
        <v>0</v>
      </c>
      <c r="F89" s="72">
        <f>IF($A89="","",IFERROR($C89+$E89-SUMIF(BOM!$B$4:$B$334,$A89,BOM!$E$4:$E$334),0))</f>
        <v>0</v>
      </c>
      <c r="G89" s="73" t="str">
        <f t="shared" si="2"/>
        <v>YES</v>
      </c>
      <c r="H89" s="74"/>
    </row>
    <row r="90" ht="15.75" customHeight="1">
      <c r="A90" s="46" t="s">
        <v>120</v>
      </c>
      <c r="B90" s="31" t="s">
        <v>86</v>
      </c>
      <c r="C90" s="71"/>
      <c r="D90" s="71">
        <v>5000.0</v>
      </c>
      <c r="E90" s="72">
        <f>IF($A90="","",IFERROR(SUMIFS(ORDERS!$F$8:$F$991,ORDERS!$E$8:$E$991,$A90,ORDERS!$B$8:$B$991,"PURCHASE",ORDERS!$D$8:$D$991,"&lt;="&amp;TODAY()),0))</f>
        <v>0</v>
      </c>
      <c r="F90" s="72">
        <f>IF($A90="","",IFERROR($C90+$E90-SUMIF(BOM!$B$4:$B$334,$A90,BOM!$E$4:$E$334),0))</f>
        <v>0</v>
      </c>
      <c r="G90" s="73" t="str">
        <f t="shared" si="2"/>
        <v>YES</v>
      </c>
      <c r="H90" s="74"/>
    </row>
    <row r="91" ht="15.75" customHeight="1">
      <c r="A91" s="46" t="s">
        <v>121</v>
      </c>
      <c r="B91" s="31" t="s">
        <v>81</v>
      </c>
      <c r="C91" s="71"/>
      <c r="D91" s="71">
        <v>2000.0</v>
      </c>
      <c r="E91" s="72">
        <f>IF($A91="","",IFERROR(SUMIFS(ORDERS!$F$8:$F$991,ORDERS!$E$8:$E$991,$A91,ORDERS!$B$8:$B$991,"PURCHASE",ORDERS!$D$8:$D$991,"&lt;="&amp;TODAY()),0))</f>
        <v>0</v>
      </c>
      <c r="F91" s="72">
        <f>IF($A91="","",IFERROR($C91+$E91-SUMIF(BOM!$B$4:$B$334,$A91,BOM!$E$4:$E$334),0))</f>
        <v>0</v>
      </c>
      <c r="G91" s="73" t="str">
        <f t="shared" si="2"/>
        <v>YES</v>
      </c>
      <c r="H91" s="74"/>
    </row>
    <row r="92" ht="15.75" customHeight="1">
      <c r="A92" s="46" t="s">
        <v>122</v>
      </c>
      <c r="B92" s="31" t="s">
        <v>81</v>
      </c>
      <c r="C92" s="71"/>
      <c r="D92" s="71">
        <v>6000.0</v>
      </c>
      <c r="E92" s="72">
        <f>IF($A92="","",IFERROR(SUMIFS(ORDERS!$F$8:$F$991,ORDERS!$E$8:$E$991,$A92,ORDERS!$B$8:$B$991,"PURCHASE",ORDERS!$D$8:$D$991,"&lt;="&amp;TODAY()),0))</f>
        <v>0</v>
      </c>
      <c r="F92" s="72">
        <f>IF($A92="","",IFERROR($C92+$E92-SUMIF(BOM!$B$4:$B$334,$A92,BOM!$E$4:$E$334),0))</f>
        <v>0</v>
      </c>
      <c r="G92" s="73" t="str">
        <f t="shared" si="2"/>
        <v>YES</v>
      </c>
      <c r="H92" s="74"/>
    </row>
    <row r="93" ht="15.75" customHeight="1">
      <c r="A93" s="46" t="s">
        <v>123</v>
      </c>
      <c r="B93" s="31" t="s">
        <v>81</v>
      </c>
      <c r="C93" s="71"/>
      <c r="D93" s="71">
        <v>1000.0</v>
      </c>
      <c r="E93" s="72">
        <f>IF($A93="","",IFERROR(SUMIFS(ORDERS!$F$8:$F$991,ORDERS!$E$8:$E$991,$A93,ORDERS!$B$8:$B$991,"PURCHASE",ORDERS!$D$8:$D$991,"&lt;="&amp;TODAY()),0))</f>
        <v>0</v>
      </c>
      <c r="F93" s="72">
        <f>IF($A93="","",IFERROR($C93+$E93-SUMIF(BOM!$B$4:$B$334,$A93,BOM!$E$4:$E$334),0))</f>
        <v>0</v>
      </c>
      <c r="G93" s="73" t="str">
        <f t="shared" si="2"/>
        <v>YES</v>
      </c>
      <c r="H93" s="74"/>
    </row>
    <row r="94" ht="15.75" customHeight="1">
      <c r="A94" s="46" t="s">
        <v>124</v>
      </c>
      <c r="B94" s="31" t="s">
        <v>81</v>
      </c>
      <c r="C94" s="71"/>
      <c r="D94" s="71">
        <v>2000.0</v>
      </c>
      <c r="E94" s="72">
        <f>IF($A94="","",IFERROR(SUMIFS(ORDERS!$F$8:$F$991,ORDERS!$E$8:$E$991,$A94,ORDERS!$B$8:$B$991,"PURCHASE",ORDERS!$D$8:$D$991,"&lt;="&amp;TODAY()),0))</f>
        <v>0</v>
      </c>
      <c r="F94" s="72">
        <f>IF($A94="","",IFERROR($C94+$E94-SUMIF(BOM!$B$4:$B$334,$A94,BOM!$E$4:$E$334),0))</f>
        <v>0</v>
      </c>
      <c r="G94" s="73" t="str">
        <f t="shared" si="2"/>
        <v>YES</v>
      </c>
      <c r="H94" s="74"/>
    </row>
    <row r="95" ht="15.75" customHeight="1">
      <c r="A95" s="46" t="s">
        <v>125</v>
      </c>
      <c r="B95" s="31" t="s">
        <v>81</v>
      </c>
      <c r="C95" s="71"/>
      <c r="D95" s="71">
        <v>1000.0</v>
      </c>
      <c r="E95" s="72">
        <f>IF($A95="","",IFERROR(SUMIFS(ORDERS!$F$8:$F$991,ORDERS!$E$8:$E$991,$A95,ORDERS!$B$8:$B$991,"PURCHASE",ORDERS!$D$8:$D$991,"&lt;="&amp;TODAY()),0))</f>
        <v>0</v>
      </c>
      <c r="F95" s="72">
        <f>IF($A95="","",IFERROR($C95+$E95-SUMIF(BOM!$B$4:$B$334,$A95,BOM!$E$4:$E$334),0))</f>
        <v>0</v>
      </c>
      <c r="G95" s="73" t="str">
        <f t="shared" si="2"/>
        <v>YES</v>
      </c>
      <c r="H95" s="74"/>
    </row>
    <row r="96" ht="15.75" customHeight="1">
      <c r="A96" s="46" t="s">
        <v>126</v>
      </c>
      <c r="B96" s="31" t="s">
        <v>81</v>
      </c>
      <c r="C96" s="71"/>
      <c r="D96" s="71">
        <v>500.0</v>
      </c>
      <c r="E96" s="72">
        <f>IF($A96="","",IFERROR(SUMIFS(ORDERS!$F$8:$F$991,ORDERS!$E$8:$E$991,$A96,ORDERS!$B$8:$B$991,"PURCHASE",ORDERS!$D$8:$D$991,"&lt;="&amp;TODAY()),0))</f>
        <v>0</v>
      </c>
      <c r="F96" s="72">
        <f>IF($A96="","",IFERROR($C96+$E96-SUMIF(BOM!$B$4:$B$334,$A96,BOM!$E$4:$E$334),0))</f>
        <v>0</v>
      </c>
      <c r="G96" s="73" t="str">
        <f t="shared" si="2"/>
        <v>YES</v>
      </c>
      <c r="H96" s="74"/>
    </row>
    <row r="97" ht="15.75" customHeight="1">
      <c r="A97" s="46" t="s">
        <v>127</v>
      </c>
      <c r="B97" s="31" t="s">
        <v>86</v>
      </c>
      <c r="C97" s="71"/>
      <c r="D97" s="71">
        <v>6000.0</v>
      </c>
      <c r="E97" s="72">
        <f>IF($A97="","",IFERROR(SUMIFS(ORDERS!$F$8:$F$991,ORDERS!$E$8:$E$991,$A97,ORDERS!$B$8:$B$991,"PURCHASE",ORDERS!$D$8:$D$991,"&lt;="&amp;TODAY()),0))</f>
        <v>0</v>
      </c>
      <c r="F97" s="72">
        <f>IF($A97="","",IFERROR($C97+$E97-SUMIF(BOM!$B$4:$B$334,$A97,BOM!$E$4:$E$334),0))</f>
        <v>0</v>
      </c>
      <c r="G97" s="73" t="str">
        <f t="shared" si="2"/>
        <v>YES</v>
      </c>
      <c r="H97" s="74"/>
    </row>
    <row r="98" ht="15.75" customHeight="1">
      <c r="A98" s="46" t="s">
        <v>128</v>
      </c>
      <c r="B98" s="31" t="s">
        <v>86</v>
      </c>
      <c r="C98" s="71"/>
      <c r="D98" s="71">
        <v>6000.0</v>
      </c>
      <c r="E98" s="72">
        <f>IF($A98="","",IFERROR(SUMIFS(ORDERS!$F$8:$F$991,ORDERS!$E$8:$E$991,$A98,ORDERS!$B$8:$B$991,"PURCHASE",ORDERS!$D$8:$D$991,"&lt;="&amp;TODAY()),0))</f>
        <v>0</v>
      </c>
      <c r="F98" s="72">
        <f>IF($A98="","",IFERROR($C98+$E98-SUMIF(BOM!$B$4:$B$334,$A98,BOM!$E$4:$E$334),0))</f>
        <v>0</v>
      </c>
      <c r="G98" s="73" t="str">
        <f t="shared" si="2"/>
        <v>YES</v>
      </c>
      <c r="H98" s="74"/>
    </row>
    <row r="99" ht="15.75" customHeight="1">
      <c r="A99" s="46" t="s">
        <v>129</v>
      </c>
      <c r="B99" s="31" t="s">
        <v>86</v>
      </c>
      <c r="C99" s="71"/>
      <c r="D99" s="71">
        <v>6000.0</v>
      </c>
      <c r="E99" s="72">
        <f>IF($A99="","",IFERROR(SUMIFS(ORDERS!$F$8:$F$991,ORDERS!$E$8:$E$991,$A99,ORDERS!$B$8:$B$991,"PURCHASE",ORDERS!$D$8:$D$991,"&lt;="&amp;TODAY()),0))</f>
        <v>0</v>
      </c>
      <c r="F99" s="72">
        <f>IF($A99="","",IFERROR($C99+$E99-SUMIF(BOM!$B$4:$B$334,$A99,BOM!$E$4:$E$334),0))</f>
        <v>0</v>
      </c>
      <c r="G99" s="73" t="str">
        <f t="shared" si="2"/>
        <v>YES</v>
      </c>
      <c r="H99" s="74"/>
    </row>
    <row r="100" ht="15.75" customHeight="1">
      <c r="A100" s="46" t="s">
        <v>130</v>
      </c>
      <c r="B100" s="75"/>
      <c r="C100" s="71"/>
      <c r="D100" s="76"/>
      <c r="E100" s="72">
        <f>IF($A100="","",IFERROR(SUMIFS(ORDERS!$F$8:$F$991,ORDERS!$E$8:$E$991,$A100,ORDERS!$B$8:$B$991,"PURCHASE",ORDERS!$D$8:$D$991,"&lt;="&amp;TODAY()),0))</f>
        <v>0</v>
      </c>
      <c r="F100" s="72">
        <f>IF($A100="","",IFERROR($C100+$E100-SUMIF(BOM!$B$4:$B$334,$A100,BOM!$E$4:$E$334),0))</f>
        <v>0</v>
      </c>
      <c r="G100" s="73" t="str">
        <f t="shared" si="2"/>
        <v>YES</v>
      </c>
      <c r="H100" s="74"/>
    </row>
    <row r="101" ht="15.75" customHeight="1">
      <c r="A101" s="46" t="s">
        <v>131</v>
      </c>
      <c r="B101" s="75"/>
      <c r="C101" s="71"/>
      <c r="D101" s="76"/>
      <c r="E101" s="72">
        <f>IF($A101="","",IFERROR(SUMIFS(ORDERS!$F$8:$F$991,ORDERS!$E$8:$E$991,$A101,ORDERS!$B$8:$B$991,"PURCHASE",ORDERS!$D$8:$D$991,"&lt;="&amp;TODAY()),0))</f>
        <v>0</v>
      </c>
      <c r="F101" s="72">
        <f>IF($A101="","",IFERROR($C101+$E101-SUMIF(BOM!$B$4:$B$334,$A101,BOM!$E$4:$E$334),0))</f>
        <v>0</v>
      </c>
      <c r="G101" s="73" t="str">
        <f t="shared" si="2"/>
        <v>YES</v>
      </c>
      <c r="H101" s="74"/>
    </row>
    <row r="102" ht="15.75" customHeight="1">
      <c r="A102" s="46" t="s">
        <v>132</v>
      </c>
      <c r="B102" s="31" t="s">
        <v>133</v>
      </c>
      <c r="C102" s="71"/>
      <c r="D102" s="76"/>
      <c r="E102" s="72">
        <f>IF($A102="","",IFERROR(SUMIFS(ORDERS!$F$8:$F$991,ORDERS!$E$8:$E$991,$A102,ORDERS!$B$8:$B$991,"PURCHASE",ORDERS!$D$8:$D$991,"&lt;="&amp;TODAY()),0))</f>
        <v>0</v>
      </c>
      <c r="F102" s="72">
        <f>IF($A102="","",IFERROR($C102+$E102-SUMIF(BOM!$B$4:$B$334,$A102,BOM!$E$4:$E$334),0))</f>
        <v>0</v>
      </c>
      <c r="G102" s="73" t="str">
        <f t="shared" si="2"/>
        <v>YES</v>
      </c>
      <c r="H102" s="74"/>
    </row>
    <row r="103" ht="15.75" customHeight="1">
      <c r="A103" s="46" t="s">
        <v>134</v>
      </c>
      <c r="B103" s="31" t="s">
        <v>133</v>
      </c>
      <c r="C103" s="71"/>
      <c r="D103" s="76"/>
      <c r="E103" s="72">
        <f>IF($A103="","",IFERROR(SUMIFS(ORDERS!$F$8:$F$991,ORDERS!$E$8:$E$991,$A103,ORDERS!$B$8:$B$991,"PURCHASE",ORDERS!$D$8:$D$991,"&lt;="&amp;TODAY()),0))</f>
        <v>0</v>
      </c>
      <c r="F103" s="72">
        <f>IF($A103="","",IFERROR($C103+$E103-SUMIF(BOM!$B$4:$B$334,$A103,BOM!$E$4:$E$334),0))</f>
        <v>0</v>
      </c>
      <c r="G103" s="73" t="str">
        <f t="shared" si="2"/>
        <v>YES</v>
      </c>
      <c r="H103" s="74"/>
    </row>
    <row r="104" ht="15.75" customHeight="1">
      <c r="A104" s="46" t="s">
        <v>135</v>
      </c>
      <c r="B104" s="31" t="s">
        <v>133</v>
      </c>
      <c r="C104" s="71"/>
      <c r="D104" s="76"/>
      <c r="E104" s="72">
        <f>IF($A104="","",IFERROR(SUMIFS(ORDERS!$F$8:$F$991,ORDERS!$E$8:$E$991,$A104,ORDERS!$B$8:$B$991,"PURCHASE",ORDERS!$D$8:$D$991,"&lt;="&amp;TODAY()),0))</f>
        <v>0</v>
      </c>
      <c r="F104" s="72">
        <f>IF($A104="","",IFERROR($C104+$E104-SUMIF(BOM!$B$4:$B$334,$A104,BOM!$E$4:$E$334),0))</f>
        <v>0</v>
      </c>
      <c r="G104" s="73" t="str">
        <f t="shared" si="2"/>
        <v>YES</v>
      </c>
      <c r="H104" s="74"/>
    </row>
    <row r="105" ht="15.75" customHeight="1">
      <c r="A105" s="46" t="s">
        <v>136</v>
      </c>
      <c r="B105" s="31" t="s">
        <v>133</v>
      </c>
      <c r="C105" s="71"/>
      <c r="D105" s="76"/>
      <c r="E105" s="72">
        <f>IF($A105="","",IFERROR(SUMIFS(ORDERS!$F$8:$F$991,ORDERS!$E$8:$E$991,$A105,ORDERS!$B$8:$B$991,"PURCHASE",ORDERS!$D$8:$D$991,"&lt;="&amp;TODAY()),0))</f>
        <v>0</v>
      </c>
      <c r="F105" s="72">
        <f>IF($A105="","",IFERROR($C105+$E105-SUMIF(BOM!$B$4:$B$334,$A105,BOM!$E$4:$E$334),0))</f>
        <v>0</v>
      </c>
      <c r="G105" s="73" t="str">
        <f t="shared" si="2"/>
        <v>YES</v>
      </c>
      <c r="H105" s="74"/>
    </row>
    <row r="106" ht="15.75" customHeight="1">
      <c r="A106" s="46" t="s">
        <v>137</v>
      </c>
      <c r="B106" s="31" t="s">
        <v>133</v>
      </c>
      <c r="C106" s="71"/>
      <c r="D106" s="76"/>
      <c r="E106" s="72">
        <f>IF($A106="","",IFERROR(SUMIFS(ORDERS!$F$8:$F$991,ORDERS!$E$8:$E$991,$A106,ORDERS!$B$8:$B$991,"PURCHASE",ORDERS!$D$8:$D$991,"&lt;="&amp;TODAY()),0))</f>
        <v>0</v>
      </c>
      <c r="F106" s="72">
        <f>IF($A106="","",IFERROR($C106+$E106-SUMIF(BOM!$B$4:$B$334,$A106,BOM!$E$4:$E$334),0))</f>
        <v>0</v>
      </c>
      <c r="G106" s="73" t="str">
        <f t="shared" si="2"/>
        <v>YES</v>
      </c>
      <c r="H106" s="74"/>
    </row>
    <row r="107" ht="15.75" customHeight="1">
      <c r="A107" s="46" t="s">
        <v>138</v>
      </c>
      <c r="B107" s="31" t="s">
        <v>133</v>
      </c>
      <c r="C107" s="71"/>
      <c r="D107" s="76"/>
      <c r="E107" s="72">
        <f>IF($A107="","",IFERROR(SUMIFS(ORDERS!$F$8:$F$991,ORDERS!$E$8:$E$991,$A107,ORDERS!$B$8:$B$991,"PURCHASE",ORDERS!$D$8:$D$991,"&lt;="&amp;TODAY()),0))</f>
        <v>0</v>
      </c>
      <c r="F107" s="72">
        <f>IF($A107="","",IFERROR($C107+$E107-SUMIF(BOM!$B$4:$B$334,$A107,BOM!$E$4:$E$334),0))</f>
        <v>0</v>
      </c>
      <c r="G107" s="73" t="str">
        <f t="shared" si="2"/>
        <v>YES</v>
      </c>
      <c r="H107" s="74"/>
    </row>
    <row r="108" ht="15.75" customHeight="1">
      <c r="A108" s="46" t="s">
        <v>139</v>
      </c>
      <c r="B108" s="31" t="s">
        <v>133</v>
      </c>
      <c r="C108" s="71"/>
      <c r="D108" s="76"/>
      <c r="E108" s="72">
        <f>IF($A108="","",IFERROR(SUMIFS(ORDERS!$F$8:$F$991,ORDERS!$E$8:$E$991,$A108,ORDERS!$B$8:$B$991,"PURCHASE",ORDERS!$D$8:$D$991,"&lt;="&amp;TODAY()),0))</f>
        <v>0</v>
      </c>
      <c r="F108" s="72">
        <f>IF($A108="","",IFERROR($C108+$E108-SUMIF(BOM!$B$4:$B$334,$A108,BOM!$E$4:$E$334),0))</f>
        <v>0</v>
      </c>
      <c r="G108" s="73" t="str">
        <f t="shared" si="2"/>
        <v>YES</v>
      </c>
      <c r="H108" s="74"/>
    </row>
    <row r="109" ht="15.75" customHeight="1">
      <c r="A109" s="46" t="s">
        <v>140</v>
      </c>
      <c r="B109" s="31" t="s">
        <v>133</v>
      </c>
      <c r="C109" s="71"/>
      <c r="D109" s="76"/>
      <c r="E109" s="72">
        <f>IF($A109="","",IFERROR(SUMIFS(ORDERS!$F$8:$F$991,ORDERS!$E$8:$E$991,$A109,ORDERS!$B$8:$B$991,"PURCHASE",ORDERS!$D$8:$D$991,"&lt;="&amp;TODAY()),0))</f>
        <v>0</v>
      </c>
      <c r="F109" s="72">
        <f>IF($A109="","",IFERROR($C109+$E109-SUMIF(BOM!$B$4:$B$334,$A109,BOM!$E$4:$E$334),0))</f>
        <v>0</v>
      </c>
      <c r="G109" s="73" t="str">
        <f t="shared" si="2"/>
        <v>YES</v>
      </c>
      <c r="H109" s="74"/>
    </row>
    <row r="110" ht="15.75" customHeight="1">
      <c r="A110" s="46" t="s">
        <v>141</v>
      </c>
      <c r="B110" s="31" t="s">
        <v>133</v>
      </c>
      <c r="C110" s="71"/>
      <c r="D110" s="76"/>
      <c r="E110" s="72">
        <f>IF($A110="","",IFERROR(SUMIFS(ORDERS!$F$8:$F$991,ORDERS!$E$8:$E$991,$A110,ORDERS!$B$8:$B$991,"PURCHASE",ORDERS!$D$8:$D$991,"&lt;="&amp;TODAY()),0))</f>
        <v>0</v>
      </c>
      <c r="F110" s="72">
        <f>IF($A110="","",IFERROR($C110+$E110-SUMIF(BOM!$B$4:$B$334,$A110,BOM!$E$4:$E$334),0))</f>
        <v>0</v>
      </c>
      <c r="G110" s="73" t="str">
        <f t="shared" si="2"/>
        <v>YES</v>
      </c>
      <c r="H110" s="74"/>
    </row>
    <row r="111" ht="15.75" customHeight="1">
      <c r="A111" s="46" t="s">
        <v>142</v>
      </c>
      <c r="B111" s="31" t="s">
        <v>133</v>
      </c>
      <c r="C111" s="71"/>
      <c r="D111" s="76"/>
      <c r="E111" s="72">
        <f>IF($A111="","",IFERROR(SUMIFS(ORDERS!$F$8:$F$991,ORDERS!$E$8:$E$991,$A111,ORDERS!$B$8:$B$991,"PURCHASE",ORDERS!$D$8:$D$991,"&lt;="&amp;TODAY()),0))</f>
        <v>0</v>
      </c>
      <c r="F111" s="72">
        <f>IF($A111="","",IFERROR($C111+$E111-SUMIF(BOM!$B$4:$B$334,$A111,BOM!$E$4:$E$334),0))</f>
        <v>0</v>
      </c>
      <c r="G111" s="73" t="str">
        <f t="shared" si="2"/>
        <v>YES</v>
      </c>
      <c r="H111" s="74"/>
    </row>
    <row r="112" ht="15.75" customHeight="1">
      <c r="A112" s="46" t="s">
        <v>143</v>
      </c>
      <c r="B112" s="31" t="s">
        <v>133</v>
      </c>
      <c r="C112" s="71"/>
      <c r="D112" s="76"/>
      <c r="E112" s="72">
        <f>IF($A112="","",IFERROR(SUMIFS(ORDERS!$F$8:$F$991,ORDERS!$E$8:$E$991,$A112,ORDERS!$B$8:$B$991,"PURCHASE",ORDERS!$D$8:$D$991,"&lt;="&amp;TODAY()),0))</f>
        <v>0</v>
      </c>
      <c r="F112" s="72">
        <f>IF($A112="","",IFERROR($C112+$E112-SUMIF(BOM!$B$4:$B$334,$A112,BOM!$E$4:$E$334),0))</f>
        <v>0</v>
      </c>
      <c r="G112" s="73" t="str">
        <f t="shared" si="2"/>
        <v>YES</v>
      </c>
      <c r="H112" s="74"/>
    </row>
    <row r="113" ht="15.75" customHeight="1">
      <c r="A113" s="46" t="s">
        <v>144</v>
      </c>
      <c r="B113" s="31" t="s">
        <v>133</v>
      </c>
      <c r="C113" s="71"/>
      <c r="D113" s="76"/>
      <c r="E113" s="72">
        <f>IF($A113="","",IFERROR(SUMIFS(ORDERS!$F$8:$F$991,ORDERS!$E$8:$E$991,$A113,ORDERS!$B$8:$B$991,"PURCHASE",ORDERS!$D$8:$D$991,"&lt;="&amp;TODAY()),0))</f>
        <v>0</v>
      </c>
      <c r="F113" s="72">
        <f>IF($A113="","",IFERROR($C113+$E113-SUMIF(BOM!$B$4:$B$334,$A113,BOM!$E$4:$E$334),0))</f>
        <v>0</v>
      </c>
      <c r="G113" s="73" t="str">
        <f t="shared" si="2"/>
        <v>YES</v>
      </c>
      <c r="H113" s="74"/>
    </row>
    <row r="114" ht="15.75" customHeight="1">
      <c r="A114" s="46" t="s">
        <v>145</v>
      </c>
      <c r="B114" s="75"/>
      <c r="C114" s="71"/>
      <c r="D114" s="76"/>
      <c r="E114" s="72">
        <f>IF($A114="","",IFERROR(SUMIFS(ORDERS!$F$8:$F$991,ORDERS!$E$8:$E$991,$A114,ORDERS!$B$8:$B$991,"PURCHASE",ORDERS!$D$8:$D$991,"&lt;="&amp;TODAY()),0))</f>
        <v>0</v>
      </c>
      <c r="F114" s="72">
        <f>IF($A114="","",IFERROR($C114+$E114-SUMIF(BOM!$B$4:$B$334,$A114,BOM!$E$4:$E$334),0))</f>
        <v>0</v>
      </c>
      <c r="G114" s="73" t="str">
        <f t="shared" si="2"/>
        <v>YES</v>
      </c>
      <c r="H114" s="74"/>
    </row>
    <row r="115" ht="15.75" customHeight="1">
      <c r="A115" s="46" t="s">
        <v>146</v>
      </c>
      <c r="B115" s="75"/>
      <c r="C115" s="71"/>
      <c r="D115" s="76"/>
      <c r="E115" s="72">
        <f>IF($A115="","",IFERROR(SUMIFS(ORDERS!$F$8:$F$991,ORDERS!$E$8:$E$991,$A115,ORDERS!$B$8:$B$991,"PURCHASE",ORDERS!$D$8:$D$991,"&lt;="&amp;TODAY()),0))</f>
        <v>0</v>
      </c>
      <c r="F115" s="72">
        <f>IF($A115="","",IFERROR($C115+$E115-SUMIF(BOM!$B$4:$B$334,$A115,BOM!$E$4:$E$334),0))</f>
        <v>0</v>
      </c>
      <c r="G115" s="73" t="str">
        <f t="shared" si="2"/>
        <v>YES</v>
      </c>
      <c r="H115" s="74"/>
    </row>
    <row r="116" ht="15.75" customHeight="1">
      <c r="A116" s="46" t="s">
        <v>147</v>
      </c>
      <c r="B116" s="75"/>
      <c r="C116" s="71"/>
      <c r="D116" s="76"/>
      <c r="E116" s="72">
        <f>IF($A116="","",IFERROR(SUMIFS(ORDERS!$F$8:$F$991,ORDERS!$E$8:$E$991,$A116,ORDERS!$B$8:$B$991,"PURCHASE",ORDERS!$D$8:$D$991,"&lt;="&amp;TODAY()),0))</f>
        <v>0</v>
      </c>
      <c r="F116" s="72">
        <f>IF($A116="","",IFERROR($C116+$E116-SUMIF(BOM!$B$4:$B$334,$A116,BOM!$E$4:$E$334),0))</f>
        <v>0</v>
      </c>
      <c r="G116" s="73" t="str">
        <f t="shared" si="2"/>
        <v>YES</v>
      </c>
      <c r="H116" s="74"/>
    </row>
    <row r="117" ht="15.75" customHeight="1">
      <c r="A117" s="46" t="s">
        <v>148</v>
      </c>
      <c r="B117" s="75"/>
      <c r="C117" s="71"/>
      <c r="D117" s="76"/>
      <c r="E117" s="72">
        <f>IF($A117="","",IFERROR(SUMIFS(ORDERS!$F$8:$F$991,ORDERS!$E$8:$E$991,$A117,ORDERS!$B$8:$B$991,"PURCHASE",ORDERS!$D$8:$D$991,"&lt;="&amp;TODAY()),0))</f>
        <v>0</v>
      </c>
      <c r="F117" s="72">
        <f>IF($A117="","",IFERROR($C117+$E117-SUMIF(BOM!$B$4:$B$334,$A117,BOM!$E$4:$E$334),0))</f>
        <v>0</v>
      </c>
      <c r="G117" s="73" t="str">
        <f t="shared" si="2"/>
        <v>YES</v>
      </c>
      <c r="H117" s="74"/>
    </row>
    <row r="118" ht="15.75" customHeight="1">
      <c r="A118" s="46" t="s">
        <v>149</v>
      </c>
      <c r="B118" s="75"/>
      <c r="C118" s="71"/>
      <c r="D118" s="76"/>
      <c r="E118" s="72">
        <f>IF($A118="","",IFERROR(SUMIFS(ORDERS!$F$8:$F$991,ORDERS!$E$8:$E$991,$A118,ORDERS!$B$8:$B$991,"PURCHASE",ORDERS!$D$8:$D$991,"&lt;="&amp;TODAY()),0))</f>
        <v>0</v>
      </c>
      <c r="F118" s="72">
        <f>IF($A118="","",IFERROR($C118+$E118-SUMIF(BOM!$B$4:$B$334,$A118,BOM!$E$4:$E$334),0))</f>
        <v>0</v>
      </c>
      <c r="G118" s="73" t="str">
        <f t="shared" si="2"/>
        <v>YES</v>
      </c>
      <c r="H118" s="74"/>
    </row>
    <row r="119" ht="15.75" customHeight="1">
      <c r="A119" s="46" t="s">
        <v>150</v>
      </c>
      <c r="B119" s="75"/>
      <c r="C119" s="71"/>
      <c r="D119" s="76"/>
      <c r="E119" s="72">
        <f>IF($A119="","",IFERROR(SUMIFS(ORDERS!$F$8:$F$991,ORDERS!$E$8:$E$991,$A119,ORDERS!$B$8:$B$991,"PURCHASE",ORDERS!$D$8:$D$991,"&lt;="&amp;TODAY()),0))</f>
        <v>0</v>
      </c>
      <c r="F119" s="72">
        <f>IF($A119="","",IFERROR($C119+$E119-SUMIF(BOM!$B$4:$B$334,$A119,BOM!$E$4:$E$334),0))</f>
        <v>0</v>
      </c>
      <c r="G119" s="73" t="str">
        <f t="shared" si="2"/>
        <v>YES</v>
      </c>
      <c r="H119" s="74"/>
    </row>
    <row r="120" ht="15.75" customHeight="1">
      <c r="A120" s="46" t="s">
        <v>151</v>
      </c>
      <c r="B120" s="75"/>
      <c r="C120" s="71"/>
      <c r="D120" s="76"/>
      <c r="E120" s="72">
        <f>IF($A120="","",IFERROR(SUMIFS(ORDERS!$F$8:$F$991,ORDERS!$E$8:$E$991,$A120,ORDERS!$B$8:$B$991,"PURCHASE",ORDERS!$D$8:$D$991,"&lt;="&amp;TODAY()),0))</f>
        <v>0</v>
      </c>
      <c r="F120" s="72">
        <f>IF($A120="","",IFERROR($C120+$E120-SUMIF(BOM!$B$4:$B$334,$A120,BOM!$E$4:$E$334),0))</f>
        <v>0</v>
      </c>
      <c r="G120" s="73" t="str">
        <f t="shared" si="2"/>
        <v>YES</v>
      </c>
      <c r="H120" s="74"/>
    </row>
    <row r="121" ht="15.75" customHeight="1">
      <c r="A121" s="46" t="s">
        <v>152</v>
      </c>
      <c r="B121" s="75"/>
      <c r="C121" s="71"/>
      <c r="D121" s="76"/>
      <c r="E121" s="72">
        <f>IF($A121="","",IFERROR(SUMIFS(ORDERS!$F$8:$F$991,ORDERS!$E$8:$E$991,$A121,ORDERS!$B$8:$B$991,"PURCHASE",ORDERS!$D$8:$D$991,"&lt;="&amp;TODAY()),0))</f>
        <v>0</v>
      </c>
      <c r="F121" s="72">
        <f>IF($A121="","",IFERROR($C121+$E121-SUMIF(BOM!$B$4:$B$334,$A121,BOM!$E$4:$E$334),0))</f>
        <v>0</v>
      </c>
      <c r="G121" s="73" t="str">
        <f t="shared" si="2"/>
        <v>YES</v>
      </c>
      <c r="H121" s="74"/>
    </row>
    <row r="122" ht="15.75" customHeight="1">
      <c r="A122" s="46" t="s">
        <v>153</v>
      </c>
      <c r="B122" s="75"/>
      <c r="C122" s="71"/>
      <c r="D122" s="76"/>
      <c r="E122" s="72">
        <f>IF($A122="","",IFERROR(SUMIFS(ORDERS!$F$8:$F$991,ORDERS!$E$8:$E$991,$A122,ORDERS!$B$8:$B$991,"PURCHASE",ORDERS!$D$8:$D$991,"&lt;="&amp;TODAY()),0))</f>
        <v>0</v>
      </c>
      <c r="F122" s="72">
        <f>IF($A122="","",IFERROR($C122+$E122-SUMIF(BOM!$B$4:$B$334,$A122,BOM!$E$4:$E$334),0))</f>
        <v>0</v>
      </c>
      <c r="G122" s="73" t="str">
        <f t="shared" si="2"/>
        <v>YES</v>
      </c>
      <c r="H122" s="74"/>
    </row>
    <row r="123" ht="15.75" customHeight="1">
      <c r="A123" s="46" t="s">
        <v>154</v>
      </c>
      <c r="B123" s="75"/>
      <c r="C123" s="71"/>
      <c r="D123" s="76"/>
      <c r="E123" s="72">
        <f>IF($A123="","",IFERROR(SUMIFS(ORDERS!$F$8:$F$991,ORDERS!$E$8:$E$991,$A123,ORDERS!$B$8:$B$991,"PURCHASE",ORDERS!$D$8:$D$991,"&lt;="&amp;TODAY()),0))</f>
        <v>0</v>
      </c>
      <c r="F123" s="72">
        <f>IF($A123="","",IFERROR($C123+$E123-SUMIF(BOM!$B$4:$B$334,$A123,BOM!$E$4:$E$334),0))</f>
        <v>0</v>
      </c>
      <c r="G123" s="73" t="str">
        <f t="shared" si="2"/>
        <v>YES</v>
      </c>
      <c r="H123" s="74"/>
    </row>
    <row r="124" ht="15.75" customHeight="1">
      <c r="A124" s="46" t="s">
        <v>155</v>
      </c>
      <c r="B124" s="75"/>
      <c r="C124" s="71"/>
      <c r="D124" s="76"/>
      <c r="E124" s="72">
        <f>IF($A124="","",IFERROR(SUMIFS(ORDERS!$F$8:$F$991,ORDERS!$E$8:$E$991,$A124,ORDERS!$B$8:$B$991,"PURCHASE",ORDERS!$D$8:$D$991,"&lt;="&amp;TODAY()),0))</f>
        <v>0</v>
      </c>
      <c r="F124" s="72">
        <f>IF($A124="","",IFERROR($C124+$E124-SUMIF(BOM!$B$4:$B$334,$A124,BOM!$E$4:$E$334),0))</f>
        <v>0</v>
      </c>
      <c r="G124" s="73" t="str">
        <f t="shared" si="2"/>
        <v>YES</v>
      </c>
      <c r="H124" s="74"/>
    </row>
    <row r="125" ht="15.75" customHeight="1">
      <c r="A125" s="46" t="s">
        <v>156</v>
      </c>
      <c r="B125" s="75"/>
      <c r="C125" s="71"/>
      <c r="D125" s="76"/>
      <c r="E125" s="72">
        <f>IF($A125="","",IFERROR(SUMIFS(ORDERS!$F$8:$F$991,ORDERS!$E$8:$E$991,$A125,ORDERS!$B$8:$B$991,"PURCHASE",ORDERS!$D$8:$D$991,"&lt;="&amp;TODAY()),0))</f>
        <v>0</v>
      </c>
      <c r="F125" s="72">
        <f>IF($A125="","",IFERROR($C125+$E125-SUMIF(BOM!$B$4:$B$334,$A125,BOM!$E$4:$E$334),0))</f>
        <v>0</v>
      </c>
      <c r="G125" s="73" t="str">
        <f t="shared" si="2"/>
        <v>YES</v>
      </c>
      <c r="H125" s="74"/>
    </row>
    <row r="126" ht="15.75" customHeight="1">
      <c r="A126" s="46" t="s">
        <v>157</v>
      </c>
      <c r="B126" s="75"/>
      <c r="C126" s="71"/>
      <c r="D126" s="76"/>
      <c r="E126" s="72">
        <f>IF($A126="","",IFERROR(SUMIFS(ORDERS!$F$8:$F$991,ORDERS!$E$8:$E$991,$A126,ORDERS!$B$8:$B$991,"PURCHASE",ORDERS!$D$8:$D$991,"&lt;="&amp;TODAY()),0))</f>
        <v>0</v>
      </c>
      <c r="F126" s="72">
        <f>IF($A126="","",IFERROR($C126+$E126-SUMIF(BOM!$B$4:$B$334,$A126,BOM!$E$4:$E$334),0))</f>
        <v>0</v>
      </c>
      <c r="G126" s="73" t="str">
        <f t="shared" si="2"/>
        <v>YES</v>
      </c>
      <c r="H126" s="74"/>
    </row>
    <row r="127" ht="15.75" customHeight="1">
      <c r="A127" s="46" t="s">
        <v>158</v>
      </c>
      <c r="B127" s="75"/>
      <c r="C127" s="71"/>
      <c r="D127" s="76"/>
      <c r="E127" s="72">
        <f>IF($A127="","",IFERROR(SUMIFS(ORDERS!$F$8:$F$991,ORDERS!$E$8:$E$991,$A127,ORDERS!$B$8:$B$991,"PURCHASE",ORDERS!$D$8:$D$991,"&lt;="&amp;TODAY()),0))</f>
        <v>0</v>
      </c>
      <c r="F127" s="72">
        <f>IF($A127="","",IFERROR($C127+$E127-SUMIF(BOM!$B$4:$B$334,$A127,BOM!$E$4:$E$334),0))</f>
        <v>0</v>
      </c>
      <c r="G127" s="73" t="str">
        <f t="shared" si="2"/>
        <v>YES</v>
      </c>
      <c r="H127" s="74"/>
    </row>
    <row r="128" ht="15.75" customHeight="1">
      <c r="A128" s="46" t="s">
        <v>151</v>
      </c>
      <c r="B128" s="75"/>
      <c r="C128" s="71"/>
      <c r="D128" s="76"/>
      <c r="E128" s="72">
        <f>IF($A128="","",IFERROR(SUMIFS(ORDERS!$F$8:$F$991,ORDERS!$E$8:$E$991,$A128,ORDERS!$B$8:$B$991,"PURCHASE",ORDERS!$D$8:$D$991,"&lt;="&amp;TODAY()),0))</f>
        <v>0</v>
      </c>
      <c r="F128" s="72">
        <f>IF($A128="","",IFERROR($C128+$E128-SUMIF(BOM!$B$4:$B$334,$A128,BOM!$E$4:$E$334),0))</f>
        <v>0</v>
      </c>
      <c r="G128" s="73" t="str">
        <f t="shared" si="2"/>
        <v>YES</v>
      </c>
      <c r="H128" s="74"/>
    </row>
    <row r="129" ht="15.75" customHeight="1">
      <c r="A129" s="46" t="s">
        <v>152</v>
      </c>
      <c r="B129" s="75"/>
      <c r="C129" s="71"/>
      <c r="D129" s="76"/>
      <c r="E129" s="72">
        <f>IF($A129="","",IFERROR(SUMIFS(ORDERS!$F$8:$F$991,ORDERS!$E$8:$E$991,$A129,ORDERS!$B$8:$B$991,"PURCHASE",ORDERS!$D$8:$D$991,"&lt;="&amp;TODAY()),0))</f>
        <v>0</v>
      </c>
      <c r="F129" s="72">
        <f>IF($A129="","",IFERROR($C129+$E129-SUMIF(BOM!$B$4:$B$334,$A129,BOM!$E$4:$E$334),0))</f>
        <v>0</v>
      </c>
      <c r="G129" s="73" t="str">
        <f t="shared" si="2"/>
        <v>YES</v>
      </c>
      <c r="H129" s="74"/>
    </row>
    <row r="130" ht="15.75" customHeight="1">
      <c r="A130" s="46" t="s">
        <v>153</v>
      </c>
      <c r="B130" s="75"/>
      <c r="C130" s="71"/>
      <c r="D130" s="76"/>
      <c r="E130" s="72">
        <f>IF($A130="","",IFERROR(SUMIFS(ORDERS!$F$8:$F$991,ORDERS!$E$8:$E$991,$A130,ORDERS!$B$8:$B$991,"PURCHASE",ORDERS!$D$8:$D$991,"&lt;="&amp;TODAY()),0))</f>
        <v>0</v>
      </c>
      <c r="F130" s="72">
        <f>IF($A130="","",IFERROR($C130+$E130-SUMIF(BOM!$B$4:$B$334,$A130,BOM!$E$4:$E$334),0))</f>
        <v>0</v>
      </c>
      <c r="G130" s="73" t="str">
        <f t="shared" si="2"/>
        <v>YES</v>
      </c>
      <c r="H130" s="74"/>
    </row>
    <row r="131" ht="15.75" customHeight="1">
      <c r="A131" s="46" t="s">
        <v>154</v>
      </c>
      <c r="B131" s="75"/>
      <c r="C131" s="71"/>
      <c r="D131" s="76"/>
      <c r="E131" s="72">
        <f>IF($A131="","",IFERROR(SUMIFS(ORDERS!$F$8:$F$991,ORDERS!$E$8:$E$991,$A131,ORDERS!$B$8:$B$991,"PURCHASE",ORDERS!$D$8:$D$991,"&lt;="&amp;TODAY()),0))</f>
        <v>0</v>
      </c>
      <c r="F131" s="72">
        <f>IF($A131="","",IFERROR($C131+$E131-SUMIF(BOM!$B$4:$B$334,$A131,BOM!$E$4:$E$334),0))</f>
        <v>0</v>
      </c>
      <c r="G131" s="73" t="str">
        <f t="shared" si="2"/>
        <v>YES</v>
      </c>
      <c r="H131" s="74"/>
    </row>
    <row r="132" ht="15.75" customHeight="1">
      <c r="A132" s="46" t="s">
        <v>155</v>
      </c>
      <c r="B132" s="75"/>
      <c r="C132" s="71"/>
      <c r="D132" s="76"/>
      <c r="E132" s="72">
        <f>IF($A132="","",IFERROR(SUMIFS(ORDERS!$F$8:$F$991,ORDERS!$E$8:$E$991,$A132,ORDERS!$B$8:$B$991,"PURCHASE",ORDERS!$D$8:$D$991,"&lt;="&amp;TODAY()),0))</f>
        <v>0</v>
      </c>
      <c r="F132" s="72">
        <f>IF($A132="","",IFERROR($C132+$E132-SUMIF(BOM!$B$4:$B$334,$A132,BOM!$E$4:$E$334),0))</f>
        <v>0</v>
      </c>
      <c r="G132" s="73" t="str">
        <f t="shared" si="2"/>
        <v>YES</v>
      </c>
      <c r="H132" s="74"/>
    </row>
    <row r="133" ht="15.75" customHeight="1">
      <c r="A133" s="46"/>
      <c r="B133" s="75"/>
      <c r="C133" s="71"/>
      <c r="D133" s="76"/>
      <c r="E133" s="72" t="str">
        <f>IF($A133="","",IFERROR(SUMIFS(ORDERS!$F$8:$F$991,ORDERS!$E$8:$E$991,$A133,ORDERS!$B$8:$B$991,"PURCHASE",ORDERS!$D$8:$D$991,"&lt;="&amp;TODAY()),0))</f>
        <v/>
      </c>
      <c r="F133" s="72" t="str">
        <f>IF($A133="","",IFERROR($C133+$E133-SUMIF(BOM!$B$4:$B$334,$A133,BOM!$E$4:$E$334),0))</f>
        <v/>
      </c>
      <c r="G133" s="73" t="str">
        <f t="shared" si="2"/>
        <v/>
      </c>
      <c r="H133" s="74"/>
    </row>
    <row r="134" ht="15.75" customHeight="1">
      <c r="A134" s="46"/>
      <c r="B134" s="75"/>
      <c r="C134" s="71"/>
      <c r="D134" s="76"/>
      <c r="E134" s="72" t="str">
        <f>IF($A134="","",IFERROR(SUMIFS(ORDERS!$F$8:$F$991,ORDERS!$E$8:$E$991,$A134,ORDERS!$B$8:$B$991,"PURCHASE",ORDERS!$D$8:$D$991,"&lt;="&amp;TODAY()),0))</f>
        <v/>
      </c>
      <c r="F134" s="72" t="str">
        <f>IF($A134="","",IFERROR($C134+$E134-SUMIF(BOM!$B$4:$B$334,$A134,BOM!$E$4:$E$334),0))</f>
        <v/>
      </c>
      <c r="G134" s="73" t="str">
        <f t="shared" si="2"/>
        <v/>
      </c>
      <c r="H134" s="74"/>
    </row>
    <row r="135" ht="15.75" customHeight="1">
      <c r="A135" s="46"/>
      <c r="B135" s="75"/>
      <c r="C135" s="71"/>
      <c r="D135" s="76"/>
      <c r="E135" s="72" t="str">
        <f>IF($A135="","",IFERROR(SUMIFS(ORDERS!$F$8:$F$991,ORDERS!$E$8:$E$991,$A135,ORDERS!$B$8:$B$991,"PURCHASE",ORDERS!$D$8:$D$991,"&lt;="&amp;TODAY()),0))</f>
        <v/>
      </c>
      <c r="F135" s="72" t="str">
        <f>IF($A135="","",IFERROR($C135+$E135-SUMIF(BOM!$B$4:$B$334,$A135,BOM!$E$4:$E$334),0))</f>
        <v/>
      </c>
      <c r="G135" s="73" t="str">
        <f t="shared" si="2"/>
        <v/>
      </c>
      <c r="H135" s="74"/>
    </row>
    <row r="136" ht="15.75" customHeight="1">
      <c r="A136" s="46"/>
      <c r="B136" s="75"/>
      <c r="C136" s="71"/>
      <c r="D136" s="76"/>
      <c r="E136" s="72" t="str">
        <f>IF($A136="","",IFERROR(SUMIFS(ORDERS!$F$8:$F$991,ORDERS!$E$8:$E$991,$A136,ORDERS!$B$8:$B$991,"PURCHASE",ORDERS!$D$8:$D$991,"&lt;="&amp;TODAY()),0))</f>
        <v/>
      </c>
      <c r="F136" s="72" t="str">
        <f>IF($A136="","",IFERROR($C136+$E136-SUMIF(BOM!$B$4:$B$334,$A136,BOM!$E$4:$E$334),0))</f>
        <v/>
      </c>
      <c r="G136" s="73" t="str">
        <f t="shared" si="2"/>
        <v/>
      </c>
      <c r="H136" s="74"/>
    </row>
    <row r="137" ht="15.75" customHeight="1">
      <c r="A137" s="46"/>
      <c r="B137" s="75"/>
      <c r="C137" s="71"/>
      <c r="D137" s="76"/>
      <c r="E137" s="72" t="str">
        <f>IF($A137="","",IFERROR(SUMIFS(ORDERS!$F$8:$F$991,ORDERS!$E$8:$E$991,$A137,ORDERS!$B$8:$B$991,"PURCHASE",ORDERS!$D$8:$D$991,"&lt;="&amp;TODAY()),0))</f>
        <v/>
      </c>
      <c r="F137" s="72" t="str">
        <f>IF($A137="","",IFERROR($C137+$E137-SUMIF(BOM!$B$4:$B$334,$A137,BOM!$E$4:$E$334),0))</f>
        <v/>
      </c>
      <c r="G137" s="73" t="str">
        <f t="shared" si="2"/>
        <v/>
      </c>
      <c r="H137" s="74"/>
    </row>
    <row r="138" ht="15.75" customHeight="1">
      <c r="A138" s="46"/>
      <c r="B138" s="75"/>
      <c r="C138" s="71"/>
      <c r="D138" s="76"/>
      <c r="E138" s="72" t="str">
        <f>IF($A138="","",IFERROR(SUMIFS(ORDERS!$F$8:$F$991,ORDERS!$E$8:$E$991,$A138,ORDERS!$B$8:$B$991,"PURCHASE",ORDERS!$D$8:$D$991,"&lt;="&amp;TODAY()),0))</f>
        <v/>
      </c>
      <c r="F138" s="72" t="str">
        <f>IF($A138="","",IFERROR($C138+$E138-SUMIF(BOM!$B$4:$B$334,$A138,BOM!$E$4:$E$334),0))</f>
        <v/>
      </c>
      <c r="G138" s="73" t="str">
        <f t="shared" si="2"/>
        <v/>
      </c>
      <c r="H138" s="74"/>
    </row>
    <row r="139" ht="15.75" customHeight="1">
      <c r="A139" s="46"/>
      <c r="B139" s="75"/>
      <c r="C139" s="71"/>
      <c r="D139" s="76"/>
      <c r="E139" s="72" t="str">
        <f>IF($A139="","",IFERROR(SUMIFS(ORDERS!$F$8:$F$991,ORDERS!$E$8:$E$991,$A139,ORDERS!$B$8:$B$991,"PURCHASE",ORDERS!$D$8:$D$991,"&lt;="&amp;TODAY()),0))</f>
        <v/>
      </c>
      <c r="F139" s="72" t="str">
        <f>IF($A139="","",IFERROR($C139+$E139-SUMIF(BOM!$B$4:$B$334,$A139,BOM!$E$4:$E$334),0))</f>
        <v/>
      </c>
      <c r="G139" s="73" t="str">
        <f t="shared" si="2"/>
        <v/>
      </c>
      <c r="H139" s="74"/>
    </row>
    <row r="140" ht="15.75" customHeight="1">
      <c r="A140" s="46"/>
      <c r="B140" s="75"/>
      <c r="C140" s="71"/>
      <c r="D140" s="76"/>
      <c r="E140" s="72" t="str">
        <f>IF($A140="","",IFERROR(SUMIFS(ORDERS!$F$8:$F$991,ORDERS!$E$8:$E$991,$A140,ORDERS!$B$8:$B$991,"PURCHASE",ORDERS!$D$8:$D$991,"&lt;="&amp;TODAY()),0))</f>
        <v/>
      </c>
      <c r="F140" s="72" t="str">
        <f>IF($A140="","",IFERROR($C140+$E140-SUMIF(BOM!$B$4:$B$334,$A140,BOM!$E$4:$E$334),0))</f>
        <v/>
      </c>
      <c r="G140" s="73" t="str">
        <f t="shared" si="2"/>
        <v/>
      </c>
      <c r="H140" s="74"/>
    </row>
    <row r="141" ht="15.75" customHeight="1">
      <c r="A141" s="46"/>
      <c r="B141" s="75"/>
      <c r="C141" s="71"/>
      <c r="D141" s="76"/>
      <c r="E141" s="72" t="str">
        <f>IF($A141="","",IFERROR(SUMIFS(ORDERS!$F$8:$F$991,ORDERS!$E$8:$E$991,$A141,ORDERS!$B$8:$B$991,"PURCHASE",ORDERS!$D$8:$D$991,"&lt;="&amp;TODAY()),0))</f>
        <v/>
      </c>
      <c r="F141" s="72" t="str">
        <f>IF($A141="","",IFERROR($C141+$E141-SUMIF(BOM!$B$4:$B$334,$A141,BOM!$E$4:$E$334),0))</f>
        <v/>
      </c>
      <c r="G141" s="73" t="str">
        <f t="shared" si="2"/>
        <v/>
      </c>
      <c r="H141" s="74"/>
    </row>
    <row r="142" ht="15.75" customHeight="1">
      <c r="A142" s="46"/>
      <c r="B142" s="75"/>
      <c r="C142" s="71"/>
      <c r="D142" s="76"/>
      <c r="E142" s="72" t="str">
        <f>IF($A142="","",IFERROR(SUMIFS(ORDERS!$F$8:$F$991,ORDERS!$E$8:$E$991,$A142,ORDERS!$B$8:$B$991,"PURCHASE",ORDERS!$D$8:$D$991,"&lt;="&amp;TODAY()),0))</f>
        <v/>
      </c>
      <c r="F142" s="72" t="str">
        <f>IF($A142="","",IFERROR($C142+$E142-SUMIF(BOM!$B$4:$B$334,$A142,BOM!$E$4:$E$334),0))</f>
        <v/>
      </c>
      <c r="G142" s="73" t="str">
        <f t="shared" si="2"/>
        <v/>
      </c>
      <c r="H142" s="74"/>
    </row>
    <row r="143" ht="15.75" customHeight="1">
      <c r="A143" s="46"/>
      <c r="B143" s="75"/>
      <c r="C143" s="71"/>
      <c r="D143" s="76"/>
      <c r="E143" s="72" t="str">
        <f>IF($A143="","",IFERROR(SUMIFS(ORDERS!$F$8:$F$991,ORDERS!$E$8:$E$991,$A143,ORDERS!$B$8:$B$991,"PURCHASE",ORDERS!$D$8:$D$991,"&lt;="&amp;TODAY()),0))</f>
        <v/>
      </c>
      <c r="F143" s="72" t="str">
        <f>IF($A143="","",IFERROR($C143+$E143-SUMIF(BOM!$B$4:$B$334,$A143,BOM!$E$4:$E$334),0))</f>
        <v/>
      </c>
      <c r="G143" s="73" t="str">
        <f t="shared" si="2"/>
        <v/>
      </c>
      <c r="H143" s="74"/>
    </row>
    <row r="144" ht="15.75" customHeight="1">
      <c r="H144" s="3"/>
    </row>
    <row r="145" ht="15.75" customHeight="1">
      <c r="H145" s="3"/>
    </row>
    <row r="146" ht="15.75" customHeight="1">
      <c r="H146" s="3"/>
    </row>
    <row r="147" ht="15.75" customHeight="1">
      <c r="H147" s="3"/>
    </row>
    <row r="148" ht="15.75" customHeight="1">
      <c r="H148" s="3"/>
    </row>
    <row r="149" ht="15.75" customHeight="1">
      <c r="H149" s="3"/>
    </row>
    <row r="150" ht="15.75" customHeight="1">
      <c r="H150" s="3"/>
    </row>
    <row r="151" ht="15.75" customHeight="1">
      <c r="H151" s="3"/>
    </row>
    <row r="152" ht="15.75" customHeight="1">
      <c r="H152" s="3"/>
    </row>
    <row r="153" ht="15.75" customHeight="1">
      <c r="H153" s="3"/>
    </row>
    <row r="154" ht="15.75" customHeight="1">
      <c r="H154" s="3"/>
    </row>
    <row r="155" ht="15.75" customHeight="1">
      <c r="H155" s="3"/>
    </row>
    <row r="156" ht="15.75" customHeight="1">
      <c r="H156" s="3"/>
    </row>
    <row r="157" ht="15.75" customHeight="1">
      <c r="H157" s="3"/>
    </row>
    <row r="158" ht="15.75" customHeight="1">
      <c r="H158" s="3"/>
    </row>
    <row r="159" ht="15.75" customHeight="1">
      <c r="H159" s="3"/>
    </row>
    <row r="160" ht="15.75" customHeight="1">
      <c r="H160" s="3"/>
    </row>
    <row r="161" ht="15.75" customHeight="1">
      <c r="H161" s="3"/>
    </row>
    <row r="162" ht="15.75" customHeight="1">
      <c r="H162" s="3"/>
    </row>
    <row r="163" ht="15.75" customHeight="1">
      <c r="H163" s="3"/>
    </row>
    <row r="164" ht="15.75" customHeight="1">
      <c r="H164" s="3"/>
    </row>
    <row r="165" ht="15.75" customHeight="1">
      <c r="H165" s="3"/>
    </row>
    <row r="166" ht="15.75" customHeight="1">
      <c r="H166" s="3"/>
    </row>
    <row r="167" ht="15.75" customHeight="1">
      <c r="H167" s="3"/>
    </row>
    <row r="168" ht="15.75" customHeight="1">
      <c r="H168" s="3"/>
    </row>
    <row r="169" ht="15.75" customHeight="1">
      <c r="H169" s="3"/>
    </row>
    <row r="170" ht="15.75" customHeight="1">
      <c r="H170" s="3"/>
    </row>
    <row r="171" ht="15.75" customHeight="1">
      <c r="H171" s="3"/>
    </row>
    <row r="172" ht="15.75" customHeight="1">
      <c r="H172" s="3"/>
    </row>
    <row r="173" ht="15.75" customHeight="1">
      <c r="H173" s="3"/>
    </row>
    <row r="174" ht="15.75" customHeight="1">
      <c r="H174" s="3"/>
    </row>
    <row r="175" ht="15.75" customHeight="1">
      <c r="H175" s="3"/>
    </row>
    <row r="176" ht="15.75" customHeight="1">
      <c r="H176" s="3"/>
    </row>
    <row r="177" ht="15.75" customHeight="1">
      <c r="H177" s="3"/>
    </row>
    <row r="178" ht="15.75" customHeight="1">
      <c r="H178" s="3"/>
    </row>
    <row r="179" ht="15.75" customHeight="1">
      <c r="H179" s="3"/>
    </row>
    <row r="180" ht="15.75" customHeight="1">
      <c r="H180" s="3"/>
    </row>
    <row r="181" ht="15.75" customHeight="1">
      <c r="H181" s="3"/>
    </row>
    <row r="182" ht="15.75" customHeight="1">
      <c r="H182" s="3"/>
    </row>
    <row r="183" ht="15.75" customHeight="1">
      <c r="H183" s="3"/>
    </row>
    <row r="184" ht="15.75" customHeight="1">
      <c r="H184" s="3"/>
    </row>
    <row r="185" ht="15.75" customHeight="1">
      <c r="H185" s="3"/>
    </row>
    <row r="186" ht="15.75" customHeight="1">
      <c r="H186" s="3"/>
    </row>
    <row r="187" ht="15.75" customHeight="1">
      <c r="H187" s="3"/>
    </row>
    <row r="188" ht="15.75" customHeight="1">
      <c r="H188" s="3"/>
    </row>
    <row r="189" ht="15.75" customHeight="1">
      <c r="H189" s="3"/>
    </row>
    <row r="190" ht="15.75" customHeight="1">
      <c r="H190" s="3"/>
    </row>
    <row r="191" ht="15.75" customHeight="1">
      <c r="H191" s="3"/>
    </row>
    <row r="192" ht="15.75" customHeight="1">
      <c r="H192" s="3"/>
    </row>
    <row r="193" ht="15.75" customHeight="1">
      <c r="H193" s="3"/>
    </row>
    <row r="194" ht="15.75" customHeight="1">
      <c r="H194" s="3"/>
    </row>
    <row r="195" ht="15.75" customHeight="1">
      <c r="H195" s="3"/>
    </row>
    <row r="196" ht="15.75" customHeight="1">
      <c r="H196" s="3"/>
    </row>
    <row r="197" ht="15.75" customHeight="1">
      <c r="H197" s="3"/>
    </row>
    <row r="198" ht="15.75" customHeight="1">
      <c r="H198" s="3"/>
    </row>
    <row r="199" ht="15.75" customHeight="1">
      <c r="H199" s="3"/>
    </row>
    <row r="200" ht="15.75" customHeight="1">
      <c r="H200" s="3"/>
    </row>
    <row r="201" ht="15.75" customHeight="1">
      <c r="H201" s="3"/>
    </row>
    <row r="202" ht="15.75" customHeight="1">
      <c r="H202" s="3"/>
    </row>
    <row r="203" ht="15.75" customHeight="1">
      <c r="H203" s="3"/>
    </row>
    <row r="204" ht="15.75" customHeight="1">
      <c r="H204" s="3"/>
    </row>
    <row r="205" ht="15.75" customHeight="1">
      <c r="H205" s="3"/>
    </row>
    <row r="206" ht="15.75" customHeight="1">
      <c r="H206" s="3"/>
    </row>
    <row r="207" ht="15.75" customHeight="1">
      <c r="H207" s="3"/>
    </row>
    <row r="208" ht="15.75" customHeight="1">
      <c r="H208" s="3"/>
    </row>
    <row r="209" ht="15.75" customHeight="1">
      <c r="H209" s="3"/>
    </row>
    <row r="210" ht="15.75" customHeight="1">
      <c r="H210" s="3"/>
    </row>
    <row r="211" ht="15.75" customHeight="1">
      <c r="H211" s="3"/>
    </row>
    <row r="212" ht="15.75" customHeight="1">
      <c r="H212" s="3"/>
    </row>
    <row r="213" ht="15.75" customHeight="1">
      <c r="H213" s="3"/>
    </row>
    <row r="214" ht="15.75" customHeight="1">
      <c r="H214" s="3"/>
    </row>
    <row r="215" ht="15.75" customHeight="1">
      <c r="H215" s="3"/>
    </row>
    <row r="216" ht="15.75" customHeight="1">
      <c r="H216" s="3"/>
    </row>
    <row r="217" ht="15.75" customHeight="1">
      <c r="H217" s="3"/>
    </row>
    <row r="218" ht="15.75" customHeight="1">
      <c r="H218" s="3"/>
    </row>
    <row r="219" ht="15.75" customHeight="1">
      <c r="H219" s="3"/>
    </row>
    <row r="220" ht="15.75" customHeight="1">
      <c r="H220" s="3"/>
    </row>
    <row r="221" ht="15.75" customHeight="1">
      <c r="H221" s="3"/>
    </row>
    <row r="222" ht="15.75" customHeight="1">
      <c r="H222" s="3"/>
    </row>
    <row r="223" ht="15.75" customHeight="1">
      <c r="H223" s="3"/>
    </row>
    <row r="224" ht="15.75" customHeight="1">
      <c r="H224" s="3"/>
    </row>
    <row r="225" ht="15.75" customHeight="1">
      <c r="H225" s="3"/>
    </row>
    <row r="226" ht="15.75" customHeight="1">
      <c r="H226" s="3"/>
    </row>
    <row r="227" ht="15.75" customHeight="1">
      <c r="H227" s="3"/>
    </row>
    <row r="228" ht="15.75" customHeight="1">
      <c r="H228" s="3"/>
    </row>
    <row r="229" ht="15.75" customHeight="1">
      <c r="H229" s="3"/>
    </row>
    <row r="230" ht="15.75" customHeight="1">
      <c r="H230" s="3"/>
    </row>
    <row r="231" ht="15.75" customHeight="1">
      <c r="H231" s="3"/>
    </row>
    <row r="232" ht="15.75" customHeight="1">
      <c r="H232" s="3"/>
    </row>
    <row r="233" ht="15.75" customHeight="1">
      <c r="H233" s="3"/>
    </row>
    <row r="234" ht="15.75" customHeight="1">
      <c r="H234" s="3"/>
    </row>
    <row r="235" ht="15.75" customHeight="1">
      <c r="H235" s="3"/>
    </row>
    <row r="236" ht="15.75" customHeight="1">
      <c r="H236" s="3"/>
    </row>
    <row r="237" ht="15.75" customHeight="1">
      <c r="H237" s="3"/>
    </row>
    <row r="238" ht="15.75" customHeight="1">
      <c r="H238" s="3"/>
    </row>
    <row r="239" ht="15.75" customHeight="1">
      <c r="H239" s="3"/>
    </row>
    <row r="240" ht="15.75" customHeight="1">
      <c r="H240" s="3"/>
    </row>
    <row r="241" ht="15.75" customHeight="1">
      <c r="H241" s="3"/>
    </row>
    <row r="242" ht="15.75" customHeight="1">
      <c r="H242" s="3"/>
    </row>
    <row r="243" ht="15.75" customHeight="1">
      <c r="H243" s="3"/>
    </row>
    <row r="244" ht="15.75" customHeight="1">
      <c r="H244" s="3"/>
    </row>
    <row r="245" ht="15.75" customHeight="1">
      <c r="H245" s="3"/>
    </row>
    <row r="246" ht="15.75" customHeight="1">
      <c r="H246" s="3"/>
    </row>
    <row r="247" ht="15.75" customHeight="1">
      <c r="H247" s="3"/>
    </row>
    <row r="248" ht="15.75" customHeight="1">
      <c r="H248" s="3"/>
    </row>
    <row r="249" ht="15.75" customHeight="1">
      <c r="H249" s="3"/>
    </row>
    <row r="250" ht="15.75" customHeight="1">
      <c r="H250" s="3"/>
    </row>
    <row r="251" ht="15.75" customHeight="1">
      <c r="H251" s="3"/>
    </row>
    <row r="252" ht="15.75" customHeight="1">
      <c r="H252" s="3"/>
    </row>
    <row r="253" ht="15.75" customHeight="1">
      <c r="H253" s="3"/>
    </row>
    <row r="254" ht="15.75" customHeight="1">
      <c r="H254" s="3"/>
    </row>
    <row r="255" ht="15.75" customHeight="1">
      <c r="H255" s="3"/>
    </row>
    <row r="256" ht="15.75" customHeight="1">
      <c r="H256" s="3"/>
    </row>
    <row r="257" ht="15.75" customHeight="1">
      <c r="H257" s="3"/>
    </row>
    <row r="258" ht="15.75" customHeight="1">
      <c r="H258" s="3"/>
    </row>
    <row r="259" ht="15.75" customHeight="1">
      <c r="H259" s="3"/>
    </row>
    <row r="260" ht="15.75" customHeight="1">
      <c r="H260" s="3"/>
    </row>
    <row r="261" ht="15.75" customHeight="1">
      <c r="H261" s="3"/>
    </row>
    <row r="262" ht="15.75" customHeight="1">
      <c r="H262" s="3"/>
    </row>
    <row r="263" ht="15.75" customHeight="1">
      <c r="H263" s="3"/>
    </row>
    <row r="264" ht="15.75" customHeight="1">
      <c r="H264" s="3"/>
    </row>
    <row r="265" ht="15.75" customHeight="1">
      <c r="H265" s="3"/>
    </row>
    <row r="266" ht="15.75" customHeight="1">
      <c r="H266" s="3"/>
    </row>
    <row r="267" ht="15.75" customHeight="1">
      <c r="H267" s="3"/>
    </row>
    <row r="268" ht="15.75" customHeight="1">
      <c r="H268" s="3"/>
    </row>
    <row r="269" ht="15.75" customHeight="1">
      <c r="H269" s="3"/>
    </row>
    <row r="270" ht="15.75" customHeight="1">
      <c r="H270" s="3"/>
    </row>
    <row r="271" ht="15.75" customHeight="1">
      <c r="H271" s="3"/>
    </row>
    <row r="272" ht="15.75" customHeight="1">
      <c r="H272" s="3"/>
    </row>
    <row r="273" ht="15.75" customHeight="1">
      <c r="H273" s="3"/>
    </row>
    <row r="274" ht="15.75" customHeight="1">
      <c r="H274" s="3"/>
    </row>
    <row r="275" ht="15.75" customHeight="1">
      <c r="H275" s="3"/>
    </row>
    <row r="276" ht="15.75" customHeight="1">
      <c r="H276" s="3"/>
    </row>
    <row r="277" ht="15.75" customHeight="1">
      <c r="H277" s="3"/>
    </row>
    <row r="278" ht="15.75" customHeight="1">
      <c r="H278" s="3"/>
    </row>
    <row r="279" ht="15.75" customHeight="1">
      <c r="H279" s="3"/>
    </row>
    <row r="280" ht="15.75" customHeight="1">
      <c r="H280" s="3"/>
    </row>
    <row r="281" ht="15.75" customHeight="1">
      <c r="H281" s="3"/>
    </row>
    <row r="282" ht="15.75" customHeight="1">
      <c r="H282" s="3"/>
    </row>
    <row r="283" ht="15.75" customHeight="1">
      <c r="H283" s="3"/>
    </row>
    <row r="284" ht="15.75" customHeight="1">
      <c r="H284" s="3"/>
    </row>
    <row r="285" ht="15.75" customHeight="1">
      <c r="H285" s="3"/>
    </row>
    <row r="286" ht="15.75" customHeight="1">
      <c r="H286" s="3"/>
    </row>
    <row r="287" ht="15.75" customHeight="1">
      <c r="H287" s="3"/>
    </row>
    <row r="288" ht="15.75" customHeight="1">
      <c r="H288" s="3"/>
    </row>
    <row r="289" ht="15.75" customHeight="1">
      <c r="H289" s="3"/>
    </row>
    <row r="290" ht="15.75" customHeight="1">
      <c r="H290" s="3"/>
    </row>
    <row r="291" ht="15.75" customHeight="1">
      <c r="H291" s="3"/>
    </row>
    <row r="292" ht="15.75" customHeight="1">
      <c r="H292" s="3"/>
    </row>
    <row r="293" ht="15.75" customHeight="1">
      <c r="H293" s="3"/>
    </row>
    <row r="294" ht="15.75" customHeight="1">
      <c r="H294" s="3"/>
    </row>
    <row r="295" ht="15.75" customHeight="1">
      <c r="H295" s="3"/>
    </row>
    <row r="296" ht="15.75" customHeight="1">
      <c r="H296" s="3"/>
    </row>
    <row r="297" ht="15.75" customHeight="1">
      <c r="H297" s="3"/>
    </row>
    <row r="298" ht="15.75" customHeight="1">
      <c r="H298" s="3"/>
    </row>
    <row r="299" ht="15.75" customHeight="1">
      <c r="H299" s="3"/>
    </row>
    <row r="300" ht="15.75" customHeight="1">
      <c r="H300" s="3"/>
    </row>
    <row r="301" ht="15.75" customHeight="1">
      <c r="H301" s="3"/>
    </row>
    <row r="302" ht="15.75" customHeight="1">
      <c r="H302" s="3"/>
    </row>
    <row r="303" ht="15.75" customHeight="1">
      <c r="H303" s="3"/>
    </row>
    <row r="304" ht="15.75" customHeight="1">
      <c r="H304" s="3"/>
    </row>
    <row r="305" ht="15.75" customHeight="1">
      <c r="H305" s="3"/>
    </row>
    <row r="306" ht="15.75" customHeight="1">
      <c r="H306" s="3"/>
    </row>
    <row r="307" ht="15.75" customHeight="1">
      <c r="H307" s="3"/>
    </row>
    <row r="308" ht="15.75" customHeight="1">
      <c r="H308" s="3"/>
    </row>
    <row r="309" ht="15.75" customHeight="1">
      <c r="H309" s="3"/>
    </row>
    <row r="310" ht="15.75" customHeight="1">
      <c r="H310" s="3"/>
    </row>
    <row r="311" ht="15.75" customHeight="1">
      <c r="H311" s="3"/>
    </row>
    <row r="312" ht="15.75" customHeight="1">
      <c r="H312" s="3"/>
    </row>
    <row r="313" ht="15.75" customHeight="1">
      <c r="H313" s="3"/>
    </row>
    <row r="314" ht="15.75" customHeight="1">
      <c r="H314" s="3"/>
    </row>
    <row r="315" ht="15.75" customHeight="1">
      <c r="H315" s="3"/>
    </row>
    <row r="316" ht="15.75" customHeight="1">
      <c r="H316" s="3"/>
    </row>
    <row r="317" ht="15.75" customHeight="1">
      <c r="H317" s="3"/>
    </row>
    <row r="318" ht="15.75" customHeight="1">
      <c r="H318" s="3"/>
    </row>
    <row r="319" ht="15.75" customHeight="1">
      <c r="H319" s="3"/>
    </row>
    <row r="320" ht="15.75" customHeight="1">
      <c r="H320" s="3"/>
    </row>
    <row r="321" ht="15.75" customHeight="1">
      <c r="H321" s="3"/>
    </row>
    <row r="322" ht="15.75" customHeight="1">
      <c r="H322" s="3"/>
    </row>
    <row r="323" ht="15.75" customHeight="1">
      <c r="H323" s="3"/>
    </row>
    <row r="324" ht="15.75" customHeight="1">
      <c r="H324" s="3"/>
    </row>
    <row r="325" ht="15.75" customHeight="1">
      <c r="H325" s="3"/>
    </row>
    <row r="326" ht="15.75" customHeight="1">
      <c r="H326" s="3"/>
    </row>
    <row r="327" ht="15.75" customHeight="1">
      <c r="H327" s="3"/>
    </row>
    <row r="328" ht="15.75" customHeight="1">
      <c r="H328" s="3"/>
    </row>
    <row r="329" ht="15.75" customHeight="1">
      <c r="H329" s="3"/>
    </row>
    <row r="330" ht="15.75" customHeight="1">
      <c r="H330" s="3"/>
    </row>
    <row r="331" ht="15.75" customHeight="1">
      <c r="H331" s="3"/>
    </row>
    <row r="332" ht="15.75" customHeight="1">
      <c r="H332" s="3"/>
    </row>
    <row r="333" ht="15.75" customHeight="1">
      <c r="H333" s="3"/>
    </row>
    <row r="334" ht="15.75" customHeight="1">
      <c r="H334" s="3"/>
    </row>
    <row r="335" ht="15.75" customHeight="1">
      <c r="H335" s="3"/>
    </row>
    <row r="336" ht="15.75" customHeight="1">
      <c r="H336" s="3"/>
    </row>
    <row r="337" ht="15.75" customHeight="1">
      <c r="H337" s="3"/>
    </row>
    <row r="338" ht="15.75" customHeight="1">
      <c r="H338" s="3"/>
    </row>
    <row r="339" ht="15.75" customHeight="1">
      <c r="H339" s="3"/>
    </row>
    <row r="340" ht="15.75" customHeight="1">
      <c r="H340" s="3"/>
    </row>
    <row r="341" ht="15.75" customHeight="1">
      <c r="H341" s="3"/>
    </row>
    <row r="342" ht="15.75" customHeight="1">
      <c r="H342" s="3"/>
    </row>
    <row r="343" ht="15.75" customHeight="1">
      <c r="H343" s="3"/>
    </row>
    <row r="344" ht="15.75" customHeight="1">
      <c r="H344" s="3"/>
    </row>
    <row r="345" ht="15.75" customHeight="1">
      <c r="H345" s="3"/>
    </row>
    <row r="346" ht="15.75" customHeight="1">
      <c r="H346" s="3"/>
    </row>
    <row r="347" ht="15.75" customHeight="1">
      <c r="H347" s="3"/>
    </row>
    <row r="348" ht="15.75" customHeight="1">
      <c r="H348" s="3"/>
    </row>
    <row r="349" ht="15.75" customHeight="1">
      <c r="H349" s="3"/>
    </row>
    <row r="350" ht="15.75" customHeight="1">
      <c r="H350" s="3"/>
    </row>
    <row r="351" ht="15.75" customHeight="1">
      <c r="H351" s="3"/>
    </row>
    <row r="352" ht="15.75" customHeight="1">
      <c r="H352" s="3"/>
    </row>
    <row r="353" ht="15.75" customHeight="1">
      <c r="H353" s="3"/>
    </row>
    <row r="354" ht="15.75" customHeight="1">
      <c r="H354" s="3"/>
    </row>
    <row r="355" ht="15.75" customHeight="1">
      <c r="H355" s="3"/>
    </row>
    <row r="356" ht="15.75" customHeight="1">
      <c r="H356" s="3"/>
    </row>
    <row r="357" ht="15.75" customHeight="1">
      <c r="H357" s="3"/>
    </row>
    <row r="358" ht="15.75" customHeight="1">
      <c r="H358" s="3"/>
    </row>
    <row r="359" ht="15.75" customHeight="1">
      <c r="H359" s="3"/>
    </row>
    <row r="360" ht="15.75" customHeight="1">
      <c r="H360" s="3"/>
    </row>
    <row r="361" ht="15.75" customHeight="1">
      <c r="H361" s="3"/>
    </row>
    <row r="362" ht="15.75" customHeight="1">
      <c r="H362" s="3"/>
    </row>
    <row r="363" ht="15.75" customHeight="1">
      <c r="H363" s="3"/>
    </row>
    <row r="364" ht="15.75" customHeight="1">
      <c r="H364" s="3"/>
    </row>
    <row r="365" ht="15.75" customHeight="1">
      <c r="H365" s="3"/>
    </row>
    <row r="366" ht="15.75" customHeight="1">
      <c r="H366" s="3"/>
    </row>
    <row r="367" ht="15.75" customHeight="1">
      <c r="H367" s="3"/>
    </row>
    <row r="368" ht="15.75" customHeight="1">
      <c r="H368" s="3"/>
    </row>
    <row r="369" ht="15.75" customHeight="1">
      <c r="H369" s="3"/>
    </row>
    <row r="370" ht="15.75" customHeight="1">
      <c r="H370" s="3"/>
    </row>
    <row r="371" ht="15.75" customHeight="1">
      <c r="H371" s="3"/>
    </row>
    <row r="372" ht="15.75" customHeight="1">
      <c r="H372" s="3"/>
    </row>
    <row r="373" ht="15.75" customHeight="1">
      <c r="H373" s="3"/>
    </row>
    <row r="374" ht="15.75" customHeight="1">
      <c r="H374" s="3"/>
    </row>
    <row r="375" ht="15.75" customHeight="1">
      <c r="H375" s="3"/>
    </row>
    <row r="376" ht="15.75" customHeight="1">
      <c r="H376" s="3"/>
    </row>
    <row r="377" ht="15.75" customHeight="1">
      <c r="H377" s="3"/>
    </row>
    <row r="378" ht="15.75" customHeight="1">
      <c r="H378" s="3"/>
    </row>
    <row r="379" ht="15.75" customHeight="1">
      <c r="H379" s="3"/>
    </row>
    <row r="380" ht="15.75" customHeight="1">
      <c r="H380" s="3"/>
    </row>
    <row r="381" ht="15.75" customHeight="1">
      <c r="H381" s="3"/>
    </row>
    <row r="382" ht="15.75" customHeight="1">
      <c r="H382" s="3"/>
    </row>
    <row r="383" ht="15.75" customHeight="1">
      <c r="H383" s="3"/>
    </row>
    <row r="384" ht="15.75" customHeight="1">
      <c r="H384" s="3"/>
    </row>
    <row r="385" ht="15.75" customHeight="1">
      <c r="H385" s="3"/>
    </row>
    <row r="386" ht="15.75" customHeight="1">
      <c r="H386" s="3"/>
    </row>
    <row r="387" ht="15.75" customHeight="1">
      <c r="H387" s="3"/>
    </row>
    <row r="388" ht="15.75" customHeight="1">
      <c r="H388" s="3"/>
    </row>
    <row r="389" ht="15.75" customHeight="1">
      <c r="H389" s="3"/>
    </row>
    <row r="390" ht="15.75" customHeight="1">
      <c r="H390" s="3"/>
    </row>
    <row r="391" ht="15.75" customHeight="1">
      <c r="H391" s="3"/>
    </row>
    <row r="392" ht="15.75" customHeight="1">
      <c r="H392" s="3"/>
    </row>
    <row r="393" ht="15.75" customHeight="1">
      <c r="H393" s="3"/>
    </row>
    <row r="394" ht="15.75" customHeight="1">
      <c r="H394" s="3"/>
    </row>
    <row r="395" ht="15.75" customHeight="1">
      <c r="H395" s="3"/>
    </row>
    <row r="396" ht="15.75" customHeight="1">
      <c r="H396" s="3"/>
    </row>
    <row r="397" ht="15.75" customHeight="1">
      <c r="H397" s="3"/>
    </row>
    <row r="398" ht="15.75" customHeight="1">
      <c r="H398" s="3"/>
    </row>
    <row r="399" ht="15.75" customHeight="1">
      <c r="H399" s="3"/>
    </row>
    <row r="400" ht="15.75" customHeight="1">
      <c r="H400" s="3"/>
    </row>
    <row r="401" ht="15.75" customHeight="1">
      <c r="H401" s="3"/>
    </row>
    <row r="402" ht="15.75" customHeight="1">
      <c r="H402" s="3"/>
    </row>
    <row r="403" ht="15.75" customHeight="1">
      <c r="H403" s="3"/>
    </row>
    <row r="404" ht="15.75" customHeight="1">
      <c r="H404" s="3"/>
    </row>
    <row r="405" ht="15.75" customHeight="1">
      <c r="H405" s="3"/>
    </row>
    <row r="406" ht="15.75" customHeight="1">
      <c r="H406" s="3"/>
    </row>
    <row r="407" ht="15.75" customHeight="1">
      <c r="H407" s="3"/>
    </row>
    <row r="408" ht="15.75" customHeight="1">
      <c r="H408" s="3"/>
    </row>
    <row r="409" ht="15.75" customHeight="1">
      <c r="H409" s="3"/>
    </row>
    <row r="410" ht="15.75" customHeight="1">
      <c r="H410" s="3"/>
    </row>
    <row r="411" ht="15.75" customHeight="1">
      <c r="H411" s="3"/>
    </row>
    <row r="412" ht="15.75" customHeight="1">
      <c r="H412" s="3"/>
    </row>
    <row r="413" ht="15.75" customHeight="1">
      <c r="H413" s="3"/>
    </row>
    <row r="414" ht="15.75" customHeight="1">
      <c r="H414" s="3"/>
    </row>
    <row r="415" ht="15.75" customHeight="1">
      <c r="H415" s="3"/>
    </row>
    <row r="416" ht="15.75" customHeight="1">
      <c r="H416" s="3"/>
    </row>
    <row r="417" ht="15.75" customHeight="1">
      <c r="H417" s="3"/>
    </row>
    <row r="418" ht="15.75" customHeight="1">
      <c r="H418" s="3"/>
    </row>
    <row r="419" ht="15.75" customHeight="1">
      <c r="H419" s="3"/>
    </row>
    <row r="420" ht="15.75" customHeight="1">
      <c r="H420" s="3"/>
    </row>
    <row r="421" ht="15.75" customHeight="1">
      <c r="H421" s="3"/>
    </row>
    <row r="422" ht="15.75" customHeight="1">
      <c r="H422" s="3"/>
    </row>
    <row r="423" ht="15.75" customHeight="1">
      <c r="H423" s="3"/>
    </row>
    <row r="424" ht="15.75" customHeight="1">
      <c r="H424" s="3"/>
    </row>
    <row r="425" ht="15.75" customHeight="1">
      <c r="H425" s="3"/>
    </row>
    <row r="426" ht="15.75" customHeight="1">
      <c r="H426" s="3"/>
    </row>
    <row r="427" ht="15.75" customHeight="1">
      <c r="H427" s="3"/>
    </row>
    <row r="428" ht="15.75" customHeight="1">
      <c r="H428" s="3"/>
    </row>
    <row r="429" ht="15.75" customHeight="1">
      <c r="H429" s="3"/>
    </row>
    <row r="430" ht="15.75" customHeight="1">
      <c r="H430" s="3"/>
    </row>
    <row r="431" ht="15.75" customHeight="1">
      <c r="H431" s="3"/>
    </row>
    <row r="432" ht="15.75" customHeight="1">
      <c r="H432" s="3"/>
    </row>
    <row r="433" ht="15.75" customHeight="1">
      <c r="H433" s="3"/>
    </row>
    <row r="434" ht="15.75" customHeight="1">
      <c r="H434" s="3"/>
    </row>
    <row r="435" ht="15.75" customHeight="1">
      <c r="H435" s="3"/>
    </row>
    <row r="436" ht="15.75" customHeight="1">
      <c r="H436" s="3"/>
    </row>
    <row r="437" ht="15.75" customHeight="1">
      <c r="H437" s="3"/>
    </row>
    <row r="438" ht="15.75" customHeight="1">
      <c r="H438" s="3"/>
    </row>
    <row r="439" ht="15.75" customHeight="1">
      <c r="H439" s="3"/>
    </row>
    <row r="440" ht="15.75" customHeight="1">
      <c r="H440" s="3"/>
    </row>
    <row r="441" ht="15.75" customHeight="1">
      <c r="H441" s="3"/>
    </row>
    <row r="442" ht="15.75" customHeight="1">
      <c r="H442" s="3"/>
    </row>
    <row r="443" ht="15.75" customHeight="1">
      <c r="H443" s="3"/>
    </row>
    <row r="444" ht="15.75" customHeight="1">
      <c r="H444" s="3"/>
    </row>
    <row r="445" ht="15.75" customHeight="1">
      <c r="H445" s="3"/>
    </row>
    <row r="446" ht="15.75" customHeight="1">
      <c r="H446" s="3"/>
    </row>
    <row r="447" ht="15.75" customHeight="1">
      <c r="H447" s="3"/>
    </row>
    <row r="448" ht="15.75" customHeight="1">
      <c r="H448" s="3"/>
    </row>
    <row r="449" ht="15.75" customHeight="1">
      <c r="H449" s="3"/>
    </row>
    <row r="450" ht="15.75" customHeight="1">
      <c r="H450" s="3"/>
    </row>
    <row r="451" ht="15.75" customHeight="1">
      <c r="H451" s="3"/>
    </row>
    <row r="452" ht="15.75" customHeight="1">
      <c r="H452" s="3"/>
    </row>
    <row r="453" ht="15.75" customHeight="1">
      <c r="H453" s="3"/>
    </row>
    <row r="454" ht="15.75" customHeight="1">
      <c r="H454" s="3"/>
    </row>
    <row r="455" ht="15.75" customHeight="1">
      <c r="H455" s="3"/>
    </row>
    <row r="456" ht="15.75" customHeight="1">
      <c r="H456" s="3"/>
    </row>
    <row r="457" ht="15.75" customHeight="1">
      <c r="H457" s="3"/>
    </row>
    <row r="458" ht="15.75" customHeight="1">
      <c r="H458" s="3"/>
    </row>
    <row r="459" ht="15.75" customHeight="1">
      <c r="H459" s="3"/>
    </row>
    <row r="460" ht="15.75" customHeight="1">
      <c r="H460" s="3"/>
    </row>
    <row r="461" ht="15.75" customHeight="1">
      <c r="H461" s="3"/>
    </row>
    <row r="462" ht="15.75" customHeight="1">
      <c r="H462" s="3"/>
    </row>
    <row r="463" ht="15.75" customHeight="1">
      <c r="H463" s="3"/>
    </row>
    <row r="464" ht="15.75" customHeight="1">
      <c r="H464" s="3"/>
    </row>
    <row r="465" ht="15.75" customHeight="1">
      <c r="H465" s="3"/>
    </row>
    <row r="466" ht="15.75" customHeight="1">
      <c r="H466" s="3"/>
    </row>
    <row r="467" ht="15.75" customHeight="1">
      <c r="H467" s="3"/>
    </row>
    <row r="468" ht="15.75" customHeight="1">
      <c r="H468" s="3"/>
    </row>
    <row r="469" ht="15.75" customHeight="1">
      <c r="H469" s="3"/>
    </row>
    <row r="470" ht="15.75" customHeight="1">
      <c r="H470" s="3"/>
    </row>
    <row r="471" ht="15.75" customHeight="1">
      <c r="H471" s="3"/>
    </row>
    <row r="472" ht="15.75" customHeight="1">
      <c r="H472" s="3"/>
    </row>
    <row r="473" ht="15.75" customHeight="1">
      <c r="H473" s="3"/>
    </row>
    <row r="474" ht="15.75" customHeight="1">
      <c r="H474" s="3"/>
    </row>
    <row r="475" ht="15.75" customHeight="1">
      <c r="H475" s="3"/>
    </row>
    <row r="476" ht="15.75" customHeight="1">
      <c r="H476" s="3"/>
    </row>
    <row r="477" ht="15.75" customHeight="1">
      <c r="H477" s="3"/>
    </row>
    <row r="478" ht="15.75" customHeight="1">
      <c r="H478" s="3"/>
    </row>
    <row r="479" ht="15.75" customHeight="1">
      <c r="H479" s="3"/>
    </row>
    <row r="480" ht="15.75" customHeight="1">
      <c r="H480" s="3"/>
    </row>
    <row r="481" ht="15.75" customHeight="1">
      <c r="H481" s="3"/>
    </row>
    <row r="482" ht="15.75" customHeight="1">
      <c r="H482" s="3"/>
    </row>
    <row r="483" ht="15.75" customHeight="1">
      <c r="H483" s="3"/>
    </row>
    <row r="484" ht="15.75" customHeight="1">
      <c r="H484" s="3"/>
    </row>
    <row r="485" ht="15.75" customHeight="1">
      <c r="H485" s="3"/>
    </row>
    <row r="486" ht="15.75" customHeight="1">
      <c r="H486" s="3"/>
    </row>
    <row r="487" ht="15.75" customHeight="1">
      <c r="H487" s="3"/>
    </row>
    <row r="488" ht="15.75" customHeight="1">
      <c r="H488" s="3"/>
    </row>
    <row r="489" ht="15.75" customHeight="1">
      <c r="H489" s="3"/>
    </row>
    <row r="490" ht="15.75" customHeight="1">
      <c r="H490" s="3"/>
    </row>
    <row r="491" ht="15.75" customHeight="1">
      <c r="H491" s="3"/>
    </row>
    <row r="492" ht="15.75" customHeight="1">
      <c r="H492" s="3"/>
    </row>
    <row r="493" ht="15.75" customHeight="1">
      <c r="H493" s="3"/>
    </row>
    <row r="494" ht="15.75" customHeight="1">
      <c r="H494" s="3"/>
    </row>
    <row r="495" ht="15.75" customHeight="1">
      <c r="H495" s="3"/>
    </row>
    <row r="496" ht="15.75" customHeight="1">
      <c r="H496" s="3"/>
    </row>
    <row r="497" ht="15.75" customHeight="1">
      <c r="H497" s="3"/>
    </row>
    <row r="498" ht="15.75" customHeight="1">
      <c r="H498" s="3"/>
    </row>
    <row r="499" ht="15.75" customHeight="1">
      <c r="H499" s="3"/>
    </row>
    <row r="500" ht="15.75" customHeight="1">
      <c r="H500" s="3"/>
    </row>
    <row r="501" ht="15.75" customHeight="1">
      <c r="H501" s="3"/>
    </row>
    <row r="502" ht="15.75" customHeight="1">
      <c r="H502" s="3"/>
    </row>
    <row r="503" ht="15.75" customHeight="1">
      <c r="H503" s="3"/>
    </row>
    <row r="504" ht="15.75" customHeight="1">
      <c r="H504" s="3"/>
    </row>
    <row r="505" ht="15.75" customHeight="1">
      <c r="H505" s="3"/>
    </row>
    <row r="506" ht="15.75" customHeight="1">
      <c r="H506" s="3"/>
    </row>
    <row r="507" ht="15.75" customHeight="1">
      <c r="H507" s="3"/>
    </row>
    <row r="508" ht="15.75" customHeight="1">
      <c r="H508" s="3"/>
    </row>
    <row r="509" ht="15.75" customHeight="1">
      <c r="H509" s="3"/>
    </row>
    <row r="510" ht="15.75" customHeight="1">
      <c r="H510" s="3"/>
    </row>
    <row r="511" ht="15.75" customHeight="1">
      <c r="H511" s="3"/>
    </row>
    <row r="512" ht="15.75" customHeight="1">
      <c r="H512" s="3"/>
    </row>
    <row r="513" ht="15.75" customHeight="1">
      <c r="H513" s="3"/>
    </row>
    <row r="514" ht="15.75" customHeight="1">
      <c r="H514" s="3"/>
    </row>
    <row r="515" ht="15.75" customHeight="1">
      <c r="H515" s="3"/>
    </row>
    <row r="516" ht="15.75" customHeight="1">
      <c r="H516" s="3"/>
    </row>
    <row r="517" ht="15.75" customHeight="1">
      <c r="H517" s="3"/>
    </row>
    <row r="518" ht="15.75" customHeight="1">
      <c r="H518" s="3"/>
    </row>
    <row r="519" ht="15.75" customHeight="1">
      <c r="H519" s="3"/>
    </row>
    <row r="520" ht="15.75" customHeight="1">
      <c r="H520" s="3"/>
    </row>
    <row r="521" ht="15.75" customHeight="1">
      <c r="H521" s="3"/>
    </row>
    <row r="522" ht="15.75" customHeight="1">
      <c r="H522" s="3"/>
    </row>
    <row r="523" ht="15.75" customHeight="1">
      <c r="H523" s="3"/>
    </row>
    <row r="524" ht="15.75" customHeight="1">
      <c r="H524" s="3"/>
    </row>
    <row r="525" ht="15.75" customHeight="1">
      <c r="H525" s="3"/>
    </row>
    <row r="526" ht="15.75" customHeight="1">
      <c r="H526" s="3"/>
    </row>
    <row r="527" ht="15.75" customHeight="1">
      <c r="H527" s="3"/>
    </row>
    <row r="528" ht="15.75" customHeight="1">
      <c r="H528" s="3"/>
    </row>
    <row r="529" ht="15.75" customHeight="1">
      <c r="H529" s="3"/>
    </row>
    <row r="530" ht="15.75" customHeight="1">
      <c r="H530" s="3"/>
    </row>
    <row r="531" ht="15.75" customHeight="1">
      <c r="H531" s="3"/>
    </row>
    <row r="532" ht="15.75" customHeight="1">
      <c r="H532" s="3"/>
    </row>
    <row r="533" ht="15.75" customHeight="1">
      <c r="H533" s="3"/>
    </row>
    <row r="534" ht="15.75" customHeight="1">
      <c r="H534" s="3"/>
    </row>
    <row r="535" ht="15.75" customHeight="1">
      <c r="H535" s="3"/>
    </row>
    <row r="536" ht="15.75" customHeight="1">
      <c r="H536" s="3"/>
    </row>
    <row r="537" ht="15.75" customHeight="1">
      <c r="H537" s="3"/>
    </row>
    <row r="538" ht="15.75" customHeight="1">
      <c r="H538" s="3"/>
    </row>
    <row r="539" ht="15.75" customHeight="1">
      <c r="H539" s="3"/>
    </row>
    <row r="540" ht="15.75" customHeight="1">
      <c r="H540" s="3"/>
    </row>
    <row r="541" ht="15.75" customHeight="1">
      <c r="H541" s="3"/>
    </row>
    <row r="542" ht="15.75" customHeight="1">
      <c r="H542" s="3"/>
    </row>
    <row r="543" ht="15.75" customHeight="1">
      <c r="H543" s="3"/>
    </row>
    <row r="544" ht="15.75" customHeight="1">
      <c r="H544" s="3"/>
    </row>
    <row r="545" ht="15.75" customHeight="1">
      <c r="H545" s="3"/>
    </row>
    <row r="546" ht="15.75" customHeight="1">
      <c r="H546" s="3"/>
    </row>
    <row r="547" ht="15.75" customHeight="1">
      <c r="H547" s="3"/>
    </row>
    <row r="548" ht="15.75" customHeight="1">
      <c r="H548" s="3"/>
    </row>
    <row r="549" ht="15.75" customHeight="1">
      <c r="H549" s="3"/>
    </row>
    <row r="550" ht="15.75" customHeight="1">
      <c r="H550" s="3"/>
    </row>
    <row r="551" ht="15.75" customHeight="1">
      <c r="H551" s="3"/>
    </row>
    <row r="552" ht="15.75" customHeight="1">
      <c r="H552" s="3"/>
    </row>
    <row r="553" ht="15.75" customHeight="1">
      <c r="H553" s="3"/>
    </row>
    <row r="554" ht="15.75" customHeight="1">
      <c r="H554" s="3"/>
    </row>
    <row r="555" ht="15.75" customHeight="1">
      <c r="H555" s="3"/>
    </row>
    <row r="556" ht="15.75" customHeight="1">
      <c r="H556" s="3"/>
    </row>
    <row r="557" ht="15.75" customHeight="1">
      <c r="H557" s="3"/>
    </row>
    <row r="558" ht="15.75" customHeight="1">
      <c r="H558" s="3"/>
    </row>
    <row r="559" ht="15.75" customHeight="1">
      <c r="H559" s="3"/>
    </row>
    <row r="560" ht="15.75" customHeight="1">
      <c r="H560" s="3"/>
    </row>
    <row r="561" ht="15.75" customHeight="1">
      <c r="H561" s="3"/>
    </row>
    <row r="562" ht="15.75" customHeight="1">
      <c r="H562" s="3"/>
    </row>
    <row r="563" ht="15.75" customHeight="1">
      <c r="H563" s="3"/>
    </row>
    <row r="564" ht="15.75" customHeight="1">
      <c r="H564" s="3"/>
    </row>
    <row r="565" ht="15.75" customHeight="1">
      <c r="H565" s="3"/>
    </row>
    <row r="566" ht="15.75" customHeight="1">
      <c r="H566" s="3"/>
    </row>
    <row r="567" ht="15.75" customHeight="1">
      <c r="H567" s="3"/>
    </row>
    <row r="568" ht="15.75" customHeight="1">
      <c r="H568" s="3"/>
    </row>
    <row r="569" ht="15.75" customHeight="1">
      <c r="H569" s="3"/>
    </row>
    <row r="570" ht="15.75" customHeight="1">
      <c r="H570" s="3"/>
    </row>
    <row r="571" ht="15.75" customHeight="1">
      <c r="H571" s="3"/>
    </row>
    <row r="572" ht="15.75" customHeight="1">
      <c r="H572" s="3"/>
    </row>
    <row r="573" ht="15.75" customHeight="1">
      <c r="H573" s="3"/>
    </row>
    <row r="574" ht="15.75" customHeight="1">
      <c r="H574" s="3"/>
    </row>
    <row r="575" ht="15.75" customHeight="1">
      <c r="H575" s="3"/>
    </row>
    <row r="576" ht="15.75" customHeight="1">
      <c r="H576" s="3"/>
    </row>
    <row r="577" ht="15.75" customHeight="1">
      <c r="H577" s="3"/>
    </row>
    <row r="578" ht="15.75" customHeight="1">
      <c r="H578" s="3"/>
    </row>
    <row r="579" ht="15.75" customHeight="1">
      <c r="H579" s="3"/>
    </row>
    <row r="580" ht="15.75" customHeight="1">
      <c r="H580" s="3"/>
    </row>
    <row r="581" ht="15.75" customHeight="1">
      <c r="H581" s="3"/>
    </row>
    <row r="582" ht="15.75" customHeight="1">
      <c r="H582" s="3"/>
    </row>
    <row r="583" ht="15.75" customHeight="1">
      <c r="H583" s="3"/>
    </row>
    <row r="584" ht="15.75" customHeight="1">
      <c r="H584" s="3"/>
    </row>
    <row r="585" ht="15.75" customHeight="1">
      <c r="H585" s="3"/>
    </row>
    <row r="586" ht="15.75" customHeight="1">
      <c r="H586" s="3"/>
    </row>
    <row r="587" ht="15.75" customHeight="1">
      <c r="H587" s="3"/>
    </row>
    <row r="588" ht="15.75" customHeight="1">
      <c r="H588" s="3"/>
    </row>
    <row r="589" ht="15.75" customHeight="1">
      <c r="H589" s="3"/>
    </row>
    <row r="590" ht="15.75" customHeight="1">
      <c r="H590" s="3"/>
    </row>
    <row r="591" ht="15.75" customHeight="1">
      <c r="H591" s="3"/>
    </row>
    <row r="592" ht="15.75" customHeight="1">
      <c r="H592" s="3"/>
    </row>
    <row r="593" ht="15.75" customHeight="1">
      <c r="H593" s="3"/>
    </row>
    <row r="594" ht="15.75" customHeight="1">
      <c r="H594" s="3"/>
    </row>
    <row r="595" ht="15.75" customHeight="1">
      <c r="H595" s="3"/>
    </row>
    <row r="596" ht="15.75" customHeight="1">
      <c r="H596" s="3"/>
    </row>
    <row r="597" ht="15.75" customHeight="1">
      <c r="H597" s="3"/>
    </row>
    <row r="598" ht="15.75" customHeight="1">
      <c r="H598" s="3"/>
    </row>
    <row r="599" ht="15.75" customHeight="1">
      <c r="H599" s="3"/>
    </row>
    <row r="600" ht="15.75" customHeight="1">
      <c r="H600" s="3"/>
    </row>
    <row r="601" ht="15.75" customHeight="1">
      <c r="H601" s="3"/>
    </row>
    <row r="602" ht="15.75" customHeight="1">
      <c r="H602" s="3"/>
    </row>
    <row r="603" ht="15.75" customHeight="1">
      <c r="H603" s="3"/>
    </row>
    <row r="604" ht="15.75" customHeight="1">
      <c r="H604" s="3"/>
    </row>
    <row r="605" ht="15.75" customHeight="1">
      <c r="H605" s="3"/>
    </row>
    <row r="606" ht="15.75" customHeight="1">
      <c r="H606" s="3"/>
    </row>
    <row r="607" ht="15.75" customHeight="1">
      <c r="H607" s="3"/>
    </row>
    <row r="608" ht="15.75" customHeight="1">
      <c r="H608" s="3"/>
    </row>
    <row r="609" ht="15.75" customHeight="1">
      <c r="H609" s="3"/>
    </row>
    <row r="610" ht="15.75" customHeight="1">
      <c r="H610" s="3"/>
    </row>
    <row r="611" ht="15.75" customHeight="1">
      <c r="H611" s="3"/>
    </row>
    <row r="612" ht="15.75" customHeight="1">
      <c r="H612" s="3"/>
    </row>
    <row r="613" ht="15.75" customHeight="1">
      <c r="H613" s="3"/>
    </row>
    <row r="614" ht="15.75" customHeight="1">
      <c r="H614" s="3"/>
    </row>
    <row r="615" ht="15.75" customHeight="1">
      <c r="H615" s="3"/>
    </row>
    <row r="616" ht="15.75" customHeight="1">
      <c r="H616" s="3"/>
    </row>
    <row r="617" ht="15.75" customHeight="1">
      <c r="H617" s="3"/>
    </row>
    <row r="618" ht="15.75" customHeight="1">
      <c r="H618" s="3"/>
    </row>
    <row r="619" ht="15.75" customHeight="1">
      <c r="H619" s="3"/>
    </row>
    <row r="620" ht="15.75" customHeight="1">
      <c r="H620" s="3"/>
    </row>
    <row r="621" ht="15.75" customHeight="1">
      <c r="H621" s="3"/>
    </row>
    <row r="622" ht="15.75" customHeight="1">
      <c r="H622" s="3"/>
    </row>
    <row r="623" ht="15.75" customHeight="1">
      <c r="H623" s="3"/>
    </row>
    <row r="624" ht="15.75" customHeight="1">
      <c r="H624" s="3"/>
    </row>
    <row r="625" ht="15.75" customHeight="1">
      <c r="H625" s="3"/>
    </row>
    <row r="626" ht="15.75" customHeight="1">
      <c r="H626" s="3"/>
    </row>
    <row r="627" ht="15.75" customHeight="1">
      <c r="H627" s="3"/>
    </row>
    <row r="628" ht="15.75" customHeight="1">
      <c r="H628" s="3"/>
    </row>
    <row r="629" ht="15.75" customHeight="1">
      <c r="H629" s="3"/>
    </row>
    <row r="630" ht="15.75" customHeight="1">
      <c r="H630" s="3"/>
    </row>
    <row r="631" ht="15.75" customHeight="1">
      <c r="H631" s="3"/>
    </row>
    <row r="632" ht="15.75" customHeight="1">
      <c r="H632" s="3"/>
    </row>
    <row r="633" ht="15.75" customHeight="1">
      <c r="H633" s="3"/>
    </row>
    <row r="634" ht="15.75" customHeight="1">
      <c r="H634" s="3"/>
    </row>
    <row r="635" ht="15.75" customHeight="1">
      <c r="H635" s="3"/>
    </row>
    <row r="636" ht="15.75" customHeight="1">
      <c r="H636" s="3"/>
    </row>
    <row r="637" ht="15.75" customHeight="1">
      <c r="H637" s="3"/>
    </row>
    <row r="638" ht="15.75" customHeight="1">
      <c r="H638" s="3"/>
    </row>
    <row r="639" ht="15.75" customHeight="1">
      <c r="H639" s="3"/>
    </row>
    <row r="640" ht="15.75" customHeight="1">
      <c r="H640" s="3"/>
    </row>
    <row r="641" ht="15.75" customHeight="1">
      <c r="H641" s="3"/>
    </row>
    <row r="642" ht="15.75" customHeight="1">
      <c r="H642" s="3"/>
    </row>
    <row r="643" ht="15.75" customHeight="1">
      <c r="H643" s="3"/>
    </row>
    <row r="644" ht="15.75" customHeight="1">
      <c r="H644" s="3"/>
    </row>
    <row r="645" ht="15.75" customHeight="1">
      <c r="H645" s="3"/>
    </row>
    <row r="646" ht="15.75" customHeight="1">
      <c r="H646" s="3"/>
    </row>
    <row r="647" ht="15.75" customHeight="1">
      <c r="H647" s="3"/>
    </row>
    <row r="648" ht="15.75" customHeight="1">
      <c r="H648" s="3"/>
    </row>
    <row r="649" ht="15.75" customHeight="1">
      <c r="H649" s="3"/>
    </row>
    <row r="650" ht="15.75" customHeight="1">
      <c r="H650" s="3"/>
    </row>
    <row r="651" ht="15.75" customHeight="1">
      <c r="H651" s="3"/>
    </row>
    <row r="652" ht="15.75" customHeight="1">
      <c r="H652" s="3"/>
    </row>
    <row r="653" ht="15.75" customHeight="1">
      <c r="H653" s="3"/>
    </row>
    <row r="654" ht="15.75" customHeight="1">
      <c r="H654" s="3"/>
    </row>
    <row r="655" ht="15.75" customHeight="1">
      <c r="H655" s="3"/>
    </row>
    <row r="656" ht="15.75" customHeight="1">
      <c r="H656" s="3"/>
    </row>
    <row r="657" ht="15.75" customHeight="1">
      <c r="H657" s="3"/>
    </row>
    <row r="658" ht="15.75" customHeight="1">
      <c r="H658" s="3"/>
    </row>
    <row r="659" ht="15.75" customHeight="1">
      <c r="H659" s="3"/>
    </row>
    <row r="660" ht="15.75" customHeight="1">
      <c r="H660" s="3"/>
    </row>
    <row r="661" ht="15.75" customHeight="1">
      <c r="H661" s="3"/>
    </row>
    <row r="662" ht="15.75" customHeight="1">
      <c r="H662" s="3"/>
    </row>
    <row r="663" ht="15.75" customHeight="1">
      <c r="H663" s="3"/>
    </row>
    <row r="664" ht="15.75" customHeight="1">
      <c r="H664" s="3"/>
    </row>
    <row r="665" ht="15.75" customHeight="1">
      <c r="H665" s="3"/>
    </row>
    <row r="666" ht="15.75" customHeight="1">
      <c r="H666" s="3"/>
    </row>
    <row r="667" ht="15.75" customHeight="1">
      <c r="H667" s="3"/>
    </row>
    <row r="668" ht="15.75" customHeight="1">
      <c r="H668" s="3"/>
    </row>
    <row r="669" ht="15.75" customHeight="1">
      <c r="H669" s="3"/>
    </row>
    <row r="670" ht="15.75" customHeight="1">
      <c r="H670" s="3"/>
    </row>
    <row r="671" ht="15.75" customHeight="1">
      <c r="H671" s="3"/>
    </row>
    <row r="672" ht="15.75" customHeight="1">
      <c r="H672" s="3"/>
    </row>
    <row r="673" ht="15.75" customHeight="1">
      <c r="H673" s="3"/>
    </row>
    <row r="674" ht="15.75" customHeight="1">
      <c r="H674" s="3"/>
    </row>
    <row r="675" ht="15.75" customHeight="1">
      <c r="H675" s="3"/>
    </row>
    <row r="676" ht="15.75" customHeight="1">
      <c r="H676" s="3"/>
    </row>
    <row r="677" ht="15.75" customHeight="1">
      <c r="H677" s="3"/>
    </row>
    <row r="678" ht="15.75" customHeight="1">
      <c r="H678" s="3"/>
    </row>
    <row r="679" ht="15.75" customHeight="1">
      <c r="H679" s="3"/>
    </row>
    <row r="680" ht="15.75" customHeight="1">
      <c r="H680" s="3"/>
    </row>
    <row r="681" ht="15.75" customHeight="1">
      <c r="H681" s="3"/>
    </row>
    <row r="682" ht="15.75" customHeight="1">
      <c r="H682" s="3"/>
    </row>
    <row r="683" ht="15.75" customHeight="1">
      <c r="H683" s="3"/>
    </row>
    <row r="684" ht="15.75" customHeight="1">
      <c r="H684" s="3"/>
    </row>
    <row r="685" ht="15.75" customHeight="1">
      <c r="H685" s="3"/>
    </row>
    <row r="686" ht="15.75" customHeight="1">
      <c r="H686" s="3"/>
    </row>
    <row r="687" ht="15.75" customHeight="1">
      <c r="H687" s="3"/>
    </row>
    <row r="688" ht="15.75" customHeight="1">
      <c r="H688" s="3"/>
    </row>
    <row r="689" ht="15.75" customHeight="1">
      <c r="H689" s="3"/>
    </row>
    <row r="690" ht="15.75" customHeight="1">
      <c r="H690" s="3"/>
    </row>
    <row r="691" ht="15.75" customHeight="1">
      <c r="H691" s="3"/>
    </row>
    <row r="692" ht="15.75" customHeight="1">
      <c r="H692" s="3"/>
    </row>
    <row r="693" ht="15.75" customHeight="1">
      <c r="H693" s="3"/>
    </row>
    <row r="694" ht="15.75" customHeight="1">
      <c r="H694" s="3"/>
    </row>
    <row r="695" ht="15.75" customHeight="1">
      <c r="H695" s="3"/>
    </row>
    <row r="696" ht="15.75" customHeight="1">
      <c r="H696" s="3"/>
    </row>
    <row r="697" ht="15.75" customHeight="1">
      <c r="H697" s="3"/>
    </row>
    <row r="698" ht="15.75" customHeight="1">
      <c r="H698" s="3"/>
    </row>
    <row r="699" ht="15.75" customHeight="1">
      <c r="H699" s="3"/>
    </row>
    <row r="700" ht="15.75" customHeight="1">
      <c r="H700" s="3"/>
    </row>
    <row r="701" ht="15.75" customHeight="1">
      <c r="H701" s="3"/>
    </row>
    <row r="702" ht="15.75" customHeight="1">
      <c r="H702" s="3"/>
    </row>
    <row r="703" ht="15.75" customHeight="1">
      <c r="H703" s="3"/>
    </row>
    <row r="704" ht="15.75" customHeight="1">
      <c r="H704" s="3"/>
    </row>
    <row r="705" ht="15.75" customHeight="1">
      <c r="H705" s="3"/>
    </row>
    <row r="706" ht="15.75" customHeight="1">
      <c r="H706" s="3"/>
    </row>
    <row r="707" ht="15.75" customHeight="1">
      <c r="H707" s="3"/>
    </row>
    <row r="708" ht="15.75" customHeight="1">
      <c r="H708" s="3"/>
    </row>
    <row r="709" ht="15.75" customHeight="1">
      <c r="H709" s="3"/>
    </row>
    <row r="710" ht="15.75" customHeight="1">
      <c r="H710" s="3"/>
    </row>
    <row r="711" ht="15.75" customHeight="1">
      <c r="H711" s="3"/>
    </row>
    <row r="712" ht="15.75" customHeight="1">
      <c r="H712" s="3"/>
    </row>
    <row r="713" ht="15.75" customHeight="1">
      <c r="H713" s="3"/>
    </row>
    <row r="714" ht="15.75" customHeight="1">
      <c r="H714" s="3"/>
    </row>
    <row r="715" ht="15.75" customHeight="1">
      <c r="H715" s="3"/>
    </row>
    <row r="716" ht="15.75" customHeight="1">
      <c r="H716" s="3"/>
    </row>
    <row r="717" ht="15.75" customHeight="1">
      <c r="H717" s="3"/>
    </row>
    <row r="718" ht="15.75" customHeight="1">
      <c r="H718" s="3"/>
    </row>
    <row r="719" ht="15.75" customHeight="1">
      <c r="H719" s="3"/>
    </row>
    <row r="720" ht="15.75" customHeight="1">
      <c r="H720" s="3"/>
    </row>
    <row r="721" ht="15.75" customHeight="1">
      <c r="H721" s="3"/>
    </row>
    <row r="722" ht="15.75" customHeight="1">
      <c r="H722" s="3"/>
    </row>
    <row r="723" ht="15.75" customHeight="1">
      <c r="H723" s="3"/>
    </row>
    <row r="724" ht="15.75" customHeight="1">
      <c r="H724" s="3"/>
    </row>
    <row r="725" ht="15.75" customHeight="1">
      <c r="H725" s="3"/>
    </row>
    <row r="726" ht="15.75" customHeight="1">
      <c r="H726" s="3"/>
    </row>
    <row r="727" ht="15.75" customHeight="1">
      <c r="H727" s="3"/>
    </row>
    <row r="728" ht="15.75" customHeight="1">
      <c r="H728" s="3"/>
    </row>
    <row r="729" ht="15.75" customHeight="1">
      <c r="H729" s="3"/>
    </row>
    <row r="730" ht="15.75" customHeight="1">
      <c r="H730" s="3"/>
    </row>
    <row r="731" ht="15.75" customHeight="1">
      <c r="H731" s="3"/>
    </row>
    <row r="732" ht="15.75" customHeight="1">
      <c r="H732" s="3"/>
    </row>
    <row r="733" ht="15.75" customHeight="1">
      <c r="H733" s="3"/>
    </row>
    <row r="734" ht="15.75" customHeight="1">
      <c r="H734" s="3"/>
    </row>
    <row r="735" ht="15.75" customHeight="1">
      <c r="H735" s="3"/>
    </row>
    <row r="736" ht="15.75" customHeight="1">
      <c r="H736" s="3"/>
    </row>
    <row r="737" ht="15.75" customHeight="1">
      <c r="H737" s="3"/>
    </row>
    <row r="738" ht="15.75" customHeight="1">
      <c r="H738" s="3"/>
    </row>
    <row r="739" ht="15.75" customHeight="1">
      <c r="H739" s="3"/>
    </row>
    <row r="740" ht="15.75" customHeight="1">
      <c r="H740" s="3"/>
    </row>
    <row r="741" ht="15.75" customHeight="1">
      <c r="H741" s="3"/>
    </row>
    <row r="742" ht="15.75" customHeight="1">
      <c r="H742" s="3"/>
    </row>
    <row r="743" ht="15.75" customHeight="1">
      <c r="H743" s="3"/>
    </row>
    <row r="744" ht="15.75" customHeight="1">
      <c r="H744" s="3"/>
    </row>
    <row r="745" ht="15.75" customHeight="1">
      <c r="H745" s="3"/>
    </row>
    <row r="746" ht="15.75" customHeight="1">
      <c r="H746" s="3"/>
    </row>
    <row r="747" ht="15.75" customHeight="1">
      <c r="H747" s="3"/>
    </row>
    <row r="748" ht="15.75" customHeight="1">
      <c r="H748" s="3"/>
    </row>
    <row r="749" ht="15.75" customHeight="1">
      <c r="H749" s="3"/>
    </row>
    <row r="750" ht="15.75" customHeight="1">
      <c r="H750" s="3"/>
    </row>
    <row r="751" ht="15.75" customHeight="1">
      <c r="H751" s="3"/>
    </row>
    <row r="752" ht="15.75" customHeight="1">
      <c r="H752" s="3"/>
    </row>
    <row r="753" ht="15.75" customHeight="1">
      <c r="H753" s="3"/>
    </row>
    <row r="754" ht="15.75" customHeight="1">
      <c r="H754" s="3"/>
    </row>
    <row r="755" ht="15.75" customHeight="1">
      <c r="H755" s="3"/>
    </row>
    <row r="756" ht="15.75" customHeight="1">
      <c r="H756" s="3"/>
    </row>
    <row r="757" ht="15.75" customHeight="1">
      <c r="H757" s="3"/>
    </row>
    <row r="758" ht="15.75" customHeight="1">
      <c r="H758" s="3"/>
    </row>
    <row r="759" ht="15.75" customHeight="1">
      <c r="H759" s="3"/>
    </row>
    <row r="760" ht="15.75" customHeight="1">
      <c r="H760" s="3"/>
    </row>
    <row r="761" ht="15.75" customHeight="1">
      <c r="H761" s="3"/>
    </row>
    <row r="762" ht="15.75" customHeight="1">
      <c r="H762" s="3"/>
    </row>
    <row r="763" ht="15.75" customHeight="1">
      <c r="H763" s="3"/>
    </row>
    <row r="764" ht="15.75" customHeight="1">
      <c r="H764" s="3"/>
    </row>
    <row r="765" ht="15.75" customHeight="1">
      <c r="H765" s="3"/>
    </row>
    <row r="766" ht="15.75" customHeight="1">
      <c r="H766" s="3"/>
    </row>
    <row r="767" ht="15.75" customHeight="1">
      <c r="H767" s="3"/>
    </row>
    <row r="768" ht="15.75" customHeight="1">
      <c r="H768" s="3"/>
    </row>
    <row r="769" ht="15.75" customHeight="1">
      <c r="H769" s="3"/>
    </row>
    <row r="770" ht="15.75" customHeight="1">
      <c r="H770" s="3"/>
    </row>
    <row r="771" ht="15.75" customHeight="1">
      <c r="H771" s="3"/>
    </row>
    <row r="772" ht="15.75" customHeight="1">
      <c r="H772" s="3"/>
    </row>
    <row r="773" ht="15.75" customHeight="1">
      <c r="H773" s="3"/>
    </row>
    <row r="774" ht="15.75" customHeight="1">
      <c r="H774" s="3"/>
    </row>
    <row r="775" ht="15.75" customHeight="1">
      <c r="H775" s="3"/>
    </row>
    <row r="776" ht="15.75" customHeight="1">
      <c r="H776" s="3"/>
    </row>
    <row r="777" ht="15.75" customHeight="1">
      <c r="H777" s="3"/>
    </row>
    <row r="778" ht="15.75" customHeight="1">
      <c r="H778" s="3"/>
    </row>
    <row r="779" ht="15.75" customHeight="1">
      <c r="H779" s="3"/>
    </row>
    <row r="780" ht="15.75" customHeight="1">
      <c r="H780" s="3"/>
    </row>
    <row r="781" ht="15.75" customHeight="1">
      <c r="H781" s="3"/>
    </row>
    <row r="782" ht="15.75" customHeight="1">
      <c r="H782" s="3"/>
    </row>
    <row r="783" ht="15.75" customHeight="1">
      <c r="H783" s="3"/>
    </row>
    <row r="784" ht="15.75" customHeight="1">
      <c r="H784" s="3"/>
    </row>
    <row r="785" ht="15.75" customHeight="1">
      <c r="H785" s="3"/>
    </row>
    <row r="786" ht="15.75" customHeight="1">
      <c r="H786" s="3"/>
    </row>
    <row r="787" ht="15.75" customHeight="1">
      <c r="H787" s="3"/>
    </row>
    <row r="788" ht="15.75" customHeight="1">
      <c r="H788" s="3"/>
    </row>
    <row r="789" ht="15.75" customHeight="1">
      <c r="H789" s="3"/>
    </row>
    <row r="790" ht="15.75" customHeight="1">
      <c r="H790" s="3"/>
    </row>
    <row r="791" ht="15.75" customHeight="1">
      <c r="H791" s="3"/>
    </row>
    <row r="792" ht="15.75" customHeight="1">
      <c r="H792" s="3"/>
    </row>
    <row r="793" ht="15.75" customHeight="1">
      <c r="H793" s="3"/>
    </row>
    <row r="794" ht="15.75" customHeight="1">
      <c r="H794" s="3"/>
    </row>
    <row r="795" ht="15.75" customHeight="1">
      <c r="H795" s="3"/>
    </row>
    <row r="796" ht="15.75" customHeight="1">
      <c r="H796" s="3"/>
    </row>
    <row r="797" ht="15.75" customHeight="1">
      <c r="H797" s="3"/>
    </row>
    <row r="798" ht="15.75" customHeight="1">
      <c r="H798" s="3"/>
    </row>
    <row r="799" ht="15.75" customHeight="1">
      <c r="H799" s="3"/>
    </row>
    <row r="800" ht="15.75" customHeight="1">
      <c r="H800" s="3"/>
    </row>
    <row r="801" ht="15.75" customHeight="1">
      <c r="H801" s="3"/>
    </row>
    <row r="802" ht="15.75" customHeight="1">
      <c r="H802" s="3"/>
    </row>
    <row r="803" ht="15.75" customHeight="1">
      <c r="H803" s="3"/>
    </row>
    <row r="804" ht="15.75" customHeight="1">
      <c r="H804" s="3"/>
    </row>
    <row r="805" ht="15.75" customHeight="1">
      <c r="H805" s="3"/>
    </row>
    <row r="806" ht="15.75" customHeight="1">
      <c r="H806" s="3"/>
    </row>
    <row r="807" ht="15.75" customHeight="1">
      <c r="H807" s="3"/>
    </row>
    <row r="808" ht="15.75" customHeight="1">
      <c r="H808" s="3"/>
    </row>
    <row r="809" ht="15.75" customHeight="1">
      <c r="H809" s="3"/>
    </row>
    <row r="810" ht="15.75" customHeight="1">
      <c r="H810" s="3"/>
    </row>
    <row r="811" ht="15.75" customHeight="1">
      <c r="H811" s="3"/>
    </row>
    <row r="812" ht="15.75" customHeight="1">
      <c r="H812" s="3"/>
    </row>
    <row r="813" ht="15.75" customHeight="1">
      <c r="H813" s="3"/>
    </row>
    <row r="814" ht="15.75" customHeight="1">
      <c r="H814" s="3"/>
    </row>
    <row r="815" ht="15.75" customHeight="1">
      <c r="H815" s="3"/>
    </row>
    <row r="816" ht="15.75" customHeight="1">
      <c r="H816" s="3"/>
    </row>
    <row r="817" ht="15.75" customHeight="1">
      <c r="H817" s="3"/>
    </row>
    <row r="818" ht="15.75" customHeight="1">
      <c r="H818" s="3"/>
    </row>
    <row r="819" ht="15.75" customHeight="1">
      <c r="H819" s="3"/>
    </row>
    <row r="820" ht="15.75" customHeight="1">
      <c r="H820" s="3"/>
    </row>
    <row r="821" ht="15.75" customHeight="1">
      <c r="H821" s="3"/>
    </row>
    <row r="822" ht="15.75" customHeight="1">
      <c r="H822" s="3"/>
    </row>
    <row r="823" ht="15.75" customHeight="1">
      <c r="H823" s="3"/>
    </row>
    <row r="824" ht="15.75" customHeight="1">
      <c r="H824" s="3"/>
    </row>
    <row r="825" ht="15.75" customHeight="1">
      <c r="H825" s="3"/>
    </row>
    <row r="826" ht="15.75" customHeight="1">
      <c r="H826" s="3"/>
    </row>
    <row r="827" ht="15.75" customHeight="1">
      <c r="H827" s="3"/>
    </row>
    <row r="828" ht="15.75" customHeight="1">
      <c r="H828" s="3"/>
    </row>
    <row r="829" ht="15.75" customHeight="1">
      <c r="H829" s="3"/>
    </row>
    <row r="830" ht="15.75" customHeight="1">
      <c r="H830" s="3"/>
    </row>
    <row r="831" ht="15.75" customHeight="1">
      <c r="H831" s="3"/>
    </row>
    <row r="832" ht="15.75" customHeight="1">
      <c r="H832" s="3"/>
    </row>
    <row r="833" ht="15.75" customHeight="1">
      <c r="H833" s="3"/>
    </row>
    <row r="834" ht="15.75" customHeight="1">
      <c r="H834" s="3"/>
    </row>
    <row r="835" ht="15.75" customHeight="1">
      <c r="H835" s="3"/>
    </row>
    <row r="836" ht="15.75" customHeight="1">
      <c r="H836" s="3"/>
    </row>
    <row r="837" ht="15.75" customHeight="1">
      <c r="H837" s="3"/>
    </row>
    <row r="838" ht="15.75" customHeight="1">
      <c r="H838" s="3"/>
    </row>
    <row r="839" ht="15.75" customHeight="1">
      <c r="H839" s="3"/>
    </row>
    <row r="840" ht="15.75" customHeight="1">
      <c r="H840" s="3"/>
    </row>
    <row r="841" ht="15.75" customHeight="1">
      <c r="H841" s="3"/>
    </row>
    <row r="842" ht="15.75" customHeight="1">
      <c r="H842" s="3"/>
    </row>
    <row r="843" ht="15.75" customHeight="1">
      <c r="H843" s="3"/>
    </row>
    <row r="844" ht="15.75" customHeight="1">
      <c r="H844" s="3"/>
    </row>
    <row r="845" ht="15.75" customHeight="1">
      <c r="H845" s="3"/>
    </row>
    <row r="846" ht="15.75" customHeight="1">
      <c r="H846" s="3"/>
    </row>
    <row r="847" ht="15.75" customHeight="1">
      <c r="H847" s="3"/>
    </row>
    <row r="848" ht="15.75" customHeight="1">
      <c r="H848" s="3"/>
    </row>
    <row r="849" ht="15.75" customHeight="1">
      <c r="H849" s="3"/>
    </row>
    <row r="850" ht="15.75" customHeight="1">
      <c r="H850" s="3"/>
    </row>
    <row r="851" ht="15.75" customHeight="1">
      <c r="H851" s="3"/>
    </row>
    <row r="852" ht="15.75" customHeight="1">
      <c r="H852" s="3"/>
    </row>
    <row r="853" ht="15.75" customHeight="1">
      <c r="H853" s="3"/>
    </row>
    <row r="854" ht="15.75" customHeight="1">
      <c r="H854" s="3"/>
    </row>
    <row r="855" ht="15.75" customHeight="1">
      <c r="H855" s="3"/>
    </row>
    <row r="856" ht="15.75" customHeight="1">
      <c r="H856" s="3"/>
    </row>
    <row r="857" ht="15.75" customHeight="1">
      <c r="H857" s="3"/>
    </row>
    <row r="858" ht="15.75" customHeight="1">
      <c r="H858" s="3"/>
    </row>
    <row r="859" ht="15.75" customHeight="1">
      <c r="H859" s="3"/>
    </row>
    <row r="860" ht="15.75" customHeight="1">
      <c r="H860" s="3"/>
    </row>
    <row r="861" ht="15.75" customHeight="1">
      <c r="H861" s="3"/>
    </row>
    <row r="862" ht="15.75" customHeight="1">
      <c r="H862" s="3"/>
    </row>
    <row r="863" ht="15.75" customHeight="1">
      <c r="H863" s="3"/>
    </row>
    <row r="864" ht="15.75" customHeight="1">
      <c r="H864" s="3"/>
    </row>
    <row r="865" ht="15.75" customHeight="1">
      <c r="H865" s="3"/>
    </row>
    <row r="866" ht="15.75" customHeight="1">
      <c r="H866" s="3"/>
    </row>
    <row r="867" ht="15.75" customHeight="1">
      <c r="H867" s="3"/>
    </row>
    <row r="868" ht="15.75" customHeight="1">
      <c r="H868" s="3"/>
    </row>
    <row r="869" ht="15.75" customHeight="1">
      <c r="H869" s="3"/>
    </row>
    <row r="870" ht="15.75" customHeight="1">
      <c r="H870" s="3"/>
    </row>
    <row r="871" ht="15.75" customHeight="1">
      <c r="H871" s="3"/>
    </row>
    <row r="872" ht="15.75" customHeight="1">
      <c r="H872" s="3"/>
    </row>
    <row r="873" ht="15.75" customHeight="1">
      <c r="H873" s="3"/>
    </row>
    <row r="874" ht="15.75" customHeight="1">
      <c r="H874" s="3"/>
    </row>
    <row r="875" ht="15.75" customHeight="1">
      <c r="H875" s="3"/>
    </row>
    <row r="876" ht="15.75" customHeight="1">
      <c r="H876" s="3"/>
    </row>
    <row r="877" ht="15.75" customHeight="1">
      <c r="H877" s="3"/>
    </row>
    <row r="878" ht="15.75" customHeight="1">
      <c r="H878" s="3"/>
    </row>
    <row r="879" ht="15.75" customHeight="1">
      <c r="H879" s="3"/>
    </row>
    <row r="880" ht="15.75" customHeight="1">
      <c r="H880" s="3"/>
    </row>
    <row r="881" ht="15.75" customHeight="1">
      <c r="H881" s="3"/>
    </row>
    <row r="882" ht="15.75" customHeight="1">
      <c r="H882" s="3"/>
    </row>
    <row r="883" ht="15.75" customHeight="1">
      <c r="H883" s="3"/>
    </row>
    <row r="884" ht="15.75" customHeight="1">
      <c r="H884" s="3"/>
    </row>
    <row r="885" ht="15.75" customHeight="1">
      <c r="H885" s="3"/>
    </row>
    <row r="886" ht="15.75" customHeight="1">
      <c r="H886" s="3"/>
    </row>
    <row r="887" ht="15.75" customHeight="1">
      <c r="H887" s="3"/>
    </row>
    <row r="888" ht="15.75" customHeight="1">
      <c r="H888" s="3"/>
    </row>
    <row r="889" ht="15.75" customHeight="1">
      <c r="H889" s="3"/>
    </row>
    <row r="890" ht="15.75" customHeight="1">
      <c r="H890" s="3"/>
    </row>
    <row r="891" ht="15.75" customHeight="1">
      <c r="H891" s="3"/>
    </row>
    <row r="892" ht="15.75" customHeight="1">
      <c r="H892" s="3"/>
    </row>
    <row r="893" ht="15.75" customHeight="1">
      <c r="H893" s="3"/>
    </row>
    <row r="894" ht="15.75" customHeight="1">
      <c r="H894" s="3"/>
    </row>
    <row r="895" ht="15.75" customHeight="1">
      <c r="H895" s="3"/>
    </row>
    <row r="896" ht="15.75" customHeight="1">
      <c r="H896" s="3"/>
    </row>
    <row r="897" ht="15.75" customHeight="1">
      <c r="H897" s="3"/>
    </row>
    <row r="898" ht="15.75" customHeight="1">
      <c r="H898" s="3"/>
    </row>
    <row r="899" ht="15.75" customHeight="1">
      <c r="H899" s="3"/>
    </row>
    <row r="900" ht="15.75" customHeight="1">
      <c r="H900" s="3"/>
    </row>
    <row r="901" ht="15.75" customHeight="1">
      <c r="H901" s="3"/>
    </row>
    <row r="902" ht="15.75" customHeight="1">
      <c r="H902" s="3"/>
    </row>
    <row r="903" ht="15.75" customHeight="1">
      <c r="H903" s="3"/>
    </row>
    <row r="904" ht="15.75" customHeight="1">
      <c r="H904" s="3"/>
    </row>
    <row r="905" ht="15.75" customHeight="1">
      <c r="H905" s="3"/>
    </row>
    <row r="906" ht="15.75" customHeight="1">
      <c r="H906" s="3"/>
    </row>
    <row r="907" ht="15.75" customHeight="1">
      <c r="H907" s="3"/>
    </row>
    <row r="908" ht="15.75" customHeight="1">
      <c r="H908" s="3"/>
    </row>
    <row r="909" ht="15.75" customHeight="1">
      <c r="H909" s="3"/>
    </row>
    <row r="910" ht="15.75" customHeight="1">
      <c r="H910" s="3"/>
    </row>
    <row r="911" ht="15.75" customHeight="1">
      <c r="H911" s="3"/>
    </row>
    <row r="912" ht="15.75" customHeight="1">
      <c r="H912" s="3"/>
    </row>
    <row r="913" ht="15.75" customHeight="1">
      <c r="H913" s="3"/>
    </row>
    <row r="914" ht="15.75" customHeight="1">
      <c r="H914" s="3"/>
    </row>
    <row r="915" ht="15.75" customHeight="1">
      <c r="H915" s="3"/>
    </row>
    <row r="916" ht="15.75" customHeight="1">
      <c r="H916" s="3"/>
    </row>
    <row r="917" ht="15.75" customHeight="1">
      <c r="H917" s="3"/>
    </row>
    <row r="918" ht="15.75" customHeight="1">
      <c r="H918" s="3"/>
    </row>
    <row r="919" ht="15.75" customHeight="1">
      <c r="H919" s="3"/>
    </row>
    <row r="920" ht="15.75" customHeight="1">
      <c r="H920" s="3"/>
    </row>
    <row r="921" ht="15.75" customHeight="1">
      <c r="H921" s="3"/>
    </row>
    <row r="922" ht="15.75" customHeight="1">
      <c r="H922" s="3"/>
    </row>
    <row r="923" ht="15.75" customHeight="1">
      <c r="H923" s="3"/>
    </row>
    <row r="924" ht="15.75" customHeight="1">
      <c r="H924" s="3"/>
    </row>
    <row r="925" ht="15.75" customHeight="1">
      <c r="H925" s="3"/>
    </row>
    <row r="926" ht="15.75" customHeight="1">
      <c r="H926" s="3"/>
    </row>
    <row r="927" ht="15.75" customHeight="1">
      <c r="H927" s="3"/>
    </row>
    <row r="928" ht="15.75" customHeight="1">
      <c r="H928" s="3"/>
    </row>
    <row r="929" ht="15.75" customHeight="1">
      <c r="H929" s="3"/>
    </row>
    <row r="930" ht="15.75" customHeight="1">
      <c r="H930" s="3"/>
    </row>
    <row r="931" ht="15.75" customHeight="1">
      <c r="H931" s="3"/>
    </row>
    <row r="932" ht="15.75" customHeight="1">
      <c r="H932" s="3"/>
    </row>
    <row r="933" ht="15.75" customHeight="1">
      <c r="H933" s="3"/>
    </row>
    <row r="934" ht="15.75" customHeight="1">
      <c r="H934" s="3"/>
    </row>
    <row r="935" ht="15.75" customHeight="1">
      <c r="H935" s="3"/>
    </row>
    <row r="936" ht="15.75" customHeight="1">
      <c r="H936" s="3"/>
    </row>
    <row r="937" ht="15.75" customHeight="1">
      <c r="H937" s="3"/>
    </row>
    <row r="938" ht="15.75" customHeight="1">
      <c r="H938" s="3"/>
    </row>
    <row r="939" ht="15.75" customHeight="1">
      <c r="H939" s="3"/>
    </row>
    <row r="940" ht="15.75" customHeight="1">
      <c r="H940" s="3"/>
    </row>
    <row r="941" ht="15.75" customHeight="1">
      <c r="H941" s="3"/>
    </row>
    <row r="942" ht="15.75" customHeight="1">
      <c r="H942" s="3"/>
    </row>
    <row r="943" ht="15.75" customHeight="1">
      <c r="H943" s="3"/>
    </row>
    <row r="944" ht="15.75" customHeight="1">
      <c r="H944" s="3"/>
    </row>
    <row r="945" ht="15.75" customHeight="1">
      <c r="H945" s="3"/>
    </row>
    <row r="946" ht="15.75" customHeight="1">
      <c r="H946" s="3"/>
    </row>
    <row r="947" ht="15.75" customHeight="1">
      <c r="H947" s="3"/>
    </row>
    <row r="948" ht="15.75" customHeight="1">
      <c r="H948" s="3"/>
    </row>
    <row r="949" ht="15.75" customHeight="1">
      <c r="H949" s="3"/>
    </row>
    <row r="950" ht="15.75" customHeight="1">
      <c r="H950" s="3"/>
    </row>
    <row r="951" ht="15.75" customHeight="1">
      <c r="H951" s="3"/>
    </row>
    <row r="952" ht="15.75" customHeight="1">
      <c r="H952" s="3"/>
    </row>
    <row r="953" ht="15.75" customHeight="1">
      <c r="H953" s="3"/>
    </row>
    <row r="954" ht="15.75" customHeight="1">
      <c r="H954" s="3"/>
    </row>
    <row r="955" ht="15.75" customHeight="1">
      <c r="H955" s="3"/>
    </row>
    <row r="956" ht="15.75" customHeight="1">
      <c r="H956" s="3"/>
    </row>
    <row r="957" ht="15.75" customHeight="1">
      <c r="H957" s="3"/>
    </row>
    <row r="958" ht="15.75" customHeight="1">
      <c r="H958" s="3"/>
    </row>
    <row r="959" ht="15.75" customHeight="1">
      <c r="H959" s="3"/>
    </row>
    <row r="960" ht="15.75" customHeight="1">
      <c r="H960" s="3"/>
    </row>
    <row r="961" ht="15.75" customHeight="1">
      <c r="H961" s="3"/>
    </row>
    <row r="962" ht="15.75" customHeight="1">
      <c r="H962" s="3"/>
    </row>
    <row r="963" ht="15.75" customHeight="1">
      <c r="H963" s="3"/>
    </row>
    <row r="964" ht="15.75" customHeight="1">
      <c r="H964" s="3"/>
    </row>
    <row r="965" ht="15.75" customHeight="1">
      <c r="H965" s="3"/>
    </row>
    <row r="966" ht="15.75" customHeight="1">
      <c r="H966" s="3"/>
    </row>
    <row r="967" ht="15.75" customHeight="1">
      <c r="H967" s="3"/>
    </row>
    <row r="968" ht="15.75" customHeight="1">
      <c r="H968" s="3"/>
    </row>
    <row r="969" ht="15.75" customHeight="1">
      <c r="H969" s="3"/>
    </row>
    <row r="970" ht="15.75" customHeight="1">
      <c r="H970" s="3"/>
    </row>
    <row r="971" ht="15.75" customHeight="1">
      <c r="H971" s="3"/>
    </row>
    <row r="972" ht="15.75" customHeight="1">
      <c r="H972" s="3"/>
    </row>
    <row r="973" ht="15.75" customHeight="1">
      <c r="H973" s="3"/>
    </row>
    <row r="974" ht="15.75" customHeight="1">
      <c r="H974" s="3"/>
    </row>
    <row r="975" ht="15.75" customHeight="1">
      <c r="H975" s="3"/>
    </row>
    <row r="976" ht="15.75" customHeight="1">
      <c r="H976" s="3"/>
    </row>
    <row r="977" ht="15.75" customHeight="1">
      <c r="H977" s="3"/>
    </row>
    <row r="978" ht="15.75" customHeight="1">
      <c r="H978" s="3"/>
    </row>
    <row r="979" ht="15.75" customHeight="1">
      <c r="H979" s="3"/>
    </row>
    <row r="980" ht="15.75" customHeight="1">
      <c r="H980" s="3"/>
    </row>
    <row r="981" ht="15.75" customHeight="1">
      <c r="H981" s="3"/>
    </row>
    <row r="982" ht="15.75" customHeight="1">
      <c r="H982" s="3"/>
    </row>
    <row r="983" ht="15.75" customHeight="1">
      <c r="H983" s="3"/>
    </row>
    <row r="984" ht="15.75" customHeight="1">
      <c r="H984" s="3"/>
    </row>
    <row r="985" ht="15.75" customHeight="1">
      <c r="H985" s="3"/>
    </row>
    <row r="986" ht="15.75" customHeight="1">
      <c r="H986" s="3"/>
    </row>
    <row r="987" ht="15.75" customHeight="1">
      <c r="H987" s="3"/>
    </row>
    <row r="988" ht="15.75" customHeight="1">
      <c r="H988" s="3"/>
    </row>
    <row r="989" ht="15.75" customHeight="1">
      <c r="H989" s="3"/>
    </row>
    <row r="990" ht="15.75" customHeight="1">
      <c r="H990" s="3"/>
    </row>
    <row r="991" ht="15.75" customHeight="1">
      <c r="H991" s="3"/>
    </row>
    <row r="992" ht="15.75" customHeight="1">
      <c r="H992" s="3"/>
    </row>
    <row r="993" ht="15.75" customHeight="1">
      <c r="H993" s="3"/>
    </row>
    <row r="994" ht="15.75" customHeight="1">
      <c r="H994" s="3"/>
    </row>
    <row r="995" ht="15.75" customHeight="1">
      <c r="H995" s="3"/>
    </row>
    <row r="996" ht="15.75" customHeight="1">
      <c r="H996" s="3"/>
    </row>
    <row r="997" ht="15.75" customHeight="1">
      <c r="H997" s="3"/>
    </row>
    <row r="998" ht="15.75" customHeight="1">
      <c r="H998" s="3"/>
    </row>
    <row r="999" ht="15.75" customHeight="1">
      <c r="H999" s="3"/>
    </row>
    <row r="1000" ht="15.75" customHeight="1">
      <c r="H1000" s="3"/>
    </row>
    <row r="1001" ht="15.75" customHeight="1">
      <c r="H1001" s="3"/>
    </row>
    <row r="1002" ht="15.75" customHeight="1">
      <c r="H1002" s="3"/>
    </row>
    <row r="1003" ht="15.75" customHeight="1">
      <c r="H1003" s="3"/>
    </row>
    <row r="1004" ht="15.75" customHeight="1">
      <c r="H1004" s="3"/>
    </row>
    <row r="1005" ht="15.75" customHeight="1">
      <c r="H1005" s="3"/>
    </row>
    <row r="1006" ht="15.75" customHeight="1">
      <c r="H1006" s="3"/>
    </row>
    <row r="1007" ht="15.75" customHeight="1">
      <c r="H1007" s="3"/>
    </row>
    <row r="1008" ht="15.75" customHeight="1">
      <c r="H1008" s="3"/>
    </row>
    <row r="1009" ht="15.75" customHeight="1">
      <c r="H1009" s="3"/>
    </row>
    <row r="1010" ht="15.75" customHeight="1">
      <c r="H1010" s="3"/>
    </row>
    <row r="1011" ht="15.75" customHeight="1">
      <c r="H1011" s="3"/>
    </row>
    <row r="1012" ht="15.75" customHeight="1">
      <c r="H1012" s="3"/>
    </row>
    <row r="1013" ht="15.75" customHeight="1">
      <c r="H1013" s="3"/>
    </row>
    <row r="1014" ht="15.75" customHeight="1">
      <c r="H1014" s="3"/>
    </row>
    <row r="1015" ht="15.75" customHeight="1">
      <c r="H1015" s="3"/>
    </row>
    <row r="1016" ht="15.75" customHeight="1">
      <c r="H1016" s="3"/>
    </row>
    <row r="1017" ht="15.75" customHeight="1">
      <c r="H1017" s="3"/>
    </row>
    <row r="1018" ht="15.75" customHeight="1">
      <c r="H1018" s="3"/>
    </row>
    <row r="1019" ht="15.75" customHeight="1">
      <c r="H1019" s="3"/>
    </row>
    <row r="1020" ht="15.75" customHeight="1">
      <c r="H1020" s="3"/>
    </row>
    <row r="1021" ht="15.75" customHeight="1">
      <c r="H1021" s="3"/>
    </row>
    <row r="1022" ht="15.75" customHeight="1">
      <c r="H1022" s="3"/>
    </row>
    <row r="1023" ht="15.75" customHeight="1">
      <c r="H1023" s="3"/>
    </row>
    <row r="1024" ht="15.75" customHeight="1">
      <c r="H1024" s="3"/>
    </row>
    <row r="1025" ht="15.75" customHeight="1">
      <c r="H1025" s="3"/>
    </row>
    <row r="1026" ht="15.75" customHeight="1">
      <c r="H1026" s="3"/>
    </row>
    <row r="1027" ht="15.75" customHeight="1">
      <c r="H1027" s="3"/>
    </row>
    <row r="1028" ht="15.75" customHeight="1">
      <c r="H1028" s="3"/>
    </row>
    <row r="1029" ht="15.75" customHeight="1">
      <c r="H1029" s="3"/>
    </row>
    <row r="1030" ht="15.75" customHeight="1">
      <c r="H1030" s="3"/>
    </row>
    <row r="1031" ht="15.75" customHeight="1">
      <c r="H1031" s="3"/>
    </row>
    <row r="1032" ht="15.75" customHeight="1">
      <c r="H1032" s="3"/>
    </row>
    <row r="1033" ht="15.75" customHeight="1">
      <c r="H1033" s="3"/>
    </row>
    <row r="1034" ht="15.75" customHeight="1">
      <c r="H1034" s="3"/>
    </row>
    <row r="1035" ht="15.75" customHeight="1">
      <c r="H1035" s="3"/>
    </row>
    <row r="1036" ht="15.75" customHeight="1">
      <c r="H1036" s="3"/>
    </row>
  </sheetData>
  <conditionalFormatting sqref="A5:B143">
    <cfRule type="expression" dxfId="8" priority="1">
      <formula>$G5="YES"</formula>
    </cfRule>
  </conditionalFormatting>
  <dataValidations>
    <dataValidation type="custom" allowBlank="1" showDropDown="1" sqref="C5:F49">
      <formula1>AND(ISNUMBER(C5),(NOT(OR(NOT(ISERROR(DATEVALUE(C5))), AND(ISNUMBER(C5), LEFT(CELL("format", C5))="D")))))</formula1>
    </dataValidation>
  </dataValidations>
  <drawing r:id="rId1"/>
  <tableParts count="1">
    <tablePart r:id="rId3"/>
  </tableParts>
</worksheet>
</file>