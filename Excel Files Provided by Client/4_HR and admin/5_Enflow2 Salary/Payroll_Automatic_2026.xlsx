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 Master" sheetId="1" r:id="rId4"/>
    <sheet state="visible" name="Expense Register" sheetId="2" r:id="rId5"/>
    <sheet state="visible" name="Attendance" sheetId="3" r:id="rId6"/>
    <sheet state="visible" name="Payroll Settings" sheetId="4" r:id="rId7"/>
    <sheet state="visible" name="Payroll" sheetId="5" r:id="rId8"/>
    <sheet state="visible" name="Salary Payment Register" sheetId="6" r:id="rId9"/>
    <sheet state="visible" name="Payroll Summary" sheetId="7" r:id="rId10"/>
  </sheets>
  <definedNames>
    <definedName hidden="1" localSheetId="4" name="_xlnm._FilterDatabase">Payroll!$A$4:$X$11</definedName>
    <definedName hidden="1" localSheetId="0" name="Z_6EE6F2A3_8F62_4C59_83FA_2D510B2DDD52_.wvu.FilterData">'Employee Master'!$A$1:$J$11</definedName>
    <definedName hidden="1" localSheetId="2" name="Z_25F0A510_0965_4D3A_ADB4_233B268CE61B_.wvu.FilterData">Attendance!$A$4:$H$504</definedName>
  </definedNames>
  <calcPr/>
  <customWorkbookViews>
    <customWorkbookView activeSheetId="0" maximized="1" windowHeight="0" windowWidth="0" guid="{6EE6F2A3-8F62-4C59-83FA-2D510B2DDD52}" name="EmployeeMasterTable filter view"/>
    <customWorkbookView activeSheetId="0" maximized="1" windowHeight="0" windowWidth="0" guid="{25F0A510-0965-4D3A-ADB4-233B268CE61B}" name="AttendanceLog filter view"/>
  </customWorkbookViews>
  <extLst>
    <ext uri="GoogleSheetsCustomDataVersion2">
      <go:sheetsCustomData xmlns:go="http://customooxmlschemas.google.com/" r:id="rId11" roundtripDataChecksum="gh7vpvGc0hXmoRj+qcF/tKeaEBPhCp+BXkXps4JvASA="/>
    </ext>
  </extLst>
</workbook>
</file>

<file path=xl/sharedStrings.xml><?xml version="1.0" encoding="utf-8"?>
<sst xmlns="http://schemas.openxmlformats.org/spreadsheetml/2006/main" count="325" uniqueCount="141">
  <si>
    <t>PAYROLL SETTINGS</t>
  </si>
  <si>
    <t>Date</t>
  </si>
  <si>
    <t>Category</t>
  </si>
  <si>
    <t>Description</t>
  </si>
  <si>
    <t>Amount</t>
  </si>
  <si>
    <t>Payment mode</t>
  </si>
  <si>
    <t>Applicable To</t>
  </si>
  <si>
    <t>PAYROLL AUTOMATION NOTE</t>
  </si>
  <si>
    <t>Payroll Month</t>
  </si>
  <si>
    <t>01-Oct-2026</t>
  </si>
  <si>
    <t>Travel Expense</t>
  </si>
  <si>
    <t>Train Ticket</t>
  </si>
  <si>
    <t>First day of payroll month</t>
  </si>
  <si>
    <t>online</t>
  </si>
  <si>
    <t>Ravi and Raju</t>
  </si>
  <si>
    <t>For future automatic deductions, add one employee per row using Employee ID in a dedicated column.</t>
  </si>
  <si>
    <t>Vegetables</t>
  </si>
  <si>
    <t>Food</t>
  </si>
  <si>
    <t>Ravi, Raju and Sattu</t>
  </si>
  <si>
    <t>Salary Divisor</t>
  </si>
  <si>
    <t>Calendar Days</t>
  </si>
  <si>
    <t>Grocery</t>
  </si>
  <si>
    <t>Kitchen</t>
  </si>
  <si>
    <t>Monthly salary divided by actual days in month</t>
  </si>
  <si>
    <t>Advance Salary</t>
  </si>
  <si>
    <t>Advance</t>
  </si>
  <si>
    <t>Ravi</t>
  </si>
  <si>
    <t>Paid Leave?</t>
  </si>
  <si>
    <t>Yes</t>
  </si>
  <si>
    <t>Yes = leave counts as paid day</t>
  </si>
  <si>
    <t>Employee ID</t>
  </si>
  <si>
    <t>ATTENDANCE REGISTER</t>
  </si>
  <si>
    <t>Sattu</t>
  </si>
  <si>
    <t>Paid Weekly Off?</t>
  </si>
  <si>
    <t>Raju</t>
  </si>
  <si>
    <t>Yes = WO counts as paid day</t>
  </si>
  <si>
    <t>Attendance Month</t>
  </si>
  <si>
    <t>Half Day Factor</t>
  </si>
  <si>
    <t>Employee Name</t>
  </si>
  <si>
    <t>Designation</t>
  </si>
  <si>
    <t>Half day salary factor</t>
  </si>
  <si>
    <t>Debasish Munda</t>
  </si>
  <si>
    <t>Joining Date</t>
  </si>
  <si>
    <t>Rina Sardar</t>
  </si>
  <si>
    <t>Salary Type</t>
  </si>
  <si>
    <t>OT Applicable?</t>
  </si>
  <si>
    <t>Salary Rate</t>
  </si>
  <si>
    <t>Moumita Sardar</t>
  </si>
  <si>
    <t>Contact</t>
  </si>
  <si>
    <t>Yes = OT hours × OT rate</t>
  </si>
  <si>
    <t>Active</t>
  </si>
  <si>
    <t>OT Rate/Hour</t>
  </si>
  <si>
    <t>Payroll Start Date</t>
  </si>
  <si>
    <t>Mutallib Ansari</t>
  </si>
  <si>
    <t>Exit Date</t>
  </si>
  <si>
    <t>Enter only Date, Employee ID, Status and OT Hours. Payroll will read this register automatically.</t>
  </si>
  <si>
    <t>Use first day of month</t>
  </si>
  <si>
    <t>Calculated</t>
  </si>
  <si>
    <t>Payroll Calculation Rule</t>
  </si>
  <si>
    <t>EMP001</t>
  </si>
  <si>
    <t>Payroll End Date</t>
  </si>
  <si>
    <t>Machine Operator</t>
  </si>
  <si>
    <t>Monthly</t>
  </si>
  <si>
    <t>Days in Month</t>
  </si>
  <si>
    <t>Status</t>
  </si>
  <si>
    <t>EMP002</t>
  </si>
  <si>
    <t>Daily Labour Rule</t>
  </si>
  <si>
    <t>OT Hours</t>
  </si>
  <si>
    <t>EMP005 Shanti Devi and EMP006 Manisha: salary = Daily Rate × Present (P) Days only. Leave, Absent and Weekly Off are unpaid.</t>
  </si>
  <si>
    <t>Mixer Man</t>
  </si>
  <si>
    <t>Remarks</t>
  </si>
  <si>
    <t>MONTHLY ATTENDANCE SUMMARY</t>
  </si>
  <si>
    <t>EMP003</t>
  </si>
  <si>
    <t>Helper</t>
  </si>
  <si>
    <t>No</t>
  </si>
  <si>
    <t>EMP004</t>
  </si>
  <si>
    <t>Shah Jahan</t>
  </si>
  <si>
    <t>Roll Man</t>
  </si>
  <si>
    <t>EMP005</t>
  </si>
  <si>
    <t>Shanti Devi</t>
  </si>
  <si>
    <t>Pipe Cutting</t>
  </si>
  <si>
    <t>Daily</t>
  </si>
  <si>
    <t>Present Days Only</t>
  </si>
  <si>
    <t>EMP006</t>
  </si>
  <si>
    <t>Manisha</t>
  </si>
  <si>
    <t>EMP007</t>
  </si>
  <si>
    <t>Muttalib Ansari</t>
  </si>
  <si>
    <t>EMP008</t>
  </si>
  <si>
    <t>Debashis Munda</t>
  </si>
  <si>
    <t>EMP009</t>
  </si>
  <si>
    <t>P</t>
  </si>
  <si>
    <t>EMP010</t>
  </si>
  <si>
    <t>Employee</t>
  </si>
  <si>
    <t>Working Days</t>
  </si>
  <si>
    <t>Present</t>
  </si>
  <si>
    <t>Absent</t>
  </si>
  <si>
    <t>Half Day</t>
  </si>
  <si>
    <t>Leave</t>
  </si>
  <si>
    <t>Weekly Off</t>
  </si>
  <si>
    <t>Worked Days</t>
  </si>
  <si>
    <t>AUTOMATIC MONTHLY PAYROLL</t>
  </si>
  <si>
    <t>Period</t>
  </si>
  <si>
    <t>Rate</t>
  </si>
  <si>
    <t>Paid Days</t>
  </si>
  <si>
    <t>OT Rate</t>
  </si>
  <si>
    <t>OT Amount</t>
  </si>
  <si>
    <t>Basic/Gross Salary</t>
  </si>
  <si>
    <t>Total Earnings</t>
  </si>
  <si>
    <t>Travel</t>
  </si>
  <si>
    <t>Food/Grocery</t>
  </si>
  <si>
    <t>Other Deduction</t>
  </si>
  <si>
    <t>Total Deduction</t>
  </si>
  <si>
    <t>Net Salary</t>
  </si>
  <si>
    <t>Payment Status</t>
  </si>
  <si>
    <t>L</t>
  </si>
  <si>
    <t>Pending</t>
  </si>
  <si>
    <t>SALARY PAYMENT REGISTER</t>
  </si>
  <si>
    <t>Payment Date</t>
  </si>
  <si>
    <t>Payment Mode</t>
  </si>
  <si>
    <t>Transaction / UTR</t>
  </si>
  <si>
    <t>Worked Days = Present + (Half Day × 0.5). Paid leave, weekly off and other salary rules will be handled in the Payroll sheet.</t>
  </si>
  <si>
    <t>PRESENT DAYS ONLY</t>
  </si>
  <si>
    <t>A</t>
  </si>
  <si>
    <t>TOTAL</t>
  </si>
  <si>
    <t>WO</t>
  </si>
  <si>
    <t>PAYROLL SUMMARY</t>
  </si>
  <si>
    <t>Active Employees</t>
  </si>
  <si>
    <t>Gross Basic Salary</t>
  </si>
  <si>
    <t>Gross Earnings</t>
  </si>
  <si>
    <t>Total Advances</t>
  </si>
  <si>
    <t>Total Travel Deductions</t>
  </si>
  <si>
    <t>Total Food/Grocery Deductions</t>
  </si>
  <si>
    <t>Other Deductions</t>
  </si>
  <si>
    <t>Total Deductions</t>
  </si>
  <si>
    <t>Net Salary Payable</t>
  </si>
  <si>
    <t>PAYMENT STATUS</t>
  </si>
  <si>
    <t>Paid</t>
  </si>
  <si>
    <t>Part Paid</t>
  </si>
  <si>
    <t>Payroll Note</t>
  </si>
  <si>
    <t>EMP005 and EMP006 are daily-wage employees. Only P (Present) days are paid.</t>
  </si>
  <si>
    <t>EMP005 Shanti Devi and EMP006 Manisha: only Status = P is paid. L / A / HD / WO = unpaid.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</si>
</sst>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-mmm-yyyy"/>
    <numFmt numFmtId="165" formatCode="dd-mmm-yyyy"/>
    <numFmt numFmtId="166" formatCode="D/M/YYYY"/>
    <numFmt numFmtId="167" formatCode="mmmm yyyy"/>
    <numFmt numFmtId="168" formatCode="0.0"/>
    <numFmt numFmtId="169" formatCode="₹#,##0.00"/>
    <numFmt numFmtId="170" formatCode="mmm-yyyy"/>
  </numFmts>
  <fonts count="9">
    <font>
      <sz val="10.0"/>
      <color rgb="FF000000"/>
      <name val="Arial"/>
      <scheme val="minor"/>
    </font>
    <font>
      <b/>
      <sz val="14.0"/>
      <color rgb="FFFFFFFF"/>
      <name val="Arial"/>
    </font>
    <font>
      <b/>
      <color theme="1"/>
      <name val="Arial"/>
    </font>
    <font>
      <sz val="10.0"/>
      <color rgb="FF000000"/>
      <name val="Arial"/>
    </font>
    <font>
      <color theme="1"/>
      <name val="Arial"/>
    </font>
    <font>
      <b/>
      <sz val="16.0"/>
      <color rgb="FFFFFFFF"/>
      <name val="Arial"/>
    </font>
    <font>
      <b/>
      <color rgb="FFFFFFFF"/>
      <name val="Arial"/>
    </font>
    <font>
      <i/>
      <color rgb="FF666666"/>
      <name val="Arial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CCCCCC"/>
        <bgColor rgb="FFCCCCCC"/>
      </patternFill>
    </fill>
    <fill>
      <patternFill patternType="solid">
        <fgColor rgb="FF548235"/>
        <bgColor rgb="FF548235"/>
      </patternFill>
    </fill>
    <fill>
      <patternFill patternType="solid">
        <fgColor rgb="FFFFF2CC"/>
        <bgColor rgb="FFFFF2CC"/>
      </patternFill>
    </fill>
    <fill>
      <patternFill patternType="solid">
        <fgColor rgb="FFD9EAF7"/>
        <bgColor rgb="FFD9EAF7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bottom style="thin">
        <color rgb="FFD9E1F2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  <bottom style="thin">
        <color rgb="FFB7B7B7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1" fillId="3" fontId="2" numFmtId="0" xfId="0" applyAlignment="1" applyBorder="1" applyFill="1" applyFont="1">
      <alignment horizontal="center"/>
    </xf>
    <xf borderId="0" fillId="0" fontId="3" numFmtId="0" xfId="0" applyFont="1"/>
    <xf borderId="0" fillId="0" fontId="4" numFmtId="0" xfId="0" applyAlignment="1" applyFont="1">
      <alignment horizontal="left"/>
    </xf>
    <xf borderId="2" fillId="0" fontId="2" numFmtId="0" xfId="0" applyBorder="1" applyFont="1"/>
    <xf borderId="1" fillId="0" fontId="4" numFmtId="164" xfId="0" applyAlignment="1" applyBorder="1" applyFont="1" applyNumberFormat="1">
      <alignment horizontal="center" vertical="bottom"/>
    </xf>
    <xf borderId="2" fillId="0" fontId="3" numFmtId="165" xfId="0" applyAlignment="1" applyBorder="1" applyFont="1" applyNumberFormat="1">
      <alignment horizontal="center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center" vertical="bottom"/>
    </xf>
    <xf borderId="2" fillId="0" fontId="3" numFmtId="0" xfId="0" applyBorder="1" applyFont="1"/>
    <xf borderId="0" fillId="0" fontId="4" numFmtId="0" xfId="0" applyFont="1"/>
    <xf borderId="1" fillId="0" fontId="4" numFmtId="165" xfId="0" applyAlignment="1" applyBorder="1" applyFont="1" applyNumberFormat="1">
      <alignment horizontal="center" vertical="bottom"/>
    </xf>
    <xf borderId="2" fillId="0" fontId="3" numFmtId="0" xfId="0" applyAlignment="1" applyBorder="1" applyFont="1">
      <alignment horizontal="center"/>
    </xf>
    <xf borderId="1" fillId="0" fontId="4" numFmtId="166" xfId="0" applyAlignment="1" applyBorder="1" applyFont="1" applyNumberFormat="1">
      <alignment horizontal="center" vertical="bottom"/>
    </xf>
    <xf borderId="0" fillId="2" fontId="5" numFmtId="0" xfId="0" applyAlignment="1" applyFill="1" applyFont="1">
      <alignment horizontal="center"/>
    </xf>
    <xf borderId="0" fillId="4" fontId="6" numFmtId="0" xfId="0" applyFill="1" applyFont="1"/>
    <xf borderId="2" fillId="2" fontId="6" numFmtId="0" xfId="0" applyAlignment="1" applyBorder="1" applyFill="1" applyFont="1">
      <alignment horizontal="center" readingOrder="0" shrinkToFit="0" vertical="center" wrapText="0"/>
    </xf>
    <xf borderId="0" fillId="5" fontId="3" numFmtId="167" xfId="0" applyFill="1" applyFont="1" applyNumberFormat="1"/>
    <xf borderId="2" fillId="0" fontId="3" numFmtId="168" xfId="0" applyAlignment="1" applyBorder="1" applyFont="1" applyNumberFormat="1">
      <alignment horizontal="center"/>
    </xf>
    <xf borderId="2" fillId="2" fontId="6" numFmtId="0" xfId="0" applyAlignment="1" applyBorder="1" applyFill="1" applyFont="1">
      <alignment horizontal="left" readingOrder="0" shrinkToFit="0" vertical="center" wrapText="0"/>
    </xf>
    <xf borderId="2" fillId="2" fontId="6" numFmtId="49" xfId="0" applyAlignment="1" applyBorder="1" applyFill="1" applyFont="1" applyNumberFormat="1">
      <alignment horizontal="center" readingOrder="0" shrinkToFit="0" vertical="center" wrapText="0"/>
    </xf>
    <xf borderId="0" fillId="5" fontId="7" numFmtId="0" xfId="0" applyAlignment="1" applyFill="1" applyFont="1">
      <alignment horizontal="center"/>
    </xf>
    <xf borderId="0" fillId="0" fontId="4" numFmtId="0" xfId="0" applyAlignment="1" applyFont="1">
      <alignment horizontal="center"/>
    </xf>
    <xf borderId="0" fillId="2" fontId="6" numFmtId="0" xfId="0" applyAlignment="1" applyFill="1" applyFont="1">
      <alignment horizontal="center"/>
    </xf>
    <xf borderId="0" fillId="0" fontId="7" numFmtId="0" xfId="0" applyFont="1"/>
    <xf borderId="0" fillId="0" fontId="2" numFmtId="0" xfId="0" applyFont="1"/>
    <xf borderId="3" fillId="0" fontId="4" numFmtId="0" xfId="0" applyAlignment="1" applyBorder="1" applyFont="1">
      <alignment horizontal="center" shrinkToFit="0" vertical="center" wrapText="0"/>
    </xf>
    <xf borderId="3" fillId="0" fontId="4" numFmtId="165" xfId="0" applyAlignment="1" applyBorder="1" applyFont="1" applyNumberFormat="1">
      <alignment horizontal="center" shrinkToFit="0" vertical="center" wrapText="0"/>
    </xf>
    <xf borderId="3" fillId="0" fontId="4" numFmtId="169" xfId="0" applyAlignment="1" applyBorder="1" applyFont="1" applyNumberFormat="1">
      <alignment horizontal="center" shrinkToFit="0" vertical="center" wrapText="0"/>
    </xf>
    <xf borderId="3" fillId="0" fontId="3" numFmtId="1" xfId="0" applyAlignment="1" applyBorder="1" applyFont="1" applyNumberFormat="1">
      <alignment horizontal="center" shrinkToFit="0" vertical="center" wrapText="0"/>
    </xf>
    <xf borderId="3" fillId="0" fontId="3" numFmtId="0" xfId="0" applyAlignment="1" applyBorder="1" applyFont="1">
      <alignment shrinkToFit="0" vertical="center" wrapText="0"/>
    </xf>
    <xf borderId="3" fillId="0" fontId="3" numFmtId="169" xfId="0" applyAlignment="1" applyBorder="1" applyFont="1" applyNumberFormat="1">
      <alignment horizontal="left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wrapText="1"/>
    </xf>
    <xf borderId="3" fillId="0" fontId="3" numFmtId="165" xfId="0" applyAlignment="1" applyBorder="1" applyFont="1" applyNumberFormat="1">
      <alignment shrinkToFit="0" vertical="center" wrapText="0"/>
    </xf>
    <xf borderId="0" fillId="0" fontId="3" numFmtId="14" xfId="0" applyAlignment="1" applyFont="1" applyNumberFormat="1">
      <alignment readingOrder="0" shrinkToFit="0" vertical="center" wrapText="0"/>
    </xf>
    <xf borderId="0" fillId="0" fontId="4" numFmtId="0" xfId="0" applyAlignment="1" applyFont="1">
      <alignment shrinkToFit="0" vertical="bottom" wrapText="0"/>
    </xf>
    <xf borderId="3" fillId="0" fontId="3" numFmtId="0" xfId="0" applyAlignment="1" applyBorder="1" applyFont="1">
      <alignment readingOrder="0" shrinkToFit="0" vertical="center" wrapText="0"/>
    </xf>
    <xf borderId="3" fillId="0" fontId="3" numFmtId="2" xfId="0" applyAlignment="1" applyBorder="1" applyFont="1" applyNumberFormat="1">
      <alignment shrinkToFit="0" vertical="center" wrapText="0"/>
    </xf>
    <xf borderId="0" fillId="2" fontId="6" numFmtId="0" xfId="0" applyAlignment="1" applyFill="1" applyFont="1">
      <alignment horizontal="center" shrinkToFit="0" wrapText="1"/>
    </xf>
    <xf borderId="0" fillId="0" fontId="3" numFmtId="0" xfId="0" applyAlignment="1" applyFont="1">
      <alignment horizontal="left"/>
    </xf>
    <xf borderId="0" fillId="0" fontId="4" numFmtId="0" xfId="0" applyAlignment="1" applyFont="1">
      <alignment horizontal="right"/>
    </xf>
    <xf borderId="0" fillId="0" fontId="3" numFmtId="165" xfId="0" applyFont="1" applyNumberFormat="1"/>
    <xf borderId="0" fillId="6" fontId="2" numFmtId="0" xfId="0" applyFill="1" applyFont="1"/>
    <xf borderId="0" fillId="0" fontId="3" numFmtId="167" xfId="0" applyFont="1" applyNumberFormat="1"/>
    <xf borderId="2" fillId="4" fontId="6" numFmtId="0" xfId="0" applyAlignment="1" applyBorder="1" applyFill="1" applyFont="1">
      <alignment horizontal="center" shrinkToFit="0" wrapText="1"/>
    </xf>
    <xf borderId="0" fillId="6" fontId="8" numFmtId="0" xfId="0" applyFill="1" applyFont="1"/>
    <xf borderId="2" fillId="0" fontId="3" numFmtId="169" xfId="0" applyBorder="1" applyFont="1" applyNumberFormat="1"/>
    <xf borderId="2" fillId="0" fontId="3" numFmtId="2" xfId="0" applyBorder="1" applyFont="1" applyNumberFormat="1"/>
    <xf borderId="2" fillId="4" fontId="6" numFmtId="0" xfId="0" applyBorder="1" applyFill="1" applyFont="1"/>
    <xf borderId="2" fillId="0" fontId="3" numFmtId="170" xfId="0" applyBorder="1" applyFont="1" applyNumberFormat="1"/>
    <xf borderId="0" fillId="5" fontId="3" numFmtId="0" xfId="0" applyAlignment="1" applyFill="1" applyFont="1">
      <alignment shrinkToFit="0" vertical="top" wrapText="1"/>
    </xf>
    <xf borderId="4" fillId="0" fontId="3" numFmtId="0" xfId="0" applyBorder="1" applyFont="1"/>
    <xf borderId="4" fillId="0" fontId="3" numFmtId="169" xfId="0" applyBorder="1" applyFont="1" applyNumberFormat="1"/>
    <xf borderId="4" fillId="0" fontId="3" numFmtId="2" xfId="0" applyBorder="1" applyFont="1" applyNumberFormat="1"/>
    <xf borderId="0" fillId="0" fontId="3" numFmtId="169" xfId="0" applyFont="1" applyNumberFormat="1"/>
    <xf borderId="0" fillId="0" fontId="3" numFmtId="2" xfId="0" applyFont="1" applyNumberFormat="1"/>
    <xf borderId="5" fillId="5" fontId="2" numFmtId="0" xfId="0" applyBorder="1" applyFill="1" applyFont="1"/>
    <xf borderId="5" fillId="5" fontId="3" numFmtId="0" xfId="0" applyBorder="1" applyFill="1" applyFont="1"/>
    <xf borderId="5" fillId="5" fontId="3" numFmtId="2" xfId="0" applyBorder="1" applyFill="1" applyFont="1" applyNumberFormat="1"/>
    <xf borderId="5" fillId="5" fontId="3" numFmtId="169" xfId="0" applyBorder="1" applyFill="1" applyFont="1" applyNumberFormat="1"/>
    <xf borderId="2" fillId="0" fontId="3" numFmtId="167" xfId="0" applyBorder="1" applyFont="1" applyNumberFormat="1"/>
    <xf borderId="3" fillId="0" fontId="3" numFmtId="165" xfId="0" applyAlignment="1" applyBorder="1" applyFont="1" applyNumberFormat="1">
      <alignment readingOrder="0" shrinkToFit="0" vertical="center" wrapText="0"/>
    </xf>
    <xf borderId="0" fillId="0" fontId="8" numFmtId="0" xfId="0" applyFont="1"/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F7"/>
          <bgColor rgb="FFD9EAF7"/>
        </patternFill>
      </fill>
      <border/>
    </dxf>
    <dxf>
      <font/>
      <fill>
        <patternFill patternType="solid">
          <fgColor rgb="FFEDEDED"/>
          <bgColor rgb="FFEDEDED"/>
        </patternFill>
      </fill>
      <border/>
    </dxf>
  </dxfs>
  <tableStyles count="2">
    <tableStyle count="4" pivot="0" name="Employee Mast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ttendanc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11" displayName="EmployeeMasterTable" name="EmployeeMasterTable" id="1">
  <tableColumns count="10">
    <tableColumn name="Employee ID" id="1"/>
    <tableColumn name="Employee Name" id="2"/>
    <tableColumn name="Designation" id="3"/>
    <tableColumn name="Joining Date" id="4"/>
    <tableColumn name="Salary Type" id="5"/>
    <tableColumn name="Salary Rate" id="6"/>
    <tableColumn name="Contact" id="7"/>
    <tableColumn name="Active" id="8"/>
    <tableColumn name="OT Rate/Hour" id="9"/>
    <tableColumn name="Exit Date" id="10"/>
  </tableColumns>
  <tableStyleInfo name="Employee Master-style" showColumnStripes="0" showFirstColumn="1" showLastColumn="1" showRowStripes="1"/>
</table>
</file>

<file path=xl/tables/table2.xml><?xml version="1.0" encoding="utf-8"?>
<table xmlns="http://schemas.openxmlformats.org/spreadsheetml/2006/main" ref="A4:H504" displayName="AttendanceLog" name="AttendanceLog" id="2">
  <tableColumns count="8">
    <tableColumn name="Date" id="1"/>
    <tableColumn name="Employee ID" id="2"/>
    <tableColumn name="Employee Name" id="3"/>
    <tableColumn name="Designation" id="4"/>
    <tableColumn name="Salary Type" id="5"/>
    <tableColumn name="Status" id="6"/>
    <tableColumn name="OT Hours" id="7"/>
    <tableColumn name="Remarks" id="8"/>
  </tableColumns>
  <tableStyleInfo name="Attendanc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5"/>
    <col customWidth="1" min="2" max="3" width="22.0"/>
    <col customWidth="1" min="4" max="6" width="14.0"/>
    <col customWidth="1" min="7" max="7" width="15.0"/>
    <col customWidth="1" min="8" max="8" width="10.0"/>
    <col customWidth="1" min="9" max="9" width="14.5"/>
  </cols>
  <sheetData>
    <row r="1" ht="15.75" customHeight="1">
      <c r="A1" s="17" t="s">
        <v>30</v>
      </c>
      <c r="B1" s="17" t="s">
        <v>38</v>
      </c>
      <c r="C1" s="17" t="s">
        <v>39</v>
      </c>
      <c r="D1" s="17" t="s">
        <v>42</v>
      </c>
      <c r="E1" s="17" t="s">
        <v>44</v>
      </c>
      <c r="F1" s="17" t="s">
        <v>46</v>
      </c>
      <c r="G1" s="17" t="s">
        <v>48</v>
      </c>
      <c r="H1" s="17" t="s">
        <v>50</v>
      </c>
      <c r="I1" s="20" t="s">
        <v>51</v>
      </c>
      <c r="J1" s="21" t="s">
        <v>54</v>
      </c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6" t="s">
        <v>58</v>
      </c>
    </row>
    <row r="2" ht="15.75" customHeight="1">
      <c r="A2" s="27" t="s">
        <v>59</v>
      </c>
      <c r="B2" s="27" t="s">
        <v>26</v>
      </c>
      <c r="C2" s="27" t="s">
        <v>61</v>
      </c>
      <c r="D2" s="28">
        <v>46199.0</v>
      </c>
      <c r="E2" s="27" t="s">
        <v>62</v>
      </c>
      <c r="F2" s="29">
        <v>40000.0</v>
      </c>
      <c r="G2" s="30">
        <v>7.58582516E9</v>
      </c>
      <c r="H2" s="31" t="s">
        <v>28</v>
      </c>
      <c r="I2" s="32">
        <v>110.0</v>
      </c>
      <c r="J2" s="33"/>
    </row>
    <row r="3" ht="15.75" customHeight="1">
      <c r="A3" s="27" t="s">
        <v>65</v>
      </c>
      <c r="B3" s="27" t="s">
        <v>34</v>
      </c>
      <c r="C3" s="27" t="s">
        <v>69</v>
      </c>
      <c r="D3" s="28">
        <v>46199.0</v>
      </c>
      <c r="E3" s="27" t="s">
        <v>62</v>
      </c>
      <c r="F3" s="29">
        <v>19000.0</v>
      </c>
      <c r="G3" s="30">
        <v>7.501663268E9</v>
      </c>
      <c r="H3" s="31" t="s">
        <v>28</v>
      </c>
      <c r="I3" s="32">
        <v>53.0</v>
      </c>
      <c r="J3" s="33"/>
    </row>
    <row r="4" ht="15.75" customHeight="1">
      <c r="A4" s="27" t="s">
        <v>72</v>
      </c>
      <c r="B4" s="27" t="s">
        <v>32</v>
      </c>
      <c r="C4" s="27" t="s">
        <v>73</v>
      </c>
      <c r="D4" s="28">
        <v>46199.0</v>
      </c>
      <c r="E4" s="27" t="s">
        <v>62</v>
      </c>
      <c r="F4" s="29">
        <v>16000.0</v>
      </c>
      <c r="G4" s="30">
        <v>9.875641363E9</v>
      </c>
      <c r="H4" s="31" t="s">
        <v>74</v>
      </c>
      <c r="I4" s="32">
        <v>0.0</v>
      </c>
      <c r="J4" s="36">
        <v>46228.0</v>
      </c>
    </row>
    <row r="5" ht="15.75" customHeight="1">
      <c r="A5" s="27" t="s">
        <v>75</v>
      </c>
      <c r="B5" s="27" t="s">
        <v>76</v>
      </c>
      <c r="C5" s="27" t="s">
        <v>77</v>
      </c>
      <c r="D5" s="28">
        <v>46220.0</v>
      </c>
      <c r="E5" s="27" t="s">
        <v>62</v>
      </c>
      <c r="F5" s="29">
        <v>17000.0</v>
      </c>
      <c r="G5" s="30">
        <v>6.201471029E9</v>
      </c>
      <c r="H5" s="31" t="s">
        <v>28</v>
      </c>
      <c r="I5" s="32">
        <v>47.0</v>
      </c>
      <c r="J5" s="33"/>
    </row>
    <row r="6" ht="15.75" customHeight="1">
      <c r="A6" s="27" t="s">
        <v>78</v>
      </c>
      <c r="B6" s="27" t="s">
        <v>79</v>
      </c>
      <c r="C6" s="27" t="s">
        <v>80</v>
      </c>
      <c r="D6" s="28">
        <v>46238.0</v>
      </c>
      <c r="E6" s="27" t="s">
        <v>81</v>
      </c>
      <c r="F6" s="29">
        <v>400.0</v>
      </c>
      <c r="G6" s="30">
        <v>9.001311441E9</v>
      </c>
      <c r="H6" s="31" t="s">
        <v>28</v>
      </c>
      <c r="I6" s="32">
        <v>0.0</v>
      </c>
      <c r="J6" s="33"/>
      <c r="AA6" s="11" t="s">
        <v>82</v>
      </c>
    </row>
    <row r="7" ht="15.75" customHeight="1">
      <c r="A7" s="27" t="s">
        <v>83</v>
      </c>
      <c r="B7" s="27" t="s">
        <v>84</v>
      </c>
      <c r="C7" s="27" t="s">
        <v>80</v>
      </c>
      <c r="D7" s="28">
        <v>46239.0</v>
      </c>
      <c r="E7" s="27" t="s">
        <v>81</v>
      </c>
      <c r="F7" s="29">
        <v>400.0</v>
      </c>
      <c r="G7" s="30">
        <v>7.483944538E9</v>
      </c>
      <c r="H7" s="38" t="s">
        <v>74</v>
      </c>
      <c r="I7" s="32">
        <v>0.0</v>
      </c>
      <c r="J7" s="36">
        <v>46290.0</v>
      </c>
      <c r="AA7" s="11" t="s">
        <v>82</v>
      </c>
    </row>
    <row r="8" ht="15.75" customHeight="1">
      <c r="A8" s="27" t="s">
        <v>85</v>
      </c>
      <c r="B8" s="27" t="s">
        <v>86</v>
      </c>
      <c r="C8" s="27" t="s">
        <v>73</v>
      </c>
      <c r="D8" s="28">
        <v>46283.0</v>
      </c>
      <c r="E8" s="27" t="s">
        <v>62</v>
      </c>
      <c r="F8" s="29">
        <v>17000.0</v>
      </c>
      <c r="G8" s="30">
        <v>7.870666535E9</v>
      </c>
      <c r="H8" s="31" t="s">
        <v>28</v>
      </c>
      <c r="I8" s="32">
        <v>47.0</v>
      </c>
      <c r="J8" s="33"/>
    </row>
    <row r="9" ht="15.75" customHeight="1">
      <c r="A9" s="27" t="s">
        <v>87</v>
      </c>
      <c r="B9" s="27" t="s">
        <v>88</v>
      </c>
      <c r="C9" s="27" t="s">
        <v>69</v>
      </c>
      <c r="D9" s="28">
        <v>46286.0</v>
      </c>
      <c r="E9" s="27" t="s">
        <v>62</v>
      </c>
      <c r="F9" s="29">
        <v>19000.0</v>
      </c>
      <c r="G9" s="30">
        <v>7.477651481E9</v>
      </c>
      <c r="H9" s="31" t="s">
        <v>28</v>
      </c>
      <c r="I9" s="32">
        <v>53.0</v>
      </c>
      <c r="J9" s="33"/>
    </row>
    <row r="10" ht="15.75" customHeight="1">
      <c r="A10" s="27" t="s">
        <v>89</v>
      </c>
      <c r="B10" s="27" t="s">
        <v>47</v>
      </c>
      <c r="C10" s="27" t="s">
        <v>80</v>
      </c>
      <c r="D10" s="28">
        <v>46286.0</v>
      </c>
      <c r="E10" s="27" t="s">
        <v>62</v>
      </c>
      <c r="F10" s="29">
        <v>11000.0</v>
      </c>
      <c r="G10" s="30">
        <v>7.477651481E9</v>
      </c>
      <c r="H10" s="31" t="s">
        <v>28</v>
      </c>
      <c r="I10" s="32">
        <v>0.0</v>
      </c>
      <c r="J10" s="33"/>
    </row>
    <row r="11" ht="15.75" customHeight="1">
      <c r="A11" s="27" t="s">
        <v>91</v>
      </c>
      <c r="B11" s="27" t="s">
        <v>43</v>
      </c>
      <c r="C11" s="27" t="s">
        <v>80</v>
      </c>
      <c r="D11" s="28">
        <v>46288.0</v>
      </c>
      <c r="E11" s="27" t="s">
        <v>62</v>
      </c>
      <c r="F11" s="29">
        <v>10000.0</v>
      </c>
      <c r="G11" s="30">
        <v>7.58582516E9</v>
      </c>
      <c r="H11" s="31" t="s">
        <v>74</v>
      </c>
      <c r="I11" s="32">
        <v>0.0</v>
      </c>
      <c r="J11" s="36">
        <v>46293.0</v>
      </c>
    </row>
    <row r="12" ht="15.75" customHeight="1">
      <c r="A12" s="3"/>
      <c r="B12" s="3"/>
      <c r="C12" s="3"/>
      <c r="D12" s="3"/>
      <c r="E12" s="3"/>
      <c r="F12" s="3"/>
      <c r="G12" s="3"/>
      <c r="H12" s="3"/>
      <c r="I12" s="41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41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41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41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41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41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41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41"/>
    </row>
    <row r="20" ht="15.75" customHeight="1">
      <c r="A20" s="3"/>
      <c r="B20" s="3"/>
      <c r="C20" s="3"/>
      <c r="D20" s="3"/>
      <c r="E20" s="3"/>
      <c r="F20" s="3"/>
      <c r="G20" s="42"/>
      <c r="H20" s="3"/>
      <c r="I20" s="41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41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41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41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41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41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41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41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41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41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41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41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41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41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41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41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41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41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41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41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41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41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41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41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41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41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41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41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41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41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41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41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41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41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41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41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41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41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41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41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41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41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41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41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41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41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41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41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41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41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41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41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41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41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41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41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41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41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41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41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41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41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41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41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41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41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41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41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41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41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41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41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41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41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41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41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41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41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41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41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41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41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41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41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41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41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41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41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41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41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41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41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41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41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41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41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41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41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41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41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41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41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41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41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41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41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41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41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41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41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41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41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41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41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41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41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41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41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41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41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41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41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41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41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41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41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41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41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41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41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41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41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41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41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41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41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41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41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41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41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41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41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41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41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41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41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41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41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41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41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41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41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41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41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41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41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41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41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41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41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41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41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41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41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41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41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41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41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41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41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41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41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41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41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41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41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41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41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41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41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41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41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41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41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41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41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41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41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41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41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41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41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41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41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41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41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41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41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41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41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41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41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41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41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41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41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41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41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41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41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41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41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41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41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41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41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41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41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41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41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41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41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41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41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41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41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41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41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41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41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41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41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41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41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41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41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41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41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41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41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41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41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41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41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41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41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41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41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41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41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41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41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41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41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41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41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41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41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41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41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41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41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41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41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41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41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41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41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41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41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41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41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41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41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41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41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41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41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41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41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41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41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41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41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41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41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41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41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41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41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41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41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41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41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41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41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41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41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41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41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41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41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41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41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41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41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41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41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41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41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41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41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41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41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41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41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41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41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41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41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41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41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41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41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41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41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41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41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41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41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41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41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41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41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41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41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41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41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41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41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41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41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41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41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41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41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41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41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41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41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41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41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41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41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41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41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41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41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41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41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41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41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41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41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41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41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41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41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41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41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41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41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41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41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41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41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41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41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41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41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41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41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41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41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41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41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41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41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41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41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41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41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41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41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41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41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41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41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41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41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41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41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41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41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41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41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41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41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41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41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41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41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41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41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41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41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41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41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41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41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41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41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41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41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41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41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41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41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41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41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41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41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41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41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41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41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41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41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41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41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41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41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41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41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41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41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41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41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41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41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41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41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41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41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41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41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41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41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41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41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41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41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41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41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41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41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41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41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41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41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41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41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41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41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41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41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41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41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41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41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41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41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41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41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41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41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41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41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41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41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41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41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41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41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41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41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41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41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41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41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41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41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41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41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41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41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41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41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41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41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41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41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41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41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41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41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41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41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41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41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41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41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41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41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41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41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41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41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41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41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41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41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41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41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41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41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41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41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41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41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41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41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41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41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41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41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41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41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41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41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41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41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41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41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41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41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41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41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41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41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41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41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41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41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41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41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41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41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41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41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41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41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41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41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41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41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41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41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41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41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41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41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41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41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41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41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41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41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41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41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41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41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41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41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41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41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41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41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41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41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41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41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41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41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41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41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41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41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41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41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41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41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41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41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41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41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41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41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41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41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41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41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41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41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41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41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41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41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41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41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41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41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41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41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41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41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41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41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41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41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41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41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41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41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41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41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41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41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41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41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41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41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41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41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41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41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41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41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41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41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41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41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41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41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41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41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41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41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41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41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41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41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41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41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41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41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41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41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41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41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41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41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41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41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41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41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41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41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41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41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41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41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41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41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41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41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41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41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41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41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41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41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41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41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41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41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41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41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41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41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41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41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41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41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41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41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41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41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41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41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41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41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41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41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41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41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41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41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41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41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41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41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41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41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41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41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41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41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41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41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41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41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41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41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41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41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41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41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41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41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41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41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41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41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41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41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41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41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41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41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41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41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41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41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41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41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41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41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41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41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41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41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41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41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41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41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41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41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41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41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41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41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41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41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41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41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41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41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41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41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41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41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41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41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41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41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41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41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41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41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41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41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41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41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41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41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41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41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41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41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41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41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41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41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41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41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41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41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41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41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41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41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41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41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41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41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41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41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41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41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41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41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41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41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41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41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41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41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41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41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41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41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41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41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41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41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41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41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41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41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41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41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41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41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41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41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41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41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41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41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41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41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41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41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41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41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41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41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41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41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41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41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41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41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41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41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41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41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41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41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41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41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41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41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41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41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41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41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41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41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41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41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41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41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41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41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41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41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41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41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41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41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41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41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41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41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41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41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41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41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41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41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41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41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41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41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41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41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41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41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41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41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41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41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41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41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41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41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41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41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41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41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41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41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41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41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41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41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41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41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41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41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41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41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41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41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41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41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41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41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41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41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41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41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41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41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41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41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41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41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41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41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41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41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41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41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41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41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41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41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41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41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41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41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41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41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41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41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41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41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41"/>
    </row>
  </sheetData>
  <customSheetViews>
    <customSheetView guid="{6EE6F2A3-8F62-4C59-83FA-2D510B2DDD52}" filter="1" showAutoFilter="1">
      <autoFilter ref="$A$1:$J$11"/>
      <extLst>
        <ext uri="GoogleSheetsCustomDataVersion1">
          <go:sheetsCustomData xmlns:go="http://customooxmlschemas.google.com/" filterViewId="1555271043"/>
        </ext>
      </extLst>
    </customSheetView>
  </customSheetViews>
  <dataValidations>
    <dataValidation type="list" allowBlank="1" sqref="E2:E500">
      <formula1>"Monthly,Daily"</formula1>
    </dataValidation>
    <dataValidation type="list" allowBlank="1" sqref="H2:H500">
      <formula1>"Yes,No"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15.5"/>
    <col customWidth="1" min="3" max="3" width="13.0"/>
    <col customWidth="1" min="4" max="4" width="12.63"/>
    <col customWidth="1" min="5" max="5" width="15.13"/>
    <col customWidth="1" min="6" max="6" width="18.13"/>
    <col customWidth="1" min="8" max="8" width="55.0"/>
  </cols>
  <sheetData>
    <row r="1" ht="15.7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4"/>
      <c r="H1" s="4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6">
        <v>46197.0</v>
      </c>
      <c r="B2" s="8" t="s">
        <v>10</v>
      </c>
      <c r="C2" s="8" t="s">
        <v>11</v>
      </c>
      <c r="D2" s="8">
        <v>4000.0</v>
      </c>
      <c r="E2" s="9" t="s">
        <v>13</v>
      </c>
      <c r="F2" s="8" t="s">
        <v>14</v>
      </c>
      <c r="G2" s="4"/>
      <c r="H2" s="11" t="s">
        <v>15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6">
        <v>46199.0</v>
      </c>
      <c r="B3" s="8" t="s">
        <v>16</v>
      </c>
      <c r="C3" s="8" t="s">
        <v>17</v>
      </c>
      <c r="D3" s="8">
        <v>590.0</v>
      </c>
      <c r="E3" s="9" t="s">
        <v>13</v>
      </c>
      <c r="F3" s="8" t="s">
        <v>18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12">
        <v>46205.0</v>
      </c>
      <c r="B4" s="8" t="s">
        <v>16</v>
      </c>
      <c r="C4" s="8" t="s">
        <v>17</v>
      </c>
      <c r="D4" s="8">
        <v>640.0</v>
      </c>
      <c r="E4" s="9" t="s">
        <v>13</v>
      </c>
      <c r="F4" s="8" t="s">
        <v>18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12">
        <v>46205.0</v>
      </c>
      <c r="B5" s="8" t="s">
        <v>21</v>
      </c>
      <c r="C5" s="8" t="s">
        <v>22</v>
      </c>
      <c r="D5" s="8">
        <v>1280.0</v>
      </c>
      <c r="E5" s="9" t="s">
        <v>13</v>
      </c>
      <c r="F5" s="8" t="s">
        <v>18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12">
        <v>46210.0</v>
      </c>
      <c r="B6" s="8" t="s">
        <v>24</v>
      </c>
      <c r="C6" s="8" t="s">
        <v>25</v>
      </c>
      <c r="D6" s="8">
        <v>500.0</v>
      </c>
      <c r="E6" s="9" t="s">
        <v>13</v>
      </c>
      <c r="F6" s="8" t="s">
        <v>26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12">
        <v>46213.0</v>
      </c>
      <c r="B7" s="8" t="s">
        <v>24</v>
      </c>
      <c r="C7" s="8" t="s">
        <v>25</v>
      </c>
      <c r="D7" s="8">
        <v>500.0</v>
      </c>
      <c r="E7" s="9" t="s">
        <v>13</v>
      </c>
      <c r="F7" s="8" t="s">
        <v>26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14">
        <v>46216.0</v>
      </c>
      <c r="B8" s="8" t="s">
        <v>24</v>
      </c>
      <c r="C8" s="8" t="s">
        <v>25</v>
      </c>
      <c r="D8" s="8">
        <v>2000.0</v>
      </c>
      <c r="E8" s="9" t="s">
        <v>13</v>
      </c>
      <c r="F8" s="8" t="s">
        <v>32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14">
        <v>46216.0</v>
      </c>
      <c r="B9" s="8" t="s">
        <v>24</v>
      </c>
      <c r="C9" s="8" t="s">
        <v>25</v>
      </c>
      <c r="D9" s="8">
        <v>3000.0</v>
      </c>
      <c r="E9" s="9" t="s">
        <v>13</v>
      </c>
      <c r="F9" s="8" t="s">
        <v>34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14">
        <v>46216.0</v>
      </c>
      <c r="B10" s="8" t="s">
        <v>24</v>
      </c>
      <c r="C10" s="8" t="s">
        <v>25</v>
      </c>
      <c r="D10" s="8">
        <v>5000.0</v>
      </c>
      <c r="E10" s="9" t="s">
        <v>13</v>
      </c>
      <c r="F10" s="8" t="s">
        <v>26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14">
        <v>46216.0</v>
      </c>
      <c r="B11" s="8" t="s">
        <v>24</v>
      </c>
      <c r="C11" s="8" t="s">
        <v>25</v>
      </c>
      <c r="D11" s="8">
        <v>3000.0</v>
      </c>
      <c r="E11" s="9" t="s">
        <v>13</v>
      </c>
      <c r="F11" s="8" t="s">
        <v>34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14">
        <v>46231.0</v>
      </c>
      <c r="B12" s="8" t="s">
        <v>24</v>
      </c>
      <c r="C12" s="8" t="s">
        <v>25</v>
      </c>
      <c r="D12" s="8">
        <v>500.0</v>
      </c>
      <c r="E12" s="9" t="s">
        <v>13</v>
      </c>
      <c r="F12" s="8" t="s">
        <v>26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14">
        <v>46254.0</v>
      </c>
      <c r="B13" s="8" t="s">
        <v>24</v>
      </c>
      <c r="C13" s="8" t="s">
        <v>25</v>
      </c>
      <c r="D13" s="8">
        <v>5000.0</v>
      </c>
      <c r="E13" s="9" t="s">
        <v>13</v>
      </c>
      <c r="F13" s="8" t="s">
        <v>26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14">
        <v>46254.0</v>
      </c>
      <c r="B14" s="8" t="s">
        <v>24</v>
      </c>
      <c r="C14" s="8" t="s">
        <v>25</v>
      </c>
      <c r="D14" s="8">
        <v>3000.0</v>
      </c>
      <c r="E14" s="9" t="s">
        <v>13</v>
      </c>
      <c r="F14" s="8" t="s">
        <v>34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4">
        <v>46266.0</v>
      </c>
      <c r="B15" s="8" t="s">
        <v>10</v>
      </c>
      <c r="C15" s="8" t="s">
        <v>11</v>
      </c>
      <c r="D15" s="8">
        <v>2333.0</v>
      </c>
      <c r="E15" s="9" t="s">
        <v>13</v>
      </c>
      <c r="F15" s="8" t="s">
        <v>41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14">
        <v>46266.0</v>
      </c>
      <c r="B16" s="8" t="s">
        <v>10</v>
      </c>
      <c r="C16" s="8" t="s">
        <v>11</v>
      </c>
      <c r="D16" s="8">
        <v>2333.0</v>
      </c>
      <c r="E16" s="9" t="s">
        <v>13</v>
      </c>
      <c r="F16" s="8" t="s">
        <v>43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14">
        <v>46266.0</v>
      </c>
      <c r="B17" s="8" t="s">
        <v>10</v>
      </c>
      <c r="C17" s="8" t="s">
        <v>11</v>
      </c>
      <c r="D17" s="8">
        <v>2334.0</v>
      </c>
      <c r="E17" s="9" t="s">
        <v>13</v>
      </c>
      <c r="F17" s="8" t="s">
        <v>47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14">
        <v>46288.0</v>
      </c>
      <c r="B18" s="8" t="s">
        <v>24</v>
      </c>
      <c r="C18" s="8" t="s">
        <v>25</v>
      </c>
      <c r="D18" s="8">
        <v>5000.0</v>
      </c>
      <c r="E18" s="9" t="s">
        <v>13</v>
      </c>
      <c r="F18" s="8" t="s">
        <v>26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14">
        <v>46288.0</v>
      </c>
      <c r="B19" s="8" t="s">
        <v>24</v>
      </c>
      <c r="C19" s="8" t="s">
        <v>25</v>
      </c>
      <c r="D19" s="8">
        <v>3000.0</v>
      </c>
      <c r="E19" s="9" t="s">
        <v>13</v>
      </c>
      <c r="F19" s="8" t="s">
        <v>34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14">
        <v>46288.0</v>
      </c>
      <c r="B20" s="8" t="s">
        <v>24</v>
      </c>
      <c r="C20" s="8" t="s">
        <v>25</v>
      </c>
      <c r="D20" s="8">
        <v>3000.0</v>
      </c>
      <c r="E20" s="9" t="s">
        <v>13</v>
      </c>
      <c r="F20" s="8" t="s">
        <v>41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4">
        <v>46290.0</v>
      </c>
      <c r="B21" s="8" t="s">
        <v>24</v>
      </c>
      <c r="C21" s="8" t="s">
        <v>25</v>
      </c>
      <c r="D21" s="8">
        <v>1500.0</v>
      </c>
      <c r="E21" s="9" t="s">
        <v>13</v>
      </c>
      <c r="F21" s="8" t="s">
        <v>53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2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3"/>
      <c r="B221" s="3"/>
      <c r="C221" s="3"/>
      <c r="D221" s="3"/>
      <c r="E221" s="3"/>
      <c r="F221" s="3"/>
      <c r="H221" s="3"/>
    </row>
    <row r="222" ht="15.75" customHeight="1">
      <c r="A222" s="3"/>
      <c r="B222" s="3"/>
      <c r="C222" s="3"/>
      <c r="D222" s="3"/>
      <c r="E222" s="3"/>
      <c r="F222" s="3"/>
      <c r="H222" s="3"/>
    </row>
    <row r="223" ht="15.75" customHeight="1">
      <c r="A223" s="3"/>
      <c r="B223" s="3"/>
      <c r="C223" s="3"/>
      <c r="D223" s="3"/>
      <c r="E223" s="3"/>
      <c r="F223" s="3"/>
      <c r="H223" s="3"/>
    </row>
    <row r="224" ht="15.75" customHeight="1">
      <c r="A224" s="3"/>
      <c r="B224" s="3"/>
      <c r="C224" s="3"/>
      <c r="D224" s="3"/>
      <c r="E224" s="3"/>
      <c r="F224" s="3"/>
      <c r="H224" s="3"/>
    </row>
    <row r="225" ht="15.75" customHeight="1">
      <c r="A225" s="3"/>
      <c r="B225" s="3"/>
      <c r="C225" s="3"/>
      <c r="D225" s="3"/>
      <c r="E225" s="3"/>
      <c r="F225" s="3"/>
      <c r="H225" s="3"/>
    </row>
    <row r="226" ht="15.75" customHeight="1">
      <c r="A226" s="3"/>
      <c r="B226" s="3"/>
      <c r="C226" s="3"/>
      <c r="D226" s="3"/>
      <c r="E226" s="3"/>
      <c r="F226" s="3"/>
      <c r="H226" s="3"/>
    </row>
    <row r="227" ht="15.75" customHeight="1">
      <c r="A227" s="3"/>
      <c r="B227" s="3"/>
      <c r="C227" s="3"/>
      <c r="D227" s="3"/>
      <c r="E227" s="3"/>
      <c r="F227" s="3"/>
      <c r="H227" s="3"/>
    </row>
    <row r="228" ht="15.75" customHeight="1">
      <c r="A228" s="3"/>
      <c r="B228" s="3"/>
      <c r="C228" s="3"/>
      <c r="D228" s="3"/>
      <c r="E228" s="3"/>
      <c r="F228" s="3"/>
      <c r="H228" s="3"/>
    </row>
    <row r="229" ht="15.75" customHeight="1">
      <c r="A229" s="3"/>
      <c r="B229" s="3"/>
      <c r="C229" s="3"/>
      <c r="D229" s="3"/>
      <c r="E229" s="3"/>
      <c r="F229" s="3"/>
      <c r="H229" s="3"/>
    </row>
    <row r="230" ht="15.75" customHeight="1">
      <c r="A230" s="3"/>
      <c r="B230" s="3"/>
      <c r="C230" s="3"/>
      <c r="D230" s="3"/>
      <c r="E230" s="3"/>
      <c r="F230" s="3"/>
      <c r="H230" s="3"/>
    </row>
    <row r="231" ht="15.75" customHeight="1">
      <c r="A231" s="3"/>
      <c r="B231" s="3"/>
      <c r="C231" s="3"/>
      <c r="D231" s="3"/>
      <c r="E231" s="3"/>
      <c r="F231" s="3"/>
      <c r="H231" s="3"/>
    </row>
    <row r="232" ht="15.75" customHeight="1">
      <c r="A232" s="3"/>
      <c r="B232" s="3"/>
      <c r="C232" s="3"/>
      <c r="D232" s="3"/>
      <c r="E232" s="3"/>
      <c r="F232" s="3"/>
      <c r="H232" s="3"/>
    </row>
    <row r="233" ht="15.75" customHeight="1">
      <c r="A233" s="3"/>
      <c r="B233" s="3"/>
      <c r="C233" s="3"/>
      <c r="D233" s="3"/>
      <c r="E233" s="3"/>
      <c r="F233" s="3"/>
      <c r="H233" s="3"/>
    </row>
    <row r="234" ht="15.75" customHeight="1">
      <c r="A234" s="3"/>
      <c r="B234" s="3"/>
      <c r="C234" s="3"/>
      <c r="D234" s="3"/>
      <c r="E234" s="3"/>
      <c r="F234" s="3"/>
      <c r="H234" s="3"/>
    </row>
    <row r="235" ht="15.75" customHeight="1">
      <c r="A235" s="3"/>
      <c r="B235" s="3"/>
      <c r="C235" s="3"/>
      <c r="D235" s="3"/>
      <c r="E235" s="3"/>
      <c r="F235" s="3"/>
      <c r="H235" s="3"/>
    </row>
    <row r="236" ht="15.75" customHeight="1">
      <c r="A236" s="3"/>
      <c r="B236" s="3"/>
      <c r="C236" s="3"/>
      <c r="D236" s="3"/>
      <c r="E236" s="3"/>
      <c r="F236" s="3"/>
      <c r="H236" s="3"/>
    </row>
    <row r="237" ht="15.75" customHeight="1">
      <c r="A237" s="3"/>
      <c r="B237" s="3"/>
      <c r="C237" s="3"/>
      <c r="D237" s="3"/>
      <c r="E237" s="3"/>
      <c r="F237" s="3"/>
      <c r="H237" s="3"/>
    </row>
    <row r="238" ht="15.75" customHeight="1">
      <c r="A238" s="3"/>
      <c r="B238" s="3"/>
      <c r="C238" s="3"/>
      <c r="D238" s="3"/>
      <c r="E238" s="3"/>
      <c r="F238" s="3"/>
      <c r="H238" s="3"/>
    </row>
    <row r="239" ht="15.75" customHeight="1">
      <c r="A239" s="3"/>
      <c r="B239" s="3"/>
      <c r="C239" s="3"/>
      <c r="D239" s="3"/>
      <c r="E239" s="3"/>
      <c r="F239" s="3"/>
      <c r="H239" s="3"/>
    </row>
    <row r="240" ht="15.75" customHeight="1">
      <c r="A240" s="3"/>
      <c r="B240" s="3"/>
      <c r="C240" s="3"/>
      <c r="D240" s="3"/>
      <c r="E240" s="3"/>
      <c r="F240" s="3"/>
      <c r="H240" s="3"/>
    </row>
    <row r="241" ht="15.75" customHeight="1">
      <c r="A241" s="3"/>
      <c r="B241" s="3"/>
      <c r="C241" s="3"/>
      <c r="D241" s="3"/>
      <c r="E241" s="3"/>
      <c r="F241" s="3"/>
      <c r="H241" s="3"/>
    </row>
    <row r="242" ht="15.75" customHeight="1">
      <c r="A242" s="3"/>
      <c r="B242" s="3"/>
      <c r="C242" s="3"/>
      <c r="D242" s="3"/>
      <c r="E242" s="3"/>
      <c r="F242" s="3"/>
      <c r="H242" s="3"/>
    </row>
    <row r="243" ht="15.75" customHeight="1">
      <c r="A243" s="3"/>
      <c r="B243" s="3"/>
      <c r="C243" s="3"/>
      <c r="D243" s="3"/>
      <c r="E243" s="3"/>
      <c r="F243" s="3"/>
      <c r="H243" s="3"/>
    </row>
    <row r="244" ht="15.75" customHeight="1">
      <c r="A244" s="3"/>
      <c r="B244" s="3"/>
      <c r="C244" s="3"/>
      <c r="D244" s="3"/>
      <c r="E244" s="3"/>
      <c r="F244" s="3"/>
      <c r="H244" s="3"/>
    </row>
    <row r="245" ht="15.75" customHeight="1">
      <c r="A245" s="3"/>
      <c r="B245" s="3"/>
      <c r="C245" s="3"/>
      <c r="D245" s="3"/>
      <c r="E245" s="3"/>
      <c r="F245" s="3"/>
      <c r="H245" s="3"/>
    </row>
    <row r="246" ht="15.75" customHeight="1">
      <c r="A246" s="3"/>
      <c r="B246" s="3"/>
      <c r="C246" s="3"/>
      <c r="D246" s="3"/>
      <c r="E246" s="3"/>
      <c r="F246" s="3"/>
      <c r="H246" s="3"/>
    </row>
    <row r="247" ht="15.75" customHeight="1">
      <c r="A247" s="3"/>
      <c r="B247" s="3"/>
      <c r="C247" s="3"/>
      <c r="D247" s="3"/>
      <c r="E247" s="3"/>
      <c r="F247" s="3"/>
      <c r="H247" s="3"/>
    </row>
    <row r="248" ht="15.75" customHeight="1">
      <c r="A248" s="3"/>
      <c r="B248" s="3"/>
      <c r="C248" s="3"/>
      <c r="D248" s="3"/>
      <c r="E248" s="3"/>
      <c r="F248" s="3"/>
      <c r="H248" s="3"/>
    </row>
    <row r="249" ht="15.75" customHeight="1">
      <c r="A249" s="3"/>
      <c r="B249" s="3"/>
      <c r="C249" s="3"/>
      <c r="D249" s="3"/>
      <c r="E249" s="3"/>
      <c r="F249" s="3"/>
      <c r="H249" s="3"/>
    </row>
    <row r="250" ht="15.75" customHeight="1">
      <c r="A250" s="3"/>
      <c r="B250" s="3"/>
      <c r="C250" s="3"/>
      <c r="D250" s="3"/>
      <c r="E250" s="3"/>
      <c r="F250" s="3"/>
      <c r="H250" s="3"/>
    </row>
    <row r="251" ht="15.75" customHeight="1">
      <c r="A251" s="3"/>
      <c r="B251" s="3"/>
      <c r="C251" s="3"/>
      <c r="D251" s="3"/>
      <c r="E251" s="3"/>
      <c r="F251" s="3"/>
      <c r="H251" s="3"/>
    </row>
    <row r="252" ht="15.75" customHeight="1">
      <c r="A252" s="3"/>
      <c r="B252" s="3"/>
      <c r="C252" s="3"/>
      <c r="D252" s="3"/>
      <c r="E252" s="3"/>
      <c r="F252" s="3"/>
      <c r="H252" s="3"/>
    </row>
    <row r="253" ht="15.75" customHeight="1">
      <c r="A253" s="3"/>
      <c r="B253" s="3"/>
      <c r="C253" s="3"/>
      <c r="D253" s="3"/>
      <c r="E253" s="3"/>
      <c r="F253" s="3"/>
      <c r="H253" s="3"/>
    </row>
    <row r="254" ht="15.75" customHeight="1">
      <c r="A254" s="3"/>
      <c r="B254" s="3"/>
      <c r="C254" s="3"/>
      <c r="D254" s="3"/>
      <c r="E254" s="3"/>
      <c r="F254" s="3"/>
      <c r="H254" s="3"/>
    </row>
    <row r="255" ht="15.75" customHeight="1">
      <c r="A255" s="3"/>
      <c r="B255" s="3"/>
      <c r="C255" s="3"/>
      <c r="D255" s="3"/>
      <c r="E255" s="3"/>
      <c r="F255" s="3"/>
      <c r="H255" s="3"/>
    </row>
    <row r="256" ht="15.75" customHeight="1">
      <c r="A256" s="3"/>
      <c r="B256" s="3"/>
      <c r="C256" s="3"/>
      <c r="D256" s="3"/>
      <c r="E256" s="3"/>
      <c r="F256" s="3"/>
      <c r="H256" s="3"/>
    </row>
    <row r="257" ht="15.75" customHeight="1">
      <c r="A257" s="3"/>
      <c r="B257" s="3"/>
      <c r="C257" s="3"/>
      <c r="D257" s="3"/>
      <c r="E257" s="3"/>
      <c r="F257" s="3"/>
      <c r="H257" s="3"/>
    </row>
    <row r="258" ht="15.75" customHeight="1">
      <c r="A258" s="3"/>
      <c r="B258" s="3"/>
      <c r="C258" s="3"/>
      <c r="D258" s="3"/>
      <c r="E258" s="3"/>
      <c r="F258" s="3"/>
      <c r="H258" s="3"/>
    </row>
    <row r="259" ht="15.75" customHeight="1">
      <c r="A259" s="3"/>
      <c r="B259" s="3"/>
      <c r="C259" s="3"/>
      <c r="D259" s="3"/>
      <c r="E259" s="3"/>
      <c r="F259" s="3"/>
      <c r="H259" s="3"/>
    </row>
    <row r="260" ht="15.75" customHeight="1">
      <c r="A260" s="3"/>
      <c r="B260" s="3"/>
      <c r="C260" s="3"/>
      <c r="D260" s="3"/>
      <c r="E260" s="3"/>
      <c r="F260" s="3"/>
      <c r="H260" s="3"/>
    </row>
    <row r="261" ht="15.75" customHeight="1">
      <c r="A261" s="3"/>
      <c r="B261" s="3"/>
      <c r="C261" s="3"/>
      <c r="D261" s="3"/>
      <c r="E261" s="3"/>
      <c r="F261" s="3"/>
      <c r="H261" s="3"/>
    </row>
    <row r="262" ht="15.75" customHeight="1">
      <c r="A262" s="3"/>
      <c r="B262" s="3"/>
      <c r="C262" s="3"/>
      <c r="D262" s="3"/>
      <c r="E262" s="3"/>
      <c r="F262" s="3"/>
      <c r="H262" s="3"/>
    </row>
    <row r="263" ht="15.75" customHeight="1">
      <c r="A263" s="3"/>
      <c r="B263" s="3"/>
      <c r="C263" s="3"/>
      <c r="D263" s="3"/>
      <c r="E263" s="3"/>
      <c r="F263" s="3"/>
      <c r="H263" s="3"/>
    </row>
    <row r="264" ht="15.75" customHeight="1">
      <c r="A264" s="3"/>
      <c r="B264" s="3"/>
      <c r="C264" s="3"/>
      <c r="D264" s="3"/>
      <c r="E264" s="3"/>
      <c r="F264" s="3"/>
      <c r="H264" s="3"/>
    </row>
    <row r="265" ht="15.75" customHeight="1">
      <c r="A265" s="3"/>
      <c r="B265" s="3"/>
      <c r="C265" s="3"/>
      <c r="D265" s="3"/>
      <c r="E265" s="3"/>
      <c r="F265" s="3"/>
      <c r="H265" s="3"/>
    </row>
    <row r="266" ht="15.75" customHeight="1">
      <c r="A266" s="3"/>
      <c r="B266" s="3"/>
      <c r="C266" s="3"/>
      <c r="D266" s="3"/>
      <c r="E266" s="3"/>
      <c r="F266" s="3"/>
      <c r="H266" s="3"/>
    </row>
    <row r="267" ht="15.75" customHeight="1">
      <c r="A267" s="3"/>
      <c r="B267" s="3"/>
      <c r="C267" s="3"/>
      <c r="D267" s="3"/>
      <c r="E267" s="3"/>
      <c r="F267" s="3"/>
      <c r="H267" s="3"/>
    </row>
    <row r="268" ht="15.75" customHeight="1">
      <c r="A268" s="3"/>
      <c r="B268" s="3"/>
      <c r="C268" s="3"/>
      <c r="D268" s="3"/>
      <c r="E268" s="3"/>
      <c r="F268" s="3"/>
      <c r="H268" s="3"/>
    </row>
    <row r="269" ht="15.75" customHeight="1">
      <c r="A269" s="3"/>
      <c r="B269" s="3"/>
      <c r="C269" s="3"/>
      <c r="D269" s="3"/>
      <c r="E269" s="3"/>
      <c r="F269" s="3"/>
      <c r="H269" s="3"/>
    </row>
    <row r="270" ht="15.75" customHeight="1">
      <c r="A270" s="3"/>
      <c r="B270" s="3"/>
      <c r="C270" s="3"/>
      <c r="D270" s="3"/>
      <c r="E270" s="3"/>
      <c r="F270" s="3"/>
      <c r="H270" s="3"/>
    </row>
    <row r="271" ht="15.75" customHeight="1">
      <c r="A271" s="3"/>
      <c r="B271" s="3"/>
      <c r="C271" s="3"/>
      <c r="D271" s="3"/>
      <c r="E271" s="3"/>
      <c r="F271" s="3"/>
      <c r="H271" s="3"/>
    </row>
    <row r="272" ht="15.75" customHeight="1">
      <c r="A272" s="3"/>
      <c r="B272" s="3"/>
      <c r="C272" s="3"/>
      <c r="D272" s="3"/>
      <c r="E272" s="3"/>
      <c r="F272" s="3"/>
      <c r="H272" s="3"/>
    </row>
    <row r="273" ht="15.75" customHeight="1">
      <c r="A273" s="3"/>
      <c r="B273" s="3"/>
      <c r="C273" s="3"/>
      <c r="D273" s="3"/>
      <c r="E273" s="3"/>
      <c r="F273" s="3"/>
      <c r="H273" s="3"/>
    </row>
    <row r="274" ht="15.75" customHeight="1">
      <c r="A274" s="3"/>
      <c r="B274" s="3"/>
      <c r="C274" s="3"/>
      <c r="D274" s="3"/>
      <c r="E274" s="3"/>
      <c r="F274" s="3"/>
      <c r="H274" s="3"/>
    </row>
    <row r="275" ht="15.75" customHeight="1">
      <c r="A275" s="3"/>
      <c r="B275" s="3"/>
      <c r="C275" s="3"/>
      <c r="D275" s="3"/>
      <c r="E275" s="3"/>
      <c r="F275" s="3"/>
      <c r="H275" s="3"/>
    </row>
    <row r="276" ht="15.75" customHeight="1">
      <c r="A276" s="3"/>
      <c r="B276" s="3"/>
      <c r="C276" s="3"/>
      <c r="D276" s="3"/>
      <c r="E276" s="3"/>
      <c r="F276" s="3"/>
      <c r="H276" s="3"/>
    </row>
    <row r="277" ht="15.75" customHeight="1">
      <c r="A277" s="3"/>
      <c r="B277" s="3"/>
      <c r="C277" s="3"/>
      <c r="D277" s="3"/>
      <c r="E277" s="3"/>
      <c r="F277" s="3"/>
      <c r="H277" s="3"/>
    </row>
    <row r="278" ht="15.75" customHeight="1">
      <c r="A278" s="3"/>
      <c r="B278" s="3"/>
      <c r="C278" s="3"/>
      <c r="D278" s="3"/>
      <c r="E278" s="3"/>
      <c r="F278" s="3"/>
      <c r="H278" s="3"/>
    </row>
    <row r="279" ht="15.75" customHeight="1">
      <c r="A279" s="3"/>
      <c r="B279" s="3"/>
      <c r="C279" s="3"/>
      <c r="D279" s="3"/>
      <c r="E279" s="3"/>
      <c r="F279" s="3"/>
      <c r="H279" s="3"/>
    </row>
    <row r="280" ht="15.75" customHeight="1">
      <c r="A280" s="3"/>
      <c r="B280" s="3"/>
      <c r="C280" s="3"/>
      <c r="D280" s="3"/>
      <c r="E280" s="3"/>
      <c r="F280" s="3"/>
      <c r="H280" s="3"/>
    </row>
    <row r="281" ht="15.75" customHeight="1">
      <c r="A281" s="3"/>
      <c r="B281" s="3"/>
      <c r="C281" s="3"/>
      <c r="D281" s="3"/>
      <c r="E281" s="3"/>
      <c r="F281" s="3"/>
      <c r="H281" s="3"/>
    </row>
    <row r="282" ht="15.75" customHeight="1">
      <c r="A282" s="3"/>
      <c r="B282" s="3"/>
      <c r="C282" s="3"/>
      <c r="D282" s="3"/>
      <c r="E282" s="3"/>
      <c r="F282" s="3"/>
      <c r="H282" s="3"/>
    </row>
    <row r="283" ht="15.75" customHeight="1">
      <c r="A283" s="3"/>
      <c r="B283" s="3"/>
      <c r="C283" s="3"/>
      <c r="D283" s="3"/>
      <c r="E283" s="3"/>
      <c r="F283" s="3"/>
      <c r="H283" s="3"/>
    </row>
    <row r="284" ht="15.75" customHeight="1">
      <c r="A284" s="3"/>
      <c r="B284" s="3"/>
      <c r="C284" s="3"/>
      <c r="D284" s="3"/>
      <c r="E284" s="3"/>
      <c r="F284" s="3"/>
      <c r="H284" s="3"/>
    </row>
    <row r="285" ht="15.75" customHeight="1">
      <c r="A285" s="3"/>
      <c r="B285" s="3"/>
      <c r="C285" s="3"/>
      <c r="D285" s="3"/>
      <c r="E285" s="3"/>
      <c r="F285" s="3"/>
      <c r="H285" s="3"/>
    </row>
    <row r="286" ht="15.75" customHeight="1">
      <c r="A286" s="3"/>
      <c r="B286" s="3"/>
      <c r="C286" s="3"/>
      <c r="D286" s="3"/>
      <c r="E286" s="3"/>
      <c r="F286" s="3"/>
      <c r="H286" s="3"/>
    </row>
    <row r="287" ht="15.75" customHeight="1">
      <c r="A287" s="3"/>
      <c r="B287" s="3"/>
      <c r="C287" s="3"/>
      <c r="D287" s="3"/>
      <c r="E287" s="3"/>
      <c r="F287" s="3"/>
      <c r="H287" s="3"/>
    </row>
    <row r="288" ht="15.75" customHeight="1">
      <c r="A288" s="3"/>
      <c r="B288" s="3"/>
      <c r="C288" s="3"/>
      <c r="D288" s="3"/>
      <c r="E288" s="3"/>
      <c r="F288" s="3"/>
      <c r="H288" s="3"/>
    </row>
    <row r="289" ht="15.75" customHeight="1">
      <c r="A289" s="3"/>
      <c r="B289" s="3"/>
      <c r="C289" s="3"/>
      <c r="D289" s="3"/>
      <c r="E289" s="3"/>
      <c r="F289" s="3"/>
      <c r="H289" s="3"/>
    </row>
    <row r="290" ht="15.75" customHeight="1">
      <c r="A290" s="3"/>
      <c r="B290" s="3"/>
      <c r="C290" s="3"/>
      <c r="D290" s="3"/>
      <c r="E290" s="3"/>
      <c r="F290" s="3"/>
      <c r="H290" s="3"/>
    </row>
    <row r="291" ht="15.75" customHeight="1">
      <c r="A291" s="3"/>
      <c r="B291" s="3"/>
      <c r="C291" s="3"/>
      <c r="D291" s="3"/>
      <c r="E291" s="3"/>
      <c r="F291" s="3"/>
      <c r="H291" s="3"/>
    </row>
    <row r="292" ht="15.75" customHeight="1">
      <c r="A292" s="3"/>
      <c r="B292" s="3"/>
      <c r="C292" s="3"/>
      <c r="D292" s="3"/>
      <c r="E292" s="3"/>
      <c r="F292" s="3"/>
      <c r="H292" s="3"/>
    </row>
    <row r="293" ht="15.75" customHeight="1">
      <c r="A293" s="3"/>
      <c r="B293" s="3"/>
      <c r="C293" s="3"/>
      <c r="D293" s="3"/>
      <c r="E293" s="3"/>
      <c r="F293" s="3"/>
      <c r="H293" s="3"/>
    </row>
    <row r="294" ht="15.75" customHeight="1">
      <c r="A294" s="3"/>
      <c r="B294" s="3"/>
      <c r="C294" s="3"/>
      <c r="D294" s="3"/>
      <c r="E294" s="3"/>
      <c r="F294" s="3"/>
      <c r="H294" s="3"/>
    </row>
    <row r="295" ht="15.75" customHeight="1">
      <c r="A295" s="3"/>
      <c r="B295" s="3"/>
      <c r="C295" s="3"/>
      <c r="D295" s="3"/>
      <c r="E295" s="3"/>
      <c r="F295" s="3"/>
      <c r="H295" s="3"/>
    </row>
    <row r="296" ht="15.75" customHeight="1">
      <c r="A296" s="3"/>
      <c r="B296" s="3"/>
      <c r="C296" s="3"/>
      <c r="D296" s="3"/>
      <c r="E296" s="3"/>
      <c r="F296" s="3"/>
      <c r="H296" s="3"/>
    </row>
    <row r="297" ht="15.75" customHeight="1">
      <c r="A297" s="3"/>
      <c r="B297" s="3"/>
      <c r="C297" s="3"/>
      <c r="D297" s="3"/>
      <c r="E297" s="3"/>
      <c r="F297" s="3"/>
      <c r="H297" s="3"/>
    </row>
    <row r="298" ht="15.75" customHeight="1">
      <c r="A298" s="3"/>
      <c r="B298" s="3"/>
      <c r="C298" s="3"/>
      <c r="D298" s="3"/>
      <c r="E298" s="3"/>
      <c r="F298" s="3"/>
      <c r="H298" s="3"/>
    </row>
    <row r="299" ht="15.75" customHeight="1">
      <c r="A299" s="3"/>
      <c r="B299" s="3"/>
      <c r="C299" s="3"/>
      <c r="D299" s="3"/>
      <c r="E299" s="3"/>
      <c r="F299" s="3"/>
      <c r="H299" s="3"/>
    </row>
    <row r="300" ht="15.75" customHeight="1">
      <c r="A300" s="3"/>
      <c r="B300" s="3"/>
      <c r="C300" s="3"/>
      <c r="D300" s="3"/>
      <c r="E300" s="3"/>
      <c r="F300" s="3"/>
      <c r="H300" s="3"/>
    </row>
    <row r="301" ht="15.75" customHeight="1">
      <c r="A301" s="3"/>
      <c r="B301" s="3"/>
      <c r="C301" s="3"/>
      <c r="D301" s="3"/>
      <c r="E301" s="3"/>
      <c r="F301" s="3"/>
      <c r="H301" s="3"/>
    </row>
    <row r="302" ht="15.75" customHeight="1">
      <c r="A302" s="3"/>
      <c r="B302" s="3"/>
      <c r="C302" s="3"/>
      <c r="D302" s="3"/>
      <c r="E302" s="3"/>
      <c r="F302" s="3"/>
      <c r="H302" s="3"/>
    </row>
    <row r="303" ht="15.75" customHeight="1">
      <c r="A303" s="3"/>
      <c r="B303" s="3"/>
      <c r="C303" s="3"/>
      <c r="D303" s="3"/>
      <c r="E303" s="3"/>
      <c r="F303" s="3"/>
      <c r="H303" s="3"/>
    </row>
    <row r="304" ht="15.75" customHeight="1">
      <c r="A304" s="3"/>
      <c r="B304" s="3"/>
      <c r="C304" s="3"/>
      <c r="D304" s="3"/>
      <c r="E304" s="3"/>
      <c r="F304" s="3"/>
      <c r="H304" s="3"/>
    </row>
    <row r="305" ht="15.75" customHeight="1">
      <c r="A305" s="3"/>
      <c r="B305" s="3"/>
      <c r="C305" s="3"/>
      <c r="D305" s="3"/>
      <c r="E305" s="3"/>
      <c r="F305" s="3"/>
      <c r="H305" s="3"/>
    </row>
    <row r="306" ht="15.75" customHeight="1">
      <c r="A306" s="3"/>
      <c r="B306" s="3"/>
      <c r="C306" s="3"/>
      <c r="D306" s="3"/>
      <c r="E306" s="3"/>
      <c r="F306" s="3"/>
      <c r="H306" s="3"/>
    </row>
    <row r="307" ht="15.75" customHeight="1">
      <c r="A307" s="3"/>
      <c r="B307" s="3"/>
      <c r="C307" s="3"/>
      <c r="D307" s="3"/>
      <c r="E307" s="3"/>
      <c r="F307" s="3"/>
      <c r="H307" s="3"/>
    </row>
    <row r="308" ht="15.75" customHeight="1">
      <c r="A308" s="3"/>
      <c r="B308" s="3"/>
      <c r="C308" s="3"/>
      <c r="D308" s="3"/>
      <c r="E308" s="3"/>
      <c r="F308" s="3"/>
      <c r="H308" s="3"/>
    </row>
    <row r="309" ht="15.75" customHeight="1">
      <c r="A309" s="3"/>
      <c r="B309" s="3"/>
      <c r="C309" s="3"/>
      <c r="D309" s="3"/>
      <c r="E309" s="3"/>
      <c r="F309" s="3"/>
      <c r="H309" s="3"/>
    </row>
    <row r="310" ht="15.75" customHeight="1">
      <c r="A310" s="3"/>
      <c r="B310" s="3"/>
      <c r="C310" s="3"/>
      <c r="D310" s="3"/>
      <c r="E310" s="3"/>
      <c r="F310" s="3"/>
      <c r="H310" s="3"/>
    </row>
    <row r="311" ht="15.75" customHeight="1">
      <c r="A311" s="3"/>
      <c r="B311" s="3"/>
      <c r="C311" s="3"/>
      <c r="D311" s="3"/>
      <c r="E311" s="3"/>
      <c r="F311" s="3"/>
      <c r="H311" s="3"/>
    </row>
    <row r="312" ht="15.75" customHeight="1">
      <c r="A312" s="3"/>
      <c r="B312" s="3"/>
      <c r="C312" s="3"/>
      <c r="D312" s="3"/>
      <c r="E312" s="3"/>
      <c r="F312" s="3"/>
      <c r="H312" s="3"/>
    </row>
    <row r="313" ht="15.75" customHeight="1">
      <c r="A313" s="3"/>
      <c r="B313" s="3"/>
      <c r="C313" s="3"/>
      <c r="D313" s="3"/>
      <c r="E313" s="3"/>
      <c r="F313" s="3"/>
      <c r="H313" s="3"/>
    </row>
    <row r="314" ht="15.75" customHeight="1">
      <c r="A314" s="3"/>
      <c r="B314" s="3"/>
      <c r="C314" s="3"/>
      <c r="D314" s="3"/>
      <c r="E314" s="3"/>
      <c r="F314" s="3"/>
      <c r="H314" s="3"/>
    </row>
    <row r="315" ht="15.75" customHeight="1">
      <c r="A315" s="3"/>
      <c r="B315" s="3"/>
      <c r="C315" s="3"/>
      <c r="D315" s="3"/>
      <c r="E315" s="3"/>
      <c r="F315" s="3"/>
      <c r="H315" s="3"/>
    </row>
    <row r="316" ht="15.75" customHeight="1">
      <c r="A316" s="3"/>
      <c r="B316" s="3"/>
      <c r="C316" s="3"/>
      <c r="D316" s="3"/>
      <c r="E316" s="3"/>
      <c r="F316" s="3"/>
      <c r="H316" s="3"/>
    </row>
    <row r="317" ht="15.75" customHeight="1">
      <c r="A317" s="3"/>
      <c r="B317" s="3"/>
      <c r="C317" s="3"/>
      <c r="D317" s="3"/>
      <c r="E317" s="3"/>
      <c r="F317" s="3"/>
      <c r="H317" s="3"/>
    </row>
    <row r="318" ht="15.75" customHeight="1">
      <c r="A318" s="3"/>
      <c r="B318" s="3"/>
      <c r="C318" s="3"/>
      <c r="D318" s="3"/>
      <c r="E318" s="3"/>
      <c r="F318" s="3"/>
      <c r="H318" s="3"/>
    </row>
    <row r="319" ht="15.75" customHeight="1">
      <c r="A319" s="3"/>
      <c r="B319" s="3"/>
      <c r="C319" s="3"/>
      <c r="D319" s="3"/>
      <c r="E319" s="3"/>
      <c r="F319" s="3"/>
      <c r="H319" s="3"/>
    </row>
    <row r="320" ht="15.75" customHeight="1">
      <c r="A320" s="3"/>
      <c r="B320" s="3"/>
      <c r="C320" s="3"/>
      <c r="D320" s="3"/>
      <c r="E320" s="3"/>
      <c r="F320" s="3"/>
      <c r="H320" s="3"/>
    </row>
    <row r="321" ht="15.75" customHeight="1">
      <c r="A321" s="3"/>
      <c r="B321" s="3"/>
      <c r="C321" s="3"/>
      <c r="D321" s="3"/>
      <c r="E321" s="3"/>
      <c r="F321" s="3"/>
      <c r="H321" s="3"/>
    </row>
    <row r="322" ht="15.75" customHeight="1">
      <c r="A322" s="3"/>
      <c r="B322" s="3"/>
      <c r="C322" s="3"/>
      <c r="D322" s="3"/>
      <c r="E322" s="3"/>
      <c r="F322" s="3"/>
      <c r="H322" s="3"/>
    </row>
    <row r="323" ht="15.75" customHeight="1">
      <c r="A323" s="3"/>
      <c r="B323" s="3"/>
      <c r="C323" s="3"/>
      <c r="D323" s="3"/>
      <c r="E323" s="3"/>
      <c r="F323" s="3"/>
      <c r="H323" s="3"/>
    </row>
    <row r="324" ht="15.75" customHeight="1">
      <c r="A324" s="3"/>
      <c r="B324" s="3"/>
      <c r="C324" s="3"/>
      <c r="D324" s="3"/>
      <c r="E324" s="3"/>
      <c r="F324" s="3"/>
      <c r="H324" s="3"/>
    </row>
    <row r="325" ht="15.75" customHeight="1">
      <c r="A325" s="3"/>
      <c r="B325" s="3"/>
      <c r="C325" s="3"/>
      <c r="D325" s="3"/>
      <c r="E325" s="3"/>
      <c r="F325" s="3"/>
      <c r="H325" s="3"/>
    </row>
    <row r="326" ht="15.75" customHeight="1">
      <c r="A326" s="3"/>
      <c r="B326" s="3"/>
      <c r="C326" s="3"/>
      <c r="D326" s="3"/>
      <c r="E326" s="3"/>
      <c r="F326" s="3"/>
      <c r="H326" s="3"/>
    </row>
    <row r="327" ht="15.75" customHeight="1">
      <c r="A327" s="3"/>
      <c r="B327" s="3"/>
      <c r="C327" s="3"/>
      <c r="D327" s="3"/>
      <c r="E327" s="3"/>
      <c r="F327" s="3"/>
      <c r="H327" s="3"/>
    </row>
    <row r="328" ht="15.75" customHeight="1">
      <c r="A328" s="3"/>
      <c r="B328" s="3"/>
      <c r="C328" s="3"/>
      <c r="D328" s="3"/>
      <c r="E328" s="3"/>
      <c r="F328" s="3"/>
      <c r="H328" s="3"/>
    </row>
    <row r="329" ht="15.75" customHeight="1">
      <c r="A329" s="3"/>
      <c r="B329" s="3"/>
      <c r="C329" s="3"/>
      <c r="D329" s="3"/>
      <c r="E329" s="3"/>
      <c r="F329" s="3"/>
      <c r="H329" s="3"/>
    </row>
    <row r="330" ht="15.75" customHeight="1">
      <c r="A330" s="3"/>
      <c r="B330" s="3"/>
      <c r="C330" s="3"/>
      <c r="D330" s="3"/>
      <c r="E330" s="3"/>
      <c r="F330" s="3"/>
      <c r="H330" s="3"/>
    </row>
    <row r="331" ht="15.75" customHeight="1">
      <c r="A331" s="3"/>
      <c r="B331" s="3"/>
      <c r="C331" s="3"/>
      <c r="D331" s="3"/>
      <c r="E331" s="3"/>
      <c r="F331" s="3"/>
      <c r="H331" s="3"/>
    </row>
    <row r="332" ht="15.75" customHeight="1">
      <c r="A332" s="3"/>
      <c r="B332" s="3"/>
      <c r="C332" s="3"/>
      <c r="D332" s="3"/>
      <c r="E332" s="3"/>
      <c r="F332" s="3"/>
      <c r="H332" s="3"/>
    </row>
    <row r="333" ht="15.75" customHeight="1">
      <c r="A333" s="3"/>
      <c r="B333" s="3"/>
      <c r="C333" s="3"/>
      <c r="D333" s="3"/>
      <c r="E333" s="3"/>
      <c r="F333" s="3"/>
      <c r="H333" s="3"/>
    </row>
    <row r="334" ht="15.75" customHeight="1">
      <c r="A334" s="3"/>
      <c r="B334" s="3"/>
      <c r="C334" s="3"/>
      <c r="D334" s="3"/>
      <c r="E334" s="3"/>
      <c r="F334" s="3"/>
      <c r="H334" s="3"/>
    </row>
    <row r="335" ht="15.75" customHeight="1">
      <c r="A335" s="3"/>
      <c r="B335" s="3"/>
      <c r="C335" s="3"/>
      <c r="D335" s="3"/>
      <c r="E335" s="3"/>
      <c r="F335" s="3"/>
      <c r="H335" s="3"/>
    </row>
    <row r="336" ht="15.75" customHeight="1">
      <c r="A336" s="3"/>
      <c r="B336" s="3"/>
      <c r="C336" s="3"/>
      <c r="D336" s="3"/>
      <c r="E336" s="3"/>
      <c r="F336" s="3"/>
      <c r="H336" s="3"/>
    </row>
    <row r="337" ht="15.75" customHeight="1">
      <c r="A337" s="3"/>
      <c r="B337" s="3"/>
      <c r="C337" s="3"/>
      <c r="D337" s="3"/>
      <c r="E337" s="3"/>
      <c r="F337" s="3"/>
      <c r="H337" s="3"/>
    </row>
    <row r="338" ht="15.75" customHeight="1">
      <c r="A338" s="3"/>
      <c r="B338" s="3"/>
      <c r="C338" s="3"/>
      <c r="D338" s="3"/>
      <c r="E338" s="3"/>
      <c r="F338" s="3"/>
      <c r="H338" s="3"/>
    </row>
    <row r="339" ht="15.75" customHeight="1">
      <c r="A339" s="3"/>
      <c r="B339" s="3"/>
      <c r="C339" s="3"/>
      <c r="D339" s="3"/>
      <c r="E339" s="3"/>
      <c r="F339" s="3"/>
      <c r="H339" s="3"/>
    </row>
    <row r="340" ht="15.75" customHeight="1">
      <c r="A340" s="3"/>
      <c r="B340" s="3"/>
      <c r="C340" s="3"/>
      <c r="D340" s="3"/>
      <c r="E340" s="3"/>
      <c r="F340" s="3"/>
      <c r="H340" s="3"/>
    </row>
    <row r="341" ht="15.75" customHeight="1">
      <c r="A341" s="3"/>
      <c r="B341" s="3"/>
      <c r="C341" s="3"/>
      <c r="D341" s="3"/>
      <c r="E341" s="3"/>
      <c r="F341" s="3"/>
      <c r="H341" s="3"/>
    </row>
    <row r="342" ht="15.75" customHeight="1">
      <c r="A342" s="3"/>
      <c r="B342" s="3"/>
      <c r="C342" s="3"/>
      <c r="D342" s="3"/>
      <c r="E342" s="3"/>
      <c r="F342" s="3"/>
      <c r="H342" s="3"/>
    </row>
    <row r="343" ht="15.75" customHeight="1">
      <c r="A343" s="3"/>
      <c r="B343" s="3"/>
      <c r="C343" s="3"/>
      <c r="D343" s="3"/>
      <c r="E343" s="3"/>
      <c r="F343" s="3"/>
      <c r="H343" s="3"/>
    </row>
    <row r="344" ht="15.75" customHeight="1">
      <c r="A344" s="3"/>
      <c r="B344" s="3"/>
      <c r="C344" s="3"/>
      <c r="D344" s="3"/>
      <c r="E344" s="3"/>
      <c r="F344" s="3"/>
      <c r="H344" s="3"/>
    </row>
    <row r="345" ht="15.75" customHeight="1">
      <c r="A345" s="3"/>
      <c r="B345" s="3"/>
      <c r="C345" s="3"/>
      <c r="D345" s="3"/>
      <c r="E345" s="3"/>
      <c r="F345" s="3"/>
      <c r="H345" s="3"/>
    </row>
    <row r="346" ht="15.75" customHeight="1">
      <c r="A346" s="3"/>
      <c r="B346" s="3"/>
      <c r="C346" s="3"/>
      <c r="D346" s="3"/>
      <c r="E346" s="3"/>
      <c r="F346" s="3"/>
      <c r="H346" s="3"/>
    </row>
    <row r="347" ht="15.75" customHeight="1">
      <c r="A347" s="3"/>
      <c r="B347" s="3"/>
      <c r="C347" s="3"/>
      <c r="D347" s="3"/>
      <c r="E347" s="3"/>
      <c r="F347" s="3"/>
      <c r="H347" s="3"/>
    </row>
    <row r="348" ht="15.75" customHeight="1">
      <c r="A348" s="3"/>
      <c r="B348" s="3"/>
      <c r="C348" s="3"/>
      <c r="D348" s="3"/>
      <c r="E348" s="3"/>
      <c r="F348" s="3"/>
      <c r="H348" s="3"/>
    </row>
    <row r="349" ht="15.75" customHeight="1">
      <c r="A349" s="3"/>
      <c r="B349" s="3"/>
      <c r="C349" s="3"/>
      <c r="D349" s="3"/>
      <c r="E349" s="3"/>
      <c r="F349" s="3"/>
      <c r="H349" s="3"/>
    </row>
    <row r="350" ht="15.75" customHeight="1">
      <c r="A350" s="3"/>
      <c r="B350" s="3"/>
      <c r="C350" s="3"/>
      <c r="D350" s="3"/>
      <c r="E350" s="3"/>
      <c r="F350" s="3"/>
      <c r="H350" s="3"/>
    </row>
    <row r="351" ht="15.75" customHeight="1">
      <c r="A351" s="3"/>
      <c r="B351" s="3"/>
      <c r="C351" s="3"/>
      <c r="D351" s="3"/>
      <c r="E351" s="3"/>
      <c r="F351" s="3"/>
      <c r="H351" s="3"/>
    </row>
    <row r="352" ht="15.75" customHeight="1">
      <c r="A352" s="3"/>
      <c r="B352" s="3"/>
      <c r="C352" s="3"/>
      <c r="D352" s="3"/>
      <c r="E352" s="3"/>
      <c r="F352" s="3"/>
      <c r="H352" s="3"/>
    </row>
    <row r="353" ht="15.75" customHeight="1">
      <c r="A353" s="3"/>
      <c r="B353" s="3"/>
      <c r="C353" s="3"/>
      <c r="D353" s="3"/>
      <c r="E353" s="3"/>
      <c r="F353" s="3"/>
      <c r="H353" s="3"/>
    </row>
    <row r="354" ht="15.75" customHeight="1">
      <c r="A354" s="3"/>
      <c r="B354" s="3"/>
      <c r="C354" s="3"/>
      <c r="D354" s="3"/>
      <c r="E354" s="3"/>
      <c r="F354" s="3"/>
      <c r="H354" s="3"/>
    </row>
    <row r="355" ht="15.75" customHeight="1">
      <c r="A355" s="3"/>
      <c r="B355" s="3"/>
      <c r="C355" s="3"/>
      <c r="D355" s="3"/>
      <c r="E355" s="3"/>
      <c r="F355" s="3"/>
      <c r="H355" s="3"/>
    </row>
    <row r="356" ht="15.75" customHeight="1">
      <c r="A356" s="3"/>
      <c r="B356" s="3"/>
      <c r="C356" s="3"/>
      <c r="D356" s="3"/>
      <c r="E356" s="3"/>
      <c r="F356" s="3"/>
      <c r="H356" s="3"/>
    </row>
    <row r="357" ht="15.75" customHeight="1">
      <c r="A357" s="3"/>
      <c r="B357" s="3"/>
      <c r="C357" s="3"/>
      <c r="D357" s="3"/>
      <c r="E357" s="3"/>
      <c r="F357" s="3"/>
      <c r="H357" s="3"/>
    </row>
    <row r="358" ht="15.75" customHeight="1">
      <c r="A358" s="3"/>
      <c r="B358" s="3"/>
      <c r="C358" s="3"/>
      <c r="D358" s="3"/>
      <c r="E358" s="3"/>
      <c r="F358" s="3"/>
      <c r="H358" s="3"/>
    </row>
    <row r="359" ht="15.75" customHeight="1">
      <c r="A359" s="3"/>
      <c r="B359" s="3"/>
      <c r="C359" s="3"/>
      <c r="D359" s="3"/>
      <c r="E359" s="3"/>
      <c r="F359" s="3"/>
      <c r="H359" s="3"/>
    </row>
    <row r="360" ht="15.75" customHeight="1">
      <c r="A360" s="3"/>
      <c r="B360" s="3"/>
      <c r="C360" s="3"/>
      <c r="D360" s="3"/>
      <c r="E360" s="3"/>
      <c r="F360" s="3"/>
      <c r="H360" s="3"/>
    </row>
    <row r="361" ht="15.75" customHeight="1">
      <c r="A361" s="3"/>
      <c r="B361" s="3"/>
      <c r="C361" s="3"/>
      <c r="D361" s="3"/>
      <c r="E361" s="3"/>
      <c r="F361" s="3"/>
      <c r="H361" s="3"/>
    </row>
    <row r="362" ht="15.75" customHeight="1">
      <c r="A362" s="3"/>
      <c r="B362" s="3"/>
      <c r="C362" s="3"/>
      <c r="D362" s="3"/>
      <c r="E362" s="3"/>
      <c r="F362" s="3"/>
      <c r="H362" s="3"/>
    </row>
    <row r="363" ht="15.75" customHeight="1">
      <c r="A363" s="3"/>
      <c r="B363" s="3"/>
      <c r="C363" s="3"/>
      <c r="D363" s="3"/>
      <c r="E363" s="3"/>
      <c r="F363" s="3"/>
      <c r="H363" s="3"/>
    </row>
    <row r="364" ht="15.75" customHeight="1">
      <c r="A364" s="3"/>
      <c r="B364" s="3"/>
      <c r="C364" s="3"/>
      <c r="D364" s="3"/>
      <c r="E364" s="3"/>
      <c r="F364" s="3"/>
      <c r="H364" s="3"/>
    </row>
    <row r="365" ht="15.75" customHeight="1">
      <c r="A365" s="3"/>
      <c r="B365" s="3"/>
      <c r="C365" s="3"/>
      <c r="D365" s="3"/>
      <c r="E365" s="3"/>
      <c r="F365" s="3"/>
      <c r="H365" s="3"/>
    </row>
    <row r="366" ht="15.75" customHeight="1">
      <c r="A366" s="3"/>
      <c r="B366" s="3"/>
      <c r="C366" s="3"/>
      <c r="D366" s="3"/>
      <c r="E366" s="3"/>
      <c r="F366" s="3"/>
      <c r="H366" s="3"/>
    </row>
    <row r="367" ht="15.75" customHeight="1">
      <c r="A367" s="3"/>
      <c r="B367" s="3"/>
      <c r="C367" s="3"/>
      <c r="D367" s="3"/>
      <c r="E367" s="3"/>
      <c r="F367" s="3"/>
      <c r="H367" s="3"/>
    </row>
    <row r="368" ht="15.75" customHeight="1">
      <c r="A368" s="3"/>
      <c r="B368" s="3"/>
      <c r="C368" s="3"/>
      <c r="D368" s="3"/>
      <c r="E368" s="3"/>
      <c r="F368" s="3"/>
      <c r="H368" s="3"/>
    </row>
    <row r="369" ht="15.75" customHeight="1">
      <c r="A369" s="3"/>
      <c r="B369" s="3"/>
      <c r="C369" s="3"/>
      <c r="D369" s="3"/>
      <c r="E369" s="3"/>
      <c r="F369" s="3"/>
      <c r="H369" s="3"/>
    </row>
    <row r="370" ht="15.75" customHeight="1">
      <c r="A370" s="3"/>
      <c r="B370" s="3"/>
      <c r="C370" s="3"/>
      <c r="D370" s="3"/>
      <c r="E370" s="3"/>
      <c r="F370" s="3"/>
      <c r="H370" s="3"/>
    </row>
    <row r="371" ht="15.75" customHeight="1">
      <c r="A371" s="3"/>
      <c r="B371" s="3"/>
      <c r="C371" s="3"/>
      <c r="D371" s="3"/>
      <c r="E371" s="3"/>
      <c r="F371" s="3"/>
      <c r="H371" s="3"/>
    </row>
    <row r="372" ht="15.75" customHeight="1">
      <c r="A372" s="3"/>
      <c r="B372" s="3"/>
      <c r="C372" s="3"/>
      <c r="D372" s="3"/>
      <c r="E372" s="3"/>
      <c r="F372" s="3"/>
      <c r="H372" s="3"/>
    </row>
    <row r="373" ht="15.75" customHeight="1">
      <c r="A373" s="3"/>
      <c r="B373" s="3"/>
      <c r="C373" s="3"/>
      <c r="D373" s="3"/>
      <c r="E373" s="3"/>
      <c r="F373" s="3"/>
      <c r="H373" s="3"/>
    </row>
    <row r="374" ht="15.75" customHeight="1">
      <c r="A374" s="3"/>
      <c r="B374" s="3"/>
      <c r="C374" s="3"/>
      <c r="D374" s="3"/>
      <c r="E374" s="3"/>
      <c r="F374" s="3"/>
      <c r="H374" s="3"/>
    </row>
    <row r="375" ht="15.75" customHeight="1">
      <c r="A375" s="3"/>
      <c r="B375" s="3"/>
      <c r="C375" s="3"/>
      <c r="D375" s="3"/>
      <c r="E375" s="3"/>
      <c r="F375" s="3"/>
      <c r="H375" s="3"/>
    </row>
    <row r="376" ht="15.75" customHeight="1">
      <c r="A376" s="3"/>
      <c r="B376" s="3"/>
      <c r="C376" s="3"/>
      <c r="D376" s="3"/>
      <c r="E376" s="3"/>
      <c r="F376" s="3"/>
      <c r="H376" s="3"/>
    </row>
    <row r="377" ht="15.75" customHeight="1">
      <c r="A377" s="3"/>
      <c r="B377" s="3"/>
      <c r="C377" s="3"/>
      <c r="D377" s="3"/>
      <c r="E377" s="3"/>
      <c r="F377" s="3"/>
      <c r="H377" s="3"/>
    </row>
    <row r="378" ht="15.75" customHeight="1">
      <c r="A378" s="3"/>
      <c r="B378" s="3"/>
      <c r="C378" s="3"/>
      <c r="D378" s="3"/>
      <c r="E378" s="3"/>
      <c r="F378" s="3"/>
      <c r="H378" s="3"/>
    </row>
    <row r="379" ht="15.75" customHeight="1">
      <c r="A379" s="3"/>
      <c r="B379" s="3"/>
      <c r="C379" s="3"/>
      <c r="D379" s="3"/>
      <c r="E379" s="3"/>
      <c r="F379" s="3"/>
      <c r="H379" s="3"/>
    </row>
    <row r="380" ht="15.75" customHeight="1">
      <c r="A380" s="3"/>
      <c r="B380" s="3"/>
      <c r="C380" s="3"/>
      <c r="D380" s="3"/>
      <c r="E380" s="3"/>
      <c r="F380" s="3"/>
      <c r="H380" s="3"/>
    </row>
    <row r="381" ht="15.75" customHeight="1">
      <c r="A381" s="3"/>
      <c r="B381" s="3"/>
      <c r="C381" s="3"/>
      <c r="D381" s="3"/>
      <c r="E381" s="3"/>
      <c r="F381" s="3"/>
      <c r="H381" s="3"/>
    </row>
    <row r="382" ht="15.75" customHeight="1">
      <c r="A382" s="3"/>
      <c r="B382" s="3"/>
      <c r="C382" s="3"/>
      <c r="D382" s="3"/>
      <c r="E382" s="3"/>
      <c r="F382" s="3"/>
      <c r="H382" s="3"/>
    </row>
    <row r="383" ht="15.75" customHeight="1">
      <c r="A383" s="3"/>
      <c r="B383" s="3"/>
      <c r="C383" s="3"/>
      <c r="D383" s="3"/>
      <c r="E383" s="3"/>
      <c r="F383" s="3"/>
      <c r="H383" s="3"/>
    </row>
    <row r="384" ht="15.75" customHeight="1">
      <c r="A384" s="3"/>
      <c r="B384" s="3"/>
      <c r="C384" s="3"/>
      <c r="D384" s="3"/>
      <c r="E384" s="3"/>
      <c r="F384" s="3"/>
      <c r="H384" s="3"/>
    </row>
    <row r="385" ht="15.75" customHeight="1">
      <c r="A385" s="3"/>
      <c r="B385" s="3"/>
      <c r="C385" s="3"/>
      <c r="D385" s="3"/>
      <c r="E385" s="3"/>
      <c r="F385" s="3"/>
      <c r="H385" s="3"/>
    </row>
    <row r="386" ht="15.75" customHeight="1">
      <c r="A386" s="3"/>
      <c r="B386" s="3"/>
      <c r="C386" s="3"/>
      <c r="D386" s="3"/>
      <c r="E386" s="3"/>
      <c r="F386" s="3"/>
      <c r="H386" s="3"/>
    </row>
    <row r="387" ht="15.75" customHeight="1">
      <c r="A387" s="3"/>
      <c r="B387" s="3"/>
      <c r="C387" s="3"/>
      <c r="D387" s="3"/>
      <c r="E387" s="3"/>
      <c r="F387" s="3"/>
      <c r="H387" s="3"/>
    </row>
    <row r="388" ht="15.75" customHeight="1">
      <c r="A388" s="3"/>
      <c r="B388" s="3"/>
      <c r="C388" s="3"/>
      <c r="D388" s="3"/>
      <c r="E388" s="3"/>
      <c r="F388" s="3"/>
      <c r="H388" s="3"/>
    </row>
    <row r="389" ht="15.75" customHeight="1">
      <c r="A389" s="3"/>
      <c r="B389" s="3"/>
      <c r="C389" s="3"/>
      <c r="D389" s="3"/>
      <c r="E389" s="3"/>
      <c r="F389" s="3"/>
      <c r="H389" s="3"/>
    </row>
    <row r="390" ht="15.75" customHeight="1">
      <c r="A390" s="3"/>
      <c r="B390" s="3"/>
      <c r="C390" s="3"/>
      <c r="D390" s="3"/>
      <c r="E390" s="3"/>
      <c r="F390" s="3"/>
      <c r="H390" s="3"/>
    </row>
    <row r="391" ht="15.75" customHeight="1">
      <c r="A391" s="3"/>
      <c r="B391" s="3"/>
      <c r="C391" s="3"/>
      <c r="D391" s="3"/>
      <c r="E391" s="3"/>
      <c r="F391" s="3"/>
      <c r="H391" s="3"/>
    </row>
    <row r="392" ht="15.75" customHeight="1">
      <c r="A392" s="3"/>
      <c r="B392" s="3"/>
      <c r="C392" s="3"/>
      <c r="D392" s="3"/>
      <c r="E392" s="3"/>
      <c r="F392" s="3"/>
      <c r="H392" s="3"/>
    </row>
    <row r="393" ht="15.75" customHeight="1">
      <c r="A393" s="3"/>
      <c r="B393" s="3"/>
      <c r="C393" s="3"/>
      <c r="D393" s="3"/>
      <c r="E393" s="3"/>
      <c r="F393" s="3"/>
      <c r="H393" s="3"/>
    </row>
    <row r="394" ht="15.75" customHeight="1">
      <c r="A394" s="3"/>
      <c r="B394" s="3"/>
      <c r="C394" s="3"/>
      <c r="D394" s="3"/>
      <c r="E394" s="3"/>
      <c r="F394" s="3"/>
      <c r="H394" s="3"/>
    </row>
    <row r="395" ht="15.75" customHeight="1">
      <c r="A395" s="3"/>
      <c r="B395" s="3"/>
      <c r="C395" s="3"/>
      <c r="D395" s="3"/>
      <c r="E395" s="3"/>
      <c r="F395" s="3"/>
      <c r="H395" s="3"/>
    </row>
    <row r="396" ht="15.75" customHeight="1">
      <c r="A396" s="3"/>
      <c r="B396" s="3"/>
      <c r="C396" s="3"/>
      <c r="D396" s="3"/>
      <c r="E396" s="3"/>
      <c r="F396" s="3"/>
      <c r="H396" s="3"/>
    </row>
    <row r="397" ht="15.75" customHeight="1">
      <c r="A397" s="3"/>
      <c r="B397" s="3"/>
      <c r="C397" s="3"/>
      <c r="D397" s="3"/>
      <c r="E397" s="3"/>
      <c r="F397" s="3"/>
      <c r="H397" s="3"/>
    </row>
    <row r="398" ht="15.75" customHeight="1">
      <c r="A398" s="3"/>
      <c r="B398" s="3"/>
      <c r="C398" s="3"/>
      <c r="D398" s="3"/>
      <c r="E398" s="3"/>
      <c r="F398" s="3"/>
      <c r="H398" s="3"/>
    </row>
    <row r="399" ht="15.75" customHeight="1">
      <c r="A399" s="3"/>
      <c r="B399" s="3"/>
      <c r="C399" s="3"/>
      <c r="D399" s="3"/>
      <c r="E399" s="3"/>
      <c r="F399" s="3"/>
      <c r="H399" s="3"/>
    </row>
    <row r="400" ht="15.75" customHeight="1">
      <c r="A400" s="3"/>
      <c r="B400" s="3"/>
      <c r="C400" s="3"/>
      <c r="D400" s="3"/>
      <c r="E400" s="3"/>
      <c r="F400" s="3"/>
      <c r="H400" s="3"/>
    </row>
    <row r="401" ht="15.75" customHeight="1">
      <c r="A401" s="3"/>
      <c r="B401" s="3"/>
      <c r="C401" s="3"/>
      <c r="D401" s="3"/>
      <c r="E401" s="3"/>
      <c r="F401" s="3"/>
      <c r="H401" s="3"/>
    </row>
    <row r="402" ht="15.75" customHeight="1">
      <c r="A402" s="3"/>
      <c r="B402" s="3"/>
      <c r="C402" s="3"/>
      <c r="D402" s="3"/>
      <c r="E402" s="3"/>
      <c r="F402" s="3"/>
      <c r="H402" s="3"/>
    </row>
    <row r="403" ht="15.75" customHeight="1">
      <c r="A403" s="3"/>
      <c r="B403" s="3"/>
      <c r="C403" s="3"/>
      <c r="D403" s="3"/>
      <c r="E403" s="3"/>
      <c r="F403" s="3"/>
      <c r="H403" s="3"/>
    </row>
    <row r="404" ht="15.75" customHeight="1">
      <c r="A404" s="3"/>
      <c r="B404" s="3"/>
      <c r="C404" s="3"/>
      <c r="D404" s="3"/>
      <c r="E404" s="3"/>
      <c r="F404" s="3"/>
      <c r="H404" s="3"/>
    </row>
    <row r="405" ht="15.75" customHeight="1">
      <c r="A405" s="3"/>
      <c r="B405" s="3"/>
      <c r="C405" s="3"/>
      <c r="D405" s="3"/>
      <c r="E405" s="3"/>
      <c r="F405" s="3"/>
      <c r="H405" s="3"/>
    </row>
    <row r="406" ht="15.75" customHeight="1">
      <c r="A406" s="3"/>
      <c r="B406" s="3"/>
      <c r="C406" s="3"/>
      <c r="D406" s="3"/>
      <c r="E406" s="3"/>
      <c r="F406" s="3"/>
      <c r="H406" s="3"/>
    </row>
    <row r="407" ht="15.75" customHeight="1">
      <c r="A407" s="3"/>
      <c r="B407" s="3"/>
      <c r="C407" s="3"/>
      <c r="D407" s="3"/>
      <c r="E407" s="3"/>
      <c r="F407" s="3"/>
      <c r="H407" s="3"/>
    </row>
    <row r="408" ht="15.75" customHeight="1">
      <c r="A408" s="3"/>
      <c r="B408" s="3"/>
      <c r="C408" s="3"/>
      <c r="D408" s="3"/>
      <c r="E408" s="3"/>
      <c r="F408" s="3"/>
      <c r="H408" s="3"/>
    </row>
    <row r="409" ht="15.75" customHeight="1">
      <c r="A409" s="3"/>
      <c r="B409" s="3"/>
      <c r="C409" s="3"/>
      <c r="D409" s="3"/>
      <c r="E409" s="3"/>
      <c r="F409" s="3"/>
      <c r="H409" s="3"/>
    </row>
    <row r="410" ht="15.75" customHeight="1">
      <c r="A410" s="3"/>
      <c r="B410" s="3"/>
      <c r="C410" s="3"/>
      <c r="D410" s="3"/>
      <c r="E410" s="3"/>
      <c r="F410" s="3"/>
      <c r="H410" s="3"/>
    </row>
    <row r="411" ht="15.75" customHeight="1">
      <c r="A411" s="3"/>
      <c r="B411" s="3"/>
      <c r="C411" s="3"/>
      <c r="D411" s="3"/>
      <c r="E411" s="3"/>
      <c r="F411" s="3"/>
      <c r="H411" s="3"/>
    </row>
    <row r="412" ht="15.75" customHeight="1">
      <c r="A412" s="3"/>
      <c r="B412" s="3"/>
      <c r="C412" s="3"/>
      <c r="D412" s="3"/>
      <c r="E412" s="3"/>
      <c r="F412" s="3"/>
      <c r="H412" s="3"/>
    </row>
    <row r="413" ht="15.75" customHeight="1">
      <c r="A413" s="3"/>
      <c r="B413" s="3"/>
      <c r="C413" s="3"/>
      <c r="D413" s="3"/>
      <c r="E413" s="3"/>
      <c r="F413" s="3"/>
      <c r="H413" s="3"/>
    </row>
    <row r="414" ht="15.75" customHeight="1">
      <c r="A414" s="3"/>
      <c r="B414" s="3"/>
      <c r="C414" s="3"/>
      <c r="D414" s="3"/>
      <c r="E414" s="3"/>
      <c r="F414" s="3"/>
      <c r="H414" s="3"/>
    </row>
    <row r="415" ht="15.75" customHeight="1">
      <c r="A415" s="3"/>
      <c r="B415" s="3"/>
      <c r="C415" s="3"/>
      <c r="D415" s="3"/>
      <c r="E415" s="3"/>
      <c r="F415" s="3"/>
      <c r="H415" s="3"/>
    </row>
    <row r="416" ht="15.75" customHeight="1">
      <c r="A416" s="3"/>
      <c r="B416" s="3"/>
      <c r="C416" s="3"/>
      <c r="D416" s="3"/>
      <c r="E416" s="3"/>
      <c r="F416" s="3"/>
      <c r="H416" s="3"/>
    </row>
    <row r="417" ht="15.75" customHeight="1">
      <c r="A417" s="3"/>
      <c r="B417" s="3"/>
      <c r="C417" s="3"/>
      <c r="D417" s="3"/>
      <c r="E417" s="3"/>
      <c r="F417" s="3"/>
      <c r="H417" s="3"/>
    </row>
    <row r="418" ht="15.75" customHeight="1">
      <c r="A418" s="3"/>
      <c r="B418" s="3"/>
      <c r="C418" s="3"/>
      <c r="D418" s="3"/>
      <c r="E418" s="3"/>
      <c r="F418" s="3"/>
      <c r="H418" s="3"/>
    </row>
    <row r="419" ht="15.75" customHeight="1">
      <c r="A419" s="3"/>
      <c r="B419" s="3"/>
      <c r="C419" s="3"/>
      <c r="D419" s="3"/>
      <c r="E419" s="3"/>
      <c r="F419" s="3"/>
      <c r="H419" s="3"/>
    </row>
    <row r="420" ht="15.75" customHeight="1">
      <c r="A420" s="3"/>
      <c r="B420" s="3"/>
      <c r="C420" s="3"/>
      <c r="D420" s="3"/>
      <c r="E420" s="3"/>
      <c r="F420" s="3"/>
      <c r="H420" s="3"/>
    </row>
    <row r="421" ht="15.75" customHeight="1">
      <c r="A421" s="3"/>
      <c r="B421" s="3"/>
      <c r="C421" s="3"/>
      <c r="D421" s="3"/>
      <c r="E421" s="3"/>
      <c r="F421" s="3"/>
      <c r="H421" s="3"/>
    </row>
    <row r="422" ht="15.75" customHeight="1">
      <c r="A422" s="3"/>
      <c r="B422" s="3"/>
      <c r="C422" s="3"/>
      <c r="D422" s="3"/>
      <c r="E422" s="3"/>
      <c r="F422" s="3"/>
      <c r="H422" s="3"/>
    </row>
    <row r="423" ht="15.75" customHeight="1">
      <c r="A423" s="3"/>
      <c r="B423" s="3"/>
      <c r="C423" s="3"/>
      <c r="D423" s="3"/>
      <c r="E423" s="3"/>
      <c r="F423" s="3"/>
      <c r="H423" s="3"/>
    </row>
    <row r="424" ht="15.75" customHeight="1">
      <c r="A424" s="3"/>
      <c r="B424" s="3"/>
      <c r="C424" s="3"/>
      <c r="D424" s="3"/>
      <c r="E424" s="3"/>
      <c r="F424" s="3"/>
      <c r="H424" s="3"/>
    </row>
    <row r="425" ht="15.75" customHeight="1">
      <c r="A425" s="3"/>
      <c r="B425" s="3"/>
      <c r="C425" s="3"/>
      <c r="D425" s="3"/>
      <c r="E425" s="3"/>
      <c r="F425" s="3"/>
      <c r="H425" s="3"/>
    </row>
    <row r="426" ht="15.75" customHeight="1">
      <c r="A426" s="3"/>
      <c r="B426" s="3"/>
      <c r="C426" s="3"/>
      <c r="D426" s="3"/>
      <c r="E426" s="3"/>
      <c r="F426" s="3"/>
      <c r="H426" s="3"/>
    </row>
    <row r="427" ht="15.75" customHeight="1">
      <c r="A427" s="3"/>
      <c r="B427" s="3"/>
      <c r="C427" s="3"/>
      <c r="D427" s="3"/>
      <c r="E427" s="3"/>
      <c r="F427" s="3"/>
      <c r="H427" s="3"/>
    </row>
    <row r="428" ht="15.75" customHeight="1">
      <c r="A428" s="3"/>
      <c r="B428" s="3"/>
      <c r="C428" s="3"/>
      <c r="D428" s="3"/>
      <c r="E428" s="3"/>
      <c r="F428" s="3"/>
      <c r="H428" s="3"/>
    </row>
    <row r="429" ht="15.75" customHeight="1">
      <c r="A429" s="3"/>
      <c r="B429" s="3"/>
      <c r="C429" s="3"/>
      <c r="D429" s="3"/>
      <c r="E429" s="3"/>
      <c r="F429" s="3"/>
      <c r="H429" s="3"/>
    </row>
    <row r="430" ht="15.75" customHeight="1">
      <c r="A430" s="3"/>
      <c r="B430" s="3"/>
      <c r="C430" s="3"/>
      <c r="D430" s="3"/>
      <c r="E430" s="3"/>
      <c r="F430" s="3"/>
      <c r="H430" s="3"/>
    </row>
    <row r="431" ht="15.75" customHeight="1">
      <c r="A431" s="3"/>
      <c r="B431" s="3"/>
      <c r="C431" s="3"/>
      <c r="D431" s="3"/>
      <c r="E431" s="3"/>
      <c r="F431" s="3"/>
      <c r="H431" s="3"/>
    </row>
    <row r="432" ht="15.75" customHeight="1">
      <c r="A432" s="3"/>
      <c r="B432" s="3"/>
      <c r="C432" s="3"/>
      <c r="D432" s="3"/>
      <c r="E432" s="3"/>
      <c r="F432" s="3"/>
      <c r="H432" s="3"/>
    </row>
    <row r="433" ht="15.75" customHeight="1">
      <c r="A433" s="3"/>
      <c r="B433" s="3"/>
      <c r="C433" s="3"/>
      <c r="D433" s="3"/>
      <c r="E433" s="3"/>
      <c r="F433" s="3"/>
      <c r="H433" s="3"/>
    </row>
    <row r="434" ht="15.75" customHeight="1">
      <c r="A434" s="3"/>
      <c r="B434" s="3"/>
      <c r="C434" s="3"/>
      <c r="D434" s="3"/>
      <c r="E434" s="3"/>
      <c r="F434" s="3"/>
      <c r="H434" s="3"/>
    </row>
    <row r="435" ht="15.75" customHeight="1">
      <c r="A435" s="3"/>
      <c r="B435" s="3"/>
      <c r="C435" s="3"/>
      <c r="D435" s="3"/>
      <c r="E435" s="3"/>
      <c r="F435" s="3"/>
      <c r="H435" s="3"/>
    </row>
    <row r="436" ht="15.75" customHeight="1">
      <c r="A436" s="3"/>
      <c r="B436" s="3"/>
      <c r="C436" s="3"/>
      <c r="D436" s="3"/>
      <c r="E436" s="3"/>
      <c r="F436" s="3"/>
      <c r="H436" s="3"/>
    </row>
    <row r="437" ht="15.75" customHeight="1">
      <c r="A437" s="3"/>
      <c r="B437" s="3"/>
      <c r="C437" s="3"/>
      <c r="D437" s="3"/>
      <c r="E437" s="3"/>
      <c r="F437" s="3"/>
      <c r="H437" s="3"/>
    </row>
    <row r="438" ht="15.75" customHeight="1">
      <c r="A438" s="3"/>
      <c r="B438" s="3"/>
      <c r="C438" s="3"/>
      <c r="D438" s="3"/>
      <c r="E438" s="3"/>
      <c r="F438" s="3"/>
      <c r="H438" s="3"/>
    </row>
    <row r="439" ht="15.75" customHeight="1">
      <c r="A439" s="3"/>
      <c r="B439" s="3"/>
      <c r="C439" s="3"/>
      <c r="D439" s="3"/>
      <c r="E439" s="3"/>
      <c r="F439" s="3"/>
      <c r="H439" s="3"/>
    </row>
    <row r="440" ht="15.75" customHeight="1">
      <c r="A440" s="3"/>
      <c r="B440" s="3"/>
      <c r="C440" s="3"/>
      <c r="D440" s="3"/>
      <c r="E440" s="3"/>
      <c r="F440" s="3"/>
      <c r="H440" s="3"/>
    </row>
    <row r="441" ht="15.75" customHeight="1">
      <c r="A441" s="3"/>
      <c r="B441" s="3"/>
      <c r="C441" s="3"/>
      <c r="D441" s="3"/>
      <c r="E441" s="3"/>
      <c r="F441" s="3"/>
      <c r="H441" s="3"/>
    </row>
    <row r="442" ht="15.75" customHeight="1">
      <c r="A442" s="3"/>
      <c r="B442" s="3"/>
      <c r="C442" s="3"/>
      <c r="D442" s="3"/>
      <c r="E442" s="3"/>
      <c r="F442" s="3"/>
      <c r="H442" s="3"/>
    </row>
    <row r="443" ht="15.75" customHeight="1">
      <c r="A443" s="3"/>
      <c r="B443" s="3"/>
      <c r="C443" s="3"/>
      <c r="D443" s="3"/>
      <c r="E443" s="3"/>
      <c r="F443" s="3"/>
      <c r="H443" s="3"/>
    </row>
    <row r="444" ht="15.75" customHeight="1">
      <c r="A444" s="3"/>
      <c r="B444" s="3"/>
      <c r="C444" s="3"/>
      <c r="D444" s="3"/>
      <c r="E444" s="3"/>
      <c r="F444" s="3"/>
      <c r="H444" s="3"/>
    </row>
    <row r="445" ht="15.75" customHeight="1">
      <c r="A445" s="3"/>
      <c r="B445" s="3"/>
      <c r="C445" s="3"/>
      <c r="D445" s="3"/>
      <c r="E445" s="3"/>
      <c r="F445" s="3"/>
      <c r="H445" s="3"/>
    </row>
    <row r="446" ht="15.75" customHeight="1">
      <c r="A446" s="3"/>
      <c r="B446" s="3"/>
      <c r="C446" s="3"/>
      <c r="D446" s="3"/>
      <c r="E446" s="3"/>
      <c r="F446" s="3"/>
      <c r="H446" s="3"/>
    </row>
    <row r="447" ht="15.75" customHeight="1">
      <c r="A447" s="3"/>
      <c r="B447" s="3"/>
      <c r="C447" s="3"/>
      <c r="D447" s="3"/>
      <c r="E447" s="3"/>
      <c r="F447" s="3"/>
      <c r="H447" s="3"/>
    </row>
    <row r="448" ht="15.75" customHeight="1">
      <c r="A448" s="3"/>
      <c r="B448" s="3"/>
      <c r="C448" s="3"/>
      <c r="D448" s="3"/>
      <c r="E448" s="3"/>
      <c r="F448" s="3"/>
      <c r="H448" s="3"/>
    </row>
    <row r="449" ht="15.75" customHeight="1">
      <c r="A449" s="3"/>
      <c r="B449" s="3"/>
      <c r="C449" s="3"/>
      <c r="D449" s="3"/>
      <c r="E449" s="3"/>
      <c r="F449" s="3"/>
      <c r="H449" s="3"/>
    </row>
    <row r="450" ht="15.75" customHeight="1">
      <c r="A450" s="3"/>
      <c r="B450" s="3"/>
      <c r="C450" s="3"/>
      <c r="D450" s="3"/>
      <c r="E450" s="3"/>
      <c r="F450" s="3"/>
      <c r="H450" s="3"/>
    </row>
    <row r="451" ht="15.75" customHeight="1">
      <c r="A451" s="3"/>
      <c r="B451" s="3"/>
      <c r="C451" s="3"/>
      <c r="D451" s="3"/>
      <c r="E451" s="3"/>
      <c r="F451" s="3"/>
      <c r="H451" s="3"/>
    </row>
    <row r="452" ht="15.75" customHeight="1">
      <c r="A452" s="3"/>
      <c r="B452" s="3"/>
      <c r="C452" s="3"/>
      <c r="D452" s="3"/>
      <c r="E452" s="3"/>
      <c r="F452" s="3"/>
      <c r="H452" s="3"/>
    </row>
    <row r="453" ht="15.75" customHeight="1">
      <c r="A453" s="3"/>
      <c r="B453" s="3"/>
      <c r="C453" s="3"/>
      <c r="D453" s="3"/>
      <c r="E453" s="3"/>
      <c r="F453" s="3"/>
      <c r="H453" s="3"/>
    </row>
    <row r="454" ht="15.75" customHeight="1">
      <c r="A454" s="3"/>
      <c r="B454" s="3"/>
      <c r="C454" s="3"/>
      <c r="D454" s="3"/>
      <c r="E454" s="3"/>
      <c r="F454" s="3"/>
      <c r="H454" s="3"/>
    </row>
    <row r="455" ht="15.75" customHeight="1">
      <c r="A455" s="3"/>
      <c r="B455" s="3"/>
      <c r="C455" s="3"/>
      <c r="D455" s="3"/>
      <c r="E455" s="3"/>
      <c r="F455" s="3"/>
      <c r="H455" s="3"/>
    </row>
    <row r="456" ht="15.75" customHeight="1">
      <c r="A456" s="3"/>
      <c r="B456" s="3"/>
      <c r="C456" s="3"/>
      <c r="D456" s="3"/>
      <c r="E456" s="3"/>
      <c r="F456" s="3"/>
      <c r="H456" s="3"/>
    </row>
    <row r="457" ht="15.75" customHeight="1">
      <c r="A457" s="3"/>
      <c r="B457" s="3"/>
      <c r="C457" s="3"/>
      <c r="D457" s="3"/>
      <c r="E457" s="3"/>
      <c r="F457" s="3"/>
      <c r="H457" s="3"/>
    </row>
    <row r="458" ht="15.75" customHeight="1">
      <c r="A458" s="3"/>
      <c r="B458" s="3"/>
      <c r="C458" s="3"/>
      <c r="D458" s="3"/>
      <c r="E458" s="3"/>
      <c r="F458" s="3"/>
      <c r="H458" s="3"/>
    </row>
    <row r="459" ht="15.75" customHeight="1">
      <c r="A459" s="3"/>
      <c r="B459" s="3"/>
      <c r="C459" s="3"/>
      <c r="D459" s="3"/>
      <c r="E459" s="3"/>
      <c r="F459" s="3"/>
      <c r="H459" s="3"/>
    </row>
    <row r="460" ht="15.75" customHeight="1">
      <c r="A460" s="3"/>
      <c r="B460" s="3"/>
      <c r="C460" s="3"/>
      <c r="D460" s="3"/>
      <c r="E460" s="3"/>
      <c r="F460" s="3"/>
      <c r="H460" s="3"/>
    </row>
    <row r="461" ht="15.75" customHeight="1">
      <c r="A461" s="3"/>
      <c r="B461" s="3"/>
      <c r="C461" s="3"/>
      <c r="D461" s="3"/>
      <c r="E461" s="3"/>
      <c r="F461" s="3"/>
      <c r="H461" s="3"/>
    </row>
    <row r="462" ht="15.75" customHeight="1">
      <c r="A462" s="3"/>
      <c r="B462" s="3"/>
      <c r="C462" s="3"/>
      <c r="D462" s="3"/>
      <c r="E462" s="3"/>
      <c r="F462" s="3"/>
      <c r="H462" s="3"/>
    </row>
    <row r="463" ht="15.75" customHeight="1">
      <c r="A463" s="3"/>
      <c r="B463" s="3"/>
      <c r="C463" s="3"/>
      <c r="D463" s="3"/>
      <c r="E463" s="3"/>
      <c r="F463" s="3"/>
      <c r="H463" s="3"/>
    </row>
    <row r="464" ht="15.75" customHeight="1">
      <c r="A464" s="3"/>
      <c r="B464" s="3"/>
      <c r="C464" s="3"/>
      <c r="D464" s="3"/>
      <c r="E464" s="3"/>
      <c r="F464" s="3"/>
      <c r="H464" s="3"/>
    </row>
    <row r="465" ht="15.75" customHeight="1">
      <c r="A465" s="3"/>
      <c r="B465" s="3"/>
      <c r="C465" s="3"/>
      <c r="D465" s="3"/>
      <c r="E465" s="3"/>
      <c r="F465" s="3"/>
      <c r="H465" s="3"/>
    </row>
    <row r="466" ht="15.75" customHeight="1">
      <c r="A466" s="3"/>
      <c r="B466" s="3"/>
      <c r="C466" s="3"/>
      <c r="D466" s="3"/>
      <c r="E466" s="3"/>
      <c r="F466" s="3"/>
      <c r="H466" s="3"/>
    </row>
    <row r="467" ht="15.75" customHeight="1">
      <c r="A467" s="3"/>
      <c r="B467" s="3"/>
      <c r="C467" s="3"/>
      <c r="D467" s="3"/>
      <c r="E467" s="3"/>
      <c r="F467" s="3"/>
      <c r="H467" s="3"/>
    </row>
    <row r="468" ht="15.75" customHeight="1">
      <c r="A468" s="3"/>
      <c r="B468" s="3"/>
      <c r="C468" s="3"/>
      <c r="D468" s="3"/>
      <c r="E468" s="3"/>
      <c r="F468" s="3"/>
      <c r="H468" s="3"/>
    </row>
    <row r="469" ht="15.75" customHeight="1">
      <c r="A469" s="3"/>
      <c r="B469" s="3"/>
      <c r="C469" s="3"/>
      <c r="D469" s="3"/>
      <c r="E469" s="3"/>
      <c r="F469" s="3"/>
      <c r="H469" s="3"/>
    </row>
    <row r="470" ht="15.75" customHeight="1">
      <c r="A470" s="3"/>
      <c r="B470" s="3"/>
      <c r="C470" s="3"/>
      <c r="D470" s="3"/>
      <c r="E470" s="3"/>
      <c r="F470" s="3"/>
      <c r="H470" s="3"/>
    </row>
    <row r="471" ht="15.75" customHeight="1">
      <c r="A471" s="3"/>
      <c r="B471" s="3"/>
      <c r="C471" s="3"/>
      <c r="D471" s="3"/>
      <c r="E471" s="3"/>
      <c r="F471" s="3"/>
      <c r="H471" s="3"/>
    </row>
    <row r="472" ht="15.75" customHeight="1">
      <c r="A472" s="3"/>
      <c r="B472" s="3"/>
      <c r="C472" s="3"/>
      <c r="D472" s="3"/>
      <c r="E472" s="3"/>
      <c r="F472" s="3"/>
      <c r="H472" s="3"/>
    </row>
    <row r="473" ht="15.75" customHeight="1">
      <c r="A473" s="3"/>
      <c r="B473" s="3"/>
      <c r="C473" s="3"/>
      <c r="D473" s="3"/>
      <c r="E473" s="3"/>
      <c r="F473" s="3"/>
      <c r="H473" s="3"/>
    </row>
    <row r="474" ht="15.75" customHeight="1">
      <c r="A474" s="3"/>
      <c r="B474" s="3"/>
      <c r="C474" s="3"/>
      <c r="D474" s="3"/>
      <c r="E474" s="3"/>
      <c r="F474" s="3"/>
      <c r="H474" s="3"/>
    </row>
    <row r="475" ht="15.75" customHeight="1">
      <c r="A475" s="3"/>
      <c r="B475" s="3"/>
      <c r="C475" s="3"/>
      <c r="D475" s="3"/>
      <c r="E475" s="3"/>
      <c r="F475" s="3"/>
      <c r="H475" s="3"/>
    </row>
    <row r="476" ht="15.75" customHeight="1">
      <c r="A476" s="3"/>
      <c r="B476" s="3"/>
      <c r="C476" s="3"/>
      <c r="D476" s="3"/>
      <c r="E476" s="3"/>
      <c r="F476" s="3"/>
      <c r="H476" s="3"/>
    </row>
    <row r="477" ht="15.75" customHeight="1">
      <c r="A477" s="3"/>
      <c r="B477" s="3"/>
      <c r="C477" s="3"/>
      <c r="D477" s="3"/>
      <c r="E477" s="3"/>
      <c r="F477" s="3"/>
      <c r="H477" s="3"/>
    </row>
    <row r="478" ht="15.75" customHeight="1">
      <c r="A478" s="3"/>
      <c r="B478" s="3"/>
      <c r="C478" s="3"/>
      <c r="D478" s="3"/>
      <c r="E478" s="3"/>
      <c r="F478" s="3"/>
      <c r="H478" s="3"/>
    </row>
    <row r="479" ht="15.75" customHeight="1">
      <c r="A479" s="3"/>
      <c r="B479" s="3"/>
      <c r="C479" s="3"/>
      <c r="D479" s="3"/>
      <c r="E479" s="3"/>
      <c r="F479" s="3"/>
      <c r="H479" s="3"/>
    </row>
    <row r="480" ht="15.75" customHeight="1">
      <c r="A480" s="3"/>
      <c r="B480" s="3"/>
      <c r="C480" s="3"/>
      <c r="D480" s="3"/>
      <c r="E480" s="3"/>
      <c r="F480" s="3"/>
      <c r="H480" s="3"/>
    </row>
    <row r="481" ht="15.75" customHeight="1">
      <c r="A481" s="3"/>
      <c r="B481" s="3"/>
      <c r="C481" s="3"/>
      <c r="D481" s="3"/>
      <c r="E481" s="3"/>
      <c r="F481" s="3"/>
      <c r="H481" s="3"/>
    </row>
    <row r="482" ht="15.75" customHeight="1">
      <c r="A482" s="3"/>
      <c r="B482" s="3"/>
      <c r="C482" s="3"/>
      <c r="D482" s="3"/>
      <c r="E482" s="3"/>
      <c r="F482" s="3"/>
      <c r="H482" s="3"/>
    </row>
    <row r="483" ht="15.75" customHeight="1">
      <c r="A483" s="3"/>
      <c r="B483" s="3"/>
      <c r="C483" s="3"/>
      <c r="D483" s="3"/>
      <c r="E483" s="3"/>
      <c r="F483" s="3"/>
      <c r="H483" s="3"/>
    </row>
    <row r="484" ht="15.75" customHeight="1">
      <c r="A484" s="3"/>
      <c r="B484" s="3"/>
      <c r="C484" s="3"/>
      <c r="D484" s="3"/>
      <c r="E484" s="3"/>
      <c r="F484" s="3"/>
      <c r="H484" s="3"/>
    </row>
    <row r="485" ht="15.75" customHeight="1">
      <c r="A485" s="3"/>
      <c r="B485" s="3"/>
      <c r="C485" s="3"/>
      <c r="D485" s="3"/>
      <c r="E485" s="3"/>
      <c r="F485" s="3"/>
      <c r="H485" s="3"/>
    </row>
    <row r="486" ht="15.75" customHeight="1">
      <c r="A486" s="3"/>
      <c r="B486" s="3"/>
      <c r="C486" s="3"/>
      <c r="D486" s="3"/>
      <c r="E486" s="3"/>
      <c r="F486" s="3"/>
      <c r="H486" s="3"/>
    </row>
    <row r="487" ht="15.75" customHeight="1">
      <c r="A487" s="3"/>
      <c r="B487" s="3"/>
      <c r="C487" s="3"/>
      <c r="D487" s="3"/>
      <c r="E487" s="3"/>
      <c r="F487" s="3"/>
      <c r="H487" s="3"/>
    </row>
    <row r="488" ht="15.75" customHeight="1">
      <c r="A488" s="3"/>
      <c r="B488" s="3"/>
      <c r="C488" s="3"/>
      <c r="D488" s="3"/>
      <c r="E488" s="3"/>
      <c r="F488" s="3"/>
      <c r="H488" s="3"/>
    </row>
    <row r="489" ht="15.75" customHeight="1">
      <c r="A489" s="3"/>
      <c r="B489" s="3"/>
      <c r="C489" s="3"/>
      <c r="D489" s="3"/>
      <c r="E489" s="3"/>
      <c r="F489" s="3"/>
      <c r="H489" s="3"/>
    </row>
    <row r="490" ht="15.75" customHeight="1">
      <c r="A490" s="3"/>
      <c r="B490" s="3"/>
      <c r="C490" s="3"/>
      <c r="D490" s="3"/>
      <c r="E490" s="3"/>
      <c r="F490" s="3"/>
      <c r="H490" s="3"/>
    </row>
    <row r="491" ht="15.75" customHeight="1">
      <c r="A491" s="3"/>
      <c r="B491" s="3"/>
      <c r="C491" s="3"/>
      <c r="D491" s="3"/>
      <c r="E491" s="3"/>
      <c r="F491" s="3"/>
      <c r="H491" s="3"/>
    </row>
    <row r="492" ht="15.75" customHeight="1">
      <c r="A492" s="3"/>
      <c r="B492" s="3"/>
      <c r="C492" s="3"/>
      <c r="D492" s="3"/>
      <c r="E492" s="3"/>
      <c r="F492" s="3"/>
      <c r="H492" s="3"/>
    </row>
    <row r="493" ht="15.75" customHeight="1">
      <c r="A493" s="3"/>
      <c r="B493" s="3"/>
      <c r="C493" s="3"/>
      <c r="D493" s="3"/>
      <c r="E493" s="3"/>
      <c r="F493" s="3"/>
      <c r="H493" s="3"/>
    </row>
    <row r="494" ht="15.75" customHeight="1">
      <c r="A494" s="3"/>
      <c r="B494" s="3"/>
      <c r="C494" s="3"/>
      <c r="D494" s="3"/>
      <c r="E494" s="3"/>
      <c r="F494" s="3"/>
      <c r="H494" s="3"/>
    </row>
    <row r="495" ht="15.75" customHeight="1">
      <c r="A495" s="3"/>
      <c r="B495" s="3"/>
      <c r="C495" s="3"/>
      <c r="D495" s="3"/>
      <c r="E495" s="3"/>
      <c r="F495" s="3"/>
      <c r="H495" s="3"/>
    </row>
    <row r="496" ht="15.75" customHeight="1">
      <c r="A496" s="3"/>
      <c r="B496" s="3"/>
      <c r="C496" s="3"/>
      <c r="D496" s="3"/>
      <c r="E496" s="3"/>
      <c r="F496" s="3"/>
      <c r="H496" s="3"/>
    </row>
    <row r="497" ht="15.75" customHeight="1">
      <c r="A497" s="3"/>
      <c r="B497" s="3"/>
      <c r="C497" s="3"/>
      <c r="D497" s="3"/>
      <c r="E497" s="3"/>
      <c r="F497" s="3"/>
      <c r="H497" s="3"/>
    </row>
    <row r="498" ht="15.75" customHeight="1">
      <c r="A498" s="3"/>
      <c r="B498" s="3"/>
      <c r="C498" s="3"/>
      <c r="D498" s="3"/>
      <c r="E498" s="3"/>
      <c r="F498" s="3"/>
      <c r="H498" s="3"/>
    </row>
    <row r="499" ht="15.75" customHeight="1">
      <c r="A499" s="3"/>
      <c r="B499" s="3"/>
      <c r="C499" s="3"/>
      <c r="D499" s="3"/>
      <c r="E499" s="3"/>
      <c r="F499" s="3"/>
      <c r="H499" s="3"/>
    </row>
    <row r="500" ht="15.75" customHeight="1">
      <c r="A500" s="3"/>
      <c r="B500" s="3"/>
      <c r="C500" s="3"/>
      <c r="D500" s="3"/>
      <c r="E500" s="3"/>
      <c r="F500" s="3"/>
      <c r="H500" s="3"/>
    </row>
    <row r="501" ht="15.75" customHeight="1">
      <c r="A501" s="3"/>
      <c r="B501" s="3"/>
      <c r="C501" s="3"/>
      <c r="D501" s="3"/>
      <c r="E501" s="3"/>
      <c r="F501" s="3"/>
      <c r="H501" s="3"/>
    </row>
    <row r="502" ht="15.75" customHeight="1">
      <c r="A502" s="3"/>
      <c r="B502" s="3"/>
      <c r="C502" s="3"/>
      <c r="D502" s="3"/>
      <c r="E502" s="3"/>
      <c r="F502" s="3"/>
      <c r="H502" s="3"/>
    </row>
    <row r="503" ht="15.75" customHeight="1">
      <c r="A503" s="3"/>
      <c r="B503" s="3"/>
      <c r="C503" s="3"/>
      <c r="D503" s="3"/>
      <c r="E503" s="3"/>
      <c r="F503" s="3"/>
      <c r="H503" s="3"/>
    </row>
    <row r="504" ht="15.75" customHeight="1">
      <c r="A504" s="3"/>
      <c r="B504" s="3"/>
      <c r="C504" s="3"/>
      <c r="D504" s="3"/>
      <c r="E504" s="3"/>
      <c r="F504" s="3"/>
      <c r="H504" s="3"/>
    </row>
    <row r="505" ht="15.75" customHeight="1">
      <c r="A505" s="3"/>
      <c r="B505" s="3"/>
      <c r="C505" s="3"/>
      <c r="D505" s="3"/>
      <c r="E505" s="3"/>
      <c r="F505" s="3"/>
      <c r="H505" s="3"/>
    </row>
    <row r="506" ht="15.75" customHeight="1">
      <c r="A506" s="3"/>
      <c r="B506" s="3"/>
      <c r="C506" s="3"/>
      <c r="D506" s="3"/>
      <c r="E506" s="3"/>
      <c r="F506" s="3"/>
      <c r="H506" s="3"/>
    </row>
    <row r="507" ht="15.75" customHeight="1">
      <c r="A507" s="3"/>
      <c r="B507" s="3"/>
      <c r="C507" s="3"/>
      <c r="D507" s="3"/>
      <c r="E507" s="3"/>
      <c r="F507" s="3"/>
      <c r="H507" s="3"/>
    </row>
    <row r="508" ht="15.75" customHeight="1">
      <c r="A508" s="3"/>
      <c r="B508" s="3"/>
      <c r="C508" s="3"/>
      <c r="D508" s="3"/>
      <c r="E508" s="3"/>
      <c r="F508" s="3"/>
      <c r="H508" s="3"/>
    </row>
    <row r="509" ht="15.75" customHeight="1">
      <c r="A509" s="3"/>
      <c r="B509" s="3"/>
      <c r="C509" s="3"/>
      <c r="D509" s="3"/>
      <c r="E509" s="3"/>
      <c r="F509" s="3"/>
      <c r="H509" s="3"/>
    </row>
    <row r="510" ht="15.75" customHeight="1">
      <c r="A510" s="3"/>
      <c r="B510" s="3"/>
      <c r="C510" s="3"/>
      <c r="D510" s="3"/>
      <c r="E510" s="3"/>
      <c r="F510" s="3"/>
      <c r="H510" s="3"/>
    </row>
    <row r="511" ht="15.75" customHeight="1">
      <c r="A511" s="3"/>
      <c r="B511" s="3"/>
      <c r="C511" s="3"/>
      <c r="D511" s="3"/>
      <c r="E511" s="3"/>
      <c r="F511" s="3"/>
      <c r="H511" s="3"/>
    </row>
    <row r="512" ht="15.75" customHeight="1">
      <c r="A512" s="3"/>
      <c r="B512" s="3"/>
      <c r="C512" s="3"/>
      <c r="D512" s="3"/>
      <c r="E512" s="3"/>
      <c r="F512" s="3"/>
      <c r="H512" s="3"/>
    </row>
    <row r="513" ht="15.75" customHeight="1">
      <c r="A513" s="3"/>
      <c r="B513" s="3"/>
      <c r="C513" s="3"/>
      <c r="D513" s="3"/>
      <c r="E513" s="3"/>
      <c r="F513" s="3"/>
      <c r="H513" s="3"/>
    </row>
    <row r="514" ht="15.75" customHeight="1">
      <c r="A514" s="3"/>
      <c r="B514" s="3"/>
      <c r="C514" s="3"/>
      <c r="D514" s="3"/>
      <c r="E514" s="3"/>
      <c r="F514" s="3"/>
      <c r="H514" s="3"/>
    </row>
    <row r="515" ht="15.75" customHeight="1">
      <c r="A515" s="3"/>
      <c r="B515" s="3"/>
      <c r="C515" s="3"/>
      <c r="D515" s="3"/>
      <c r="E515" s="3"/>
      <c r="F515" s="3"/>
      <c r="H515" s="3"/>
    </row>
    <row r="516" ht="15.75" customHeight="1">
      <c r="A516" s="3"/>
      <c r="B516" s="3"/>
      <c r="C516" s="3"/>
      <c r="D516" s="3"/>
      <c r="E516" s="3"/>
      <c r="F516" s="3"/>
      <c r="H516" s="3"/>
    </row>
    <row r="517" ht="15.75" customHeight="1">
      <c r="A517" s="3"/>
      <c r="B517" s="3"/>
      <c r="C517" s="3"/>
      <c r="D517" s="3"/>
      <c r="E517" s="3"/>
      <c r="F517" s="3"/>
      <c r="H517" s="3"/>
    </row>
    <row r="518" ht="15.75" customHeight="1">
      <c r="A518" s="3"/>
      <c r="B518" s="3"/>
      <c r="C518" s="3"/>
      <c r="D518" s="3"/>
      <c r="E518" s="3"/>
      <c r="F518" s="3"/>
      <c r="H518" s="3"/>
    </row>
    <row r="519" ht="15.75" customHeight="1">
      <c r="A519" s="3"/>
      <c r="B519" s="3"/>
      <c r="C519" s="3"/>
      <c r="D519" s="3"/>
      <c r="E519" s="3"/>
      <c r="F519" s="3"/>
      <c r="H519" s="3"/>
    </row>
    <row r="520" ht="15.75" customHeight="1">
      <c r="A520" s="3"/>
      <c r="B520" s="3"/>
      <c r="C520" s="3"/>
      <c r="D520" s="3"/>
      <c r="E520" s="3"/>
      <c r="F520" s="3"/>
      <c r="H520" s="3"/>
    </row>
    <row r="521" ht="15.75" customHeight="1">
      <c r="A521" s="3"/>
      <c r="B521" s="3"/>
      <c r="C521" s="3"/>
      <c r="D521" s="3"/>
      <c r="E521" s="3"/>
      <c r="F521" s="3"/>
      <c r="H521" s="3"/>
    </row>
    <row r="522" ht="15.75" customHeight="1">
      <c r="A522" s="3"/>
      <c r="B522" s="3"/>
      <c r="C522" s="3"/>
      <c r="D522" s="3"/>
      <c r="E522" s="3"/>
      <c r="F522" s="3"/>
      <c r="H522" s="3"/>
    </row>
    <row r="523" ht="15.75" customHeight="1">
      <c r="A523" s="3"/>
      <c r="B523" s="3"/>
      <c r="C523" s="3"/>
      <c r="D523" s="3"/>
      <c r="E523" s="3"/>
      <c r="F523" s="3"/>
      <c r="H523" s="3"/>
    </row>
    <row r="524" ht="15.75" customHeight="1">
      <c r="A524" s="3"/>
      <c r="B524" s="3"/>
      <c r="C524" s="3"/>
      <c r="D524" s="3"/>
      <c r="E524" s="3"/>
      <c r="F524" s="3"/>
      <c r="H524" s="3"/>
    </row>
    <row r="525" ht="15.75" customHeight="1">
      <c r="A525" s="3"/>
      <c r="B525" s="3"/>
      <c r="C525" s="3"/>
      <c r="D525" s="3"/>
      <c r="E525" s="3"/>
      <c r="F525" s="3"/>
      <c r="H525" s="3"/>
    </row>
    <row r="526" ht="15.75" customHeight="1">
      <c r="A526" s="3"/>
      <c r="B526" s="3"/>
      <c r="C526" s="3"/>
      <c r="D526" s="3"/>
      <c r="E526" s="3"/>
      <c r="F526" s="3"/>
      <c r="H526" s="3"/>
    </row>
    <row r="527" ht="15.75" customHeight="1">
      <c r="A527" s="3"/>
      <c r="B527" s="3"/>
      <c r="C527" s="3"/>
      <c r="D527" s="3"/>
      <c r="E527" s="3"/>
      <c r="F527" s="3"/>
      <c r="H527" s="3"/>
    </row>
    <row r="528" ht="15.75" customHeight="1">
      <c r="A528" s="3"/>
      <c r="B528" s="3"/>
      <c r="C528" s="3"/>
      <c r="D528" s="3"/>
      <c r="E528" s="3"/>
      <c r="F528" s="3"/>
      <c r="H528" s="3"/>
    </row>
    <row r="529" ht="15.75" customHeight="1">
      <c r="A529" s="3"/>
      <c r="B529" s="3"/>
      <c r="C529" s="3"/>
      <c r="D529" s="3"/>
      <c r="E529" s="3"/>
      <c r="F529" s="3"/>
      <c r="H529" s="3"/>
    </row>
    <row r="530" ht="15.75" customHeight="1">
      <c r="A530" s="3"/>
      <c r="B530" s="3"/>
      <c r="C530" s="3"/>
      <c r="D530" s="3"/>
      <c r="E530" s="3"/>
      <c r="F530" s="3"/>
      <c r="H530" s="3"/>
    </row>
    <row r="531" ht="15.75" customHeight="1">
      <c r="A531" s="3"/>
      <c r="B531" s="3"/>
      <c r="C531" s="3"/>
      <c r="D531" s="3"/>
      <c r="E531" s="3"/>
      <c r="F531" s="3"/>
      <c r="H531" s="3"/>
    </row>
    <row r="532" ht="15.75" customHeight="1">
      <c r="A532" s="3"/>
      <c r="B532" s="3"/>
      <c r="C532" s="3"/>
      <c r="D532" s="3"/>
      <c r="E532" s="3"/>
      <c r="F532" s="3"/>
      <c r="H532" s="3"/>
    </row>
    <row r="533" ht="15.75" customHeight="1">
      <c r="A533" s="3"/>
      <c r="B533" s="3"/>
      <c r="C533" s="3"/>
      <c r="D533" s="3"/>
      <c r="E533" s="3"/>
      <c r="F533" s="3"/>
      <c r="H533" s="3"/>
    </row>
    <row r="534" ht="15.75" customHeight="1">
      <c r="A534" s="3"/>
      <c r="B534" s="3"/>
      <c r="C534" s="3"/>
      <c r="D534" s="3"/>
      <c r="E534" s="3"/>
      <c r="F534" s="3"/>
      <c r="H534" s="3"/>
    </row>
    <row r="535" ht="15.75" customHeight="1">
      <c r="A535" s="3"/>
      <c r="B535" s="3"/>
      <c r="C535" s="3"/>
      <c r="D535" s="3"/>
      <c r="E535" s="3"/>
      <c r="F535" s="3"/>
      <c r="H535" s="3"/>
    </row>
    <row r="536" ht="15.75" customHeight="1">
      <c r="A536" s="3"/>
      <c r="B536" s="3"/>
      <c r="C536" s="3"/>
      <c r="D536" s="3"/>
      <c r="E536" s="3"/>
      <c r="F536" s="3"/>
      <c r="H536" s="3"/>
    </row>
    <row r="537" ht="15.75" customHeight="1">
      <c r="A537" s="3"/>
      <c r="B537" s="3"/>
      <c r="C537" s="3"/>
      <c r="D537" s="3"/>
      <c r="E537" s="3"/>
      <c r="F537" s="3"/>
      <c r="H537" s="3"/>
    </row>
    <row r="538" ht="15.75" customHeight="1">
      <c r="A538" s="3"/>
      <c r="B538" s="3"/>
      <c r="C538" s="3"/>
      <c r="D538" s="3"/>
      <c r="E538" s="3"/>
      <c r="F538" s="3"/>
      <c r="H538" s="3"/>
    </row>
    <row r="539" ht="15.75" customHeight="1">
      <c r="A539" s="3"/>
      <c r="B539" s="3"/>
      <c r="C539" s="3"/>
      <c r="D539" s="3"/>
      <c r="E539" s="3"/>
      <c r="F539" s="3"/>
      <c r="H539" s="3"/>
    </row>
    <row r="540" ht="15.75" customHeight="1">
      <c r="A540" s="3"/>
      <c r="B540" s="3"/>
      <c r="C540" s="3"/>
      <c r="D540" s="3"/>
      <c r="E540" s="3"/>
      <c r="F540" s="3"/>
      <c r="H540" s="3"/>
    </row>
    <row r="541" ht="15.75" customHeight="1">
      <c r="A541" s="3"/>
      <c r="B541" s="3"/>
      <c r="C541" s="3"/>
      <c r="D541" s="3"/>
      <c r="E541" s="3"/>
      <c r="F541" s="3"/>
      <c r="H541" s="3"/>
    </row>
    <row r="542" ht="15.75" customHeight="1">
      <c r="A542" s="3"/>
      <c r="B542" s="3"/>
      <c r="C542" s="3"/>
      <c r="D542" s="3"/>
      <c r="E542" s="3"/>
      <c r="F542" s="3"/>
      <c r="H542" s="3"/>
    </row>
    <row r="543" ht="15.75" customHeight="1">
      <c r="A543" s="3"/>
      <c r="B543" s="3"/>
      <c r="C543" s="3"/>
      <c r="D543" s="3"/>
      <c r="E543" s="3"/>
      <c r="F543" s="3"/>
      <c r="H543" s="3"/>
    </row>
    <row r="544" ht="15.75" customHeight="1">
      <c r="A544" s="3"/>
      <c r="B544" s="3"/>
      <c r="C544" s="3"/>
      <c r="D544" s="3"/>
      <c r="E544" s="3"/>
      <c r="F544" s="3"/>
      <c r="H544" s="3"/>
    </row>
    <row r="545" ht="15.75" customHeight="1">
      <c r="A545" s="3"/>
      <c r="B545" s="3"/>
      <c r="C545" s="3"/>
      <c r="D545" s="3"/>
      <c r="E545" s="3"/>
      <c r="F545" s="3"/>
      <c r="H545" s="3"/>
    </row>
    <row r="546" ht="15.75" customHeight="1">
      <c r="A546" s="3"/>
      <c r="B546" s="3"/>
      <c r="C546" s="3"/>
      <c r="D546" s="3"/>
      <c r="E546" s="3"/>
      <c r="F546" s="3"/>
      <c r="H546" s="3"/>
    </row>
    <row r="547" ht="15.75" customHeight="1">
      <c r="A547" s="3"/>
      <c r="B547" s="3"/>
      <c r="C547" s="3"/>
      <c r="D547" s="3"/>
      <c r="E547" s="3"/>
      <c r="F547" s="3"/>
      <c r="H547" s="3"/>
    </row>
    <row r="548" ht="15.75" customHeight="1">
      <c r="A548" s="3"/>
      <c r="B548" s="3"/>
      <c r="C548" s="3"/>
      <c r="D548" s="3"/>
      <c r="E548" s="3"/>
      <c r="F548" s="3"/>
      <c r="H548" s="3"/>
    </row>
    <row r="549" ht="15.75" customHeight="1">
      <c r="A549" s="3"/>
      <c r="B549" s="3"/>
      <c r="C549" s="3"/>
      <c r="D549" s="3"/>
      <c r="E549" s="3"/>
      <c r="F549" s="3"/>
      <c r="H549" s="3"/>
    </row>
    <row r="550" ht="15.75" customHeight="1">
      <c r="A550" s="3"/>
      <c r="B550" s="3"/>
      <c r="C550" s="3"/>
      <c r="D550" s="3"/>
      <c r="E550" s="3"/>
      <c r="F550" s="3"/>
      <c r="H550" s="3"/>
    </row>
    <row r="551" ht="15.75" customHeight="1">
      <c r="A551" s="3"/>
      <c r="B551" s="3"/>
      <c r="C551" s="3"/>
      <c r="D551" s="3"/>
      <c r="E551" s="3"/>
      <c r="F551" s="3"/>
      <c r="H551" s="3"/>
    </row>
    <row r="552" ht="15.75" customHeight="1">
      <c r="A552" s="3"/>
      <c r="B552" s="3"/>
      <c r="C552" s="3"/>
      <c r="D552" s="3"/>
      <c r="E552" s="3"/>
      <c r="F552" s="3"/>
      <c r="H552" s="3"/>
    </row>
    <row r="553" ht="15.75" customHeight="1">
      <c r="A553" s="3"/>
      <c r="B553" s="3"/>
      <c r="C553" s="3"/>
      <c r="D553" s="3"/>
      <c r="E553" s="3"/>
      <c r="F553" s="3"/>
      <c r="H553" s="3"/>
    </row>
    <row r="554" ht="15.75" customHeight="1">
      <c r="A554" s="3"/>
      <c r="B554" s="3"/>
      <c r="C554" s="3"/>
      <c r="D554" s="3"/>
      <c r="E554" s="3"/>
      <c r="F554" s="3"/>
      <c r="H554" s="3"/>
    </row>
    <row r="555" ht="15.75" customHeight="1">
      <c r="A555" s="3"/>
      <c r="B555" s="3"/>
      <c r="C555" s="3"/>
      <c r="D555" s="3"/>
      <c r="E555" s="3"/>
      <c r="F555" s="3"/>
      <c r="H555" s="3"/>
    </row>
    <row r="556" ht="15.75" customHeight="1">
      <c r="A556" s="3"/>
      <c r="B556" s="3"/>
      <c r="C556" s="3"/>
      <c r="D556" s="3"/>
      <c r="E556" s="3"/>
      <c r="F556" s="3"/>
      <c r="H556" s="3"/>
    </row>
    <row r="557" ht="15.75" customHeight="1">
      <c r="A557" s="3"/>
      <c r="B557" s="3"/>
      <c r="C557" s="3"/>
      <c r="D557" s="3"/>
      <c r="E557" s="3"/>
      <c r="F557" s="3"/>
      <c r="H557" s="3"/>
    </row>
    <row r="558" ht="15.75" customHeight="1">
      <c r="A558" s="3"/>
      <c r="B558" s="3"/>
      <c r="C558" s="3"/>
      <c r="D558" s="3"/>
      <c r="E558" s="3"/>
      <c r="F558" s="3"/>
      <c r="H558" s="3"/>
    </row>
    <row r="559" ht="15.75" customHeight="1">
      <c r="A559" s="3"/>
      <c r="B559" s="3"/>
      <c r="C559" s="3"/>
      <c r="D559" s="3"/>
      <c r="E559" s="3"/>
      <c r="F559" s="3"/>
      <c r="H559" s="3"/>
    </row>
    <row r="560" ht="15.75" customHeight="1">
      <c r="A560" s="3"/>
      <c r="B560" s="3"/>
      <c r="C560" s="3"/>
      <c r="D560" s="3"/>
      <c r="E560" s="3"/>
      <c r="F560" s="3"/>
      <c r="H560" s="3"/>
    </row>
    <row r="561" ht="15.75" customHeight="1">
      <c r="A561" s="3"/>
      <c r="B561" s="3"/>
      <c r="C561" s="3"/>
      <c r="D561" s="3"/>
      <c r="E561" s="3"/>
      <c r="F561" s="3"/>
      <c r="H561" s="3"/>
    </row>
    <row r="562" ht="15.75" customHeight="1">
      <c r="A562" s="3"/>
      <c r="B562" s="3"/>
      <c r="C562" s="3"/>
      <c r="D562" s="3"/>
      <c r="E562" s="3"/>
      <c r="F562" s="3"/>
      <c r="H562" s="3"/>
    </row>
    <row r="563" ht="15.75" customHeight="1">
      <c r="A563" s="3"/>
      <c r="B563" s="3"/>
      <c r="C563" s="3"/>
      <c r="D563" s="3"/>
      <c r="E563" s="3"/>
      <c r="F563" s="3"/>
      <c r="H563" s="3"/>
    </row>
    <row r="564" ht="15.75" customHeight="1">
      <c r="A564" s="3"/>
      <c r="B564" s="3"/>
      <c r="C564" s="3"/>
      <c r="D564" s="3"/>
      <c r="E564" s="3"/>
      <c r="F564" s="3"/>
      <c r="H564" s="3"/>
    </row>
    <row r="565" ht="15.75" customHeight="1">
      <c r="A565" s="3"/>
      <c r="B565" s="3"/>
      <c r="C565" s="3"/>
      <c r="D565" s="3"/>
      <c r="E565" s="3"/>
      <c r="F565" s="3"/>
      <c r="H565" s="3"/>
    </row>
    <row r="566" ht="15.75" customHeight="1">
      <c r="A566" s="3"/>
      <c r="B566" s="3"/>
      <c r="C566" s="3"/>
      <c r="D566" s="3"/>
      <c r="E566" s="3"/>
      <c r="F566" s="3"/>
      <c r="H566" s="3"/>
    </row>
    <row r="567" ht="15.75" customHeight="1">
      <c r="A567" s="3"/>
      <c r="B567" s="3"/>
      <c r="C567" s="3"/>
      <c r="D567" s="3"/>
      <c r="E567" s="3"/>
      <c r="F567" s="3"/>
      <c r="H567" s="3"/>
    </row>
    <row r="568" ht="15.75" customHeight="1">
      <c r="A568" s="3"/>
      <c r="B568" s="3"/>
      <c r="C568" s="3"/>
      <c r="D568" s="3"/>
      <c r="E568" s="3"/>
      <c r="F568" s="3"/>
      <c r="H568" s="3"/>
    </row>
    <row r="569" ht="15.75" customHeight="1">
      <c r="A569" s="3"/>
      <c r="B569" s="3"/>
      <c r="C569" s="3"/>
      <c r="D569" s="3"/>
      <c r="E569" s="3"/>
      <c r="F569" s="3"/>
      <c r="H569" s="3"/>
    </row>
    <row r="570" ht="15.75" customHeight="1">
      <c r="A570" s="3"/>
      <c r="B570" s="3"/>
      <c r="C570" s="3"/>
      <c r="D570" s="3"/>
      <c r="E570" s="3"/>
      <c r="F570" s="3"/>
      <c r="H570" s="3"/>
    </row>
    <row r="571" ht="15.75" customHeight="1">
      <c r="A571" s="3"/>
      <c r="B571" s="3"/>
      <c r="C571" s="3"/>
      <c r="D571" s="3"/>
      <c r="E571" s="3"/>
      <c r="F571" s="3"/>
      <c r="H571" s="3"/>
    </row>
    <row r="572" ht="15.75" customHeight="1">
      <c r="A572" s="3"/>
      <c r="B572" s="3"/>
      <c r="C572" s="3"/>
      <c r="D572" s="3"/>
      <c r="E572" s="3"/>
      <c r="F572" s="3"/>
      <c r="H572" s="3"/>
    </row>
    <row r="573" ht="15.75" customHeight="1">
      <c r="A573" s="3"/>
      <c r="B573" s="3"/>
      <c r="C573" s="3"/>
      <c r="D573" s="3"/>
      <c r="E573" s="3"/>
      <c r="F573" s="3"/>
      <c r="H573" s="3"/>
    </row>
    <row r="574" ht="15.75" customHeight="1">
      <c r="A574" s="3"/>
      <c r="B574" s="3"/>
      <c r="C574" s="3"/>
      <c r="D574" s="3"/>
      <c r="E574" s="3"/>
      <c r="F574" s="3"/>
      <c r="H574" s="3"/>
    </row>
    <row r="575" ht="15.75" customHeight="1">
      <c r="A575" s="3"/>
      <c r="B575" s="3"/>
      <c r="C575" s="3"/>
      <c r="D575" s="3"/>
      <c r="E575" s="3"/>
      <c r="F575" s="3"/>
      <c r="H575" s="3"/>
    </row>
    <row r="576" ht="15.75" customHeight="1">
      <c r="A576" s="3"/>
      <c r="B576" s="3"/>
      <c r="C576" s="3"/>
      <c r="D576" s="3"/>
      <c r="E576" s="3"/>
      <c r="F576" s="3"/>
      <c r="H576" s="3"/>
    </row>
    <row r="577" ht="15.75" customHeight="1">
      <c r="A577" s="3"/>
      <c r="B577" s="3"/>
      <c r="C577" s="3"/>
      <c r="D577" s="3"/>
      <c r="E577" s="3"/>
      <c r="F577" s="3"/>
      <c r="H577" s="3"/>
    </row>
    <row r="578" ht="15.75" customHeight="1">
      <c r="A578" s="3"/>
      <c r="B578" s="3"/>
      <c r="C578" s="3"/>
      <c r="D578" s="3"/>
      <c r="E578" s="3"/>
      <c r="F578" s="3"/>
      <c r="H578" s="3"/>
    </row>
    <row r="579" ht="15.75" customHeight="1">
      <c r="A579" s="3"/>
      <c r="B579" s="3"/>
      <c r="C579" s="3"/>
      <c r="D579" s="3"/>
      <c r="E579" s="3"/>
      <c r="F579" s="3"/>
      <c r="H579" s="3"/>
    </row>
    <row r="580" ht="15.75" customHeight="1">
      <c r="A580" s="3"/>
      <c r="B580" s="3"/>
      <c r="C580" s="3"/>
      <c r="D580" s="3"/>
      <c r="E580" s="3"/>
      <c r="F580" s="3"/>
      <c r="H580" s="3"/>
    </row>
    <row r="581" ht="15.75" customHeight="1">
      <c r="A581" s="3"/>
      <c r="B581" s="3"/>
      <c r="C581" s="3"/>
      <c r="D581" s="3"/>
      <c r="E581" s="3"/>
      <c r="F581" s="3"/>
      <c r="H581" s="3"/>
    </row>
    <row r="582" ht="15.75" customHeight="1">
      <c r="A582" s="3"/>
      <c r="B582" s="3"/>
      <c r="C582" s="3"/>
      <c r="D582" s="3"/>
      <c r="E582" s="3"/>
      <c r="F582" s="3"/>
      <c r="H582" s="3"/>
    </row>
    <row r="583" ht="15.75" customHeight="1">
      <c r="A583" s="3"/>
      <c r="B583" s="3"/>
      <c r="C583" s="3"/>
      <c r="D583" s="3"/>
      <c r="E583" s="3"/>
      <c r="F583" s="3"/>
      <c r="H583" s="3"/>
    </row>
    <row r="584" ht="15.75" customHeight="1">
      <c r="A584" s="3"/>
      <c r="B584" s="3"/>
      <c r="C584" s="3"/>
      <c r="D584" s="3"/>
      <c r="E584" s="3"/>
      <c r="F584" s="3"/>
      <c r="H584" s="3"/>
    </row>
    <row r="585" ht="15.75" customHeight="1">
      <c r="A585" s="3"/>
      <c r="B585" s="3"/>
      <c r="C585" s="3"/>
      <c r="D585" s="3"/>
      <c r="E585" s="3"/>
      <c r="F585" s="3"/>
      <c r="H585" s="3"/>
    </row>
    <row r="586" ht="15.75" customHeight="1">
      <c r="A586" s="3"/>
      <c r="B586" s="3"/>
      <c r="C586" s="3"/>
      <c r="D586" s="3"/>
      <c r="E586" s="3"/>
      <c r="F586" s="3"/>
      <c r="H586" s="3"/>
    </row>
    <row r="587" ht="15.75" customHeight="1">
      <c r="A587" s="3"/>
      <c r="B587" s="3"/>
      <c r="C587" s="3"/>
      <c r="D587" s="3"/>
      <c r="E587" s="3"/>
      <c r="F587" s="3"/>
      <c r="H587" s="3"/>
    </row>
    <row r="588" ht="15.75" customHeight="1">
      <c r="A588" s="3"/>
      <c r="B588" s="3"/>
      <c r="C588" s="3"/>
      <c r="D588" s="3"/>
      <c r="E588" s="3"/>
      <c r="F588" s="3"/>
      <c r="H588" s="3"/>
    </row>
    <row r="589" ht="15.75" customHeight="1">
      <c r="A589" s="3"/>
      <c r="B589" s="3"/>
      <c r="C589" s="3"/>
      <c r="D589" s="3"/>
      <c r="E589" s="3"/>
      <c r="F589" s="3"/>
      <c r="H589" s="3"/>
    </row>
    <row r="590" ht="15.75" customHeight="1">
      <c r="A590" s="3"/>
      <c r="B590" s="3"/>
      <c r="C590" s="3"/>
      <c r="D590" s="3"/>
      <c r="E590" s="3"/>
      <c r="F590" s="3"/>
      <c r="H590" s="3"/>
    </row>
    <row r="591" ht="15.75" customHeight="1">
      <c r="A591" s="3"/>
      <c r="B591" s="3"/>
      <c r="C591" s="3"/>
      <c r="D591" s="3"/>
      <c r="E591" s="3"/>
      <c r="F591" s="3"/>
      <c r="H591" s="3"/>
    </row>
    <row r="592" ht="15.75" customHeight="1">
      <c r="A592" s="3"/>
      <c r="B592" s="3"/>
      <c r="C592" s="3"/>
      <c r="D592" s="3"/>
      <c r="E592" s="3"/>
      <c r="F592" s="3"/>
      <c r="H592" s="3"/>
    </row>
    <row r="593" ht="15.75" customHeight="1">
      <c r="A593" s="3"/>
      <c r="B593" s="3"/>
      <c r="C593" s="3"/>
      <c r="D593" s="3"/>
      <c r="E593" s="3"/>
      <c r="F593" s="3"/>
      <c r="H593" s="3"/>
    </row>
    <row r="594" ht="15.75" customHeight="1">
      <c r="A594" s="3"/>
      <c r="B594" s="3"/>
      <c r="C594" s="3"/>
      <c r="D594" s="3"/>
      <c r="E594" s="3"/>
      <c r="F594" s="3"/>
      <c r="H594" s="3"/>
    </row>
    <row r="595" ht="15.75" customHeight="1">
      <c r="A595" s="3"/>
      <c r="B595" s="3"/>
      <c r="C595" s="3"/>
      <c r="D595" s="3"/>
      <c r="E595" s="3"/>
      <c r="F595" s="3"/>
      <c r="H595" s="3"/>
    </row>
    <row r="596" ht="15.75" customHeight="1">
      <c r="A596" s="3"/>
      <c r="B596" s="3"/>
      <c r="C596" s="3"/>
      <c r="D596" s="3"/>
      <c r="E596" s="3"/>
      <c r="F596" s="3"/>
      <c r="H596" s="3"/>
    </row>
    <row r="597" ht="15.75" customHeight="1">
      <c r="A597" s="3"/>
      <c r="B597" s="3"/>
      <c r="C597" s="3"/>
      <c r="D597" s="3"/>
      <c r="E597" s="3"/>
      <c r="F597" s="3"/>
      <c r="H597" s="3"/>
    </row>
    <row r="598" ht="15.75" customHeight="1">
      <c r="A598" s="3"/>
      <c r="B598" s="3"/>
      <c r="C598" s="3"/>
      <c r="D598" s="3"/>
      <c r="E598" s="3"/>
      <c r="F598" s="3"/>
      <c r="H598" s="3"/>
    </row>
    <row r="599" ht="15.75" customHeight="1">
      <c r="A599" s="3"/>
      <c r="B599" s="3"/>
      <c r="C599" s="3"/>
      <c r="D599" s="3"/>
      <c r="E599" s="3"/>
      <c r="F599" s="3"/>
      <c r="H599" s="3"/>
    </row>
    <row r="600" ht="15.75" customHeight="1">
      <c r="A600" s="3"/>
      <c r="B600" s="3"/>
      <c r="C600" s="3"/>
      <c r="D600" s="3"/>
      <c r="E600" s="3"/>
      <c r="F600" s="3"/>
      <c r="H600" s="3"/>
    </row>
    <row r="601" ht="15.75" customHeight="1">
      <c r="A601" s="3"/>
      <c r="B601" s="3"/>
      <c r="C601" s="3"/>
      <c r="D601" s="3"/>
      <c r="E601" s="3"/>
      <c r="F601" s="3"/>
      <c r="H601" s="3"/>
    </row>
    <row r="602" ht="15.75" customHeight="1">
      <c r="A602" s="3"/>
      <c r="B602" s="3"/>
      <c r="C602" s="3"/>
      <c r="D602" s="3"/>
      <c r="E602" s="3"/>
      <c r="F602" s="3"/>
      <c r="H602" s="3"/>
    </row>
    <row r="603" ht="15.75" customHeight="1">
      <c r="A603" s="3"/>
      <c r="B603" s="3"/>
      <c r="C603" s="3"/>
      <c r="D603" s="3"/>
      <c r="E603" s="3"/>
      <c r="F603" s="3"/>
      <c r="H603" s="3"/>
    </row>
    <row r="604" ht="15.75" customHeight="1">
      <c r="A604" s="3"/>
      <c r="B604" s="3"/>
      <c r="C604" s="3"/>
      <c r="D604" s="3"/>
      <c r="E604" s="3"/>
      <c r="F604" s="3"/>
      <c r="H604" s="3"/>
    </row>
    <row r="605" ht="15.75" customHeight="1">
      <c r="A605" s="3"/>
      <c r="B605" s="3"/>
      <c r="C605" s="3"/>
      <c r="D605" s="3"/>
      <c r="E605" s="3"/>
      <c r="F605" s="3"/>
      <c r="H605" s="3"/>
    </row>
    <row r="606" ht="15.75" customHeight="1">
      <c r="A606" s="3"/>
      <c r="B606" s="3"/>
      <c r="C606" s="3"/>
      <c r="D606" s="3"/>
      <c r="E606" s="3"/>
      <c r="F606" s="3"/>
      <c r="H606" s="3"/>
    </row>
    <row r="607" ht="15.75" customHeight="1">
      <c r="A607" s="3"/>
      <c r="B607" s="3"/>
      <c r="C607" s="3"/>
      <c r="D607" s="3"/>
      <c r="E607" s="3"/>
      <c r="F607" s="3"/>
      <c r="H607" s="3"/>
    </row>
    <row r="608" ht="15.75" customHeight="1">
      <c r="A608" s="3"/>
      <c r="B608" s="3"/>
      <c r="C608" s="3"/>
      <c r="D608" s="3"/>
      <c r="E608" s="3"/>
      <c r="F608" s="3"/>
      <c r="H608" s="3"/>
    </row>
    <row r="609" ht="15.75" customHeight="1">
      <c r="A609" s="3"/>
      <c r="B609" s="3"/>
      <c r="C609" s="3"/>
      <c r="D609" s="3"/>
      <c r="E609" s="3"/>
      <c r="F609" s="3"/>
      <c r="H609" s="3"/>
    </row>
    <row r="610" ht="15.75" customHeight="1">
      <c r="A610" s="3"/>
      <c r="B610" s="3"/>
      <c r="C610" s="3"/>
      <c r="D610" s="3"/>
      <c r="E610" s="3"/>
      <c r="F610" s="3"/>
      <c r="H610" s="3"/>
    </row>
    <row r="611" ht="15.75" customHeight="1">
      <c r="A611" s="3"/>
      <c r="B611" s="3"/>
      <c r="C611" s="3"/>
      <c r="D611" s="3"/>
      <c r="E611" s="3"/>
      <c r="F611" s="3"/>
      <c r="H611" s="3"/>
    </row>
    <row r="612" ht="15.75" customHeight="1">
      <c r="A612" s="3"/>
      <c r="B612" s="3"/>
      <c r="C612" s="3"/>
      <c r="D612" s="3"/>
      <c r="E612" s="3"/>
      <c r="F612" s="3"/>
      <c r="H612" s="3"/>
    </row>
    <row r="613" ht="15.75" customHeight="1">
      <c r="A613" s="3"/>
      <c r="B613" s="3"/>
      <c r="C613" s="3"/>
      <c r="D613" s="3"/>
      <c r="E613" s="3"/>
      <c r="F613" s="3"/>
      <c r="H613" s="3"/>
    </row>
    <row r="614" ht="15.75" customHeight="1">
      <c r="A614" s="3"/>
      <c r="B614" s="3"/>
      <c r="C614" s="3"/>
      <c r="D614" s="3"/>
      <c r="E614" s="3"/>
      <c r="F614" s="3"/>
      <c r="H614" s="3"/>
    </row>
    <row r="615" ht="15.75" customHeight="1">
      <c r="A615" s="3"/>
      <c r="B615" s="3"/>
      <c r="C615" s="3"/>
      <c r="D615" s="3"/>
      <c r="E615" s="3"/>
      <c r="F615" s="3"/>
      <c r="H615" s="3"/>
    </row>
    <row r="616" ht="15.75" customHeight="1">
      <c r="A616" s="3"/>
      <c r="B616" s="3"/>
      <c r="C616" s="3"/>
      <c r="D616" s="3"/>
      <c r="E616" s="3"/>
      <c r="F616" s="3"/>
      <c r="H616" s="3"/>
    </row>
    <row r="617" ht="15.75" customHeight="1">
      <c r="A617" s="3"/>
      <c r="B617" s="3"/>
      <c r="C617" s="3"/>
      <c r="D617" s="3"/>
      <c r="E617" s="3"/>
      <c r="F617" s="3"/>
      <c r="H617" s="3"/>
    </row>
    <row r="618" ht="15.75" customHeight="1">
      <c r="A618" s="3"/>
      <c r="B618" s="3"/>
      <c r="C618" s="3"/>
      <c r="D618" s="3"/>
      <c r="E618" s="3"/>
      <c r="F618" s="3"/>
      <c r="H618" s="3"/>
    </row>
    <row r="619" ht="15.75" customHeight="1">
      <c r="A619" s="3"/>
      <c r="B619" s="3"/>
      <c r="C619" s="3"/>
      <c r="D619" s="3"/>
      <c r="E619" s="3"/>
      <c r="F619" s="3"/>
      <c r="H619" s="3"/>
    </row>
    <row r="620" ht="15.75" customHeight="1">
      <c r="A620" s="3"/>
      <c r="B620" s="3"/>
      <c r="C620" s="3"/>
      <c r="D620" s="3"/>
      <c r="E620" s="3"/>
      <c r="F620" s="3"/>
      <c r="H620" s="3"/>
    </row>
    <row r="621" ht="15.75" customHeight="1">
      <c r="A621" s="3"/>
      <c r="B621" s="3"/>
      <c r="C621" s="3"/>
      <c r="D621" s="3"/>
      <c r="E621" s="3"/>
      <c r="F621" s="3"/>
      <c r="H621" s="3"/>
    </row>
    <row r="622" ht="15.75" customHeight="1">
      <c r="A622" s="3"/>
      <c r="B622" s="3"/>
      <c r="C622" s="3"/>
      <c r="D622" s="3"/>
      <c r="E622" s="3"/>
      <c r="F622" s="3"/>
      <c r="H622" s="3"/>
    </row>
    <row r="623" ht="15.75" customHeight="1">
      <c r="A623" s="3"/>
      <c r="B623" s="3"/>
      <c r="C623" s="3"/>
      <c r="D623" s="3"/>
      <c r="E623" s="3"/>
      <c r="F623" s="3"/>
      <c r="H623" s="3"/>
    </row>
    <row r="624" ht="15.75" customHeight="1">
      <c r="A624" s="3"/>
      <c r="B624" s="3"/>
      <c r="C624" s="3"/>
      <c r="D624" s="3"/>
      <c r="E624" s="3"/>
      <c r="F624" s="3"/>
      <c r="H624" s="3"/>
    </row>
    <row r="625" ht="15.75" customHeight="1">
      <c r="A625" s="3"/>
      <c r="B625" s="3"/>
      <c r="C625" s="3"/>
      <c r="D625" s="3"/>
      <c r="E625" s="3"/>
      <c r="F625" s="3"/>
      <c r="H625" s="3"/>
    </row>
    <row r="626" ht="15.75" customHeight="1">
      <c r="A626" s="3"/>
      <c r="B626" s="3"/>
      <c r="C626" s="3"/>
      <c r="D626" s="3"/>
      <c r="E626" s="3"/>
      <c r="F626" s="3"/>
      <c r="H626" s="3"/>
    </row>
    <row r="627" ht="15.75" customHeight="1">
      <c r="A627" s="3"/>
      <c r="B627" s="3"/>
      <c r="C627" s="3"/>
      <c r="D627" s="3"/>
      <c r="E627" s="3"/>
      <c r="F627" s="3"/>
      <c r="H627" s="3"/>
    </row>
    <row r="628" ht="15.75" customHeight="1">
      <c r="A628" s="3"/>
      <c r="B628" s="3"/>
      <c r="C628" s="3"/>
      <c r="D628" s="3"/>
      <c r="E628" s="3"/>
      <c r="F628" s="3"/>
      <c r="H628" s="3"/>
    </row>
    <row r="629" ht="15.75" customHeight="1">
      <c r="A629" s="3"/>
      <c r="B629" s="3"/>
      <c r="C629" s="3"/>
      <c r="D629" s="3"/>
      <c r="E629" s="3"/>
      <c r="F629" s="3"/>
      <c r="H629" s="3"/>
    </row>
    <row r="630" ht="15.75" customHeight="1">
      <c r="A630" s="3"/>
      <c r="B630" s="3"/>
      <c r="C630" s="3"/>
      <c r="D630" s="3"/>
      <c r="E630" s="3"/>
      <c r="F630" s="3"/>
      <c r="H630" s="3"/>
    </row>
    <row r="631" ht="15.75" customHeight="1">
      <c r="A631" s="3"/>
      <c r="B631" s="3"/>
      <c r="C631" s="3"/>
      <c r="D631" s="3"/>
      <c r="E631" s="3"/>
      <c r="F631" s="3"/>
      <c r="H631" s="3"/>
    </row>
    <row r="632" ht="15.75" customHeight="1">
      <c r="A632" s="3"/>
      <c r="B632" s="3"/>
      <c r="C632" s="3"/>
      <c r="D632" s="3"/>
      <c r="E632" s="3"/>
      <c r="F632" s="3"/>
      <c r="H632" s="3"/>
    </row>
    <row r="633" ht="15.75" customHeight="1">
      <c r="A633" s="3"/>
      <c r="B633" s="3"/>
      <c r="C633" s="3"/>
      <c r="D633" s="3"/>
      <c r="E633" s="3"/>
      <c r="F633" s="3"/>
      <c r="H633" s="3"/>
    </row>
    <row r="634" ht="15.75" customHeight="1">
      <c r="A634" s="3"/>
      <c r="B634" s="3"/>
      <c r="C634" s="3"/>
      <c r="D634" s="3"/>
      <c r="E634" s="3"/>
      <c r="F634" s="3"/>
      <c r="H634" s="3"/>
    </row>
    <row r="635" ht="15.75" customHeight="1">
      <c r="A635" s="3"/>
      <c r="B635" s="3"/>
      <c r="C635" s="3"/>
      <c r="D635" s="3"/>
      <c r="E635" s="3"/>
      <c r="F635" s="3"/>
      <c r="H635" s="3"/>
    </row>
    <row r="636" ht="15.75" customHeight="1">
      <c r="A636" s="3"/>
      <c r="B636" s="3"/>
      <c r="C636" s="3"/>
      <c r="D636" s="3"/>
      <c r="E636" s="3"/>
      <c r="F636" s="3"/>
      <c r="H636" s="3"/>
    </row>
    <row r="637" ht="15.75" customHeight="1">
      <c r="A637" s="3"/>
      <c r="B637" s="3"/>
      <c r="C637" s="3"/>
      <c r="D637" s="3"/>
      <c r="E637" s="3"/>
      <c r="F637" s="3"/>
      <c r="H637" s="3"/>
    </row>
    <row r="638" ht="15.75" customHeight="1">
      <c r="A638" s="3"/>
      <c r="B638" s="3"/>
      <c r="C638" s="3"/>
      <c r="D638" s="3"/>
      <c r="E638" s="3"/>
      <c r="F638" s="3"/>
      <c r="H638" s="3"/>
    </row>
    <row r="639" ht="15.75" customHeight="1">
      <c r="A639" s="3"/>
      <c r="B639" s="3"/>
      <c r="C639" s="3"/>
      <c r="D639" s="3"/>
      <c r="E639" s="3"/>
      <c r="F639" s="3"/>
      <c r="H639" s="3"/>
    </row>
    <row r="640" ht="15.75" customHeight="1">
      <c r="A640" s="3"/>
      <c r="B640" s="3"/>
      <c r="C640" s="3"/>
      <c r="D640" s="3"/>
      <c r="E640" s="3"/>
      <c r="F640" s="3"/>
      <c r="H640" s="3"/>
    </row>
    <row r="641" ht="15.75" customHeight="1">
      <c r="A641" s="3"/>
      <c r="B641" s="3"/>
      <c r="C641" s="3"/>
      <c r="D641" s="3"/>
      <c r="E641" s="3"/>
      <c r="F641" s="3"/>
      <c r="H641" s="3"/>
    </row>
    <row r="642" ht="15.75" customHeight="1">
      <c r="A642" s="3"/>
      <c r="B642" s="3"/>
      <c r="C642" s="3"/>
      <c r="D642" s="3"/>
      <c r="E642" s="3"/>
      <c r="F642" s="3"/>
      <c r="H642" s="3"/>
    </row>
    <row r="643" ht="15.75" customHeight="1">
      <c r="A643" s="3"/>
      <c r="B643" s="3"/>
      <c r="C643" s="3"/>
      <c r="D643" s="3"/>
      <c r="E643" s="3"/>
      <c r="F643" s="3"/>
      <c r="H643" s="3"/>
    </row>
    <row r="644" ht="15.75" customHeight="1">
      <c r="A644" s="3"/>
      <c r="B644" s="3"/>
      <c r="C644" s="3"/>
      <c r="D644" s="3"/>
      <c r="E644" s="3"/>
      <c r="F644" s="3"/>
      <c r="H644" s="3"/>
    </row>
    <row r="645" ht="15.75" customHeight="1">
      <c r="A645" s="3"/>
      <c r="B645" s="3"/>
      <c r="C645" s="3"/>
      <c r="D645" s="3"/>
      <c r="E645" s="3"/>
      <c r="F645" s="3"/>
      <c r="H645" s="3"/>
    </row>
    <row r="646" ht="15.75" customHeight="1">
      <c r="A646" s="3"/>
      <c r="B646" s="3"/>
      <c r="C646" s="3"/>
      <c r="D646" s="3"/>
      <c r="E646" s="3"/>
      <c r="F646" s="3"/>
      <c r="H646" s="3"/>
    </row>
    <row r="647" ht="15.75" customHeight="1">
      <c r="A647" s="3"/>
      <c r="B647" s="3"/>
      <c r="C647" s="3"/>
      <c r="D647" s="3"/>
      <c r="E647" s="3"/>
      <c r="F647" s="3"/>
      <c r="H647" s="3"/>
    </row>
    <row r="648" ht="15.75" customHeight="1">
      <c r="A648" s="3"/>
      <c r="B648" s="3"/>
      <c r="C648" s="3"/>
      <c r="D648" s="3"/>
      <c r="E648" s="3"/>
      <c r="F648" s="3"/>
      <c r="H648" s="3"/>
    </row>
    <row r="649" ht="15.75" customHeight="1">
      <c r="A649" s="3"/>
      <c r="B649" s="3"/>
      <c r="C649" s="3"/>
      <c r="D649" s="3"/>
      <c r="E649" s="3"/>
      <c r="F649" s="3"/>
      <c r="H649" s="3"/>
    </row>
    <row r="650" ht="15.75" customHeight="1">
      <c r="A650" s="3"/>
      <c r="B650" s="3"/>
      <c r="C650" s="3"/>
      <c r="D650" s="3"/>
      <c r="E650" s="3"/>
      <c r="F650" s="3"/>
      <c r="H650" s="3"/>
    </row>
    <row r="651" ht="15.75" customHeight="1">
      <c r="A651" s="3"/>
      <c r="B651" s="3"/>
      <c r="C651" s="3"/>
      <c r="D651" s="3"/>
      <c r="E651" s="3"/>
      <c r="F651" s="3"/>
      <c r="H651" s="3"/>
    </row>
    <row r="652" ht="15.75" customHeight="1">
      <c r="A652" s="3"/>
      <c r="B652" s="3"/>
      <c r="C652" s="3"/>
      <c r="D652" s="3"/>
      <c r="E652" s="3"/>
      <c r="F652" s="3"/>
      <c r="H652" s="3"/>
    </row>
    <row r="653" ht="15.75" customHeight="1">
      <c r="A653" s="3"/>
      <c r="B653" s="3"/>
      <c r="C653" s="3"/>
      <c r="D653" s="3"/>
      <c r="E653" s="3"/>
      <c r="F653" s="3"/>
      <c r="H653" s="3"/>
    </row>
    <row r="654" ht="15.75" customHeight="1">
      <c r="A654" s="3"/>
      <c r="B654" s="3"/>
      <c r="C654" s="3"/>
      <c r="D654" s="3"/>
      <c r="E654" s="3"/>
      <c r="F654" s="3"/>
      <c r="H654" s="3"/>
    </row>
    <row r="655" ht="15.75" customHeight="1">
      <c r="A655" s="3"/>
      <c r="B655" s="3"/>
      <c r="C655" s="3"/>
      <c r="D655" s="3"/>
      <c r="E655" s="3"/>
      <c r="F655" s="3"/>
      <c r="H655" s="3"/>
    </row>
    <row r="656" ht="15.75" customHeight="1">
      <c r="A656" s="3"/>
      <c r="B656" s="3"/>
      <c r="C656" s="3"/>
      <c r="D656" s="3"/>
      <c r="E656" s="3"/>
      <c r="F656" s="3"/>
      <c r="H656" s="3"/>
    </row>
    <row r="657" ht="15.75" customHeight="1">
      <c r="A657" s="3"/>
      <c r="B657" s="3"/>
      <c r="C657" s="3"/>
      <c r="D657" s="3"/>
      <c r="E657" s="3"/>
      <c r="F657" s="3"/>
      <c r="H657" s="3"/>
    </row>
    <row r="658" ht="15.75" customHeight="1">
      <c r="A658" s="3"/>
      <c r="B658" s="3"/>
      <c r="C658" s="3"/>
      <c r="D658" s="3"/>
      <c r="E658" s="3"/>
      <c r="F658" s="3"/>
      <c r="H658" s="3"/>
    </row>
    <row r="659" ht="15.75" customHeight="1">
      <c r="A659" s="3"/>
      <c r="B659" s="3"/>
      <c r="C659" s="3"/>
      <c r="D659" s="3"/>
      <c r="E659" s="3"/>
      <c r="F659" s="3"/>
      <c r="H659" s="3"/>
    </row>
    <row r="660" ht="15.75" customHeight="1">
      <c r="A660" s="3"/>
      <c r="B660" s="3"/>
      <c r="C660" s="3"/>
      <c r="D660" s="3"/>
      <c r="E660" s="3"/>
      <c r="F660" s="3"/>
      <c r="H660" s="3"/>
    </row>
    <row r="661" ht="15.75" customHeight="1">
      <c r="A661" s="3"/>
      <c r="B661" s="3"/>
      <c r="C661" s="3"/>
      <c r="D661" s="3"/>
      <c r="E661" s="3"/>
      <c r="F661" s="3"/>
      <c r="H661" s="3"/>
    </row>
    <row r="662" ht="15.75" customHeight="1">
      <c r="A662" s="3"/>
      <c r="B662" s="3"/>
      <c r="C662" s="3"/>
      <c r="D662" s="3"/>
      <c r="E662" s="3"/>
      <c r="F662" s="3"/>
      <c r="H662" s="3"/>
    </row>
    <row r="663" ht="15.75" customHeight="1">
      <c r="A663" s="3"/>
      <c r="B663" s="3"/>
      <c r="C663" s="3"/>
      <c r="D663" s="3"/>
      <c r="E663" s="3"/>
      <c r="F663" s="3"/>
      <c r="H663" s="3"/>
    </row>
    <row r="664" ht="15.75" customHeight="1">
      <c r="A664" s="3"/>
      <c r="B664" s="3"/>
      <c r="C664" s="3"/>
      <c r="D664" s="3"/>
      <c r="E664" s="3"/>
      <c r="F664" s="3"/>
      <c r="H664" s="3"/>
    </row>
    <row r="665" ht="15.75" customHeight="1">
      <c r="A665" s="3"/>
      <c r="B665" s="3"/>
      <c r="C665" s="3"/>
      <c r="D665" s="3"/>
      <c r="E665" s="3"/>
      <c r="F665" s="3"/>
      <c r="H665" s="3"/>
    </row>
    <row r="666" ht="15.75" customHeight="1">
      <c r="A666" s="3"/>
      <c r="B666" s="3"/>
      <c r="C666" s="3"/>
      <c r="D666" s="3"/>
      <c r="E666" s="3"/>
      <c r="F666" s="3"/>
      <c r="H666" s="3"/>
    </row>
    <row r="667" ht="15.75" customHeight="1">
      <c r="A667" s="3"/>
      <c r="B667" s="3"/>
      <c r="C667" s="3"/>
      <c r="D667" s="3"/>
      <c r="E667" s="3"/>
      <c r="F667" s="3"/>
      <c r="H667" s="3"/>
    </row>
    <row r="668" ht="15.75" customHeight="1">
      <c r="A668" s="3"/>
      <c r="B668" s="3"/>
      <c r="C668" s="3"/>
      <c r="D668" s="3"/>
      <c r="E668" s="3"/>
      <c r="F668" s="3"/>
      <c r="H668" s="3"/>
    </row>
    <row r="669" ht="15.75" customHeight="1">
      <c r="A669" s="3"/>
      <c r="B669" s="3"/>
      <c r="C669" s="3"/>
      <c r="D669" s="3"/>
      <c r="E669" s="3"/>
      <c r="F669" s="3"/>
      <c r="H669" s="3"/>
    </row>
    <row r="670" ht="15.75" customHeight="1">
      <c r="A670" s="3"/>
      <c r="B670" s="3"/>
      <c r="C670" s="3"/>
      <c r="D670" s="3"/>
      <c r="E670" s="3"/>
      <c r="F670" s="3"/>
      <c r="H670" s="3"/>
    </row>
    <row r="671" ht="15.75" customHeight="1">
      <c r="A671" s="3"/>
      <c r="B671" s="3"/>
      <c r="C671" s="3"/>
      <c r="D671" s="3"/>
      <c r="E671" s="3"/>
      <c r="F671" s="3"/>
      <c r="H671" s="3"/>
    </row>
    <row r="672" ht="15.75" customHeight="1">
      <c r="A672" s="3"/>
      <c r="B672" s="3"/>
      <c r="C672" s="3"/>
      <c r="D672" s="3"/>
      <c r="E672" s="3"/>
      <c r="F672" s="3"/>
      <c r="H672" s="3"/>
    </row>
    <row r="673" ht="15.75" customHeight="1">
      <c r="A673" s="3"/>
      <c r="B673" s="3"/>
      <c r="C673" s="3"/>
      <c r="D673" s="3"/>
      <c r="E673" s="3"/>
      <c r="F673" s="3"/>
      <c r="H673" s="3"/>
    </row>
    <row r="674" ht="15.75" customHeight="1">
      <c r="A674" s="3"/>
      <c r="B674" s="3"/>
      <c r="C674" s="3"/>
      <c r="D674" s="3"/>
      <c r="E674" s="3"/>
      <c r="F674" s="3"/>
      <c r="H674" s="3"/>
    </row>
    <row r="675" ht="15.75" customHeight="1">
      <c r="A675" s="3"/>
      <c r="B675" s="3"/>
      <c r="C675" s="3"/>
      <c r="D675" s="3"/>
      <c r="E675" s="3"/>
      <c r="F675" s="3"/>
      <c r="H675" s="3"/>
    </row>
    <row r="676" ht="15.75" customHeight="1">
      <c r="A676" s="3"/>
      <c r="B676" s="3"/>
      <c r="C676" s="3"/>
      <c r="D676" s="3"/>
      <c r="E676" s="3"/>
      <c r="F676" s="3"/>
      <c r="H676" s="3"/>
    </row>
    <row r="677" ht="15.75" customHeight="1">
      <c r="A677" s="3"/>
      <c r="B677" s="3"/>
      <c r="C677" s="3"/>
      <c r="D677" s="3"/>
      <c r="E677" s="3"/>
      <c r="F677" s="3"/>
      <c r="H677" s="3"/>
    </row>
    <row r="678" ht="15.75" customHeight="1">
      <c r="A678" s="3"/>
      <c r="B678" s="3"/>
      <c r="C678" s="3"/>
      <c r="D678" s="3"/>
      <c r="E678" s="3"/>
      <c r="F678" s="3"/>
      <c r="H678" s="3"/>
    </row>
    <row r="679" ht="15.75" customHeight="1">
      <c r="A679" s="3"/>
      <c r="B679" s="3"/>
      <c r="C679" s="3"/>
      <c r="D679" s="3"/>
      <c r="E679" s="3"/>
      <c r="F679" s="3"/>
      <c r="H679" s="3"/>
    </row>
    <row r="680" ht="15.75" customHeight="1">
      <c r="A680" s="3"/>
      <c r="B680" s="3"/>
      <c r="C680" s="3"/>
      <c r="D680" s="3"/>
      <c r="E680" s="3"/>
      <c r="F680" s="3"/>
      <c r="H680" s="3"/>
    </row>
    <row r="681" ht="15.75" customHeight="1">
      <c r="A681" s="3"/>
      <c r="B681" s="3"/>
      <c r="C681" s="3"/>
      <c r="D681" s="3"/>
      <c r="E681" s="3"/>
      <c r="F681" s="3"/>
      <c r="H681" s="3"/>
    </row>
    <row r="682" ht="15.75" customHeight="1">
      <c r="A682" s="3"/>
      <c r="B682" s="3"/>
      <c r="C682" s="3"/>
      <c r="D682" s="3"/>
      <c r="E682" s="3"/>
      <c r="F682" s="3"/>
      <c r="H682" s="3"/>
    </row>
    <row r="683" ht="15.75" customHeight="1">
      <c r="A683" s="3"/>
      <c r="B683" s="3"/>
      <c r="C683" s="3"/>
      <c r="D683" s="3"/>
      <c r="E683" s="3"/>
      <c r="F683" s="3"/>
      <c r="H683" s="3"/>
    </row>
    <row r="684" ht="15.75" customHeight="1">
      <c r="A684" s="3"/>
      <c r="B684" s="3"/>
      <c r="C684" s="3"/>
      <c r="D684" s="3"/>
      <c r="E684" s="3"/>
      <c r="F684" s="3"/>
      <c r="H684" s="3"/>
    </row>
    <row r="685" ht="15.75" customHeight="1">
      <c r="A685" s="3"/>
      <c r="B685" s="3"/>
      <c r="C685" s="3"/>
      <c r="D685" s="3"/>
      <c r="E685" s="3"/>
      <c r="F685" s="3"/>
      <c r="H685" s="3"/>
    </row>
    <row r="686" ht="15.75" customHeight="1">
      <c r="A686" s="3"/>
      <c r="B686" s="3"/>
      <c r="C686" s="3"/>
      <c r="D686" s="3"/>
      <c r="E686" s="3"/>
      <c r="F686" s="3"/>
      <c r="H686" s="3"/>
    </row>
    <row r="687" ht="15.75" customHeight="1">
      <c r="A687" s="3"/>
      <c r="B687" s="3"/>
      <c r="C687" s="3"/>
      <c r="D687" s="3"/>
      <c r="E687" s="3"/>
      <c r="F687" s="3"/>
      <c r="H687" s="3"/>
    </row>
    <row r="688" ht="15.75" customHeight="1">
      <c r="A688" s="3"/>
      <c r="B688" s="3"/>
      <c r="C688" s="3"/>
      <c r="D688" s="3"/>
      <c r="E688" s="3"/>
      <c r="F688" s="3"/>
      <c r="H688" s="3"/>
    </row>
    <row r="689" ht="15.75" customHeight="1">
      <c r="A689" s="3"/>
      <c r="B689" s="3"/>
      <c r="C689" s="3"/>
      <c r="D689" s="3"/>
      <c r="E689" s="3"/>
      <c r="F689" s="3"/>
      <c r="H689" s="3"/>
    </row>
    <row r="690" ht="15.75" customHeight="1">
      <c r="A690" s="3"/>
      <c r="B690" s="3"/>
      <c r="C690" s="3"/>
      <c r="D690" s="3"/>
      <c r="E690" s="3"/>
      <c r="F690" s="3"/>
      <c r="H690" s="3"/>
    </row>
    <row r="691" ht="15.75" customHeight="1">
      <c r="A691" s="3"/>
      <c r="B691" s="3"/>
      <c r="C691" s="3"/>
      <c r="D691" s="3"/>
      <c r="E691" s="3"/>
      <c r="F691" s="3"/>
      <c r="H691" s="3"/>
    </row>
    <row r="692" ht="15.75" customHeight="1">
      <c r="A692" s="3"/>
      <c r="B692" s="3"/>
      <c r="C692" s="3"/>
      <c r="D692" s="3"/>
      <c r="E692" s="3"/>
      <c r="F692" s="3"/>
      <c r="H692" s="3"/>
    </row>
    <row r="693" ht="15.75" customHeight="1">
      <c r="A693" s="3"/>
      <c r="B693" s="3"/>
      <c r="C693" s="3"/>
      <c r="D693" s="3"/>
      <c r="E693" s="3"/>
      <c r="F693" s="3"/>
      <c r="H693" s="3"/>
    </row>
    <row r="694" ht="15.75" customHeight="1">
      <c r="A694" s="3"/>
      <c r="B694" s="3"/>
      <c r="C694" s="3"/>
      <c r="D694" s="3"/>
      <c r="E694" s="3"/>
      <c r="F694" s="3"/>
      <c r="H694" s="3"/>
    </row>
    <row r="695" ht="15.75" customHeight="1">
      <c r="A695" s="3"/>
      <c r="B695" s="3"/>
      <c r="C695" s="3"/>
      <c r="D695" s="3"/>
      <c r="E695" s="3"/>
      <c r="F695" s="3"/>
      <c r="H695" s="3"/>
    </row>
    <row r="696" ht="15.75" customHeight="1">
      <c r="A696" s="3"/>
      <c r="B696" s="3"/>
      <c r="C696" s="3"/>
      <c r="D696" s="3"/>
      <c r="E696" s="3"/>
      <c r="F696" s="3"/>
      <c r="H696" s="3"/>
    </row>
    <row r="697" ht="15.75" customHeight="1">
      <c r="A697" s="3"/>
      <c r="B697" s="3"/>
      <c r="C697" s="3"/>
      <c r="D697" s="3"/>
      <c r="E697" s="3"/>
      <c r="F697" s="3"/>
      <c r="H697" s="3"/>
    </row>
    <row r="698" ht="15.75" customHeight="1">
      <c r="A698" s="3"/>
      <c r="B698" s="3"/>
      <c r="C698" s="3"/>
      <c r="D698" s="3"/>
      <c r="E698" s="3"/>
      <c r="F698" s="3"/>
      <c r="H698" s="3"/>
    </row>
    <row r="699" ht="15.75" customHeight="1">
      <c r="A699" s="3"/>
      <c r="B699" s="3"/>
      <c r="C699" s="3"/>
      <c r="D699" s="3"/>
      <c r="E699" s="3"/>
      <c r="F699" s="3"/>
      <c r="H699" s="3"/>
    </row>
    <row r="700" ht="15.75" customHeight="1">
      <c r="A700" s="3"/>
      <c r="B700" s="3"/>
      <c r="C700" s="3"/>
      <c r="D700" s="3"/>
      <c r="E700" s="3"/>
      <c r="F700" s="3"/>
      <c r="H700" s="3"/>
    </row>
    <row r="701" ht="15.75" customHeight="1">
      <c r="A701" s="3"/>
      <c r="B701" s="3"/>
      <c r="C701" s="3"/>
      <c r="D701" s="3"/>
      <c r="E701" s="3"/>
      <c r="F701" s="3"/>
      <c r="H701" s="3"/>
    </row>
    <row r="702" ht="15.75" customHeight="1">
      <c r="A702" s="3"/>
      <c r="B702" s="3"/>
      <c r="C702" s="3"/>
      <c r="D702" s="3"/>
      <c r="E702" s="3"/>
      <c r="F702" s="3"/>
      <c r="H702" s="3"/>
    </row>
    <row r="703" ht="15.75" customHeight="1">
      <c r="A703" s="3"/>
      <c r="B703" s="3"/>
      <c r="C703" s="3"/>
      <c r="D703" s="3"/>
      <c r="E703" s="3"/>
      <c r="F703" s="3"/>
      <c r="H703" s="3"/>
    </row>
    <row r="704" ht="15.75" customHeight="1">
      <c r="A704" s="3"/>
      <c r="B704" s="3"/>
      <c r="C704" s="3"/>
      <c r="D704" s="3"/>
      <c r="E704" s="3"/>
      <c r="F704" s="3"/>
      <c r="H704" s="3"/>
    </row>
    <row r="705" ht="15.75" customHeight="1">
      <c r="A705" s="3"/>
      <c r="B705" s="3"/>
      <c r="C705" s="3"/>
      <c r="D705" s="3"/>
      <c r="E705" s="3"/>
      <c r="F705" s="3"/>
      <c r="H705" s="3"/>
    </row>
    <row r="706" ht="15.75" customHeight="1">
      <c r="A706" s="3"/>
      <c r="B706" s="3"/>
      <c r="C706" s="3"/>
      <c r="D706" s="3"/>
      <c r="E706" s="3"/>
      <c r="F706" s="3"/>
      <c r="H706" s="3"/>
    </row>
    <row r="707" ht="15.75" customHeight="1">
      <c r="A707" s="3"/>
      <c r="B707" s="3"/>
      <c r="C707" s="3"/>
      <c r="D707" s="3"/>
      <c r="E707" s="3"/>
      <c r="F707" s="3"/>
      <c r="H707" s="3"/>
    </row>
    <row r="708" ht="15.75" customHeight="1">
      <c r="A708" s="3"/>
      <c r="B708" s="3"/>
      <c r="C708" s="3"/>
      <c r="D708" s="3"/>
      <c r="E708" s="3"/>
      <c r="F708" s="3"/>
      <c r="H708" s="3"/>
    </row>
    <row r="709" ht="15.75" customHeight="1">
      <c r="A709" s="3"/>
      <c r="B709" s="3"/>
      <c r="C709" s="3"/>
      <c r="D709" s="3"/>
      <c r="E709" s="3"/>
      <c r="F709" s="3"/>
      <c r="H709" s="3"/>
    </row>
    <row r="710" ht="15.75" customHeight="1">
      <c r="A710" s="3"/>
      <c r="B710" s="3"/>
      <c r="C710" s="3"/>
      <c r="D710" s="3"/>
      <c r="E710" s="3"/>
      <c r="F710" s="3"/>
      <c r="H710" s="3"/>
    </row>
    <row r="711" ht="15.75" customHeight="1">
      <c r="A711" s="3"/>
      <c r="B711" s="3"/>
      <c r="C711" s="3"/>
      <c r="D711" s="3"/>
      <c r="E711" s="3"/>
      <c r="F711" s="3"/>
      <c r="H711" s="3"/>
    </row>
    <row r="712" ht="15.75" customHeight="1">
      <c r="A712" s="3"/>
      <c r="B712" s="3"/>
      <c r="C712" s="3"/>
      <c r="D712" s="3"/>
      <c r="E712" s="3"/>
      <c r="F712" s="3"/>
      <c r="H712" s="3"/>
    </row>
    <row r="713" ht="15.75" customHeight="1">
      <c r="A713" s="3"/>
      <c r="B713" s="3"/>
      <c r="C713" s="3"/>
      <c r="D713" s="3"/>
      <c r="E713" s="3"/>
      <c r="F713" s="3"/>
      <c r="H713" s="3"/>
    </row>
    <row r="714" ht="15.75" customHeight="1">
      <c r="A714" s="3"/>
      <c r="B714" s="3"/>
      <c r="C714" s="3"/>
      <c r="D714" s="3"/>
      <c r="E714" s="3"/>
      <c r="F714" s="3"/>
      <c r="H714" s="3"/>
    </row>
    <row r="715" ht="15.75" customHeight="1">
      <c r="A715" s="3"/>
      <c r="B715" s="3"/>
      <c r="C715" s="3"/>
      <c r="D715" s="3"/>
      <c r="E715" s="3"/>
      <c r="F715" s="3"/>
      <c r="H715" s="3"/>
    </row>
    <row r="716" ht="15.75" customHeight="1">
      <c r="A716" s="3"/>
      <c r="B716" s="3"/>
      <c r="C716" s="3"/>
      <c r="D716" s="3"/>
      <c r="E716" s="3"/>
      <c r="F716" s="3"/>
      <c r="H716" s="3"/>
    </row>
    <row r="717" ht="15.75" customHeight="1">
      <c r="A717" s="3"/>
      <c r="B717" s="3"/>
      <c r="C717" s="3"/>
      <c r="D717" s="3"/>
      <c r="E717" s="3"/>
      <c r="F717" s="3"/>
      <c r="H717" s="3"/>
    </row>
    <row r="718" ht="15.75" customHeight="1">
      <c r="A718" s="3"/>
      <c r="B718" s="3"/>
      <c r="C718" s="3"/>
      <c r="D718" s="3"/>
      <c r="E718" s="3"/>
      <c r="F718" s="3"/>
      <c r="H718" s="3"/>
    </row>
    <row r="719" ht="15.75" customHeight="1">
      <c r="A719" s="3"/>
      <c r="B719" s="3"/>
      <c r="C719" s="3"/>
      <c r="D719" s="3"/>
      <c r="E719" s="3"/>
      <c r="F719" s="3"/>
      <c r="H719" s="3"/>
    </row>
    <row r="720" ht="15.75" customHeight="1">
      <c r="A720" s="3"/>
      <c r="B720" s="3"/>
      <c r="C720" s="3"/>
      <c r="D720" s="3"/>
      <c r="E720" s="3"/>
      <c r="F720" s="3"/>
      <c r="H720" s="3"/>
    </row>
    <row r="721" ht="15.75" customHeight="1">
      <c r="A721" s="3"/>
      <c r="B721" s="3"/>
      <c r="C721" s="3"/>
      <c r="D721" s="3"/>
      <c r="E721" s="3"/>
      <c r="F721" s="3"/>
      <c r="H721" s="3"/>
    </row>
    <row r="722" ht="15.75" customHeight="1">
      <c r="A722" s="3"/>
      <c r="B722" s="3"/>
      <c r="C722" s="3"/>
      <c r="D722" s="3"/>
      <c r="E722" s="3"/>
      <c r="F722" s="3"/>
      <c r="H722" s="3"/>
    </row>
    <row r="723" ht="15.75" customHeight="1">
      <c r="A723" s="3"/>
      <c r="B723" s="3"/>
      <c r="C723" s="3"/>
      <c r="D723" s="3"/>
      <c r="E723" s="3"/>
      <c r="F723" s="3"/>
      <c r="H723" s="3"/>
    </row>
    <row r="724" ht="15.75" customHeight="1">
      <c r="A724" s="3"/>
      <c r="B724" s="3"/>
      <c r="C724" s="3"/>
      <c r="D724" s="3"/>
      <c r="E724" s="3"/>
      <c r="F724" s="3"/>
      <c r="H724" s="3"/>
    </row>
    <row r="725" ht="15.75" customHeight="1">
      <c r="A725" s="3"/>
      <c r="B725" s="3"/>
      <c r="C725" s="3"/>
      <c r="D725" s="3"/>
      <c r="E725" s="3"/>
      <c r="F725" s="3"/>
      <c r="H725" s="3"/>
    </row>
    <row r="726" ht="15.75" customHeight="1">
      <c r="A726" s="3"/>
      <c r="B726" s="3"/>
      <c r="C726" s="3"/>
      <c r="D726" s="3"/>
      <c r="E726" s="3"/>
      <c r="F726" s="3"/>
      <c r="H726" s="3"/>
    </row>
    <row r="727" ht="15.75" customHeight="1">
      <c r="A727" s="3"/>
      <c r="B727" s="3"/>
      <c r="C727" s="3"/>
      <c r="D727" s="3"/>
      <c r="E727" s="3"/>
      <c r="F727" s="3"/>
      <c r="H727" s="3"/>
    </row>
    <row r="728" ht="15.75" customHeight="1">
      <c r="A728" s="3"/>
      <c r="B728" s="3"/>
      <c r="C728" s="3"/>
      <c r="D728" s="3"/>
      <c r="E728" s="3"/>
      <c r="F728" s="3"/>
      <c r="H728" s="3"/>
    </row>
    <row r="729" ht="15.75" customHeight="1">
      <c r="A729" s="3"/>
      <c r="B729" s="3"/>
      <c r="C729" s="3"/>
      <c r="D729" s="3"/>
      <c r="E729" s="3"/>
      <c r="F729" s="3"/>
      <c r="H729" s="3"/>
    </row>
    <row r="730" ht="15.75" customHeight="1">
      <c r="A730" s="3"/>
      <c r="B730" s="3"/>
      <c r="C730" s="3"/>
      <c r="D730" s="3"/>
      <c r="E730" s="3"/>
      <c r="F730" s="3"/>
      <c r="H730" s="3"/>
    </row>
    <row r="731" ht="15.75" customHeight="1">
      <c r="A731" s="3"/>
      <c r="B731" s="3"/>
      <c r="C731" s="3"/>
      <c r="D731" s="3"/>
      <c r="E731" s="3"/>
      <c r="F731" s="3"/>
      <c r="H731" s="3"/>
    </row>
    <row r="732" ht="15.75" customHeight="1">
      <c r="A732" s="3"/>
      <c r="B732" s="3"/>
      <c r="C732" s="3"/>
      <c r="D732" s="3"/>
      <c r="E732" s="3"/>
      <c r="F732" s="3"/>
      <c r="H732" s="3"/>
    </row>
    <row r="733" ht="15.75" customHeight="1">
      <c r="A733" s="3"/>
      <c r="B733" s="3"/>
      <c r="C733" s="3"/>
      <c r="D733" s="3"/>
      <c r="E733" s="3"/>
      <c r="F733" s="3"/>
      <c r="H733" s="3"/>
    </row>
    <row r="734" ht="15.75" customHeight="1">
      <c r="A734" s="3"/>
      <c r="B734" s="3"/>
      <c r="C734" s="3"/>
      <c r="D734" s="3"/>
      <c r="E734" s="3"/>
      <c r="F734" s="3"/>
      <c r="H734" s="3"/>
    </row>
    <row r="735" ht="15.75" customHeight="1">
      <c r="A735" s="3"/>
      <c r="B735" s="3"/>
      <c r="C735" s="3"/>
      <c r="D735" s="3"/>
      <c r="E735" s="3"/>
      <c r="F735" s="3"/>
      <c r="H735" s="3"/>
    </row>
    <row r="736" ht="15.75" customHeight="1">
      <c r="A736" s="3"/>
      <c r="B736" s="3"/>
      <c r="C736" s="3"/>
      <c r="D736" s="3"/>
      <c r="E736" s="3"/>
      <c r="F736" s="3"/>
      <c r="H736" s="3"/>
    </row>
    <row r="737" ht="15.75" customHeight="1">
      <c r="A737" s="3"/>
      <c r="B737" s="3"/>
      <c r="C737" s="3"/>
      <c r="D737" s="3"/>
      <c r="E737" s="3"/>
      <c r="F737" s="3"/>
      <c r="H737" s="3"/>
    </row>
    <row r="738" ht="15.75" customHeight="1">
      <c r="A738" s="3"/>
      <c r="B738" s="3"/>
      <c r="C738" s="3"/>
      <c r="D738" s="3"/>
      <c r="E738" s="3"/>
      <c r="F738" s="3"/>
      <c r="H738" s="3"/>
    </row>
    <row r="739" ht="15.75" customHeight="1">
      <c r="A739" s="3"/>
      <c r="B739" s="3"/>
      <c r="C739" s="3"/>
      <c r="D739" s="3"/>
      <c r="E739" s="3"/>
      <c r="F739" s="3"/>
      <c r="H739" s="3"/>
    </row>
    <row r="740" ht="15.75" customHeight="1">
      <c r="A740" s="3"/>
      <c r="B740" s="3"/>
      <c r="C740" s="3"/>
      <c r="D740" s="3"/>
      <c r="E740" s="3"/>
      <c r="F740" s="3"/>
      <c r="H740" s="3"/>
    </row>
    <row r="741" ht="15.75" customHeight="1">
      <c r="A741" s="3"/>
      <c r="B741" s="3"/>
      <c r="C741" s="3"/>
      <c r="D741" s="3"/>
      <c r="E741" s="3"/>
      <c r="F741" s="3"/>
      <c r="H741" s="3"/>
    </row>
    <row r="742" ht="15.75" customHeight="1">
      <c r="A742" s="3"/>
      <c r="B742" s="3"/>
      <c r="C742" s="3"/>
      <c r="D742" s="3"/>
      <c r="E742" s="3"/>
      <c r="F742" s="3"/>
      <c r="H742" s="3"/>
    </row>
    <row r="743" ht="15.75" customHeight="1">
      <c r="A743" s="3"/>
      <c r="B743" s="3"/>
      <c r="C743" s="3"/>
      <c r="D743" s="3"/>
      <c r="E743" s="3"/>
      <c r="F743" s="3"/>
      <c r="H743" s="3"/>
    </row>
    <row r="744" ht="15.75" customHeight="1">
      <c r="A744" s="3"/>
      <c r="B744" s="3"/>
      <c r="C744" s="3"/>
      <c r="D744" s="3"/>
      <c r="E744" s="3"/>
      <c r="F744" s="3"/>
      <c r="H744" s="3"/>
    </row>
    <row r="745" ht="15.75" customHeight="1">
      <c r="A745" s="3"/>
      <c r="B745" s="3"/>
      <c r="C745" s="3"/>
      <c r="D745" s="3"/>
      <c r="E745" s="3"/>
      <c r="F745" s="3"/>
      <c r="H745" s="3"/>
    </row>
    <row r="746" ht="15.75" customHeight="1">
      <c r="A746" s="3"/>
      <c r="B746" s="3"/>
      <c r="C746" s="3"/>
      <c r="D746" s="3"/>
      <c r="E746" s="3"/>
      <c r="F746" s="3"/>
      <c r="H746" s="3"/>
    </row>
    <row r="747" ht="15.75" customHeight="1">
      <c r="A747" s="3"/>
      <c r="B747" s="3"/>
      <c r="C747" s="3"/>
      <c r="D747" s="3"/>
      <c r="E747" s="3"/>
      <c r="F747" s="3"/>
      <c r="H747" s="3"/>
    </row>
    <row r="748" ht="15.75" customHeight="1">
      <c r="A748" s="3"/>
      <c r="B748" s="3"/>
      <c r="C748" s="3"/>
      <c r="D748" s="3"/>
      <c r="E748" s="3"/>
      <c r="F748" s="3"/>
      <c r="H748" s="3"/>
    </row>
    <row r="749" ht="15.75" customHeight="1">
      <c r="A749" s="3"/>
      <c r="B749" s="3"/>
      <c r="C749" s="3"/>
      <c r="D749" s="3"/>
      <c r="E749" s="3"/>
      <c r="F749" s="3"/>
      <c r="H749" s="3"/>
    </row>
    <row r="750" ht="15.75" customHeight="1">
      <c r="A750" s="3"/>
      <c r="B750" s="3"/>
      <c r="C750" s="3"/>
      <c r="D750" s="3"/>
      <c r="E750" s="3"/>
      <c r="F750" s="3"/>
      <c r="H750" s="3"/>
    </row>
    <row r="751" ht="15.75" customHeight="1">
      <c r="A751" s="3"/>
      <c r="B751" s="3"/>
      <c r="C751" s="3"/>
      <c r="D751" s="3"/>
      <c r="E751" s="3"/>
      <c r="F751" s="3"/>
      <c r="H751" s="3"/>
    </row>
    <row r="752" ht="15.75" customHeight="1">
      <c r="A752" s="3"/>
      <c r="B752" s="3"/>
      <c r="C752" s="3"/>
      <c r="D752" s="3"/>
      <c r="E752" s="3"/>
      <c r="F752" s="3"/>
      <c r="H752" s="3"/>
    </row>
    <row r="753" ht="15.75" customHeight="1">
      <c r="A753" s="3"/>
      <c r="B753" s="3"/>
      <c r="C753" s="3"/>
      <c r="D753" s="3"/>
      <c r="E753" s="3"/>
      <c r="F753" s="3"/>
      <c r="H753" s="3"/>
    </row>
    <row r="754" ht="15.75" customHeight="1">
      <c r="A754" s="3"/>
      <c r="B754" s="3"/>
      <c r="C754" s="3"/>
      <c r="D754" s="3"/>
      <c r="E754" s="3"/>
      <c r="F754" s="3"/>
      <c r="H754" s="3"/>
    </row>
    <row r="755" ht="15.75" customHeight="1">
      <c r="A755" s="3"/>
      <c r="B755" s="3"/>
      <c r="C755" s="3"/>
      <c r="D755" s="3"/>
      <c r="E755" s="3"/>
      <c r="F755" s="3"/>
      <c r="H755" s="3"/>
    </row>
    <row r="756" ht="15.75" customHeight="1">
      <c r="A756" s="3"/>
      <c r="B756" s="3"/>
      <c r="C756" s="3"/>
      <c r="D756" s="3"/>
      <c r="E756" s="3"/>
      <c r="F756" s="3"/>
      <c r="H756" s="3"/>
    </row>
    <row r="757" ht="15.75" customHeight="1">
      <c r="A757" s="3"/>
      <c r="B757" s="3"/>
      <c r="C757" s="3"/>
      <c r="D757" s="3"/>
      <c r="E757" s="3"/>
      <c r="F757" s="3"/>
      <c r="H757" s="3"/>
    </row>
    <row r="758" ht="15.75" customHeight="1">
      <c r="A758" s="3"/>
      <c r="B758" s="3"/>
      <c r="C758" s="3"/>
      <c r="D758" s="3"/>
      <c r="E758" s="3"/>
      <c r="F758" s="3"/>
      <c r="H758" s="3"/>
    </row>
    <row r="759" ht="15.75" customHeight="1">
      <c r="A759" s="3"/>
      <c r="B759" s="3"/>
      <c r="C759" s="3"/>
      <c r="D759" s="3"/>
      <c r="E759" s="3"/>
      <c r="F759" s="3"/>
      <c r="H759" s="3"/>
    </row>
    <row r="760" ht="15.75" customHeight="1">
      <c r="A760" s="3"/>
      <c r="B760" s="3"/>
      <c r="C760" s="3"/>
      <c r="D760" s="3"/>
      <c r="E760" s="3"/>
      <c r="F760" s="3"/>
      <c r="H760" s="3"/>
    </row>
    <row r="761" ht="15.75" customHeight="1">
      <c r="A761" s="3"/>
      <c r="B761" s="3"/>
      <c r="C761" s="3"/>
      <c r="D761" s="3"/>
      <c r="E761" s="3"/>
      <c r="F761" s="3"/>
      <c r="H761" s="3"/>
    </row>
    <row r="762" ht="15.75" customHeight="1">
      <c r="A762" s="3"/>
      <c r="B762" s="3"/>
      <c r="C762" s="3"/>
      <c r="D762" s="3"/>
      <c r="E762" s="3"/>
      <c r="F762" s="3"/>
      <c r="H762" s="3"/>
    </row>
    <row r="763" ht="15.75" customHeight="1">
      <c r="A763" s="3"/>
      <c r="B763" s="3"/>
      <c r="C763" s="3"/>
      <c r="D763" s="3"/>
      <c r="E763" s="3"/>
      <c r="F763" s="3"/>
      <c r="H763" s="3"/>
    </row>
    <row r="764" ht="15.75" customHeight="1">
      <c r="A764" s="3"/>
      <c r="B764" s="3"/>
      <c r="C764" s="3"/>
      <c r="D764" s="3"/>
      <c r="E764" s="3"/>
      <c r="F764" s="3"/>
      <c r="H764" s="3"/>
    </row>
    <row r="765" ht="15.75" customHeight="1">
      <c r="A765" s="3"/>
      <c r="B765" s="3"/>
      <c r="C765" s="3"/>
      <c r="D765" s="3"/>
      <c r="E765" s="3"/>
      <c r="F765" s="3"/>
      <c r="H765" s="3"/>
    </row>
    <row r="766" ht="15.75" customHeight="1">
      <c r="A766" s="3"/>
      <c r="B766" s="3"/>
      <c r="C766" s="3"/>
      <c r="D766" s="3"/>
      <c r="E766" s="3"/>
      <c r="F766" s="3"/>
      <c r="H766" s="3"/>
    </row>
    <row r="767" ht="15.75" customHeight="1">
      <c r="A767" s="3"/>
      <c r="B767" s="3"/>
      <c r="C767" s="3"/>
      <c r="D767" s="3"/>
      <c r="E767" s="3"/>
      <c r="F767" s="3"/>
      <c r="H767" s="3"/>
    </row>
    <row r="768" ht="15.75" customHeight="1">
      <c r="A768" s="3"/>
      <c r="B768" s="3"/>
      <c r="C768" s="3"/>
      <c r="D768" s="3"/>
      <c r="E768" s="3"/>
      <c r="F768" s="3"/>
      <c r="H768" s="3"/>
    </row>
    <row r="769" ht="15.75" customHeight="1">
      <c r="A769" s="3"/>
      <c r="B769" s="3"/>
      <c r="C769" s="3"/>
      <c r="D769" s="3"/>
      <c r="E769" s="3"/>
      <c r="F769" s="3"/>
      <c r="H769" s="3"/>
    </row>
    <row r="770" ht="15.75" customHeight="1">
      <c r="A770" s="3"/>
      <c r="B770" s="3"/>
      <c r="C770" s="3"/>
      <c r="D770" s="3"/>
      <c r="E770" s="3"/>
      <c r="F770" s="3"/>
      <c r="H770" s="3"/>
    </row>
    <row r="771" ht="15.75" customHeight="1">
      <c r="A771" s="3"/>
      <c r="B771" s="3"/>
      <c r="C771" s="3"/>
      <c r="D771" s="3"/>
      <c r="E771" s="3"/>
      <c r="F771" s="3"/>
      <c r="H771" s="3"/>
    </row>
    <row r="772" ht="15.75" customHeight="1">
      <c r="A772" s="3"/>
      <c r="B772" s="3"/>
      <c r="C772" s="3"/>
      <c r="D772" s="3"/>
      <c r="E772" s="3"/>
      <c r="F772" s="3"/>
      <c r="H772" s="3"/>
    </row>
    <row r="773" ht="15.75" customHeight="1">
      <c r="A773" s="3"/>
      <c r="B773" s="3"/>
      <c r="C773" s="3"/>
      <c r="D773" s="3"/>
      <c r="E773" s="3"/>
      <c r="F773" s="3"/>
      <c r="H773" s="3"/>
    </row>
    <row r="774" ht="15.75" customHeight="1">
      <c r="A774" s="3"/>
      <c r="B774" s="3"/>
      <c r="C774" s="3"/>
      <c r="D774" s="3"/>
      <c r="E774" s="3"/>
      <c r="F774" s="3"/>
      <c r="H774" s="3"/>
    </row>
    <row r="775" ht="15.75" customHeight="1">
      <c r="A775" s="3"/>
      <c r="B775" s="3"/>
      <c r="C775" s="3"/>
      <c r="D775" s="3"/>
      <c r="E775" s="3"/>
      <c r="F775" s="3"/>
      <c r="H775" s="3"/>
    </row>
    <row r="776" ht="15.75" customHeight="1">
      <c r="A776" s="3"/>
      <c r="B776" s="3"/>
      <c r="C776" s="3"/>
      <c r="D776" s="3"/>
      <c r="E776" s="3"/>
      <c r="F776" s="3"/>
      <c r="H776" s="3"/>
    </row>
    <row r="777" ht="15.75" customHeight="1">
      <c r="A777" s="3"/>
      <c r="B777" s="3"/>
      <c r="C777" s="3"/>
      <c r="D777" s="3"/>
      <c r="E777" s="3"/>
      <c r="F777" s="3"/>
      <c r="H777" s="3"/>
    </row>
    <row r="778" ht="15.75" customHeight="1">
      <c r="A778" s="3"/>
      <c r="B778" s="3"/>
      <c r="C778" s="3"/>
      <c r="D778" s="3"/>
      <c r="E778" s="3"/>
      <c r="F778" s="3"/>
      <c r="H778" s="3"/>
    </row>
    <row r="779" ht="15.75" customHeight="1">
      <c r="A779" s="3"/>
      <c r="B779" s="3"/>
      <c r="C779" s="3"/>
      <c r="D779" s="3"/>
      <c r="E779" s="3"/>
      <c r="F779" s="3"/>
      <c r="H779" s="3"/>
    </row>
    <row r="780" ht="15.75" customHeight="1">
      <c r="A780" s="3"/>
      <c r="B780" s="3"/>
      <c r="C780" s="3"/>
      <c r="D780" s="3"/>
      <c r="E780" s="3"/>
      <c r="F780" s="3"/>
      <c r="H780" s="3"/>
    </row>
    <row r="781" ht="15.75" customHeight="1">
      <c r="A781" s="3"/>
      <c r="B781" s="3"/>
      <c r="C781" s="3"/>
      <c r="D781" s="3"/>
      <c r="E781" s="3"/>
      <c r="F781" s="3"/>
      <c r="H781" s="3"/>
    </row>
    <row r="782" ht="15.75" customHeight="1">
      <c r="A782" s="3"/>
      <c r="B782" s="3"/>
      <c r="C782" s="3"/>
      <c r="D782" s="3"/>
      <c r="E782" s="3"/>
      <c r="F782" s="3"/>
      <c r="H782" s="3"/>
    </row>
    <row r="783" ht="15.75" customHeight="1">
      <c r="A783" s="3"/>
      <c r="B783" s="3"/>
      <c r="C783" s="3"/>
      <c r="D783" s="3"/>
      <c r="E783" s="3"/>
      <c r="F783" s="3"/>
      <c r="H783" s="3"/>
    </row>
    <row r="784" ht="15.75" customHeight="1">
      <c r="A784" s="3"/>
      <c r="B784" s="3"/>
      <c r="C784" s="3"/>
      <c r="D784" s="3"/>
      <c r="E784" s="3"/>
      <c r="F784" s="3"/>
      <c r="H784" s="3"/>
    </row>
    <row r="785" ht="15.75" customHeight="1">
      <c r="A785" s="3"/>
      <c r="B785" s="3"/>
      <c r="C785" s="3"/>
      <c r="D785" s="3"/>
      <c r="E785" s="3"/>
      <c r="F785" s="3"/>
      <c r="H785" s="3"/>
    </row>
    <row r="786" ht="15.75" customHeight="1">
      <c r="A786" s="3"/>
      <c r="B786" s="3"/>
      <c r="C786" s="3"/>
      <c r="D786" s="3"/>
      <c r="E786" s="3"/>
      <c r="F786" s="3"/>
      <c r="H786" s="3"/>
    </row>
    <row r="787" ht="15.75" customHeight="1">
      <c r="A787" s="3"/>
      <c r="B787" s="3"/>
      <c r="C787" s="3"/>
      <c r="D787" s="3"/>
      <c r="E787" s="3"/>
      <c r="F787" s="3"/>
      <c r="H787" s="3"/>
    </row>
    <row r="788" ht="15.75" customHeight="1">
      <c r="A788" s="3"/>
      <c r="B788" s="3"/>
      <c r="C788" s="3"/>
      <c r="D788" s="3"/>
      <c r="E788" s="3"/>
      <c r="F788" s="3"/>
      <c r="H788" s="3"/>
    </row>
    <row r="789" ht="15.75" customHeight="1">
      <c r="A789" s="3"/>
      <c r="B789" s="3"/>
      <c r="C789" s="3"/>
      <c r="D789" s="3"/>
      <c r="E789" s="3"/>
      <c r="F789" s="3"/>
      <c r="H789" s="3"/>
    </row>
    <row r="790" ht="15.75" customHeight="1">
      <c r="A790" s="3"/>
      <c r="B790" s="3"/>
      <c r="C790" s="3"/>
      <c r="D790" s="3"/>
      <c r="E790" s="3"/>
      <c r="F790" s="3"/>
      <c r="H790" s="3"/>
    </row>
    <row r="791" ht="15.75" customHeight="1">
      <c r="A791" s="3"/>
      <c r="B791" s="3"/>
      <c r="C791" s="3"/>
      <c r="D791" s="3"/>
      <c r="E791" s="3"/>
      <c r="F791" s="3"/>
      <c r="H791" s="3"/>
    </row>
    <row r="792" ht="15.75" customHeight="1">
      <c r="A792" s="3"/>
      <c r="B792" s="3"/>
      <c r="C792" s="3"/>
      <c r="D792" s="3"/>
      <c r="E792" s="3"/>
      <c r="F792" s="3"/>
      <c r="H792" s="3"/>
    </row>
    <row r="793" ht="15.75" customHeight="1">
      <c r="A793" s="3"/>
      <c r="B793" s="3"/>
      <c r="C793" s="3"/>
      <c r="D793" s="3"/>
      <c r="E793" s="3"/>
      <c r="F793" s="3"/>
      <c r="H793" s="3"/>
    </row>
    <row r="794" ht="15.75" customHeight="1">
      <c r="A794" s="3"/>
      <c r="B794" s="3"/>
      <c r="C794" s="3"/>
      <c r="D794" s="3"/>
      <c r="E794" s="3"/>
      <c r="F794" s="3"/>
      <c r="H794" s="3"/>
    </row>
    <row r="795" ht="15.75" customHeight="1">
      <c r="A795" s="3"/>
      <c r="B795" s="3"/>
      <c r="C795" s="3"/>
      <c r="D795" s="3"/>
      <c r="E795" s="3"/>
      <c r="F795" s="3"/>
      <c r="H795" s="3"/>
    </row>
    <row r="796" ht="15.75" customHeight="1">
      <c r="A796" s="3"/>
      <c r="B796" s="3"/>
      <c r="C796" s="3"/>
      <c r="D796" s="3"/>
      <c r="E796" s="3"/>
      <c r="F796" s="3"/>
      <c r="H796" s="3"/>
    </row>
    <row r="797" ht="15.75" customHeight="1">
      <c r="A797" s="3"/>
      <c r="B797" s="3"/>
      <c r="C797" s="3"/>
      <c r="D797" s="3"/>
      <c r="E797" s="3"/>
      <c r="F797" s="3"/>
      <c r="H797" s="3"/>
    </row>
    <row r="798" ht="15.75" customHeight="1">
      <c r="A798" s="3"/>
      <c r="B798" s="3"/>
      <c r="C798" s="3"/>
      <c r="D798" s="3"/>
      <c r="E798" s="3"/>
      <c r="F798" s="3"/>
      <c r="H798" s="3"/>
    </row>
    <row r="799" ht="15.75" customHeight="1">
      <c r="A799" s="3"/>
      <c r="B799" s="3"/>
      <c r="C799" s="3"/>
      <c r="D799" s="3"/>
      <c r="E799" s="3"/>
      <c r="F799" s="3"/>
      <c r="H799" s="3"/>
    </row>
    <row r="800" ht="15.75" customHeight="1">
      <c r="A800" s="3"/>
      <c r="B800" s="3"/>
      <c r="C800" s="3"/>
      <c r="D800" s="3"/>
      <c r="E800" s="3"/>
      <c r="F800" s="3"/>
      <c r="H800" s="3"/>
    </row>
    <row r="801" ht="15.75" customHeight="1">
      <c r="A801" s="3"/>
      <c r="B801" s="3"/>
      <c r="C801" s="3"/>
      <c r="D801" s="3"/>
      <c r="E801" s="3"/>
      <c r="F801" s="3"/>
      <c r="H801" s="3"/>
    </row>
    <row r="802" ht="15.75" customHeight="1">
      <c r="A802" s="3"/>
      <c r="B802" s="3"/>
      <c r="C802" s="3"/>
      <c r="D802" s="3"/>
      <c r="E802" s="3"/>
      <c r="F802" s="3"/>
      <c r="H802" s="3"/>
    </row>
    <row r="803" ht="15.75" customHeight="1">
      <c r="A803" s="3"/>
      <c r="B803" s="3"/>
      <c r="C803" s="3"/>
      <c r="D803" s="3"/>
      <c r="E803" s="3"/>
      <c r="F803" s="3"/>
      <c r="H803" s="3"/>
    </row>
    <row r="804" ht="15.75" customHeight="1">
      <c r="A804" s="3"/>
      <c r="B804" s="3"/>
      <c r="C804" s="3"/>
      <c r="D804" s="3"/>
      <c r="E804" s="3"/>
      <c r="F804" s="3"/>
      <c r="H804" s="3"/>
    </row>
    <row r="805" ht="15.75" customHeight="1">
      <c r="A805" s="3"/>
      <c r="B805" s="3"/>
      <c r="C805" s="3"/>
      <c r="D805" s="3"/>
      <c r="E805" s="3"/>
      <c r="F805" s="3"/>
      <c r="H805" s="3"/>
    </row>
    <row r="806" ht="15.75" customHeight="1">
      <c r="A806" s="3"/>
      <c r="B806" s="3"/>
      <c r="C806" s="3"/>
      <c r="D806" s="3"/>
      <c r="E806" s="3"/>
      <c r="F806" s="3"/>
      <c r="H806" s="3"/>
    </row>
    <row r="807" ht="15.75" customHeight="1">
      <c r="A807" s="3"/>
      <c r="B807" s="3"/>
      <c r="C807" s="3"/>
      <c r="D807" s="3"/>
      <c r="E807" s="3"/>
      <c r="F807" s="3"/>
      <c r="H807" s="3"/>
    </row>
    <row r="808" ht="15.75" customHeight="1">
      <c r="A808" s="3"/>
      <c r="B808" s="3"/>
      <c r="C808" s="3"/>
      <c r="D808" s="3"/>
      <c r="E808" s="3"/>
      <c r="F808" s="3"/>
      <c r="H808" s="3"/>
    </row>
    <row r="809" ht="15.75" customHeight="1">
      <c r="A809" s="3"/>
      <c r="B809" s="3"/>
      <c r="C809" s="3"/>
      <c r="D809" s="3"/>
      <c r="E809" s="3"/>
      <c r="F809" s="3"/>
      <c r="H809" s="3"/>
    </row>
    <row r="810" ht="15.75" customHeight="1">
      <c r="A810" s="3"/>
      <c r="B810" s="3"/>
      <c r="C810" s="3"/>
      <c r="D810" s="3"/>
      <c r="E810" s="3"/>
      <c r="F810" s="3"/>
      <c r="H810" s="3"/>
    </row>
    <row r="811" ht="15.75" customHeight="1">
      <c r="A811" s="3"/>
      <c r="B811" s="3"/>
      <c r="C811" s="3"/>
      <c r="D811" s="3"/>
      <c r="E811" s="3"/>
      <c r="F811" s="3"/>
      <c r="H811" s="3"/>
    </row>
    <row r="812" ht="15.75" customHeight="1">
      <c r="A812" s="3"/>
      <c r="B812" s="3"/>
      <c r="C812" s="3"/>
      <c r="D812" s="3"/>
      <c r="E812" s="3"/>
      <c r="F812" s="3"/>
      <c r="H812" s="3"/>
    </row>
    <row r="813" ht="15.75" customHeight="1">
      <c r="A813" s="3"/>
      <c r="B813" s="3"/>
      <c r="C813" s="3"/>
      <c r="D813" s="3"/>
      <c r="E813" s="3"/>
      <c r="F813" s="3"/>
      <c r="H813" s="3"/>
    </row>
    <row r="814" ht="15.75" customHeight="1">
      <c r="A814" s="3"/>
      <c r="B814" s="3"/>
      <c r="C814" s="3"/>
      <c r="D814" s="3"/>
      <c r="E814" s="3"/>
      <c r="F814" s="3"/>
      <c r="H814" s="3"/>
    </row>
    <row r="815" ht="15.75" customHeight="1">
      <c r="A815" s="3"/>
      <c r="B815" s="3"/>
      <c r="C815" s="3"/>
      <c r="D815" s="3"/>
      <c r="E815" s="3"/>
      <c r="F815" s="3"/>
      <c r="H815" s="3"/>
    </row>
    <row r="816" ht="15.75" customHeight="1">
      <c r="A816" s="3"/>
      <c r="B816" s="3"/>
      <c r="C816" s="3"/>
      <c r="D816" s="3"/>
      <c r="E816" s="3"/>
      <c r="F816" s="3"/>
      <c r="H816" s="3"/>
    </row>
    <row r="817" ht="15.75" customHeight="1">
      <c r="A817" s="3"/>
      <c r="B817" s="3"/>
      <c r="C817" s="3"/>
      <c r="D817" s="3"/>
      <c r="E817" s="3"/>
      <c r="F817" s="3"/>
      <c r="H817" s="3"/>
    </row>
    <row r="818" ht="15.75" customHeight="1">
      <c r="A818" s="3"/>
      <c r="B818" s="3"/>
      <c r="C818" s="3"/>
      <c r="D818" s="3"/>
      <c r="E818" s="3"/>
      <c r="F818" s="3"/>
      <c r="H818" s="3"/>
    </row>
    <row r="819" ht="15.75" customHeight="1">
      <c r="A819" s="3"/>
      <c r="B819" s="3"/>
      <c r="C819" s="3"/>
      <c r="D819" s="3"/>
      <c r="E819" s="3"/>
      <c r="F819" s="3"/>
      <c r="H819" s="3"/>
    </row>
    <row r="820" ht="15.75" customHeight="1">
      <c r="A820" s="3"/>
      <c r="B820" s="3"/>
      <c r="C820" s="3"/>
      <c r="D820" s="3"/>
      <c r="E820" s="3"/>
      <c r="F820" s="3"/>
      <c r="H820" s="3"/>
    </row>
    <row r="821" ht="15.75" customHeight="1">
      <c r="A821" s="3"/>
      <c r="B821" s="3"/>
      <c r="C821" s="3"/>
      <c r="D821" s="3"/>
      <c r="E821" s="3"/>
      <c r="F821" s="3"/>
      <c r="H821" s="3"/>
    </row>
    <row r="822" ht="15.75" customHeight="1">
      <c r="A822" s="3"/>
      <c r="B822" s="3"/>
      <c r="C822" s="3"/>
      <c r="D822" s="3"/>
      <c r="E822" s="3"/>
      <c r="F822" s="3"/>
      <c r="H822" s="3"/>
    </row>
    <row r="823" ht="15.75" customHeight="1">
      <c r="A823" s="3"/>
      <c r="B823" s="3"/>
      <c r="C823" s="3"/>
      <c r="D823" s="3"/>
      <c r="E823" s="3"/>
      <c r="F823" s="3"/>
      <c r="H823" s="3"/>
    </row>
    <row r="824" ht="15.75" customHeight="1">
      <c r="A824" s="3"/>
      <c r="B824" s="3"/>
      <c r="C824" s="3"/>
      <c r="D824" s="3"/>
      <c r="E824" s="3"/>
      <c r="F824" s="3"/>
      <c r="H824" s="3"/>
    </row>
    <row r="825" ht="15.75" customHeight="1">
      <c r="A825" s="3"/>
      <c r="B825" s="3"/>
      <c r="C825" s="3"/>
      <c r="D825" s="3"/>
      <c r="E825" s="3"/>
      <c r="F825" s="3"/>
      <c r="H825" s="3"/>
    </row>
    <row r="826" ht="15.75" customHeight="1">
      <c r="A826" s="3"/>
      <c r="B826" s="3"/>
      <c r="C826" s="3"/>
      <c r="D826" s="3"/>
      <c r="E826" s="3"/>
      <c r="F826" s="3"/>
      <c r="H826" s="3"/>
    </row>
    <row r="827" ht="15.75" customHeight="1">
      <c r="A827" s="3"/>
      <c r="B827" s="3"/>
      <c r="C827" s="3"/>
      <c r="D827" s="3"/>
      <c r="E827" s="3"/>
      <c r="F827" s="3"/>
      <c r="H827" s="3"/>
    </row>
    <row r="828" ht="15.75" customHeight="1">
      <c r="A828" s="3"/>
      <c r="B828" s="3"/>
      <c r="C828" s="3"/>
      <c r="D828" s="3"/>
      <c r="E828" s="3"/>
      <c r="F828" s="3"/>
      <c r="H828" s="3"/>
    </row>
    <row r="829" ht="15.75" customHeight="1">
      <c r="A829" s="3"/>
      <c r="B829" s="3"/>
      <c r="C829" s="3"/>
      <c r="D829" s="3"/>
      <c r="E829" s="3"/>
      <c r="F829" s="3"/>
      <c r="H829" s="3"/>
    </row>
    <row r="830" ht="15.75" customHeight="1">
      <c r="A830" s="3"/>
      <c r="B830" s="3"/>
      <c r="C830" s="3"/>
      <c r="D830" s="3"/>
      <c r="E830" s="3"/>
      <c r="F830" s="3"/>
      <c r="H830" s="3"/>
    </row>
    <row r="831" ht="15.75" customHeight="1">
      <c r="A831" s="3"/>
      <c r="B831" s="3"/>
      <c r="C831" s="3"/>
      <c r="D831" s="3"/>
      <c r="E831" s="3"/>
      <c r="F831" s="3"/>
      <c r="H831" s="3"/>
    </row>
    <row r="832" ht="15.75" customHeight="1">
      <c r="A832" s="3"/>
      <c r="B832" s="3"/>
      <c r="C832" s="3"/>
      <c r="D832" s="3"/>
      <c r="E832" s="3"/>
      <c r="F832" s="3"/>
      <c r="H832" s="3"/>
    </row>
    <row r="833" ht="15.75" customHeight="1">
      <c r="A833" s="3"/>
      <c r="B833" s="3"/>
      <c r="C833" s="3"/>
      <c r="D833" s="3"/>
      <c r="E833" s="3"/>
      <c r="F833" s="3"/>
      <c r="H833" s="3"/>
    </row>
    <row r="834" ht="15.75" customHeight="1">
      <c r="A834" s="3"/>
      <c r="B834" s="3"/>
      <c r="C834" s="3"/>
      <c r="D834" s="3"/>
      <c r="E834" s="3"/>
      <c r="F834" s="3"/>
      <c r="H834" s="3"/>
    </row>
    <row r="835" ht="15.75" customHeight="1">
      <c r="A835" s="3"/>
      <c r="B835" s="3"/>
      <c r="C835" s="3"/>
      <c r="D835" s="3"/>
      <c r="E835" s="3"/>
      <c r="F835" s="3"/>
      <c r="H835" s="3"/>
    </row>
    <row r="836" ht="15.75" customHeight="1">
      <c r="A836" s="3"/>
      <c r="B836" s="3"/>
      <c r="C836" s="3"/>
      <c r="D836" s="3"/>
      <c r="E836" s="3"/>
      <c r="F836" s="3"/>
      <c r="H836" s="3"/>
    </row>
    <row r="837" ht="15.75" customHeight="1">
      <c r="A837" s="3"/>
      <c r="B837" s="3"/>
      <c r="C837" s="3"/>
      <c r="D837" s="3"/>
      <c r="E837" s="3"/>
      <c r="F837" s="3"/>
      <c r="H837" s="3"/>
    </row>
    <row r="838" ht="15.75" customHeight="1">
      <c r="A838" s="3"/>
      <c r="B838" s="3"/>
      <c r="C838" s="3"/>
      <c r="D838" s="3"/>
      <c r="E838" s="3"/>
      <c r="F838" s="3"/>
      <c r="H838" s="3"/>
    </row>
    <row r="839" ht="15.75" customHeight="1">
      <c r="A839" s="3"/>
      <c r="B839" s="3"/>
      <c r="C839" s="3"/>
      <c r="D839" s="3"/>
      <c r="E839" s="3"/>
      <c r="F839" s="3"/>
      <c r="H839" s="3"/>
    </row>
    <row r="840" ht="15.75" customHeight="1">
      <c r="A840" s="3"/>
      <c r="B840" s="3"/>
      <c r="C840" s="3"/>
      <c r="D840" s="3"/>
      <c r="E840" s="3"/>
      <c r="F840" s="3"/>
      <c r="H840" s="3"/>
    </row>
    <row r="841" ht="15.75" customHeight="1">
      <c r="A841" s="3"/>
      <c r="B841" s="3"/>
      <c r="C841" s="3"/>
      <c r="D841" s="3"/>
      <c r="E841" s="3"/>
      <c r="F841" s="3"/>
      <c r="H841" s="3"/>
    </row>
    <row r="842" ht="15.75" customHeight="1">
      <c r="A842" s="3"/>
      <c r="B842" s="3"/>
      <c r="C842" s="3"/>
      <c r="D842" s="3"/>
      <c r="E842" s="3"/>
      <c r="F842" s="3"/>
      <c r="H842" s="3"/>
    </row>
    <row r="843" ht="15.75" customHeight="1">
      <c r="A843" s="3"/>
      <c r="B843" s="3"/>
      <c r="C843" s="3"/>
      <c r="D843" s="3"/>
      <c r="E843" s="3"/>
      <c r="F843" s="3"/>
      <c r="H843" s="3"/>
    </row>
    <row r="844" ht="15.75" customHeight="1">
      <c r="A844" s="3"/>
      <c r="B844" s="3"/>
      <c r="C844" s="3"/>
      <c r="D844" s="3"/>
      <c r="E844" s="3"/>
      <c r="F844" s="3"/>
      <c r="H844" s="3"/>
    </row>
    <row r="845" ht="15.75" customHeight="1">
      <c r="A845" s="3"/>
      <c r="B845" s="3"/>
      <c r="C845" s="3"/>
      <c r="D845" s="3"/>
      <c r="E845" s="3"/>
      <c r="F845" s="3"/>
      <c r="H845" s="3"/>
    </row>
    <row r="846" ht="15.75" customHeight="1">
      <c r="A846" s="3"/>
      <c r="B846" s="3"/>
      <c r="C846" s="3"/>
      <c r="D846" s="3"/>
      <c r="E846" s="3"/>
      <c r="F846" s="3"/>
      <c r="H846" s="3"/>
    </row>
    <row r="847" ht="15.75" customHeight="1">
      <c r="A847" s="3"/>
      <c r="B847" s="3"/>
      <c r="C847" s="3"/>
      <c r="D847" s="3"/>
      <c r="E847" s="3"/>
      <c r="F847" s="3"/>
      <c r="H847" s="3"/>
    </row>
    <row r="848" ht="15.75" customHeight="1">
      <c r="A848" s="3"/>
      <c r="B848" s="3"/>
      <c r="C848" s="3"/>
      <c r="D848" s="3"/>
      <c r="E848" s="3"/>
      <c r="F848" s="3"/>
      <c r="H848" s="3"/>
    </row>
    <row r="849" ht="15.75" customHeight="1">
      <c r="A849" s="3"/>
      <c r="B849" s="3"/>
      <c r="C849" s="3"/>
      <c r="D849" s="3"/>
      <c r="E849" s="3"/>
      <c r="F849" s="3"/>
      <c r="H849" s="3"/>
    </row>
    <row r="850" ht="15.75" customHeight="1">
      <c r="A850" s="3"/>
      <c r="B850" s="3"/>
      <c r="C850" s="3"/>
      <c r="D850" s="3"/>
      <c r="E850" s="3"/>
      <c r="F850" s="3"/>
      <c r="H850" s="3"/>
    </row>
    <row r="851" ht="15.75" customHeight="1">
      <c r="A851" s="3"/>
      <c r="B851" s="3"/>
      <c r="C851" s="3"/>
      <c r="D851" s="3"/>
      <c r="E851" s="3"/>
      <c r="F851" s="3"/>
      <c r="H851" s="3"/>
    </row>
    <row r="852" ht="15.75" customHeight="1">
      <c r="A852" s="3"/>
      <c r="B852" s="3"/>
      <c r="C852" s="3"/>
      <c r="D852" s="3"/>
      <c r="E852" s="3"/>
      <c r="F852" s="3"/>
      <c r="H852" s="3"/>
    </row>
    <row r="853" ht="15.75" customHeight="1">
      <c r="A853" s="3"/>
      <c r="B853" s="3"/>
      <c r="C853" s="3"/>
      <c r="D853" s="3"/>
      <c r="E853" s="3"/>
      <c r="F853" s="3"/>
      <c r="H853" s="3"/>
    </row>
    <row r="854" ht="15.75" customHeight="1">
      <c r="A854" s="3"/>
      <c r="B854" s="3"/>
      <c r="C854" s="3"/>
      <c r="D854" s="3"/>
      <c r="E854" s="3"/>
      <c r="F854" s="3"/>
      <c r="H854" s="3"/>
    </row>
    <row r="855" ht="15.75" customHeight="1">
      <c r="A855" s="3"/>
      <c r="B855" s="3"/>
      <c r="C855" s="3"/>
      <c r="D855" s="3"/>
      <c r="E855" s="3"/>
      <c r="F855" s="3"/>
      <c r="H855" s="3"/>
    </row>
    <row r="856" ht="15.75" customHeight="1">
      <c r="A856" s="3"/>
      <c r="B856" s="3"/>
      <c r="C856" s="3"/>
      <c r="D856" s="3"/>
      <c r="E856" s="3"/>
      <c r="F856" s="3"/>
      <c r="H856" s="3"/>
    </row>
    <row r="857" ht="15.75" customHeight="1">
      <c r="A857" s="3"/>
      <c r="B857" s="3"/>
      <c r="C857" s="3"/>
      <c r="D857" s="3"/>
      <c r="E857" s="3"/>
      <c r="F857" s="3"/>
      <c r="H857" s="3"/>
    </row>
    <row r="858" ht="15.75" customHeight="1">
      <c r="A858" s="3"/>
      <c r="B858" s="3"/>
      <c r="C858" s="3"/>
      <c r="D858" s="3"/>
      <c r="E858" s="3"/>
      <c r="F858" s="3"/>
      <c r="H858" s="3"/>
    </row>
    <row r="859" ht="15.75" customHeight="1">
      <c r="A859" s="3"/>
      <c r="B859" s="3"/>
      <c r="C859" s="3"/>
      <c r="D859" s="3"/>
      <c r="E859" s="3"/>
      <c r="F859" s="3"/>
      <c r="H859" s="3"/>
    </row>
    <row r="860" ht="15.75" customHeight="1">
      <c r="A860" s="3"/>
      <c r="B860" s="3"/>
      <c r="C860" s="3"/>
      <c r="D860" s="3"/>
      <c r="E860" s="3"/>
      <c r="F860" s="3"/>
      <c r="H860" s="3"/>
    </row>
    <row r="861" ht="15.75" customHeight="1">
      <c r="A861" s="3"/>
      <c r="B861" s="3"/>
      <c r="C861" s="3"/>
      <c r="D861" s="3"/>
      <c r="E861" s="3"/>
      <c r="F861" s="3"/>
      <c r="H861" s="3"/>
    </row>
    <row r="862" ht="15.75" customHeight="1">
      <c r="A862" s="3"/>
      <c r="B862" s="3"/>
      <c r="C862" s="3"/>
      <c r="D862" s="3"/>
      <c r="E862" s="3"/>
      <c r="F862" s="3"/>
      <c r="H862" s="3"/>
    </row>
    <row r="863" ht="15.75" customHeight="1">
      <c r="A863" s="3"/>
      <c r="B863" s="3"/>
      <c r="C863" s="3"/>
      <c r="D863" s="3"/>
      <c r="E863" s="3"/>
      <c r="F863" s="3"/>
      <c r="H863" s="3"/>
    </row>
    <row r="864" ht="15.75" customHeight="1">
      <c r="A864" s="3"/>
      <c r="B864" s="3"/>
      <c r="C864" s="3"/>
      <c r="D864" s="3"/>
      <c r="E864" s="3"/>
      <c r="F864" s="3"/>
      <c r="H864" s="3"/>
    </row>
    <row r="865" ht="15.75" customHeight="1">
      <c r="A865" s="3"/>
      <c r="B865" s="3"/>
      <c r="C865" s="3"/>
      <c r="D865" s="3"/>
      <c r="E865" s="3"/>
      <c r="F865" s="3"/>
      <c r="H865" s="3"/>
    </row>
    <row r="866" ht="15.75" customHeight="1">
      <c r="A866" s="3"/>
      <c r="B866" s="3"/>
      <c r="C866" s="3"/>
      <c r="D866" s="3"/>
      <c r="E866" s="3"/>
      <c r="F866" s="3"/>
      <c r="H866" s="3"/>
    </row>
    <row r="867" ht="15.75" customHeight="1">
      <c r="A867" s="3"/>
      <c r="B867" s="3"/>
      <c r="C867" s="3"/>
      <c r="D867" s="3"/>
      <c r="E867" s="3"/>
      <c r="F867" s="3"/>
      <c r="H867" s="3"/>
    </row>
    <row r="868" ht="15.75" customHeight="1">
      <c r="A868" s="3"/>
      <c r="B868" s="3"/>
      <c r="C868" s="3"/>
      <c r="D868" s="3"/>
      <c r="E868" s="3"/>
      <c r="F868" s="3"/>
      <c r="H868" s="3"/>
    </row>
    <row r="869" ht="15.75" customHeight="1">
      <c r="A869" s="3"/>
      <c r="B869" s="3"/>
      <c r="C869" s="3"/>
      <c r="D869" s="3"/>
      <c r="E869" s="3"/>
      <c r="F869" s="3"/>
      <c r="H869" s="3"/>
    </row>
    <row r="870" ht="15.75" customHeight="1">
      <c r="A870" s="3"/>
      <c r="B870" s="3"/>
      <c r="C870" s="3"/>
      <c r="D870" s="3"/>
      <c r="E870" s="3"/>
      <c r="F870" s="3"/>
      <c r="H870" s="3"/>
    </row>
    <row r="871" ht="15.75" customHeight="1">
      <c r="A871" s="3"/>
      <c r="B871" s="3"/>
      <c r="C871" s="3"/>
      <c r="D871" s="3"/>
      <c r="E871" s="3"/>
      <c r="F871" s="3"/>
      <c r="H871" s="3"/>
    </row>
    <row r="872" ht="15.75" customHeight="1">
      <c r="A872" s="3"/>
      <c r="B872" s="3"/>
      <c r="C872" s="3"/>
      <c r="D872" s="3"/>
      <c r="E872" s="3"/>
      <c r="F872" s="3"/>
      <c r="H872" s="3"/>
    </row>
    <row r="873" ht="15.75" customHeight="1">
      <c r="A873" s="3"/>
      <c r="B873" s="3"/>
      <c r="C873" s="3"/>
      <c r="D873" s="3"/>
      <c r="E873" s="3"/>
      <c r="F873" s="3"/>
      <c r="H873" s="3"/>
    </row>
    <row r="874" ht="15.75" customHeight="1">
      <c r="A874" s="3"/>
      <c r="B874" s="3"/>
      <c r="C874" s="3"/>
      <c r="D874" s="3"/>
      <c r="E874" s="3"/>
      <c r="F874" s="3"/>
      <c r="H874" s="3"/>
    </row>
    <row r="875" ht="15.75" customHeight="1">
      <c r="A875" s="3"/>
      <c r="B875" s="3"/>
      <c r="C875" s="3"/>
      <c r="D875" s="3"/>
      <c r="E875" s="3"/>
      <c r="F875" s="3"/>
      <c r="H875" s="3"/>
    </row>
    <row r="876" ht="15.75" customHeight="1">
      <c r="A876" s="3"/>
      <c r="B876" s="3"/>
      <c r="C876" s="3"/>
      <c r="D876" s="3"/>
      <c r="E876" s="3"/>
      <c r="F876" s="3"/>
      <c r="H876" s="3"/>
    </row>
    <row r="877" ht="15.75" customHeight="1">
      <c r="A877" s="3"/>
      <c r="B877" s="3"/>
      <c r="C877" s="3"/>
      <c r="D877" s="3"/>
      <c r="E877" s="3"/>
      <c r="F877" s="3"/>
      <c r="H877" s="3"/>
    </row>
    <row r="878" ht="15.75" customHeight="1">
      <c r="A878" s="3"/>
      <c r="B878" s="3"/>
      <c r="C878" s="3"/>
      <c r="D878" s="3"/>
      <c r="E878" s="3"/>
      <c r="F878" s="3"/>
      <c r="H878" s="3"/>
    </row>
    <row r="879" ht="15.75" customHeight="1">
      <c r="A879" s="3"/>
      <c r="B879" s="3"/>
      <c r="C879" s="3"/>
      <c r="D879" s="3"/>
      <c r="E879" s="3"/>
      <c r="F879" s="3"/>
      <c r="H879" s="3"/>
    </row>
    <row r="880" ht="15.75" customHeight="1">
      <c r="A880" s="3"/>
      <c r="B880" s="3"/>
      <c r="C880" s="3"/>
      <c r="D880" s="3"/>
      <c r="E880" s="3"/>
      <c r="F880" s="3"/>
      <c r="H880" s="3"/>
    </row>
    <row r="881" ht="15.75" customHeight="1">
      <c r="A881" s="3"/>
      <c r="B881" s="3"/>
      <c r="C881" s="3"/>
      <c r="D881" s="3"/>
      <c r="E881" s="3"/>
      <c r="F881" s="3"/>
      <c r="H881" s="3"/>
    </row>
    <row r="882" ht="15.75" customHeight="1">
      <c r="A882" s="3"/>
      <c r="B882" s="3"/>
      <c r="C882" s="3"/>
      <c r="D882" s="3"/>
      <c r="E882" s="3"/>
      <c r="F882" s="3"/>
      <c r="H882" s="3"/>
    </row>
    <row r="883" ht="15.75" customHeight="1">
      <c r="A883" s="3"/>
      <c r="B883" s="3"/>
      <c r="C883" s="3"/>
      <c r="D883" s="3"/>
      <c r="E883" s="3"/>
      <c r="F883" s="3"/>
      <c r="H883" s="3"/>
    </row>
    <row r="884" ht="15.75" customHeight="1">
      <c r="A884" s="3"/>
      <c r="B884" s="3"/>
      <c r="C884" s="3"/>
      <c r="D884" s="3"/>
      <c r="E884" s="3"/>
      <c r="F884" s="3"/>
      <c r="H884" s="3"/>
    </row>
    <row r="885" ht="15.75" customHeight="1">
      <c r="A885" s="3"/>
      <c r="B885" s="3"/>
      <c r="C885" s="3"/>
      <c r="D885" s="3"/>
      <c r="E885" s="3"/>
      <c r="F885" s="3"/>
      <c r="H885" s="3"/>
    </row>
    <row r="886" ht="15.75" customHeight="1">
      <c r="A886" s="3"/>
      <c r="B886" s="3"/>
      <c r="C886" s="3"/>
      <c r="D886" s="3"/>
      <c r="E886" s="3"/>
      <c r="F886" s="3"/>
      <c r="H886" s="3"/>
    </row>
    <row r="887" ht="15.75" customHeight="1">
      <c r="A887" s="3"/>
      <c r="B887" s="3"/>
      <c r="C887" s="3"/>
      <c r="D887" s="3"/>
      <c r="E887" s="3"/>
      <c r="F887" s="3"/>
      <c r="H887" s="3"/>
    </row>
    <row r="888" ht="15.75" customHeight="1">
      <c r="A888" s="3"/>
      <c r="B888" s="3"/>
      <c r="C888" s="3"/>
      <c r="D888" s="3"/>
      <c r="E888" s="3"/>
      <c r="F888" s="3"/>
      <c r="H888" s="3"/>
    </row>
    <row r="889" ht="15.75" customHeight="1">
      <c r="A889" s="3"/>
      <c r="B889" s="3"/>
      <c r="C889" s="3"/>
      <c r="D889" s="3"/>
      <c r="E889" s="3"/>
      <c r="F889" s="3"/>
      <c r="H889" s="3"/>
    </row>
    <row r="890" ht="15.75" customHeight="1">
      <c r="A890" s="3"/>
      <c r="B890" s="3"/>
      <c r="C890" s="3"/>
      <c r="D890" s="3"/>
      <c r="E890" s="3"/>
      <c r="F890" s="3"/>
      <c r="H890" s="3"/>
    </row>
    <row r="891" ht="15.75" customHeight="1">
      <c r="A891" s="3"/>
      <c r="B891" s="3"/>
      <c r="C891" s="3"/>
      <c r="D891" s="3"/>
      <c r="E891" s="3"/>
      <c r="F891" s="3"/>
      <c r="H891" s="3"/>
    </row>
    <row r="892" ht="15.75" customHeight="1">
      <c r="A892" s="3"/>
      <c r="B892" s="3"/>
      <c r="C892" s="3"/>
      <c r="D892" s="3"/>
      <c r="E892" s="3"/>
      <c r="F892" s="3"/>
      <c r="H892" s="3"/>
    </row>
    <row r="893" ht="15.75" customHeight="1">
      <c r="A893" s="3"/>
      <c r="B893" s="3"/>
      <c r="C893" s="3"/>
      <c r="D893" s="3"/>
      <c r="E893" s="3"/>
      <c r="F893" s="3"/>
      <c r="H893" s="3"/>
    </row>
    <row r="894" ht="15.75" customHeight="1">
      <c r="A894" s="3"/>
      <c r="B894" s="3"/>
      <c r="C894" s="3"/>
      <c r="D894" s="3"/>
      <c r="E894" s="3"/>
      <c r="F894" s="3"/>
      <c r="H894" s="3"/>
    </row>
    <row r="895" ht="15.75" customHeight="1">
      <c r="A895" s="3"/>
      <c r="B895" s="3"/>
      <c r="C895" s="3"/>
      <c r="D895" s="3"/>
      <c r="E895" s="3"/>
      <c r="F895" s="3"/>
      <c r="H895" s="3"/>
    </row>
    <row r="896" ht="15.75" customHeight="1">
      <c r="A896" s="3"/>
      <c r="B896" s="3"/>
      <c r="C896" s="3"/>
      <c r="D896" s="3"/>
      <c r="E896" s="3"/>
      <c r="F896" s="3"/>
      <c r="H896" s="3"/>
    </row>
    <row r="897" ht="15.75" customHeight="1">
      <c r="A897" s="3"/>
      <c r="B897" s="3"/>
      <c r="C897" s="3"/>
      <c r="D897" s="3"/>
      <c r="E897" s="3"/>
      <c r="F897" s="3"/>
      <c r="H897" s="3"/>
    </row>
    <row r="898" ht="15.75" customHeight="1">
      <c r="A898" s="3"/>
      <c r="B898" s="3"/>
      <c r="C898" s="3"/>
      <c r="D898" s="3"/>
      <c r="E898" s="3"/>
      <c r="F898" s="3"/>
      <c r="H898" s="3"/>
    </row>
    <row r="899" ht="15.75" customHeight="1">
      <c r="A899" s="3"/>
      <c r="B899" s="3"/>
      <c r="C899" s="3"/>
      <c r="D899" s="3"/>
      <c r="E899" s="3"/>
      <c r="F899" s="3"/>
      <c r="H899" s="3"/>
    </row>
    <row r="900" ht="15.75" customHeight="1">
      <c r="A900" s="3"/>
      <c r="B900" s="3"/>
      <c r="C900" s="3"/>
      <c r="D900" s="3"/>
      <c r="E900" s="3"/>
      <c r="F900" s="3"/>
      <c r="H900" s="3"/>
    </row>
    <row r="901" ht="15.75" customHeight="1">
      <c r="A901" s="3"/>
      <c r="B901" s="3"/>
      <c r="C901" s="3"/>
      <c r="D901" s="3"/>
      <c r="E901" s="3"/>
      <c r="F901" s="3"/>
      <c r="H901" s="3"/>
    </row>
    <row r="902" ht="15.75" customHeight="1">
      <c r="A902" s="3"/>
      <c r="B902" s="3"/>
      <c r="C902" s="3"/>
      <c r="D902" s="3"/>
      <c r="E902" s="3"/>
      <c r="F902" s="3"/>
      <c r="H902" s="3"/>
    </row>
    <row r="903" ht="15.75" customHeight="1">
      <c r="A903" s="3"/>
      <c r="B903" s="3"/>
      <c r="C903" s="3"/>
      <c r="D903" s="3"/>
      <c r="E903" s="3"/>
      <c r="F903" s="3"/>
      <c r="H903" s="3"/>
    </row>
    <row r="904" ht="15.75" customHeight="1">
      <c r="A904" s="3"/>
      <c r="B904" s="3"/>
      <c r="C904" s="3"/>
      <c r="D904" s="3"/>
      <c r="E904" s="3"/>
      <c r="F904" s="3"/>
      <c r="H904" s="3"/>
    </row>
    <row r="905" ht="15.75" customHeight="1">
      <c r="A905" s="3"/>
      <c r="B905" s="3"/>
      <c r="C905" s="3"/>
      <c r="D905" s="3"/>
      <c r="E905" s="3"/>
      <c r="F905" s="3"/>
      <c r="H905" s="3"/>
    </row>
    <row r="906" ht="15.75" customHeight="1">
      <c r="A906" s="3"/>
      <c r="B906" s="3"/>
      <c r="C906" s="3"/>
      <c r="D906" s="3"/>
      <c r="E906" s="3"/>
      <c r="F906" s="3"/>
      <c r="H906" s="3"/>
    </row>
    <row r="907" ht="15.75" customHeight="1">
      <c r="A907" s="3"/>
      <c r="B907" s="3"/>
      <c r="C907" s="3"/>
      <c r="D907" s="3"/>
      <c r="E907" s="3"/>
      <c r="F907" s="3"/>
      <c r="H907" s="3"/>
    </row>
    <row r="908" ht="15.75" customHeight="1">
      <c r="A908" s="3"/>
      <c r="B908" s="3"/>
      <c r="C908" s="3"/>
      <c r="D908" s="3"/>
      <c r="E908" s="3"/>
      <c r="F908" s="3"/>
      <c r="H908" s="3"/>
    </row>
    <row r="909" ht="15.75" customHeight="1">
      <c r="A909" s="3"/>
      <c r="B909" s="3"/>
      <c r="C909" s="3"/>
      <c r="D909" s="3"/>
      <c r="E909" s="3"/>
      <c r="F909" s="3"/>
      <c r="H909" s="3"/>
    </row>
    <row r="910" ht="15.75" customHeight="1">
      <c r="A910" s="3"/>
      <c r="B910" s="3"/>
      <c r="C910" s="3"/>
      <c r="D910" s="3"/>
      <c r="E910" s="3"/>
      <c r="F910" s="3"/>
      <c r="H910" s="3"/>
    </row>
    <row r="911" ht="15.75" customHeight="1">
      <c r="A911" s="3"/>
      <c r="B911" s="3"/>
      <c r="C911" s="3"/>
      <c r="D911" s="3"/>
      <c r="E911" s="3"/>
      <c r="F911" s="3"/>
      <c r="H911" s="3"/>
    </row>
    <row r="912" ht="15.75" customHeight="1">
      <c r="A912" s="3"/>
      <c r="B912" s="3"/>
      <c r="C912" s="3"/>
      <c r="D912" s="3"/>
      <c r="E912" s="3"/>
      <c r="F912" s="3"/>
      <c r="H912" s="3"/>
    </row>
    <row r="913" ht="15.75" customHeight="1">
      <c r="A913" s="3"/>
      <c r="B913" s="3"/>
      <c r="C913" s="3"/>
      <c r="D913" s="3"/>
      <c r="E913" s="3"/>
      <c r="F913" s="3"/>
      <c r="H913" s="3"/>
    </row>
    <row r="914" ht="15.75" customHeight="1">
      <c r="A914" s="3"/>
      <c r="B914" s="3"/>
      <c r="C914" s="3"/>
      <c r="D914" s="3"/>
      <c r="E914" s="3"/>
      <c r="F914" s="3"/>
      <c r="H914" s="3"/>
    </row>
    <row r="915" ht="15.75" customHeight="1">
      <c r="A915" s="3"/>
      <c r="B915" s="3"/>
      <c r="C915" s="3"/>
      <c r="D915" s="3"/>
      <c r="E915" s="3"/>
      <c r="F915" s="3"/>
      <c r="H915" s="3"/>
    </row>
    <row r="916" ht="15.75" customHeight="1">
      <c r="A916" s="3"/>
      <c r="B916" s="3"/>
      <c r="C916" s="3"/>
      <c r="D916" s="3"/>
      <c r="E916" s="3"/>
      <c r="F916" s="3"/>
      <c r="H916" s="3"/>
    </row>
    <row r="917" ht="15.75" customHeight="1">
      <c r="A917" s="3"/>
      <c r="B917" s="3"/>
      <c r="C917" s="3"/>
      <c r="D917" s="3"/>
      <c r="E917" s="3"/>
      <c r="F917" s="3"/>
      <c r="H917" s="3"/>
    </row>
    <row r="918" ht="15.75" customHeight="1">
      <c r="A918" s="3"/>
      <c r="B918" s="3"/>
      <c r="C918" s="3"/>
      <c r="D918" s="3"/>
      <c r="E918" s="3"/>
      <c r="F918" s="3"/>
      <c r="H918" s="3"/>
    </row>
    <row r="919" ht="15.75" customHeight="1">
      <c r="A919" s="3"/>
      <c r="B919" s="3"/>
      <c r="C919" s="3"/>
      <c r="D919" s="3"/>
      <c r="E919" s="3"/>
      <c r="F919" s="3"/>
      <c r="H919" s="3"/>
    </row>
    <row r="920" ht="15.75" customHeight="1">
      <c r="A920" s="3"/>
      <c r="B920" s="3"/>
      <c r="C920" s="3"/>
      <c r="D920" s="3"/>
      <c r="E920" s="3"/>
      <c r="F920" s="3"/>
      <c r="H920" s="3"/>
    </row>
    <row r="921" ht="15.75" customHeight="1">
      <c r="A921" s="3"/>
      <c r="B921" s="3"/>
      <c r="C921" s="3"/>
      <c r="D921" s="3"/>
      <c r="E921" s="3"/>
      <c r="F921" s="3"/>
      <c r="H921" s="3"/>
    </row>
    <row r="922" ht="15.75" customHeight="1">
      <c r="A922" s="3"/>
      <c r="B922" s="3"/>
      <c r="C922" s="3"/>
      <c r="D922" s="3"/>
      <c r="E922" s="3"/>
      <c r="F922" s="3"/>
      <c r="H922" s="3"/>
    </row>
    <row r="923" ht="15.75" customHeight="1">
      <c r="A923" s="3"/>
      <c r="B923" s="3"/>
      <c r="C923" s="3"/>
      <c r="D923" s="3"/>
      <c r="E923" s="3"/>
      <c r="F923" s="3"/>
      <c r="H923" s="3"/>
    </row>
    <row r="924" ht="15.75" customHeight="1">
      <c r="A924" s="3"/>
      <c r="B924" s="3"/>
      <c r="C924" s="3"/>
      <c r="D924" s="3"/>
      <c r="E924" s="3"/>
      <c r="F924" s="3"/>
      <c r="H924" s="3"/>
    </row>
    <row r="925" ht="15.75" customHeight="1">
      <c r="A925" s="3"/>
      <c r="B925" s="3"/>
      <c r="C925" s="3"/>
      <c r="D925" s="3"/>
      <c r="E925" s="3"/>
      <c r="F925" s="3"/>
      <c r="H925" s="3"/>
    </row>
    <row r="926" ht="15.75" customHeight="1">
      <c r="A926" s="3"/>
      <c r="B926" s="3"/>
      <c r="C926" s="3"/>
      <c r="D926" s="3"/>
      <c r="E926" s="3"/>
      <c r="F926" s="3"/>
      <c r="H926" s="3"/>
    </row>
    <row r="927" ht="15.75" customHeight="1">
      <c r="A927" s="3"/>
      <c r="B927" s="3"/>
      <c r="C927" s="3"/>
      <c r="D927" s="3"/>
      <c r="E927" s="3"/>
      <c r="F927" s="3"/>
      <c r="H927" s="3"/>
    </row>
    <row r="928" ht="15.75" customHeight="1">
      <c r="A928" s="3"/>
      <c r="B928" s="3"/>
      <c r="C928" s="3"/>
      <c r="D928" s="3"/>
      <c r="E928" s="3"/>
      <c r="F928" s="3"/>
      <c r="H928" s="3"/>
    </row>
    <row r="929" ht="15.75" customHeight="1">
      <c r="A929" s="3"/>
      <c r="B929" s="3"/>
      <c r="C929" s="3"/>
      <c r="D929" s="3"/>
      <c r="E929" s="3"/>
      <c r="F929" s="3"/>
      <c r="H929" s="3"/>
    </row>
    <row r="930" ht="15.75" customHeight="1">
      <c r="A930" s="3"/>
      <c r="B930" s="3"/>
      <c r="C930" s="3"/>
      <c r="D930" s="3"/>
      <c r="E930" s="3"/>
      <c r="F930" s="3"/>
      <c r="H930" s="3"/>
    </row>
    <row r="931" ht="15.75" customHeight="1">
      <c r="A931" s="3"/>
      <c r="B931" s="3"/>
      <c r="C931" s="3"/>
      <c r="D931" s="3"/>
      <c r="E931" s="3"/>
      <c r="F931" s="3"/>
      <c r="H931" s="3"/>
    </row>
    <row r="932" ht="15.75" customHeight="1">
      <c r="A932" s="3"/>
      <c r="B932" s="3"/>
      <c r="C932" s="3"/>
      <c r="D932" s="3"/>
      <c r="E932" s="3"/>
      <c r="F932" s="3"/>
      <c r="H932" s="3"/>
    </row>
    <row r="933" ht="15.75" customHeight="1">
      <c r="A933" s="3"/>
      <c r="B933" s="3"/>
      <c r="C933" s="3"/>
      <c r="D933" s="3"/>
      <c r="E933" s="3"/>
      <c r="F933" s="3"/>
      <c r="H933" s="3"/>
    </row>
    <row r="934" ht="15.75" customHeight="1">
      <c r="A934" s="3"/>
      <c r="B934" s="3"/>
      <c r="C934" s="3"/>
      <c r="D934" s="3"/>
      <c r="E934" s="3"/>
      <c r="F934" s="3"/>
      <c r="H934" s="3"/>
    </row>
    <row r="935" ht="15.75" customHeight="1">
      <c r="A935" s="3"/>
      <c r="B935" s="3"/>
      <c r="C935" s="3"/>
      <c r="D935" s="3"/>
      <c r="E935" s="3"/>
      <c r="F935" s="3"/>
      <c r="H935" s="3"/>
    </row>
    <row r="936" ht="15.75" customHeight="1">
      <c r="A936" s="3"/>
      <c r="B936" s="3"/>
      <c r="C936" s="3"/>
      <c r="D936" s="3"/>
      <c r="E936" s="3"/>
      <c r="F936" s="3"/>
      <c r="H936" s="3"/>
    </row>
    <row r="937" ht="15.75" customHeight="1">
      <c r="A937" s="3"/>
      <c r="B937" s="3"/>
      <c r="C937" s="3"/>
      <c r="D937" s="3"/>
      <c r="E937" s="3"/>
      <c r="F937" s="3"/>
      <c r="H937" s="3"/>
    </row>
    <row r="938" ht="15.75" customHeight="1">
      <c r="A938" s="3"/>
      <c r="B938" s="3"/>
      <c r="C938" s="3"/>
      <c r="D938" s="3"/>
      <c r="E938" s="3"/>
      <c r="F938" s="3"/>
      <c r="H938" s="3"/>
    </row>
    <row r="939" ht="15.75" customHeight="1">
      <c r="A939" s="3"/>
      <c r="B939" s="3"/>
      <c r="C939" s="3"/>
      <c r="D939" s="3"/>
      <c r="E939" s="3"/>
      <c r="F939" s="3"/>
      <c r="H939" s="3"/>
    </row>
    <row r="940" ht="15.75" customHeight="1">
      <c r="A940" s="3"/>
      <c r="B940" s="3"/>
      <c r="C940" s="3"/>
      <c r="D940" s="3"/>
      <c r="E940" s="3"/>
      <c r="F940" s="3"/>
      <c r="H940" s="3"/>
    </row>
    <row r="941" ht="15.75" customHeight="1">
      <c r="A941" s="3"/>
      <c r="B941" s="3"/>
      <c r="C941" s="3"/>
      <c r="D941" s="3"/>
      <c r="E941" s="3"/>
      <c r="F941" s="3"/>
      <c r="H941" s="3"/>
    </row>
    <row r="942" ht="15.75" customHeight="1">
      <c r="A942" s="3"/>
      <c r="B942" s="3"/>
      <c r="C942" s="3"/>
      <c r="D942" s="3"/>
      <c r="E942" s="3"/>
      <c r="F942" s="3"/>
      <c r="H942" s="3"/>
    </row>
    <row r="943" ht="15.75" customHeight="1">
      <c r="A943" s="3"/>
      <c r="B943" s="3"/>
      <c r="C943" s="3"/>
      <c r="D943" s="3"/>
      <c r="E943" s="3"/>
      <c r="F943" s="3"/>
      <c r="H943" s="3"/>
    </row>
    <row r="944" ht="15.75" customHeight="1">
      <c r="A944" s="3"/>
      <c r="B944" s="3"/>
      <c r="C944" s="3"/>
      <c r="D944" s="3"/>
      <c r="E944" s="3"/>
      <c r="F944" s="3"/>
      <c r="H944" s="3"/>
    </row>
    <row r="945" ht="15.75" customHeight="1">
      <c r="A945" s="3"/>
      <c r="B945" s="3"/>
      <c r="C945" s="3"/>
      <c r="D945" s="3"/>
      <c r="E945" s="3"/>
      <c r="F945" s="3"/>
      <c r="H945" s="3"/>
    </row>
    <row r="946" ht="15.75" customHeight="1">
      <c r="A946" s="3"/>
      <c r="B946" s="3"/>
      <c r="C946" s="3"/>
      <c r="D946" s="3"/>
      <c r="E946" s="3"/>
      <c r="F946" s="3"/>
      <c r="H946" s="3"/>
    </row>
    <row r="947" ht="15.75" customHeight="1">
      <c r="A947" s="3"/>
      <c r="B947" s="3"/>
      <c r="C947" s="3"/>
      <c r="D947" s="3"/>
      <c r="E947" s="3"/>
      <c r="F947" s="3"/>
      <c r="H947" s="3"/>
    </row>
    <row r="948" ht="15.75" customHeight="1">
      <c r="A948" s="3"/>
      <c r="B948" s="3"/>
      <c r="C948" s="3"/>
      <c r="D948" s="3"/>
      <c r="E948" s="3"/>
      <c r="F948" s="3"/>
      <c r="H948" s="3"/>
    </row>
    <row r="949" ht="15.75" customHeight="1">
      <c r="A949" s="3"/>
      <c r="B949" s="3"/>
      <c r="C949" s="3"/>
      <c r="D949" s="3"/>
      <c r="E949" s="3"/>
      <c r="F949" s="3"/>
      <c r="H949" s="3"/>
    </row>
    <row r="950" ht="15.75" customHeight="1">
      <c r="A950" s="3"/>
      <c r="B950" s="3"/>
      <c r="C950" s="3"/>
      <c r="D950" s="3"/>
      <c r="E950" s="3"/>
      <c r="F950" s="3"/>
      <c r="H950" s="3"/>
    </row>
    <row r="951" ht="15.75" customHeight="1">
      <c r="A951" s="3"/>
      <c r="B951" s="3"/>
      <c r="C951" s="3"/>
      <c r="D951" s="3"/>
      <c r="E951" s="3"/>
      <c r="F951" s="3"/>
      <c r="H951" s="3"/>
    </row>
    <row r="952" ht="15.75" customHeight="1">
      <c r="A952" s="3"/>
      <c r="B952" s="3"/>
      <c r="C952" s="3"/>
      <c r="D952" s="3"/>
      <c r="E952" s="3"/>
      <c r="F952" s="3"/>
      <c r="H952" s="3"/>
    </row>
    <row r="953" ht="15.75" customHeight="1">
      <c r="A953" s="3"/>
      <c r="B953" s="3"/>
      <c r="C953" s="3"/>
      <c r="D953" s="3"/>
      <c r="E953" s="3"/>
      <c r="F953" s="3"/>
      <c r="H953" s="3"/>
    </row>
    <row r="954" ht="15.75" customHeight="1">
      <c r="A954" s="3"/>
      <c r="B954" s="3"/>
      <c r="C954" s="3"/>
      <c r="D954" s="3"/>
      <c r="E954" s="3"/>
      <c r="F954" s="3"/>
      <c r="H954" s="3"/>
    </row>
    <row r="955" ht="15.75" customHeight="1">
      <c r="A955" s="3"/>
      <c r="B955" s="3"/>
      <c r="C955" s="3"/>
      <c r="D955" s="3"/>
      <c r="E955" s="3"/>
      <c r="F955" s="3"/>
      <c r="H955" s="3"/>
    </row>
    <row r="956" ht="15.75" customHeight="1">
      <c r="A956" s="3"/>
      <c r="B956" s="3"/>
      <c r="C956" s="3"/>
      <c r="D956" s="3"/>
      <c r="E956" s="3"/>
      <c r="F956" s="3"/>
      <c r="H956" s="3"/>
    </row>
    <row r="957" ht="15.75" customHeight="1">
      <c r="A957" s="3"/>
      <c r="B957" s="3"/>
      <c r="C957" s="3"/>
      <c r="D957" s="3"/>
      <c r="E957" s="3"/>
      <c r="F957" s="3"/>
      <c r="H957" s="3"/>
    </row>
    <row r="958" ht="15.75" customHeight="1">
      <c r="A958" s="3"/>
      <c r="B958" s="3"/>
      <c r="C958" s="3"/>
      <c r="D958" s="3"/>
      <c r="E958" s="3"/>
      <c r="F958" s="3"/>
      <c r="H958" s="3"/>
    </row>
    <row r="959" ht="15.75" customHeight="1">
      <c r="A959" s="3"/>
      <c r="B959" s="3"/>
      <c r="C959" s="3"/>
      <c r="D959" s="3"/>
      <c r="E959" s="3"/>
      <c r="F959" s="3"/>
      <c r="H959" s="3"/>
    </row>
    <row r="960" ht="15.75" customHeight="1">
      <c r="A960" s="3"/>
      <c r="B960" s="3"/>
      <c r="C960" s="3"/>
      <c r="D960" s="3"/>
      <c r="E960" s="3"/>
      <c r="F960" s="3"/>
      <c r="H960" s="3"/>
    </row>
    <row r="961" ht="15.75" customHeight="1">
      <c r="A961" s="3"/>
      <c r="B961" s="3"/>
      <c r="C961" s="3"/>
      <c r="D961" s="3"/>
      <c r="E961" s="3"/>
      <c r="F961" s="3"/>
      <c r="H961" s="3"/>
    </row>
    <row r="962" ht="15.75" customHeight="1">
      <c r="A962" s="3"/>
      <c r="B962" s="3"/>
      <c r="C962" s="3"/>
      <c r="D962" s="3"/>
      <c r="E962" s="3"/>
      <c r="F962" s="3"/>
      <c r="H962" s="3"/>
    </row>
    <row r="963" ht="15.75" customHeight="1">
      <c r="A963" s="3"/>
      <c r="B963" s="3"/>
      <c r="C963" s="3"/>
      <c r="D963" s="3"/>
      <c r="E963" s="3"/>
      <c r="F963" s="3"/>
      <c r="H963" s="3"/>
    </row>
    <row r="964" ht="15.75" customHeight="1">
      <c r="A964" s="3"/>
      <c r="B964" s="3"/>
      <c r="C964" s="3"/>
      <c r="D964" s="3"/>
      <c r="E964" s="3"/>
      <c r="F964" s="3"/>
      <c r="H964" s="3"/>
    </row>
    <row r="965" ht="15.75" customHeight="1">
      <c r="A965" s="3"/>
      <c r="B965" s="3"/>
      <c r="C965" s="3"/>
      <c r="D965" s="3"/>
      <c r="E965" s="3"/>
      <c r="F965" s="3"/>
      <c r="H965" s="3"/>
    </row>
    <row r="966" ht="15.75" customHeight="1">
      <c r="A966" s="3"/>
      <c r="B966" s="3"/>
      <c r="C966" s="3"/>
      <c r="D966" s="3"/>
      <c r="E966" s="3"/>
      <c r="F966" s="3"/>
      <c r="H966" s="3"/>
    </row>
    <row r="967" ht="15.75" customHeight="1">
      <c r="A967" s="3"/>
      <c r="B967" s="3"/>
      <c r="C967" s="3"/>
      <c r="D967" s="3"/>
      <c r="E967" s="3"/>
      <c r="F967" s="3"/>
      <c r="H967" s="3"/>
    </row>
    <row r="968" ht="15.75" customHeight="1">
      <c r="A968" s="3"/>
      <c r="B968" s="3"/>
      <c r="C968" s="3"/>
      <c r="D968" s="3"/>
      <c r="E968" s="3"/>
      <c r="F968" s="3"/>
      <c r="H968" s="3"/>
    </row>
    <row r="969" ht="15.75" customHeight="1">
      <c r="A969" s="3"/>
      <c r="B969" s="3"/>
      <c r="C969" s="3"/>
      <c r="D969" s="3"/>
      <c r="E969" s="3"/>
      <c r="F969" s="3"/>
      <c r="H969" s="3"/>
    </row>
    <row r="970" ht="15.75" customHeight="1">
      <c r="A970" s="3"/>
      <c r="B970" s="3"/>
      <c r="C970" s="3"/>
      <c r="D970" s="3"/>
      <c r="E970" s="3"/>
      <c r="F970" s="3"/>
      <c r="H970" s="3"/>
    </row>
    <row r="971" ht="15.75" customHeight="1">
      <c r="A971" s="3"/>
      <c r="B971" s="3"/>
      <c r="C971" s="3"/>
      <c r="D971" s="3"/>
      <c r="E971" s="3"/>
      <c r="F971" s="3"/>
      <c r="H971" s="3"/>
    </row>
    <row r="972" ht="15.75" customHeight="1">
      <c r="A972" s="3"/>
      <c r="B972" s="3"/>
      <c r="C972" s="3"/>
      <c r="D972" s="3"/>
      <c r="E972" s="3"/>
      <c r="F972" s="3"/>
      <c r="H972" s="3"/>
    </row>
    <row r="973" ht="15.75" customHeight="1">
      <c r="A973" s="3"/>
      <c r="B973" s="3"/>
      <c r="C973" s="3"/>
      <c r="D973" s="3"/>
      <c r="E973" s="3"/>
      <c r="F973" s="3"/>
      <c r="H973" s="3"/>
    </row>
    <row r="974" ht="15.75" customHeight="1">
      <c r="A974" s="3"/>
      <c r="B974" s="3"/>
      <c r="C974" s="3"/>
      <c r="D974" s="3"/>
      <c r="E974" s="3"/>
      <c r="F974" s="3"/>
      <c r="H974" s="3"/>
    </row>
    <row r="975" ht="15.75" customHeight="1">
      <c r="A975" s="3"/>
      <c r="B975" s="3"/>
      <c r="C975" s="3"/>
      <c r="D975" s="3"/>
      <c r="E975" s="3"/>
      <c r="F975" s="3"/>
      <c r="H975" s="3"/>
    </row>
    <row r="976" ht="15.75" customHeight="1">
      <c r="A976" s="3"/>
      <c r="B976" s="3"/>
      <c r="C976" s="3"/>
      <c r="D976" s="3"/>
      <c r="E976" s="3"/>
      <c r="F976" s="3"/>
      <c r="H976" s="3"/>
    </row>
    <row r="977" ht="15.75" customHeight="1">
      <c r="A977" s="3"/>
      <c r="B977" s="3"/>
      <c r="C977" s="3"/>
      <c r="D977" s="3"/>
      <c r="E977" s="3"/>
      <c r="F977" s="3"/>
      <c r="H977" s="3"/>
    </row>
    <row r="978" ht="15.75" customHeight="1">
      <c r="A978" s="3"/>
      <c r="B978" s="3"/>
      <c r="C978" s="3"/>
      <c r="D978" s="3"/>
      <c r="E978" s="3"/>
      <c r="F978" s="3"/>
      <c r="H978" s="3"/>
    </row>
    <row r="979" ht="15.75" customHeight="1">
      <c r="A979" s="3"/>
      <c r="B979" s="3"/>
      <c r="C979" s="3"/>
      <c r="D979" s="3"/>
      <c r="E979" s="3"/>
      <c r="F979" s="3"/>
      <c r="H979" s="3"/>
    </row>
    <row r="980" ht="15.75" customHeight="1">
      <c r="A980" s="3"/>
      <c r="B980" s="3"/>
      <c r="C980" s="3"/>
      <c r="D980" s="3"/>
      <c r="E980" s="3"/>
      <c r="F980" s="3"/>
      <c r="H980" s="3"/>
    </row>
    <row r="981" ht="15.75" customHeight="1">
      <c r="A981" s="3"/>
      <c r="B981" s="3"/>
      <c r="C981" s="3"/>
      <c r="D981" s="3"/>
      <c r="E981" s="3"/>
      <c r="F981" s="3"/>
      <c r="H981" s="3"/>
    </row>
    <row r="982" ht="15.75" customHeight="1">
      <c r="A982" s="3"/>
      <c r="B982" s="3"/>
      <c r="C982" s="3"/>
      <c r="D982" s="3"/>
      <c r="E982" s="3"/>
      <c r="F982" s="3"/>
      <c r="H982" s="3"/>
    </row>
    <row r="983" ht="15.75" customHeight="1">
      <c r="A983" s="3"/>
      <c r="B983" s="3"/>
      <c r="C983" s="3"/>
      <c r="D983" s="3"/>
      <c r="E983" s="3"/>
      <c r="F983" s="3"/>
      <c r="H983" s="3"/>
    </row>
    <row r="984" ht="15.75" customHeight="1">
      <c r="A984" s="3"/>
      <c r="B984" s="3"/>
      <c r="C984" s="3"/>
      <c r="D984" s="3"/>
      <c r="E984" s="3"/>
      <c r="F984" s="3"/>
      <c r="H984" s="3"/>
    </row>
    <row r="985" ht="15.75" customHeight="1">
      <c r="A985" s="3"/>
      <c r="B985" s="3"/>
      <c r="C985" s="3"/>
      <c r="D985" s="3"/>
      <c r="E985" s="3"/>
      <c r="F985" s="3"/>
      <c r="H985" s="3"/>
    </row>
    <row r="986" ht="15.75" customHeight="1">
      <c r="A986" s="3"/>
      <c r="B986" s="3"/>
      <c r="C986" s="3"/>
      <c r="D986" s="3"/>
      <c r="E986" s="3"/>
      <c r="F986" s="3"/>
      <c r="H986" s="3"/>
    </row>
    <row r="987" ht="15.75" customHeight="1">
      <c r="A987" s="3"/>
      <c r="B987" s="3"/>
      <c r="C987" s="3"/>
      <c r="D987" s="3"/>
      <c r="E987" s="3"/>
      <c r="F987" s="3"/>
      <c r="H987" s="3"/>
    </row>
    <row r="988" ht="15.75" customHeight="1">
      <c r="A988" s="3"/>
      <c r="B988" s="3"/>
      <c r="C988" s="3"/>
      <c r="D988" s="3"/>
      <c r="E988" s="3"/>
      <c r="F988" s="3"/>
      <c r="H988" s="3"/>
    </row>
    <row r="989" ht="15.75" customHeight="1">
      <c r="A989" s="3"/>
      <c r="B989" s="3"/>
      <c r="C989" s="3"/>
      <c r="D989" s="3"/>
      <c r="E989" s="3"/>
      <c r="F989" s="3"/>
      <c r="H989" s="3"/>
    </row>
    <row r="990" ht="15.75" customHeight="1">
      <c r="A990" s="3"/>
      <c r="B990" s="3"/>
      <c r="C990" s="3"/>
      <c r="D990" s="3"/>
      <c r="E990" s="3"/>
      <c r="F990" s="3"/>
      <c r="H990" s="3"/>
    </row>
    <row r="991" ht="15.75" customHeight="1">
      <c r="A991" s="3"/>
      <c r="B991" s="3"/>
      <c r="C991" s="3"/>
      <c r="D991" s="3"/>
      <c r="E991" s="3"/>
      <c r="F991" s="3"/>
      <c r="H991" s="3"/>
    </row>
    <row r="992" ht="15.75" customHeight="1">
      <c r="A992" s="3"/>
      <c r="B992" s="3"/>
      <c r="C992" s="3"/>
      <c r="D992" s="3"/>
      <c r="E992" s="3"/>
      <c r="F992" s="3"/>
      <c r="H992" s="3"/>
    </row>
    <row r="993" ht="15.75" customHeight="1">
      <c r="A993" s="3"/>
      <c r="B993" s="3"/>
      <c r="C993" s="3"/>
      <c r="D993" s="3"/>
      <c r="E993" s="3"/>
      <c r="F993" s="3"/>
      <c r="H993" s="3"/>
    </row>
    <row r="994" ht="15.75" customHeight="1">
      <c r="A994" s="3"/>
      <c r="B994" s="3"/>
      <c r="C994" s="3"/>
      <c r="D994" s="3"/>
      <c r="E994" s="3"/>
      <c r="F994" s="3"/>
      <c r="H994" s="3"/>
    </row>
    <row r="995" ht="15.75" customHeight="1">
      <c r="A995" s="3"/>
      <c r="B995" s="3"/>
      <c r="C995" s="3"/>
      <c r="D995" s="3"/>
      <c r="E995" s="3"/>
      <c r="F995" s="3"/>
      <c r="H995" s="3"/>
    </row>
    <row r="996" ht="15.75" customHeight="1">
      <c r="A996" s="3"/>
      <c r="B996" s="3"/>
      <c r="C996" s="3"/>
      <c r="D996" s="3"/>
      <c r="E996" s="3"/>
      <c r="F996" s="3"/>
      <c r="H996" s="3"/>
    </row>
    <row r="997" ht="15.75" customHeight="1">
      <c r="A997" s="3"/>
      <c r="B997" s="3"/>
      <c r="C997" s="3"/>
      <c r="D997" s="3"/>
      <c r="E997" s="3"/>
      <c r="F997" s="3"/>
      <c r="H997" s="3"/>
    </row>
    <row r="998" ht="15.75" customHeight="1">
      <c r="A998" s="3"/>
      <c r="B998" s="3"/>
      <c r="C998" s="3"/>
      <c r="D998" s="3"/>
      <c r="E998" s="3"/>
      <c r="F998" s="3"/>
      <c r="H998" s="3"/>
    </row>
    <row r="999" ht="15.75" customHeight="1">
      <c r="A999" s="3"/>
      <c r="B999" s="3"/>
      <c r="C999" s="3"/>
      <c r="D999" s="3"/>
      <c r="E999" s="3"/>
      <c r="F999" s="3"/>
      <c r="H999" s="3"/>
    </row>
    <row r="1000" ht="15.75" customHeight="1">
      <c r="A1000" s="3"/>
      <c r="B1000" s="3"/>
      <c r="C1000" s="3"/>
      <c r="D1000" s="3"/>
      <c r="E1000" s="3"/>
      <c r="F1000" s="3"/>
      <c r="H1000" s="3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2" width="14.0"/>
    <col customWidth="1" min="3" max="3" width="22.0"/>
    <col customWidth="1" min="4" max="4" width="20.0"/>
    <col customWidth="1" min="5" max="5" width="14.0"/>
    <col customWidth="1" min="6" max="7" width="12.0"/>
    <col customWidth="1" min="8" max="8" width="28.0"/>
    <col customWidth="1" min="9" max="9" width="8.63"/>
    <col customWidth="1" min="10" max="10" width="14.0"/>
    <col customWidth="1" min="11" max="11" width="22.0"/>
    <col customWidth="1" min="12" max="12" width="14.0"/>
    <col customWidth="1" min="13" max="13" width="12.0"/>
    <col customWidth="1" min="14" max="17" width="10.0"/>
    <col customWidth="1" min="18" max="20" width="12.0"/>
    <col customWidth="1" min="21" max="21" width="14.0"/>
  </cols>
  <sheetData>
    <row r="1">
      <c r="A1" s="15" t="s">
        <v>31</v>
      </c>
      <c r="I1" s="3"/>
      <c r="J1" s="16" t="s">
        <v>36</v>
      </c>
      <c r="K1" s="18">
        <v>46296.0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2" t="s">
        <v>55</v>
      </c>
      <c r="I2" s="3"/>
      <c r="J2" s="25" t="s">
        <v>56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7" t="s">
        <v>1</v>
      </c>
      <c r="B4" s="17" t="s">
        <v>30</v>
      </c>
      <c r="C4" s="17" t="s">
        <v>38</v>
      </c>
      <c r="D4" s="17" t="s">
        <v>39</v>
      </c>
      <c r="E4" s="17" t="s">
        <v>44</v>
      </c>
      <c r="F4" s="17" t="s">
        <v>64</v>
      </c>
      <c r="G4" s="17" t="s">
        <v>67</v>
      </c>
      <c r="H4" s="17" t="s">
        <v>70</v>
      </c>
      <c r="I4" s="3"/>
      <c r="J4" s="16" t="s">
        <v>71</v>
      </c>
      <c r="R4" s="3"/>
      <c r="S4" s="3"/>
      <c r="T4" s="3"/>
      <c r="U4" s="3"/>
      <c r="V4" s="3"/>
      <c r="W4" s="3"/>
      <c r="X4" s="3"/>
      <c r="Y4" s="3"/>
      <c r="Z4" s="3"/>
    </row>
    <row r="5">
      <c r="A5" s="35">
        <v>46296.0</v>
      </c>
      <c r="B5" s="37" t="str">
        <f t="array" ref="B5">IFERROR(INDEX('Employee Master'!$A$2:$A$500,1),"")</f>
        <v>EMP001</v>
      </c>
      <c r="C5" s="31" t="str">
        <f t="array" ref="C5">IFERROR(_xlfn.XLOOKUP(B5,'Employee Master'!$A$2:$A$500,'Employee Master'!$B$2:$B$500,""),"")</f>
        <v>Ravi</v>
      </c>
      <c r="D5" s="31" t="str">
        <f t="array" ref="D5">IFERROR(_xlfn.XLOOKUP(B5,'Employee Master'!$A$2:$A$500,'Employee Master'!$C$2:$C$500,""),"")</f>
        <v>Machine Operator</v>
      </c>
      <c r="E5" s="31" t="str">
        <f t="array" ref="E5">IFERROR(_xlfn.XLOOKUP(B5,'Employee Master'!$A$2:$A$500,'Employee Master'!$E$2:$E$500,""),"")</f>
        <v>Monthly</v>
      </c>
      <c r="F5" s="31" t="s">
        <v>90</v>
      </c>
      <c r="G5" s="39"/>
      <c r="H5" s="31"/>
      <c r="I5" s="3"/>
      <c r="J5" s="40" t="s">
        <v>30</v>
      </c>
      <c r="K5" s="40" t="s">
        <v>92</v>
      </c>
      <c r="L5" s="40" t="s">
        <v>44</v>
      </c>
      <c r="M5" s="40" t="s">
        <v>93</v>
      </c>
      <c r="N5" s="40" t="s">
        <v>94</v>
      </c>
      <c r="O5" s="40" t="s">
        <v>95</v>
      </c>
      <c r="P5" s="40" t="s">
        <v>96</v>
      </c>
      <c r="Q5" s="40" t="s">
        <v>97</v>
      </c>
      <c r="R5" s="40" t="s">
        <v>98</v>
      </c>
      <c r="S5" s="40" t="s">
        <v>99</v>
      </c>
      <c r="T5" s="40" t="s">
        <v>67</v>
      </c>
      <c r="U5" s="40" t="s">
        <v>42</v>
      </c>
      <c r="V5" s="3"/>
      <c r="W5" s="3"/>
      <c r="X5" s="3"/>
      <c r="Y5" s="3"/>
      <c r="Z5" s="3"/>
    </row>
    <row r="6">
      <c r="A6" s="35">
        <v>46296.0</v>
      </c>
      <c r="B6" s="37" t="str">
        <f t="array" ref="B6">IFERROR(INDEX('Employee Master'!$A$2:$A$500,2),"")</f>
        <v>EMP002</v>
      </c>
      <c r="C6" s="31" t="str">
        <f t="array" ref="C6">IFERROR(_xlfn.XLOOKUP(B6,'Employee Master'!$A$2:$A$500,'Employee Master'!$B$2:$B$500,""),"")</f>
        <v>Raju</v>
      </c>
      <c r="D6" s="31" t="str">
        <f t="array" ref="D6">IFERROR(_xlfn.XLOOKUP(B6,'Employee Master'!$A$2:$A$500,'Employee Master'!$C$2:$C$500,""),"")</f>
        <v>Mixer Man</v>
      </c>
      <c r="E6" s="31" t="str">
        <f t="array" ref="E6">IFERROR(_xlfn.XLOOKUP(B6,'Employee Master'!$A$2:$A$500,'Employee Master'!$E$2:$E$500,""),"")</f>
        <v>Monthly</v>
      </c>
      <c r="F6" s="31" t="s">
        <v>90</v>
      </c>
      <c r="G6" s="39"/>
      <c r="H6" s="31"/>
      <c r="I6" s="3"/>
      <c r="J6" s="11" t="str">
        <f t="array" ref="J6">IFERROR(INDEX('Employee Master'!$A$2:$A$500,1),"")</f>
        <v>EMP001</v>
      </c>
      <c r="K6" s="11" t="str">
        <f t="array" ref="K6">IFERROR(_xlfn.XLOOKUP(J6,'Employee Master'!$A$2:$A$500,'Employee Master'!$B$2:$B$500,""),"")</f>
        <v>Ravi</v>
      </c>
      <c r="L6" s="11" t="str">
        <f t="array" ref="L6">IFERROR(_xlfn.XLOOKUP(J6,'Employee Master'!$A$2:$A$500,'Employee Master'!$E$2:$E$500,""),"")</f>
        <v>Monthly</v>
      </c>
      <c r="M6" s="11">
        <f t="shared" ref="M6:M15" si="1">DAY(EOMONTH($K$1,0))</f>
        <v>31</v>
      </c>
      <c r="N6" s="11">
        <f t="shared" ref="N6:N15" si="2">COUNTIFS($B$5:$B$504,J6,$F$5:$F$504,"P",$A$5:$A$504,"&gt;="&amp;$K$1,$A$5:$A$504,"&lt;="&amp;EOMONTH($K$1,0))</f>
        <v>4</v>
      </c>
      <c r="O6" s="11">
        <f t="shared" ref="O6:O15" si="3">COUNTIFS($B$5:$B$504,J6,$F$5:$F$504,"A",$A$5:$A$504,"&gt;="&amp;$K$1,$A$5:$A$504,"&lt;="&amp;EOMONTH($K$1,0))</f>
        <v>0</v>
      </c>
      <c r="P6" s="11">
        <f t="shared" ref="P6:P15" si="4">COUNTIFS($B$5:$B$504,J6,$F$5:$F$504,"HD",$A$5:$A$504,"&gt;="&amp;$K$1,$A$5:$A$504,"&lt;="&amp;EOMONTH($K$1,0))</f>
        <v>0</v>
      </c>
      <c r="Q6" s="11">
        <f t="shared" ref="Q6:Q15" si="5">COUNTIFS($B$5:$B$504,J6,$F$5:$F$504,"L",$A$5:$A$504,"&gt;="&amp;$K$1,$A$5:$A$504,"&lt;="&amp;EOMONTH($K$1,0))</f>
        <v>1</v>
      </c>
      <c r="R6" s="11">
        <f t="shared" ref="R6:R15" si="6">COUNTIFS($B$5:$B$504,J6,$F$5:$F$504,"WO",$A$5:$A$504,"&gt;="&amp;$K$1,$A$5:$A$504,"&lt;="&amp;EOMONTH($K$1,0))</f>
        <v>1</v>
      </c>
      <c r="S6" s="11">
        <f t="shared" ref="S6:S15" si="7">N6+P6*0.5</f>
        <v>4</v>
      </c>
      <c r="T6" s="11">
        <f t="shared" ref="T6:T15" si="8">SUMIFS($G$5:$G$504,$B$5:$B$504,J6,$A$5:$A$504,"&gt;="&amp;$K$1,$A$5:$A$504,"&lt;="&amp;EOMONTH($K$1,0))</f>
        <v>0</v>
      </c>
      <c r="U6" s="43">
        <f t="array" ref="U6">IFERROR(_xlfn.XLOOKUP(J6,'Employee Master'!$A$2:$A$500,'Employee Master'!$D$2:$D$500,""),"")</f>
        <v>46199</v>
      </c>
      <c r="V6" s="3"/>
      <c r="W6" s="3"/>
      <c r="X6" s="3"/>
      <c r="Y6" s="3"/>
      <c r="Z6" s="3"/>
    </row>
    <row r="7">
      <c r="A7" s="35">
        <v>46296.0</v>
      </c>
      <c r="B7" s="37" t="str">
        <f t="array" ref="B7">IFERROR(INDEX('Employee Master'!$A$2:$A$500,4),"")</f>
        <v>EMP004</v>
      </c>
      <c r="C7" s="31" t="str">
        <f t="array" ref="C7">IFERROR(_xlfn.XLOOKUP(B7,'Employee Master'!$A$2:$A$500,'Employee Master'!$B$2:$B$500,""),"")</f>
        <v>Shah Jahan</v>
      </c>
      <c r="D7" s="31" t="str">
        <f t="array" ref="D7">IFERROR(_xlfn.XLOOKUP(B7,'Employee Master'!$A$2:$A$500,'Employee Master'!$C$2:$C$500,""),"")</f>
        <v>Roll Man</v>
      </c>
      <c r="E7" s="31" t="str">
        <f t="array" ref="E7">IFERROR(_xlfn.XLOOKUP(B7,'Employee Master'!$A$2:$A$500,'Employee Master'!$E$2:$E$500,""),"")</f>
        <v>Monthly</v>
      </c>
      <c r="F7" s="31" t="s">
        <v>90</v>
      </c>
      <c r="G7" s="39"/>
      <c r="H7" s="31"/>
      <c r="I7" s="3"/>
      <c r="J7" s="11" t="str">
        <f t="array" ref="J7">IFERROR(INDEX('Employee Master'!$A$2:$A$500,2),"")</f>
        <v>EMP002</v>
      </c>
      <c r="K7" s="11" t="str">
        <f t="array" ref="K7">IFERROR(_xlfn.XLOOKUP(J7,'Employee Master'!$A$2:$A$500,'Employee Master'!$B$2:$B$500,""),"")</f>
        <v>Raju</v>
      </c>
      <c r="L7" s="11" t="str">
        <f t="array" ref="L7">IFERROR(_xlfn.XLOOKUP(J7,'Employee Master'!$A$2:$A$500,'Employee Master'!$E$2:$E$500,""),"")</f>
        <v>Monthly</v>
      </c>
      <c r="M7" s="11">
        <f t="shared" si="1"/>
        <v>31</v>
      </c>
      <c r="N7" s="11">
        <f t="shared" si="2"/>
        <v>4</v>
      </c>
      <c r="O7" s="11">
        <f t="shared" si="3"/>
        <v>0</v>
      </c>
      <c r="P7" s="11">
        <f t="shared" si="4"/>
        <v>0</v>
      </c>
      <c r="Q7" s="11">
        <f t="shared" si="5"/>
        <v>1</v>
      </c>
      <c r="R7" s="11">
        <f t="shared" si="6"/>
        <v>1</v>
      </c>
      <c r="S7" s="11">
        <f t="shared" si="7"/>
        <v>4</v>
      </c>
      <c r="T7" s="11">
        <f t="shared" si="8"/>
        <v>0</v>
      </c>
      <c r="U7" s="43">
        <f t="array" ref="U7">IFERROR(_xlfn.XLOOKUP(J7,'Employee Master'!$A$2:$A$500,'Employee Master'!$D$2:$D$500,""),"")</f>
        <v>46199</v>
      </c>
      <c r="V7" s="3"/>
      <c r="W7" s="3"/>
      <c r="X7" s="3"/>
      <c r="Y7" s="3"/>
      <c r="Z7" s="3"/>
    </row>
    <row r="8">
      <c r="A8" s="35">
        <v>46296.0</v>
      </c>
      <c r="B8" s="37" t="str">
        <f t="array" ref="B8">IFERROR(INDEX('Employee Master'!$A$2:$A$500,5),"")</f>
        <v>EMP005</v>
      </c>
      <c r="C8" s="31" t="str">
        <f t="array" ref="C8">IFERROR(_xlfn.XLOOKUP(B8,'Employee Master'!$A$2:$A$500,'Employee Master'!$B$2:$B$500,""),"")</f>
        <v>Shanti Devi</v>
      </c>
      <c r="D8" s="31" t="str">
        <f t="array" ref="D8">IFERROR(_xlfn.XLOOKUP(B8,'Employee Master'!$A$2:$A$500,'Employee Master'!$C$2:$C$500,""),"")</f>
        <v>Pipe Cutting</v>
      </c>
      <c r="E8" s="31" t="str">
        <f t="array" ref="E8">IFERROR(_xlfn.XLOOKUP(B8,'Employee Master'!$A$2:$A$500,'Employee Master'!$E$2:$E$500,""),"")</f>
        <v>Daily</v>
      </c>
      <c r="F8" s="31" t="s">
        <v>90</v>
      </c>
      <c r="G8" s="39"/>
      <c r="H8" s="31"/>
      <c r="I8" s="3"/>
      <c r="J8" s="11" t="str">
        <f t="array" ref="J8">IFERROR(INDEX('Employee Master'!$A$2:$A$500,3),"")</f>
        <v>EMP003</v>
      </c>
      <c r="K8" s="11" t="str">
        <f t="array" ref="K8">IFERROR(_xlfn.XLOOKUP(J8,'Employee Master'!$A$2:$A$500,'Employee Master'!$B$2:$B$500,""),"")</f>
        <v>Sattu</v>
      </c>
      <c r="L8" s="11" t="str">
        <f t="array" ref="L8">IFERROR(_xlfn.XLOOKUP(J8,'Employee Master'!$A$2:$A$500,'Employee Master'!$E$2:$E$500,""),"")</f>
        <v>Monthly</v>
      </c>
      <c r="M8" s="11">
        <f t="shared" si="1"/>
        <v>31</v>
      </c>
      <c r="N8" s="11">
        <f t="shared" si="2"/>
        <v>0</v>
      </c>
      <c r="O8" s="11">
        <f t="shared" si="3"/>
        <v>0</v>
      </c>
      <c r="P8" s="11">
        <f t="shared" si="4"/>
        <v>0</v>
      </c>
      <c r="Q8" s="11">
        <f t="shared" si="5"/>
        <v>0</v>
      </c>
      <c r="R8" s="11">
        <f t="shared" si="6"/>
        <v>0</v>
      </c>
      <c r="S8" s="11">
        <f t="shared" si="7"/>
        <v>0</v>
      </c>
      <c r="T8" s="11">
        <f t="shared" si="8"/>
        <v>0</v>
      </c>
      <c r="U8" s="43">
        <f t="array" ref="U8">IFERROR(_xlfn.XLOOKUP(J8,'Employee Master'!$A$2:$A$500,'Employee Master'!$D$2:$D$500,""),"")</f>
        <v>46199</v>
      </c>
      <c r="V8" s="3"/>
      <c r="W8" s="3"/>
      <c r="X8" s="3"/>
      <c r="Y8" s="3"/>
      <c r="Z8" s="3"/>
    </row>
    <row r="9">
      <c r="A9" s="35">
        <v>46296.0</v>
      </c>
      <c r="B9" s="37" t="str">
        <f t="array" ref="B9">IFERROR(INDEX('Employee Master'!$A$2:$A$500,7),"")</f>
        <v>EMP007</v>
      </c>
      <c r="C9" s="31" t="str">
        <f t="array" ref="C9">IFERROR(_xlfn.XLOOKUP(B9,'Employee Master'!$A$2:$A$500,'Employee Master'!$B$2:$B$500,""),"")</f>
        <v>Muttalib Ansari</v>
      </c>
      <c r="D9" s="31" t="str">
        <f t="array" ref="D9">IFERROR(_xlfn.XLOOKUP(B9,'Employee Master'!$A$2:$A$500,'Employee Master'!$C$2:$C$500,""),"")</f>
        <v>Helper</v>
      </c>
      <c r="E9" s="31" t="str">
        <f t="array" ref="E9">IFERROR(_xlfn.XLOOKUP(B9,'Employee Master'!$A$2:$A$500,'Employee Master'!$E$2:$E$500,""),"")</f>
        <v>Monthly</v>
      </c>
      <c r="F9" s="31" t="s">
        <v>90</v>
      </c>
      <c r="G9" s="39"/>
      <c r="H9" s="31"/>
      <c r="I9" s="3"/>
      <c r="J9" s="11" t="str">
        <f t="array" ref="J9">IFERROR(INDEX('Employee Master'!$A$2:$A$500,4),"")</f>
        <v>EMP004</v>
      </c>
      <c r="K9" s="11" t="str">
        <f t="array" ref="K9">IFERROR(_xlfn.XLOOKUP(J9,'Employee Master'!$A$2:$A$500,'Employee Master'!$B$2:$B$500,""),"")</f>
        <v>Shah Jahan</v>
      </c>
      <c r="L9" s="11" t="str">
        <f t="array" ref="L9">IFERROR(_xlfn.XLOOKUP(J9,'Employee Master'!$A$2:$A$500,'Employee Master'!$E$2:$E$500,""),"")</f>
        <v>Monthly</v>
      </c>
      <c r="M9" s="11">
        <f t="shared" si="1"/>
        <v>31</v>
      </c>
      <c r="N9" s="11">
        <f t="shared" si="2"/>
        <v>4</v>
      </c>
      <c r="O9" s="11">
        <f t="shared" si="3"/>
        <v>0</v>
      </c>
      <c r="P9" s="11">
        <f t="shared" si="4"/>
        <v>0</v>
      </c>
      <c r="Q9" s="11">
        <f t="shared" si="5"/>
        <v>1</v>
      </c>
      <c r="R9" s="11">
        <f t="shared" si="6"/>
        <v>1</v>
      </c>
      <c r="S9" s="11">
        <f t="shared" si="7"/>
        <v>4</v>
      </c>
      <c r="T9" s="11">
        <f t="shared" si="8"/>
        <v>0</v>
      </c>
      <c r="U9" s="43">
        <f t="array" ref="U9">IFERROR(_xlfn.XLOOKUP(J9,'Employee Master'!$A$2:$A$500,'Employee Master'!$D$2:$D$500,""),"")</f>
        <v>46220</v>
      </c>
      <c r="V9" s="3"/>
      <c r="W9" s="3"/>
      <c r="X9" s="3"/>
      <c r="Y9" s="3"/>
      <c r="Z9" s="3"/>
    </row>
    <row r="10">
      <c r="A10" s="35">
        <v>46296.0</v>
      </c>
      <c r="B10" s="37" t="str">
        <f t="array" ref="B10">IFERROR(INDEX('Employee Master'!$A$2:$A$500,8),"")</f>
        <v>EMP008</v>
      </c>
      <c r="C10" s="31" t="str">
        <f t="array" ref="C10">IFERROR(_xlfn.XLOOKUP(B10,'Employee Master'!$A$2:$A$500,'Employee Master'!$B$2:$B$500,""),"")</f>
        <v>Debashis Munda</v>
      </c>
      <c r="D10" s="31" t="str">
        <f t="array" ref="D10">IFERROR(_xlfn.XLOOKUP(B10,'Employee Master'!$A$2:$A$500,'Employee Master'!$C$2:$C$500,""),"")</f>
        <v>Mixer Man</v>
      </c>
      <c r="E10" s="31" t="str">
        <f t="array" ref="E10">IFERROR(_xlfn.XLOOKUP(B10,'Employee Master'!$A$2:$A$500,'Employee Master'!$E$2:$E$500,""),"")</f>
        <v>Monthly</v>
      </c>
      <c r="F10" s="31" t="s">
        <v>90</v>
      </c>
      <c r="G10" s="39"/>
      <c r="H10" s="31"/>
      <c r="I10" s="3"/>
      <c r="J10" s="11" t="str">
        <f t="array" ref="J10">IFERROR(INDEX('Employee Master'!$A$2:$A$500,5),"")</f>
        <v>EMP005</v>
      </c>
      <c r="K10" s="11" t="str">
        <f t="array" ref="K10">IFERROR(_xlfn.XLOOKUP(J10,'Employee Master'!$A$2:$A$500,'Employee Master'!$B$2:$B$500,""),"")</f>
        <v>Shanti Devi</v>
      </c>
      <c r="L10" s="11" t="str">
        <f t="array" ref="L10">IFERROR(_xlfn.XLOOKUP(J10,'Employee Master'!$A$2:$A$500,'Employee Master'!$E$2:$E$500,""),"")</f>
        <v>Daily</v>
      </c>
      <c r="M10" s="11">
        <f t="shared" si="1"/>
        <v>31</v>
      </c>
      <c r="N10" s="11">
        <f t="shared" si="2"/>
        <v>3</v>
      </c>
      <c r="O10" s="11">
        <f t="shared" si="3"/>
        <v>1</v>
      </c>
      <c r="P10" s="11">
        <f t="shared" si="4"/>
        <v>0</v>
      </c>
      <c r="Q10" s="11">
        <f t="shared" si="5"/>
        <v>1</v>
      </c>
      <c r="R10" s="11">
        <f t="shared" si="6"/>
        <v>1</v>
      </c>
      <c r="S10" s="11">
        <f t="shared" si="7"/>
        <v>3</v>
      </c>
      <c r="T10" s="11">
        <f t="shared" si="8"/>
        <v>0</v>
      </c>
      <c r="U10" s="43">
        <f t="array" ref="U10">IFERROR(_xlfn.XLOOKUP(J10,'Employee Master'!$A$2:$A$500,'Employee Master'!$D$2:$D$500,""),"")</f>
        <v>46238</v>
      </c>
      <c r="V10" s="3"/>
      <c r="W10" s="3"/>
      <c r="X10" s="3"/>
      <c r="Y10" s="3"/>
      <c r="Z10" s="3"/>
    </row>
    <row r="11">
      <c r="A11" s="35">
        <v>46296.0</v>
      </c>
      <c r="B11" s="37" t="str">
        <f t="array" ref="B11">IFERROR(INDEX('Employee Master'!$A$2:$A$500,9),"")</f>
        <v>EMP009</v>
      </c>
      <c r="C11" s="31" t="str">
        <f t="array" ref="C11">IFERROR(_xlfn.XLOOKUP(B11,'Employee Master'!$A$2:$A$500,'Employee Master'!$B$2:$B$500,""),"")</f>
        <v>Moumita Sardar</v>
      </c>
      <c r="D11" s="31" t="str">
        <f t="array" ref="D11">IFERROR(_xlfn.XLOOKUP(B11,'Employee Master'!$A$2:$A$500,'Employee Master'!$C$2:$C$500,""),"")</f>
        <v>Pipe Cutting</v>
      </c>
      <c r="E11" s="31" t="str">
        <f t="array" ref="E11">IFERROR(_xlfn.XLOOKUP(B11,'Employee Master'!$A$2:$A$500,'Employee Master'!$E$2:$E$500,""),"")</f>
        <v>Monthly</v>
      </c>
      <c r="F11" s="31" t="s">
        <v>90</v>
      </c>
      <c r="G11" s="39"/>
      <c r="H11" s="31"/>
      <c r="I11" s="3"/>
      <c r="J11" s="11" t="str">
        <f t="array" ref="J11">IFERROR(INDEX('Employee Master'!$A$2:$A$500,6),"")</f>
        <v>EMP006</v>
      </c>
      <c r="K11" s="11" t="str">
        <f t="array" ref="K11">IFERROR(_xlfn.XLOOKUP(J11,'Employee Master'!$A$2:$A$500,'Employee Master'!$B$2:$B$500,""),"")</f>
        <v>Manisha</v>
      </c>
      <c r="L11" s="11" t="str">
        <f t="array" ref="L11">IFERROR(_xlfn.XLOOKUP(J11,'Employee Master'!$A$2:$A$500,'Employee Master'!$E$2:$E$500,""),"")</f>
        <v>Daily</v>
      </c>
      <c r="M11" s="11">
        <f t="shared" si="1"/>
        <v>31</v>
      </c>
      <c r="N11" s="11">
        <f t="shared" si="2"/>
        <v>0</v>
      </c>
      <c r="O11" s="11">
        <f t="shared" si="3"/>
        <v>0</v>
      </c>
      <c r="P11" s="11">
        <f t="shared" si="4"/>
        <v>0</v>
      </c>
      <c r="Q11" s="11">
        <f t="shared" si="5"/>
        <v>0</v>
      </c>
      <c r="R11" s="11">
        <f t="shared" si="6"/>
        <v>0</v>
      </c>
      <c r="S11" s="11">
        <f t="shared" si="7"/>
        <v>0</v>
      </c>
      <c r="T11" s="11">
        <f t="shared" si="8"/>
        <v>0</v>
      </c>
      <c r="U11" s="43">
        <f t="array" ref="U11">IFERROR(_xlfn.XLOOKUP(J11,'Employee Master'!$A$2:$A$500,'Employee Master'!$D$2:$D$500,""),"")</f>
        <v>46239</v>
      </c>
      <c r="V11" s="3"/>
      <c r="W11" s="3"/>
      <c r="X11" s="3"/>
      <c r="Y11" s="3"/>
      <c r="Z11" s="3"/>
    </row>
    <row r="12">
      <c r="A12" s="35">
        <v>46297.0</v>
      </c>
      <c r="B12" s="37" t="str">
        <f t="array" ref="B12">IFERROR(INDEX('Employee Master'!$A$2:$A$500,1),"")</f>
        <v>EMP001</v>
      </c>
      <c r="C12" s="31" t="str">
        <f t="array" ref="C12">IFERROR(_xlfn.XLOOKUP(B12,'Employee Master'!$A$2:$A$500,'Employee Master'!$B$2:$B$500,""),"")</f>
        <v>Ravi</v>
      </c>
      <c r="D12" s="31" t="str">
        <f t="array" ref="D12">IFERROR(_xlfn.XLOOKUP(B12,'Employee Master'!$A$2:$A$500,'Employee Master'!$C$2:$C$500,""),"")</f>
        <v>Machine Operator</v>
      </c>
      <c r="E12" s="31" t="str">
        <f t="array" ref="E12">IFERROR(_xlfn.XLOOKUP(B12,'Employee Master'!$A$2:$A$500,'Employee Master'!$E$2:$E$500,""),"")</f>
        <v>Monthly</v>
      </c>
      <c r="F12" s="31" t="s">
        <v>114</v>
      </c>
      <c r="G12" s="39"/>
      <c r="H12" s="31"/>
      <c r="I12" s="3"/>
      <c r="J12" s="11" t="str">
        <f t="array" ref="J12">IFERROR(INDEX('Employee Master'!$A$2:$A$500,7),"")</f>
        <v>EMP007</v>
      </c>
      <c r="K12" s="11" t="str">
        <f t="array" ref="K12">IFERROR(_xlfn.XLOOKUP(J12,'Employee Master'!$A$2:$A$500,'Employee Master'!$B$2:$B$500,""),"")</f>
        <v>Muttalib Ansari</v>
      </c>
      <c r="L12" s="11" t="str">
        <f t="array" ref="L12">IFERROR(_xlfn.XLOOKUP(J12,'Employee Master'!$A$2:$A$500,'Employee Master'!$E$2:$E$500,""),"")</f>
        <v>Monthly</v>
      </c>
      <c r="M12" s="11">
        <f t="shared" si="1"/>
        <v>31</v>
      </c>
      <c r="N12" s="11">
        <f t="shared" si="2"/>
        <v>4</v>
      </c>
      <c r="O12" s="11">
        <f t="shared" si="3"/>
        <v>0</v>
      </c>
      <c r="P12" s="11">
        <f t="shared" si="4"/>
        <v>0</v>
      </c>
      <c r="Q12" s="11">
        <f t="shared" si="5"/>
        <v>1</v>
      </c>
      <c r="R12" s="11">
        <f t="shared" si="6"/>
        <v>1</v>
      </c>
      <c r="S12" s="11">
        <f t="shared" si="7"/>
        <v>4</v>
      </c>
      <c r="T12" s="11">
        <f t="shared" si="8"/>
        <v>0</v>
      </c>
      <c r="U12" s="43">
        <f t="array" ref="U12">IFERROR(_xlfn.XLOOKUP(J12,'Employee Master'!$A$2:$A$500,'Employee Master'!$D$2:$D$500,""),"")</f>
        <v>46283</v>
      </c>
      <c r="V12" s="3"/>
      <c r="W12" s="3"/>
      <c r="X12" s="3"/>
      <c r="Y12" s="3"/>
      <c r="Z12" s="3"/>
    </row>
    <row r="13">
      <c r="A13" s="35">
        <v>46297.0</v>
      </c>
      <c r="B13" s="37" t="str">
        <f t="array" ref="B13">IFERROR(INDEX('Employee Master'!$A$2:$A$500,2),"")</f>
        <v>EMP002</v>
      </c>
      <c r="C13" s="31" t="str">
        <f t="array" ref="C13">IFERROR(_xlfn.XLOOKUP(B13,'Employee Master'!$A$2:$A$500,'Employee Master'!$B$2:$B$500,""),"")</f>
        <v>Raju</v>
      </c>
      <c r="D13" s="31" t="str">
        <f t="array" ref="D13">IFERROR(_xlfn.XLOOKUP(B13,'Employee Master'!$A$2:$A$500,'Employee Master'!$C$2:$C$500,""),"")</f>
        <v>Mixer Man</v>
      </c>
      <c r="E13" s="31" t="str">
        <f t="array" ref="E13">IFERROR(_xlfn.XLOOKUP(B13,'Employee Master'!$A$2:$A$500,'Employee Master'!$E$2:$E$500,""),"")</f>
        <v>Monthly</v>
      </c>
      <c r="F13" s="31" t="s">
        <v>114</v>
      </c>
      <c r="G13" s="39"/>
      <c r="H13" s="31"/>
      <c r="I13" s="3"/>
      <c r="J13" s="11" t="str">
        <f t="array" ref="J13">IFERROR(INDEX('Employee Master'!$A$2:$A$500,8),"")</f>
        <v>EMP008</v>
      </c>
      <c r="K13" s="11" t="str">
        <f t="array" ref="K13">IFERROR(_xlfn.XLOOKUP(J13,'Employee Master'!$A$2:$A$500,'Employee Master'!$B$2:$B$500,""),"")</f>
        <v>Debashis Munda</v>
      </c>
      <c r="L13" s="11" t="str">
        <f t="array" ref="L13">IFERROR(_xlfn.XLOOKUP(J13,'Employee Master'!$A$2:$A$500,'Employee Master'!$E$2:$E$500,""),"")</f>
        <v>Monthly</v>
      </c>
      <c r="M13" s="11">
        <f t="shared" si="1"/>
        <v>31</v>
      </c>
      <c r="N13" s="11">
        <f t="shared" si="2"/>
        <v>4</v>
      </c>
      <c r="O13" s="11">
        <f t="shared" si="3"/>
        <v>0</v>
      </c>
      <c r="P13" s="11">
        <f t="shared" si="4"/>
        <v>0</v>
      </c>
      <c r="Q13" s="11">
        <f t="shared" si="5"/>
        <v>1</v>
      </c>
      <c r="R13" s="11">
        <f t="shared" si="6"/>
        <v>1</v>
      </c>
      <c r="S13" s="11">
        <f t="shared" si="7"/>
        <v>4</v>
      </c>
      <c r="T13" s="11">
        <f t="shared" si="8"/>
        <v>0</v>
      </c>
      <c r="U13" s="43">
        <f t="array" ref="U13">IFERROR(_xlfn.XLOOKUP(J13,'Employee Master'!$A$2:$A$500,'Employee Master'!$D$2:$D$500,""),"")</f>
        <v>46286</v>
      </c>
      <c r="V13" s="3"/>
      <c r="W13" s="3"/>
      <c r="X13" s="3"/>
      <c r="Y13" s="3"/>
      <c r="Z13" s="3"/>
    </row>
    <row r="14">
      <c r="A14" s="35">
        <v>46297.0</v>
      </c>
      <c r="B14" s="37" t="str">
        <f t="array" ref="B14">IFERROR(INDEX('Employee Master'!$A$2:$A$500,4),"")</f>
        <v>EMP004</v>
      </c>
      <c r="C14" s="31" t="str">
        <f t="array" ref="C14">IFERROR(_xlfn.XLOOKUP(B14,'Employee Master'!$A$2:$A$500,'Employee Master'!$B$2:$B$500,""),"")</f>
        <v>Shah Jahan</v>
      </c>
      <c r="D14" s="31" t="str">
        <f t="array" ref="D14">IFERROR(_xlfn.XLOOKUP(B14,'Employee Master'!$A$2:$A$500,'Employee Master'!$C$2:$C$500,""),"")</f>
        <v>Roll Man</v>
      </c>
      <c r="E14" s="31" t="str">
        <f t="array" ref="E14">IFERROR(_xlfn.XLOOKUP(B14,'Employee Master'!$A$2:$A$500,'Employee Master'!$E$2:$E$500,""),"")</f>
        <v>Monthly</v>
      </c>
      <c r="F14" s="31" t="s">
        <v>114</v>
      </c>
      <c r="G14" s="39"/>
      <c r="H14" s="31"/>
      <c r="I14" s="3"/>
      <c r="J14" s="11" t="str">
        <f t="array" ref="J14">IFERROR(INDEX('Employee Master'!$A$2:$A$500,9),"")</f>
        <v>EMP009</v>
      </c>
      <c r="K14" s="11" t="str">
        <f t="array" ref="K14">IFERROR(_xlfn.XLOOKUP(J14,'Employee Master'!$A$2:$A$500,'Employee Master'!$B$2:$B$500,""),"")</f>
        <v>Moumita Sardar</v>
      </c>
      <c r="L14" s="11" t="str">
        <f t="array" ref="L14">IFERROR(_xlfn.XLOOKUP(J14,'Employee Master'!$A$2:$A$500,'Employee Master'!$E$2:$E$500,""),"")</f>
        <v>Monthly</v>
      </c>
      <c r="M14" s="11">
        <f t="shared" si="1"/>
        <v>31</v>
      </c>
      <c r="N14" s="11">
        <f t="shared" si="2"/>
        <v>4</v>
      </c>
      <c r="O14" s="11">
        <f t="shared" si="3"/>
        <v>0</v>
      </c>
      <c r="P14" s="11">
        <f t="shared" si="4"/>
        <v>0</v>
      </c>
      <c r="Q14" s="11">
        <f t="shared" si="5"/>
        <v>1</v>
      </c>
      <c r="R14" s="11">
        <f t="shared" si="6"/>
        <v>1</v>
      </c>
      <c r="S14" s="11">
        <f t="shared" si="7"/>
        <v>4</v>
      </c>
      <c r="T14" s="11">
        <f t="shared" si="8"/>
        <v>0</v>
      </c>
      <c r="U14" s="43">
        <f t="array" ref="U14">IFERROR(_xlfn.XLOOKUP(J14,'Employee Master'!$A$2:$A$500,'Employee Master'!$D$2:$D$500,""),"")</f>
        <v>46286</v>
      </c>
      <c r="V14" s="3"/>
      <c r="W14" s="3"/>
      <c r="X14" s="3"/>
      <c r="Y14" s="3"/>
      <c r="Z14" s="3"/>
    </row>
    <row r="15">
      <c r="A15" s="35">
        <v>46297.0</v>
      </c>
      <c r="B15" s="37" t="str">
        <f t="array" ref="B15">IFERROR(INDEX('Employee Master'!$A$2:$A$500,5),"")</f>
        <v>EMP005</v>
      </c>
      <c r="C15" s="31" t="str">
        <f t="array" ref="C15">IFERROR(_xlfn.XLOOKUP(B15,'Employee Master'!$A$2:$A$500,'Employee Master'!$B$2:$B$500,""),"")</f>
        <v>Shanti Devi</v>
      </c>
      <c r="D15" s="31" t="str">
        <f t="array" ref="D15">IFERROR(_xlfn.XLOOKUP(B15,'Employee Master'!$A$2:$A$500,'Employee Master'!$C$2:$C$500,""),"")</f>
        <v>Pipe Cutting</v>
      </c>
      <c r="E15" s="31" t="str">
        <f t="array" ref="E15">IFERROR(_xlfn.XLOOKUP(B15,'Employee Master'!$A$2:$A$500,'Employee Master'!$E$2:$E$500,""),"")</f>
        <v>Daily</v>
      </c>
      <c r="F15" s="31" t="s">
        <v>114</v>
      </c>
      <c r="G15" s="39"/>
      <c r="H15" s="31"/>
      <c r="I15" s="3"/>
      <c r="J15" s="11" t="str">
        <f t="array" ref="J15">IFERROR(INDEX('Employee Master'!$A$2:$A$500,10),"")</f>
        <v>EMP010</v>
      </c>
      <c r="K15" s="11" t="str">
        <f t="array" ref="K15">IFERROR(_xlfn.XLOOKUP(J15,'Employee Master'!$A$2:$A$500,'Employee Master'!$B$2:$B$500,""),"")</f>
        <v>Rina Sardar</v>
      </c>
      <c r="L15" s="11" t="str">
        <f t="array" ref="L15">IFERROR(_xlfn.XLOOKUP(J15,'Employee Master'!$A$2:$A$500,'Employee Master'!$E$2:$E$500,""),"")</f>
        <v>Monthly</v>
      </c>
      <c r="M15" s="11">
        <f t="shared" si="1"/>
        <v>31</v>
      </c>
      <c r="N15" s="11">
        <f t="shared" si="2"/>
        <v>0</v>
      </c>
      <c r="O15" s="11">
        <f t="shared" si="3"/>
        <v>0</v>
      </c>
      <c r="P15" s="11">
        <f t="shared" si="4"/>
        <v>0</v>
      </c>
      <c r="Q15" s="11">
        <f t="shared" si="5"/>
        <v>0</v>
      </c>
      <c r="R15" s="11">
        <f t="shared" si="6"/>
        <v>0</v>
      </c>
      <c r="S15" s="11">
        <f t="shared" si="7"/>
        <v>0</v>
      </c>
      <c r="T15" s="11">
        <f t="shared" si="8"/>
        <v>0</v>
      </c>
      <c r="U15" s="43">
        <f t="array" ref="U15">IFERROR(_xlfn.XLOOKUP(J15,'Employee Master'!$A$2:$A$500,'Employee Master'!$D$2:$D$500,""),"")</f>
        <v>46288</v>
      </c>
      <c r="V15" s="3"/>
      <c r="W15" s="3"/>
      <c r="X15" s="3"/>
      <c r="Y15" s="3"/>
      <c r="Z15" s="3"/>
    </row>
    <row r="16">
      <c r="A16" s="35">
        <v>46297.0</v>
      </c>
      <c r="B16" s="37" t="str">
        <f t="array" ref="B16">IFERROR(INDEX('Employee Master'!$A$2:$A$500,7),"")</f>
        <v>EMP007</v>
      </c>
      <c r="C16" s="31" t="str">
        <f t="array" ref="C16">IFERROR(_xlfn.XLOOKUP(B16,'Employee Master'!$A$2:$A$500,'Employee Master'!$B$2:$B$500,""),"")</f>
        <v>Muttalib Ansari</v>
      </c>
      <c r="D16" s="31" t="str">
        <f t="array" ref="D16">IFERROR(_xlfn.XLOOKUP(B16,'Employee Master'!$A$2:$A$500,'Employee Master'!$C$2:$C$500,""),"")</f>
        <v>Helper</v>
      </c>
      <c r="E16" s="31" t="str">
        <f t="array" ref="E16">IFERROR(_xlfn.XLOOKUP(B16,'Employee Master'!$A$2:$A$500,'Employee Master'!$E$2:$E$500,""),"")</f>
        <v>Monthly</v>
      </c>
      <c r="F16" s="31" t="s">
        <v>114</v>
      </c>
      <c r="G16" s="39"/>
      <c r="H16" s="31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5">
        <v>46297.0</v>
      </c>
      <c r="B17" s="37" t="str">
        <f t="array" ref="B17">IFERROR(INDEX('Employee Master'!$A$2:$A$500,8),"")</f>
        <v>EMP008</v>
      </c>
      <c r="C17" s="31" t="str">
        <f t="array" ref="C17">IFERROR(_xlfn.XLOOKUP(B17,'Employee Master'!$A$2:$A$500,'Employee Master'!$B$2:$B$500,""),"")</f>
        <v>Debashis Munda</v>
      </c>
      <c r="D17" s="31" t="str">
        <f t="array" ref="D17">IFERROR(_xlfn.XLOOKUP(B17,'Employee Master'!$A$2:$A$500,'Employee Master'!$C$2:$C$500,""),"")</f>
        <v>Mixer Man</v>
      </c>
      <c r="E17" s="31" t="str">
        <f t="array" ref="E17">IFERROR(_xlfn.XLOOKUP(B17,'Employee Master'!$A$2:$A$500,'Employee Master'!$E$2:$E$500,""),"")</f>
        <v>Monthly</v>
      </c>
      <c r="F17" s="31" t="s">
        <v>114</v>
      </c>
      <c r="G17" s="39"/>
      <c r="H17" s="31"/>
      <c r="I17" s="3"/>
      <c r="J17" s="52" t="s">
        <v>120</v>
      </c>
      <c r="V17" s="3"/>
      <c r="W17" s="3"/>
      <c r="X17" s="3"/>
      <c r="Y17" s="3"/>
      <c r="Z17" s="3"/>
    </row>
    <row r="18">
      <c r="A18" s="35">
        <v>46297.0</v>
      </c>
      <c r="B18" s="37" t="str">
        <f t="array" ref="B18">IFERROR(INDEX('Employee Master'!$A$2:$A$500,9),"")</f>
        <v>EMP009</v>
      </c>
      <c r="C18" s="31" t="str">
        <f t="array" ref="C18">IFERROR(_xlfn.XLOOKUP(B18,'Employee Master'!$A$2:$A$500,'Employee Master'!$B$2:$B$500,""),"")</f>
        <v>Moumita Sardar</v>
      </c>
      <c r="D18" s="31" t="str">
        <f t="array" ref="D18">IFERROR(_xlfn.XLOOKUP(B18,'Employee Master'!$A$2:$A$500,'Employee Master'!$C$2:$C$500,""),"")</f>
        <v>Pipe Cutting</v>
      </c>
      <c r="E18" s="31" t="str">
        <f t="array" ref="E18">IFERROR(_xlfn.XLOOKUP(B18,'Employee Master'!$A$2:$A$500,'Employee Master'!$E$2:$E$500,""),"")</f>
        <v>Monthly</v>
      </c>
      <c r="F18" s="31" t="s">
        <v>114</v>
      </c>
      <c r="G18" s="39"/>
      <c r="H18" s="31"/>
      <c r="I18" s="3"/>
      <c r="V18" s="3"/>
      <c r="W18" s="3"/>
      <c r="X18" s="3"/>
      <c r="Y18" s="3"/>
      <c r="Z18" s="3"/>
    </row>
    <row r="19">
      <c r="A19" s="35">
        <v>46298.0</v>
      </c>
      <c r="B19" s="37" t="str">
        <f t="array" ref="B19">IFERROR(INDEX('Employee Master'!$A$2:$A$500,1),"")</f>
        <v>EMP001</v>
      </c>
      <c r="C19" s="31" t="str">
        <f t="array" ref="C19">IFERROR(_xlfn.XLOOKUP(B19,'Employee Master'!$A$2:$A$500,'Employee Master'!$B$2:$B$500,""),"")</f>
        <v>Ravi</v>
      </c>
      <c r="D19" s="31" t="str">
        <f t="array" ref="D19">IFERROR(_xlfn.XLOOKUP(B19,'Employee Master'!$A$2:$A$500,'Employee Master'!$C$2:$C$500,""),"")</f>
        <v>Machine Operator</v>
      </c>
      <c r="E19" s="31" t="str">
        <f t="array" ref="E19">IFERROR(_xlfn.XLOOKUP(B19,'Employee Master'!$A$2:$A$500,'Employee Master'!$E$2:$E$500,""),"")</f>
        <v>Monthly</v>
      </c>
      <c r="F19" s="31" t="s">
        <v>90</v>
      </c>
      <c r="G19" s="39"/>
      <c r="H19" s="31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5">
        <v>46298.0</v>
      </c>
      <c r="B20" s="37" t="str">
        <f t="array" ref="B20">IFERROR(INDEX('Employee Master'!$A$2:$A$500,2),"")</f>
        <v>EMP002</v>
      </c>
      <c r="C20" s="31" t="str">
        <f t="array" ref="C20">IFERROR(_xlfn.XLOOKUP(B20,'Employee Master'!$A$2:$A$500,'Employee Master'!$B$2:$B$500,""),"")</f>
        <v>Raju</v>
      </c>
      <c r="D20" s="31" t="str">
        <f t="array" ref="D20">IFERROR(_xlfn.XLOOKUP(B20,'Employee Master'!$A$2:$A$500,'Employee Master'!$C$2:$C$500,""),"")</f>
        <v>Mixer Man</v>
      </c>
      <c r="E20" s="31" t="str">
        <f t="array" ref="E20">IFERROR(_xlfn.XLOOKUP(B20,'Employee Master'!$A$2:$A$500,'Employee Master'!$E$2:$E$500,""),"")</f>
        <v>Monthly</v>
      </c>
      <c r="F20" s="31" t="s">
        <v>90</v>
      </c>
      <c r="G20" s="39"/>
      <c r="H20" s="31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5">
        <v>46298.0</v>
      </c>
      <c r="B21" s="37" t="str">
        <f t="array" ref="B21">IFERROR(INDEX('Employee Master'!$A$2:$A$500,4),"")</f>
        <v>EMP004</v>
      </c>
      <c r="C21" s="31" t="str">
        <f t="array" ref="C21">IFERROR(_xlfn.XLOOKUP(B21,'Employee Master'!$A$2:$A$500,'Employee Master'!$B$2:$B$500,""),"")</f>
        <v>Shah Jahan</v>
      </c>
      <c r="D21" s="31" t="str">
        <f t="array" ref="D21">IFERROR(_xlfn.XLOOKUP(B21,'Employee Master'!$A$2:$A$500,'Employee Master'!$C$2:$C$500,""),"")</f>
        <v>Roll Man</v>
      </c>
      <c r="E21" s="31" t="str">
        <f t="array" ref="E21">IFERROR(_xlfn.XLOOKUP(B21,'Employee Master'!$A$2:$A$500,'Employee Master'!$E$2:$E$500,""),"")</f>
        <v>Monthly</v>
      </c>
      <c r="F21" s="31" t="s">
        <v>90</v>
      </c>
      <c r="G21" s="39"/>
      <c r="H21" s="31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5">
        <v>46298.0</v>
      </c>
      <c r="B22" s="37" t="str">
        <f t="array" ref="B22">IFERROR(INDEX('Employee Master'!$A$2:$A$500,5),"")</f>
        <v>EMP005</v>
      </c>
      <c r="C22" s="31" t="str">
        <f t="array" ref="C22">IFERROR(_xlfn.XLOOKUP(B22,'Employee Master'!$A$2:$A$500,'Employee Master'!$B$2:$B$500,""),"")</f>
        <v>Shanti Devi</v>
      </c>
      <c r="D22" s="31" t="str">
        <f t="array" ref="D22">IFERROR(_xlfn.XLOOKUP(B22,'Employee Master'!$A$2:$A$500,'Employee Master'!$C$2:$C$500,""),"")</f>
        <v>Pipe Cutting</v>
      </c>
      <c r="E22" s="31" t="str">
        <f t="array" ref="E22">IFERROR(_xlfn.XLOOKUP(B22,'Employee Master'!$A$2:$A$500,'Employee Master'!$E$2:$E$500,""),"")</f>
        <v>Daily</v>
      </c>
      <c r="F22" s="31" t="s">
        <v>122</v>
      </c>
      <c r="G22" s="39"/>
      <c r="H22" s="31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5">
        <v>46298.0</v>
      </c>
      <c r="B23" s="37" t="str">
        <f t="array" ref="B23">IFERROR(INDEX('Employee Master'!$A$2:$A$500,7),"")</f>
        <v>EMP007</v>
      </c>
      <c r="C23" s="31" t="str">
        <f t="array" ref="C23">IFERROR(_xlfn.XLOOKUP(B23,'Employee Master'!$A$2:$A$500,'Employee Master'!$B$2:$B$500,""),"")</f>
        <v>Muttalib Ansari</v>
      </c>
      <c r="D23" s="31" t="str">
        <f t="array" ref="D23">IFERROR(_xlfn.XLOOKUP(B23,'Employee Master'!$A$2:$A$500,'Employee Master'!$C$2:$C$500,""),"")</f>
        <v>Helper</v>
      </c>
      <c r="E23" s="31" t="str">
        <f t="array" ref="E23">IFERROR(_xlfn.XLOOKUP(B23,'Employee Master'!$A$2:$A$500,'Employee Master'!$E$2:$E$500,""),"")</f>
        <v>Monthly</v>
      </c>
      <c r="F23" s="31" t="s">
        <v>90</v>
      </c>
      <c r="G23" s="39"/>
      <c r="H23" s="31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5">
        <v>46298.0</v>
      </c>
      <c r="B24" s="37" t="str">
        <f t="array" ref="B24">IFERROR(INDEX('Employee Master'!$A$2:$A$500,8),"")</f>
        <v>EMP008</v>
      </c>
      <c r="C24" s="31" t="str">
        <f t="array" ref="C24">IFERROR(_xlfn.XLOOKUP(B24,'Employee Master'!$A$2:$A$500,'Employee Master'!$B$2:$B$500,""),"")</f>
        <v>Debashis Munda</v>
      </c>
      <c r="D24" s="31" t="str">
        <f t="array" ref="D24">IFERROR(_xlfn.XLOOKUP(B24,'Employee Master'!$A$2:$A$500,'Employee Master'!$C$2:$C$500,""),"")</f>
        <v>Mixer Man</v>
      </c>
      <c r="E24" s="31" t="str">
        <f t="array" ref="E24">IFERROR(_xlfn.XLOOKUP(B24,'Employee Master'!$A$2:$A$500,'Employee Master'!$E$2:$E$500,""),"")</f>
        <v>Monthly</v>
      </c>
      <c r="F24" s="31" t="s">
        <v>90</v>
      </c>
      <c r="G24" s="39"/>
      <c r="H24" s="31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5">
        <v>46298.0</v>
      </c>
      <c r="B25" s="37" t="str">
        <f t="array" ref="B25">IFERROR(INDEX('Employee Master'!$A$2:$A$500,9),"")</f>
        <v>EMP009</v>
      </c>
      <c r="C25" s="31" t="str">
        <f t="array" ref="C25">IFERROR(_xlfn.XLOOKUP(B25,'Employee Master'!$A$2:$A$500,'Employee Master'!$B$2:$B$500,""),"")</f>
        <v>Moumita Sardar</v>
      </c>
      <c r="D25" s="31" t="str">
        <f t="array" ref="D25">IFERROR(_xlfn.XLOOKUP(B25,'Employee Master'!$A$2:$A$500,'Employee Master'!$C$2:$C$500,""),"")</f>
        <v>Pipe Cutting</v>
      </c>
      <c r="E25" s="31" t="str">
        <f t="array" ref="E25">IFERROR(_xlfn.XLOOKUP(B25,'Employee Master'!$A$2:$A$500,'Employee Master'!$E$2:$E$500,""),"")</f>
        <v>Monthly</v>
      </c>
      <c r="F25" s="31" t="s">
        <v>90</v>
      </c>
      <c r="G25" s="39"/>
      <c r="H25" s="31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5">
        <v>46299.0</v>
      </c>
      <c r="B26" s="37" t="str">
        <f t="array" ref="B26">IFERROR(INDEX('Employee Master'!$A$2:$A$500,1),"")</f>
        <v>EMP001</v>
      </c>
      <c r="C26" s="31" t="str">
        <f t="array" ref="C26">IFERROR(_xlfn.XLOOKUP(B26,'Employee Master'!$A$2:$A$500,'Employee Master'!$B$2:$B$500,""),"")</f>
        <v>Ravi</v>
      </c>
      <c r="D26" s="31" t="str">
        <f t="array" ref="D26">IFERROR(_xlfn.XLOOKUP(B26,'Employee Master'!$A$2:$A$500,'Employee Master'!$C$2:$C$500,""),"")</f>
        <v>Machine Operator</v>
      </c>
      <c r="E26" s="31" t="str">
        <f t="array" ref="E26">IFERROR(_xlfn.XLOOKUP(B26,'Employee Master'!$A$2:$A$500,'Employee Master'!$E$2:$E$500,""),"")</f>
        <v>Monthly</v>
      </c>
      <c r="F26" s="31" t="s">
        <v>124</v>
      </c>
      <c r="G26" s="39"/>
      <c r="H26" s="31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5">
        <v>46299.0</v>
      </c>
      <c r="B27" s="37" t="str">
        <f t="array" ref="B27">IFERROR(INDEX('Employee Master'!$A$2:$A$500,2),"")</f>
        <v>EMP002</v>
      </c>
      <c r="C27" s="31" t="str">
        <f t="array" ref="C27">IFERROR(_xlfn.XLOOKUP(B27,'Employee Master'!$A$2:$A$500,'Employee Master'!$B$2:$B$500,""),"")</f>
        <v>Raju</v>
      </c>
      <c r="D27" s="31" t="str">
        <f t="array" ref="D27">IFERROR(_xlfn.XLOOKUP(B27,'Employee Master'!$A$2:$A$500,'Employee Master'!$C$2:$C$500,""),"")</f>
        <v>Mixer Man</v>
      </c>
      <c r="E27" s="31" t="str">
        <f t="array" ref="E27">IFERROR(_xlfn.XLOOKUP(B27,'Employee Master'!$A$2:$A$500,'Employee Master'!$E$2:$E$500,""),"")</f>
        <v>Monthly</v>
      </c>
      <c r="F27" s="31" t="s">
        <v>124</v>
      </c>
      <c r="G27" s="39"/>
      <c r="H27" s="31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5">
        <v>46299.0</v>
      </c>
      <c r="B28" s="37" t="str">
        <f t="array" ref="B28">IFERROR(INDEX('Employee Master'!$A$2:$A$500,4),"")</f>
        <v>EMP004</v>
      </c>
      <c r="C28" s="31" t="str">
        <f t="array" ref="C28">IFERROR(_xlfn.XLOOKUP(B28,'Employee Master'!$A$2:$A$500,'Employee Master'!$B$2:$B$500,""),"")</f>
        <v>Shah Jahan</v>
      </c>
      <c r="D28" s="31" t="str">
        <f t="array" ref="D28">IFERROR(_xlfn.XLOOKUP(B28,'Employee Master'!$A$2:$A$500,'Employee Master'!$C$2:$C$500,""),"")</f>
        <v>Roll Man</v>
      </c>
      <c r="E28" s="31" t="str">
        <f t="array" ref="E28">IFERROR(_xlfn.XLOOKUP(B28,'Employee Master'!$A$2:$A$500,'Employee Master'!$E$2:$E$500,""),"")</f>
        <v>Monthly</v>
      </c>
      <c r="F28" s="31" t="s">
        <v>124</v>
      </c>
      <c r="G28" s="39"/>
      <c r="H28" s="31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5">
        <v>46299.0</v>
      </c>
      <c r="B29" s="37" t="str">
        <f t="array" ref="B29">IFERROR(INDEX('Employee Master'!$A$2:$A$500,5),"")</f>
        <v>EMP005</v>
      </c>
      <c r="C29" s="31" t="str">
        <f t="array" ref="C29">IFERROR(_xlfn.XLOOKUP(B29,'Employee Master'!$A$2:$A$500,'Employee Master'!$B$2:$B$500,""),"")</f>
        <v>Shanti Devi</v>
      </c>
      <c r="D29" s="31" t="str">
        <f t="array" ref="D29">IFERROR(_xlfn.XLOOKUP(B29,'Employee Master'!$A$2:$A$500,'Employee Master'!$C$2:$C$500,""),"")</f>
        <v>Pipe Cutting</v>
      </c>
      <c r="E29" s="31" t="str">
        <f t="array" ref="E29">IFERROR(_xlfn.XLOOKUP(B29,'Employee Master'!$A$2:$A$500,'Employee Master'!$E$2:$E$500,""),"")</f>
        <v>Daily</v>
      </c>
      <c r="F29" s="31" t="s">
        <v>124</v>
      </c>
      <c r="G29" s="39"/>
      <c r="H29" s="31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5">
        <v>46299.0</v>
      </c>
      <c r="B30" s="37" t="str">
        <f t="array" ref="B30">IFERROR(INDEX('Employee Master'!$A$2:$A$500,7),"")</f>
        <v>EMP007</v>
      </c>
      <c r="C30" s="31" t="str">
        <f t="array" ref="C30">IFERROR(_xlfn.XLOOKUP(B30,'Employee Master'!$A$2:$A$500,'Employee Master'!$B$2:$B$500,""),"")</f>
        <v>Muttalib Ansari</v>
      </c>
      <c r="D30" s="31" t="str">
        <f t="array" ref="D30">IFERROR(_xlfn.XLOOKUP(B30,'Employee Master'!$A$2:$A$500,'Employee Master'!$C$2:$C$500,""),"")</f>
        <v>Helper</v>
      </c>
      <c r="E30" s="31" t="str">
        <f t="array" ref="E30">IFERROR(_xlfn.XLOOKUP(B30,'Employee Master'!$A$2:$A$500,'Employee Master'!$E$2:$E$500,""),"")</f>
        <v>Monthly</v>
      </c>
      <c r="F30" s="31" t="s">
        <v>124</v>
      </c>
      <c r="G30" s="39"/>
      <c r="H30" s="31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5">
        <v>46299.0</v>
      </c>
      <c r="B31" s="37" t="str">
        <f t="array" ref="B31">IFERROR(INDEX('Employee Master'!$A$2:$A$500,8),"")</f>
        <v>EMP008</v>
      </c>
      <c r="C31" s="31" t="str">
        <f t="array" ref="C31">IFERROR(_xlfn.XLOOKUP(B31,'Employee Master'!$A$2:$A$500,'Employee Master'!$B$2:$B$500,""),"")</f>
        <v>Debashis Munda</v>
      </c>
      <c r="D31" s="31" t="str">
        <f t="array" ref="D31">IFERROR(_xlfn.XLOOKUP(B31,'Employee Master'!$A$2:$A$500,'Employee Master'!$C$2:$C$500,""),"")</f>
        <v>Mixer Man</v>
      </c>
      <c r="E31" s="31" t="str">
        <f t="array" ref="E31">IFERROR(_xlfn.XLOOKUP(B31,'Employee Master'!$A$2:$A$500,'Employee Master'!$E$2:$E$500,""),"")</f>
        <v>Monthly</v>
      </c>
      <c r="F31" s="31" t="s">
        <v>124</v>
      </c>
      <c r="G31" s="39"/>
      <c r="H31" s="31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5">
        <v>46299.0</v>
      </c>
      <c r="B32" s="37" t="str">
        <f t="array" ref="B32">IFERROR(INDEX('Employee Master'!$A$2:$A$500,9),"")</f>
        <v>EMP009</v>
      </c>
      <c r="C32" s="31" t="str">
        <f t="array" ref="C32">IFERROR(_xlfn.XLOOKUP(B32,'Employee Master'!$A$2:$A$500,'Employee Master'!$B$2:$B$500,""),"")</f>
        <v>Moumita Sardar</v>
      </c>
      <c r="D32" s="31" t="str">
        <f t="array" ref="D32">IFERROR(_xlfn.XLOOKUP(B32,'Employee Master'!$A$2:$A$500,'Employee Master'!$C$2:$C$500,""),"")</f>
        <v>Pipe Cutting</v>
      </c>
      <c r="E32" s="31" t="str">
        <f t="array" ref="E32">IFERROR(_xlfn.XLOOKUP(B32,'Employee Master'!$A$2:$A$500,'Employee Master'!$E$2:$E$500,""),"")</f>
        <v>Monthly</v>
      </c>
      <c r="F32" s="31" t="s">
        <v>124</v>
      </c>
      <c r="G32" s="39"/>
      <c r="H32" s="3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63">
        <v>46300.0</v>
      </c>
      <c r="B33" s="37" t="str">
        <f t="array" ref="B33">IFERROR(INDEX('Employee Master'!$A$2:$A$500,1),"")</f>
        <v>EMP001</v>
      </c>
      <c r="C33" s="31" t="str">
        <f t="array" ref="C33">IFERROR(_xlfn.XLOOKUP(B33,'Employee Master'!$A$2:$A$500,'Employee Master'!$B$2:$B$500,""),"")</f>
        <v>Ravi</v>
      </c>
      <c r="D33" s="31" t="str">
        <f t="array" ref="D33">IFERROR(_xlfn.XLOOKUP(B33,'Employee Master'!$A$2:$A$500,'Employee Master'!$C$2:$C$500,""),"")</f>
        <v>Machine Operator</v>
      </c>
      <c r="E33" s="31" t="str">
        <f t="array" ref="E33">IFERROR(_xlfn.XLOOKUP(B33,'Employee Master'!$A$2:$A$500,'Employee Master'!$E$2:$E$500,""),"")</f>
        <v>Monthly</v>
      </c>
      <c r="F33" s="38" t="s">
        <v>90</v>
      </c>
      <c r="G33" s="39"/>
      <c r="H33" s="31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63">
        <v>46300.0</v>
      </c>
      <c r="B34" s="37" t="str">
        <f t="array" ref="B34">IFERROR(INDEX('Employee Master'!$A$2:$A$500,2),"")</f>
        <v>EMP002</v>
      </c>
      <c r="C34" s="31" t="str">
        <f t="array" ref="C34">IFERROR(_xlfn.XLOOKUP(B34,'Employee Master'!$A$2:$A$500,'Employee Master'!$B$2:$B$500,""),"")</f>
        <v>Raju</v>
      </c>
      <c r="D34" s="31" t="str">
        <f t="array" ref="D34">IFERROR(_xlfn.XLOOKUP(B34,'Employee Master'!$A$2:$A$500,'Employee Master'!$C$2:$C$500,""),"")</f>
        <v>Mixer Man</v>
      </c>
      <c r="E34" s="31" t="str">
        <f t="array" ref="E34">IFERROR(_xlfn.XLOOKUP(B34,'Employee Master'!$A$2:$A$500,'Employee Master'!$E$2:$E$500,""),"")</f>
        <v>Monthly</v>
      </c>
      <c r="F34" s="38" t="s">
        <v>90</v>
      </c>
      <c r="G34" s="39"/>
      <c r="H34" s="31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63">
        <v>46300.0</v>
      </c>
      <c r="B35" s="37" t="str">
        <f t="array" ref="B35">IFERROR(INDEX('Employee Master'!$A$2:$A$500,4),"")</f>
        <v>EMP004</v>
      </c>
      <c r="C35" s="31" t="str">
        <f t="array" ref="C35">IFERROR(_xlfn.XLOOKUP(B35,'Employee Master'!$A$2:$A$500,'Employee Master'!$B$2:$B$500,""),"")</f>
        <v>Shah Jahan</v>
      </c>
      <c r="D35" s="31" t="str">
        <f t="array" ref="D35">IFERROR(_xlfn.XLOOKUP(B35,'Employee Master'!$A$2:$A$500,'Employee Master'!$C$2:$C$500,""),"")</f>
        <v>Roll Man</v>
      </c>
      <c r="E35" s="31" t="str">
        <f t="array" ref="E35">IFERROR(_xlfn.XLOOKUP(B35,'Employee Master'!$A$2:$A$500,'Employee Master'!$E$2:$E$500,""),"")</f>
        <v>Monthly</v>
      </c>
      <c r="F35" s="38" t="s">
        <v>90</v>
      </c>
      <c r="G35" s="39"/>
      <c r="H35" s="31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63">
        <v>46300.0</v>
      </c>
      <c r="B36" s="37" t="str">
        <f t="array" ref="B36">IFERROR(INDEX('Employee Master'!$A$2:$A$500,5),"")</f>
        <v>EMP005</v>
      </c>
      <c r="C36" s="31" t="str">
        <f t="array" ref="C36">IFERROR(_xlfn.XLOOKUP(B36,'Employee Master'!$A$2:$A$500,'Employee Master'!$B$2:$B$500,""),"")</f>
        <v>Shanti Devi</v>
      </c>
      <c r="D36" s="31" t="str">
        <f t="array" ref="D36">IFERROR(_xlfn.XLOOKUP(B36,'Employee Master'!$A$2:$A$500,'Employee Master'!$C$2:$C$500,""),"")</f>
        <v>Pipe Cutting</v>
      </c>
      <c r="E36" s="31" t="str">
        <f t="array" ref="E36">IFERROR(_xlfn.XLOOKUP(B36,'Employee Master'!$A$2:$A$500,'Employee Master'!$E$2:$E$500,""),"")</f>
        <v>Daily</v>
      </c>
      <c r="F36" s="38" t="s">
        <v>90</v>
      </c>
      <c r="G36" s="39"/>
      <c r="H36" s="31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63">
        <v>46300.0</v>
      </c>
      <c r="B37" s="37" t="str">
        <f t="array" ref="B37">IFERROR(INDEX('Employee Master'!$A$2:$A$500,7),"")</f>
        <v>EMP007</v>
      </c>
      <c r="C37" s="31" t="str">
        <f t="array" ref="C37">IFERROR(_xlfn.XLOOKUP(B37,'Employee Master'!$A$2:$A$500,'Employee Master'!$B$2:$B$500,""),"")</f>
        <v>Muttalib Ansari</v>
      </c>
      <c r="D37" s="31" t="str">
        <f t="array" ref="D37">IFERROR(_xlfn.XLOOKUP(B37,'Employee Master'!$A$2:$A$500,'Employee Master'!$C$2:$C$500,""),"")</f>
        <v>Helper</v>
      </c>
      <c r="E37" s="31" t="str">
        <f t="array" ref="E37">IFERROR(_xlfn.XLOOKUP(B37,'Employee Master'!$A$2:$A$500,'Employee Master'!$E$2:$E$500,""),"")</f>
        <v>Monthly</v>
      </c>
      <c r="F37" s="38" t="s">
        <v>90</v>
      </c>
      <c r="G37" s="39"/>
      <c r="H37" s="31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63">
        <v>46300.0</v>
      </c>
      <c r="B38" s="37" t="str">
        <f t="array" ref="B38">IFERROR(INDEX('Employee Master'!$A$2:$A$500,8),"")</f>
        <v>EMP008</v>
      </c>
      <c r="C38" s="31" t="str">
        <f t="array" ref="C38">IFERROR(_xlfn.XLOOKUP(B38,'Employee Master'!$A$2:$A$500,'Employee Master'!$B$2:$B$500,""),"")</f>
        <v>Debashis Munda</v>
      </c>
      <c r="D38" s="31" t="str">
        <f t="array" ref="D38">IFERROR(_xlfn.XLOOKUP(B38,'Employee Master'!$A$2:$A$500,'Employee Master'!$C$2:$C$500,""),"")</f>
        <v>Mixer Man</v>
      </c>
      <c r="E38" s="31" t="str">
        <f t="array" ref="E38">IFERROR(_xlfn.XLOOKUP(B38,'Employee Master'!$A$2:$A$500,'Employee Master'!$E$2:$E$500,""),"")</f>
        <v>Monthly</v>
      </c>
      <c r="F38" s="38" t="s">
        <v>90</v>
      </c>
      <c r="G38" s="39"/>
      <c r="H38" s="31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63">
        <v>46300.0</v>
      </c>
      <c r="B39" s="37" t="str">
        <f t="array" ref="B39">IFERROR(INDEX('Employee Master'!$A$2:$A$500,9),"")</f>
        <v>EMP009</v>
      </c>
      <c r="C39" s="31" t="str">
        <f t="array" ref="C39">IFERROR(_xlfn.XLOOKUP(B39,'Employee Master'!$A$2:$A$500,'Employee Master'!$B$2:$B$500,""),"")</f>
        <v>Moumita Sardar</v>
      </c>
      <c r="D39" s="31" t="str">
        <f t="array" ref="D39">IFERROR(_xlfn.XLOOKUP(B39,'Employee Master'!$A$2:$A$500,'Employee Master'!$C$2:$C$500,""),"")</f>
        <v>Pipe Cutting</v>
      </c>
      <c r="E39" s="31" t="str">
        <f t="array" ref="E39">IFERROR(_xlfn.XLOOKUP(B39,'Employee Master'!$A$2:$A$500,'Employee Master'!$E$2:$E$500,""),"")</f>
        <v>Monthly</v>
      </c>
      <c r="F39" s="38" t="s">
        <v>90</v>
      </c>
      <c r="G39" s="39"/>
      <c r="H39" s="31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63">
        <v>46301.0</v>
      </c>
      <c r="B40" s="37" t="str">
        <f t="array" ref="B40">IFERROR(INDEX('Employee Master'!$A$2:$A$500,1),"")</f>
        <v>EMP001</v>
      </c>
      <c r="C40" s="31" t="str">
        <f t="array" ref="C40">IFERROR(_xlfn.XLOOKUP(B40,'Employee Master'!$A$2:$A$500,'Employee Master'!$B$2:$B$500,""),"")</f>
        <v>Ravi</v>
      </c>
      <c r="D40" s="31" t="str">
        <f t="array" ref="D40">IFERROR(_xlfn.XLOOKUP(B40,'Employee Master'!$A$2:$A$500,'Employee Master'!$C$2:$C$500,""),"")</f>
        <v>Machine Operator</v>
      </c>
      <c r="E40" s="31" t="str">
        <f t="array" ref="E40">IFERROR(_xlfn.XLOOKUP(B40,'Employee Master'!$A$2:$A$500,'Employee Master'!$E$2:$E$500,""),"")</f>
        <v>Monthly</v>
      </c>
      <c r="F40" s="38" t="s">
        <v>90</v>
      </c>
      <c r="G40" s="39"/>
      <c r="H40" s="31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63">
        <v>46301.0</v>
      </c>
      <c r="B41" s="37" t="str">
        <f t="array" ref="B41">IFERROR(INDEX('Employee Master'!$A$2:$A$500,2),"")</f>
        <v>EMP002</v>
      </c>
      <c r="C41" s="31" t="str">
        <f t="array" ref="C41">IFERROR(_xlfn.XLOOKUP(B41,'Employee Master'!$A$2:$A$500,'Employee Master'!$B$2:$B$500,""),"")</f>
        <v>Raju</v>
      </c>
      <c r="D41" s="31" t="str">
        <f t="array" ref="D41">IFERROR(_xlfn.XLOOKUP(B41,'Employee Master'!$A$2:$A$500,'Employee Master'!$C$2:$C$500,""),"")</f>
        <v>Mixer Man</v>
      </c>
      <c r="E41" s="31" t="str">
        <f t="array" ref="E41">IFERROR(_xlfn.XLOOKUP(B41,'Employee Master'!$A$2:$A$500,'Employee Master'!$E$2:$E$500,""),"")</f>
        <v>Monthly</v>
      </c>
      <c r="F41" s="38" t="s">
        <v>90</v>
      </c>
      <c r="G41" s="39"/>
      <c r="H41" s="31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63">
        <v>46301.0</v>
      </c>
      <c r="B42" s="37" t="str">
        <f t="array" ref="B42">IFERROR(INDEX('Employee Master'!$A$2:$A$500,4),"")</f>
        <v>EMP004</v>
      </c>
      <c r="C42" s="31" t="str">
        <f t="array" ref="C42">IFERROR(_xlfn.XLOOKUP(B42,'Employee Master'!$A$2:$A$500,'Employee Master'!$B$2:$B$500,""),"")</f>
        <v>Shah Jahan</v>
      </c>
      <c r="D42" s="31" t="str">
        <f t="array" ref="D42">IFERROR(_xlfn.XLOOKUP(B42,'Employee Master'!$A$2:$A$500,'Employee Master'!$C$2:$C$500,""),"")</f>
        <v>Roll Man</v>
      </c>
      <c r="E42" s="31" t="str">
        <f t="array" ref="E42">IFERROR(_xlfn.XLOOKUP(B42,'Employee Master'!$A$2:$A$500,'Employee Master'!$E$2:$E$500,""),"")</f>
        <v>Monthly</v>
      </c>
      <c r="F42" s="38" t="s">
        <v>90</v>
      </c>
      <c r="G42" s="39"/>
      <c r="H42" s="3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63">
        <v>46301.0</v>
      </c>
      <c r="B43" s="37" t="str">
        <f t="array" ref="B43">IFERROR(INDEX('Employee Master'!$A$2:$A$500,5),"")</f>
        <v>EMP005</v>
      </c>
      <c r="C43" s="31" t="str">
        <f t="array" ref="C43">IFERROR(_xlfn.XLOOKUP(B43,'Employee Master'!$A$2:$A$500,'Employee Master'!$B$2:$B$500,""),"")</f>
        <v>Shanti Devi</v>
      </c>
      <c r="D43" s="31" t="str">
        <f t="array" ref="D43">IFERROR(_xlfn.XLOOKUP(B43,'Employee Master'!$A$2:$A$500,'Employee Master'!$C$2:$C$500,""),"")</f>
        <v>Pipe Cutting</v>
      </c>
      <c r="E43" s="31" t="str">
        <f t="array" ref="E43">IFERROR(_xlfn.XLOOKUP(B43,'Employee Master'!$A$2:$A$500,'Employee Master'!$E$2:$E$500,""),"")</f>
        <v>Daily</v>
      </c>
      <c r="F43" s="38" t="s">
        <v>90</v>
      </c>
      <c r="G43" s="39"/>
      <c r="H43" s="31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63">
        <v>46301.0</v>
      </c>
      <c r="B44" s="37" t="str">
        <f t="array" ref="B44">IFERROR(INDEX('Employee Master'!$A$2:$A$500,7),"")</f>
        <v>EMP007</v>
      </c>
      <c r="C44" s="31" t="str">
        <f t="array" ref="C44">IFERROR(_xlfn.XLOOKUP(B44,'Employee Master'!$A$2:$A$500,'Employee Master'!$B$2:$B$500,""),"")</f>
        <v>Muttalib Ansari</v>
      </c>
      <c r="D44" s="31" t="str">
        <f t="array" ref="D44">IFERROR(_xlfn.XLOOKUP(B44,'Employee Master'!$A$2:$A$500,'Employee Master'!$C$2:$C$500,""),"")</f>
        <v>Helper</v>
      </c>
      <c r="E44" s="31" t="str">
        <f t="array" ref="E44">IFERROR(_xlfn.XLOOKUP(B44,'Employee Master'!$A$2:$A$500,'Employee Master'!$E$2:$E$500,""),"")</f>
        <v>Monthly</v>
      </c>
      <c r="F44" s="38" t="s">
        <v>90</v>
      </c>
      <c r="G44" s="39"/>
      <c r="H44" s="31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63">
        <v>46301.0</v>
      </c>
      <c r="B45" s="37" t="str">
        <f t="array" ref="B45">IFERROR(INDEX('Employee Master'!$A$2:$A$500,8),"")</f>
        <v>EMP008</v>
      </c>
      <c r="C45" s="31" t="str">
        <f t="array" ref="C45">IFERROR(_xlfn.XLOOKUP(B45,'Employee Master'!$A$2:$A$500,'Employee Master'!$B$2:$B$500,""),"")</f>
        <v>Debashis Munda</v>
      </c>
      <c r="D45" s="31" t="str">
        <f t="array" ref="D45">IFERROR(_xlfn.XLOOKUP(B45,'Employee Master'!$A$2:$A$500,'Employee Master'!$C$2:$C$500,""),"")</f>
        <v>Mixer Man</v>
      </c>
      <c r="E45" s="31" t="str">
        <f t="array" ref="E45">IFERROR(_xlfn.XLOOKUP(B45,'Employee Master'!$A$2:$A$500,'Employee Master'!$E$2:$E$500,""),"")</f>
        <v>Monthly</v>
      </c>
      <c r="F45" s="38" t="s">
        <v>90</v>
      </c>
      <c r="G45" s="39"/>
      <c r="H45" s="31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63">
        <v>46301.0</v>
      </c>
      <c r="B46" s="37" t="str">
        <f t="array" ref="B46">IFERROR(INDEX('Employee Master'!$A$2:$A$500,9),"")</f>
        <v>EMP009</v>
      </c>
      <c r="C46" s="31" t="str">
        <f t="array" ref="C46">IFERROR(_xlfn.XLOOKUP(B46,'Employee Master'!$A$2:$A$500,'Employee Master'!$B$2:$B$500,""),"")</f>
        <v>Moumita Sardar</v>
      </c>
      <c r="D46" s="31" t="str">
        <f t="array" ref="D46">IFERROR(_xlfn.XLOOKUP(B46,'Employee Master'!$A$2:$A$500,'Employee Master'!$C$2:$C$500,""),"")</f>
        <v>Pipe Cutting</v>
      </c>
      <c r="E46" s="31" t="str">
        <f t="array" ref="E46">IFERROR(_xlfn.XLOOKUP(B46,'Employee Master'!$A$2:$A$500,'Employee Master'!$E$2:$E$500,""),"")</f>
        <v>Monthly</v>
      </c>
      <c r="F46" s="38" t="s">
        <v>90</v>
      </c>
      <c r="G46" s="39"/>
      <c r="H46" s="31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5"/>
      <c r="B47" s="31"/>
      <c r="C47" s="31" t="str">
        <f t="array" ref="C47">IFERROR(_xlfn.XLOOKUP(B47,'Employee Master'!$A$2:$A$500,'Employee Master'!$B$2:$B$500,""),"")</f>
        <v/>
      </c>
      <c r="D47" s="31" t="str">
        <f t="array" ref="D47">IFERROR(_xlfn.XLOOKUP(B47,'Employee Master'!$A$2:$A$500,'Employee Master'!$C$2:$C$500,""),"")</f>
        <v/>
      </c>
      <c r="E47" s="31" t="str">
        <f t="array" ref="E47">IFERROR(_xlfn.XLOOKUP(B47,'Employee Master'!$A$2:$A$500,'Employee Master'!$E$2:$E$500,""),"")</f>
        <v/>
      </c>
      <c r="F47" s="31"/>
      <c r="G47" s="39"/>
      <c r="H47" s="31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5"/>
      <c r="B48" s="31"/>
      <c r="C48" s="31" t="str">
        <f t="array" ref="C48">IFERROR(_xlfn.XLOOKUP(B48,'Employee Master'!$A$2:$A$500,'Employee Master'!$B$2:$B$500,""),"")</f>
        <v/>
      </c>
      <c r="D48" s="31" t="str">
        <f t="array" ref="D48">IFERROR(_xlfn.XLOOKUP(B48,'Employee Master'!$A$2:$A$500,'Employee Master'!$C$2:$C$500,""),"")</f>
        <v/>
      </c>
      <c r="E48" s="31" t="str">
        <f t="array" ref="E48">IFERROR(_xlfn.XLOOKUP(B48,'Employee Master'!$A$2:$A$500,'Employee Master'!$E$2:$E$500,""),"")</f>
        <v/>
      </c>
      <c r="F48" s="31"/>
      <c r="G48" s="39"/>
      <c r="H48" s="31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5"/>
      <c r="B49" s="31"/>
      <c r="C49" s="31" t="str">
        <f t="array" ref="C49">IFERROR(_xlfn.XLOOKUP(B49,'Employee Master'!$A$2:$A$500,'Employee Master'!$B$2:$B$500,""),"")</f>
        <v/>
      </c>
      <c r="D49" s="31" t="str">
        <f t="array" ref="D49">IFERROR(_xlfn.XLOOKUP(B49,'Employee Master'!$A$2:$A$500,'Employee Master'!$C$2:$C$500,""),"")</f>
        <v/>
      </c>
      <c r="E49" s="31" t="str">
        <f t="array" ref="E49">IFERROR(_xlfn.XLOOKUP(B49,'Employee Master'!$A$2:$A$500,'Employee Master'!$E$2:$E$500,""),"")</f>
        <v/>
      </c>
      <c r="F49" s="31"/>
      <c r="G49" s="39"/>
      <c r="H49" s="31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5"/>
      <c r="B50" s="31"/>
      <c r="C50" s="31" t="str">
        <f t="array" ref="C50">IFERROR(_xlfn.XLOOKUP(B50,'Employee Master'!$A$2:$A$500,'Employee Master'!$B$2:$B$500,""),"")</f>
        <v/>
      </c>
      <c r="D50" s="31" t="str">
        <f t="array" ref="D50">IFERROR(_xlfn.XLOOKUP(B50,'Employee Master'!$A$2:$A$500,'Employee Master'!$C$2:$C$500,""),"")</f>
        <v/>
      </c>
      <c r="E50" s="31" t="str">
        <f t="array" ref="E50">IFERROR(_xlfn.XLOOKUP(B50,'Employee Master'!$A$2:$A$500,'Employee Master'!$E$2:$E$500,""),"")</f>
        <v/>
      </c>
      <c r="F50" s="31"/>
      <c r="G50" s="39"/>
      <c r="H50" s="31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5"/>
      <c r="B51" s="31"/>
      <c r="C51" s="31" t="str">
        <f t="array" ref="C51">IFERROR(_xlfn.XLOOKUP(B51,'Employee Master'!$A$2:$A$500,'Employee Master'!$B$2:$B$500,""),"")</f>
        <v/>
      </c>
      <c r="D51" s="31" t="str">
        <f t="array" ref="D51">IFERROR(_xlfn.XLOOKUP(B51,'Employee Master'!$A$2:$A$500,'Employee Master'!$C$2:$C$500,""),"")</f>
        <v/>
      </c>
      <c r="E51" s="31" t="str">
        <f t="array" ref="E51">IFERROR(_xlfn.XLOOKUP(B51,'Employee Master'!$A$2:$A$500,'Employee Master'!$E$2:$E$500,""),"")</f>
        <v/>
      </c>
      <c r="F51" s="31"/>
      <c r="G51" s="39"/>
      <c r="H51" s="31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5"/>
      <c r="B52" s="31"/>
      <c r="C52" s="31" t="str">
        <f t="array" ref="C52">IFERROR(_xlfn.XLOOKUP(B52,'Employee Master'!$A$2:$A$500,'Employee Master'!$B$2:$B$500,""),"")</f>
        <v/>
      </c>
      <c r="D52" s="31" t="str">
        <f t="array" ref="D52">IFERROR(_xlfn.XLOOKUP(B52,'Employee Master'!$A$2:$A$500,'Employee Master'!$C$2:$C$500,""),"")</f>
        <v/>
      </c>
      <c r="E52" s="31" t="str">
        <f t="array" ref="E52">IFERROR(_xlfn.XLOOKUP(B52,'Employee Master'!$A$2:$A$500,'Employee Master'!$E$2:$E$500,""),"")</f>
        <v/>
      </c>
      <c r="F52" s="31"/>
      <c r="G52" s="39"/>
      <c r="H52" s="31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5"/>
      <c r="B53" s="31"/>
      <c r="C53" s="31" t="str">
        <f t="array" ref="C53">IFERROR(_xlfn.XLOOKUP(B53,'Employee Master'!$A$2:$A$500,'Employee Master'!$B$2:$B$500,""),"")</f>
        <v/>
      </c>
      <c r="D53" s="31" t="str">
        <f t="array" ref="D53">IFERROR(_xlfn.XLOOKUP(B53,'Employee Master'!$A$2:$A$500,'Employee Master'!$C$2:$C$500,""),"")</f>
        <v/>
      </c>
      <c r="E53" s="31" t="str">
        <f t="array" ref="E53">IFERROR(_xlfn.XLOOKUP(B53,'Employee Master'!$A$2:$A$500,'Employee Master'!$E$2:$E$500,""),"")</f>
        <v/>
      </c>
      <c r="F53" s="31"/>
      <c r="G53" s="39"/>
      <c r="H53" s="31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5"/>
      <c r="B54" s="31"/>
      <c r="C54" s="31" t="str">
        <f t="array" ref="C54">IFERROR(_xlfn.XLOOKUP(B54,'Employee Master'!$A$2:$A$500,'Employee Master'!$B$2:$B$500,""),"")</f>
        <v/>
      </c>
      <c r="D54" s="31" t="str">
        <f t="array" ref="D54">IFERROR(_xlfn.XLOOKUP(B54,'Employee Master'!$A$2:$A$500,'Employee Master'!$C$2:$C$500,""),"")</f>
        <v/>
      </c>
      <c r="E54" s="31" t="str">
        <f t="array" ref="E54">IFERROR(_xlfn.XLOOKUP(B54,'Employee Master'!$A$2:$A$500,'Employee Master'!$E$2:$E$500,""),"")</f>
        <v/>
      </c>
      <c r="F54" s="31"/>
      <c r="G54" s="39"/>
      <c r="H54" s="31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5"/>
      <c r="B55" s="31"/>
      <c r="C55" s="31" t="str">
        <f t="array" ref="C55">IFERROR(_xlfn.XLOOKUP(B55,'Employee Master'!$A$2:$A$500,'Employee Master'!$B$2:$B$500,""),"")</f>
        <v/>
      </c>
      <c r="D55" s="31" t="str">
        <f t="array" ref="D55">IFERROR(_xlfn.XLOOKUP(B55,'Employee Master'!$A$2:$A$500,'Employee Master'!$C$2:$C$500,""),"")</f>
        <v/>
      </c>
      <c r="E55" s="31" t="str">
        <f t="array" ref="E55">IFERROR(_xlfn.XLOOKUP(B55,'Employee Master'!$A$2:$A$500,'Employee Master'!$E$2:$E$500,""),"")</f>
        <v/>
      </c>
      <c r="F55" s="31"/>
      <c r="G55" s="39"/>
      <c r="H55" s="31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5"/>
      <c r="B56" s="31"/>
      <c r="C56" s="31" t="str">
        <f t="array" ref="C56">IFERROR(_xlfn.XLOOKUP(B56,'Employee Master'!$A$2:$A$500,'Employee Master'!$B$2:$B$500,""),"")</f>
        <v/>
      </c>
      <c r="D56" s="31" t="str">
        <f t="array" ref="D56">IFERROR(_xlfn.XLOOKUP(B56,'Employee Master'!$A$2:$A$500,'Employee Master'!$C$2:$C$500,""),"")</f>
        <v/>
      </c>
      <c r="E56" s="31" t="str">
        <f t="array" ref="E56">IFERROR(_xlfn.XLOOKUP(B56,'Employee Master'!$A$2:$A$500,'Employee Master'!$E$2:$E$500,""),"")</f>
        <v/>
      </c>
      <c r="F56" s="31"/>
      <c r="G56" s="39"/>
      <c r="H56" s="31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5"/>
      <c r="B57" s="31"/>
      <c r="C57" s="31" t="str">
        <f t="array" ref="C57">IFERROR(_xlfn.XLOOKUP(B57,'Employee Master'!$A$2:$A$500,'Employee Master'!$B$2:$B$500,""),"")</f>
        <v/>
      </c>
      <c r="D57" s="31" t="str">
        <f t="array" ref="D57">IFERROR(_xlfn.XLOOKUP(B57,'Employee Master'!$A$2:$A$500,'Employee Master'!$C$2:$C$500,""),"")</f>
        <v/>
      </c>
      <c r="E57" s="31" t="str">
        <f t="array" ref="E57">IFERROR(_xlfn.XLOOKUP(B57,'Employee Master'!$A$2:$A$500,'Employee Master'!$E$2:$E$500,""),"")</f>
        <v/>
      </c>
      <c r="F57" s="31"/>
      <c r="G57" s="39"/>
      <c r="H57" s="31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5"/>
      <c r="B58" s="31"/>
      <c r="C58" s="31" t="str">
        <f t="array" ref="C58">IFERROR(_xlfn.XLOOKUP(B58,'Employee Master'!$A$2:$A$500,'Employee Master'!$B$2:$B$500,""),"")</f>
        <v/>
      </c>
      <c r="D58" s="31" t="str">
        <f t="array" ref="D58">IFERROR(_xlfn.XLOOKUP(B58,'Employee Master'!$A$2:$A$500,'Employee Master'!$C$2:$C$500,""),"")</f>
        <v/>
      </c>
      <c r="E58" s="31" t="str">
        <f t="array" ref="E58">IFERROR(_xlfn.XLOOKUP(B58,'Employee Master'!$A$2:$A$500,'Employee Master'!$E$2:$E$500,""),"")</f>
        <v/>
      </c>
      <c r="F58" s="31"/>
      <c r="G58" s="39"/>
      <c r="H58" s="31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5"/>
      <c r="B59" s="31"/>
      <c r="C59" s="31" t="str">
        <f t="array" ref="C59">IFERROR(_xlfn.XLOOKUP(B59,'Employee Master'!$A$2:$A$500,'Employee Master'!$B$2:$B$500,""),"")</f>
        <v/>
      </c>
      <c r="D59" s="31" t="str">
        <f t="array" ref="D59">IFERROR(_xlfn.XLOOKUP(B59,'Employee Master'!$A$2:$A$500,'Employee Master'!$C$2:$C$500,""),"")</f>
        <v/>
      </c>
      <c r="E59" s="31" t="str">
        <f t="array" ref="E59">IFERROR(_xlfn.XLOOKUP(B59,'Employee Master'!$A$2:$A$500,'Employee Master'!$E$2:$E$500,""),"")</f>
        <v/>
      </c>
      <c r="F59" s="31"/>
      <c r="G59" s="39"/>
      <c r="H59" s="31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5"/>
      <c r="B60" s="31"/>
      <c r="C60" s="31" t="str">
        <f t="array" ref="C60">IFERROR(_xlfn.XLOOKUP(B60,'Employee Master'!$A$2:$A$500,'Employee Master'!$B$2:$B$500,""),"")</f>
        <v/>
      </c>
      <c r="D60" s="31" t="str">
        <f t="array" ref="D60">IFERROR(_xlfn.XLOOKUP(B60,'Employee Master'!$A$2:$A$500,'Employee Master'!$C$2:$C$500,""),"")</f>
        <v/>
      </c>
      <c r="E60" s="31" t="str">
        <f t="array" ref="E60">IFERROR(_xlfn.XLOOKUP(B60,'Employee Master'!$A$2:$A$500,'Employee Master'!$E$2:$E$500,""),"")</f>
        <v/>
      </c>
      <c r="F60" s="31"/>
      <c r="G60" s="39"/>
      <c r="H60" s="31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5"/>
      <c r="B61" s="31"/>
      <c r="C61" s="31" t="str">
        <f t="array" ref="C61">IFERROR(_xlfn.XLOOKUP(B61,'Employee Master'!$A$2:$A$500,'Employee Master'!$B$2:$B$500,""),"")</f>
        <v/>
      </c>
      <c r="D61" s="31" t="str">
        <f t="array" ref="D61">IFERROR(_xlfn.XLOOKUP(B61,'Employee Master'!$A$2:$A$500,'Employee Master'!$C$2:$C$500,""),"")</f>
        <v/>
      </c>
      <c r="E61" s="31" t="str">
        <f t="array" ref="E61">IFERROR(_xlfn.XLOOKUP(B61,'Employee Master'!$A$2:$A$500,'Employee Master'!$E$2:$E$500,""),"")</f>
        <v/>
      </c>
      <c r="F61" s="31"/>
      <c r="G61" s="39"/>
      <c r="H61" s="31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5"/>
      <c r="B62" s="31"/>
      <c r="C62" s="31" t="str">
        <f t="array" ref="C62">IFERROR(_xlfn.XLOOKUP(B62,'Employee Master'!$A$2:$A$500,'Employee Master'!$B$2:$B$500,""),"")</f>
        <v/>
      </c>
      <c r="D62" s="31" t="str">
        <f t="array" ref="D62">IFERROR(_xlfn.XLOOKUP(B62,'Employee Master'!$A$2:$A$500,'Employee Master'!$C$2:$C$500,""),"")</f>
        <v/>
      </c>
      <c r="E62" s="31" t="str">
        <f t="array" ref="E62">IFERROR(_xlfn.XLOOKUP(B62,'Employee Master'!$A$2:$A$500,'Employee Master'!$E$2:$E$500,""),"")</f>
        <v/>
      </c>
      <c r="F62" s="31"/>
      <c r="G62" s="39"/>
      <c r="H62" s="31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5"/>
      <c r="B63" s="31"/>
      <c r="C63" s="31" t="str">
        <f t="array" ref="C63">IFERROR(_xlfn.XLOOKUP(B63,'Employee Master'!$A$2:$A$500,'Employee Master'!$B$2:$B$500,""),"")</f>
        <v/>
      </c>
      <c r="D63" s="31" t="str">
        <f t="array" ref="D63">IFERROR(_xlfn.XLOOKUP(B63,'Employee Master'!$A$2:$A$500,'Employee Master'!$C$2:$C$500,""),"")</f>
        <v/>
      </c>
      <c r="E63" s="31" t="str">
        <f t="array" ref="E63">IFERROR(_xlfn.XLOOKUP(B63,'Employee Master'!$A$2:$A$500,'Employee Master'!$E$2:$E$500,""),"")</f>
        <v/>
      </c>
      <c r="F63" s="31"/>
      <c r="G63" s="39"/>
      <c r="H63" s="31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5"/>
      <c r="B64" s="31"/>
      <c r="C64" s="31" t="str">
        <f t="array" ref="C64">IFERROR(_xlfn.XLOOKUP(B64,'Employee Master'!$A$2:$A$500,'Employee Master'!$B$2:$B$500,""),"")</f>
        <v/>
      </c>
      <c r="D64" s="31" t="str">
        <f t="array" ref="D64">IFERROR(_xlfn.XLOOKUP(B64,'Employee Master'!$A$2:$A$500,'Employee Master'!$C$2:$C$500,""),"")</f>
        <v/>
      </c>
      <c r="E64" s="31" t="str">
        <f t="array" ref="E64">IFERROR(_xlfn.XLOOKUP(B64,'Employee Master'!$A$2:$A$500,'Employee Master'!$E$2:$E$500,""),"")</f>
        <v/>
      </c>
      <c r="F64" s="31"/>
      <c r="G64" s="39"/>
      <c r="H64" s="31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5"/>
      <c r="B65" s="31"/>
      <c r="C65" s="31" t="str">
        <f t="array" ref="C65">IFERROR(_xlfn.XLOOKUP(B65,'Employee Master'!$A$2:$A$500,'Employee Master'!$B$2:$B$500,""),"")</f>
        <v/>
      </c>
      <c r="D65" s="31" t="str">
        <f t="array" ref="D65">IFERROR(_xlfn.XLOOKUP(B65,'Employee Master'!$A$2:$A$500,'Employee Master'!$C$2:$C$500,""),"")</f>
        <v/>
      </c>
      <c r="E65" s="31" t="str">
        <f t="array" ref="E65">IFERROR(_xlfn.XLOOKUP(B65,'Employee Master'!$A$2:$A$500,'Employee Master'!$E$2:$E$500,""),"")</f>
        <v/>
      </c>
      <c r="F65" s="31"/>
      <c r="G65" s="39"/>
      <c r="H65" s="31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5"/>
      <c r="B66" s="31"/>
      <c r="C66" s="31" t="str">
        <f t="array" ref="C66">IFERROR(_xlfn.XLOOKUP(B66,'Employee Master'!$A$2:$A$500,'Employee Master'!$B$2:$B$500,""),"")</f>
        <v/>
      </c>
      <c r="D66" s="31" t="str">
        <f t="array" ref="D66">IFERROR(_xlfn.XLOOKUP(B66,'Employee Master'!$A$2:$A$500,'Employee Master'!$C$2:$C$500,""),"")</f>
        <v/>
      </c>
      <c r="E66" s="31" t="str">
        <f t="array" ref="E66">IFERROR(_xlfn.XLOOKUP(B66,'Employee Master'!$A$2:$A$500,'Employee Master'!$E$2:$E$500,""),"")</f>
        <v/>
      </c>
      <c r="F66" s="31"/>
      <c r="G66" s="39"/>
      <c r="H66" s="31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5"/>
      <c r="B67" s="31"/>
      <c r="C67" s="31" t="str">
        <f t="array" ref="C67">IFERROR(_xlfn.XLOOKUP(B67,'Employee Master'!$A$2:$A$500,'Employee Master'!$B$2:$B$500,""),"")</f>
        <v/>
      </c>
      <c r="D67" s="31" t="str">
        <f t="array" ref="D67">IFERROR(_xlfn.XLOOKUP(B67,'Employee Master'!$A$2:$A$500,'Employee Master'!$C$2:$C$500,""),"")</f>
        <v/>
      </c>
      <c r="E67" s="31" t="str">
        <f t="array" ref="E67">IFERROR(_xlfn.XLOOKUP(B67,'Employee Master'!$A$2:$A$500,'Employee Master'!$E$2:$E$500,""),"")</f>
        <v/>
      </c>
      <c r="F67" s="31"/>
      <c r="G67" s="39"/>
      <c r="H67" s="31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5"/>
      <c r="B68" s="31"/>
      <c r="C68" s="31" t="str">
        <f t="array" ref="C68">IFERROR(_xlfn.XLOOKUP(B68,'Employee Master'!$A$2:$A$500,'Employee Master'!$B$2:$B$500,""),"")</f>
        <v/>
      </c>
      <c r="D68" s="31" t="str">
        <f t="array" ref="D68">IFERROR(_xlfn.XLOOKUP(B68,'Employee Master'!$A$2:$A$500,'Employee Master'!$C$2:$C$500,""),"")</f>
        <v/>
      </c>
      <c r="E68" s="31" t="str">
        <f t="array" ref="E68">IFERROR(_xlfn.XLOOKUP(B68,'Employee Master'!$A$2:$A$500,'Employee Master'!$E$2:$E$500,""),"")</f>
        <v/>
      </c>
      <c r="F68" s="31"/>
      <c r="G68" s="39"/>
      <c r="H68" s="31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5"/>
      <c r="B69" s="31"/>
      <c r="C69" s="31" t="str">
        <f t="array" ref="C69">IFERROR(_xlfn.XLOOKUP(B69,'Employee Master'!$A$2:$A$500,'Employee Master'!$B$2:$B$500,""),"")</f>
        <v/>
      </c>
      <c r="D69" s="31" t="str">
        <f t="array" ref="D69">IFERROR(_xlfn.XLOOKUP(B69,'Employee Master'!$A$2:$A$500,'Employee Master'!$C$2:$C$500,""),"")</f>
        <v/>
      </c>
      <c r="E69" s="31" t="str">
        <f t="array" ref="E69">IFERROR(_xlfn.XLOOKUP(B69,'Employee Master'!$A$2:$A$500,'Employee Master'!$E$2:$E$500,""),"")</f>
        <v/>
      </c>
      <c r="F69" s="31"/>
      <c r="G69" s="39"/>
      <c r="H69" s="31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5"/>
      <c r="B70" s="31"/>
      <c r="C70" s="31" t="str">
        <f t="array" ref="C70">IFERROR(_xlfn.XLOOKUP(B70,'Employee Master'!$A$2:$A$500,'Employee Master'!$B$2:$B$500,""),"")</f>
        <v/>
      </c>
      <c r="D70" s="31" t="str">
        <f t="array" ref="D70">IFERROR(_xlfn.XLOOKUP(B70,'Employee Master'!$A$2:$A$500,'Employee Master'!$C$2:$C$500,""),"")</f>
        <v/>
      </c>
      <c r="E70" s="31" t="str">
        <f t="array" ref="E70">IFERROR(_xlfn.XLOOKUP(B70,'Employee Master'!$A$2:$A$500,'Employee Master'!$E$2:$E$500,""),"")</f>
        <v/>
      </c>
      <c r="F70" s="31"/>
      <c r="G70" s="39"/>
      <c r="H70" s="31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5"/>
      <c r="B71" s="31"/>
      <c r="C71" s="31" t="str">
        <f t="array" ref="C71">IFERROR(_xlfn.XLOOKUP(B71,'Employee Master'!$A$2:$A$500,'Employee Master'!$B$2:$B$500,""),"")</f>
        <v/>
      </c>
      <c r="D71" s="31" t="str">
        <f t="array" ref="D71">IFERROR(_xlfn.XLOOKUP(B71,'Employee Master'!$A$2:$A$500,'Employee Master'!$C$2:$C$500,""),"")</f>
        <v/>
      </c>
      <c r="E71" s="31" t="str">
        <f t="array" ref="E71">IFERROR(_xlfn.XLOOKUP(B71,'Employee Master'!$A$2:$A$500,'Employee Master'!$E$2:$E$500,""),"")</f>
        <v/>
      </c>
      <c r="F71" s="31"/>
      <c r="G71" s="39"/>
      <c r="H71" s="31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5"/>
      <c r="B72" s="31"/>
      <c r="C72" s="31" t="str">
        <f t="array" ref="C72">IFERROR(_xlfn.XLOOKUP(B72,'Employee Master'!$A$2:$A$500,'Employee Master'!$B$2:$B$500,""),"")</f>
        <v/>
      </c>
      <c r="D72" s="31" t="str">
        <f t="array" ref="D72">IFERROR(_xlfn.XLOOKUP(B72,'Employee Master'!$A$2:$A$500,'Employee Master'!$C$2:$C$500,""),"")</f>
        <v/>
      </c>
      <c r="E72" s="31" t="str">
        <f t="array" ref="E72">IFERROR(_xlfn.XLOOKUP(B72,'Employee Master'!$A$2:$A$500,'Employee Master'!$E$2:$E$500,""),"")</f>
        <v/>
      </c>
      <c r="F72" s="31"/>
      <c r="G72" s="39"/>
      <c r="H72" s="31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5"/>
      <c r="B73" s="31"/>
      <c r="C73" s="31" t="str">
        <f t="array" ref="C73">IFERROR(_xlfn.XLOOKUP(B73,'Employee Master'!$A$2:$A$500,'Employee Master'!$B$2:$B$500,""),"")</f>
        <v/>
      </c>
      <c r="D73" s="31" t="str">
        <f t="array" ref="D73">IFERROR(_xlfn.XLOOKUP(B73,'Employee Master'!$A$2:$A$500,'Employee Master'!$C$2:$C$500,""),"")</f>
        <v/>
      </c>
      <c r="E73" s="31" t="str">
        <f t="array" ref="E73">IFERROR(_xlfn.XLOOKUP(B73,'Employee Master'!$A$2:$A$500,'Employee Master'!$E$2:$E$500,""),"")</f>
        <v/>
      </c>
      <c r="F73" s="31"/>
      <c r="G73" s="39"/>
      <c r="H73" s="31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5"/>
      <c r="B74" s="31"/>
      <c r="C74" s="31" t="str">
        <f t="array" ref="C74">IFERROR(_xlfn.XLOOKUP(B74,'Employee Master'!$A$2:$A$500,'Employee Master'!$B$2:$B$500,""),"")</f>
        <v/>
      </c>
      <c r="D74" s="31" t="str">
        <f t="array" ref="D74">IFERROR(_xlfn.XLOOKUP(B74,'Employee Master'!$A$2:$A$500,'Employee Master'!$C$2:$C$500,""),"")</f>
        <v/>
      </c>
      <c r="E74" s="31" t="str">
        <f t="array" ref="E74">IFERROR(_xlfn.XLOOKUP(B74,'Employee Master'!$A$2:$A$500,'Employee Master'!$E$2:$E$500,""),"")</f>
        <v/>
      </c>
      <c r="F74" s="31"/>
      <c r="G74" s="39"/>
      <c r="H74" s="31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5"/>
      <c r="B75" s="31"/>
      <c r="C75" s="31" t="str">
        <f t="array" ref="C75">IFERROR(_xlfn.XLOOKUP(B75,'Employee Master'!$A$2:$A$500,'Employee Master'!$B$2:$B$500,""),"")</f>
        <v/>
      </c>
      <c r="D75" s="31" t="str">
        <f t="array" ref="D75">IFERROR(_xlfn.XLOOKUP(B75,'Employee Master'!$A$2:$A$500,'Employee Master'!$C$2:$C$500,""),"")</f>
        <v/>
      </c>
      <c r="E75" s="31" t="str">
        <f t="array" ref="E75">IFERROR(_xlfn.XLOOKUP(B75,'Employee Master'!$A$2:$A$500,'Employee Master'!$E$2:$E$500,""),"")</f>
        <v/>
      </c>
      <c r="F75" s="31"/>
      <c r="G75" s="39"/>
      <c r="H75" s="31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5"/>
      <c r="B76" s="31"/>
      <c r="C76" s="31" t="str">
        <f t="array" ref="C76">IFERROR(_xlfn.XLOOKUP(B76,'Employee Master'!$A$2:$A$500,'Employee Master'!$B$2:$B$500,""),"")</f>
        <v/>
      </c>
      <c r="D76" s="31" t="str">
        <f t="array" ref="D76">IFERROR(_xlfn.XLOOKUP(B76,'Employee Master'!$A$2:$A$500,'Employee Master'!$C$2:$C$500,""),"")</f>
        <v/>
      </c>
      <c r="E76" s="31" t="str">
        <f t="array" ref="E76">IFERROR(_xlfn.XLOOKUP(B76,'Employee Master'!$A$2:$A$500,'Employee Master'!$E$2:$E$500,""),"")</f>
        <v/>
      </c>
      <c r="F76" s="31"/>
      <c r="G76" s="39"/>
      <c r="H76" s="31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5"/>
      <c r="B77" s="31"/>
      <c r="C77" s="31" t="str">
        <f t="array" ref="C77">IFERROR(_xlfn.XLOOKUP(B77,'Employee Master'!$A$2:$A$500,'Employee Master'!$B$2:$B$500,""),"")</f>
        <v/>
      </c>
      <c r="D77" s="31" t="str">
        <f t="array" ref="D77">IFERROR(_xlfn.XLOOKUP(B77,'Employee Master'!$A$2:$A$500,'Employee Master'!$C$2:$C$500,""),"")</f>
        <v/>
      </c>
      <c r="E77" s="31" t="str">
        <f t="array" ref="E77">IFERROR(_xlfn.XLOOKUP(B77,'Employee Master'!$A$2:$A$500,'Employee Master'!$E$2:$E$500,""),"")</f>
        <v/>
      </c>
      <c r="F77" s="31"/>
      <c r="G77" s="39"/>
      <c r="H77" s="31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5"/>
      <c r="B78" s="31"/>
      <c r="C78" s="31" t="str">
        <f t="array" ref="C78">IFERROR(_xlfn.XLOOKUP(B78,'Employee Master'!$A$2:$A$500,'Employee Master'!$B$2:$B$500,""),"")</f>
        <v/>
      </c>
      <c r="D78" s="31" t="str">
        <f t="array" ref="D78">IFERROR(_xlfn.XLOOKUP(B78,'Employee Master'!$A$2:$A$500,'Employee Master'!$C$2:$C$500,""),"")</f>
        <v/>
      </c>
      <c r="E78" s="31" t="str">
        <f t="array" ref="E78">IFERROR(_xlfn.XLOOKUP(B78,'Employee Master'!$A$2:$A$500,'Employee Master'!$E$2:$E$500,""),"")</f>
        <v/>
      </c>
      <c r="F78" s="31"/>
      <c r="G78" s="39"/>
      <c r="H78" s="31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5"/>
      <c r="B79" s="31"/>
      <c r="C79" s="31" t="str">
        <f t="array" ref="C79">IFERROR(_xlfn.XLOOKUP(B79,'Employee Master'!$A$2:$A$500,'Employee Master'!$B$2:$B$500,""),"")</f>
        <v/>
      </c>
      <c r="D79" s="31" t="str">
        <f t="array" ref="D79">IFERROR(_xlfn.XLOOKUP(B79,'Employee Master'!$A$2:$A$500,'Employee Master'!$C$2:$C$500,""),"")</f>
        <v/>
      </c>
      <c r="E79" s="31" t="str">
        <f t="array" ref="E79">IFERROR(_xlfn.XLOOKUP(B79,'Employee Master'!$A$2:$A$500,'Employee Master'!$E$2:$E$500,""),"")</f>
        <v/>
      </c>
      <c r="F79" s="31"/>
      <c r="G79" s="39"/>
      <c r="H79" s="31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5"/>
      <c r="B80" s="31"/>
      <c r="C80" s="31" t="str">
        <f t="array" ref="C80">IFERROR(_xlfn.XLOOKUP(B80,'Employee Master'!$A$2:$A$500,'Employee Master'!$B$2:$B$500,""),"")</f>
        <v/>
      </c>
      <c r="D80" s="31" t="str">
        <f t="array" ref="D80">IFERROR(_xlfn.XLOOKUP(B80,'Employee Master'!$A$2:$A$500,'Employee Master'!$C$2:$C$500,""),"")</f>
        <v/>
      </c>
      <c r="E80" s="31" t="str">
        <f t="array" ref="E80">IFERROR(_xlfn.XLOOKUP(B80,'Employee Master'!$A$2:$A$500,'Employee Master'!$E$2:$E$500,""),"")</f>
        <v/>
      </c>
      <c r="F80" s="31"/>
      <c r="G80" s="39"/>
      <c r="H80" s="31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5"/>
      <c r="B81" s="31"/>
      <c r="C81" s="31" t="str">
        <f t="array" ref="C81">IFERROR(_xlfn.XLOOKUP(B81,'Employee Master'!$A$2:$A$500,'Employee Master'!$B$2:$B$500,""),"")</f>
        <v/>
      </c>
      <c r="D81" s="31" t="str">
        <f t="array" ref="D81">IFERROR(_xlfn.XLOOKUP(B81,'Employee Master'!$A$2:$A$500,'Employee Master'!$C$2:$C$500,""),"")</f>
        <v/>
      </c>
      <c r="E81" s="31" t="str">
        <f t="array" ref="E81">IFERROR(_xlfn.XLOOKUP(B81,'Employee Master'!$A$2:$A$500,'Employee Master'!$E$2:$E$500,""),"")</f>
        <v/>
      </c>
      <c r="F81" s="31"/>
      <c r="G81" s="39"/>
      <c r="H81" s="31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5"/>
      <c r="B82" s="31"/>
      <c r="C82" s="31" t="str">
        <f t="array" ref="C82">IFERROR(_xlfn.XLOOKUP(B82,'Employee Master'!$A$2:$A$500,'Employee Master'!$B$2:$B$500,""),"")</f>
        <v/>
      </c>
      <c r="D82" s="31" t="str">
        <f t="array" ref="D82">IFERROR(_xlfn.XLOOKUP(B82,'Employee Master'!$A$2:$A$500,'Employee Master'!$C$2:$C$500,""),"")</f>
        <v/>
      </c>
      <c r="E82" s="31" t="str">
        <f t="array" ref="E82">IFERROR(_xlfn.XLOOKUP(B82,'Employee Master'!$A$2:$A$500,'Employee Master'!$E$2:$E$500,""),"")</f>
        <v/>
      </c>
      <c r="F82" s="31"/>
      <c r="G82" s="39"/>
      <c r="H82" s="31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5"/>
      <c r="B83" s="31"/>
      <c r="C83" s="31" t="str">
        <f t="array" ref="C83">IFERROR(_xlfn.XLOOKUP(B83,'Employee Master'!$A$2:$A$500,'Employee Master'!$B$2:$B$500,""),"")</f>
        <v/>
      </c>
      <c r="D83" s="31" t="str">
        <f t="array" ref="D83">IFERROR(_xlfn.XLOOKUP(B83,'Employee Master'!$A$2:$A$500,'Employee Master'!$C$2:$C$500,""),"")</f>
        <v/>
      </c>
      <c r="E83" s="31" t="str">
        <f t="array" ref="E83">IFERROR(_xlfn.XLOOKUP(B83,'Employee Master'!$A$2:$A$500,'Employee Master'!$E$2:$E$500,""),"")</f>
        <v/>
      </c>
      <c r="F83" s="31"/>
      <c r="G83" s="39"/>
      <c r="H83" s="31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5"/>
      <c r="B84" s="31"/>
      <c r="C84" s="31" t="str">
        <f t="array" ref="C84">IFERROR(_xlfn.XLOOKUP(B84,'Employee Master'!$A$2:$A$500,'Employee Master'!$B$2:$B$500,""),"")</f>
        <v/>
      </c>
      <c r="D84" s="31" t="str">
        <f t="array" ref="D84">IFERROR(_xlfn.XLOOKUP(B84,'Employee Master'!$A$2:$A$500,'Employee Master'!$C$2:$C$500,""),"")</f>
        <v/>
      </c>
      <c r="E84" s="31" t="str">
        <f t="array" ref="E84">IFERROR(_xlfn.XLOOKUP(B84,'Employee Master'!$A$2:$A$500,'Employee Master'!$E$2:$E$500,""),"")</f>
        <v/>
      </c>
      <c r="F84" s="31"/>
      <c r="G84" s="39"/>
      <c r="H84" s="31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5"/>
      <c r="B85" s="31"/>
      <c r="C85" s="31" t="str">
        <f t="array" ref="C85">IFERROR(_xlfn.XLOOKUP(B85,'Employee Master'!$A$2:$A$500,'Employee Master'!$B$2:$B$500,""),"")</f>
        <v/>
      </c>
      <c r="D85" s="31" t="str">
        <f t="array" ref="D85">IFERROR(_xlfn.XLOOKUP(B85,'Employee Master'!$A$2:$A$500,'Employee Master'!$C$2:$C$500,""),"")</f>
        <v/>
      </c>
      <c r="E85" s="31" t="str">
        <f t="array" ref="E85">IFERROR(_xlfn.XLOOKUP(B85,'Employee Master'!$A$2:$A$500,'Employee Master'!$E$2:$E$500,""),"")</f>
        <v/>
      </c>
      <c r="F85" s="31"/>
      <c r="G85" s="39"/>
      <c r="H85" s="31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5"/>
      <c r="B86" s="31"/>
      <c r="C86" s="31" t="str">
        <f t="array" ref="C86">IFERROR(_xlfn.XLOOKUP(B86,'Employee Master'!$A$2:$A$500,'Employee Master'!$B$2:$B$500,""),"")</f>
        <v/>
      </c>
      <c r="D86" s="31" t="str">
        <f t="array" ref="D86">IFERROR(_xlfn.XLOOKUP(B86,'Employee Master'!$A$2:$A$500,'Employee Master'!$C$2:$C$500,""),"")</f>
        <v/>
      </c>
      <c r="E86" s="31" t="str">
        <f t="array" ref="E86">IFERROR(_xlfn.XLOOKUP(B86,'Employee Master'!$A$2:$A$500,'Employee Master'!$E$2:$E$500,""),"")</f>
        <v/>
      </c>
      <c r="F86" s="31"/>
      <c r="G86" s="39"/>
      <c r="H86" s="31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5"/>
      <c r="B87" s="31"/>
      <c r="C87" s="31" t="str">
        <f t="array" ref="C87">IFERROR(_xlfn.XLOOKUP(B87,'Employee Master'!$A$2:$A$500,'Employee Master'!$B$2:$B$500,""),"")</f>
        <v/>
      </c>
      <c r="D87" s="31" t="str">
        <f t="array" ref="D87">IFERROR(_xlfn.XLOOKUP(B87,'Employee Master'!$A$2:$A$500,'Employee Master'!$C$2:$C$500,""),"")</f>
        <v/>
      </c>
      <c r="E87" s="31" t="str">
        <f t="array" ref="E87">IFERROR(_xlfn.XLOOKUP(B87,'Employee Master'!$A$2:$A$500,'Employee Master'!$E$2:$E$500,""),"")</f>
        <v/>
      </c>
      <c r="F87" s="31"/>
      <c r="G87" s="39"/>
      <c r="H87" s="31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5"/>
      <c r="B88" s="31"/>
      <c r="C88" s="31" t="str">
        <f t="array" ref="C88">IFERROR(_xlfn.XLOOKUP(B88,'Employee Master'!$A$2:$A$500,'Employee Master'!$B$2:$B$500,""),"")</f>
        <v/>
      </c>
      <c r="D88" s="31" t="str">
        <f t="array" ref="D88">IFERROR(_xlfn.XLOOKUP(B88,'Employee Master'!$A$2:$A$500,'Employee Master'!$C$2:$C$500,""),"")</f>
        <v/>
      </c>
      <c r="E88" s="31" t="str">
        <f t="array" ref="E88">IFERROR(_xlfn.XLOOKUP(B88,'Employee Master'!$A$2:$A$500,'Employee Master'!$E$2:$E$500,""),"")</f>
        <v/>
      </c>
      <c r="F88" s="31"/>
      <c r="G88" s="39"/>
      <c r="H88" s="31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5"/>
      <c r="B89" s="31"/>
      <c r="C89" s="31" t="str">
        <f t="array" ref="C89">IFERROR(_xlfn.XLOOKUP(B89,'Employee Master'!$A$2:$A$500,'Employee Master'!$B$2:$B$500,""),"")</f>
        <v/>
      </c>
      <c r="D89" s="31" t="str">
        <f t="array" ref="D89">IFERROR(_xlfn.XLOOKUP(B89,'Employee Master'!$A$2:$A$500,'Employee Master'!$C$2:$C$500,""),"")</f>
        <v/>
      </c>
      <c r="E89" s="31" t="str">
        <f t="array" ref="E89">IFERROR(_xlfn.XLOOKUP(B89,'Employee Master'!$A$2:$A$500,'Employee Master'!$E$2:$E$500,""),"")</f>
        <v/>
      </c>
      <c r="F89" s="31"/>
      <c r="G89" s="39"/>
      <c r="H89" s="31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5"/>
      <c r="B90" s="31"/>
      <c r="C90" s="31" t="str">
        <f t="array" ref="C90">IFERROR(_xlfn.XLOOKUP(B90,'Employee Master'!$A$2:$A$500,'Employee Master'!$B$2:$B$500,""),"")</f>
        <v/>
      </c>
      <c r="D90" s="31" t="str">
        <f t="array" ref="D90">IFERROR(_xlfn.XLOOKUP(B90,'Employee Master'!$A$2:$A$500,'Employee Master'!$C$2:$C$500,""),"")</f>
        <v/>
      </c>
      <c r="E90" s="31" t="str">
        <f t="array" ref="E90">IFERROR(_xlfn.XLOOKUP(B90,'Employee Master'!$A$2:$A$500,'Employee Master'!$E$2:$E$500,""),"")</f>
        <v/>
      </c>
      <c r="F90" s="31"/>
      <c r="G90" s="39"/>
      <c r="H90" s="31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5"/>
      <c r="B91" s="31"/>
      <c r="C91" s="31" t="str">
        <f t="array" ref="C91">IFERROR(_xlfn.XLOOKUP(B91,'Employee Master'!$A$2:$A$500,'Employee Master'!$B$2:$B$500,""),"")</f>
        <v/>
      </c>
      <c r="D91" s="31" t="str">
        <f t="array" ref="D91">IFERROR(_xlfn.XLOOKUP(B91,'Employee Master'!$A$2:$A$500,'Employee Master'!$C$2:$C$500,""),"")</f>
        <v/>
      </c>
      <c r="E91" s="31" t="str">
        <f t="array" ref="E91">IFERROR(_xlfn.XLOOKUP(B91,'Employee Master'!$A$2:$A$500,'Employee Master'!$E$2:$E$500,""),"")</f>
        <v/>
      </c>
      <c r="F91" s="31"/>
      <c r="G91" s="39"/>
      <c r="H91" s="31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5"/>
      <c r="B92" s="31"/>
      <c r="C92" s="31" t="str">
        <f t="array" ref="C92">IFERROR(_xlfn.XLOOKUP(B92,'Employee Master'!$A$2:$A$500,'Employee Master'!$B$2:$B$500,""),"")</f>
        <v/>
      </c>
      <c r="D92" s="31" t="str">
        <f t="array" ref="D92">IFERROR(_xlfn.XLOOKUP(B92,'Employee Master'!$A$2:$A$500,'Employee Master'!$C$2:$C$500,""),"")</f>
        <v/>
      </c>
      <c r="E92" s="31" t="str">
        <f t="array" ref="E92">IFERROR(_xlfn.XLOOKUP(B92,'Employee Master'!$A$2:$A$500,'Employee Master'!$E$2:$E$500,""),"")</f>
        <v/>
      </c>
      <c r="F92" s="31"/>
      <c r="G92" s="39"/>
      <c r="H92" s="31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5"/>
      <c r="B93" s="31"/>
      <c r="C93" s="31" t="str">
        <f t="array" ref="C93">IFERROR(_xlfn.XLOOKUP(B93,'Employee Master'!$A$2:$A$500,'Employee Master'!$B$2:$B$500,""),"")</f>
        <v/>
      </c>
      <c r="D93" s="31" t="str">
        <f t="array" ref="D93">IFERROR(_xlfn.XLOOKUP(B93,'Employee Master'!$A$2:$A$500,'Employee Master'!$C$2:$C$500,""),"")</f>
        <v/>
      </c>
      <c r="E93" s="31" t="str">
        <f t="array" ref="E93">IFERROR(_xlfn.XLOOKUP(B93,'Employee Master'!$A$2:$A$500,'Employee Master'!$E$2:$E$500,""),"")</f>
        <v/>
      </c>
      <c r="F93" s="31"/>
      <c r="G93" s="39"/>
      <c r="H93" s="31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5"/>
      <c r="B94" s="31"/>
      <c r="C94" s="31" t="str">
        <f t="array" ref="C94">IFERROR(_xlfn.XLOOKUP(B94,'Employee Master'!$A$2:$A$500,'Employee Master'!$B$2:$B$500,""),"")</f>
        <v/>
      </c>
      <c r="D94" s="31" t="str">
        <f t="array" ref="D94">IFERROR(_xlfn.XLOOKUP(B94,'Employee Master'!$A$2:$A$500,'Employee Master'!$C$2:$C$500,""),"")</f>
        <v/>
      </c>
      <c r="E94" s="31" t="str">
        <f t="array" ref="E94">IFERROR(_xlfn.XLOOKUP(B94,'Employee Master'!$A$2:$A$500,'Employee Master'!$E$2:$E$500,""),"")</f>
        <v/>
      </c>
      <c r="F94" s="31"/>
      <c r="G94" s="39"/>
      <c r="H94" s="31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5"/>
      <c r="B95" s="31"/>
      <c r="C95" s="31" t="str">
        <f t="array" ref="C95">IFERROR(_xlfn.XLOOKUP(B95,'Employee Master'!$A$2:$A$500,'Employee Master'!$B$2:$B$500,""),"")</f>
        <v/>
      </c>
      <c r="D95" s="31" t="str">
        <f t="array" ref="D95">IFERROR(_xlfn.XLOOKUP(B95,'Employee Master'!$A$2:$A$500,'Employee Master'!$C$2:$C$500,""),"")</f>
        <v/>
      </c>
      <c r="E95" s="31" t="str">
        <f t="array" ref="E95">IFERROR(_xlfn.XLOOKUP(B95,'Employee Master'!$A$2:$A$500,'Employee Master'!$E$2:$E$500,""),"")</f>
        <v/>
      </c>
      <c r="F95" s="31"/>
      <c r="G95" s="39"/>
      <c r="H95" s="31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5"/>
      <c r="B96" s="31"/>
      <c r="C96" s="31" t="str">
        <f t="array" ref="C96">IFERROR(_xlfn.XLOOKUP(B96,'Employee Master'!$A$2:$A$500,'Employee Master'!$B$2:$B$500,""),"")</f>
        <v/>
      </c>
      <c r="D96" s="31" t="str">
        <f t="array" ref="D96">IFERROR(_xlfn.XLOOKUP(B96,'Employee Master'!$A$2:$A$500,'Employee Master'!$C$2:$C$500,""),"")</f>
        <v/>
      </c>
      <c r="E96" s="31" t="str">
        <f t="array" ref="E96">IFERROR(_xlfn.XLOOKUP(B96,'Employee Master'!$A$2:$A$500,'Employee Master'!$E$2:$E$500,""),"")</f>
        <v/>
      </c>
      <c r="F96" s="31"/>
      <c r="G96" s="39"/>
      <c r="H96" s="31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5"/>
      <c r="B97" s="31"/>
      <c r="C97" s="31" t="str">
        <f t="array" ref="C97">IFERROR(_xlfn.XLOOKUP(B97,'Employee Master'!$A$2:$A$500,'Employee Master'!$B$2:$B$500,""),"")</f>
        <v/>
      </c>
      <c r="D97" s="31" t="str">
        <f t="array" ref="D97">IFERROR(_xlfn.XLOOKUP(B97,'Employee Master'!$A$2:$A$500,'Employee Master'!$C$2:$C$500,""),"")</f>
        <v/>
      </c>
      <c r="E97" s="31" t="str">
        <f t="array" ref="E97">IFERROR(_xlfn.XLOOKUP(B97,'Employee Master'!$A$2:$A$500,'Employee Master'!$E$2:$E$500,""),"")</f>
        <v/>
      </c>
      <c r="F97" s="31"/>
      <c r="G97" s="39"/>
      <c r="H97" s="31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5"/>
      <c r="B98" s="31"/>
      <c r="C98" s="31" t="str">
        <f t="array" ref="C98">IFERROR(_xlfn.XLOOKUP(B98,'Employee Master'!$A$2:$A$500,'Employee Master'!$B$2:$B$500,""),"")</f>
        <v/>
      </c>
      <c r="D98" s="31" t="str">
        <f t="array" ref="D98">IFERROR(_xlfn.XLOOKUP(B98,'Employee Master'!$A$2:$A$500,'Employee Master'!$C$2:$C$500,""),"")</f>
        <v/>
      </c>
      <c r="E98" s="31" t="str">
        <f t="array" ref="E98">IFERROR(_xlfn.XLOOKUP(B98,'Employee Master'!$A$2:$A$500,'Employee Master'!$E$2:$E$500,""),"")</f>
        <v/>
      </c>
      <c r="F98" s="31"/>
      <c r="G98" s="39"/>
      <c r="H98" s="31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5"/>
      <c r="B99" s="31"/>
      <c r="C99" s="31" t="str">
        <f t="array" ref="C99">IFERROR(_xlfn.XLOOKUP(B99,'Employee Master'!$A$2:$A$500,'Employee Master'!$B$2:$B$500,""),"")</f>
        <v/>
      </c>
      <c r="D99" s="31" t="str">
        <f t="array" ref="D99">IFERROR(_xlfn.XLOOKUP(B99,'Employee Master'!$A$2:$A$500,'Employee Master'!$C$2:$C$500,""),"")</f>
        <v/>
      </c>
      <c r="E99" s="31" t="str">
        <f t="array" ref="E99">IFERROR(_xlfn.XLOOKUP(B99,'Employee Master'!$A$2:$A$500,'Employee Master'!$E$2:$E$500,""),"")</f>
        <v/>
      </c>
      <c r="F99" s="31"/>
      <c r="G99" s="39"/>
      <c r="H99" s="31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5"/>
      <c r="B100" s="31"/>
      <c r="C100" s="31" t="str">
        <f t="array" ref="C100">IFERROR(_xlfn.XLOOKUP(B100,'Employee Master'!$A$2:$A$500,'Employee Master'!$B$2:$B$500,""),"")</f>
        <v/>
      </c>
      <c r="D100" s="31" t="str">
        <f t="array" ref="D100">IFERROR(_xlfn.XLOOKUP(B100,'Employee Master'!$A$2:$A$500,'Employee Master'!$C$2:$C$500,""),"")</f>
        <v/>
      </c>
      <c r="E100" s="31" t="str">
        <f t="array" ref="E100">IFERROR(_xlfn.XLOOKUP(B100,'Employee Master'!$A$2:$A$500,'Employee Master'!$E$2:$E$500,""),"")</f>
        <v/>
      </c>
      <c r="F100" s="31"/>
      <c r="G100" s="39"/>
      <c r="H100" s="31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5"/>
      <c r="B101" s="31"/>
      <c r="C101" s="31" t="str">
        <f t="array" ref="C101">IFERROR(_xlfn.XLOOKUP(B101,'Employee Master'!$A$2:$A$500,'Employee Master'!$B$2:$B$500,""),"")</f>
        <v/>
      </c>
      <c r="D101" s="31" t="str">
        <f t="array" ref="D101">IFERROR(_xlfn.XLOOKUP(B101,'Employee Master'!$A$2:$A$500,'Employee Master'!$C$2:$C$500,""),"")</f>
        <v/>
      </c>
      <c r="E101" s="31" t="str">
        <f t="array" ref="E101">IFERROR(_xlfn.XLOOKUP(B101,'Employee Master'!$A$2:$A$500,'Employee Master'!$E$2:$E$500,""),"")</f>
        <v/>
      </c>
      <c r="F101" s="31"/>
      <c r="G101" s="39"/>
      <c r="H101" s="31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5"/>
      <c r="B102" s="31"/>
      <c r="C102" s="31" t="str">
        <f t="array" ref="C102">IFERROR(_xlfn.XLOOKUP(B102,'Employee Master'!$A$2:$A$500,'Employee Master'!$B$2:$B$500,""),"")</f>
        <v/>
      </c>
      <c r="D102" s="31" t="str">
        <f t="array" ref="D102">IFERROR(_xlfn.XLOOKUP(B102,'Employee Master'!$A$2:$A$500,'Employee Master'!$C$2:$C$500,""),"")</f>
        <v/>
      </c>
      <c r="E102" s="31" t="str">
        <f t="array" ref="E102">IFERROR(_xlfn.XLOOKUP(B102,'Employee Master'!$A$2:$A$500,'Employee Master'!$E$2:$E$500,""),"")</f>
        <v/>
      </c>
      <c r="F102" s="31"/>
      <c r="G102" s="39"/>
      <c r="H102" s="31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5"/>
      <c r="B103" s="31"/>
      <c r="C103" s="31" t="str">
        <f t="array" ref="C103">IFERROR(_xlfn.XLOOKUP(B103,'Employee Master'!$A$2:$A$500,'Employee Master'!$B$2:$B$500,""),"")</f>
        <v/>
      </c>
      <c r="D103" s="31" t="str">
        <f t="array" ref="D103">IFERROR(_xlfn.XLOOKUP(B103,'Employee Master'!$A$2:$A$500,'Employee Master'!$C$2:$C$500,""),"")</f>
        <v/>
      </c>
      <c r="E103" s="31" t="str">
        <f t="array" ref="E103">IFERROR(_xlfn.XLOOKUP(B103,'Employee Master'!$A$2:$A$500,'Employee Master'!$E$2:$E$500,""),"")</f>
        <v/>
      </c>
      <c r="F103" s="31"/>
      <c r="G103" s="39"/>
      <c r="H103" s="31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5"/>
      <c r="B104" s="31"/>
      <c r="C104" s="31" t="str">
        <f t="array" ref="C104">IFERROR(_xlfn.XLOOKUP(B104,'Employee Master'!$A$2:$A$500,'Employee Master'!$B$2:$B$500,""),"")</f>
        <v/>
      </c>
      <c r="D104" s="31" t="str">
        <f t="array" ref="D104">IFERROR(_xlfn.XLOOKUP(B104,'Employee Master'!$A$2:$A$500,'Employee Master'!$C$2:$C$500,""),"")</f>
        <v/>
      </c>
      <c r="E104" s="31" t="str">
        <f t="array" ref="E104">IFERROR(_xlfn.XLOOKUP(B104,'Employee Master'!$A$2:$A$500,'Employee Master'!$E$2:$E$500,""),"")</f>
        <v/>
      </c>
      <c r="F104" s="31"/>
      <c r="G104" s="39"/>
      <c r="H104" s="31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5"/>
      <c r="B105" s="31"/>
      <c r="C105" s="31" t="str">
        <f t="array" ref="C105">IFERROR(_xlfn.XLOOKUP(B105,'Employee Master'!$A$2:$A$500,'Employee Master'!$B$2:$B$500,""),"")</f>
        <v/>
      </c>
      <c r="D105" s="31" t="str">
        <f t="array" ref="D105">IFERROR(_xlfn.XLOOKUP(B105,'Employee Master'!$A$2:$A$500,'Employee Master'!$C$2:$C$500,""),"")</f>
        <v/>
      </c>
      <c r="E105" s="31" t="str">
        <f t="array" ref="E105">IFERROR(_xlfn.XLOOKUP(B105,'Employee Master'!$A$2:$A$500,'Employee Master'!$E$2:$E$500,""),"")</f>
        <v/>
      </c>
      <c r="F105" s="31"/>
      <c r="G105" s="39"/>
      <c r="H105" s="31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5"/>
      <c r="B106" s="31"/>
      <c r="C106" s="31" t="str">
        <f t="array" ref="C106">IFERROR(_xlfn.XLOOKUP(B106,'Employee Master'!$A$2:$A$500,'Employee Master'!$B$2:$B$500,""),"")</f>
        <v/>
      </c>
      <c r="D106" s="31" t="str">
        <f t="array" ref="D106">IFERROR(_xlfn.XLOOKUP(B106,'Employee Master'!$A$2:$A$500,'Employee Master'!$C$2:$C$500,""),"")</f>
        <v/>
      </c>
      <c r="E106" s="31" t="str">
        <f t="array" ref="E106">IFERROR(_xlfn.XLOOKUP(B106,'Employee Master'!$A$2:$A$500,'Employee Master'!$E$2:$E$500,""),"")</f>
        <v/>
      </c>
      <c r="F106" s="31"/>
      <c r="G106" s="39"/>
      <c r="H106" s="31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5"/>
      <c r="B107" s="31"/>
      <c r="C107" s="31" t="str">
        <f t="array" ref="C107">IFERROR(_xlfn.XLOOKUP(B107,'Employee Master'!$A$2:$A$500,'Employee Master'!$B$2:$B$500,""),"")</f>
        <v/>
      </c>
      <c r="D107" s="31" t="str">
        <f t="array" ref="D107">IFERROR(_xlfn.XLOOKUP(B107,'Employee Master'!$A$2:$A$500,'Employee Master'!$C$2:$C$500,""),"")</f>
        <v/>
      </c>
      <c r="E107" s="31" t="str">
        <f t="array" ref="E107">IFERROR(_xlfn.XLOOKUP(B107,'Employee Master'!$A$2:$A$500,'Employee Master'!$E$2:$E$500,""),"")</f>
        <v/>
      </c>
      <c r="F107" s="31"/>
      <c r="G107" s="39"/>
      <c r="H107" s="31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5"/>
      <c r="B108" s="31"/>
      <c r="C108" s="31" t="str">
        <f t="array" ref="C108">IFERROR(_xlfn.XLOOKUP(B108,'Employee Master'!$A$2:$A$500,'Employee Master'!$B$2:$B$500,""),"")</f>
        <v/>
      </c>
      <c r="D108" s="31" t="str">
        <f t="array" ref="D108">IFERROR(_xlfn.XLOOKUP(B108,'Employee Master'!$A$2:$A$500,'Employee Master'!$C$2:$C$500,""),"")</f>
        <v/>
      </c>
      <c r="E108" s="31" t="str">
        <f t="array" ref="E108">IFERROR(_xlfn.XLOOKUP(B108,'Employee Master'!$A$2:$A$500,'Employee Master'!$E$2:$E$500,""),"")</f>
        <v/>
      </c>
      <c r="F108" s="31"/>
      <c r="G108" s="39"/>
      <c r="H108" s="31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5"/>
      <c r="B109" s="31"/>
      <c r="C109" s="31" t="str">
        <f t="array" ref="C109">IFERROR(_xlfn.XLOOKUP(B109,'Employee Master'!$A$2:$A$500,'Employee Master'!$B$2:$B$500,""),"")</f>
        <v/>
      </c>
      <c r="D109" s="31" t="str">
        <f t="array" ref="D109">IFERROR(_xlfn.XLOOKUP(B109,'Employee Master'!$A$2:$A$500,'Employee Master'!$C$2:$C$500,""),"")</f>
        <v/>
      </c>
      <c r="E109" s="31" t="str">
        <f t="array" ref="E109">IFERROR(_xlfn.XLOOKUP(B109,'Employee Master'!$A$2:$A$500,'Employee Master'!$E$2:$E$500,""),"")</f>
        <v/>
      </c>
      <c r="F109" s="31"/>
      <c r="G109" s="39"/>
      <c r="H109" s="31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5"/>
      <c r="B110" s="31"/>
      <c r="C110" s="31" t="str">
        <f t="array" ref="C110">IFERROR(_xlfn.XLOOKUP(B110,'Employee Master'!$A$2:$A$500,'Employee Master'!$B$2:$B$500,""),"")</f>
        <v/>
      </c>
      <c r="D110" s="31" t="str">
        <f t="array" ref="D110">IFERROR(_xlfn.XLOOKUP(B110,'Employee Master'!$A$2:$A$500,'Employee Master'!$C$2:$C$500,""),"")</f>
        <v/>
      </c>
      <c r="E110" s="31" t="str">
        <f t="array" ref="E110">IFERROR(_xlfn.XLOOKUP(B110,'Employee Master'!$A$2:$A$500,'Employee Master'!$E$2:$E$500,""),"")</f>
        <v/>
      </c>
      <c r="F110" s="31"/>
      <c r="G110" s="39"/>
      <c r="H110" s="31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5"/>
      <c r="B111" s="31"/>
      <c r="C111" s="31" t="str">
        <f t="array" ref="C111">IFERROR(_xlfn.XLOOKUP(B111,'Employee Master'!$A$2:$A$500,'Employee Master'!$B$2:$B$500,""),"")</f>
        <v/>
      </c>
      <c r="D111" s="31" t="str">
        <f t="array" ref="D111">IFERROR(_xlfn.XLOOKUP(B111,'Employee Master'!$A$2:$A$500,'Employee Master'!$C$2:$C$500,""),"")</f>
        <v/>
      </c>
      <c r="E111" s="31" t="str">
        <f t="array" ref="E111">IFERROR(_xlfn.XLOOKUP(B111,'Employee Master'!$A$2:$A$500,'Employee Master'!$E$2:$E$500,""),"")</f>
        <v/>
      </c>
      <c r="F111" s="31"/>
      <c r="G111" s="39"/>
      <c r="H111" s="31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5"/>
      <c r="B112" s="31"/>
      <c r="C112" s="31" t="str">
        <f t="array" ref="C112">IFERROR(_xlfn.XLOOKUP(B112,'Employee Master'!$A$2:$A$500,'Employee Master'!$B$2:$B$500,""),"")</f>
        <v/>
      </c>
      <c r="D112" s="31" t="str">
        <f t="array" ref="D112">IFERROR(_xlfn.XLOOKUP(B112,'Employee Master'!$A$2:$A$500,'Employee Master'!$C$2:$C$500,""),"")</f>
        <v/>
      </c>
      <c r="E112" s="31" t="str">
        <f t="array" ref="E112">IFERROR(_xlfn.XLOOKUP(B112,'Employee Master'!$A$2:$A$500,'Employee Master'!$E$2:$E$500,""),"")</f>
        <v/>
      </c>
      <c r="F112" s="31"/>
      <c r="G112" s="39"/>
      <c r="H112" s="31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5"/>
      <c r="B113" s="31"/>
      <c r="C113" s="31" t="str">
        <f t="array" ref="C113">IFERROR(_xlfn.XLOOKUP(B113,'Employee Master'!$A$2:$A$500,'Employee Master'!$B$2:$B$500,""),"")</f>
        <v/>
      </c>
      <c r="D113" s="31" t="str">
        <f t="array" ref="D113">IFERROR(_xlfn.XLOOKUP(B113,'Employee Master'!$A$2:$A$500,'Employee Master'!$C$2:$C$500,""),"")</f>
        <v/>
      </c>
      <c r="E113" s="31" t="str">
        <f t="array" ref="E113">IFERROR(_xlfn.XLOOKUP(B113,'Employee Master'!$A$2:$A$500,'Employee Master'!$E$2:$E$500,""),"")</f>
        <v/>
      </c>
      <c r="F113" s="31"/>
      <c r="G113" s="39"/>
      <c r="H113" s="31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5"/>
      <c r="B114" s="31"/>
      <c r="C114" s="31" t="str">
        <f t="array" ref="C114">IFERROR(_xlfn.XLOOKUP(B114,'Employee Master'!$A$2:$A$500,'Employee Master'!$B$2:$B$500,""),"")</f>
        <v/>
      </c>
      <c r="D114" s="31" t="str">
        <f t="array" ref="D114">IFERROR(_xlfn.XLOOKUP(B114,'Employee Master'!$A$2:$A$500,'Employee Master'!$C$2:$C$500,""),"")</f>
        <v/>
      </c>
      <c r="E114" s="31" t="str">
        <f t="array" ref="E114">IFERROR(_xlfn.XLOOKUP(B114,'Employee Master'!$A$2:$A$500,'Employee Master'!$E$2:$E$500,""),"")</f>
        <v/>
      </c>
      <c r="F114" s="31"/>
      <c r="G114" s="39"/>
      <c r="H114" s="31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5"/>
      <c r="B115" s="31"/>
      <c r="C115" s="31" t="str">
        <f t="array" ref="C115">IFERROR(_xlfn.XLOOKUP(B115,'Employee Master'!$A$2:$A$500,'Employee Master'!$B$2:$B$500,""),"")</f>
        <v/>
      </c>
      <c r="D115" s="31" t="str">
        <f t="array" ref="D115">IFERROR(_xlfn.XLOOKUP(B115,'Employee Master'!$A$2:$A$500,'Employee Master'!$C$2:$C$500,""),"")</f>
        <v/>
      </c>
      <c r="E115" s="31" t="str">
        <f t="array" ref="E115">IFERROR(_xlfn.XLOOKUP(B115,'Employee Master'!$A$2:$A$500,'Employee Master'!$E$2:$E$500,""),"")</f>
        <v/>
      </c>
      <c r="F115" s="31"/>
      <c r="G115" s="39"/>
      <c r="H115" s="31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5"/>
      <c r="B116" s="31"/>
      <c r="C116" s="31" t="str">
        <f t="array" ref="C116">IFERROR(_xlfn.XLOOKUP(B116,'Employee Master'!$A$2:$A$500,'Employee Master'!$B$2:$B$500,""),"")</f>
        <v/>
      </c>
      <c r="D116" s="31" t="str">
        <f t="array" ref="D116">IFERROR(_xlfn.XLOOKUP(B116,'Employee Master'!$A$2:$A$500,'Employee Master'!$C$2:$C$500,""),"")</f>
        <v/>
      </c>
      <c r="E116" s="31" t="str">
        <f t="array" ref="E116">IFERROR(_xlfn.XLOOKUP(B116,'Employee Master'!$A$2:$A$500,'Employee Master'!$E$2:$E$500,""),"")</f>
        <v/>
      </c>
      <c r="F116" s="31"/>
      <c r="G116" s="39"/>
      <c r="H116" s="31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5"/>
      <c r="B117" s="31"/>
      <c r="C117" s="31" t="str">
        <f t="array" ref="C117">IFERROR(_xlfn.XLOOKUP(B117,'Employee Master'!$A$2:$A$500,'Employee Master'!$B$2:$B$500,""),"")</f>
        <v/>
      </c>
      <c r="D117" s="31" t="str">
        <f t="array" ref="D117">IFERROR(_xlfn.XLOOKUP(B117,'Employee Master'!$A$2:$A$500,'Employee Master'!$C$2:$C$500,""),"")</f>
        <v/>
      </c>
      <c r="E117" s="31" t="str">
        <f t="array" ref="E117">IFERROR(_xlfn.XLOOKUP(B117,'Employee Master'!$A$2:$A$500,'Employee Master'!$E$2:$E$500,""),"")</f>
        <v/>
      </c>
      <c r="F117" s="31"/>
      <c r="G117" s="39"/>
      <c r="H117" s="31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5"/>
      <c r="B118" s="31"/>
      <c r="C118" s="31" t="str">
        <f t="array" ref="C118">IFERROR(_xlfn.XLOOKUP(B118,'Employee Master'!$A$2:$A$500,'Employee Master'!$B$2:$B$500,""),"")</f>
        <v/>
      </c>
      <c r="D118" s="31" t="str">
        <f t="array" ref="D118">IFERROR(_xlfn.XLOOKUP(B118,'Employee Master'!$A$2:$A$500,'Employee Master'!$C$2:$C$500,""),"")</f>
        <v/>
      </c>
      <c r="E118" s="31" t="str">
        <f t="array" ref="E118">IFERROR(_xlfn.XLOOKUP(B118,'Employee Master'!$A$2:$A$500,'Employee Master'!$E$2:$E$500,""),"")</f>
        <v/>
      </c>
      <c r="F118" s="31"/>
      <c r="G118" s="39"/>
      <c r="H118" s="31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5"/>
      <c r="B119" s="31"/>
      <c r="C119" s="31" t="str">
        <f t="array" ref="C119">IFERROR(_xlfn.XLOOKUP(B119,'Employee Master'!$A$2:$A$500,'Employee Master'!$B$2:$B$500,""),"")</f>
        <v/>
      </c>
      <c r="D119" s="31" t="str">
        <f t="array" ref="D119">IFERROR(_xlfn.XLOOKUP(B119,'Employee Master'!$A$2:$A$500,'Employee Master'!$C$2:$C$500,""),"")</f>
        <v/>
      </c>
      <c r="E119" s="31" t="str">
        <f t="array" ref="E119">IFERROR(_xlfn.XLOOKUP(B119,'Employee Master'!$A$2:$A$500,'Employee Master'!$E$2:$E$500,""),"")</f>
        <v/>
      </c>
      <c r="F119" s="31"/>
      <c r="G119" s="39"/>
      <c r="H119" s="31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5"/>
      <c r="B120" s="31"/>
      <c r="C120" s="31" t="str">
        <f t="array" ref="C120">IFERROR(_xlfn.XLOOKUP(B120,'Employee Master'!$A$2:$A$500,'Employee Master'!$B$2:$B$500,""),"")</f>
        <v/>
      </c>
      <c r="D120" s="31" t="str">
        <f t="array" ref="D120">IFERROR(_xlfn.XLOOKUP(B120,'Employee Master'!$A$2:$A$500,'Employee Master'!$C$2:$C$500,""),"")</f>
        <v/>
      </c>
      <c r="E120" s="31" t="str">
        <f t="array" ref="E120">IFERROR(_xlfn.XLOOKUP(B120,'Employee Master'!$A$2:$A$500,'Employee Master'!$E$2:$E$500,""),"")</f>
        <v/>
      </c>
      <c r="F120" s="31"/>
      <c r="G120" s="39"/>
      <c r="H120" s="31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5"/>
      <c r="B121" s="31"/>
      <c r="C121" s="31" t="str">
        <f t="array" ref="C121">IFERROR(_xlfn.XLOOKUP(B121,'Employee Master'!$A$2:$A$500,'Employee Master'!$B$2:$B$500,""),"")</f>
        <v/>
      </c>
      <c r="D121" s="31" t="str">
        <f t="array" ref="D121">IFERROR(_xlfn.XLOOKUP(B121,'Employee Master'!$A$2:$A$500,'Employee Master'!$C$2:$C$500,""),"")</f>
        <v/>
      </c>
      <c r="E121" s="31" t="str">
        <f t="array" ref="E121">IFERROR(_xlfn.XLOOKUP(B121,'Employee Master'!$A$2:$A$500,'Employee Master'!$E$2:$E$500,""),"")</f>
        <v/>
      </c>
      <c r="F121" s="31"/>
      <c r="G121" s="39"/>
      <c r="H121" s="31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5"/>
      <c r="B122" s="31"/>
      <c r="C122" s="31" t="str">
        <f t="array" ref="C122">IFERROR(_xlfn.XLOOKUP(B122,'Employee Master'!$A$2:$A$500,'Employee Master'!$B$2:$B$500,""),"")</f>
        <v/>
      </c>
      <c r="D122" s="31" t="str">
        <f t="array" ref="D122">IFERROR(_xlfn.XLOOKUP(B122,'Employee Master'!$A$2:$A$500,'Employee Master'!$C$2:$C$500,""),"")</f>
        <v/>
      </c>
      <c r="E122" s="31" t="str">
        <f t="array" ref="E122">IFERROR(_xlfn.XLOOKUP(B122,'Employee Master'!$A$2:$A$500,'Employee Master'!$E$2:$E$500,""),"")</f>
        <v/>
      </c>
      <c r="F122" s="31"/>
      <c r="G122" s="39"/>
      <c r="H122" s="31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5"/>
      <c r="B123" s="31"/>
      <c r="C123" s="31" t="str">
        <f t="array" ref="C123">IFERROR(_xlfn.XLOOKUP(B123,'Employee Master'!$A$2:$A$500,'Employee Master'!$B$2:$B$500,""),"")</f>
        <v/>
      </c>
      <c r="D123" s="31" t="str">
        <f t="array" ref="D123">IFERROR(_xlfn.XLOOKUP(B123,'Employee Master'!$A$2:$A$500,'Employee Master'!$C$2:$C$500,""),"")</f>
        <v/>
      </c>
      <c r="E123" s="31" t="str">
        <f t="array" ref="E123">IFERROR(_xlfn.XLOOKUP(B123,'Employee Master'!$A$2:$A$500,'Employee Master'!$E$2:$E$500,""),"")</f>
        <v/>
      </c>
      <c r="F123" s="31"/>
      <c r="G123" s="39"/>
      <c r="H123" s="31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5"/>
      <c r="B124" s="31"/>
      <c r="C124" s="31" t="str">
        <f t="array" ref="C124">IFERROR(_xlfn.XLOOKUP(B124,'Employee Master'!$A$2:$A$500,'Employee Master'!$B$2:$B$500,""),"")</f>
        <v/>
      </c>
      <c r="D124" s="31" t="str">
        <f t="array" ref="D124">IFERROR(_xlfn.XLOOKUP(B124,'Employee Master'!$A$2:$A$500,'Employee Master'!$C$2:$C$500,""),"")</f>
        <v/>
      </c>
      <c r="E124" s="31" t="str">
        <f t="array" ref="E124">IFERROR(_xlfn.XLOOKUP(B124,'Employee Master'!$A$2:$A$500,'Employee Master'!$E$2:$E$500,""),"")</f>
        <v/>
      </c>
      <c r="F124" s="31"/>
      <c r="G124" s="39"/>
      <c r="H124" s="31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5"/>
      <c r="B125" s="31"/>
      <c r="C125" s="31" t="str">
        <f t="array" ref="C125">IFERROR(_xlfn.XLOOKUP(B125,'Employee Master'!$A$2:$A$500,'Employee Master'!$B$2:$B$500,""),"")</f>
        <v/>
      </c>
      <c r="D125" s="31" t="str">
        <f t="array" ref="D125">IFERROR(_xlfn.XLOOKUP(B125,'Employee Master'!$A$2:$A$500,'Employee Master'!$C$2:$C$500,""),"")</f>
        <v/>
      </c>
      <c r="E125" s="31" t="str">
        <f t="array" ref="E125">IFERROR(_xlfn.XLOOKUP(B125,'Employee Master'!$A$2:$A$500,'Employee Master'!$E$2:$E$500,""),"")</f>
        <v/>
      </c>
      <c r="F125" s="31"/>
      <c r="G125" s="39"/>
      <c r="H125" s="31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5"/>
      <c r="B126" s="31"/>
      <c r="C126" s="31" t="str">
        <f t="array" ref="C126">IFERROR(_xlfn.XLOOKUP(B126,'Employee Master'!$A$2:$A$500,'Employee Master'!$B$2:$B$500,""),"")</f>
        <v/>
      </c>
      <c r="D126" s="31" t="str">
        <f t="array" ref="D126">IFERROR(_xlfn.XLOOKUP(B126,'Employee Master'!$A$2:$A$500,'Employee Master'!$C$2:$C$500,""),"")</f>
        <v/>
      </c>
      <c r="E126" s="31" t="str">
        <f t="array" ref="E126">IFERROR(_xlfn.XLOOKUP(B126,'Employee Master'!$A$2:$A$500,'Employee Master'!$E$2:$E$500,""),"")</f>
        <v/>
      </c>
      <c r="F126" s="31"/>
      <c r="G126" s="39"/>
      <c r="H126" s="31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5"/>
      <c r="B127" s="31"/>
      <c r="C127" s="31" t="str">
        <f t="array" ref="C127">IFERROR(_xlfn.XLOOKUP(B127,'Employee Master'!$A$2:$A$500,'Employee Master'!$B$2:$B$500,""),"")</f>
        <v/>
      </c>
      <c r="D127" s="31" t="str">
        <f t="array" ref="D127">IFERROR(_xlfn.XLOOKUP(B127,'Employee Master'!$A$2:$A$500,'Employee Master'!$C$2:$C$500,""),"")</f>
        <v/>
      </c>
      <c r="E127" s="31" t="str">
        <f t="array" ref="E127">IFERROR(_xlfn.XLOOKUP(B127,'Employee Master'!$A$2:$A$500,'Employee Master'!$E$2:$E$500,""),"")</f>
        <v/>
      </c>
      <c r="F127" s="31"/>
      <c r="G127" s="39"/>
      <c r="H127" s="31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5"/>
      <c r="B128" s="31"/>
      <c r="C128" s="31" t="str">
        <f t="array" ref="C128">IFERROR(_xlfn.XLOOKUP(B128,'Employee Master'!$A$2:$A$500,'Employee Master'!$B$2:$B$500,""),"")</f>
        <v/>
      </c>
      <c r="D128" s="31" t="str">
        <f t="array" ref="D128">IFERROR(_xlfn.XLOOKUP(B128,'Employee Master'!$A$2:$A$500,'Employee Master'!$C$2:$C$500,""),"")</f>
        <v/>
      </c>
      <c r="E128" s="31" t="str">
        <f t="array" ref="E128">IFERROR(_xlfn.XLOOKUP(B128,'Employee Master'!$A$2:$A$500,'Employee Master'!$E$2:$E$500,""),"")</f>
        <v/>
      </c>
      <c r="F128" s="31"/>
      <c r="G128" s="39"/>
      <c r="H128" s="31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5"/>
      <c r="B129" s="31"/>
      <c r="C129" s="31" t="str">
        <f t="array" ref="C129">IFERROR(_xlfn.XLOOKUP(B129,'Employee Master'!$A$2:$A$500,'Employee Master'!$B$2:$B$500,""),"")</f>
        <v/>
      </c>
      <c r="D129" s="31" t="str">
        <f t="array" ref="D129">IFERROR(_xlfn.XLOOKUP(B129,'Employee Master'!$A$2:$A$500,'Employee Master'!$C$2:$C$500,""),"")</f>
        <v/>
      </c>
      <c r="E129" s="31" t="str">
        <f t="array" ref="E129">IFERROR(_xlfn.XLOOKUP(B129,'Employee Master'!$A$2:$A$500,'Employee Master'!$E$2:$E$500,""),"")</f>
        <v/>
      </c>
      <c r="F129" s="31"/>
      <c r="G129" s="39"/>
      <c r="H129" s="31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5"/>
      <c r="B130" s="31"/>
      <c r="C130" s="31" t="str">
        <f t="array" ref="C130">IFERROR(_xlfn.XLOOKUP(B130,'Employee Master'!$A$2:$A$500,'Employee Master'!$B$2:$B$500,""),"")</f>
        <v/>
      </c>
      <c r="D130" s="31" t="str">
        <f t="array" ref="D130">IFERROR(_xlfn.XLOOKUP(B130,'Employee Master'!$A$2:$A$500,'Employee Master'!$C$2:$C$500,""),"")</f>
        <v/>
      </c>
      <c r="E130" s="31" t="str">
        <f t="array" ref="E130">IFERROR(_xlfn.XLOOKUP(B130,'Employee Master'!$A$2:$A$500,'Employee Master'!$E$2:$E$500,""),"")</f>
        <v/>
      </c>
      <c r="F130" s="31"/>
      <c r="G130" s="39"/>
      <c r="H130" s="31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5"/>
      <c r="B131" s="31"/>
      <c r="C131" s="31" t="str">
        <f t="array" ref="C131">IFERROR(_xlfn.XLOOKUP(B131,'Employee Master'!$A$2:$A$500,'Employee Master'!$B$2:$B$500,""),"")</f>
        <v/>
      </c>
      <c r="D131" s="31" t="str">
        <f t="array" ref="D131">IFERROR(_xlfn.XLOOKUP(B131,'Employee Master'!$A$2:$A$500,'Employee Master'!$C$2:$C$500,""),"")</f>
        <v/>
      </c>
      <c r="E131" s="31" t="str">
        <f t="array" ref="E131">IFERROR(_xlfn.XLOOKUP(B131,'Employee Master'!$A$2:$A$500,'Employee Master'!$E$2:$E$500,""),"")</f>
        <v/>
      </c>
      <c r="F131" s="31"/>
      <c r="G131" s="39"/>
      <c r="H131" s="31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5"/>
      <c r="B132" s="31"/>
      <c r="C132" s="31" t="str">
        <f t="array" ref="C132">IFERROR(_xlfn.XLOOKUP(B132,'Employee Master'!$A$2:$A$500,'Employee Master'!$B$2:$B$500,""),"")</f>
        <v/>
      </c>
      <c r="D132" s="31" t="str">
        <f t="array" ref="D132">IFERROR(_xlfn.XLOOKUP(B132,'Employee Master'!$A$2:$A$500,'Employee Master'!$C$2:$C$500,""),"")</f>
        <v/>
      </c>
      <c r="E132" s="31" t="str">
        <f t="array" ref="E132">IFERROR(_xlfn.XLOOKUP(B132,'Employee Master'!$A$2:$A$500,'Employee Master'!$E$2:$E$500,""),"")</f>
        <v/>
      </c>
      <c r="F132" s="31"/>
      <c r="G132" s="39"/>
      <c r="H132" s="31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5"/>
      <c r="B133" s="31"/>
      <c r="C133" s="31" t="str">
        <f t="array" ref="C133">IFERROR(_xlfn.XLOOKUP(B133,'Employee Master'!$A$2:$A$500,'Employee Master'!$B$2:$B$500,""),"")</f>
        <v/>
      </c>
      <c r="D133" s="31" t="str">
        <f t="array" ref="D133">IFERROR(_xlfn.XLOOKUP(B133,'Employee Master'!$A$2:$A$500,'Employee Master'!$C$2:$C$500,""),"")</f>
        <v/>
      </c>
      <c r="E133" s="31" t="str">
        <f t="array" ref="E133">IFERROR(_xlfn.XLOOKUP(B133,'Employee Master'!$A$2:$A$500,'Employee Master'!$E$2:$E$500,""),"")</f>
        <v/>
      </c>
      <c r="F133" s="31"/>
      <c r="G133" s="39"/>
      <c r="H133" s="31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5"/>
      <c r="B134" s="31"/>
      <c r="C134" s="31" t="str">
        <f t="array" ref="C134">IFERROR(_xlfn.XLOOKUP(B134,'Employee Master'!$A$2:$A$500,'Employee Master'!$B$2:$B$500,""),"")</f>
        <v/>
      </c>
      <c r="D134" s="31" t="str">
        <f t="array" ref="D134">IFERROR(_xlfn.XLOOKUP(B134,'Employee Master'!$A$2:$A$500,'Employee Master'!$C$2:$C$500,""),"")</f>
        <v/>
      </c>
      <c r="E134" s="31" t="str">
        <f t="array" ref="E134">IFERROR(_xlfn.XLOOKUP(B134,'Employee Master'!$A$2:$A$500,'Employee Master'!$E$2:$E$500,""),"")</f>
        <v/>
      </c>
      <c r="F134" s="31"/>
      <c r="G134" s="39"/>
      <c r="H134" s="31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5"/>
      <c r="B135" s="31"/>
      <c r="C135" s="31" t="str">
        <f t="array" ref="C135">IFERROR(_xlfn.XLOOKUP(B135,'Employee Master'!$A$2:$A$500,'Employee Master'!$B$2:$B$500,""),"")</f>
        <v/>
      </c>
      <c r="D135" s="31" t="str">
        <f t="array" ref="D135">IFERROR(_xlfn.XLOOKUP(B135,'Employee Master'!$A$2:$A$500,'Employee Master'!$C$2:$C$500,""),"")</f>
        <v/>
      </c>
      <c r="E135" s="31" t="str">
        <f t="array" ref="E135">IFERROR(_xlfn.XLOOKUP(B135,'Employee Master'!$A$2:$A$500,'Employee Master'!$E$2:$E$500,""),"")</f>
        <v/>
      </c>
      <c r="F135" s="31"/>
      <c r="G135" s="39"/>
      <c r="H135" s="31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5"/>
      <c r="B136" s="31"/>
      <c r="C136" s="31" t="str">
        <f t="array" ref="C136">IFERROR(_xlfn.XLOOKUP(B136,'Employee Master'!$A$2:$A$500,'Employee Master'!$B$2:$B$500,""),"")</f>
        <v/>
      </c>
      <c r="D136" s="31" t="str">
        <f t="array" ref="D136">IFERROR(_xlfn.XLOOKUP(B136,'Employee Master'!$A$2:$A$500,'Employee Master'!$C$2:$C$500,""),"")</f>
        <v/>
      </c>
      <c r="E136" s="31" t="str">
        <f t="array" ref="E136">IFERROR(_xlfn.XLOOKUP(B136,'Employee Master'!$A$2:$A$500,'Employee Master'!$E$2:$E$500,""),"")</f>
        <v/>
      </c>
      <c r="F136" s="31"/>
      <c r="G136" s="39"/>
      <c r="H136" s="31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5"/>
      <c r="B137" s="31"/>
      <c r="C137" s="31" t="str">
        <f t="array" ref="C137">IFERROR(_xlfn.XLOOKUP(B137,'Employee Master'!$A$2:$A$500,'Employee Master'!$B$2:$B$500,""),"")</f>
        <v/>
      </c>
      <c r="D137" s="31" t="str">
        <f t="array" ref="D137">IFERROR(_xlfn.XLOOKUP(B137,'Employee Master'!$A$2:$A$500,'Employee Master'!$C$2:$C$500,""),"")</f>
        <v/>
      </c>
      <c r="E137" s="31" t="str">
        <f t="array" ref="E137">IFERROR(_xlfn.XLOOKUP(B137,'Employee Master'!$A$2:$A$500,'Employee Master'!$E$2:$E$500,""),"")</f>
        <v/>
      </c>
      <c r="F137" s="31"/>
      <c r="G137" s="39"/>
      <c r="H137" s="31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5"/>
      <c r="B138" s="31"/>
      <c r="C138" s="31" t="str">
        <f t="array" ref="C138">IFERROR(_xlfn.XLOOKUP(B138,'Employee Master'!$A$2:$A$500,'Employee Master'!$B$2:$B$500,""),"")</f>
        <v/>
      </c>
      <c r="D138" s="31" t="str">
        <f t="array" ref="D138">IFERROR(_xlfn.XLOOKUP(B138,'Employee Master'!$A$2:$A$500,'Employee Master'!$C$2:$C$500,""),"")</f>
        <v/>
      </c>
      <c r="E138" s="31" t="str">
        <f t="array" ref="E138">IFERROR(_xlfn.XLOOKUP(B138,'Employee Master'!$A$2:$A$500,'Employee Master'!$E$2:$E$500,""),"")</f>
        <v/>
      </c>
      <c r="F138" s="31"/>
      <c r="G138" s="39"/>
      <c r="H138" s="31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5"/>
      <c r="B139" s="31"/>
      <c r="C139" s="31" t="str">
        <f t="array" ref="C139">IFERROR(_xlfn.XLOOKUP(B139,'Employee Master'!$A$2:$A$500,'Employee Master'!$B$2:$B$500,""),"")</f>
        <v/>
      </c>
      <c r="D139" s="31" t="str">
        <f t="array" ref="D139">IFERROR(_xlfn.XLOOKUP(B139,'Employee Master'!$A$2:$A$500,'Employee Master'!$C$2:$C$500,""),"")</f>
        <v/>
      </c>
      <c r="E139" s="31" t="str">
        <f t="array" ref="E139">IFERROR(_xlfn.XLOOKUP(B139,'Employee Master'!$A$2:$A$500,'Employee Master'!$E$2:$E$500,""),"")</f>
        <v/>
      </c>
      <c r="F139" s="31"/>
      <c r="G139" s="39"/>
      <c r="H139" s="31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5"/>
      <c r="B140" s="31"/>
      <c r="C140" s="31" t="str">
        <f t="array" ref="C140">IFERROR(_xlfn.XLOOKUP(B140,'Employee Master'!$A$2:$A$500,'Employee Master'!$B$2:$B$500,""),"")</f>
        <v/>
      </c>
      <c r="D140" s="31" t="str">
        <f t="array" ref="D140">IFERROR(_xlfn.XLOOKUP(B140,'Employee Master'!$A$2:$A$500,'Employee Master'!$C$2:$C$500,""),"")</f>
        <v/>
      </c>
      <c r="E140" s="31" t="str">
        <f t="array" ref="E140">IFERROR(_xlfn.XLOOKUP(B140,'Employee Master'!$A$2:$A$500,'Employee Master'!$E$2:$E$500,""),"")</f>
        <v/>
      </c>
      <c r="F140" s="31"/>
      <c r="G140" s="39"/>
      <c r="H140" s="31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5"/>
      <c r="B141" s="31"/>
      <c r="C141" s="31" t="str">
        <f t="array" ref="C141">IFERROR(_xlfn.XLOOKUP(B141,'Employee Master'!$A$2:$A$500,'Employee Master'!$B$2:$B$500,""),"")</f>
        <v/>
      </c>
      <c r="D141" s="31" t="str">
        <f t="array" ref="D141">IFERROR(_xlfn.XLOOKUP(B141,'Employee Master'!$A$2:$A$500,'Employee Master'!$C$2:$C$500,""),"")</f>
        <v/>
      </c>
      <c r="E141" s="31" t="str">
        <f t="array" ref="E141">IFERROR(_xlfn.XLOOKUP(B141,'Employee Master'!$A$2:$A$500,'Employee Master'!$E$2:$E$500,""),"")</f>
        <v/>
      </c>
      <c r="F141" s="31"/>
      <c r="G141" s="39"/>
      <c r="H141" s="31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5"/>
      <c r="B142" s="31"/>
      <c r="C142" s="31" t="str">
        <f t="array" ref="C142">IFERROR(_xlfn.XLOOKUP(B142,'Employee Master'!$A$2:$A$500,'Employee Master'!$B$2:$B$500,""),"")</f>
        <v/>
      </c>
      <c r="D142" s="31" t="str">
        <f t="array" ref="D142">IFERROR(_xlfn.XLOOKUP(B142,'Employee Master'!$A$2:$A$500,'Employee Master'!$C$2:$C$500,""),"")</f>
        <v/>
      </c>
      <c r="E142" s="31" t="str">
        <f t="array" ref="E142">IFERROR(_xlfn.XLOOKUP(B142,'Employee Master'!$A$2:$A$500,'Employee Master'!$E$2:$E$500,""),"")</f>
        <v/>
      </c>
      <c r="F142" s="31"/>
      <c r="G142" s="39"/>
      <c r="H142" s="31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5"/>
      <c r="B143" s="31"/>
      <c r="C143" s="31" t="str">
        <f t="array" ref="C143">IFERROR(_xlfn.XLOOKUP(B143,'Employee Master'!$A$2:$A$500,'Employee Master'!$B$2:$B$500,""),"")</f>
        <v/>
      </c>
      <c r="D143" s="31" t="str">
        <f t="array" ref="D143">IFERROR(_xlfn.XLOOKUP(B143,'Employee Master'!$A$2:$A$500,'Employee Master'!$C$2:$C$500,""),"")</f>
        <v/>
      </c>
      <c r="E143" s="31" t="str">
        <f t="array" ref="E143">IFERROR(_xlfn.XLOOKUP(B143,'Employee Master'!$A$2:$A$500,'Employee Master'!$E$2:$E$500,""),"")</f>
        <v/>
      </c>
      <c r="F143" s="31"/>
      <c r="G143" s="39"/>
      <c r="H143" s="31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5"/>
      <c r="B144" s="31"/>
      <c r="C144" s="31" t="str">
        <f t="array" ref="C144">IFERROR(_xlfn.XLOOKUP(B144,'Employee Master'!$A$2:$A$500,'Employee Master'!$B$2:$B$500,""),"")</f>
        <v/>
      </c>
      <c r="D144" s="31" t="str">
        <f t="array" ref="D144">IFERROR(_xlfn.XLOOKUP(B144,'Employee Master'!$A$2:$A$500,'Employee Master'!$C$2:$C$500,""),"")</f>
        <v/>
      </c>
      <c r="E144" s="31" t="str">
        <f t="array" ref="E144">IFERROR(_xlfn.XLOOKUP(B144,'Employee Master'!$A$2:$A$500,'Employee Master'!$E$2:$E$500,""),"")</f>
        <v/>
      </c>
      <c r="F144" s="31"/>
      <c r="G144" s="39"/>
      <c r="H144" s="31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5"/>
      <c r="B145" s="31"/>
      <c r="C145" s="31" t="str">
        <f t="array" ref="C145">IFERROR(_xlfn.XLOOKUP(B145,'Employee Master'!$A$2:$A$500,'Employee Master'!$B$2:$B$500,""),"")</f>
        <v/>
      </c>
      <c r="D145" s="31" t="str">
        <f t="array" ref="D145">IFERROR(_xlfn.XLOOKUP(B145,'Employee Master'!$A$2:$A$500,'Employee Master'!$C$2:$C$500,""),"")</f>
        <v/>
      </c>
      <c r="E145" s="31" t="str">
        <f t="array" ref="E145">IFERROR(_xlfn.XLOOKUP(B145,'Employee Master'!$A$2:$A$500,'Employee Master'!$E$2:$E$500,""),"")</f>
        <v/>
      </c>
      <c r="F145" s="31"/>
      <c r="G145" s="39"/>
      <c r="H145" s="31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5"/>
      <c r="B146" s="31"/>
      <c r="C146" s="31" t="str">
        <f t="array" ref="C146">IFERROR(_xlfn.XLOOKUP(B146,'Employee Master'!$A$2:$A$500,'Employee Master'!$B$2:$B$500,""),"")</f>
        <v/>
      </c>
      <c r="D146" s="31" t="str">
        <f t="array" ref="D146">IFERROR(_xlfn.XLOOKUP(B146,'Employee Master'!$A$2:$A$500,'Employee Master'!$C$2:$C$500,""),"")</f>
        <v/>
      </c>
      <c r="E146" s="31" t="str">
        <f t="array" ref="E146">IFERROR(_xlfn.XLOOKUP(B146,'Employee Master'!$A$2:$A$500,'Employee Master'!$E$2:$E$500,""),"")</f>
        <v/>
      </c>
      <c r="F146" s="31"/>
      <c r="G146" s="39"/>
      <c r="H146" s="31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5"/>
      <c r="B147" s="31"/>
      <c r="C147" s="31" t="str">
        <f t="array" ref="C147">IFERROR(_xlfn.XLOOKUP(B147,'Employee Master'!$A$2:$A$500,'Employee Master'!$B$2:$B$500,""),"")</f>
        <v/>
      </c>
      <c r="D147" s="31" t="str">
        <f t="array" ref="D147">IFERROR(_xlfn.XLOOKUP(B147,'Employee Master'!$A$2:$A$500,'Employee Master'!$C$2:$C$500,""),"")</f>
        <v/>
      </c>
      <c r="E147" s="31" t="str">
        <f t="array" ref="E147">IFERROR(_xlfn.XLOOKUP(B147,'Employee Master'!$A$2:$A$500,'Employee Master'!$E$2:$E$500,""),"")</f>
        <v/>
      </c>
      <c r="F147" s="31"/>
      <c r="G147" s="39"/>
      <c r="H147" s="31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5"/>
      <c r="B148" s="31"/>
      <c r="C148" s="31" t="str">
        <f t="array" ref="C148">IFERROR(_xlfn.XLOOKUP(B148,'Employee Master'!$A$2:$A$500,'Employee Master'!$B$2:$B$500,""),"")</f>
        <v/>
      </c>
      <c r="D148" s="31" t="str">
        <f t="array" ref="D148">IFERROR(_xlfn.XLOOKUP(B148,'Employee Master'!$A$2:$A$500,'Employee Master'!$C$2:$C$500,""),"")</f>
        <v/>
      </c>
      <c r="E148" s="31" t="str">
        <f t="array" ref="E148">IFERROR(_xlfn.XLOOKUP(B148,'Employee Master'!$A$2:$A$500,'Employee Master'!$E$2:$E$500,""),"")</f>
        <v/>
      </c>
      <c r="F148" s="31"/>
      <c r="G148" s="39"/>
      <c r="H148" s="31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5"/>
      <c r="B149" s="31"/>
      <c r="C149" s="31" t="str">
        <f t="array" ref="C149">IFERROR(_xlfn.XLOOKUP(B149,'Employee Master'!$A$2:$A$500,'Employee Master'!$B$2:$B$500,""),"")</f>
        <v/>
      </c>
      <c r="D149" s="31" t="str">
        <f t="array" ref="D149">IFERROR(_xlfn.XLOOKUP(B149,'Employee Master'!$A$2:$A$500,'Employee Master'!$C$2:$C$500,""),"")</f>
        <v/>
      </c>
      <c r="E149" s="31" t="str">
        <f t="array" ref="E149">IFERROR(_xlfn.XLOOKUP(B149,'Employee Master'!$A$2:$A$500,'Employee Master'!$E$2:$E$500,""),"")</f>
        <v/>
      </c>
      <c r="F149" s="31"/>
      <c r="G149" s="39"/>
      <c r="H149" s="31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5"/>
      <c r="B150" s="31"/>
      <c r="C150" s="31" t="str">
        <f t="array" ref="C150">IFERROR(_xlfn.XLOOKUP(B150,'Employee Master'!$A$2:$A$500,'Employee Master'!$B$2:$B$500,""),"")</f>
        <v/>
      </c>
      <c r="D150" s="31" t="str">
        <f t="array" ref="D150">IFERROR(_xlfn.XLOOKUP(B150,'Employee Master'!$A$2:$A$500,'Employee Master'!$C$2:$C$500,""),"")</f>
        <v/>
      </c>
      <c r="E150" s="31" t="str">
        <f t="array" ref="E150">IFERROR(_xlfn.XLOOKUP(B150,'Employee Master'!$A$2:$A$500,'Employee Master'!$E$2:$E$500,""),"")</f>
        <v/>
      </c>
      <c r="F150" s="31"/>
      <c r="G150" s="39"/>
      <c r="H150" s="31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5"/>
      <c r="B151" s="31"/>
      <c r="C151" s="31" t="str">
        <f t="array" ref="C151">IFERROR(_xlfn.XLOOKUP(B151,'Employee Master'!$A$2:$A$500,'Employee Master'!$B$2:$B$500,""),"")</f>
        <v/>
      </c>
      <c r="D151" s="31" t="str">
        <f t="array" ref="D151">IFERROR(_xlfn.XLOOKUP(B151,'Employee Master'!$A$2:$A$500,'Employee Master'!$C$2:$C$500,""),"")</f>
        <v/>
      </c>
      <c r="E151" s="31" t="str">
        <f t="array" ref="E151">IFERROR(_xlfn.XLOOKUP(B151,'Employee Master'!$A$2:$A$500,'Employee Master'!$E$2:$E$500,""),"")</f>
        <v/>
      </c>
      <c r="F151" s="31"/>
      <c r="G151" s="39"/>
      <c r="H151" s="31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5"/>
      <c r="B152" s="31"/>
      <c r="C152" s="31" t="str">
        <f t="array" ref="C152">IFERROR(_xlfn.XLOOKUP(B152,'Employee Master'!$A$2:$A$500,'Employee Master'!$B$2:$B$500,""),"")</f>
        <v/>
      </c>
      <c r="D152" s="31" t="str">
        <f t="array" ref="D152">IFERROR(_xlfn.XLOOKUP(B152,'Employee Master'!$A$2:$A$500,'Employee Master'!$C$2:$C$500,""),"")</f>
        <v/>
      </c>
      <c r="E152" s="31" t="str">
        <f t="array" ref="E152">IFERROR(_xlfn.XLOOKUP(B152,'Employee Master'!$A$2:$A$500,'Employee Master'!$E$2:$E$500,""),"")</f>
        <v/>
      </c>
      <c r="F152" s="31"/>
      <c r="G152" s="39"/>
      <c r="H152" s="31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5"/>
      <c r="B153" s="31"/>
      <c r="C153" s="31" t="str">
        <f t="array" ref="C153">IFERROR(_xlfn.XLOOKUP(B153,'Employee Master'!$A$2:$A$500,'Employee Master'!$B$2:$B$500,""),"")</f>
        <v/>
      </c>
      <c r="D153" s="31" t="str">
        <f t="array" ref="D153">IFERROR(_xlfn.XLOOKUP(B153,'Employee Master'!$A$2:$A$500,'Employee Master'!$C$2:$C$500,""),"")</f>
        <v/>
      </c>
      <c r="E153" s="31" t="str">
        <f t="array" ref="E153">IFERROR(_xlfn.XLOOKUP(B153,'Employee Master'!$A$2:$A$500,'Employee Master'!$E$2:$E$500,""),"")</f>
        <v/>
      </c>
      <c r="F153" s="31"/>
      <c r="G153" s="39"/>
      <c r="H153" s="31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5"/>
      <c r="B154" s="31"/>
      <c r="C154" s="31" t="str">
        <f t="array" ref="C154">IFERROR(_xlfn.XLOOKUP(B154,'Employee Master'!$A$2:$A$500,'Employee Master'!$B$2:$B$500,""),"")</f>
        <v/>
      </c>
      <c r="D154" s="31" t="str">
        <f t="array" ref="D154">IFERROR(_xlfn.XLOOKUP(B154,'Employee Master'!$A$2:$A$500,'Employee Master'!$C$2:$C$500,""),"")</f>
        <v/>
      </c>
      <c r="E154" s="31" t="str">
        <f t="array" ref="E154">IFERROR(_xlfn.XLOOKUP(B154,'Employee Master'!$A$2:$A$500,'Employee Master'!$E$2:$E$500,""),"")</f>
        <v/>
      </c>
      <c r="F154" s="31"/>
      <c r="G154" s="39"/>
      <c r="H154" s="31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5"/>
      <c r="B155" s="31"/>
      <c r="C155" s="31" t="str">
        <f t="array" ref="C155">IFERROR(_xlfn.XLOOKUP(B155,'Employee Master'!$A$2:$A$500,'Employee Master'!$B$2:$B$500,""),"")</f>
        <v/>
      </c>
      <c r="D155" s="31" t="str">
        <f t="array" ref="D155">IFERROR(_xlfn.XLOOKUP(B155,'Employee Master'!$A$2:$A$500,'Employee Master'!$C$2:$C$500,""),"")</f>
        <v/>
      </c>
      <c r="E155" s="31" t="str">
        <f t="array" ref="E155">IFERROR(_xlfn.XLOOKUP(B155,'Employee Master'!$A$2:$A$500,'Employee Master'!$E$2:$E$500,""),"")</f>
        <v/>
      </c>
      <c r="F155" s="31"/>
      <c r="G155" s="39"/>
      <c r="H155" s="31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5"/>
      <c r="B156" s="31"/>
      <c r="C156" s="31" t="str">
        <f t="array" ref="C156">IFERROR(_xlfn.XLOOKUP(B156,'Employee Master'!$A$2:$A$500,'Employee Master'!$B$2:$B$500,""),"")</f>
        <v/>
      </c>
      <c r="D156" s="31" t="str">
        <f t="array" ref="D156">IFERROR(_xlfn.XLOOKUP(B156,'Employee Master'!$A$2:$A$500,'Employee Master'!$C$2:$C$500,""),"")</f>
        <v/>
      </c>
      <c r="E156" s="31" t="str">
        <f t="array" ref="E156">IFERROR(_xlfn.XLOOKUP(B156,'Employee Master'!$A$2:$A$500,'Employee Master'!$E$2:$E$500,""),"")</f>
        <v/>
      </c>
      <c r="F156" s="31"/>
      <c r="G156" s="39"/>
      <c r="H156" s="31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5"/>
      <c r="B157" s="31"/>
      <c r="C157" s="31" t="str">
        <f t="array" ref="C157">IFERROR(_xlfn.XLOOKUP(B157,'Employee Master'!$A$2:$A$500,'Employee Master'!$B$2:$B$500,""),"")</f>
        <v/>
      </c>
      <c r="D157" s="31" t="str">
        <f t="array" ref="D157">IFERROR(_xlfn.XLOOKUP(B157,'Employee Master'!$A$2:$A$500,'Employee Master'!$C$2:$C$500,""),"")</f>
        <v/>
      </c>
      <c r="E157" s="31" t="str">
        <f t="array" ref="E157">IFERROR(_xlfn.XLOOKUP(B157,'Employee Master'!$A$2:$A$500,'Employee Master'!$E$2:$E$500,""),"")</f>
        <v/>
      </c>
      <c r="F157" s="31"/>
      <c r="G157" s="39"/>
      <c r="H157" s="31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5"/>
      <c r="B158" s="31"/>
      <c r="C158" s="31" t="str">
        <f t="array" ref="C158">IFERROR(_xlfn.XLOOKUP(B158,'Employee Master'!$A$2:$A$500,'Employee Master'!$B$2:$B$500,""),"")</f>
        <v/>
      </c>
      <c r="D158" s="31" t="str">
        <f t="array" ref="D158">IFERROR(_xlfn.XLOOKUP(B158,'Employee Master'!$A$2:$A$500,'Employee Master'!$C$2:$C$500,""),"")</f>
        <v/>
      </c>
      <c r="E158" s="31" t="str">
        <f t="array" ref="E158">IFERROR(_xlfn.XLOOKUP(B158,'Employee Master'!$A$2:$A$500,'Employee Master'!$E$2:$E$500,""),"")</f>
        <v/>
      </c>
      <c r="F158" s="31"/>
      <c r="G158" s="39"/>
      <c r="H158" s="31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5"/>
      <c r="B159" s="31"/>
      <c r="C159" s="31" t="str">
        <f t="array" ref="C159">IFERROR(_xlfn.XLOOKUP(B159,'Employee Master'!$A$2:$A$500,'Employee Master'!$B$2:$B$500,""),"")</f>
        <v/>
      </c>
      <c r="D159" s="31" t="str">
        <f t="array" ref="D159">IFERROR(_xlfn.XLOOKUP(B159,'Employee Master'!$A$2:$A$500,'Employee Master'!$C$2:$C$500,""),"")</f>
        <v/>
      </c>
      <c r="E159" s="31" t="str">
        <f t="array" ref="E159">IFERROR(_xlfn.XLOOKUP(B159,'Employee Master'!$A$2:$A$500,'Employee Master'!$E$2:$E$500,""),"")</f>
        <v/>
      </c>
      <c r="F159" s="31"/>
      <c r="G159" s="39"/>
      <c r="H159" s="31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5"/>
      <c r="B160" s="31"/>
      <c r="C160" s="31" t="str">
        <f t="array" ref="C160">IFERROR(_xlfn.XLOOKUP(B160,'Employee Master'!$A$2:$A$500,'Employee Master'!$B$2:$B$500,""),"")</f>
        <v/>
      </c>
      <c r="D160" s="31" t="str">
        <f t="array" ref="D160">IFERROR(_xlfn.XLOOKUP(B160,'Employee Master'!$A$2:$A$500,'Employee Master'!$C$2:$C$500,""),"")</f>
        <v/>
      </c>
      <c r="E160" s="31" t="str">
        <f t="array" ref="E160">IFERROR(_xlfn.XLOOKUP(B160,'Employee Master'!$A$2:$A$500,'Employee Master'!$E$2:$E$500,""),"")</f>
        <v/>
      </c>
      <c r="F160" s="31"/>
      <c r="G160" s="39"/>
      <c r="H160" s="31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5"/>
      <c r="B161" s="31"/>
      <c r="C161" s="31" t="str">
        <f t="array" ref="C161">IFERROR(_xlfn.XLOOKUP(B161,'Employee Master'!$A$2:$A$500,'Employee Master'!$B$2:$B$500,""),"")</f>
        <v/>
      </c>
      <c r="D161" s="31" t="str">
        <f t="array" ref="D161">IFERROR(_xlfn.XLOOKUP(B161,'Employee Master'!$A$2:$A$500,'Employee Master'!$C$2:$C$500,""),"")</f>
        <v/>
      </c>
      <c r="E161" s="31" t="str">
        <f t="array" ref="E161">IFERROR(_xlfn.XLOOKUP(B161,'Employee Master'!$A$2:$A$500,'Employee Master'!$E$2:$E$500,""),"")</f>
        <v/>
      </c>
      <c r="F161" s="31"/>
      <c r="G161" s="39"/>
      <c r="H161" s="31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5"/>
      <c r="B162" s="31"/>
      <c r="C162" s="31" t="str">
        <f t="array" ref="C162">IFERROR(_xlfn.XLOOKUP(B162,'Employee Master'!$A$2:$A$500,'Employee Master'!$B$2:$B$500,""),"")</f>
        <v/>
      </c>
      <c r="D162" s="31" t="str">
        <f t="array" ref="D162">IFERROR(_xlfn.XLOOKUP(B162,'Employee Master'!$A$2:$A$500,'Employee Master'!$C$2:$C$500,""),"")</f>
        <v/>
      </c>
      <c r="E162" s="31" t="str">
        <f t="array" ref="E162">IFERROR(_xlfn.XLOOKUP(B162,'Employee Master'!$A$2:$A$500,'Employee Master'!$E$2:$E$500,""),"")</f>
        <v/>
      </c>
      <c r="F162" s="31"/>
      <c r="G162" s="39"/>
      <c r="H162" s="31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5"/>
      <c r="B163" s="31"/>
      <c r="C163" s="31" t="str">
        <f t="array" ref="C163">IFERROR(_xlfn.XLOOKUP(B163,'Employee Master'!$A$2:$A$500,'Employee Master'!$B$2:$B$500,""),"")</f>
        <v/>
      </c>
      <c r="D163" s="31" t="str">
        <f t="array" ref="D163">IFERROR(_xlfn.XLOOKUP(B163,'Employee Master'!$A$2:$A$500,'Employee Master'!$C$2:$C$500,""),"")</f>
        <v/>
      </c>
      <c r="E163" s="31" t="str">
        <f t="array" ref="E163">IFERROR(_xlfn.XLOOKUP(B163,'Employee Master'!$A$2:$A$500,'Employee Master'!$E$2:$E$500,""),"")</f>
        <v/>
      </c>
      <c r="F163" s="31"/>
      <c r="G163" s="39"/>
      <c r="H163" s="31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5"/>
      <c r="B164" s="31"/>
      <c r="C164" s="31" t="str">
        <f t="array" ref="C164">IFERROR(_xlfn.XLOOKUP(B164,'Employee Master'!$A$2:$A$500,'Employee Master'!$B$2:$B$500,""),"")</f>
        <v/>
      </c>
      <c r="D164" s="31" t="str">
        <f t="array" ref="D164">IFERROR(_xlfn.XLOOKUP(B164,'Employee Master'!$A$2:$A$500,'Employee Master'!$C$2:$C$500,""),"")</f>
        <v/>
      </c>
      <c r="E164" s="31" t="str">
        <f t="array" ref="E164">IFERROR(_xlfn.XLOOKUP(B164,'Employee Master'!$A$2:$A$500,'Employee Master'!$E$2:$E$500,""),"")</f>
        <v/>
      </c>
      <c r="F164" s="31"/>
      <c r="G164" s="39"/>
      <c r="H164" s="31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5"/>
      <c r="B165" s="31"/>
      <c r="C165" s="31" t="str">
        <f t="array" ref="C165">IFERROR(_xlfn.XLOOKUP(B165,'Employee Master'!$A$2:$A$500,'Employee Master'!$B$2:$B$500,""),"")</f>
        <v/>
      </c>
      <c r="D165" s="31" t="str">
        <f t="array" ref="D165">IFERROR(_xlfn.XLOOKUP(B165,'Employee Master'!$A$2:$A$500,'Employee Master'!$C$2:$C$500,""),"")</f>
        <v/>
      </c>
      <c r="E165" s="31" t="str">
        <f t="array" ref="E165">IFERROR(_xlfn.XLOOKUP(B165,'Employee Master'!$A$2:$A$500,'Employee Master'!$E$2:$E$500,""),"")</f>
        <v/>
      </c>
      <c r="F165" s="31"/>
      <c r="G165" s="39"/>
      <c r="H165" s="31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5"/>
      <c r="B166" s="31"/>
      <c r="C166" s="31" t="str">
        <f t="array" ref="C166">IFERROR(_xlfn.XLOOKUP(B166,'Employee Master'!$A$2:$A$500,'Employee Master'!$B$2:$B$500,""),"")</f>
        <v/>
      </c>
      <c r="D166" s="31" t="str">
        <f t="array" ref="D166">IFERROR(_xlfn.XLOOKUP(B166,'Employee Master'!$A$2:$A$500,'Employee Master'!$C$2:$C$500,""),"")</f>
        <v/>
      </c>
      <c r="E166" s="31" t="str">
        <f t="array" ref="E166">IFERROR(_xlfn.XLOOKUP(B166,'Employee Master'!$A$2:$A$500,'Employee Master'!$E$2:$E$500,""),"")</f>
        <v/>
      </c>
      <c r="F166" s="31"/>
      <c r="G166" s="39"/>
      <c r="H166" s="31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5"/>
      <c r="B167" s="31"/>
      <c r="C167" s="31" t="str">
        <f t="array" ref="C167">IFERROR(_xlfn.XLOOKUP(B167,'Employee Master'!$A$2:$A$500,'Employee Master'!$B$2:$B$500,""),"")</f>
        <v/>
      </c>
      <c r="D167" s="31" t="str">
        <f t="array" ref="D167">IFERROR(_xlfn.XLOOKUP(B167,'Employee Master'!$A$2:$A$500,'Employee Master'!$C$2:$C$500,""),"")</f>
        <v/>
      </c>
      <c r="E167" s="31" t="str">
        <f t="array" ref="E167">IFERROR(_xlfn.XLOOKUP(B167,'Employee Master'!$A$2:$A$500,'Employee Master'!$E$2:$E$500,""),"")</f>
        <v/>
      </c>
      <c r="F167" s="31"/>
      <c r="G167" s="39"/>
      <c r="H167" s="31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5"/>
      <c r="B168" s="31"/>
      <c r="C168" s="31" t="str">
        <f t="array" ref="C168">IFERROR(_xlfn.XLOOKUP(B168,'Employee Master'!$A$2:$A$500,'Employee Master'!$B$2:$B$500,""),"")</f>
        <v/>
      </c>
      <c r="D168" s="31" t="str">
        <f t="array" ref="D168">IFERROR(_xlfn.XLOOKUP(B168,'Employee Master'!$A$2:$A$500,'Employee Master'!$C$2:$C$500,""),"")</f>
        <v/>
      </c>
      <c r="E168" s="31" t="str">
        <f t="array" ref="E168">IFERROR(_xlfn.XLOOKUP(B168,'Employee Master'!$A$2:$A$500,'Employee Master'!$E$2:$E$500,""),"")</f>
        <v/>
      </c>
      <c r="F168" s="31"/>
      <c r="G168" s="39"/>
      <c r="H168" s="31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5"/>
      <c r="B169" s="31"/>
      <c r="C169" s="31" t="str">
        <f t="array" ref="C169">IFERROR(_xlfn.XLOOKUP(B169,'Employee Master'!$A$2:$A$500,'Employee Master'!$B$2:$B$500,""),"")</f>
        <v/>
      </c>
      <c r="D169" s="31" t="str">
        <f t="array" ref="D169">IFERROR(_xlfn.XLOOKUP(B169,'Employee Master'!$A$2:$A$500,'Employee Master'!$C$2:$C$500,""),"")</f>
        <v/>
      </c>
      <c r="E169" s="31" t="str">
        <f t="array" ref="E169">IFERROR(_xlfn.XLOOKUP(B169,'Employee Master'!$A$2:$A$500,'Employee Master'!$E$2:$E$500,""),"")</f>
        <v/>
      </c>
      <c r="F169" s="31"/>
      <c r="G169" s="39"/>
      <c r="H169" s="31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5"/>
      <c r="B170" s="31"/>
      <c r="C170" s="31" t="str">
        <f t="array" ref="C170">IFERROR(_xlfn.XLOOKUP(B170,'Employee Master'!$A$2:$A$500,'Employee Master'!$B$2:$B$500,""),"")</f>
        <v/>
      </c>
      <c r="D170" s="31" t="str">
        <f t="array" ref="D170">IFERROR(_xlfn.XLOOKUP(B170,'Employee Master'!$A$2:$A$500,'Employee Master'!$C$2:$C$500,""),"")</f>
        <v/>
      </c>
      <c r="E170" s="31" t="str">
        <f t="array" ref="E170">IFERROR(_xlfn.XLOOKUP(B170,'Employee Master'!$A$2:$A$500,'Employee Master'!$E$2:$E$500,""),"")</f>
        <v/>
      </c>
      <c r="F170" s="31"/>
      <c r="G170" s="39"/>
      <c r="H170" s="31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5"/>
      <c r="B171" s="31"/>
      <c r="C171" s="31" t="str">
        <f t="array" ref="C171">IFERROR(_xlfn.XLOOKUP(B171,'Employee Master'!$A$2:$A$500,'Employee Master'!$B$2:$B$500,""),"")</f>
        <v/>
      </c>
      <c r="D171" s="31" t="str">
        <f t="array" ref="D171">IFERROR(_xlfn.XLOOKUP(B171,'Employee Master'!$A$2:$A$500,'Employee Master'!$C$2:$C$500,""),"")</f>
        <v/>
      </c>
      <c r="E171" s="31" t="str">
        <f t="array" ref="E171">IFERROR(_xlfn.XLOOKUP(B171,'Employee Master'!$A$2:$A$500,'Employee Master'!$E$2:$E$500,""),"")</f>
        <v/>
      </c>
      <c r="F171" s="31"/>
      <c r="G171" s="39"/>
      <c r="H171" s="31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5"/>
      <c r="B172" s="31"/>
      <c r="C172" s="31" t="str">
        <f t="array" ref="C172">IFERROR(_xlfn.XLOOKUP(B172,'Employee Master'!$A$2:$A$500,'Employee Master'!$B$2:$B$500,""),"")</f>
        <v/>
      </c>
      <c r="D172" s="31" t="str">
        <f t="array" ref="D172">IFERROR(_xlfn.XLOOKUP(B172,'Employee Master'!$A$2:$A$500,'Employee Master'!$C$2:$C$500,""),"")</f>
        <v/>
      </c>
      <c r="E172" s="31" t="str">
        <f t="array" ref="E172">IFERROR(_xlfn.XLOOKUP(B172,'Employee Master'!$A$2:$A$500,'Employee Master'!$E$2:$E$500,""),"")</f>
        <v/>
      </c>
      <c r="F172" s="31"/>
      <c r="G172" s="39"/>
      <c r="H172" s="31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5"/>
      <c r="B173" s="31"/>
      <c r="C173" s="31" t="str">
        <f t="array" ref="C173">IFERROR(_xlfn.XLOOKUP(B173,'Employee Master'!$A$2:$A$500,'Employee Master'!$B$2:$B$500,""),"")</f>
        <v/>
      </c>
      <c r="D173" s="31" t="str">
        <f t="array" ref="D173">IFERROR(_xlfn.XLOOKUP(B173,'Employee Master'!$A$2:$A$500,'Employee Master'!$C$2:$C$500,""),"")</f>
        <v/>
      </c>
      <c r="E173" s="31" t="str">
        <f t="array" ref="E173">IFERROR(_xlfn.XLOOKUP(B173,'Employee Master'!$A$2:$A$500,'Employee Master'!$E$2:$E$500,""),"")</f>
        <v/>
      </c>
      <c r="F173" s="31"/>
      <c r="G173" s="39"/>
      <c r="H173" s="31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5"/>
      <c r="B174" s="31"/>
      <c r="C174" s="31" t="str">
        <f t="array" ref="C174">IFERROR(_xlfn.XLOOKUP(B174,'Employee Master'!$A$2:$A$500,'Employee Master'!$B$2:$B$500,""),"")</f>
        <v/>
      </c>
      <c r="D174" s="31" t="str">
        <f t="array" ref="D174">IFERROR(_xlfn.XLOOKUP(B174,'Employee Master'!$A$2:$A$500,'Employee Master'!$C$2:$C$500,""),"")</f>
        <v/>
      </c>
      <c r="E174" s="31" t="str">
        <f t="array" ref="E174">IFERROR(_xlfn.XLOOKUP(B174,'Employee Master'!$A$2:$A$500,'Employee Master'!$E$2:$E$500,""),"")</f>
        <v/>
      </c>
      <c r="F174" s="31"/>
      <c r="G174" s="39"/>
      <c r="H174" s="31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5"/>
      <c r="B175" s="31"/>
      <c r="C175" s="31" t="str">
        <f t="array" ref="C175">IFERROR(_xlfn.XLOOKUP(B175,'Employee Master'!$A$2:$A$500,'Employee Master'!$B$2:$B$500,""),"")</f>
        <v/>
      </c>
      <c r="D175" s="31" t="str">
        <f t="array" ref="D175">IFERROR(_xlfn.XLOOKUP(B175,'Employee Master'!$A$2:$A$500,'Employee Master'!$C$2:$C$500,""),"")</f>
        <v/>
      </c>
      <c r="E175" s="31" t="str">
        <f t="array" ref="E175">IFERROR(_xlfn.XLOOKUP(B175,'Employee Master'!$A$2:$A$500,'Employee Master'!$E$2:$E$500,""),"")</f>
        <v/>
      </c>
      <c r="F175" s="31"/>
      <c r="G175" s="39"/>
      <c r="H175" s="31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5"/>
      <c r="B176" s="31"/>
      <c r="C176" s="31" t="str">
        <f t="array" ref="C176">IFERROR(_xlfn.XLOOKUP(B176,'Employee Master'!$A$2:$A$500,'Employee Master'!$B$2:$B$500,""),"")</f>
        <v/>
      </c>
      <c r="D176" s="31" t="str">
        <f t="array" ref="D176">IFERROR(_xlfn.XLOOKUP(B176,'Employee Master'!$A$2:$A$500,'Employee Master'!$C$2:$C$500,""),"")</f>
        <v/>
      </c>
      <c r="E176" s="31" t="str">
        <f t="array" ref="E176">IFERROR(_xlfn.XLOOKUP(B176,'Employee Master'!$A$2:$A$500,'Employee Master'!$E$2:$E$500,""),"")</f>
        <v/>
      </c>
      <c r="F176" s="31"/>
      <c r="G176" s="39"/>
      <c r="H176" s="31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5"/>
      <c r="B177" s="31"/>
      <c r="C177" s="31" t="str">
        <f t="array" ref="C177">IFERROR(_xlfn.XLOOKUP(B177,'Employee Master'!$A$2:$A$500,'Employee Master'!$B$2:$B$500,""),"")</f>
        <v/>
      </c>
      <c r="D177" s="31" t="str">
        <f t="array" ref="D177">IFERROR(_xlfn.XLOOKUP(B177,'Employee Master'!$A$2:$A$500,'Employee Master'!$C$2:$C$500,""),"")</f>
        <v/>
      </c>
      <c r="E177" s="31" t="str">
        <f t="array" ref="E177">IFERROR(_xlfn.XLOOKUP(B177,'Employee Master'!$A$2:$A$500,'Employee Master'!$E$2:$E$500,""),"")</f>
        <v/>
      </c>
      <c r="F177" s="31"/>
      <c r="G177" s="39"/>
      <c r="H177" s="31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5"/>
      <c r="B178" s="31"/>
      <c r="C178" s="31" t="str">
        <f t="array" ref="C178">IFERROR(_xlfn.XLOOKUP(B178,'Employee Master'!$A$2:$A$500,'Employee Master'!$B$2:$B$500,""),"")</f>
        <v/>
      </c>
      <c r="D178" s="31" t="str">
        <f t="array" ref="D178">IFERROR(_xlfn.XLOOKUP(B178,'Employee Master'!$A$2:$A$500,'Employee Master'!$C$2:$C$500,""),"")</f>
        <v/>
      </c>
      <c r="E178" s="31" t="str">
        <f t="array" ref="E178">IFERROR(_xlfn.XLOOKUP(B178,'Employee Master'!$A$2:$A$500,'Employee Master'!$E$2:$E$500,""),"")</f>
        <v/>
      </c>
      <c r="F178" s="31"/>
      <c r="G178" s="39"/>
      <c r="H178" s="31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5"/>
      <c r="B179" s="31"/>
      <c r="C179" s="31" t="str">
        <f t="array" ref="C179">IFERROR(_xlfn.XLOOKUP(B179,'Employee Master'!$A$2:$A$500,'Employee Master'!$B$2:$B$500,""),"")</f>
        <v/>
      </c>
      <c r="D179" s="31" t="str">
        <f t="array" ref="D179">IFERROR(_xlfn.XLOOKUP(B179,'Employee Master'!$A$2:$A$500,'Employee Master'!$C$2:$C$500,""),"")</f>
        <v/>
      </c>
      <c r="E179" s="31" t="str">
        <f t="array" ref="E179">IFERROR(_xlfn.XLOOKUP(B179,'Employee Master'!$A$2:$A$500,'Employee Master'!$E$2:$E$500,""),"")</f>
        <v/>
      </c>
      <c r="F179" s="31"/>
      <c r="G179" s="39"/>
      <c r="H179" s="31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5"/>
      <c r="B180" s="31"/>
      <c r="C180" s="31" t="str">
        <f t="array" ref="C180">IFERROR(_xlfn.XLOOKUP(B180,'Employee Master'!$A$2:$A$500,'Employee Master'!$B$2:$B$500,""),"")</f>
        <v/>
      </c>
      <c r="D180" s="31" t="str">
        <f t="array" ref="D180">IFERROR(_xlfn.XLOOKUP(B180,'Employee Master'!$A$2:$A$500,'Employee Master'!$C$2:$C$500,""),"")</f>
        <v/>
      </c>
      <c r="E180" s="31" t="str">
        <f t="array" ref="E180">IFERROR(_xlfn.XLOOKUP(B180,'Employee Master'!$A$2:$A$500,'Employee Master'!$E$2:$E$500,""),"")</f>
        <v/>
      </c>
      <c r="F180" s="31"/>
      <c r="G180" s="39"/>
      <c r="H180" s="31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5"/>
      <c r="B181" s="31"/>
      <c r="C181" s="31" t="str">
        <f t="array" ref="C181">IFERROR(_xlfn.XLOOKUP(B181,'Employee Master'!$A$2:$A$500,'Employee Master'!$B$2:$B$500,""),"")</f>
        <v/>
      </c>
      <c r="D181" s="31" t="str">
        <f t="array" ref="D181">IFERROR(_xlfn.XLOOKUP(B181,'Employee Master'!$A$2:$A$500,'Employee Master'!$C$2:$C$500,""),"")</f>
        <v/>
      </c>
      <c r="E181" s="31" t="str">
        <f t="array" ref="E181">IFERROR(_xlfn.XLOOKUP(B181,'Employee Master'!$A$2:$A$500,'Employee Master'!$E$2:$E$500,""),"")</f>
        <v/>
      </c>
      <c r="F181" s="31"/>
      <c r="G181" s="39"/>
      <c r="H181" s="31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5"/>
      <c r="B182" s="31"/>
      <c r="C182" s="31" t="str">
        <f t="array" ref="C182">IFERROR(_xlfn.XLOOKUP(B182,'Employee Master'!$A$2:$A$500,'Employee Master'!$B$2:$B$500,""),"")</f>
        <v/>
      </c>
      <c r="D182" s="31" t="str">
        <f t="array" ref="D182">IFERROR(_xlfn.XLOOKUP(B182,'Employee Master'!$A$2:$A$500,'Employee Master'!$C$2:$C$500,""),"")</f>
        <v/>
      </c>
      <c r="E182" s="31" t="str">
        <f t="array" ref="E182">IFERROR(_xlfn.XLOOKUP(B182,'Employee Master'!$A$2:$A$500,'Employee Master'!$E$2:$E$500,""),"")</f>
        <v/>
      </c>
      <c r="F182" s="31"/>
      <c r="G182" s="39"/>
      <c r="H182" s="31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5"/>
      <c r="B183" s="31"/>
      <c r="C183" s="31" t="str">
        <f t="array" ref="C183">IFERROR(_xlfn.XLOOKUP(B183,'Employee Master'!$A$2:$A$500,'Employee Master'!$B$2:$B$500,""),"")</f>
        <v/>
      </c>
      <c r="D183" s="31" t="str">
        <f t="array" ref="D183">IFERROR(_xlfn.XLOOKUP(B183,'Employee Master'!$A$2:$A$500,'Employee Master'!$C$2:$C$500,""),"")</f>
        <v/>
      </c>
      <c r="E183" s="31" t="str">
        <f t="array" ref="E183">IFERROR(_xlfn.XLOOKUP(B183,'Employee Master'!$A$2:$A$500,'Employee Master'!$E$2:$E$500,""),"")</f>
        <v/>
      </c>
      <c r="F183" s="31"/>
      <c r="G183" s="39"/>
      <c r="H183" s="31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5"/>
      <c r="B184" s="31"/>
      <c r="C184" s="31" t="str">
        <f t="array" ref="C184">IFERROR(_xlfn.XLOOKUP(B184,'Employee Master'!$A$2:$A$500,'Employee Master'!$B$2:$B$500,""),"")</f>
        <v/>
      </c>
      <c r="D184" s="31" t="str">
        <f t="array" ref="D184">IFERROR(_xlfn.XLOOKUP(B184,'Employee Master'!$A$2:$A$500,'Employee Master'!$C$2:$C$500,""),"")</f>
        <v/>
      </c>
      <c r="E184" s="31" t="str">
        <f t="array" ref="E184">IFERROR(_xlfn.XLOOKUP(B184,'Employee Master'!$A$2:$A$500,'Employee Master'!$E$2:$E$500,""),"")</f>
        <v/>
      </c>
      <c r="F184" s="31"/>
      <c r="G184" s="39"/>
      <c r="H184" s="31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5"/>
      <c r="B185" s="31"/>
      <c r="C185" s="31" t="str">
        <f t="array" ref="C185">IFERROR(_xlfn.XLOOKUP(B185,'Employee Master'!$A$2:$A$500,'Employee Master'!$B$2:$B$500,""),"")</f>
        <v/>
      </c>
      <c r="D185" s="31" t="str">
        <f t="array" ref="D185">IFERROR(_xlfn.XLOOKUP(B185,'Employee Master'!$A$2:$A$500,'Employee Master'!$C$2:$C$500,""),"")</f>
        <v/>
      </c>
      <c r="E185" s="31" t="str">
        <f t="array" ref="E185">IFERROR(_xlfn.XLOOKUP(B185,'Employee Master'!$A$2:$A$500,'Employee Master'!$E$2:$E$500,""),"")</f>
        <v/>
      </c>
      <c r="F185" s="31"/>
      <c r="G185" s="39"/>
      <c r="H185" s="31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5"/>
      <c r="B186" s="31"/>
      <c r="C186" s="31" t="str">
        <f t="array" ref="C186">IFERROR(_xlfn.XLOOKUP(B186,'Employee Master'!$A$2:$A$500,'Employee Master'!$B$2:$B$500,""),"")</f>
        <v/>
      </c>
      <c r="D186" s="31" t="str">
        <f t="array" ref="D186">IFERROR(_xlfn.XLOOKUP(B186,'Employee Master'!$A$2:$A$500,'Employee Master'!$C$2:$C$500,""),"")</f>
        <v/>
      </c>
      <c r="E186" s="31" t="str">
        <f t="array" ref="E186">IFERROR(_xlfn.XLOOKUP(B186,'Employee Master'!$A$2:$A$500,'Employee Master'!$E$2:$E$500,""),"")</f>
        <v/>
      </c>
      <c r="F186" s="31"/>
      <c r="G186" s="39"/>
      <c r="H186" s="31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5"/>
      <c r="B187" s="31"/>
      <c r="C187" s="31" t="str">
        <f t="array" ref="C187">IFERROR(_xlfn.XLOOKUP(B187,'Employee Master'!$A$2:$A$500,'Employee Master'!$B$2:$B$500,""),"")</f>
        <v/>
      </c>
      <c r="D187" s="31" t="str">
        <f t="array" ref="D187">IFERROR(_xlfn.XLOOKUP(B187,'Employee Master'!$A$2:$A$500,'Employee Master'!$C$2:$C$500,""),"")</f>
        <v/>
      </c>
      <c r="E187" s="31" t="str">
        <f t="array" ref="E187">IFERROR(_xlfn.XLOOKUP(B187,'Employee Master'!$A$2:$A$500,'Employee Master'!$E$2:$E$500,""),"")</f>
        <v/>
      </c>
      <c r="F187" s="31"/>
      <c r="G187" s="39"/>
      <c r="H187" s="31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5"/>
      <c r="B188" s="31"/>
      <c r="C188" s="31" t="str">
        <f t="array" ref="C188">IFERROR(_xlfn.XLOOKUP(B188,'Employee Master'!$A$2:$A$500,'Employee Master'!$B$2:$B$500,""),"")</f>
        <v/>
      </c>
      <c r="D188" s="31" t="str">
        <f t="array" ref="D188">IFERROR(_xlfn.XLOOKUP(B188,'Employee Master'!$A$2:$A$500,'Employee Master'!$C$2:$C$500,""),"")</f>
        <v/>
      </c>
      <c r="E188" s="31" t="str">
        <f t="array" ref="E188">IFERROR(_xlfn.XLOOKUP(B188,'Employee Master'!$A$2:$A$500,'Employee Master'!$E$2:$E$500,""),"")</f>
        <v/>
      </c>
      <c r="F188" s="31"/>
      <c r="G188" s="39"/>
      <c r="H188" s="31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5"/>
      <c r="B189" s="31"/>
      <c r="C189" s="31" t="str">
        <f t="array" ref="C189">IFERROR(_xlfn.XLOOKUP(B189,'Employee Master'!$A$2:$A$500,'Employee Master'!$B$2:$B$500,""),"")</f>
        <v/>
      </c>
      <c r="D189" s="31" t="str">
        <f t="array" ref="D189">IFERROR(_xlfn.XLOOKUP(B189,'Employee Master'!$A$2:$A$500,'Employee Master'!$C$2:$C$500,""),"")</f>
        <v/>
      </c>
      <c r="E189" s="31" t="str">
        <f t="array" ref="E189">IFERROR(_xlfn.XLOOKUP(B189,'Employee Master'!$A$2:$A$500,'Employee Master'!$E$2:$E$500,""),"")</f>
        <v/>
      </c>
      <c r="F189" s="31"/>
      <c r="G189" s="39"/>
      <c r="H189" s="31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5"/>
      <c r="B190" s="31"/>
      <c r="C190" s="31" t="str">
        <f t="array" ref="C190">IFERROR(_xlfn.XLOOKUP(B190,'Employee Master'!$A$2:$A$500,'Employee Master'!$B$2:$B$500,""),"")</f>
        <v/>
      </c>
      <c r="D190" s="31" t="str">
        <f t="array" ref="D190">IFERROR(_xlfn.XLOOKUP(B190,'Employee Master'!$A$2:$A$500,'Employee Master'!$C$2:$C$500,""),"")</f>
        <v/>
      </c>
      <c r="E190" s="31" t="str">
        <f t="array" ref="E190">IFERROR(_xlfn.XLOOKUP(B190,'Employee Master'!$A$2:$A$500,'Employee Master'!$E$2:$E$500,""),"")</f>
        <v/>
      </c>
      <c r="F190" s="31"/>
      <c r="G190" s="39"/>
      <c r="H190" s="31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5"/>
      <c r="B191" s="31"/>
      <c r="C191" s="31" t="str">
        <f t="array" ref="C191">IFERROR(_xlfn.XLOOKUP(B191,'Employee Master'!$A$2:$A$500,'Employee Master'!$B$2:$B$500,""),"")</f>
        <v/>
      </c>
      <c r="D191" s="31" t="str">
        <f t="array" ref="D191">IFERROR(_xlfn.XLOOKUP(B191,'Employee Master'!$A$2:$A$500,'Employee Master'!$C$2:$C$500,""),"")</f>
        <v/>
      </c>
      <c r="E191" s="31" t="str">
        <f t="array" ref="E191">IFERROR(_xlfn.XLOOKUP(B191,'Employee Master'!$A$2:$A$500,'Employee Master'!$E$2:$E$500,""),"")</f>
        <v/>
      </c>
      <c r="F191" s="31"/>
      <c r="G191" s="39"/>
      <c r="H191" s="31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5"/>
      <c r="B192" s="31"/>
      <c r="C192" s="31" t="str">
        <f t="array" ref="C192">IFERROR(_xlfn.XLOOKUP(B192,'Employee Master'!$A$2:$A$500,'Employee Master'!$B$2:$B$500,""),"")</f>
        <v/>
      </c>
      <c r="D192" s="31" t="str">
        <f t="array" ref="D192">IFERROR(_xlfn.XLOOKUP(B192,'Employee Master'!$A$2:$A$500,'Employee Master'!$C$2:$C$500,""),"")</f>
        <v/>
      </c>
      <c r="E192" s="31" t="str">
        <f t="array" ref="E192">IFERROR(_xlfn.XLOOKUP(B192,'Employee Master'!$A$2:$A$500,'Employee Master'!$E$2:$E$500,""),"")</f>
        <v/>
      </c>
      <c r="F192" s="31"/>
      <c r="G192" s="39"/>
      <c r="H192" s="31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5"/>
      <c r="B193" s="31"/>
      <c r="C193" s="31" t="str">
        <f t="array" ref="C193">IFERROR(_xlfn.XLOOKUP(B193,'Employee Master'!$A$2:$A$500,'Employee Master'!$B$2:$B$500,""),"")</f>
        <v/>
      </c>
      <c r="D193" s="31" t="str">
        <f t="array" ref="D193">IFERROR(_xlfn.XLOOKUP(B193,'Employee Master'!$A$2:$A$500,'Employee Master'!$C$2:$C$500,""),"")</f>
        <v/>
      </c>
      <c r="E193" s="31" t="str">
        <f t="array" ref="E193">IFERROR(_xlfn.XLOOKUP(B193,'Employee Master'!$A$2:$A$500,'Employee Master'!$E$2:$E$500,""),"")</f>
        <v/>
      </c>
      <c r="F193" s="31"/>
      <c r="G193" s="39"/>
      <c r="H193" s="31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5"/>
      <c r="B194" s="31"/>
      <c r="C194" s="31" t="str">
        <f t="array" ref="C194">IFERROR(_xlfn.XLOOKUP(B194,'Employee Master'!$A$2:$A$500,'Employee Master'!$B$2:$B$500,""),"")</f>
        <v/>
      </c>
      <c r="D194" s="31" t="str">
        <f t="array" ref="D194">IFERROR(_xlfn.XLOOKUP(B194,'Employee Master'!$A$2:$A$500,'Employee Master'!$C$2:$C$500,""),"")</f>
        <v/>
      </c>
      <c r="E194" s="31" t="str">
        <f t="array" ref="E194">IFERROR(_xlfn.XLOOKUP(B194,'Employee Master'!$A$2:$A$500,'Employee Master'!$E$2:$E$500,""),"")</f>
        <v/>
      </c>
      <c r="F194" s="31"/>
      <c r="G194" s="39"/>
      <c r="H194" s="31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5"/>
      <c r="B195" s="31"/>
      <c r="C195" s="31" t="str">
        <f t="array" ref="C195">IFERROR(_xlfn.XLOOKUP(B195,'Employee Master'!$A$2:$A$500,'Employee Master'!$B$2:$B$500,""),"")</f>
        <v/>
      </c>
      <c r="D195" s="31" t="str">
        <f t="array" ref="D195">IFERROR(_xlfn.XLOOKUP(B195,'Employee Master'!$A$2:$A$500,'Employee Master'!$C$2:$C$500,""),"")</f>
        <v/>
      </c>
      <c r="E195" s="31" t="str">
        <f t="array" ref="E195">IFERROR(_xlfn.XLOOKUP(B195,'Employee Master'!$A$2:$A$500,'Employee Master'!$E$2:$E$500,""),"")</f>
        <v/>
      </c>
      <c r="F195" s="31"/>
      <c r="G195" s="39"/>
      <c r="H195" s="31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5"/>
      <c r="B196" s="31"/>
      <c r="C196" s="31" t="str">
        <f t="array" ref="C196">IFERROR(_xlfn.XLOOKUP(B196,'Employee Master'!$A$2:$A$500,'Employee Master'!$B$2:$B$500,""),"")</f>
        <v/>
      </c>
      <c r="D196" s="31" t="str">
        <f t="array" ref="D196">IFERROR(_xlfn.XLOOKUP(B196,'Employee Master'!$A$2:$A$500,'Employee Master'!$C$2:$C$500,""),"")</f>
        <v/>
      </c>
      <c r="E196" s="31" t="str">
        <f t="array" ref="E196">IFERROR(_xlfn.XLOOKUP(B196,'Employee Master'!$A$2:$A$500,'Employee Master'!$E$2:$E$500,""),"")</f>
        <v/>
      </c>
      <c r="F196" s="31"/>
      <c r="G196" s="39"/>
      <c r="H196" s="31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5"/>
      <c r="B197" s="31"/>
      <c r="C197" s="31" t="str">
        <f t="array" ref="C197">IFERROR(_xlfn.XLOOKUP(B197,'Employee Master'!$A$2:$A$500,'Employee Master'!$B$2:$B$500,""),"")</f>
        <v/>
      </c>
      <c r="D197" s="31" t="str">
        <f t="array" ref="D197">IFERROR(_xlfn.XLOOKUP(B197,'Employee Master'!$A$2:$A$500,'Employee Master'!$C$2:$C$500,""),"")</f>
        <v/>
      </c>
      <c r="E197" s="31" t="str">
        <f t="array" ref="E197">IFERROR(_xlfn.XLOOKUP(B197,'Employee Master'!$A$2:$A$500,'Employee Master'!$E$2:$E$500,""),"")</f>
        <v/>
      </c>
      <c r="F197" s="31"/>
      <c r="G197" s="39"/>
      <c r="H197" s="31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5"/>
      <c r="B198" s="31"/>
      <c r="C198" s="31" t="str">
        <f t="array" ref="C198">IFERROR(_xlfn.XLOOKUP(B198,'Employee Master'!$A$2:$A$500,'Employee Master'!$B$2:$B$500,""),"")</f>
        <v/>
      </c>
      <c r="D198" s="31" t="str">
        <f t="array" ref="D198">IFERROR(_xlfn.XLOOKUP(B198,'Employee Master'!$A$2:$A$500,'Employee Master'!$C$2:$C$500,""),"")</f>
        <v/>
      </c>
      <c r="E198" s="31" t="str">
        <f t="array" ref="E198">IFERROR(_xlfn.XLOOKUP(B198,'Employee Master'!$A$2:$A$500,'Employee Master'!$E$2:$E$500,""),"")</f>
        <v/>
      </c>
      <c r="F198" s="31"/>
      <c r="G198" s="39"/>
      <c r="H198" s="31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5"/>
      <c r="B199" s="31"/>
      <c r="C199" s="31" t="str">
        <f t="array" ref="C199">IFERROR(_xlfn.XLOOKUP(B199,'Employee Master'!$A$2:$A$500,'Employee Master'!$B$2:$B$500,""),"")</f>
        <v/>
      </c>
      <c r="D199" s="31" t="str">
        <f t="array" ref="D199">IFERROR(_xlfn.XLOOKUP(B199,'Employee Master'!$A$2:$A$500,'Employee Master'!$C$2:$C$500,""),"")</f>
        <v/>
      </c>
      <c r="E199" s="31" t="str">
        <f t="array" ref="E199">IFERROR(_xlfn.XLOOKUP(B199,'Employee Master'!$A$2:$A$500,'Employee Master'!$E$2:$E$500,""),"")</f>
        <v/>
      </c>
      <c r="F199" s="31"/>
      <c r="G199" s="39"/>
      <c r="H199" s="31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5"/>
      <c r="B200" s="31"/>
      <c r="C200" s="31" t="str">
        <f t="array" ref="C200">IFERROR(_xlfn.XLOOKUP(B200,'Employee Master'!$A$2:$A$500,'Employee Master'!$B$2:$B$500,""),"")</f>
        <v/>
      </c>
      <c r="D200" s="31" t="str">
        <f t="array" ref="D200">IFERROR(_xlfn.XLOOKUP(B200,'Employee Master'!$A$2:$A$500,'Employee Master'!$C$2:$C$500,""),"")</f>
        <v/>
      </c>
      <c r="E200" s="31" t="str">
        <f t="array" ref="E200">IFERROR(_xlfn.XLOOKUP(B200,'Employee Master'!$A$2:$A$500,'Employee Master'!$E$2:$E$500,""),"")</f>
        <v/>
      </c>
      <c r="F200" s="31"/>
      <c r="G200" s="39"/>
      <c r="H200" s="31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5"/>
      <c r="B201" s="31"/>
      <c r="C201" s="31" t="str">
        <f t="array" ref="C201">IFERROR(_xlfn.XLOOKUP(B201,'Employee Master'!$A$2:$A$500,'Employee Master'!$B$2:$B$500,""),"")</f>
        <v/>
      </c>
      <c r="D201" s="31" t="str">
        <f t="array" ref="D201">IFERROR(_xlfn.XLOOKUP(B201,'Employee Master'!$A$2:$A$500,'Employee Master'!$C$2:$C$500,""),"")</f>
        <v/>
      </c>
      <c r="E201" s="31" t="str">
        <f t="array" ref="E201">IFERROR(_xlfn.XLOOKUP(B201,'Employee Master'!$A$2:$A$500,'Employee Master'!$E$2:$E$500,""),"")</f>
        <v/>
      </c>
      <c r="F201" s="31"/>
      <c r="G201" s="39"/>
      <c r="H201" s="31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5"/>
      <c r="B202" s="31"/>
      <c r="C202" s="31" t="str">
        <f t="array" ref="C202">IFERROR(_xlfn.XLOOKUP(B202,'Employee Master'!$A$2:$A$500,'Employee Master'!$B$2:$B$500,""),"")</f>
        <v/>
      </c>
      <c r="D202" s="31" t="str">
        <f t="array" ref="D202">IFERROR(_xlfn.XLOOKUP(B202,'Employee Master'!$A$2:$A$500,'Employee Master'!$C$2:$C$500,""),"")</f>
        <v/>
      </c>
      <c r="E202" s="31" t="str">
        <f t="array" ref="E202">IFERROR(_xlfn.XLOOKUP(B202,'Employee Master'!$A$2:$A$500,'Employee Master'!$E$2:$E$500,""),"")</f>
        <v/>
      </c>
      <c r="F202" s="31"/>
      <c r="G202" s="39"/>
      <c r="H202" s="31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5"/>
      <c r="B203" s="31"/>
      <c r="C203" s="31" t="str">
        <f t="array" ref="C203">IFERROR(_xlfn.XLOOKUP(B203,'Employee Master'!$A$2:$A$500,'Employee Master'!$B$2:$B$500,""),"")</f>
        <v/>
      </c>
      <c r="D203" s="31" t="str">
        <f t="array" ref="D203">IFERROR(_xlfn.XLOOKUP(B203,'Employee Master'!$A$2:$A$500,'Employee Master'!$C$2:$C$500,""),"")</f>
        <v/>
      </c>
      <c r="E203" s="31" t="str">
        <f t="array" ref="E203">IFERROR(_xlfn.XLOOKUP(B203,'Employee Master'!$A$2:$A$500,'Employee Master'!$E$2:$E$500,""),"")</f>
        <v/>
      </c>
      <c r="F203" s="31"/>
      <c r="G203" s="39"/>
      <c r="H203" s="31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5"/>
      <c r="B204" s="31"/>
      <c r="C204" s="31" t="str">
        <f t="array" ref="C204">IFERROR(_xlfn.XLOOKUP(B204,'Employee Master'!$A$2:$A$500,'Employee Master'!$B$2:$B$500,""),"")</f>
        <v/>
      </c>
      <c r="D204" s="31" t="str">
        <f t="array" ref="D204">IFERROR(_xlfn.XLOOKUP(B204,'Employee Master'!$A$2:$A$500,'Employee Master'!$C$2:$C$500,""),"")</f>
        <v/>
      </c>
      <c r="E204" s="31" t="str">
        <f t="array" ref="E204">IFERROR(_xlfn.XLOOKUP(B204,'Employee Master'!$A$2:$A$500,'Employee Master'!$E$2:$E$500,""),"")</f>
        <v/>
      </c>
      <c r="F204" s="31"/>
      <c r="G204" s="39"/>
      <c r="H204" s="31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5"/>
      <c r="B205" s="31"/>
      <c r="C205" s="31" t="str">
        <f t="array" ref="C205">IFERROR(_xlfn.XLOOKUP(B205,'Employee Master'!$A$2:$A$500,'Employee Master'!$B$2:$B$500,""),"")</f>
        <v/>
      </c>
      <c r="D205" s="31" t="str">
        <f t="array" ref="D205">IFERROR(_xlfn.XLOOKUP(B205,'Employee Master'!$A$2:$A$500,'Employee Master'!$C$2:$C$500,""),"")</f>
        <v/>
      </c>
      <c r="E205" s="31" t="str">
        <f t="array" ref="E205">IFERROR(_xlfn.XLOOKUP(B205,'Employee Master'!$A$2:$A$500,'Employee Master'!$E$2:$E$500,""),"")</f>
        <v/>
      </c>
      <c r="F205" s="31"/>
      <c r="G205" s="39"/>
      <c r="H205" s="31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5"/>
      <c r="B206" s="31"/>
      <c r="C206" s="31" t="str">
        <f t="array" ref="C206">IFERROR(_xlfn.XLOOKUP(B206,'Employee Master'!$A$2:$A$500,'Employee Master'!$B$2:$B$500,""),"")</f>
        <v/>
      </c>
      <c r="D206" s="31" t="str">
        <f t="array" ref="D206">IFERROR(_xlfn.XLOOKUP(B206,'Employee Master'!$A$2:$A$500,'Employee Master'!$C$2:$C$500,""),"")</f>
        <v/>
      </c>
      <c r="E206" s="31" t="str">
        <f t="array" ref="E206">IFERROR(_xlfn.XLOOKUP(B206,'Employee Master'!$A$2:$A$500,'Employee Master'!$E$2:$E$500,""),"")</f>
        <v/>
      </c>
      <c r="F206" s="31"/>
      <c r="G206" s="39"/>
      <c r="H206" s="31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5"/>
      <c r="B207" s="31"/>
      <c r="C207" s="31" t="str">
        <f t="array" ref="C207">IFERROR(_xlfn.XLOOKUP(B207,'Employee Master'!$A$2:$A$500,'Employee Master'!$B$2:$B$500,""),"")</f>
        <v/>
      </c>
      <c r="D207" s="31" t="str">
        <f t="array" ref="D207">IFERROR(_xlfn.XLOOKUP(B207,'Employee Master'!$A$2:$A$500,'Employee Master'!$C$2:$C$500,""),"")</f>
        <v/>
      </c>
      <c r="E207" s="31" t="str">
        <f t="array" ref="E207">IFERROR(_xlfn.XLOOKUP(B207,'Employee Master'!$A$2:$A$500,'Employee Master'!$E$2:$E$500,""),"")</f>
        <v/>
      </c>
      <c r="F207" s="31"/>
      <c r="G207" s="39"/>
      <c r="H207" s="31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5"/>
      <c r="B208" s="31"/>
      <c r="C208" s="31" t="str">
        <f t="array" ref="C208">IFERROR(_xlfn.XLOOKUP(B208,'Employee Master'!$A$2:$A$500,'Employee Master'!$B$2:$B$500,""),"")</f>
        <v/>
      </c>
      <c r="D208" s="31" t="str">
        <f t="array" ref="D208">IFERROR(_xlfn.XLOOKUP(B208,'Employee Master'!$A$2:$A$500,'Employee Master'!$C$2:$C$500,""),"")</f>
        <v/>
      </c>
      <c r="E208" s="31" t="str">
        <f t="array" ref="E208">IFERROR(_xlfn.XLOOKUP(B208,'Employee Master'!$A$2:$A$500,'Employee Master'!$E$2:$E$500,""),"")</f>
        <v/>
      </c>
      <c r="F208" s="31"/>
      <c r="G208" s="39"/>
      <c r="H208" s="31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5"/>
      <c r="B209" s="31"/>
      <c r="C209" s="31" t="str">
        <f t="array" ref="C209">IFERROR(_xlfn.XLOOKUP(B209,'Employee Master'!$A$2:$A$500,'Employee Master'!$B$2:$B$500,""),"")</f>
        <v/>
      </c>
      <c r="D209" s="31" t="str">
        <f t="array" ref="D209">IFERROR(_xlfn.XLOOKUP(B209,'Employee Master'!$A$2:$A$500,'Employee Master'!$C$2:$C$500,""),"")</f>
        <v/>
      </c>
      <c r="E209" s="31" t="str">
        <f t="array" ref="E209">IFERROR(_xlfn.XLOOKUP(B209,'Employee Master'!$A$2:$A$500,'Employee Master'!$E$2:$E$500,""),"")</f>
        <v/>
      </c>
      <c r="F209" s="31"/>
      <c r="G209" s="39"/>
      <c r="H209" s="31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5"/>
      <c r="B210" s="31"/>
      <c r="C210" s="31" t="str">
        <f t="array" ref="C210">IFERROR(_xlfn.XLOOKUP(B210,'Employee Master'!$A$2:$A$500,'Employee Master'!$B$2:$B$500,""),"")</f>
        <v/>
      </c>
      <c r="D210" s="31" t="str">
        <f t="array" ref="D210">IFERROR(_xlfn.XLOOKUP(B210,'Employee Master'!$A$2:$A$500,'Employee Master'!$C$2:$C$500,""),"")</f>
        <v/>
      </c>
      <c r="E210" s="31" t="str">
        <f t="array" ref="E210">IFERROR(_xlfn.XLOOKUP(B210,'Employee Master'!$A$2:$A$500,'Employee Master'!$E$2:$E$500,""),"")</f>
        <v/>
      </c>
      <c r="F210" s="31"/>
      <c r="G210" s="39"/>
      <c r="H210" s="31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5"/>
      <c r="B211" s="31"/>
      <c r="C211" s="31" t="str">
        <f t="array" ref="C211">IFERROR(_xlfn.XLOOKUP(B211,'Employee Master'!$A$2:$A$500,'Employee Master'!$B$2:$B$500,""),"")</f>
        <v/>
      </c>
      <c r="D211" s="31" t="str">
        <f t="array" ref="D211">IFERROR(_xlfn.XLOOKUP(B211,'Employee Master'!$A$2:$A$500,'Employee Master'!$C$2:$C$500,""),"")</f>
        <v/>
      </c>
      <c r="E211" s="31" t="str">
        <f t="array" ref="E211">IFERROR(_xlfn.XLOOKUP(B211,'Employee Master'!$A$2:$A$500,'Employee Master'!$E$2:$E$500,""),"")</f>
        <v/>
      </c>
      <c r="F211" s="31"/>
      <c r="G211" s="39"/>
      <c r="H211" s="31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5"/>
      <c r="B212" s="31"/>
      <c r="C212" s="31" t="str">
        <f t="array" ref="C212">IFERROR(_xlfn.XLOOKUP(B212,'Employee Master'!$A$2:$A$500,'Employee Master'!$B$2:$B$500,""),"")</f>
        <v/>
      </c>
      <c r="D212" s="31" t="str">
        <f t="array" ref="D212">IFERROR(_xlfn.XLOOKUP(B212,'Employee Master'!$A$2:$A$500,'Employee Master'!$C$2:$C$500,""),"")</f>
        <v/>
      </c>
      <c r="E212" s="31" t="str">
        <f t="array" ref="E212">IFERROR(_xlfn.XLOOKUP(B212,'Employee Master'!$A$2:$A$500,'Employee Master'!$E$2:$E$500,""),"")</f>
        <v/>
      </c>
      <c r="F212" s="31"/>
      <c r="G212" s="39"/>
      <c r="H212" s="31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5"/>
      <c r="B213" s="31"/>
      <c r="C213" s="31" t="str">
        <f t="array" ref="C213">IFERROR(_xlfn.XLOOKUP(B213,'Employee Master'!$A$2:$A$500,'Employee Master'!$B$2:$B$500,""),"")</f>
        <v/>
      </c>
      <c r="D213" s="31" t="str">
        <f t="array" ref="D213">IFERROR(_xlfn.XLOOKUP(B213,'Employee Master'!$A$2:$A$500,'Employee Master'!$C$2:$C$500,""),"")</f>
        <v/>
      </c>
      <c r="E213" s="31" t="str">
        <f t="array" ref="E213">IFERROR(_xlfn.XLOOKUP(B213,'Employee Master'!$A$2:$A$500,'Employee Master'!$E$2:$E$500,""),"")</f>
        <v/>
      </c>
      <c r="F213" s="31"/>
      <c r="G213" s="39"/>
      <c r="H213" s="31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5"/>
      <c r="B214" s="31"/>
      <c r="C214" s="31" t="str">
        <f t="array" ref="C214">IFERROR(_xlfn.XLOOKUP(B214,'Employee Master'!$A$2:$A$500,'Employee Master'!$B$2:$B$500,""),"")</f>
        <v/>
      </c>
      <c r="D214" s="31" t="str">
        <f t="array" ref="D214">IFERROR(_xlfn.XLOOKUP(B214,'Employee Master'!$A$2:$A$500,'Employee Master'!$C$2:$C$500,""),"")</f>
        <v/>
      </c>
      <c r="E214" s="31" t="str">
        <f t="array" ref="E214">IFERROR(_xlfn.XLOOKUP(B214,'Employee Master'!$A$2:$A$500,'Employee Master'!$E$2:$E$500,""),"")</f>
        <v/>
      </c>
      <c r="F214" s="31"/>
      <c r="G214" s="39"/>
      <c r="H214" s="31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5"/>
      <c r="B215" s="31"/>
      <c r="C215" s="31" t="str">
        <f t="array" ref="C215">IFERROR(_xlfn.XLOOKUP(B215,'Employee Master'!$A$2:$A$500,'Employee Master'!$B$2:$B$500,""),"")</f>
        <v/>
      </c>
      <c r="D215" s="31" t="str">
        <f t="array" ref="D215">IFERROR(_xlfn.XLOOKUP(B215,'Employee Master'!$A$2:$A$500,'Employee Master'!$C$2:$C$500,""),"")</f>
        <v/>
      </c>
      <c r="E215" s="31" t="str">
        <f t="array" ref="E215">IFERROR(_xlfn.XLOOKUP(B215,'Employee Master'!$A$2:$A$500,'Employee Master'!$E$2:$E$500,""),"")</f>
        <v/>
      </c>
      <c r="F215" s="31"/>
      <c r="G215" s="39"/>
      <c r="H215" s="31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5"/>
      <c r="B216" s="31"/>
      <c r="C216" s="31" t="str">
        <f t="array" ref="C216">IFERROR(_xlfn.XLOOKUP(B216,'Employee Master'!$A$2:$A$500,'Employee Master'!$B$2:$B$500,""),"")</f>
        <v/>
      </c>
      <c r="D216" s="31" t="str">
        <f t="array" ref="D216">IFERROR(_xlfn.XLOOKUP(B216,'Employee Master'!$A$2:$A$500,'Employee Master'!$C$2:$C$500,""),"")</f>
        <v/>
      </c>
      <c r="E216" s="31" t="str">
        <f t="array" ref="E216">IFERROR(_xlfn.XLOOKUP(B216,'Employee Master'!$A$2:$A$500,'Employee Master'!$E$2:$E$500,""),"")</f>
        <v/>
      </c>
      <c r="F216" s="31"/>
      <c r="G216" s="39"/>
      <c r="H216" s="31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5"/>
      <c r="B217" s="31"/>
      <c r="C217" s="31" t="str">
        <f t="array" ref="C217">IFERROR(_xlfn.XLOOKUP(B217,'Employee Master'!$A$2:$A$500,'Employee Master'!$B$2:$B$500,""),"")</f>
        <v/>
      </c>
      <c r="D217" s="31" t="str">
        <f t="array" ref="D217">IFERROR(_xlfn.XLOOKUP(B217,'Employee Master'!$A$2:$A$500,'Employee Master'!$C$2:$C$500,""),"")</f>
        <v/>
      </c>
      <c r="E217" s="31" t="str">
        <f t="array" ref="E217">IFERROR(_xlfn.XLOOKUP(B217,'Employee Master'!$A$2:$A$500,'Employee Master'!$E$2:$E$500,""),"")</f>
        <v/>
      </c>
      <c r="F217" s="31"/>
      <c r="G217" s="39"/>
      <c r="H217" s="31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5"/>
      <c r="B218" s="31"/>
      <c r="C218" s="31" t="str">
        <f t="array" ref="C218">IFERROR(_xlfn.XLOOKUP(B218,'Employee Master'!$A$2:$A$500,'Employee Master'!$B$2:$B$500,""),"")</f>
        <v/>
      </c>
      <c r="D218" s="31" t="str">
        <f t="array" ref="D218">IFERROR(_xlfn.XLOOKUP(B218,'Employee Master'!$A$2:$A$500,'Employee Master'!$C$2:$C$500,""),"")</f>
        <v/>
      </c>
      <c r="E218" s="31" t="str">
        <f t="array" ref="E218">IFERROR(_xlfn.XLOOKUP(B218,'Employee Master'!$A$2:$A$500,'Employee Master'!$E$2:$E$500,""),"")</f>
        <v/>
      </c>
      <c r="F218" s="31"/>
      <c r="G218" s="39"/>
      <c r="H218" s="31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5"/>
      <c r="B219" s="31"/>
      <c r="C219" s="31" t="str">
        <f t="array" ref="C219">IFERROR(_xlfn.XLOOKUP(B219,'Employee Master'!$A$2:$A$500,'Employee Master'!$B$2:$B$500,""),"")</f>
        <v/>
      </c>
      <c r="D219" s="31" t="str">
        <f t="array" ref="D219">IFERROR(_xlfn.XLOOKUP(B219,'Employee Master'!$A$2:$A$500,'Employee Master'!$C$2:$C$500,""),"")</f>
        <v/>
      </c>
      <c r="E219" s="31" t="str">
        <f t="array" ref="E219">IFERROR(_xlfn.XLOOKUP(B219,'Employee Master'!$A$2:$A$500,'Employee Master'!$E$2:$E$500,""),"")</f>
        <v/>
      </c>
      <c r="F219" s="31"/>
      <c r="G219" s="39"/>
      <c r="H219" s="31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5"/>
      <c r="B220" s="31"/>
      <c r="C220" s="31" t="str">
        <f t="array" ref="C220">IFERROR(_xlfn.XLOOKUP(B220,'Employee Master'!$A$2:$A$500,'Employee Master'!$B$2:$B$500,""),"")</f>
        <v/>
      </c>
      <c r="D220" s="31" t="str">
        <f t="array" ref="D220">IFERROR(_xlfn.XLOOKUP(B220,'Employee Master'!$A$2:$A$500,'Employee Master'!$C$2:$C$500,""),"")</f>
        <v/>
      </c>
      <c r="E220" s="31" t="str">
        <f t="array" ref="E220">IFERROR(_xlfn.XLOOKUP(B220,'Employee Master'!$A$2:$A$500,'Employee Master'!$E$2:$E$500,""),"")</f>
        <v/>
      </c>
      <c r="F220" s="31"/>
      <c r="G220" s="39"/>
      <c r="H220" s="31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5"/>
      <c r="B221" s="31"/>
      <c r="C221" s="31" t="str">
        <f t="array" ref="C221">IFERROR(_xlfn.XLOOKUP(B221,'Employee Master'!$A$2:$A$500,'Employee Master'!$B$2:$B$500,""),"")</f>
        <v/>
      </c>
      <c r="D221" s="31" t="str">
        <f t="array" ref="D221">IFERROR(_xlfn.XLOOKUP(B221,'Employee Master'!$A$2:$A$500,'Employee Master'!$C$2:$C$500,""),"")</f>
        <v/>
      </c>
      <c r="E221" s="31" t="str">
        <f t="array" ref="E221">IFERROR(_xlfn.XLOOKUP(B221,'Employee Master'!$A$2:$A$500,'Employee Master'!$E$2:$E$500,""),"")</f>
        <v/>
      </c>
      <c r="F221" s="31"/>
      <c r="G221" s="39"/>
      <c r="H221" s="31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5"/>
      <c r="B222" s="31"/>
      <c r="C222" s="31" t="str">
        <f t="array" ref="C222">IFERROR(_xlfn.XLOOKUP(B222,'Employee Master'!$A$2:$A$500,'Employee Master'!$B$2:$B$500,""),"")</f>
        <v/>
      </c>
      <c r="D222" s="31" t="str">
        <f t="array" ref="D222">IFERROR(_xlfn.XLOOKUP(B222,'Employee Master'!$A$2:$A$500,'Employee Master'!$C$2:$C$500,""),"")</f>
        <v/>
      </c>
      <c r="E222" s="31" t="str">
        <f t="array" ref="E222">IFERROR(_xlfn.XLOOKUP(B222,'Employee Master'!$A$2:$A$500,'Employee Master'!$E$2:$E$500,""),"")</f>
        <v/>
      </c>
      <c r="F222" s="31"/>
      <c r="G222" s="39"/>
      <c r="H222" s="31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5"/>
      <c r="B223" s="31"/>
      <c r="C223" s="31" t="str">
        <f t="array" ref="C223">IFERROR(_xlfn.XLOOKUP(B223,'Employee Master'!$A$2:$A$500,'Employee Master'!$B$2:$B$500,""),"")</f>
        <v/>
      </c>
      <c r="D223" s="31" t="str">
        <f t="array" ref="D223">IFERROR(_xlfn.XLOOKUP(B223,'Employee Master'!$A$2:$A$500,'Employee Master'!$C$2:$C$500,""),"")</f>
        <v/>
      </c>
      <c r="E223" s="31" t="str">
        <f t="array" ref="E223">IFERROR(_xlfn.XLOOKUP(B223,'Employee Master'!$A$2:$A$500,'Employee Master'!$E$2:$E$500,""),"")</f>
        <v/>
      </c>
      <c r="F223" s="31"/>
      <c r="G223" s="39"/>
      <c r="H223" s="31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5"/>
      <c r="B224" s="31"/>
      <c r="C224" s="31" t="str">
        <f t="array" ref="C224">IFERROR(_xlfn.XLOOKUP(B224,'Employee Master'!$A$2:$A$500,'Employee Master'!$B$2:$B$500,""),"")</f>
        <v/>
      </c>
      <c r="D224" s="31" t="str">
        <f t="array" ref="D224">IFERROR(_xlfn.XLOOKUP(B224,'Employee Master'!$A$2:$A$500,'Employee Master'!$C$2:$C$500,""),"")</f>
        <v/>
      </c>
      <c r="E224" s="31" t="str">
        <f t="array" ref="E224">IFERROR(_xlfn.XLOOKUP(B224,'Employee Master'!$A$2:$A$500,'Employee Master'!$E$2:$E$500,""),"")</f>
        <v/>
      </c>
      <c r="F224" s="31"/>
      <c r="G224" s="39"/>
      <c r="H224" s="31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5"/>
      <c r="B225" s="31"/>
      <c r="C225" s="31" t="str">
        <f t="array" ref="C225">IFERROR(_xlfn.XLOOKUP(B225,'Employee Master'!$A$2:$A$500,'Employee Master'!$B$2:$B$500,""),"")</f>
        <v/>
      </c>
      <c r="D225" s="31" t="str">
        <f t="array" ref="D225">IFERROR(_xlfn.XLOOKUP(B225,'Employee Master'!$A$2:$A$500,'Employee Master'!$C$2:$C$500,""),"")</f>
        <v/>
      </c>
      <c r="E225" s="31" t="str">
        <f t="array" ref="E225">IFERROR(_xlfn.XLOOKUP(B225,'Employee Master'!$A$2:$A$500,'Employee Master'!$E$2:$E$500,""),"")</f>
        <v/>
      </c>
      <c r="F225" s="31"/>
      <c r="G225" s="39"/>
      <c r="H225" s="31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5"/>
      <c r="B226" s="31"/>
      <c r="C226" s="31" t="str">
        <f t="array" ref="C226">IFERROR(_xlfn.XLOOKUP(B226,'Employee Master'!$A$2:$A$500,'Employee Master'!$B$2:$B$500,""),"")</f>
        <v/>
      </c>
      <c r="D226" s="31" t="str">
        <f t="array" ref="D226">IFERROR(_xlfn.XLOOKUP(B226,'Employee Master'!$A$2:$A$500,'Employee Master'!$C$2:$C$500,""),"")</f>
        <v/>
      </c>
      <c r="E226" s="31" t="str">
        <f t="array" ref="E226">IFERROR(_xlfn.XLOOKUP(B226,'Employee Master'!$A$2:$A$500,'Employee Master'!$E$2:$E$500,""),"")</f>
        <v/>
      </c>
      <c r="F226" s="31"/>
      <c r="G226" s="39"/>
      <c r="H226" s="31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5"/>
      <c r="B227" s="31"/>
      <c r="C227" s="31" t="str">
        <f t="array" ref="C227">IFERROR(_xlfn.XLOOKUP(B227,'Employee Master'!$A$2:$A$500,'Employee Master'!$B$2:$B$500,""),"")</f>
        <v/>
      </c>
      <c r="D227" s="31" t="str">
        <f t="array" ref="D227">IFERROR(_xlfn.XLOOKUP(B227,'Employee Master'!$A$2:$A$500,'Employee Master'!$C$2:$C$500,""),"")</f>
        <v/>
      </c>
      <c r="E227" s="31" t="str">
        <f t="array" ref="E227">IFERROR(_xlfn.XLOOKUP(B227,'Employee Master'!$A$2:$A$500,'Employee Master'!$E$2:$E$500,""),"")</f>
        <v/>
      </c>
      <c r="F227" s="31"/>
      <c r="G227" s="39"/>
      <c r="H227" s="31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5"/>
      <c r="B228" s="31"/>
      <c r="C228" s="31" t="str">
        <f t="array" ref="C228">IFERROR(_xlfn.XLOOKUP(B228,'Employee Master'!$A$2:$A$500,'Employee Master'!$B$2:$B$500,""),"")</f>
        <v/>
      </c>
      <c r="D228" s="31" t="str">
        <f t="array" ref="D228">IFERROR(_xlfn.XLOOKUP(B228,'Employee Master'!$A$2:$A$500,'Employee Master'!$C$2:$C$500,""),"")</f>
        <v/>
      </c>
      <c r="E228" s="31" t="str">
        <f t="array" ref="E228">IFERROR(_xlfn.XLOOKUP(B228,'Employee Master'!$A$2:$A$500,'Employee Master'!$E$2:$E$500,""),"")</f>
        <v/>
      </c>
      <c r="F228" s="31"/>
      <c r="G228" s="39"/>
      <c r="H228" s="31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5"/>
      <c r="B229" s="31"/>
      <c r="C229" s="31" t="str">
        <f t="array" ref="C229">IFERROR(_xlfn.XLOOKUP(B229,'Employee Master'!$A$2:$A$500,'Employee Master'!$B$2:$B$500,""),"")</f>
        <v/>
      </c>
      <c r="D229" s="31" t="str">
        <f t="array" ref="D229">IFERROR(_xlfn.XLOOKUP(B229,'Employee Master'!$A$2:$A$500,'Employee Master'!$C$2:$C$500,""),"")</f>
        <v/>
      </c>
      <c r="E229" s="31" t="str">
        <f t="array" ref="E229">IFERROR(_xlfn.XLOOKUP(B229,'Employee Master'!$A$2:$A$500,'Employee Master'!$E$2:$E$500,""),"")</f>
        <v/>
      </c>
      <c r="F229" s="31"/>
      <c r="G229" s="39"/>
      <c r="H229" s="31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5"/>
      <c r="B230" s="31"/>
      <c r="C230" s="31" t="str">
        <f t="array" ref="C230">IFERROR(_xlfn.XLOOKUP(B230,'Employee Master'!$A$2:$A$500,'Employee Master'!$B$2:$B$500,""),"")</f>
        <v/>
      </c>
      <c r="D230" s="31" t="str">
        <f t="array" ref="D230">IFERROR(_xlfn.XLOOKUP(B230,'Employee Master'!$A$2:$A$500,'Employee Master'!$C$2:$C$500,""),"")</f>
        <v/>
      </c>
      <c r="E230" s="31" t="str">
        <f t="array" ref="E230">IFERROR(_xlfn.XLOOKUP(B230,'Employee Master'!$A$2:$A$500,'Employee Master'!$E$2:$E$500,""),"")</f>
        <v/>
      </c>
      <c r="F230" s="31"/>
      <c r="G230" s="39"/>
      <c r="H230" s="31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5"/>
      <c r="B231" s="31"/>
      <c r="C231" s="31" t="str">
        <f t="array" ref="C231">IFERROR(_xlfn.XLOOKUP(B231,'Employee Master'!$A$2:$A$500,'Employee Master'!$B$2:$B$500,""),"")</f>
        <v/>
      </c>
      <c r="D231" s="31" t="str">
        <f t="array" ref="D231">IFERROR(_xlfn.XLOOKUP(B231,'Employee Master'!$A$2:$A$500,'Employee Master'!$C$2:$C$500,""),"")</f>
        <v/>
      </c>
      <c r="E231" s="31" t="str">
        <f t="array" ref="E231">IFERROR(_xlfn.XLOOKUP(B231,'Employee Master'!$A$2:$A$500,'Employee Master'!$E$2:$E$500,""),"")</f>
        <v/>
      </c>
      <c r="F231" s="31"/>
      <c r="G231" s="39"/>
      <c r="H231" s="31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5"/>
      <c r="B232" s="31"/>
      <c r="C232" s="31" t="str">
        <f t="array" ref="C232">IFERROR(_xlfn.XLOOKUP(B232,'Employee Master'!$A$2:$A$500,'Employee Master'!$B$2:$B$500,""),"")</f>
        <v/>
      </c>
      <c r="D232" s="31" t="str">
        <f t="array" ref="D232">IFERROR(_xlfn.XLOOKUP(B232,'Employee Master'!$A$2:$A$500,'Employee Master'!$C$2:$C$500,""),"")</f>
        <v/>
      </c>
      <c r="E232" s="31" t="str">
        <f t="array" ref="E232">IFERROR(_xlfn.XLOOKUP(B232,'Employee Master'!$A$2:$A$500,'Employee Master'!$E$2:$E$500,""),"")</f>
        <v/>
      </c>
      <c r="F232" s="31"/>
      <c r="G232" s="39"/>
      <c r="H232" s="31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5"/>
      <c r="B233" s="31"/>
      <c r="C233" s="31" t="str">
        <f t="array" ref="C233">IFERROR(_xlfn.XLOOKUP(B233,'Employee Master'!$A$2:$A$500,'Employee Master'!$B$2:$B$500,""),"")</f>
        <v/>
      </c>
      <c r="D233" s="31" t="str">
        <f t="array" ref="D233">IFERROR(_xlfn.XLOOKUP(B233,'Employee Master'!$A$2:$A$500,'Employee Master'!$C$2:$C$500,""),"")</f>
        <v/>
      </c>
      <c r="E233" s="31" t="str">
        <f t="array" ref="E233">IFERROR(_xlfn.XLOOKUP(B233,'Employee Master'!$A$2:$A$500,'Employee Master'!$E$2:$E$500,""),"")</f>
        <v/>
      </c>
      <c r="F233" s="31"/>
      <c r="G233" s="39"/>
      <c r="H233" s="31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5"/>
      <c r="B234" s="31"/>
      <c r="C234" s="31" t="str">
        <f t="array" ref="C234">IFERROR(_xlfn.XLOOKUP(B234,'Employee Master'!$A$2:$A$500,'Employee Master'!$B$2:$B$500,""),"")</f>
        <v/>
      </c>
      <c r="D234" s="31" t="str">
        <f t="array" ref="D234">IFERROR(_xlfn.XLOOKUP(B234,'Employee Master'!$A$2:$A$500,'Employee Master'!$C$2:$C$500,""),"")</f>
        <v/>
      </c>
      <c r="E234" s="31" t="str">
        <f t="array" ref="E234">IFERROR(_xlfn.XLOOKUP(B234,'Employee Master'!$A$2:$A$500,'Employee Master'!$E$2:$E$500,""),"")</f>
        <v/>
      </c>
      <c r="F234" s="31"/>
      <c r="G234" s="39"/>
      <c r="H234" s="31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5"/>
      <c r="B235" s="31"/>
      <c r="C235" s="31" t="str">
        <f t="array" ref="C235">IFERROR(_xlfn.XLOOKUP(B235,'Employee Master'!$A$2:$A$500,'Employee Master'!$B$2:$B$500,""),"")</f>
        <v/>
      </c>
      <c r="D235" s="31" t="str">
        <f t="array" ref="D235">IFERROR(_xlfn.XLOOKUP(B235,'Employee Master'!$A$2:$A$500,'Employee Master'!$C$2:$C$500,""),"")</f>
        <v/>
      </c>
      <c r="E235" s="31" t="str">
        <f t="array" ref="E235">IFERROR(_xlfn.XLOOKUP(B235,'Employee Master'!$A$2:$A$500,'Employee Master'!$E$2:$E$500,""),"")</f>
        <v/>
      </c>
      <c r="F235" s="31"/>
      <c r="G235" s="39"/>
      <c r="H235" s="31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5"/>
      <c r="B236" s="31"/>
      <c r="C236" s="31" t="str">
        <f t="array" ref="C236">IFERROR(_xlfn.XLOOKUP(B236,'Employee Master'!$A$2:$A$500,'Employee Master'!$B$2:$B$500,""),"")</f>
        <v/>
      </c>
      <c r="D236" s="31" t="str">
        <f t="array" ref="D236">IFERROR(_xlfn.XLOOKUP(B236,'Employee Master'!$A$2:$A$500,'Employee Master'!$C$2:$C$500,""),"")</f>
        <v/>
      </c>
      <c r="E236" s="31" t="str">
        <f t="array" ref="E236">IFERROR(_xlfn.XLOOKUP(B236,'Employee Master'!$A$2:$A$500,'Employee Master'!$E$2:$E$500,""),"")</f>
        <v/>
      </c>
      <c r="F236" s="31"/>
      <c r="G236" s="39"/>
      <c r="H236" s="31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5"/>
      <c r="B237" s="31"/>
      <c r="C237" s="31" t="str">
        <f t="array" ref="C237">IFERROR(_xlfn.XLOOKUP(B237,'Employee Master'!$A$2:$A$500,'Employee Master'!$B$2:$B$500,""),"")</f>
        <v/>
      </c>
      <c r="D237" s="31" t="str">
        <f t="array" ref="D237">IFERROR(_xlfn.XLOOKUP(B237,'Employee Master'!$A$2:$A$500,'Employee Master'!$C$2:$C$500,""),"")</f>
        <v/>
      </c>
      <c r="E237" s="31" t="str">
        <f t="array" ref="E237">IFERROR(_xlfn.XLOOKUP(B237,'Employee Master'!$A$2:$A$500,'Employee Master'!$E$2:$E$500,""),"")</f>
        <v/>
      </c>
      <c r="F237" s="31"/>
      <c r="G237" s="39"/>
      <c r="H237" s="31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5"/>
      <c r="B238" s="31"/>
      <c r="C238" s="31" t="str">
        <f t="array" ref="C238">IFERROR(_xlfn.XLOOKUP(B238,'Employee Master'!$A$2:$A$500,'Employee Master'!$B$2:$B$500,""),"")</f>
        <v/>
      </c>
      <c r="D238" s="31" t="str">
        <f t="array" ref="D238">IFERROR(_xlfn.XLOOKUP(B238,'Employee Master'!$A$2:$A$500,'Employee Master'!$C$2:$C$500,""),"")</f>
        <v/>
      </c>
      <c r="E238" s="31" t="str">
        <f t="array" ref="E238">IFERROR(_xlfn.XLOOKUP(B238,'Employee Master'!$A$2:$A$500,'Employee Master'!$E$2:$E$500,""),"")</f>
        <v/>
      </c>
      <c r="F238" s="31"/>
      <c r="G238" s="39"/>
      <c r="H238" s="31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5"/>
      <c r="B239" s="31"/>
      <c r="C239" s="31" t="str">
        <f t="array" ref="C239">IFERROR(_xlfn.XLOOKUP(B239,'Employee Master'!$A$2:$A$500,'Employee Master'!$B$2:$B$500,""),"")</f>
        <v/>
      </c>
      <c r="D239" s="31" t="str">
        <f t="array" ref="D239">IFERROR(_xlfn.XLOOKUP(B239,'Employee Master'!$A$2:$A$500,'Employee Master'!$C$2:$C$500,""),"")</f>
        <v/>
      </c>
      <c r="E239" s="31" t="str">
        <f t="array" ref="E239">IFERROR(_xlfn.XLOOKUP(B239,'Employee Master'!$A$2:$A$500,'Employee Master'!$E$2:$E$500,""),"")</f>
        <v/>
      </c>
      <c r="F239" s="31"/>
      <c r="G239" s="39"/>
      <c r="H239" s="31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5"/>
      <c r="B240" s="31"/>
      <c r="C240" s="31" t="str">
        <f t="array" ref="C240">IFERROR(_xlfn.XLOOKUP(B240,'Employee Master'!$A$2:$A$500,'Employee Master'!$B$2:$B$500,""),"")</f>
        <v/>
      </c>
      <c r="D240" s="31" t="str">
        <f t="array" ref="D240">IFERROR(_xlfn.XLOOKUP(B240,'Employee Master'!$A$2:$A$500,'Employee Master'!$C$2:$C$500,""),"")</f>
        <v/>
      </c>
      <c r="E240" s="31" t="str">
        <f t="array" ref="E240">IFERROR(_xlfn.XLOOKUP(B240,'Employee Master'!$A$2:$A$500,'Employee Master'!$E$2:$E$500,""),"")</f>
        <v/>
      </c>
      <c r="F240" s="31"/>
      <c r="G240" s="39"/>
      <c r="H240" s="31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5"/>
      <c r="B241" s="31"/>
      <c r="C241" s="31" t="str">
        <f t="array" ref="C241">IFERROR(_xlfn.XLOOKUP(B241,'Employee Master'!$A$2:$A$500,'Employee Master'!$B$2:$B$500,""),"")</f>
        <v/>
      </c>
      <c r="D241" s="31" t="str">
        <f t="array" ref="D241">IFERROR(_xlfn.XLOOKUP(B241,'Employee Master'!$A$2:$A$500,'Employee Master'!$C$2:$C$500,""),"")</f>
        <v/>
      </c>
      <c r="E241" s="31" t="str">
        <f t="array" ref="E241">IFERROR(_xlfn.XLOOKUP(B241,'Employee Master'!$A$2:$A$500,'Employee Master'!$E$2:$E$500,""),"")</f>
        <v/>
      </c>
      <c r="F241" s="31"/>
      <c r="G241" s="39"/>
      <c r="H241" s="31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5"/>
      <c r="B242" s="31"/>
      <c r="C242" s="31" t="str">
        <f t="array" ref="C242">IFERROR(_xlfn.XLOOKUP(B242,'Employee Master'!$A$2:$A$500,'Employee Master'!$B$2:$B$500,""),"")</f>
        <v/>
      </c>
      <c r="D242" s="31" t="str">
        <f t="array" ref="D242">IFERROR(_xlfn.XLOOKUP(B242,'Employee Master'!$A$2:$A$500,'Employee Master'!$C$2:$C$500,""),"")</f>
        <v/>
      </c>
      <c r="E242" s="31" t="str">
        <f t="array" ref="E242">IFERROR(_xlfn.XLOOKUP(B242,'Employee Master'!$A$2:$A$500,'Employee Master'!$E$2:$E$500,""),"")</f>
        <v/>
      </c>
      <c r="F242" s="31"/>
      <c r="G242" s="39"/>
      <c r="H242" s="31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5"/>
      <c r="B243" s="31"/>
      <c r="C243" s="31" t="str">
        <f t="array" ref="C243">IFERROR(_xlfn.XLOOKUP(B243,'Employee Master'!$A$2:$A$500,'Employee Master'!$B$2:$B$500,""),"")</f>
        <v/>
      </c>
      <c r="D243" s="31" t="str">
        <f t="array" ref="D243">IFERROR(_xlfn.XLOOKUP(B243,'Employee Master'!$A$2:$A$500,'Employee Master'!$C$2:$C$500,""),"")</f>
        <v/>
      </c>
      <c r="E243" s="31" t="str">
        <f t="array" ref="E243">IFERROR(_xlfn.XLOOKUP(B243,'Employee Master'!$A$2:$A$500,'Employee Master'!$E$2:$E$500,""),"")</f>
        <v/>
      </c>
      <c r="F243" s="31"/>
      <c r="G243" s="39"/>
      <c r="H243" s="31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5"/>
      <c r="B244" s="31"/>
      <c r="C244" s="31" t="str">
        <f t="array" ref="C244">IFERROR(_xlfn.XLOOKUP(B244,'Employee Master'!$A$2:$A$500,'Employee Master'!$B$2:$B$500,""),"")</f>
        <v/>
      </c>
      <c r="D244" s="31" t="str">
        <f t="array" ref="D244">IFERROR(_xlfn.XLOOKUP(B244,'Employee Master'!$A$2:$A$500,'Employee Master'!$C$2:$C$500,""),"")</f>
        <v/>
      </c>
      <c r="E244" s="31" t="str">
        <f t="array" ref="E244">IFERROR(_xlfn.XLOOKUP(B244,'Employee Master'!$A$2:$A$500,'Employee Master'!$E$2:$E$500,""),"")</f>
        <v/>
      </c>
      <c r="F244" s="31"/>
      <c r="G244" s="39"/>
      <c r="H244" s="31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5"/>
      <c r="B245" s="31"/>
      <c r="C245" s="31" t="str">
        <f t="array" ref="C245">IFERROR(_xlfn.XLOOKUP(B245,'Employee Master'!$A$2:$A$500,'Employee Master'!$B$2:$B$500,""),"")</f>
        <v/>
      </c>
      <c r="D245" s="31" t="str">
        <f t="array" ref="D245">IFERROR(_xlfn.XLOOKUP(B245,'Employee Master'!$A$2:$A$500,'Employee Master'!$C$2:$C$500,""),"")</f>
        <v/>
      </c>
      <c r="E245" s="31" t="str">
        <f t="array" ref="E245">IFERROR(_xlfn.XLOOKUP(B245,'Employee Master'!$A$2:$A$500,'Employee Master'!$E$2:$E$500,""),"")</f>
        <v/>
      </c>
      <c r="F245" s="31"/>
      <c r="G245" s="39"/>
      <c r="H245" s="31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5"/>
      <c r="B246" s="31"/>
      <c r="C246" s="31" t="str">
        <f t="array" ref="C246">IFERROR(_xlfn.XLOOKUP(B246,'Employee Master'!$A$2:$A$500,'Employee Master'!$B$2:$B$500,""),"")</f>
        <v/>
      </c>
      <c r="D246" s="31" t="str">
        <f t="array" ref="D246">IFERROR(_xlfn.XLOOKUP(B246,'Employee Master'!$A$2:$A$500,'Employee Master'!$C$2:$C$500,""),"")</f>
        <v/>
      </c>
      <c r="E246" s="31" t="str">
        <f t="array" ref="E246">IFERROR(_xlfn.XLOOKUP(B246,'Employee Master'!$A$2:$A$500,'Employee Master'!$E$2:$E$500,""),"")</f>
        <v/>
      </c>
      <c r="F246" s="31"/>
      <c r="G246" s="39"/>
      <c r="H246" s="31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5"/>
      <c r="B247" s="31"/>
      <c r="C247" s="31" t="str">
        <f t="array" ref="C247">IFERROR(_xlfn.XLOOKUP(B247,'Employee Master'!$A$2:$A$500,'Employee Master'!$B$2:$B$500,""),"")</f>
        <v/>
      </c>
      <c r="D247" s="31" t="str">
        <f t="array" ref="D247">IFERROR(_xlfn.XLOOKUP(B247,'Employee Master'!$A$2:$A$500,'Employee Master'!$C$2:$C$500,""),"")</f>
        <v/>
      </c>
      <c r="E247" s="31" t="str">
        <f t="array" ref="E247">IFERROR(_xlfn.XLOOKUP(B247,'Employee Master'!$A$2:$A$500,'Employee Master'!$E$2:$E$500,""),"")</f>
        <v/>
      </c>
      <c r="F247" s="31"/>
      <c r="G247" s="39"/>
      <c r="H247" s="31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5"/>
      <c r="B248" s="31"/>
      <c r="C248" s="31" t="str">
        <f t="array" ref="C248">IFERROR(_xlfn.XLOOKUP(B248,'Employee Master'!$A$2:$A$500,'Employee Master'!$B$2:$B$500,""),"")</f>
        <v/>
      </c>
      <c r="D248" s="31" t="str">
        <f t="array" ref="D248">IFERROR(_xlfn.XLOOKUP(B248,'Employee Master'!$A$2:$A$500,'Employee Master'!$C$2:$C$500,""),"")</f>
        <v/>
      </c>
      <c r="E248" s="31" t="str">
        <f t="array" ref="E248">IFERROR(_xlfn.XLOOKUP(B248,'Employee Master'!$A$2:$A$500,'Employee Master'!$E$2:$E$500,""),"")</f>
        <v/>
      </c>
      <c r="F248" s="31"/>
      <c r="G248" s="39"/>
      <c r="H248" s="31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5"/>
      <c r="B249" s="31"/>
      <c r="C249" s="31" t="str">
        <f t="array" ref="C249">IFERROR(_xlfn.XLOOKUP(B249,'Employee Master'!$A$2:$A$500,'Employee Master'!$B$2:$B$500,""),"")</f>
        <v/>
      </c>
      <c r="D249" s="31" t="str">
        <f t="array" ref="D249">IFERROR(_xlfn.XLOOKUP(B249,'Employee Master'!$A$2:$A$500,'Employee Master'!$C$2:$C$500,""),"")</f>
        <v/>
      </c>
      <c r="E249" s="31" t="str">
        <f t="array" ref="E249">IFERROR(_xlfn.XLOOKUP(B249,'Employee Master'!$A$2:$A$500,'Employee Master'!$E$2:$E$500,""),"")</f>
        <v/>
      </c>
      <c r="F249" s="31"/>
      <c r="G249" s="39"/>
      <c r="H249" s="31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5"/>
      <c r="B250" s="31"/>
      <c r="C250" s="31" t="str">
        <f t="array" ref="C250">IFERROR(_xlfn.XLOOKUP(B250,'Employee Master'!$A$2:$A$500,'Employee Master'!$B$2:$B$500,""),"")</f>
        <v/>
      </c>
      <c r="D250" s="31" t="str">
        <f t="array" ref="D250">IFERROR(_xlfn.XLOOKUP(B250,'Employee Master'!$A$2:$A$500,'Employee Master'!$C$2:$C$500,""),"")</f>
        <v/>
      </c>
      <c r="E250" s="31" t="str">
        <f t="array" ref="E250">IFERROR(_xlfn.XLOOKUP(B250,'Employee Master'!$A$2:$A$500,'Employee Master'!$E$2:$E$500,""),"")</f>
        <v/>
      </c>
      <c r="F250" s="31"/>
      <c r="G250" s="39"/>
      <c r="H250" s="31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5"/>
      <c r="B251" s="31"/>
      <c r="C251" s="31" t="str">
        <f t="array" ref="C251">IFERROR(_xlfn.XLOOKUP(B251,'Employee Master'!$A$2:$A$500,'Employee Master'!$B$2:$B$500,""),"")</f>
        <v/>
      </c>
      <c r="D251" s="31" t="str">
        <f t="array" ref="D251">IFERROR(_xlfn.XLOOKUP(B251,'Employee Master'!$A$2:$A$500,'Employee Master'!$C$2:$C$500,""),"")</f>
        <v/>
      </c>
      <c r="E251" s="31" t="str">
        <f t="array" ref="E251">IFERROR(_xlfn.XLOOKUP(B251,'Employee Master'!$A$2:$A$500,'Employee Master'!$E$2:$E$500,""),"")</f>
        <v/>
      </c>
      <c r="F251" s="31"/>
      <c r="G251" s="39"/>
      <c r="H251" s="31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5"/>
      <c r="B252" s="31"/>
      <c r="C252" s="31" t="str">
        <f t="array" ref="C252">IFERROR(_xlfn.XLOOKUP(B252,'Employee Master'!$A$2:$A$500,'Employee Master'!$B$2:$B$500,""),"")</f>
        <v/>
      </c>
      <c r="D252" s="31" t="str">
        <f t="array" ref="D252">IFERROR(_xlfn.XLOOKUP(B252,'Employee Master'!$A$2:$A$500,'Employee Master'!$C$2:$C$500,""),"")</f>
        <v/>
      </c>
      <c r="E252" s="31" t="str">
        <f t="array" ref="E252">IFERROR(_xlfn.XLOOKUP(B252,'Employee Master'!$A$2:$A$500,'Employee Master'!$E$2:$E$500,""),"")</f>
        <v/>
      </c>
      <c r="F252" s="31"/>
      <c r="G252" s="39"/>
      <c r="H252" s="31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5"/>
      <c r="B253" s="31"/>
      <c r="C253" s="31" t="str">
        <f t="array" ref="C253">IFERROR(_xlfn.XLOOKUP(B253,'Employee Master'!$A$2:$A$500,'Employee Master'!$B$2:$B$500,""),"")</f>
        <v/>
      </c>
      <c r="D253" s="31" t="str">
        <f t="array" ref="D253">IFERROR(_xlfn.XLOOKUP(B253,'Employee Master'!$A$2:$A$500,'Employee Master'!$C$2:$C$500,""),"")</f>
        <v/>
      </c>
      <c r="E253" s="31" t="str">
        <f t="array" ref="E253">IFERROR(_xlfn.XLOOKUP(B253,'Employee Master'!$A$2:$A$500,'Employee Master'!$E$2:$E$500,""),"")</f>
        <v/>
      </c>
      <c r="F253" s="31"/>
      <c r="G253" s="39"/>
      <c r="H253" s="31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5"/>
      <c r="B254" s="31"/>
      <c r="C254" s="31" t="str">
        <f t="array" ref="C254">IFERROR(_xlfn.XLOOKUP(B254,'Employee Master'!$A$2:$A$500,'Employee Master'!$B$2:$B$500,""),"")</f>
        <v/>
      </c>
      <c r="D254" s="31" t="str">
        <f t="array" ref="D254">IFERROR(_xlfn.XLOOKUP(B254,'Employee Master'!$A$2:$A$500,'Employee Master'!$C$2:$C$500,""),"")</f>
        <v/>
      </c>
      <c r="E254" s="31" t="str">
        <f t="array" ref="E254">IFERROR(_xlfn.XLOOKUP(B254,'Employee Master'!$A$2:$A$500,'Employee Master'!$E$2:$E$500,""),"")</f>
        <v/>
      </c>
      <c r="F254" s="31"/>
      <c r="G254" s="39"/>
      <c r="H254" s="31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5"/>
      <c r="B255" s="31"/>
      <c r="C255" s="31" t="str">
        <f t="array" ref="C255">IFERROR(_xlfn.XLOOKUP(B255,'Employee Master'!$A$2:$A$500,'Employee Master'!$B$2:$B$500,""),"")</f>
        <v/>
      </c>
      <c r="D255" s="31" t="str">
        <f t="array" ref="D255">IFERROR(_xlfn.XLOOKUP(B255,'Employee Master'!$A$2:$A$500,'Employee Master'!$C$2:$C$500,""),"")</f>
        <v/>
      </c>
      <c r="E255" s="31" t="str">
        <f t="array" ref="E255">IFERROR(_xlfn.XLOOKUP(B255,'Employee Master'!$A$2:$A$500,'Employee Master'!$E$2:$E$500,""),"")</f>
        <v/>
      </c>
      <c r="F255" s="31"/>
      <c r="G255" s="39"/>
      <c r="H255" s="31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5"/>
      <c r="B256" s="31"/>
      <c r="C256" s="31" t="str">
        <f t="array" ref="C256">IFERROR(_xlfn.XLOOKUP(B256,'Employee Master'!$A$2:$A$500,'Employee Master'!$B$2:$B$500,""),"")</f>
        <v/>
      </c>
      <c r="D256" s="31" t="str">
        <f t="array" ref="D256">IFERROR(_xlfn.XLOOKUP(B256,'Employee Master'!$A$2:$A$500,'Employee Master'!$C$2:$C$500,""),"")</f>
        <v/>
      </c>
      <c r="E256" s="31" t="str">
        <f t="array" ref="E256">IFERROR(_xlfn.XLOOKUP(B256,'Employee Master'!$A$2:$A$500,'Employee Master'!$E$2:$E$500,""),"")</f>
        <v/>
      </c>
      <c r="F256" s="31"/>
      <c r="G256" s="39"/>
      <c r="H256" s="31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5"/>
      <c r="B257" s="31"/>
      <c r="C257" s="31" t="str">
        <f t="array" ref="C257">IFERROR(_xlfn.XLOOKUP(B257,'Employee Master'!$A$2:$A$500,'Employee Master'!$B$2:$B$500,""),"")</f>
        <v/>
      </c>
      <c r="D257" s="31" t="str">
        <f t="array" ref="D257">IFERROR(_xlfn.XLOOKUP(B257,'Employee Master'!$A$2:$A$500,'Employee Master'!$C$2:$C$500,""),"")</f>
        <v/>
      </c>
      <c r="E257" s="31" t="str">
        <f t="array" ref="E257">IFERROR(_xlfn.XLOOKUP(B257,'Employee Master'!$A$2:$A$500,'Employee Master'!$E$2:$E$500,""),"")</f>
        <v/>
      </c>
      <c r="F257" s="31"/>
      <c r="G257" s="39"/>
      <c r="H257" s="31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5"/>
      <c r="B258" s="31"/>
      <c r="C258" s="31" t="str">
        <f t="array" ref="C258">IFERROR(_xlfn.XLOOKUP(B258,'Employee Master'!$A$2:$A$500,'Employee Master'!$B$2:$B$500,""),"")</f>
        <v/>
      </c>
      <c r="D258" s="31" t="str">
        <f t="array" ref="D258">IFERROR(_xlfn.XLOOKUP(B258,'Employee Master'!$A$2:$A$500,'Employee Master'!$C$2:$C$500,""),"")</f>
        <v/>
      </c>
      <c r="E258" s="31" t="str">
        <f t="array" ref="E258">IFERROR(_xlfn.XLOOKUP(B258,'Employee Master'!$A$2:$A$500,'Employee Master'!$E$2:$E$500,""),"")</f>
        <v/>
      </c>
      <c r="F258" s="31"/>
      <c r="G258" s="39"/>
      <c r="H258" s="31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5"/>
      <c r="B259" s="31"/>
      <c r="C259" s="31" t="str">
        <f t="array" ref="C259">IFERROR(_xlfn.XLOOKUP(B259,'Employee Master'!$A$2:$A$500,'Employee Master'!$B$2:$B$500,""),"")</f>
        <v/>
      </c>
      <c r="D259" s="31" t="str">
        <f t="array" ref="D259">IFERROR(_xlfn.XLOOKUP(B259,'Employee Master'!$A$2:$A$500,'Employee Master'!$C$2:$C$500,""),"")</f>
        <v/>
      </c>
      <c r="E259" s="31" t="str">
        <f t="array" ref="E259">IFERROR(_xlfn.XLOOKUP(B259,'Employee Master'!$A$2:$A$500,'Employee Master'!$E$2:$E$500,""),"")</f>
        <v/>
      </c>
      <c r="F259" s="31"/>
      <c r="G259" s="39"/>
      <c r="H259" s="31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5"/>
      <c r="B260" s="31"/>
      <c r="C260" s="31" t="str">
        <f t="array" ref="C260">IFERROR(_xlfn.XLOOKUP(B260,'Employee Master'!$A$2:$A$500,'Employee Master'!$B$2:$B$500,""),"")</f>
        <v/>
      </c>
      <c r="D260" s="31" t="str">
        <f t="array" ref="D260">IFERROR(_xlfn.XLOOKUP(B260,'Employee Master'!$A$2:$A$500,'Employee Master'!$C$2:$C$500,""),"")</f>
        <v/>
      </c>
      <c r="E260" s="31" t="str">
        <f t="array" ref="E260">IFERROR(_xlfn.XLOOKUP(B260,'Employee Master'!$A$2:$A$500,'Employee Master'!$E$2:$E$500,""),"")</f>
        <v/>
      </c>
      <c r="F260" s="31"/>
      <c r="G260" s="39"/>
      <c r="H260" s="31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5"/>
      <c r="B261" s="31"/>
      <c r="C261" s="31" t="str">
        <f t="array" ref="C261">IFERROR(_xlfn.XLOOKUP(B261,'Employee Master'!$A$2:$A$500,'Employee Master'!$B$2:$B$500,""),"")</f>
        <v/>
      </c>
      <c r="D261" s="31" t="str">
        <f t="array" ref="D261">IFERROR(_xlfn.XLOOKUP(B261,'Employee Master'!$A$2:$A$500,'Employee Master'!$C$2:$C$500,""),"")</f>
        <v/>
      </c>
      <c r="E261" s="31" t="str">
        <f t="array" ref="E261">IFERROR(_xlfn.XLOOKUP(B261,'Employee Master'!$A$2:$A$500,'Employee Master'!$E$2:$E$500,""),"")</f>
        <v/>
      </c>
      <c r="F261" s="31"/>
      <c r="G261" s="39"/>
      <c r="H261" s="31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5"/>
      <c r="B262" s="31"/>
      <c r="C262" s="31" t="str">
        <f t="array" ref="C262">IFERROR(_xlfn.XLOOKUP(B262,'Employee Master'!$A$2:$A$500,'Employee Master'!$B$2:$B$500,""),"")</f>
        <v/>
      </c>
      <c r="D262" s="31" t="str">
        <f t="array" ref="D262">IFERROR(_xlfn.XLOOKUP(B262,'Employee Master'!$A$2:$A$500,'Employee Master'!$C$2:$C$500,""),"")</f>
        <v/>
      </c>
      <c r="E262" s="31" t="str">
        <f t="array" ref="E262">IFERROR(_xlfn.XLOOKUP(B262,'Employee Master'!$A$2:$A$500,'Employee Master'!$E$2:$E$500,""),"")</f>
        <v/>
      </c>
      <c r="F262" s="31"/>
      <c r="G262" s="39"/>
      <c r="H262" s="31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5"/>
      <c r="B263" s="31"/>
      <c r="C263" s="31" t="str">
        <f t="array" ref="C263">IFERROR(_xlfn.XLOOKUP(B263,'Employee Master'!$A$2:$A$500,'Employee Master'!$B$2:$B$500,""),"")</f>
        <v/>
      </c>
      <c r="D263" s="31" t="str">
        <f t="array" ref="D263">IFERROR(_xlfn.XLOOKUP(B263,'Employee Master'!$A$2:$A$500,'Employee Master'!$C$2:$C$500,""),"")</f>
        <v/>
      </c>
      <c r="E263" s="31" t="str">
        <f t="array" ref="E263">IFERROR(_xlfn.XLOOKUP(B263,'Employee Master'!$A$2:$A$500,'Employee Master'!$E$2:$E$500,""),"")</f>
        <v/>
      </c>
      <c r="F263" s="31"/>
      <c r="G263" s="39"/>
      <c r="H263" s="31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5"/>
      <c r="B264" s="31"/>
      <c r="C264" s="31" t="str">
        <f t="array" ref="C264">IFERROR(_xlfn.XLOOKUP(B264,'Employee Master'!$A$2:$A$500,'Employee Master'!$B$2:$B$500,""),"")</f>
        <v/>
      </c>
      <c r="D264" s="31" t="str">
        <f t="array" ref="D264">IFERROR(_xlfn.XLOOKUP(B264,'Employee Master'!$A$2:$A$500,'Employee Master'!$C$2:$C$500,""),"")</f>
        <v/>
      </c>
      <c r="E264" s="31" t="str">
        <f t="array" ref="E264">IFERROR(_xlfn.XLOOKUP(B264,'Employee Master'!$A$2:$A$500,'Employee Master'!$E$2:$E$500,""),"")</f>
        <v/>
      </c>
      <c r="F264" s="31"/>
      <c r="G264" s="39"/>
      <c r="H264" s="31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5"/>
      <c r="B265" s="31"/>
      <c r="C265" s="31" t="str">
        <f t="array" ref="C265">IFERROR(_xlfn.XLOOKUP(B265,'Employee Master'!$A$2:$A$500,'Employee Master'!$B$2:$B$500,""),"")</f>
        <v/>
      </c>
      <c r="D265" s="31" t="str">
        <f t="array" ref="D265">IFERROR(_xlfn.XLOOKUP(B265,'Employee Master'!$A$2:$A$500,'Employee Master'!$C$2:$C$500,""),"")</f>
        <v/>
      </c>
      <c r="E265" s="31" t="str">
        <f t="array" ref="E265">IFERROR(_xlfn.XLOOKUP(B265,'Employee Master'!$A$2:$A$500,'Employee Master'!$E$2:$E$500,""),"")</f>
        <v/>
      </c>
      <c r="F265" s="31"/>
      <c r="G265" s="39"/>
      <c r="H265" s="31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5"/>
      <c r="B266" s="31"/>
      <c r="C266" s="31" t="str">
        <f t="array" ref="C266">IFERROR(_xlfn.XLOOKUP(B266,'Employee Master'!$A$2:$A$500,'Employee Master'!$B$2:$B$500,""),"")</f>
        <v/>
      </c>
      <c r="D266" s="31" t="str">
        <f t="array" ref="D266">IFERROR(_xlfn.XLOOKUP(B266,'Employee Master'!$A$2:$A$500,'Employee Master'!$C$2:$C$500,""),"")</f>
        <v/>
      </c>
      <c r="E266" s="31" t="str">
        <f t="array" ref="E266">IFERROR(_xlfn.XLOOKUP(B266,'Employee Master'!$A$2:$A$500,'Employee Master'!$E$2:$E$500,""),"")</f>
        <v/>
      </c>
      <c r="F266" s="31"/>
      <c r="G266" s="39"/>
      <c r="H266" s="31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5"/>
      <c r="B267" s="31"/>
      <c r="C267" s="31" t="str">
        <f t="array" ref="C267">IFERROR(_xlfn.XLOOKUP(B267,'Employee Master'!$A$2:$A$500,'Employee Master'!$B$2:$B$500,""),"")</f>
        <v/>
      </c>
      <c r="D267" s="31" t="str">
        <f t="array" ref="D267">IFERROR(_xlfn.XLOOKUP(B267,'Employee Master'!$A$2:$A$500,'Employee Master'!$C$2:$C$500,""),"")</f>
        <v/>
      </c>
      <c r="E267" s="31" t="str">
        <f t="array" ref="E267">IFERROR(_xlfn.XLOOKUP(B267,'Employee Master'!$A$2:$A$500,'Employee Master'!$E$2:$E$500,""),"")</f>
        <v/>
      </c>
      <c r="F267" s="31"/>
      <c r="G267" s="39"/>
      <c r="H267" s="31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5"/>
      <c r="B268" s="31"/>
      <c r="C268" s="31" t="str">
        <f t="array" ref="C268">IFERROR(_xlfn.XLOOKUP(B268,'Employee Master'!$A$2:$A$500,'Employee Master'!$B$2:$B$500,""),"")</f>
        <v/>
      </c>
      <c r="D268" s="31" t="str">
        <f t="array" ref="D268">IFERROR(_xlfn.XLOOKUP(B268,'Employee Master'!$A$2:$A$500,'Employee Master'!$C$2:$C$500,""),"")</f>
        <v/>
      </c>
      <c r="E268" s="31" t="str">
        <f t="array" ref="E268">IFERROR(_xlfn.XLOOKUP(B268,'Employee Master'!$A$2:$A$500,'Employee Master'!$E$2:$E$500,""),"")</f>
        <v/>
      </c>
      <c r="F268" s="31"/>
      <c r="G268" s="39"/>
      <c r="H268" s="31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5"/>
      <c r="B269" s="31"/>
      <c r="C269" s="31" t="str">
        <f t="array" ref="C269">IFERROR(_xlfn.XLOOKUP(B269,'Employee Master'!$A$2:$A$500,'Employee Master'!$B$2:$B$500,""),"")</f>
        <v/>
      </c>
      <c r="D269" s="31" t="str">
        <f t="array" ref="D269">IFERROR(_xlfn.XLOOKUP(B269,'Employee Master'!$A$2:$A$500,'Employee Master'!$C$2:$C$500,""),"")</f>
        <v/>
      </c>
      <c r="E269" s="31" t="str">
        <f t="array" ref="E269">IFERROR(_xlfn.XLOOKUP(B269,'Employee Master'!$A$2:$A$500,'Employee Master'!$E$2:$E$500,""),"")</f>
        <v/>
      </c>
      <c r="F269" s="31"/>
      <c r="G269" s="39"/>
      <c r="H269" s="31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5"/>
      <c r="B270" s="31"/>
      <c r="C270" s="31" t="str">
        <f t="array" ref="C270">IFERROR(_xlfn.XLOOKUP(B270,'Employee Master'!$A$2:$A$500,'Employee Master'!$B$2:$B$500,""),"")</f>
        <v/>
      </c>
      <c r="D270" s="31" t="str">
        <f t="array" ref="D270">IFERROR(_xlfn.XLOOKUP(B270,'Employee Master'!$A$2:$A$500,'Employee Master'!$C$2:$C$500,""),"")</f>
        <v/>
      </c>
      <c r="E270" s="31" t="str">
        <f t="array" ref="E270">IFERROR(_xlfn.XLOOKUP(B270,'Employee Master'!$A$2:$A$500,'Employee Master'!$E$2:$E$500,""),"")</f>
        <v/>
      </c>
      <c r="F270" s="31"/>
      <c r="G270" s="39"/>
      <c r="H270" s="31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5"/>
      <c r="B271" s="31"/>
      <c r="C271" s="31" t="str">
        <f t="array" ref="C271">IFERROR(_xlfn.XLOOKUP(B271,'Employee Master'!$A$2:$A$500,'Employee Master'!$B$2:$B$500,""),"")</f>
        <v/>
      </c>
      <c r="D271" s="31" t="str">
        <f t="array" ref="D271">IFERROR(_xlfn.XLOOKUP(B271,'Employee Master'!$A$2:$A$500,'Employee Master'!$C$2:$C$500,""),"")</f>
        <v/>
      </c>
      <c r="E271" s="31" t="str">
        <f t="array" ref="E271">IFERROR(_xlfn.XLOOKUP(B271,'Employee Master'!$A$2:$A$500,'Employee Master'!$E$2:$E$500,""),"")</f>
        <v/>
      </c>
      <c r="F271" s="31"/>
      <c r="G271" s="39"/>
      <c r="H271" s="31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5"/>
      <c r="B272" s="31"/>
      <c r="C272" s="31" t="str">
        <f t="array" ref="C272">IFERROR(_xlfn.XLOOKUP(B272,'Employee Master'!$A$2:$A$500,'Employee Master'!$B$2:$B$500,""),"")</f>
        <v/>
      </c>
      <c r="D272" s="31" t="str">
        <f t="array" ref="D272">IFERROR(_xlfn.XLOOKUP(B272,'Employee Master'!$A$2:$A$500,'Employee Master'!$C$2:$C$500,""),"")</f>
        <v/>
      </c>
      <c r="E272" s="31" t="str">
        <f t="array" ref="E272">IFERROR(_xlfn.XLOOKUP(B272,'Employee Master'!$A$2:$A$500,'Employee Master'!$E$2:$E$500,""),"")</f>
        <v/>
      </c>
      <c r="F272" s="31"/>
      <c r="G272" s="39"/>
      <c r="H272" s="31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5"/>
      <c r="B273" s="31"/>
      <c r="C273" s="31" t="str">
        <f t="array" ref="C273">IFERROR(_xlfn.XLOOKUP(B273,'Employee Master'!$A$2:$A$500,'Employee Master'!$B$2:$B$500,""),"")</f>
        <v/>
      </c>
      <c r="D273" s="31" t="str">
        <f t="array" ref="D273">IFERROR(_xlfn.XLOOKUP(B273,'Employee Master'!$A$2:$A$500,'Employee Master'!$C$2:$C$500,""),"")</f>
        <v/>
      </c>
      <c r="E273" s="31" t="str">
        <f t="array" ref="E273">IFERROR(_xlfn.XLOOKUP(B273,'Employee Master'!$A$2:$A$500,'Employee Master'!$E$2:$E$500,""),"")</f>
        <v/>
      </c>
      <c r="F273" s="31"/>
      <c r="G273" s="39"/>
      <c r="H273" s="31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5"/>
      <c r="B274" s="31"/>
      <c r="C274" s="31" t="str">
        <f t="array" ref="C274">IFERROR(_xlfn.XLOOKUP(B274,'Employee Master'!$A$2:$A$500,'Employee Master'!$B$2:$B$500,""),"")</f>
        <v/>
      </c>
      <c r="D274" s="31" t="str">
        <f t="array" ref="D274">IFERROR(_xlfn.XLOOKUP(B274,'Employee Master'!$A$2:$A$500,'Employee Master'!$C$2:$C$500,""),"")</f>
        <v/>
      </c>
      <c r="E274" s="31" t="str">
        <f t="array" ref="E274">IFERROR(_xlfn.XLOOKUP(B274,'Employee Master'!$A$2:$A$500,'Employee Master'!$E$2:$E$500,""),"")</f>
        <v/>
      </c>
      <c r="F274" s="31"/>
      <c r="G274" s="39"/>
      <c r="H274" s="31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5"/>
      <c r="B275" s="31"/>
      <c r="C275" s="31" t="str">
        <f t="array" ref="C275">IFERROR(_xlfn.XLOOKUP(B275,'Employee Master'!$A$2:$A$500,'Employee Master'!$B$2:$B$500,""),"")</f>
        <v/>
      </c>
      <c r="D275" s="31" t="str">
        <f t="array" ref="D275">IFERROR(_xlfn.XLOOKUP(B275,'Employee Master'!$A$2:$A$500,'Employee Master'!$C$2:$C$500,""),"")</f>
        <v/>
      </c>
      <c r="E275" s="31" t="str">
        <f t="array" ref="E275">IFERROR(_xlfn.XLOOKUP(B275,'Employee Master'!$A$2:$A$500,'Employee Master'!$E$2:$E$500,""),"")</f>
        <v/>
      </c>
      <c r="F275" s="31"/>
      <c r="G275" s="39"/>
      <c r="H275" s="31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5"/>
      <c r="B276" s="31"/>
      <c r="C276" s="31" t="str">
        <f t="array" ref="C276">IFERROR(_xlfn.XLOOKUP(B276,'Employee Master'!$A$2:$A$500,'Employee Master'!$B$2:$B$500,""),"")</f>
        <v/>
      </c>
      <c r="D276" s="31" t="str">
        <f t="array" ref="D276">IFERROR(_xlfn.XLOOKUP(B276,'Employee Master'!$A$2:$A$500,'Employee Master'!$C$2:$C$500,""),"")</f>
        <v/>
      </c>
      <c r="E276" s="31" t="str">
        <f t="array" ref="E276">IFERROR(_xlfn.XLOOKUP(B276,'Employee Master'!$A$2:$A$500,'Employee Master'!$E$2:$E$500,""),"")</f>
        <v/>
      </c>
      <c r="F276" s="31"/>
      <c r="G276" s="39"/>
      <c r="H276" s="31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5"/>
      <c r="B277" s="31"/>
      <c r="C277" s="31" t="str">
        <f t="array" ref="C277">IFERROR(_xlfn.XLOOKUP(B277,'Employee Master'!$A$2:$A$500,'Employee Master'!$B$2:$B$500,""),"")</f>
        <v/>
      </c>
      <c r="D277" s="31" t="str">
        <f t="array" ref="D277">IFERROR(_xlfn.XLOOKUP(B277,'Employee Master'!$A$2:$A$500,'Employee Master'!$C$2:$C$500,""),"")</f>
        <v/>
      </c>
      <c r="E277" s="31" t="str">
        <f t="array" ref="E277">IFERROR(_xlfn.XLOOKUP(B277,'Employee Master'!$A$2:$A$500,'Employee Master'!$E$2:$E$500,""),"")</f>
        <v/>
      </c>
      <c r="F277" s="31"/>
      <c r="G277" s="39"/>
      <c r="H277" s="31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5"/>
      <c r="B278" s="31"/>
      <c r="C278" s="31" t="str">
        <f t="array" ref="C278">IFERROR(_xlfn.XLOOKUP(B278,'Employee Master'!$A$2:$A$500,'Employee Master'!$B$2:$B$500,""),"")</f>
        <v/>
      </c>
      <c r="D278" s="31" t="str">
        <f t="array" ref="D278">IFERROR(_xlfn.XLOOKUP(B278,'Employee Master'!$A$2:$A$500,'Employee Master'!$C$2:$C$500,""),"")</f>
        <v/>
      </c>
      <c r="E278" s="31" t="str">
        <f t="array" ref="E278">IFERROR(_xlfn.XLOOKUP(B278,'Employee Master'!$A$2:$A$500,'Employee Master'!$E$2:$E$500,""),"")</f>
        <v/>
      </c>
      <c r="F278" s="31"/>
      <c r="G278" s="39"/>
      <c r="H278" s="31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5"/>
      <c r="B279" s="31"/>
      <c r="C279" s="31" t="str">
        <f t="array" ref="C279">IFERROR(_xlfn.XLOOKUP(B279,'Employee Master'!$A$2:$A$500,'Employee Master'!$B$2:$B$500,""),"")</f>
        <v/>
      </c>
      <c r="D279" s="31" t="str">
        <f t="array" ref="D279">IFERROR(_xlfn.XLOOKUP(B279,'Employee Master'!$A$2:$A$500,'Employee Master'!$C$2:$C$500,""),"")</f>
        <v/>
      </c>
      <c r="E279" s="31" t="str">
        <f t="array" ref="E279">IFERROR(_xlfn.XLOOKUP(B279,'Employee Master'!$A$2:$A$500,'Employee Master'!$E$2:$E$500,""),"")</f>
        <v/>
      </c>
      <c r="F279" s="31"/>
      <c r="G279" s="39"/>
      <c r="H279" s="31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5"/>
      <c r="B280" s="31"/>
      <c r="C280" s="31" t="str">
        <f t="array" ref="C280">IFERROR(_xlfn.XLOOKUP(B280,'Employee Master'!$A$2:$A$500,'Employee Master'!$B$2:$B$500,""),"")</f>
        <v/>
      </c>
      <c r="D280" s="31" t="str">
        <f t="array" ref="D280">IFERROR(_xlfn.XLOOKUP(B280,'Employee Master'!$A$2:$A$500,'Employee Master'!$C$2:$C$500,""),"")</f>
        <v/>
      </c>
      <c r="E280" s="31" t="str">
        <f t="array" ref="E280">IFERROR(_xlfn.XLOOKUP(B280,'Employee Master'!$A$2:$A$500,'Employee Master'!$E$2:$E$500,""),"")</f>
        <v/>
      </c>
      <c r="F280" s="31"/>
      <c r="G280" s="39"/>
      <c r="H280" s="31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5"/>
      <c r="B281" s="31"/>
      <c r="C281" s="31" t="str">
        <f t="array" ref="C281">IFERROR(_xlfn.XLOOKUP(B281,'Employee Master'!$A$2:$A$500,'Employee Master'!$B$2:$B$500,""),"")</f>
        <v/>
      </c>
      <c r="D281" s="31" t="str">
        <f t="array" ref="D281">IFERROR(_xlfn.XLOOKUP(B281,'Employee Master'!$A$2:$A$500,'Employee Master'!$C$2:$C$500,""),"")</f>
        <v/>
      </c>
      <c r="E281" s="31" t="str">
        <f t="array" ref="E281">IFERROR(_xlfn.XLOOKUP(B281,'Employee Master'!$A$2:$A$500,'Employee Master'!$E$2:$E$500,""),"")</f>
        <v/>
      </c>
      <c r="F281" s="31"/>
      <c r="G281" s="39"/>
      <c r="H281" s="31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5"/>
      <c r="B282" s="31"/>
      <c r="C282" s="31" t="str">
        <f t="array" ref="C282">IFERROR(_xlfn.XLOOKUP(B282,'Employee Master'!$A$2:$A$500,'Employee Master'!$B$2:$B$500,""),"")</f>
        <v/>
      </c>
      <c r="D282" s="31" t="str">
        <f t="array" ref="D282">IFERROR(_xlfn.XLOOKUP(B282,'Employee Master'!$A$2:$A$500,'Employee Master'!$C$2:$C$500,""),"")</f>
        <v/>
      </c>
      <c r="E282" s="31" t="str">
        <f t="array" ref="E282">IFERROR(_xlfn.XLOOKUP(B282,'Employee Master'!$A$2:$A$500,'Employee Master'!$E$2:$E$500,""),"")</f>
        <v/>
      </c>
      <c r="F282" s="31"/>
      <c r="G282" s="39"/>
      <c r="H282" s="31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5"/>
      <c r="B283" s="31"/>
      <c r="C283" s="31" t="str">
        <f t="array" ref="C283">IFERROR(_xlfn.XLOOKUP(B283,'Employee Master'!$A$2:$A$500,'Employee Master'!$B$2:$B$500,""),"")</f>
        <v/>
      </c>
      <c r="D283" s="31" t="str">
        <f t="array" ref="D283">IFERROR(_xlfn.XLOOKUP(B283,'Employee Master'!$A$2:$A$500,'Employee Master'!$C$2:$C$500,""),"")</f>
        <v/>
      </c>
      <c r="E283" s="31" t="str">
        <f t="array" ref="E283">IFERROR(_xlfn.XLOOKUP(B283,'Employee Master'!$A$2:$A$500,'Employee Master'!$E$2:$E$500,""),"")</f>
        <v/>
      </c>
      <c r="F283" s="31"/>
      <c r="G283" s="39"/>
      <c r="H283" s="31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5"/>
      <c r="B284" s="31"/>
      <c r="C284" s="31" t="str">
        <f t="array" ref="C284">IFERROR(_xlfn.XLOOKUP(B284,'Employee Master'!$A$2:$A$500,'Employee Master'!$B$2:$B$500,""),"")</f>
        <v/>
      </c>
      <c r="D284" s="31" t="str">
        <f t="array" ref="D284">IFERROR(_xlfn.XLOOKUP(B284,'Employee Master'!$A$2:$A$500,'Employee Master'!$C$2:$C$500,""),"")</f>
        <v/>
      </c>
      <c r="E284" s="31" t="str">
        <f t="array" ref="E284">IFERROR(_xlfn.XLOOKUP(B284,'Employee Master'!$A$2:$A$500,'Employee Master'!$E$2:$E$500,""),"")</f>
        <v/>
      </c>
      <c r="F284" s="31"/>
      <c r="G284" s="39"/>
      <c r="H284" s="31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5"/>
      <c r="B285" s="31"/>
      <c r="C285" s="31" t="str">
        <f t="array" ref="C285">IFERROR(_xlfn.XLOOKUP(B285,'Employee Master'!$A$2:$A$500,'Employee Master'!$B$2:$B$500,""),"")</f>
        <v/>
      </c>
      <c r="D285" s="31" t="str">
        <f t="array" ref="D285">IFERROR(_xlfn.XLOOKUP(B285,'Employee Master'!$A$2:$A$500,'Employee Master'!$C$2:$C$500,""),"")</f>
        <v/>
      </c>
      <c r="E285" s="31" t="str">
        <f t="array" ref="E285">IFERROR(_xlfn.XLOOKUP(B285,'Employee Master'!$A$2:$A$500,'Employee Master'!$E$2:$E$500,""),"")</f>
        <v/>
      </c>
      <c r="F285" s="31"/>
      <c r="G285" s="39"/>
      <c r="H285" s="31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5"/>
      <c r="B286" s="31"/>
      <c r="C286" s="31" t="str">
        <f t="array" ref="C286">IFERROR(_xlfn.XLOOKUP(B286,'Employee Master'!$A$2:$A$500,'Employee Master'!$B$2:$B$500,""),"")</f>
        <v/>
      </c>
      <c r="D286" s="31" t="str">
        <f t="array" ref="D286">IFERROR(_xlfn.XLOOKUP(B286,'Employee Master'!$A$2:$A$500,'Employee Master'!$C$2:$C$500,""),"")</f>
        <v/>
      </c>
      <c r="E286" s="31" t="str">
        <f t="array" ref="E286">IFERROR(_xlfn.XLOOKUP(B286,'Employee Master'!$A$2:$A$500,'Employee Master'!$E$2:$E$500,""),"")</f>
        <v/>
      </c>
      <c r="F286" s="31"/>
      <c r="G286" s="39"/>
      <c r="H286" s="31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5"/>
      <c r="B287" s="31"/>
      <c r="C287" s="31" t="str">
        <f t="array" ref="C287">IFERROR(_xlfn.XLOOKUP(B287,'Employee Master'!$A$2:$A$500,'Employee Master'!$B$2:$B$500,""),"")</f>
        <v/>
      </c>
      <c r="D287" s="31" t="str">
        <f t="array" ref="D287">IFERROR(_xlfn.XLOOKUP(B287,'Employee Master'!$A$2:$A$500,'Employee Master'!$C$2:$C$500,""),"")</f>
        <v/>
      </c>
      <c r="E287" s="31" t="str">
        <f t="array" ref="E287">IFERROR(_xlfn.XLOOKUP(B287,'Employee Master'!$A$2:$A$500,'Employee Master'!$E$2:$E$500,""),"")</f>
        <v/>
      </c>
      <c r="F287" s="31"/>
      <c r="G287" s="39"/>
      <c r="H287" s="31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5"/>
      <c r="B288" s="31"/>
      <c r="C288" s="31" t="str">
        <f t="array" ref="C288">IFERROR(_xlfn.XLOOKUP(B288,'Employee Master'!$A$2:$A$500,'Employee Master'!$B$2:$B$500,""),"")</f>
        <v/>
      </c>
      <c r="D288" s="31" t="str">
        <f t="array" ref="D288">IFERROR(_xlfn.XLOOKUP(B288,'Employee Master'!$A$2:$A$500,'Employee Master'!$C$2:$C$500,""),"")</f>
        <v/>
      </c>
      <c r="E288" s="31" t="str">
        <f t="array" ref="E288">IFERROR(_xlfn.XLOOKUP(B288,'Employee Master'!$A$2:$A$500,'Employee Master'!$E$2:$E$500,""),"")</f>
        <v/>
      </c>
      <c r="F288" s="31"/>
      <c r="G288" s="39"/>
      <c r="H288" s="31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5"/>
      <c r="B289" s="31"/>
      <c r="C289" s="31" t="str">
        <f t="array" ref="C289">IFERROR(_xlfn.XLOOKUP(B289,'Employee Master'!$A$2:$A$500,'Employee Master'!$B$2:$B$500,""),"")</f>
        <v/>
      </c>
      <c r="D289" s="31" t="str">
        <f t="array" ref="D289">IFERROR(_xlfn.XLOOKUP(B289,'Employee Master'!$A$2:$A$500,'Employee Master'!$C$2:$C$500,""),"")</f>
        <v/>
      </c>
      <c r="E289" s="31" t="str">
        <f t="array" ref="E289">IFERROR(_xlfn.XLOOKUP(B289,'Employee Master'!$A$2:$A$500,'Employee Master'!$E$2:$E$500,""),"")</f>
        <v/>
      </c>
      <c r="F289" s="31"/>
      <c r="G289" s="39"/>
      <c r="H289" s="31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5"/>
      <c r="B290" s="31"/>
      <c r="C290" s="31" t="str">
        <f t="array" ref="C290">IFERROR(_xlfn.XLOOKUP(B290,'Employee Master'!$A$2:$A$500,'Employee Master'!$B$2:$B$500,""),"")</f>
        <v/>
      </c>
      <c r="D290" s="31" t="str">
        <f t="array" ref="D290">IFERROR(_xlfn.XLOOKUP(B290,'Employee Master'!$A$2:$A$500,'Employee Master'!$C$2:$C$500,""),"")</f>
        <v/>
      </c>
      <c r="E290" s="31" t="str">
        <f t="array" ref="E290">IFERROR(_xlfn.XLOOKUP(B290,'Employee Master'!$A$2:$A$500,'Employee Master'!$E$2:$E$500,""),"")</f>
        <v/>
      </c>
      <c r="F290" s="31"/>
      <c r="G290" s="39"/>
      <c r="H290" s="31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5"/>
      <c r="B291" s="31"/>
      <c r="C291" s="31" t="str">
        <f t="array" ref="C291">IFERROR(_xlfn.XLOOKUP(B291,'Employee Master'!$A$2:$A$500,'Employee Master'!$B$2:$B$500,""),"")</f>
        <v/>
      </c>
      <c r="D291" s="31" t="str">
        <f t="array" ref="D291">IFERROR(_xlfn.XLOOKUP(B291,'Employee Master'!$A$2:$A$500,'Employee Master'!$C$2:$C$500,""),"")</f>
        <v/>
      </c>
      <c r="E291" s="31" t="str">
        <f t="array" ref="E291">IFERROR(_xlfn.XLOOKUP(B291,'Employee Master'!$A$2:$A$500,'Employee Master'!$E$2:$E$500,""),"")</f>
        <v/>
      </c>
      <c r="F291" s="31"/>
      <c r="G291" s="39"/>
      <c r="H291" s="31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5"/>
      <c r="B292" s="31"/>
      <c r="C292" s="31" t="str">
        <f t="array" ref="C292">IFERROR(_xlfn.XLOOKUP(B292,'Employee Master'!$A$2:$A$500,'Employee Master'!$B$2:$B$500,""),"")</f>
        <v/>
      </c>
      <c r="D292" s="31" t="str">
        <f t="array" ref="D292">IFERROR(_xlfn.XLOOKUP(B292,'Employee Master'!$A$2:$A$500,'Employee Master'!$C$2:$C$500,""),"")</f>
        <v/>
      </c>
      <c r="E292" s="31" t="str">
        <f t="array" ref="E292">IFERROR(_xlfn.XLOOKUP(B292,'Employee Master'!$A$2:$A$500,'Employee Master'!$E$2:$E$500,""),"")</f>
        <v/>
      </c>
      <c r="F292" s="31"/>
      <c r="G292" s="39"/>
      <c r="H292" s="31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5"/>
      <c r="B293" s="31"/>
      <c r="C293" s="31" t="str">
        <f t="array" ref="C293">IFERROR(_xlfn.XLOOKUP(B293,'Employee Master'!$A$2:$A$500,'Employee Master'!$B$2:$B$500,""),"")</f>
        <v/>
      </c>
      <c r="D293" s="31" t="str">
        <f t="array" ref="D293">IFERROR(_xlfn.XLOOKUP(B293,'Employee Master'!$A$2:$A$500,'Employee Master'!$C$2:$C$500,""),"")</f>
        <v/>
      </c>
      <c r="E293" s="31" t="str">
        <f t="array" ref="E293">IFERROR(_xlfn.XLOOKUP(B293,'Employee Master'!$A$2:$A$500,'Employee Master'!$E$2:$E$500,""),"")</f>
        <v/>
      </c>
      <c r="F293" s="31"/>
      <c r="G293" s="39"/>
      <c r="H293" s="31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5"/>
      <c r="B294" s="31"/>
      <c r="C294" s="31" t="str">
        <f t="array" ref="C294">IFERROR(_xlfn.XLOOKUP(B294,'Employee Master'!$A$2:$A$500,'Employee Master'!$B$2:$B$500,""),"")</f>
        <v/>
      </c>
      <c r="D294" s="31" t="str">
        <f t="array" ref="D294">IFERROR(_xlfn.XLOOKUP(B294,'Employee Master'!$A$2:$A$500,'Employee Master'!$C$2:$C$500,""),"")</f>
        <v/>
      </c>
      <c r="E294" s="31" t="str">
        <f t="array" ref="E294">IFERROR(_xlfn.XLOOKUP(B294,'Employee Master'!$A$2:$A$500,'Employee Master'!$E$2:$E$500,""),"")</f>
        <v/>
      </c>
      <c r="F294" s="31"/>
      <c r="G294" s="39"/>
      <c r="H294" s="31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5"/>
      <c r="B295" s="31"/>
      <c r="C295" s="31" t="str">
        <f t="array" ref="C295">IFERROR(_xlfn.XLOOKUP(B295,'Employee Master'!$A$2:$A$500,'Employee Master'!$B$2:$B$500,""),"")</f>
        <v/>
      </c>
      <c r="D295" s="31" t="str">
        <f t="array" ref="D295">IFERROR(_xlfn.XLOOKUP(B295,'Employee Master'!$A$2:$A$500,'Employee Master'!$C$2:$C$500,""),"")</f>
        <v/>
      </c>
      <c r="E295" s="31" t="str">
        <f t="array" ref="E295">IFERROR(_xlfn.XLOOKUP(B295,'Employee Master'!$A$2:$A$500,'Employee Master'!$E$2:$E$500,""),"")</f>
        <v/>
      </c>
      <c r="F295" s="31"/>
      <c r="G295" s="39"/>
      <c r="H295" s="31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5"/>
      <c r="B296" s="31"/>
      <c r="C296" s="31" t="str">
        <f t="array" ref="C296">IFERROR(_xlfn.XLOOKUP(B296,'Employee Master'!$A$2:$A$500,'Employee Master'!$B$2:$B$500,""),"")</f>
        <v/>
      </c>
      <c r="D296" s="31" t="str">
        <f t="array" ref="D296">IFERROR(_xlfn.XLOOKUP(B296,'Employee Master'!$A$2:$A$500,'Employee Master'!$C$2:$C$500,""),"")</f>
        <v/>
      </c>
      <c r="E296" s="31" t="str">
        <f t="array" ref="E296">IFERROR(_xlfn.XLOOKUP(B296,'Employee Master'!$A$2:$A$500,'Employee Master'!$E$2:$E$500,""),"")</f>
        <v/>
      </c>
      <c r="F296" s="31"/>
      <c r="G296" s="39"/>
      <c r="H296" s="31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5"/>
      <c r="B297" s="31"/>
      <c r="C297" s="31" t="str">
        <f t="array" ref="C297">IFERROR(_xlfn.XLOOKUP(B297,'Employee Master'!$A$2:$A$500,'Employee Master'!$B$2:$B$500,""),"")</f>
        <v/>
      </c>
      <c r="D297" s="31" t="str">
        <f t="array" ref="D297">IFERROR(_xlfn.XLOOKUP(B297,'Employee Master'!$A$2:$A$500,'Employee Master'!$C$2:$C$500,""),"")</f>
        <v/>
      </c>
      <c r="E297" s="31" t="str">
        <f t="array" ref="E297">IFERROR(_xlfn.XLOOKUP(B297,'Employee Master'!$A$2:$A$500,'Employee Master'!$E$2:$E$500,""),"")</f>
        <v/>
      </c>
      <c r="F297" s="31"/>
      <c r="G297" s="39"/>
      <c r="H297" s="31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5"/>
      <c r="B298" s="31"/>
      <c r="C298" s="31" t="str">
        <f t="array" ref="C298">IFERROR(_xlfn.XLOOKUP(B298,'Employee Master'!$A$2:$A$500,'Employee Master'!$B$2:$B$500,""),"")</f>
        <v/>
      </c>
      <c r="D298" s="31" t="str">
        <f t="array" ref="D298">IFERROR(_xlfn.XLOOKUP(B298,'Employee Master'!$A$2:$A$500,'Employee Master'!$C$2:$C$500,""),"")</f>
        <v/>
      </c>
      <c r="E298" s="31" t="str">
        <f t="array" ref="E298">IFERROR(_xlfn.XLOOKUP(B298,'Employee Master'!$A$2:$A$500,'Employee Master'!$E$2:$E$500,""),"")</f>
        <v/>
      </c>
      <c r="F298" s="31"/>
      <c r="G298" s="39"/>
      <c r="H298" s="31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5"/>
      <c r="B299" s="31"/>
      <c r="C299" s="31" t="str">
        <f t="array" ref="C299">IFERROR(_xlfn.XLOOKUP(B299,'Employee Master'!$A$2:$A$500,'Employee Master'!$B$2:$B$500,""),"")</f>
        <v/>
      </c>
      <c r="D299" s="31" t="str">
        <f t="array" ref="D299">IFERROR(_xlfn.XLOOKUP(B299,'Employee Master'!$A$2:$A$500,'Employee Master'!$C$2:$C$500,""),"")</f>
        <v/>
      </c>
      <c r="E299" s="31" t="str">
        <f t="array" ref="E299">IFERROR(_xlfn.XLOOKUP(B299,'Employee Master'!$A$2:$A$500,'Employee Master'!$E$2:$E$500,""),"")</f>
        <v/>
      </c>
      <c r="F299" s="31"/>
      <c r="G299" s="39"/>
      <c r="H299" s="31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5"/>
      <c r="B300" s="31"/>
      <c r="C300" s="31" t="str">
        <f t="array" ref="C300">IFERROR(_xlfn.XLOOKUP(B300,'Employee Master'!$A$2:$A$500,'Employee Master'!$B$2:$B$500,""),"")</f>
        <v/>
      </c>
      <c r="D300" s="31" t="str">
        <f t="array" ref="D300">IFERROR(_xlfn.XLOOKUP(B300,'Employee Master'!$A$2:$A$500,'Employee Master'!$C$2:$C$500,""),"")</f>
        <v/>
      </c>
      <c r="E300" s="31" t="str">
        <f t="array" ref="E300">IFERROR(_xlfn.XLOOKUP(B300,'Employee Master'!$A$2:$A$500,'Employee Master'!$E$2:$E$500,""),"")</f>
        <v/>
      </c>
      <c r="F300" s="31"/>
      <c r="G300" s="39"/>
      <c r="H300" s="31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5"/>
      <c r="B301" s="31"/>
      <c r="C301" s="31" t="str">
        <f t="array" ref="C301">IFERROR(_xlfn.XLOOKUP(B301,'Employee Master'!$A$2:$A$500,'Employee Master'!$B$2:$B$500,""),"")</f>
        <v/>
      </c>
      <c r="D301" s="31" t="str">
        <f t="array" ref="D301">IFERROR(_xlfn.XLOOKUP(B301,'Employee Master'!$A$2:$A$500,'Employee Master'!$C$2:$C$500,""),"")</f>
        <v/>
      </c>
      <c r="E301" s="31" t="str">
        <f t="array" ref="E301">IFERROR(_xlfn.XLOOKUP(B301,'Employee Master'!$A$2:$A$500,'Employee Master'!$E$2:$E$500,""),"")</f>
        <v/>
      </c>
      <c r="F301" s="31"/>
      <c r="G301" s="39"/>
      <c r="H301" s="31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5"/>
      <c r="B302" s="31"/>
      <c r="C302" s="31" t="str">
        <f t="array" ref="C302">IFERROR(_xlfn.XLOOKUP(B302,'Employee Master'!$A$2:$A$500,'Employee Master'!$B$2:$B$500,""),"")</f>
        <v/>
      </c>
      <c r="D302" s="31" t="str">
        <f t="array" ref="D302">IFERROR(_xlfn.XLOOKUP(B302,'Employee Master'!$A$2:$A$500,'Employee Master'!$C$2:$C$500,""),"")</f>
        <v/>
      </c>
      <c r="E302" s="31" t="str">
        <f t="array" ref="E302">IFERROR(_xlfn.XLOOKUP(B302,'Employee Master'!$A$2:$A$500,'Employee Master'!$E$2:$E$500,""),"")</f>
        <v/>
      </c>
      <c r="F302" s="31"/>
      <c r="G302" s="39"/>
      <c r="H302" s="31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5"/>
      <c r="B303" s="31"/>
      <c r="C303" s="31" t="str">
        <f t="array" ref="C303">IFERROR(_xlfn.XLOOKUP(B303,'Employee Master'!$A$2:$A$500,'Employee Master'!$B$2:$B$500,""),"")</f>
        <v/>
      </c>
      <c r="D303" s="31" t="str">
        <f t="array" ref="D303">IFERROR(_xlfn.XLOOKUP(B303,'Employee Master'!$A$2:$A$500,'Employee Master'!$C$2:$C$500,""),"")</f>
        <v/>
      </c>
      <c r="E303" s="31" t="str">
        <f t="array" ref="E303">IFERROR(_xlfn.XLOOKUP(B303,'Employee Master'!$A$2:$A$500,'Employee Master'!$E$2:$E$500,""),"")</f>
        <v/>
      </c>
      <c r="F303" s="31"/>
      <c r="G303" s="39"/>
      <c r="H303" s="31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5"/>
      <c r="B304" s="31"/>
      <c r="C304" s="31" t="str">
        <f t="array" ref="C304">IFERROR(_xlfn.XLOOKUP(B304,'Employee Master'!$A$2:$A$500,'Employee Master'!$B$2:$B$500,""),"")</f>
        <v/>
      </c>
      <c r="D304" s="31" t="str">
        <f t="array" ref="D304">IFERROR(_xlfn.XLOOKUP(B304,'Employee Master'!$A$2:$A$500,'Employee Master'!$C$2:$C$500,""),"")</f>
        <v/>
      </c>
      <c r="E304" s="31" t="str">
        <f t="array" ref="E304">IFERROR(_xlfn.XLOOKUP(B304,'Employee Master'!$A$2:$A$500,'Employee Master'!$E$2:$E$500,""),"")</f>
        <v/>
      </c>
      <c r="F304" s="31"/>
      <c r="G304" s="39"/>
      <c r="H304" s="31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5"/>
      <c r="B305" s="31"/>
      <c r="C305" s="31" t="str">
        <f t="array" ref="C305">IFERROR(_xlfn.XLOOKUP(B305,'Employee Master'!$A$2:$A$500,'Employee Master'!$B$2:$B$500,""),"")</f>
        <v/>
      </c>
      <c r="D305" s="31" t="str">
        <f t="array" ref="D305">IFERROR(_xlfn.XLOOKUP(B305,'Employee Master'!$A$2:$A$500,'Employee Master'!$C$2:$C$500,""),"")</f>
        <v/>
      </c>
      <c r="E305" s="31" t="str">
        <f t="array" ref="E305">IFERROR(_xlfn.XLOOKUP(B305,'Employee Master'!$A$2:$A$500,'Employee Master'!$E$2:$E$500,""),"")</f>
        <v/>
      </c>
      <c r="F305" s="31"/>
      <c r="G305" s="39"/>
      <c r="H305" s="31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5"/>
      <c r="B306" s="31"/>
      <c r="C306" s="31" t="str">
        <f t="array" ref="C306">IFERROR(_xlfn.XLOOKUP(B306,'Employee Master'!$A$2:$A$500,'Employee Master'!$B$2:$B$500,""),"")</f>
        <v/>
      </c>
      <c r="D306" s="31" t="str">
        <f t="array" ref="D306">IFERROR(_xlfn.XLOOKUP(B306,'Employee Master'!$A$2:$A$500,'Employee Master'!$C$2:$C$500,""),"")</f>
        <v/>
      </c>
      <c r="E306" s="31" t="str">
        <f t="array" ref="E306">IFERROR(_xlfn.XLOOKUP(B306,'Employee Master'!$A$2:$A$500,'Employee Master'!$E$2:$E$500,""),"")</f>
        <v/>
      </c>
      <c r="F306" s="31"/>
      <c r="G306" s="39"/>
      <c r="H306" s="31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5"/>
      <c r="B307" s="31"/>
      <c r="C307" s="31" t="str">
        <f t="array" ref="C307">IFERROR(_xlfn.XLOOKUP(B307,'Employee Master'!$A$2:$A$500,'Employee Master'!$B$2:$B$500,""),"")</f>
        <v/>
      </c>
      <c r="D307" s="31" t="str">
        <f t="array" ref="D307">IFERROR(_xlfn.XLOOKUP(B307,'Employee Master'!$A$2:$A$500,'Employee Master'!$C$2:$C$500,""),"")</f>
        <v/>
      </c>
      <c r="E307" s="31" t="str">
        <f t="array" ref="E307">IFERROR(_xlfn.XLOOKUP(B307,'Employee Master'!$A$2:$A$500,'Employee Master'!$E$2:$E$500,""),"")</f>
        <v/>
      </c>
      <c r="F307" s="31"/>
      <c r="G307" s="39"/>
      <c r="H307" s="31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5"/>
      <c r="B308" s="31"/>
      <c r="C308" s="31" t="str">
        <f t="array" ref="C308">IFERROR(_xlfn.XLOOKUP(B308,'Employee Master'!$A$2:$A$500,'Employee Master'!$B$2:$B$500,""),"")</f>
        <v/>
      </c>
      <c r="D308" s="31" t="str">
        <f t="array" ref="D308">IFERROR(_xlfn.XLOOKUP(B308,'Employee Master'!$A$2:$A$500,'Employee Master'!$C$2:$C$500,""),"")</f>
        <v/>
      </c>
      <c r="E308" s="31" t="str">
        <f t="array" ref="E308">IFERROR(_xlfn.XLOOKUP(B308,'Employee Master'!$A$2:$A$500,'Employee Master'!$E$2:$E$500,""),"")</f>
        <v/>
      </c>
      <c r="F308" s="31"/>
      <c r="G308" s="39"/>
      <c r="H308" s="31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5"/>
      <c r="B309" s="31"/>
      <c r="C309" s="31" t="str">
        <f t="array" ref="C309">IFERROR(_xlfn.XLOOKUP(B309,'Employee Master'!$A$2:$A$500,'Employee Master'!$B$2:$B$500,""),"")</f>
        <v/>
      </c>
      <c r="D309" s="31" t="str">
        <f t="array" ref="D309">IFERROR(_xlfn.XLOOKUP(B309,'Employee Master'!$A$2:$A$500,'Employee Master'!$C$2:$C$500,""),"")</f>
        <v/>
      </c>
      <c r="E309" s="31" t="str">
        <f t="array" ref="E309">IFERROR(_xlfn.XLOOKUP(B309,'Employee Master'!$A$2:$A$500,'Employee Master'!$E$2:$E$500,""),"")</f>
        <v/>
      </c>
      <c r="F309" s="31"/>
      <c r="G309" s="39"/>
      <c r="H309" s="31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5"/>
      <c r="B310" s="31"/>
      <c r="C310" s="31" t="str">
        <f t="array" ref="C310">IFERROR(_xlfn.XLOOKUP(B310,'Employee Master'!$A$2:$A$500,'Employee Master'!$B$2:$B$500,""),"")</f>
        <v/>
      </c>
      <c r="D310" s="31" t="str">
        <f t="array" ref="D310">IFERROR(_xlfn.XLOOKUP(B310,'Employee Master'!$A$2:$A$500,'Employee Master'!$C$2:$C$500,""),"")</f>
        <v/>
      </c>
      <c r="E310" s="31" t="str">
        <f t="array" ref="E310">IFERROR(_xlfn.XLOOKUP(B310,'Employee Master'!$A$2:$A$500,'Employee Master'!$E$2:$E$500,""),"")</f>
        <v/>
      </c>
      <c r="F310" s="31"/>
      <c r="G310" s="39"/>
      <c r="H310" s="31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5"/>
      <c r="B311" s="31"/>
      <c r="C311" s="31" t="str">
        <f t="array" ref="C311">IFERROR(_xlfn.XLOOKUP(B311,'Employee Master'!$A$2:$A$500,'Employee Master'!$B$2:$B$500,""),"")</f>
        <v/>
      </c>
      <c r="D311" s="31" t="str">
        <f t="array" ref="D311">IFERROR(_xlfn.XLOOKUP(B311,'Employee Master'!$A$2:$A$500,'Employee Master'!$C$2:$C$500,""),"")</f>
        <v/>
      </c>
      <c r="E311" s="31" t="str">
        <f t="array" ref="E311">IFERROR(_xlfn.XLOOKUP(B311,'Employee Master'!$A$2:$A$500,'Employee Master'!$E$2:$E$500,""),"")</f>
        <v/>
      </c>
      <c r="F311" s="31"/>
      <c r="G311" s="39"/>
      <c r="H311" s="31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5"/>
      <c r="B312" s="31"/>
      <c r="C312" s="31" t="str">
        <f t="array" ref="C312">IFERROR(_xlfn.XLOOKUP(B312,'Employee Master'!$A$2:$A$500,'Employee Master'!$B$2:$B$500,""),"")</f>
        <v/>
      </c>
      <c r="D312" s="31" t="str">
        <f t="array" ref="D312">IFERROR(_xlfn.XLOOKUP(B312,'Employee Master'!$A$2:$A$500,'Employee Master'!$C$2:$C$500,""),"")</f>
        <v/>
      </c>
      <c r="E312" s="31" t="str">
        <f t="array" ref="E312">IFERROR(_xlfn.XLOOKUP(B312,'Employee Master'!$A$2:$A$500,'Employee Master'!$E$2:$E$500,""),"")</f>
        <v/>
      </c>
      <c r="F312" s="31"/>
      <c r="G312" s="39"/>
      <c r="H312" s="31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5"/>
      <c r="B313" s="31"/>
      <c r="C313" s="31" t="str">
        <f t="array" ref="C313">IFERROR(_xlfn.XLOOKUP(B313,'Employee Master'!$A$2:$A$500,'Employee Master'!$B$2:$B$500,""),"")</f>
        <v/>
      </c>
      <c r="D313" s="31" t="str">
        <f t="array" ref="D313">IFERROR(_xlfn.XLOOKUP(B313,'Employee Master'!$A$2:$A$500,'Employee Master'!$C$2:$C$500,""),"")</f>
        <v/>
      </c>
      <c r="E313" s="31" t="str">
        <f t="array" ref="E313">IFERROR(_xlfn.XLOOKUP(B313,'Employee Master'!$A$2:$A$500,'Employee Master'!$E$2:$E$500,""),"")</f>
        <v/>
      </c>
      <c r="F313" s="31"/>
      <c r="G313" s="39"/>
      <c r="H313" s="31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5"/>
      <c r="B314" s="31"/>
      <c r="C314" s="31" t="str">
        <f t="array" ref="C314">IFERROR(_xlfn.XLOOKUP(B314,'Employee Master'!$A$2:$A$500,'Employee Master'!$B$2:$B$500,""),"")</f>
        <v/>
      </c>
      <c r="D314" s="31" t="str">
        <f t="array" ref="D314">IFERROR(_xlfn.XLOOKUP(B314,'Employee Master'!$A$2:$A$500,'Employee Master'!$C$2:$C$500,""),"")</f>
        <v/>
      </c>
      <c r="E314" s="31" t="str">
        <f t="array" ref="E314">IFERROR(_xlfn.XLOOKUP(B314,'Employee Master'!$A$2:$A$500,'Employee Master'!$E$2:$E$500,""),"")</f>
        <v/>
      </c>
      <c r="F314" s="31"/>
      <c r="G314" s="39"/>
      <c r="H314" s="31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5"/>
      <c r="B315" s="31"/>
      <c r="C315" s="31" t="str">
        <f t="array" ref="C315">IFERROR(_xlfn.XLOOKUP(B315,'Employee Master'!$A$2:$A$500,'Employee Master'!$B$2:$B$500,""),"")</f>
        <v/>
      </c>
      <c r="D315" s="31" t="str">
        <f t="array" ref="D315">IFERROR(_xlfn.XLOOKUP(B315,'Employee Master'!$A$2:$A$500,'Employee Master'!$C$2:$C$500,""),"")</f>
        <v/>
      </c>
      <c r="E315" s="31" t="str">
        <f t="array" ref="E315">IFERROR(_xlfn.XLOOKUP(B315,'Employee Master'!$A$2:$A$500,'Employee Master'!$E$2:$E$500,""),"")</f>
        <v/>
      </c>
      <c r="F315" s="31"/>
      <c r="G315" s="39"/>
      <c r="H315" s="31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5"/>
      <c r="B316" s="31"/>
      <c r="C316" s="31" t="str">
        <f t="array" ref="C316">IFERROR(_xlfn.XLOOKUP(B316,'Employee Master'!$A$2:$A$500,'Employee Master'!$B$2:$B$500,""),"")</f>
        <v/>
      </c>
      <c r="D316" s="31" t="str">
        <f t="array" ref="D316">IFERROR(_xlfn.XLOOKUP(B316,'Employee Master'!$A$2:$A$500,'Employee Master'!$C$2:$C$500,""),"")</f>
        <v/>
      </c>
      <c r="E316" s="31" t="str">
        <f t="array" ref="E316">IFERROR(_xlfn.XLOOKUP(B316,'Employee Master'!$A$2:$A$500,'Employee Master'!$E$2:$E$500,""),"")</f>
        <v/>
      </c>
      <c r="F316" s="31"/>
      <c r="G316" s="39"/>
      <c r="H316" s="31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5"/>
      <c r="B317" s="31"/>
      <c r="C317" s="31" t="str">
        <f t="array" ref="C317">IFERROR(_xlfn.XLOOKUP(B317,'Employee Master'!$A$2:$A$500,'Employee Master'!$B$2:$B$500,""),"")</f>
        <v/>
      </c>
      <c r="D317" s="31" t="str">
        <f t="array" ref="D317">IFERROR(_xlfn.XLOOKUP(B317,'Employee Master'!$A$2:$A$500,'Employee Master'!$C$2:$C$500,""),"")</f>
        <v/>
      </c>
      <c r="E317" s="31" t="str">
        <f t="array" ref="E317">IFERROR(_xlfn.XLOOKUP(B317,'Employee Master'!$A$2:$A$500,'Employee Master'!$E$2:$E$500,""),"")</f>
        <v/>
      </c>
      <c r="F317" s="31"/>
      <c r="G317" s="39"/>
      <c r="H317" s="31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5"/>
      <c r="B318" s="31"/>
      <c r="C318" s="31" t="str">
        <f t="array" ref="C318">IFERROR(_xlfn.XLOOKUP(B318,'Employee Master'!$A$2:$A$500,'Employee Master'!$B$2:$B$500,""),"")</f>
        <v/>
      </c>
      <c r="D318" s="31" t="str">
        <f t="array" ref="D318">IFERROR(_xlfn.XLOOKUP(B318,'Employee Master'!$A$2:$A$500,'Employee Master'!$C$2:$C$500,""),"")</f>
        <v/>
      </c>
      <c r="E318" s="31" t="str">
        <f t="array" ref="E318">IFERROR(_xlfn.XLOOKUP(B318,'Employee Master'!$A$2:$A$500,'Employee Master'!$E$2:$E$500,""),"")</f>
        <v/>
      </c>
      <c r="F318" s="31"/>
      <c r="G318" s="39"/>
      <c r="H318" s="31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5"/>
      <c r="B319" s="31"/>
      <c r="C319" s="31" t="str">
        <f t="array" ref="C319">IFERROR(_xlfn.XLOOKUP(B319,'Employee Master'!$A$2:$A$500,'Employee Master'!$B$2:$B$500,""),"")</f>
        <v/>
      </c>
      <c r="D319" s="31" t="str">
        <f t="array" ref="D319">IFERROR(_xlfn.XLOOKUP(B319,'Employee Master'!$A$2:$A$500,'Employee Master'!$C$2:$C$500,""),"")</f>
        <v/>
      </c>
      <c r="E319" s="31" t="str">
        <f t="array" ref="E319">IFERROR(_xlfn.XLOOKUP(B319,'Employee Master'!$A$2:$A$500,'Employee Master'!$E$2:$E$500,""),"")</f>
        <v/>
      </c>
      <c r="F319" s="31"/>
      <c r="G319" s="39"/>
      <c r="H319" s="31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5"/>
      <c r="B320" s="31"/>
      <c r="C320" s="31" t="str">
        <f t="array" ref="C320">IFERROR(_xlfn.XLOOKUP(B320,'Employee Master'!$A$2:$A$500,'Employee Master'!$B$2:$B$500,""),"")</f>
        <v/>
      </c>
      <c r="D320" s="31" t="str">
        <f t="array" ref="D320">IFERROR(_xlfn.XLOOKUP(B320,'Employee Master'!$A$2:$A$500,'Employee Master'!$C$2:$C$500,""),"")</f>
        <v/>
      </c>
      <c r="E320" s="31" t="str">
        <f t="array" ref="E320">IFERROR(_xlfn.XLOOKUP(B320,'Employee Master'!$A$2:$A$500,'Employee Master'!$E$2:$E$500,""),"")</f>
        <v/>
      </c>
      <c r="F320" s="31"/>
      <c r="G320" s="39"/>
      <c r="H320" s="31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5"/>
      <c r="B321" s="31"/>
      <c r="C321" s="31" t="str">
        <f t="array" ref="C321">IFERROR(_xlfn.XLOOKUP(B321,'Employee Master'!$A$2:$A$500,'Employee Master'!$B$2:$B$500,""),"")</f>
        <v/>
      </c>
      <c r="D321" s="31" t="str">
        <f t="array" ref="D321">IFERROR(_xlfn.XLOOKUP(B321,'Employee Master'!$A$2:$A$500,'Employee Master'!$C$2:$C$500,""),"")</f>
        <v/>
      </c>
      <c r="E321" s="31" t="str">
        <f t="array" ref="E321">IFERROR(_xlfn.XLOOKUP(B321,'Employee Master'!$A$2:$A$500,'Employee Master'!$E$2:$E$500,""),"")</f>
        <v/>
      </c>
      <c r="F321" s="31"/>
      <c r="G321" s="39"/>
      <c r="H321" s="31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5"/>
      <c r="B322" s="31"/>
      <c r="C322" s="31" t="str">
        <f t="array" ref="C322">IFERROR(_xlfn.XLOOKUP(B322,'Employee Master'!$A$2:$A$500,'Employee Master'!$B$2:$B$500,""),"")</f>
        <v/>
      </c>
      <c r="D322" s="31" t="str">
        <f t="array" ref="D322">IFERROR(_xlfn.XLOOKUP(B322,'Employee Master'!$A$2:$A$500,'Employee Master'!$C$2:$C$500,""),"")</f>
        <v/>
      </c>
      <c r="E322" s="31" t="str">
        <f t="array" ref="E322">IFERROR(_xlfn.XLOOKUP(B322,'Employee Master'!$A$2:$A$500,'Employee Master'!$E$2:$E$500,""),"")</f>
        <v/>
      </c>
      <c r="F322" s="31"/>
      <c r="G322" s="39"/>
      <c r="H322" s="31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5"/>
      <c r="B323" s="31"/>
      <c r="C323" s="31" t="str">
        <f t="array" ref="C323">IFERROR(_xlfn.XLOOKUP(B323,'Employee Master'!$A$2:$A$500,'Employee Master'!$B$2:$B$500,""),"")</f>
        <v/>
      </c>
      <c r="D323" s="31" t="str">
        <f t="array" ref="D323">IFERROR(_xlfn.XLOOKUP(B323,'Employee Master'!$A$2:$A$500,'Employee Master'!$C$2:$C$500,""),"")</f>
        <v/>
      </c>
      <c r="E323" s="31" t="str">
        <f t="array" ref="E323">IFERROR(_xlfn.XLOOKUP(B323,'Employee Master'!$A$2:$A$500,'Employee Master'!$E$2:$E$500,""),"")</f>
        <v/>
      </c>
      <c r="F323" s="31"/>
      <c r="G323" s="39"/>
      <c r="H323" s="31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5"/>
      <c r="B324" s="31"/>
      <c r="C324" s="31" t="str">
        <f t="array" ref="C324">IFERROR(_xlfn.XLOOKUP(B324,'Employee Master'!$A$2:$A$500,'Employee Master'!$B$2:$B$500,""),"")</f>
        <v/>
      </c>
      <c r="D324" s="31" t="str">
        <f t="array" ref="D324">IFERROR(_xlfn.XLOOKUP(B324,'Employee Master'!$A$2:$A$500,'Employee Master'!$C$2:$C$500,""),"")</f>
        <v/>
      </c>
      <c r="E324" s="31" t="str">
        <f t="array" ref="E324">IFERROR(_xlfn.XLOOKUP(B324,'Employee Master'!$A$2:$A$500,'Employee Master'!$E$2:$E$500,""),"")</f>
        <v/>
      </c>
      <c r="F324" s="31"/>
      <c r="G324" s="39"/>
      <c r="H324" s="31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5"/>
      <c r="B325" s="31"/>
      <c r="C325" s="31" t="str">
        <f t="array" ref="C325">IFERROR(_xlfn.XLOOKUP(B325,'Employee Master'!$A$2:$A$500,'Employee Master'!$B$2:$B$500,""),"")</f>
        <v/>
      </c>
      <c r="D325" s="31" t="str">
        <f t="array" ref="D325">IFERROR(_xlfn.XLOOKUP(B325,'Employee Master'!$A$2:$A$500,'Employee Master'!$C$2:$C$500,""),"")</f>
        <v/>
      </c>
      <c r="E325" s="31" t="str">
        <f t="array" ref="E325">IFERROR(_xlfn.XLOOKUP(B325,'Employee Master'!$A$2:$A$500,'Employee Master'!$E$2:$E$500,""),"")</f>
        <v/>
      </c>
      <c r="F325" s="31"/>
      <c r="G325" s="39"/>
      <c r="H325" s="31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5"/>
      <c r="B326" s="31"/>
      <c r="C326" s="31" t="str">
        <f t="array" ref="C326">IFERROR(_xlfn.XLOOKUP(B326,'Employee Master'!$A$2:$A$500,'Employee Master'!$B$2:$B$500,""),"")</f>
        <v/>
      </c>
      <c r="D326" s="31" t="str">
        <f t="array" ref="D326">IFERROR(_xlfn.XLOOKUP(B326,'Employee Master'!$A$2:$A$500,'Employee Master'!$C$2:$C$500,""),"")</f>
        <v/>
      </c>
      <c r="E326" s="31" t="str">
        <f t="array" ref="E326">IFERROR(_xlfn.XLOOKUP(B326,'Employee Master'!$A$2:$A$500,'Employee Master'!$E$2:$E$500,""),"")</f>
        <v/>
      </c>
      <c r="F326" s="31"/>
      <c r="G326" s="39"/>
      <c r="H326" s="31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5"/>
      <c r="B327" s="31"/>
      <c r="C327" s="31" t="str">
        <f t="array" ref="C327">IFERROR(_xlfn.XLOOKUP(B327,'Employee Master'!$A$2:$A$500,'Employee Master'!$B$2:$B$500,""),"")</f>
        <v/>
      </c>
      <c r="D327" s="31" t="str">
        <f t="array" ref="D327">IFERROR(_xlfn.XLOOKUP(B327,'Employee Master'!$A$2:$A$500,'Employee Master'!$C$2:$C$500,""),"")</f>
        <v/>
      </c>
      <c r="E327" s="31" t="str">
        <f t="array" ref="E327">IFERROR(_xlfn.XLOOKUP(B327,'Employee Master'!$A$2:$A$500,'Employee Master'!$E$2:$E$500,""),"")</f>
        <v/>
      </c>
      <c r="F327" s="31"/>
      <c r="G327" s="39"/>
      <c r="H327" s="31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5"/>
      <c r="B328" s="31"/>
      <c r="C328" s="31" t="str">
        <f t="array" ref="C328">IFERROR(_xlfn.XLOOKUP(B328,'Employee Master'!$A$2:$A$500,'Employee Master'!$B$2:$B$500,""),"")</f>
        <v/>
      </c>
      <c r="D328" s="31" t="str">
        <f t="array" ref="D328">IFERROR(_xlfn.XLOOKUP(B328,'Employee Master'!$A$2:$A$500,'Employee Master'!$C$2:$C$500,""),"")</f>
        <v/>
      </c>
      <c r="E328" s="31" t="str">
        <f t="array" ref="E328">IFERROR(_xlfn.XLOOKUP(B328,'Employee Master'!$A$2:$A$500,'Employee Master'!$E$2:$E$500,""),"")</f>
        <v/>
      </c>
      <c r="F328" s="31"/>
      <c r="G328" s="39"/>
      <c r="H328" s="31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5"/>
      <c r="B329" s="31"/>
      <c r="C329" s="31" t="str">
        <f t="array" ref="C329">IFERROR(_xlfn.XLOOKUP(B329,'Employee Master'!$A$2:$A$500,'Employee Master'!$B$2:$B$500,""),"")</f>
        <v/>
      </c>
      <c r="D329" s="31" t="str">
        <f t="array" ref="D329">IFERROR(_xlfn.XLOOKUP(B329,'Employee Master'!$A$2:$A$500,'Employee Master'!$C$2:$C$500,""),"")</f>
        <v/>
      </c>
      <c r="E329" s="31" t="str">
        <f t="array" ref="E329">IFERROR(_xlfn.XLOOKUP(B329,'Employee Master'!$A$2:$A$500,'Employee Master'!$E$2:$E$500,""),"")</f>
        <v/>
      </c>
      <c r="F329" s="31"/>
      <c r="G329" s="39"/>
      <c r="H329" s="31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5"/>
      <c r="B330" s="31"/>
      <c r="C330" s="31" t="str">
        <f t="array" ref="C330">IFERROR(_xlfn.XLOOKUP(B330,'Employee Master'!$A$2:$A$500,'Employee Master'!$B$2:$B$500,""),"")</f>
        <v/>
      </c>
      <c r="D330" s="31" t="str">
        <f t="array" ref="D330">IFERROR(_xlfn.XLOOKUP(B330,'Employee Master'!$A$2:$A$500,'Employee Master'!$C$2:$C$500,""),"")</f>
        <v/>
      </c>
      <c r="E330" s="31" t="str">
        <f t="array" ref="E330">IFERROR(_xlfn.XLOOKUP(B330,'Employee Master'!$A$2:$A$500,'Employee Master'!$E$2:$E$500,""),"")</f>
        <v/>
      </c>
      <c r="F330" s="31"/>
      <c r="G330" s="39"/>
      <c r="H330" s="31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5"/>
      <c r="B331" s="31"/>
      <c r="C331" s="31" t="str">
        <f t="array" ref="C331">IFERROR(_xlfn.XLOOKUP(B331,'Employee Master'!$A$2:$A$500,'Employee Master'!$B$2:$B$500,""),"")</f>
        <v/>
      </c>
      <c r="D331" s="31" t="str">
        <f t="array" ref="D331">IFERROR(_xlfn.XLOOKUP(B331,'Employee Master'!$A$2:$A$500,'Employee Master'!$C$2:$C$500,""),"")</f>
        <v/>
      </c>
      <c r="E331" s="31" t="str">
        <f t="array" ref="E331">IFERROR(_xlfn.XLOOKUP(B331,'Employee Master'!$A$2:$A$500,'Employee Master'!$E$2:$E$500,""),"")</f>
        <v/>
      </c>
      <c r="F331" s="31"/>
      <c r="G331" s="39"/>
      <c r="H331" s="31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5"/>
      <c r="B332" s="31"/>
      <c r="C332" s="31" t="str">
        <f t="array" ref="C332">IFERROR(_xlfn.XLOOKUP(B332,'Employee Master'!$A$2:$A$500,'Employee Master'!$B$2:$B$500,""),"")</f>
        <v/>
      </c>
      <c r="D332" s="31" t="str">
        <f t="array" ref="D332">IFERROR(_xlfn.XLOOKUP(B332,'Employee Master'!$A$2:$A$500,'Employee Master'!$C$2:$C$500,""),"")</f>
        <v/>
      </c>
      <c r="E332" s="31" t="str">
        <f t="array" ref="E332">IFERROR(_xlfn.XLOOKUP(B332,'Employee Master'!$A$2:$A$500,'Employee Master'!$E$2:$E$500,""),"")</f>
        <v/>
      </c>
      <c r="F332" s="31"/>
      <c r="G332" s="39"/>
      <c r="H332" s="31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5"/>
      <c r="B333" s="31"/>
      <c r="C333" s="31" t="str">
        <f t="array" ref="C333">IFERROR(_xlfn.XLOOKUP(B333,'Employee Master'!$A$2:$A$500,'Employee Master'!$B$2:$B$500,""),"")</f>
        <v/>
      </c>
      <c r="D333" s="31" t="str">
        <f t="array" ref="D333">IFERROR(_xlfn.XLOOKUP(B333,'Employee Master'!$A$2:$A$500,'Employee Master'!$C$2:$C$500,""),"")</f>
        <v/>
      </c>
      <c r="E333" s="31" t="str">
        <f t="array" ref="E333">IFERROR(_xlfn.XLOOKUP(B333,'Employee Master'!$A$2:$A$500,'Employee Master'!$E$2:$E$500,""),"")</f>
        <v/>
      </c>
      <c r="F333" s="31"/>
      <c r="G333" s="39"/>
      <c r="H333" s="31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5"/>
      <c r="B334" s="31"/>
      <c r="C334" s="31" t="str">
        <f t="array" ref="C334">IFERROR(_xlfn.XLOOKUP(B334,'Employee Master'!$A$2:$A$500,'Employee Master'!$B$2:$B$500,""),"")</f>
        <v/>
      </c>
      <c r="D334" s="31" t="str">
        <f t="array" ref="D334">IFERROR(_xlfn.XLOOKUP(B334,'Employee Master'!$A$2:$A$500,'Employee Master'!$C$2:$C$500,""),"")</f>
        <v/>
      </c>
      <c r="E334" s="31" t="str">
        <f t="array" ref="E334">IFERROR(_xlfn.XLOOKUP(B334,'Employee Master'!$A$2:$A$500,'Employee Master'!$E$2:$E$500,""),"")</f>
        <v/>
      </c>
      <c r="F334" s="31"/>
      <c r="G334" s="39"/>
      <c r="H334" s="31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5"/>
      <c r="B335" s="31"/>
      <c r="C335" s="31" t="str">
        <f t="array" ref="C335">IFERROR(_xlfn.XLOOKUP(B335,'Employee Master'!$A$2:$A$500,'Employee Master'!$B$2:$B$500,""),"")</f>
        <v/>
      </c>
      <c r="D335" s="31" t="str">
        <f t="array" ref="D335">IFERROR(_xlfn.XLOOKUP(B335,'Employee Master'!$A$2:$A$500,'Employee Master'!$C$2:$C$500,""),"")</f>
        <v/>
      </c>
      <c r="E335" s="31" t="str">
        <f t="array" ref="E335">IFERROR(_xlfn.XLOOKUP(B335,'Employee Master'!$A$2:$A$500,'Employee Master'!$E$2:$E$500,""),"")</f>
        <v/>
      </c>
      <c r="F335" s="31"/>
      <c r="G335" s="39"/>
      <c r="H335" s="31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5"/>
      <c r="B336" s="31"/>
      <c r="C336" s="31" t="str">
        <f t="array" ref="C336">IFERROR(_xlfn.XLOOKUP(B336,'Employee Master'!$A$2:$A$500,'Employee Master'!$B$2:$B$500,""),"")</f>
        <v/>
      </c>
      <c r="D336" s="31" t="str">
        <f t="array" ref="D336">IFERROR(_xlfn.XLOOKUP(B336,'Employee Master'!$A$2:$A$500,'Employee Master'!$C$2:$C$500,""),"")</f>
        <v/>
      </c>
      <c r="E336" s="31" t="str">
        <f t="array" ref="E336">IFERROR(_xlfn.XLOOKUP(B336,'Employee Master'!$A$2:$A$500,'Employee Master'!$E$2:$E$500,""),"")</f>
        <v/>
      </c>
      <c r="F336" s="31"/>
      <c r="G336" s="39"/>
      <c r="H336" s="31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5"/>
      <c r="B337" s="31"/>
      <c r="C337" s="31" t="str">
        <f t="array" ref="C337">IFERROR(_xlfn.XLOOKUP(B337,'Employee Master'!$A$2:$A$500,'Employee Master'!$B$2:$B$500,""),"")</f>
        <v/>
      </c>
      <c r="D337" s="31" t="str">
        <f t="array" ref="D337">IFERROR(_xlfn.XLOOKUP(B337,'Employee Master'!$A$2:$A$500,'Employee Master'!$C$2:$C$500,""),"")</f>
        <v/>
      </c>
      <c r="E337" s="31" t="str">
        <f t="array" ref="E337">IFERROR(_xlfn.XLOOKUP(B337,'Employee Master'!$A$2:$A$500,'Employee Master'!$E$2:$E$500,""),"")</f>
        <v/>
      </c>
      <c r="F337" s="31"/>
      <c r="G337" s="39"/>
      <c r="H337" s="31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5"/>
      <c r="B338" s="31"/>
      <c r="C338" s="31" t="str">
        <f t="array" ref="C338">IFERROR(_xlfn.XLOOKUP(B338,'Employee Master'!$A$2:$A$500,'Employee Master'!$B$2:$B$500,""),"")</f>
        <v/>
      </c>
      <c r="D338" s="31" t="str">
        <f t="array" ref="D338">IFERROR(_xlfn.XLOOKUP(B338,'Employee Master'!$A$2:$A$500,'Employee Master'!$C$2:$C$500,""),"")</f>
        <v/>
      </c>
      <c r="E338" s="31" t="str">
        <f t="array" ref="E338">IFERROR(_xlfn.XLOOKUP(B338,'Employee Master'!$A$2:$A$500,'Employee Master'!$E$2:$E$500,""),"")</f>
        <v/>
      </c>
      <c r="F338" s="31"/>
      <c r="G338" s="39"/>
      <c r="H338" s="31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5"/>
      <c r="B339" s="31"/>
      <c r="C339" s="31" t="str">
        <f t="array" ref="C339">IFERROR(_xlfn.XLOOKUP(B339,'Employee Master'!$A$2:$A$500,'Employee Master'!$B$2:$B$500,""),"")</f>
        <v/>
      </c>
      <c r="D339" s="31" t="str">
        <f t="array" ref="D339">IFERROR(_xlfn.XLOOKUP(B339,'Employee Master'!$A$2:$A$500,'Employee Master'!$C$2:$C$500,""),"")</f>
        <v/>
      </c>
      <c r="E339" s="31" t="str">
        <f t="array" ref="E339">IFERROR(_xlfn.XLOOKUP(B339,'Employee Master'!$A$2:$A$500,'Employee Master'!$E$2:$E$500,""),"")</f>
        <v/>
      </c>
      <c r="F339" s="31"/>
      <c r="G339" s="39"/>
      <c r="H339" s="31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5"/>
      <c r="B340" s="31"/>
      <c r="C340" s="31" t="str">
        <f t="array" ref="C340">IFERROR(_xlfn.XLOOKUP(B340,'Employee Master'!$A$2:$A$500,'Employee Master'!$B$2:$B$500,""),"")</f>
        <v/>
      </c>
      <c r="D340" s="31" t="str">
        <f t="array" ref="D340">IFERROR(_xlfn.XLOOKUP(B340,'Employee Master'!$A$2:$A$500,'Employee Master'!$C$2:$C$500,""),"")</f>
        <v/>
      </c>
      <c r="E340" s="31" t="str">
        <f t="array" ref="E340">IFERROR(_xlfn.XLOOKUP(B340,'Employee Master'!$A$2:$A$500,'Employee Master'!$E$2:$E$500,""),"")</f>
        <v/>
      </c>
      <c r="F340" s="31"/>
      <c r="G340" s="39"/>
      <c r="H340" s="31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5"/>
      <c r="B341" s="31"/>
      <c r="C341" s="31" t="str">
        <f t="array" ref="C341">IFERROR(_xlfn.XLOOKUP(B341,'Employee Master'!$A$2:$A$500,'Employee Master'!$B$2:$B$500,""),"")</f>
        <v/>
      </c>
      <c r="D341" s="31" t="str">
        <f t="array" ref="D341">IFERROR(_xlfn.XLOOKUP(B341,'Employee Master'!$A$2:$A$500,'Employee Master'!$C$2:$C$500,""),"")</f>
        <v/>
      </c>
      <c r="E341" s="31" t="str">
        <f t="array" ref="E341">IFERROR(_xlfn.XLOOKUP(B341,'Employee Master'!$A$2:$A$500,'Employee Master'!$E$2:$E$500,""),"")</f>
        <v/>
      </c>
      <c r="F341" s="31"/>
      <c r="G341" s="39"/>
      <c r="H341" s="31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5"/>
      <c r="B342" s="31"/>
      <c r="C342" s="31" t="str">
        <f t="array" ref="C342">IFERROR(_xlfn.XLOOKUP(B342,'Employee Master'!$A$2:$A$500,'Employee Master'!$B$2:$B$500,""),"")</f>
        <v/>
      </c>
      <c r="D342" s="31" t="str">
        <f t="array" ref="D342">IFERROR(_xlfn.XLOOKUP(B342,'Employee Master'!$A$2:$A$500,'Employee Master'!$C$2:$C$500,""),"")</f>
        <v/>
      </c>
      <c r="E342" s="31" t="str">
        <f t="array" ref="E342">IFERROR(_xlfn.XLOOKUP(B342,'Employee Master'!$A$2:$A$500,'Employee Master'!$E$2:$E$500,""),"")</f>
        <v/>
      </c>
      <c r="F342" s="31"/>
      <c r="G342" s="39"/>
      <c r="H342" s="31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5"/>
      <c r="B343" s="31"/>
      <c r="C343" s="31" t="str">
        <f t="array" ref="C343">IFERROR(_xlfn.XLOOKUP(B343,'Employee Master'!$A$2:$A$500,'Employee Master'!$B$2:$B$500,""),"")</f>
        <v/>
      </c>
      <c r="D343" s="31" t="str">
        <f t="array" ref="D343">IFERROR(_xlfn.XLOOKUP(B343,'Employee Master'!$A$2:$A$500,'Employee Master'!$C$2:$C$500,""),"")</f>
        <v/>
      </c>
      <c r="E343" s="31" t="str">
        <f t="array" ref="E343">IFERROR(_xlfn.XLOOKUP(B343,'Employee Master'!$A$2:$A$500,'Employee Master'!$E$2:$E$500,""),"")</f>
        <v/>
      </c>
      <c r="F343" s="31"/>
      <c r="G343" s="39"/>
      <c r="H343" s="31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5"/>
      <c r="B344" s="31"/>
      <c r="C344" s="31" t="str">
        <f t="array" ref="C344">IFERROR(_xlfn.XLOOKUP(B344,'Employee Master'!$A$2:$A$500,'Employee Master'!$B$2:$B$500,""),"")</f>
        <v/>
      </c>
      <c r="D344" s="31" t="str">
        <f t="array" ref="D344">IFERROR(_xlfn.XLOOKUP(B344,'Employee Master'!$A$2:$A$500,'Employee Master'!$C$2:$C$500,""),"")</f>
        <v/>
      </c>
      <c r="E344" s="31" t="str">
        <f t="array" ref="E344">IFERROR(_xlfn.XLOOKUP(B344,'Employee Master'!$A$2:$A$500,'Employee Master'!$E$2:$E$500,""),"")</f>
        <v/>
      </c>
      <c r="F344" s="31"/>
      <c r="G344" s="39"/>
      <c r="H344" s="31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5"/>
      <c r="B345" s="31"/>
      <c r="C345" s="31" t="str">
        <f t="array" ref="C345">IFERROR(_xlfn.XLOOKUP(B345,'Employee Master'!$A$2:$A$500,'Employee Master'!$B$2:$B$500,""),"")</f>
        <v/>
      </c>
      <c r="D345" s="31" t="str">
        <f t="array" ref="D345">IFERROR(_xlfn.XLOOKUP(B345,'Employee Master'!$A$2:$A$500,'Employee Master'!$C$2:$C$500,""),"")</f>
        <v/>
      </c>
      <c r="E345" s="31" t="str">
        <f t="array" ref="E345">IFERROR(_xlfn.XLOOKUP(B345,'Employee Master'!$A$2:$A$500,'Employee Master'!$E$2:$E$500,""),"")</f>
        <v/>
      </c>
      <c r="F345" s="31"/>
      <c r="G345" s="39"/>
      <c r="H345" s="31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5"/>
      <c r="B346" s="31"/>
      <c r="C346" s="31" t="str">
        <f t="array" ref="C346">IFERROR(_xlfn.XLOOKUP(B346,'Employee Master'!$A$2:$A$500,'Employee Master'!$B$2:$B$500,""),"")</f>
        <v/>
      </c>
      <c r="D346" s="31" t="str">
        <f t="array" ref="D346">IFERROR(_xlfn.XLOOKUP(B346,'Employee Master'!$A$2:$A$500,'Employee Master'!$C$2:$C$500,""),"")</f>
        <v/>
      </c>
      <c r="E346" s="31" t="str">
        <f t="array" ref="E346">IFERROR(_xlfn.XLOOKUP(B346,'Employee Master'!$A$2:$A$500,'Employee Master'!$E$2:$E$500,""),"")</f>
        <v/>
      </c>
      <c r="F346" s="31"/>
      <c r="G346" s="39"/>
      <c r="H346" s="31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5"/>
      <c r="B347" s="31"/>
      <c r="C347" s="31" t="str">
        <f t="array" ref="C347">IFERROR(_xlfn.XLOOKUP(B347,'Employee Master'!$A$2:$A$500,'Employee Master'!$B$2:$B$500,""),"")</f>
        <v/>
      </c>
      <c r="D347" s="31" t="str">
        <f t="array" ref="D347">IFERROR(_xlfn.XLOOKUP(B347,'Employee Master'!$A$2:$A$500,'Employee Master'!$C$2:$C$500,""),"")</f>
        <v/>
      </c>
      <c r="E347" s="31" t="str">
        <f t="array" ref="E347">IFERROR(_xlfn.XLOOKUP(B347,'Employee Master'!$A$2:$A$500,'Employee Master'!$E$2:$E$500,""),"")</f>
        <v/>
      </c>
      <c r="F347" s="31"/>
      <c r="G347" s="39"/>
      <c r="H347" s="31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5"/>
      <c r="B348" s="31"/>
      <c r="C348" s="31" t="str">
        <f t="array" ref="C348">IFERROR(_xlfn.XLOOKUP(B348,'Employee Master'!$A$2:$A$500,'Employee Master'!$B$2:$B$500,""),"")</f>
        <v/>
      </c>
      <c r="D348" s="31" t="str">
        <f t="array" ref="D348">IFERROR(_xlfn.XLOOKUP(B348,'Employee Master'!$A$2:$A$500,'Employee Master'!$C$2:$C$500,""),"")</f>
        <v/>
      </c>
      <c r="E348" s="31" t="str">
        <f t="array" ref="E348">IFERROR(_xlfn.XLOOKUP(B348,'Employee Master'!$A$2:$A$500,'Employee Master'!$E$2:$E$500,""),"")</f>
        <v/>
      </c>
      <c r="F348" s="31"/>
      <c r="G348" s="39"/>
      <c r="H348" s="31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5"/>
      <c r="B349" s="31"/>
      <c r="C349" s="31" t="str">
        <f t="array" ref="C349">IFERROR(_xlfn.XLOOKUP(B349,'Employee Master'!$A$2:$A$500,'Employee Master'!$B$2:$B$500,""),"")</f>
        <v/>
      </c>
      <c r="D349" s="31" t="str">
        <f t="array" ref="D349">IFERROR(_xlfn.XLOOKUP(B349,'Employee Master'!$A$2:$A$500,'Employee Master'!$C$2:$C$500,""),"")</f>
        <v/>
      </c>
      <c r="E349" s="31" t="str">
        <f t="array" ref="E349">IFERROR(_xlfn.XLOOKUP(B349,'Employee Master'!$A$2:$A$500,'Employee Master'!$E$2:$E$500,""),"")</f>
        <v/>
      </c>
      <c r="F349" s="31"/>
      <c r="G349" s="39"/>
      <c r="H349" s="31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5"/>
      <c r="B350" s="31"/>
      <c r="C350" s="31" t="str">
        <f t="array" ref="C350">IFERROR(_xlfn.XLOOKUP(B350,'Employee Master'!$A$2:$A$500,'Employee Master'!$B$2:$B$500,""),"")</f>
        <v/>
      </c>
      <c r="D350" s="31" t="str">
        <f t="array" ref="D350">IFERROR(_xlfn.XLOOKUP(B350,'Employee Master'!$A$2:$A$500,'Employee Master'!$C$2:$C$500,""),"")</f>
        <v/>
      </c>
      <c r="E350" s="31" t="str">
        <f t="array" ref="E350">IFERROR(_xlfn.XLOOKUP(B350,'Employee Master'!$A$2:$A$500,'Employee Master'!$E$2:$E$500,""),"")</f>
        <v/>
      </c>
      <c r="F350" s="31"/>
      <c r="G350" s="39"/>
      <c r="H350" s="31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5"/>
      <c r="B351" s="31"/>
      <c r="C351" s="31" t="str">
        <f t="array" ref="C351">IFERROR(_xlfn.XLOOKUP(B351,'Employee Master'!$A$2:$A$500,'Employee Master'!$B$2:$B$500,""),"")</f>
        <v/>
      </c>
      <c r="D351" s="31" t="str">
        <f t="array" ref="D351">IFERROR(_xlfn.XLOOKUP(B351,'Employee Master'!$A$2:$A$500,'Employee Master'!$C$2:$C$500,""),"")</f>
        <v/>
      </c>
      <c r="E351" s="31" t="str">
        <f t="array" ref="E351">IFERROR(_xlfn.XLOOKUP(B351,'Employee Master'!$A$2:$A$500,'Employee Master'!$E$2:$E$500,""),"")</f>
        <v/>
      </c>
      <c r="F351" s="31"/>
      <c r="G351" s="39"/>
      <c r="H351" s="31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5"/>
      <c r="B352" s="31"/>
      <c r="C352" s="31" t="str">
        <f t="array" ref="C352">IFERROR(_xlfn.XLOOKUP(B352,'Employee Master'!$A$2:$A$500,'Employee Master'!$B$2:$B$500,""),"")</f>
        <v/>
      </c>
      <c r="D352" s="31" t="str">
        <f t="array" ref="D352">IFERROR(_xlfn.XLOOKUP(B352,'Employee Master'!$A$2:$A$500,'Employee Master'!$C$2:$C$500,""),"")</f>
        <v/>
      </c>
      <c r="E352" s="31" t="str">
        <f t="array" ref="E352">IFERROR(_xlfn.XLOOKUP(B352,'Employee Master'!$A$2:$A$500,'Employee Master'!$E$2:$E$500,""),"")</f>
        <v/>
      </c>
      <c r="F352" s="31"/>
      <c r="G352" s="39"/>
      <c r="H352" s="31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5"/>
      <c r="B353" s="31"/>
      <c r="C353" s="31" t="str">
        <f t="array" ref="C353">IFERROR(_xlfn.XLOOKUP(B353,'Employee Master'!$A$2:$A$500,'Employee Master'!$B$2:$B$500,""),"")</f>
        <v/>
      </c>
      <c r="D353" s="31" t="str">
        <f t="array" ref="D353">IFERROR(_xlfn.XLOOKUP(B353,'Employee Master'!$A$2:$A$500,'Employee Master'!$C$2:$C$500,""),"")</f>
        <v/>
      </c>
      <c r="E353" s="31" t="str">
        <f t="array" ref="E353">IFERROR(_xlfn.XLOOKUP(B353,'Employee Master'!$A$2:$A$500,'Employee Master'!$E$2:$E$500,""),"")</f>
        <v/>
      </c>
      <c r="F353" s="31"/>
      <c r="G353" s="39"/>
      <c r="H353" s="31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5"/>
      <c r="B354" s="31"/>
      <c r="C354" s="31" t="str">
        <f t="array" ref="C354">IFERROR(_xlfn.XLOOKUP(B354,'Employee Master'!$A$2:$A$500,'Employee Master'!$B$2:$B$500,""),"")</f>
        <v/>
      </c>
      <c r="D354" s="31" t="str">
        <f t="array" ref="D354">IFERROR(_xlfn.XLOOKUP(B354,'Employee Master'!$A$2:$A$500,'Employee Master'!$C$2:$C$500,""),"")</f>
        <v/>
      </c>
      <c r="E354" s="31" t="str">
        <f t="array" ref="E354">IFERROR(_xlfn.XLOOKUP(B354,'Employee Master'!$A$2:$A$500,'Employee Master'!$E$2:$E$500,""),"")</f>
        <v/>
      </c>
      <c r="F354" s="31"/>
      <c r="G354" s="39"/>
      <c r="H354" s="31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5"/>
      <c r="B355" s="31"/>
      <c r="C355" s="31" t="str">
        <f t="array" ref="C355">IFERROR(_xlfn.XLOOKUP(B355,'Employee Master'!$A$2:$A$500,'Employee Master'!$B$2:$B$500,""),"")</f>
        <v/>
      </c>
      <c r="D355" s="31" t="str">
        <f t="array" ref="D355">IFERROR(_xlfn.XLOOKUP(B355,'Employee Master'!$A$2:$A$500,'Employee Master'!$C$2:$C$500,""),"")</f>
        <v/>
      </c>
      <c r="E355" s="31" t="str">
        <f t="array" ref="E355">IFERROR(_xlfn.XLOOKUP(B355,'Employee Master'!$A$2:$A$500,'Employee Master'!$E$2:$E$500,""),"")</f>
        <v/>
      </c>
      <c r="F355" s="31"/>
      <c r="G355" s="39"/>
      <c r="H355" s="31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5"/>
      <c r="B356" s="31"/>
      <c r="C356" s="31" t="str">
        <f t="array" ref="C356">IFERROR(_xlfn.XLOOKUP(B356,'Employee Master'!$A$2:$A$500,'Employee Master'!$B$2:$B$500,""),"")</f>
        <v/>
      </c>
      <c r="D356" s="31" t="str">
        <f t="array" ref="D356">IFERROR(_xlfn.XLOOKUP(B356,'Employee Master'!$A$2:$A$500,'Employee Master'!$C$2:$C$500,""),"")</f>
        <v/>
      </c>
      <c r="E356" s="31" t="str">
        <f t="array" ref="E356">IFERROR(_xlfn.XLOOKUP(B356,'Employee Master'!$A$2:$A$500,'Employee Master'!$E$2:$E$500,""),"")</f>
        <v/>
      </c>
      <c r="F356" s="31"/>
      <c r="G356" s="39"/>
      <c r="H356" s="31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5"/>
      <c r="B357" s="31"/>
      <c r="C357" s="31" t="str">
        <f t="array" ref="C357">IFERROR(_xlfn.XLOOKUP(B357,'Employee Master'!$A$2:$A$500,'Employee Master'!$B$2:$B$500,""),"")</f>
        <v/>
      </c>
      <c r="D357" s="31" t="str">
        <f t="array" ref="D357">IFERROR(_xlfn.XLOOKUP(B357,'Employee Master'!$A$2:$A$500,'Employee Master'!$C$2:$C$500,""),"")</f>
        <v/>
      </c>
      <c r="E357" s="31" t="str">
        <f t="array" ref="E357">IFERROR(_xlfn.XLOOKUP(B357,'Employee Master'!$A$2:$A$500,'Employee Master'!$E$2:$E$500,""),"")</f>
        <v/>
      </c>
      <c r="F357" s="31"/>
      <c r="G357" s="39"/>
      <c r="H357" s="31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5"/>
      <c r="B358" s="31"/>
      <c r="C358" s="31" t="str">
        <f t="array" ref="C358">IFERROR(_xlfn.XLOOKUP(B358,'Employee Master'!$A$2:$A$500,'Employee Master'!$B$2:$B$500,""),"")</f>
        <v/>
      </c>
      <c r="D358" s="31" t="str">
        <f t="array" ref="D358">IFERROR(_xlfn.XLOOKUP(B358,'Employee Master'!$A$2:$A$500,'Employee Master'!$C$2:$C$500,""),"")</f>
        <v/>
      </c>
      <c r="E358" s="31" t="str">
        <f t="array" ref="E358">IFERROR(_xlfn.XLOOKUP(B358,'Employee Master'!$A$2:$A$500,'Employee Master'!$E$2:$E$500,""),"")</f>
        <v/>
      </c>
      <c r="F358" s="31"/>
      <c r="G358" s="39"/>
      <c r="H358" s="31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5"/>
      <c r="B359" s="31"/>
      <c r="C359" s="31" t="str">
        <f t="array" ref="C359">IFERROR(_xlfn.XLOOKUP(B359,'Employee Master'!$A$2:$A$500,'Employee Master'!$B$2:$B$500,""),"")</f>
        <v/>
      </c>
      <c r="D359" s="31" t="str">
        <f t="array" ref="D359">IFERROR(_xlfn.XLOOKUP(B359,'Employee Master'!$A$2:$A$500,'Employee Master'!$C$2:$C$500,""),"")</f>
        <v/>
      </c>
      <c r="E359" s="31" t="str">
        <f t="array" ref="E359">IFERROR(_xlfn.XLOOKUP(B359,'Employee Master'!$A$2:$A$500,'Employee Master'!$E$2:$E$500,""),"")</f>
        <v/>
      </c>
      <c r="F359" s="31"/>
      <c r="G359" s="39"/>
      <c r="H359" s="31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5"/>
      <c r="B360" s="31"/>
      <c r="C360" s="31" t="str">
        <f t="array" ref="C360">IFERROR(_xlfn.XLOOKUP(B360,'Employee Master'!$A$2:$A$500,'Employee Master'!$B$2:$B$500,""),"")</f>
        <v/>
      </c>
      <c r="D360" s="31" t="str">
        <f t="array" ref="D360">IFERROR(_xlfn.XLOOKUP(B360,'Employee Master'!$A$2:$A$500,'Employee Master'!$C$2:$C$500,""),"")</f>
        <v/>
      </c>
      <c r="E360" s="31" t="str">
        <f t="array" ref="E360">IFERROR(_xlfn.XLOOKUP(B360,'Employee Master'!$A$2:$A$500,'Employee Master'!$E$2:$E$500,""),"")</f>
        <v/>
      </c>
      <c r="F360" s="31"/>
      <c r="G360" s="39"/>
      <c r="H360" s="31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5"/>
      <c r="B361" s="31"/>
      <c r="C361" s="31" t="str">
        <f t="array" ref="C361">IFERROR(_xlfn.XLOOKUP(B361,'Employee Master'!$A$2:$A$500,'Employee Master'!$B$2:$B$500,""),"")</f>
        <v/>
      </c>
      <c r="D361" s="31" t="str">
        <f t="array" ref="D361">IFERROR(_xlfn.XLOOKUP(B361,'Employee Master'!$A$2:$A$500,'Employee Master'!$C$2:$C$500,""),"")</f>
        <v/>
      </c>
      <c r="E361" s="31" t="str">
        <f t="array" ref="E361">IFERROR(_xlfn.XLOOKUP(B361,'Employee Master'!$A$2:$A$500,'Employee Master'!$E$2:$E$500,""),"")</f>
        <v/>
      </c>
      <c r="F361" s="31"/>
      <c r="G361" s="39"/>
      <c r="H361" s="31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5"/>
      <c r="B362" s="31"/>
      <c r="C362" s="31" t="str">
        <f t="array" ref="C362">IFERROR(_xlfn.XLOOKUP(B362,'Employee Master'!$A$2:$A$500,'Employee Master'!$B$2:$B$500,""),"")</f>
        <v/>
      </c>
      <c r="D362" s="31" t="str">
        <f t="array" ref="D362">IFERROR(_xlfn.XLOOKUP(B362,'Employee Master'!$A$2:$A$500,'Employee Master'!$C$2:$C$500,""),"")</f>
        <v/>
      </c>
      <c r="E362" s="31" t="str">
        <f t="array" ref="E362">IFERROR(_xlfn.XLOOKUP(B362,'Employee Master'!$A$2:$A$500,'Employee Master'!$E$2:$E$500,""),"")</f>
        <v/>
      </c>
      <c r="F362" s="31"/>
      <c r="G362" s="39"/>
      <c r="H362" s="31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5"/>
      <c r="B363" s="31"/>
      <c r="C363" s="31" t="str">
        <f t="array" ref="C363">IFERROR(_xlfn.XLOOKUP(B363,'Employee Master'!$A$2:$A$500,'Employee Master'!$B$2:$B$500,""),"")</f>
        <v/>
      </c>
      <c r="D363" s="31" t="str">
        <f t="array" ref="D363">IFERROR(_xlfn.XLOOKUP(B363,'Employee Master'!$A$2:$A$500,'Employee Master'!$C$2:$C$500,""),"")</f>
        <v/>
      </c>
      <c r="E363" s="31" t="str">
        <f t="array" ref="E363">IFERROR(_xlfn.XLOOKUP(B363,'Employee Master'!$A$2:$A$500,'Employee Master'!$E$2:$E$500,""),"")</f>
        <v/>
      </c>
      <c r="F363" s="31"/>
      <c r="G363" s="39"/>
      <c r="H363" s="31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5"/>
      <c r="B364" s="31"/>
      <c r="C364" s="31" t="str">
        <f t="array" ref="C364">IFERROR(_xlfn.XLOOKUP(B364,'Employee Master'!$A$2:$A$500,'Employee Master'!$B$2:$B$500,""),"")</f>
        <v/>
      </c>
      <c r="D364" s="31" t="str">
        <f t="array" ref="D364">IFERROR(_xlfn.XLOOKUP(B364,'Employee Master'!$A$2:$A$500,'Employee Master'!$C$2:$C$500,""),"")</f>
        <v/>
      </c>
      <c r="E364" s="31" t="str">
        <f t="array" ref="E364">IFERROR(_xlfn.XLOOKUP(B364,'Employee Master'!$A$2:$A$500,'Employee Master'!$E$2:$E$500,""),"")</f>
        <v/>
      </c>
      <c r="F364" s="31"/>
      <c r="G364" s="39"/>
      <c r="H364" s="31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5"/>
      <c r="B365" s="31"/>
      <c r="C365" s="31" t="str">
        <f t="array" ref="C365">IFERROR(_xlfn.XLOOKUP(B365,'Employee Master'!$A$2:$A$500,'Employee Master'!$B$2:$B$500,""),"")</f>
        <v/>
      </c>
      <c r="D365" s="31" t="str">
        <f t="array" ref="D365">IFERROR(_xlfn.XLOOKUP(B365,'Employee Master'!$A$2:$A$500,'Employee Master'!$C$2:$C$500,""),"")</f>
        <v/>
      </c>
      <c r="E365" s="31" t="str">
        <f t="array" ref="E365">IFERROR(_xlfn.XLOOKUP(B365,'Employee Master'!$A$2:$A$500,'Employee Master'!$E$2:$E$500,""),"")</f>
        <v/>
      </c>
      <c r="F365" s="31"/>
      <c r="G365" s="39"/>
      <c r="H365" s="31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5"/>
      <c r="B366" s="31"/>
      <c r="C366" s="31" t="str">
        <f t="array" ref="C366">IFERROR(_xlfn.XLOOKUP(B366,'Employee Master'!$A$2:$A$500,'Employee Master'!$B$2:$B$500,""),"")</f>
        <v/>
      </c>
      <c r="D366" s="31" t="str">
        <f t="array" ref="D366">IFERROR(_xlfn.XLOOKUP(B366,'Employee Master'!$A$2:$A$500,'Employee Master'!$C$2:$C$500,""),"")</f>
        <v/>
      </c>
      <c r="E366" s="31" t="str">
        <f t="array" ref="E366">IFERROR(_xlfn.XLOOKUP(B366,'Employee Master'!$A$2:$A$500,'Employee Master'!$E$2:$E$500,""),"")</f>
        <v/>
      </c>
      <c r="F366" s="31"/>
      <c r="G366" s="39"/>
      <c r="H366" s="31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5"/>
      <c r="B367" s="31"/>
      <c r="C367" s="31" t="str">
        <f t="array" ref="C367">IFERROR(_xlfn.XLOOKUP(B367,'Employee Master'!$A$2:$A$500,'Employee Master'!$B$2:$B$500,""),"")</f>
        <v/>
      </c>
      <c r="D367" s="31" t="str">
        <f t="array" ref="D367">IFERROR(_xlfn.XLOOKUP(B367,'Employee Master'!$A$2:$A$500,'Employee Master'!$C$2:$C$500,""),"")</f>
        <v/>
      </c>
      <c r="E367" s="31" t="str">
        <f t="array" ref="E367">IFERROR(_xlfn.XLOOKUP(B367,'Employee Master'!$A$2:$A$500,'Employee Master'!$E$2:$E$500,""),"")</f>
        <v/>
      </c>
      <c r="F367" s="31"/>
      <c r="G367" s="39"/>
      <c r="H367" s="31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5"/>
      <c r="B368" s="31"/>
      <c r="C368" s="31" t="str">
        <f t="array" ref="C368">IFERROR(_xlfn.XLOOKUP(B368,'Employee Master'!$A$2:$A$500,'Employee Master'!$B$2:$B$500,""),"")</f>
        <v/>
      </c>
      <c r="D368" s="31" t="str">
        <f t="array" ref="D368">IFERROR(_xlfn.XLOOKUP(B368,'Employee Master'!$A$2:$A$500,'Employee Master'!$C$2:$C$500,""),"")</f>
        <v/>
      </c>
      <c r="E368" s="31" t="str">
        <f t="array" ref="E368">IFERROR(_xlfn.XLOOKUP(B368,'Employee Master'!$A$2:$A$500,'Employee Master'!$E$2:$E$500,""),"")</f>
        <v/>
      </c>
      <c r="F368" s="31"/>
      <c r="G368" s="39"/>
      <c r="H368" s="31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5"/>
      <c r="B369" s="31"/>
      <c r="C369" s="31" t="str">
        <f t="array" ref="C369">IFERROR(_xlfn.XLOOKUP(B369,'Employee Master'!$A$2:$A$500,'Employee Master'!$B$2:$B$500,""),"")</f>
        <v/>
      </c>
      <c r="D369" s="31" t="str">
        <f t="array" ref="D369">IFERROR(_xlfn.XLOOKUP(B369,'Employee Master'!$A$2:$A$500,'Employee Master'!$C$2:$C$500,""),"")</f>
        <v/>
      </c>
      <c r="E369" s="31" t="str">
        <f t="array" ref="E369">IFERROR(_xlfn.XLOOKUP(B369,'Employee Master'!$A$2:$A$500,'Employee Master'!$E$2:$E$500,""),"")</f>
        <v/>
      </c>
      <c r="F369" s="31"/>
      <c r="G369" s="39"/>
      <c r="H369" s="31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5"/>
      <c r="B370" s="31"/>
      <c r="C370" s="31" t="str">
        <f t="array" ref="C370">IFERROR(_xlfn.XLOOKUP(B370,'Employee Master'!$A$2:$A$500,'Employee Master'!$B$2:$B$500,""),"")</f>
        <v/>
      </c>
      <c r="D370" s="31" t="str">
        <f t="array" ref="D370">IFERROR(_xlfn.XLOOKUP(B370,'Employee Master'!$A$2:$A$500,'Employee Master'!$C$2:$C$500,""),"")</f>
        <v/>
      </c>
      <c r="E370" s="31" t="str">
        <f t="array" ref="E370">IFERROR(_xlfn.XLOOKUP(B370,'Employee Master'!$A$2:$A$500,'Employee Master'!$E$2:$E$500,""),"")</f>
        <v/>
      </c>
      <c r="F370" s="31"/>
      <c r="G370" s="39"/>
      <c r="H370" s="31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5"/>
      <c r="B371" s="31"/>
      <c r="C371" s="31" t="str">
        <f t="array" ref="C371">IFERROR(_xlfn.XLOOKUP(B371,'Employee Master'!$A$2:$A$500,'Employee Master'!$B$2:$B$500,""),"")</f>
        <v/>
      </c>
      <c r="D371" s="31" t="str">
        <f t="array" ref="D371">IFERROR(_xlfn.XLOOKUP(B371,'Employee Master'!$A$2:$A$500,'Employee Master'!$C$2:$C$500,""),"")</f>
        <v/>
      </c>
      <c r="E371" s="31" t="str">
        <f t="array" ref="E371">IFERROR(_xlfn.XLOOKUP(B371,'Employee Master'!$A$2:$A$500,'Employee Master'!$E$2:$E$500,""),"")</f>
        <v/>
      </c>
      <c r="F371" s="31"/>
      <c r="G371" s="39"/>
      <c r="H371" s="31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5"/>
      <c r="B372" s="31"/>
      <c r="C372" s="31" t="str">
        <f t="array" ref="C372">IFERROR(_xlfn.XLOOKUP(B372,'Employee Master'!$A$2:$A$500,'Employee Master'!$B$2:$B$500,""),"")</f>
        <v/>
      </c>
      <c r="D372" s="31" t="str">
        <f t="array" ref="D372">IFERROR(_xlfn.XLOOKUP(B372,'Employee Master'!$A$2:$A$500,'Employee Master'!$C$2:$C$500,""),"")</f>
        <v/>
      </c>
      <c r="E372" s="31" t="str">
        <f t="array" ref="E372">IFERROR(_xlfn.XLOOKUP(B372,'Employee Master'!$A$2:$A$500,'Employee Master'!$E$2:$E$500,""),"")</f>
        <v/>
      </c>
      <c r="F372" s="31"/>
      <c r="G372" s="39"/>
      <c r="H372" s="31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5"/>
      <c r="B373" s="31"/>
      <c r="C373" s="31" t="str">
        <f t="array" ref="C373">IFERROR(_xlfn.XLOOKUP(B373,'Employee Master'!$A$2:$A$500,'Employee Master'!$B$2:$B$500,""),"")</f>
        <v/>
      </c>
      <c r="D373" s="31" t="str">
        <f t="array" ref="D373">IFERROR(_xlfn.XLOOKUP(B373,'Employee Master'!$A$2:$A$500,'Employee Master'!$C$2:$C$500,""),"")</f>
        <v/>
      </c>
      <c r="E373" s="31" t="str">
        <f t="array" ref="E373">IFERROR(_xlfn.XLOOKUP(B373,'Employee Master'!$A$2:$A$500,'Employee Master'!$E$2:$E$500,""),"")</f>
        <v/>
      </c>
      <c r="F373" s="31"/>
      <c r="G373" s="39"/>
      <c r="H373" s="31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5"/>
      <c r="B374" s="31"/>
      <c r="C374" s="31" t="str">
        <f t="array" ref="C374">IFERROR(_xlfn.XLOOKUP(B374,'Employee Master'!$A$2:$A$500,'Employee Master'!$B$2:$B$500,""),"")</f>
        <v/>
      </c>
      <c r="D374" s="31" t="str">
        <f t="array" ref="D374">IFERROR(_xlfn.XLOOKUP(B374,'Employee Master'!$A$2:$A$500,'Employee Master'!$C$2:$C$500,""),"")</f>
        <v/>
      </c>
      <c r="E374" s="31" t="str">
        <f t="array" ref="E374">IFERROR(_xlfn.XLOOKUP(B374,'Employee Master'!$A$2:$A$500,'Employee Master'!$E$2:$E$500,""),"")</f>
        <v/>
      </c>
      <c r="F374" s="31"/>
      <c r="G374" s="39"/>
      <c r="H374" s="31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5"/>
      <c r="B375" s="31"/>
      <c r="C375" s="31" t="str">
        <f t="array" ref="C375">IFERROR(_xlfn.XLOOKUP(B375,'Employee Master'!$A$2:$A$500,'Employee Master'!$B$2:$B$500,""),"")</f>
        <v/>
      </c>
      <c r="D375" s="31" t="str">
        <f t="array" ref="D375">IFERROR(_xlfn.XLOOKUP(B375,'Employee Master'!$A$2:$A$500,'Employee Master'!$C$2:$C$500,""),"")</f>
        <v/>
      </c>
      <c r="E375" s="31" t="str">
        <f t="array" ref="E375">IFERROR(_xlfn.XLOOKUP(B375,'Employee Master'!$A$2:$A$500,'Employee Master'!$E$2:$E$500,""),"")</f>
        <v/>
      </c>
      <c r="F375" s="31"/>
      <c r="G375" s="39"/>
      <c r="H375" s="31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5"/>
      <c r="B376" s="31"/>
      <c r="C376" s="31" t="str">
        <f t="array" ref="C376">IFERROR(_xlfn.XLOOKUP(B376,'Employee Master'!$A$2:$A$500,'Employee Master'!$B$2:$B$500,""),"")</f>
        <v/>
      </c>
      <c r="D376" s="31" t="str">
        <f t="array" ref="D376">IFERROR(_xlfn.XLOOKUP(B376,'Employee Master'!$A$2:$A$500,'Employee Master'!$C$2:$C$500,""),"")</f>
        <v/>
      </c>
      <c r="E376" s="31" t="str">
        <f t="array" ref="E376">IFERROR(_xlfn.XLOOKUP(B376,'Employee Master'!$A$2:$A$500,'Employee Master'!$E$2:$E$500,""),"")</f>
        <v/>
      </c>
      <c r="F376" s="31"/>
      <c r="G376" s="39"/>
      <c r="H376" s="31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5"/>
      <c r="B377" s="31"/>
      <c r="C377" s="31" t="str">
        <f t="array" ref="C377">IFERROR(_xlfn.XLOOKUP(B377,'Employee Master'!$A$2:$A$500,'Employee Master'!$B$2:$B$500,""),"")</f>
        <v/>
      </c>
      <c r="D377" s="31" t="str">
        <f t="array" ref="D377">IFERROR(_xlfn.XLOOKUP(B377,'Employee Master'!$A$2:$A$500,'Employee Master'!$C$2:$C$500,""),"")</f>
        <v/>
      </c>
      <c r="E377" s="31" t="str">
        <f t="array" ref="E377">IFERROR(_xlfn.XLOOKUP(B377,'Employee Master'!$A$2:$A$500,'Employee Master'!$E$2:$E$500,""),"")</f>
        <v/>
      </c>
      <c r="F377" s="31"/>
      <c r="G377" s="39"/>
      <c r="H377" s="31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5"/>
      <c r="B378" s="31"/>
      <c r="C378" s="31" t="str">
        <f t="array" ref="C378">IFERROR(_xlfn.XLOOKUP(B378,'Employee Master'!$A$2:$A$500,'Employee Master'!$B$2:$B$500,""),"")</f>
        <v/>
      </c>
      <c r="D378" s="31" t="str">
        <f t="array" ref="D378">IFERROR(_xlfn.XLOOKUP(B378,'Employee Master'!$A$2:$A$500,'Employee Master'!$C$2:$C$500,""),"")</f>
        <v/>
      </c>
      <c r="E378" s="31" t="str">
        <f t="array" ref="E378">IFERROR(_xlfn.XLOOKUP(B378,'Employee Master'!$A$2:$A$500,'Employee Master'!$E$2:$E$500,""),"")</f>
        <v/>
      </c>
      <c r="F378" s="31"/>
      <c r="G378" s="39"/>
      <c r="H378" s="31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5"/>
      <c r="B379" s="31"/>
      <c r="C379" s="31" t="str">
        <f t="array" ref="C379">IFERROR(_xlfn.XLOOKUP(B379,'Employee Master'!$A$2:$A$500,'Employee Master'!$B$2:$B$500,""),"")</f>
        <v/>
      </c>
      <c r="D379" s="31" t="str">
        <f t="array" ref="D379">IFERROR(_xlfn.XLOOKUP(B379,'Employee Master'!$A$2:$A$500,'Employee Master'!$C$2:$C$500,""),"")</f>
        <v/>
      </c>
      <c r="E379" s="31" t="str">
        <f t="array" ref="E379">IFERROR(_xlfn.XLOOKUP(B379,'Employee Master'!$A$2:$A$500,'Employee Master'!$E$2:$E$500,""),"")</f>
        <v/>
      </c>
      <c r="F379" s="31"/>
      <c r="G379" s="39"/>
      <c r="H379" s="31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5"/>
      <c r="B380" s="31"/>
      <c r="C380" s="31" t="str">
        <f t="array" ref="C380">IFERROR(_xlfn.XLOOKUP(B380,'Employee Master'!$A$2:$A$500,'Employee Master'!$B$2:$B$500,""),"")</f>
        <v/>
      </c>
      <c r="D380" s="31" t="str">
        <f t="array" ref="D380">IFERROR(_xlfn.XLOOKUP(B380,'Employee Master'!$A$2:$A$500,'Employee Master'!$C$2:$C$500,""),"")</f>
        <v/>
      </c>
      <c r="E380" s="31" t="str">
        <f t="array" ref="E380">IFERROR(_xlfn.XLOOKUP(B380,'Employee Master'!$A$2:$A$500,'Employee Master'!$E$2:$E$500,""),"")</f>
        <v/>
      </c>
      <c r="F380" s="31"/>
      <c r="G380" s="39"/>
      <c r="H380" s="31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5"/>
      <c r="B381" s="31"/>
      <c r="C381" s="31" t="str">
        <f t="array" ref="C381">IFERROR(_xlfn.XLOOKUP(B381,'Employee Master'!$A$2:$A$500,'Employee Master'!$B$2:$B$500,""),"")</f>
        <v/>
      </c>
      <c r="D381" s="31" t="str">
        <f t="array" ref="D381">IFERROR(_xlfn.XLOOKUP(B381,'Employee Master'!$A$2:$A$500,'Employee Master'!$C$2:$C$500,""),"")</f>
        <v/>
      </c>
      <c r="E381" s="31" t="str">
        <f t="array" ref="E381">IFERROR(_xlfn.XLOOKUP(B381,'Employee Master'!$A$2:$A$500,'Employee Master'!$E$2:$E$500,""),"")</f>
        <v/>
      </c>
      <c r="F381" s="31"/>
      <c r="G381" s="39"/>
      <c r="H381" s="31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5"/>
      <c r="B382" s="31"/>
      <c r="C382" s="31" t="str">
        <f t="array" ref="C382">IFERROR(_xlfn.XLOOKUP(B382,'Employee Master'!$A$2:$A$500,'Employee Master'!$B$2:$B$500,""),"")</f>
        <v/>
      </c>
      <c r="D382" s="31" t="str">
        <f t="array" ref="D382">IFERROR(_xlfn.XLOOKUP(B382,'Employee Master'!$A$2:$A$500,'Employee Master'!$C$2:$C$500,""),"")</f>
        <v/>
      </c>
      <c r="E382" s="31" t="str">
        <f t="array" ref="E382">IFERROR(_xlfn.XLOOKUP(B382,'Employee Master'!$A$2:$A$500,'Employee Master'!$E$2:$E$500,""),"")</f>
        <v/>
      </c>
      <c r="F382" s="31"/>
      <c r="G382" s="39"/>
      <c r="H382" s="31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5"/>
      <c r="B383" s="31"/>
      <c r="C383" s="31" t="str">
        <f t="array" ref="C383">IFERROR(_xlfn.XLOOKUP(B383,'Employee Master'!$A$2:$A$500,'Employee Master'!$B$2:$B$500,""),"")</f>
        <v/>
      </c>
      <c r="D383" s="31" t="str">
        <f t="array" ref="D383">IFERROR(_xlfn.XLOOKUP(B383,'Employee Master'!$A$2:$A$500,'Employee Master'!$C$2:$C$500,""),"")</f>
        <v/>
      </c>
      <c r="E383" s="31" t="str">
        <f t="array" ref="E383">IFERROR(_xlfn.XLOOKUP(B383,'Employee Master'!$A$2:$A$500,'Employee Master'!$E$2:$E$500,""),"")</f>
        <v/>
      </c>
      <c r="F383" s="31"/>
      <c r="G383" s="39"/>
      <c r="H383" s="31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5"/>
      <c r="B384" s="31"/>
      <c r="C384" s="31" t="str">
        <f t="array" ref="C384">IFERROR(_xlfn.XLOOKUP(B384,'Employee Master'!$A$2:$A$500,'Employee Master'!$B$2:$B$500,""),"")</f>
        <v/>
      </c>
      <c r="D384" s="31" t="str">
        <f t="array" ref="D384">IFERROR(_xlfn.XLOOKUP(B384,'Employee Master'!$A$2:$A$500,'Employee Master'!$C$2:$C$500,""),"")</f>
        <v/>
      </c>
      <c r="E384" s="31" t="str">
        <f t="array" ref="E384">IFERROR(_xlfn.XLOOKUP(B384,'Employee Master'!$A$2:$A$500,'Employee Master'!$E$2:$E$500,""),"")</f>
        <v/>
      </c>
      <c r="F384" s="31"/>
      <c r="G384" s="39"/>
      <c r="H384" s="31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5"/>
      <c r="B385" s="31"/>
      <c r="C385" s="31" t="str">
        <f t="array" ref="C385">IFERROR(_xlfn.XLOOKUP(B385,'Employee Master'!$A$2:$A$500,'Employee Master'!$B$2:$B$500,""),"")</f>
        <v/>
      </c>
      <c r="D385" s="31" t="str">
        <f t="array" ref="D385">IFERROR(_xlfn.XLOOKUP(B385,'Employee Master'!$A$2:$A$500,'Employee Master'!$C$2:$C$500,""),"")</f>
        <v/>
      </c>
      <c r="E385" s="31" t="str">
        <f t="array" ref="E385">IFERROR(_xlfn.XLOOKUP(B385,'Employee Master'!$A$2:$A$500,'Employee Master'!$E$2:$E$500,""),"")</f>
        <v/>
      </c>
      <c r="F385" s="31"/>
      <c r="G385" s="39"/>
      <c r="H385" s="31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5"/>
      <c r="B386" s="31"/>
      <c r="C386" s="31" t="str">
        <f t="array" ref="C386">IFERROR(_xlfn.XLOOKUP(B386,'Employee Master'!$A$2:$A$500,'Employee Master'!$B$2:$B$500,""),"")</f>
        <v/>
      </c>
      <c r="D386" s="31" t="str">
        <f t="array" ref="D386">IFERROR(_xlfn.XLOOKUP(B386,'Employee Master'!$A$2:$A$500,'Employee Master'!$C$2:$C$500,""),"")</f>
        <v/>
      </c>
      <c r="E386" s="31" t="str">
        <f t="array" ref="E386">IFERROR(_xlfn.XLOOKUP(B386,'Employee Master'!$A$2:$A$500,'Employee Master'!$E$2:$E$500,""),"")</f>
        <v/>
      </c>
      <c r="F386" s="31"/>
      <c r="G386" s="39"/>
      <c r="H386" s="31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5"/>
      <c r="B387" s="31"/>
      <c r="C387" s="31" t="str">
        <f t="array" ref="C387">IFERROR(_xlfn.XLOOKUP(B387,'Employee Master'!$A$2:$A$500,'Employee Master'!$B$2:$B$500,""),"")</f>
        <v/>
      </c>
      <c r="D387" s="31" t="str">
        <f t="array" ref="D387">IFERROR(_xlfn.XLOOKUP(B387,'Employee Master'!$A$2:$A$500,'Employee Master'!$C$2:$C$500,""),"")</f>
        <v/>
      </c>
      <c r="E387" s="31" t="str">
        <f t="array" ref="E387">IFERROR(_xlfn.XLOOKUP(B387,'Employee Master'!$A$2:$A$500,'Employee Master'!$E$2:$E$500,""),"")</f>
        <v/>
      </c>
      <c r="F387" s="31"/>
      <c r="G387" s="39"/>
      <c r="H387" s="31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5"/>
      <c r="B388" s="31"/>
      <c r="C388" s="31" t="str">
        <f t="array" ref="C388">IFERROR(_xlfn.XLOOKUP(B388,'Employee Master'!$A$2:$A$500,'Employee Master'!$B$2:$B$500,""),"")</f>
        <v/>
      </c>
      <c r="D388" s="31" t="str">
        <f t="array" ref="D388">IFERROR(_xlfn.XLOOKUP(B388,'Employee Master'!$A$2:$A$500,'Employee Master'!$C$2:$C$500,""),"")</f>
        <v/>
      </c>
      <c r="E388" s="31" t="str">
        <f t="array" ref="E388">IFERROR(_xlfn.XLOOKUP(B388,'Employee Master'!$A$2:$A$500,'Employee Master'!$E$2:$E$500,""),"")</f>
        <v/>
      </c>
      <c r="F388" s="31"/>
      <c r="G388" s="39"/>
      <c r="H388" s="31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5"/>
      <c r="B389" s="31"/>
      <c r="C389" s="31" t="str">
        <f t="array" ref="C389">IFERROR(_xlfn.XLOOKUP(B389,'Employee Master'!$A$2:$A$500,'Employee Master'!$B$2:$B$500,""),"")</f>
        <v/>
      </c>
      <c r="D389" s="31" t="str">
        <f t="array" ref="D389">IFERROR(_xlfn.XLOOKUP(B389,'Employee Master'!$A$2:$A$500,'Employee Master'!$C$2:$C$500,""),"")</f>
        <v/>
      </c>
      <c r="E389" s="31" t="str">
        <f t="array" ref="E389">IFERROR(_xlfn.XLOOKUP(B389,'Employee Master'!$A$2:$A$500,'Employee Master'!$E$2:$E$500,""),"")</f>
        <v/>
      </c>
      <c r="F389" s="31"/>
      <c r="G389" s="39"/>
      <c r="H389" s="31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5"/>
      <c r="B390" s="31"/>
      <c r="C390" s="31" t="str">
        <f t="array" ref="C390">IFERROR(_xlfn.XLOOKUP(B390,'Employee Master'!$A$2:$A$500,'Employee Master'!$B$2:$B$500,""),"")</f>
        <v/>
      </c>
      <c r="D390" s="31" t="str">
        <f t="array" ref="D390">IFERROR(_xlfn.XLOOKUP(B390,'Employee Master'!$A$2:$A$500,'Employee Master'!$C$2:$C$500,""),"")</f>
        <v/>
      </c>
      <c r="E390" s="31" t="str">
        <f t="array" ref="E390">IFERROR(_xlfn.XLOOKUP(B390,'Employee Master'!$A$2:$A$500,'Employee Master'!$E$2:$E$500,""),"")</f>
        <v/>
      </c>
      <c r="F390" s="31"/>
      <c r="G390" s="39"/>
      <c r="H390" s="31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5"/>
      <c r="B391" s="31"/>
      <c r="C391" s="31" t="str">
        <f t="array" ref="C391">IFERROR(_xlfn.XLOOKUP(B391,'Employee Master'!$A$2:$A$500,'Employee Master'!$B$2:$B$500,""),"")</f>
        <v/>
      </c>
      <c r="D391" s="31" t="str">
        <f t="array" ref="D391">IFERROR(_xlfn.XLOOKUP(B391,'Employee Master'!$A$2:$A$500,'Employee Master'!$C$2:$C$500,""),"")</f>
        <v/>
      </c>
      <c r="E391" s="31" t="str">
        <f t="array" ref="E391">IFERROR(_xlfn.XLOOKUP(B391,'Employee Master'!$A$2:$A$500,'Employee Master'!$E$2:$E$500,""),"")</f>
        <v/>
      </c>
      <c r="F391" s="31"/>
      <c r="G391" s="39"/>
      <c r="H391" s="31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5"/>
      <c r="B392" s="31"/>
      <c r="C392" s="31" t="str">
        <f t="array" ref="C392">IFERROR(_xlfn.XLOOKUP(B392,'Employee Master'!$A$2:$A$500,'Employee Master'!$B$2:$B$500,""),"")</f>
        <v/>
      </c>
      <c r="D392" s="31" t="str">
        <f t="array" ref="D392">IFERROR(_xlfn.XLOOKUP(B392,'Employee Master'!$A$2:$A$500,'Employee Master'!$C$2:$C$500,""),"")</f>
        <v/>
      </c>
      <c r="E392" s="31" t="str">
        <f t="array" ref="E392">IFERROR(_xlfn.XLOOKUP(B392,'Employee Master'!$A$2:$A$500,'Employee Master'!$E$2:$E$500,""),"")</f>
        <v/>
      </c>
      <c r="F392" s="31"/>
      <c r="G392" s="39"/>
      <c r="H392" s="31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5"/>
      <c r="B393" s="31"/>
      <c r="C393" s="31" t="str">
        <f t="array" ref="C393">IFERROR(_xlfn.XLOOKUP(B393,'Employee Master'!$A$2:$A$500,'Employee Master'!$B$2:$B$500,""),"")</f>
        <v/>
      </c>
      <c r="D393" s="31" t="str">
        <f t="array" ref="D393">IFERROR(_xlfn.XLOOKUP(B393,'Employee Master'!$A$2:$A$500,'Employee Master'!$C$2:$C$500,""),"")</f>
        <v/>
      </c>
      <c r="E393" s="31" t="str">
        <f t="array" ref="E393">IFERROR(_xlfn.XLOOKUP(B393,'Employee Master'!$A$2:$A$500,'Employee Master'!$E$2:$E$500,""),"")</f>
        <v/>
      </c>
      <c r="F393" s="31"/>
      <c r="G393" s="39"/>
      <c r="H393" s="31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5"/>
      <c r="B394" s="31"/>
      <c r="C394" s="31" t="str">
        <f t="array" ref="C394">IFERROR(_xlfn.XLOOKUP(B394,'Employee Master'!$A$2:$A$500,'Employee Master'!$B$2:$B$500,""),"")</f>
        <v/>
      </c>
      <c r="D394" s="31" t="str">
        <f t="array" ref="D394">IFERROR(_xlfn.XLOOKUP(B394,'Employee Master'!$A$2:$A$500,'Employee Master'!$C$2:$C$500,""),"")</f>
        <v/>
      </c>
      <c r="E394" s="31" t="str">
        <f t="array" ref="E394">IFERROR(_xlfn.XLOOKUP(B394,'Employee Master'!$A$2:$A$500,'Employee Master'!$E$2:$E$500,""),"")</f>
        <v/>
      </c>
      <c r="F394" s="31"/>
      <c r="G394" s="39"/>
      <c r="H394" s="31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5"/>
      <c r="B395" s="31"/>
      <c r="C395" s="31" t="str">
        <f t="array" ref="C395">IFERROR(_xlfn.XLOOKUP(B395,'Employee Master'!$A$2:$A$500,'Employee Master'!$B$2:$B$500,""),"")</f>
        <v/>
      </c>
      <c r="D395" s="31" t="str">
        <f t="array" ref="D395">IFERROR(_xlfn.XLOOKUP(B395,'Employee Master'!$A$2:$A$500,'Employee Master'!$C$2:$C$500,""),"")</f>
        <v/>
      </c>
      <c r="E395" s="31" t="str">
        <f t="array" ref="E395">IFERROR(_xlfn.XLOOKUP(B395,'Employee Master'!$A$2:$A$500,'Employee Master'!$E$2:$E$500,""),"")</f>
        <v/>
      </c>
      <c r="F395" s="31"/>
      <c r="G395" s="39"/>
      <c r="H395" s="31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5"/>
      <c r="B396" s="31"/>
      <c r="C396" s="31" t="str">
        <f t="array" ref="C396">IFERROR(_xlfn.XLOOKUP(B396,'Employee Master'!$A$2:$A$500,'Employee Master'!$B$2:$B$500,""),"")</f>
        <v/>
      </c>
      <c r="D396" s="31" t="str">
        <f t="array" ref="D396">IFERROR(_xlfn.XLOOKUP(B396,'Employee Master'!$A$2:$A$500,'Employee Master'!$C$2:$C$500,""),"")</f>
        <v/>
      </c>
      <c r="E396" s="31" t="str">
        <f t="array" ref="E396">IFERROR(_xlfn.XLOOKUP(B396,'Employee Master'!$A$2:$A$500,'Employee Master'!$E$2:$E$500,""),"")</f>
        <v/>
      </c>
      <c r="F396" s="31"/>
      <c r="G396" s="39"/>
      <c r="H396" s="31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5"/>
      <c r="B397" s="31"/>
      <c r="C397" s="31" t="str">
        <f t="array" ref="C397">IFERROR(_xlfn.XLOOKUP(B397,'Employee Master'!$A$2:$A$500,'Employee Master'!$B$2:$B$500,""),"")</f>
        <v/>
      </c>
      <c r="D397" s="31" t="str">
        <f t="array" ref="D397">IFERROR(_xlfn.XLOOKUP(B397,'Employee Master'!$A$2:$A$500,'Employee Master'!$C$2:$C$500,""),"")</f>
        <v/>
      </c>
      <c r="E397" s="31" t="str">
        <f t="array" ref="E397">IFERROR(_xlfn.XLOOKUP(B397,'Employee Master'!$A$2:$A$500,'Employee Master'!$E$2:$E$500,""),"")</f>
        <v/>
      </c>
      <c r="F397" s="31"/>
      <c r="G397" s="39"/>
      <c r="H397" s="31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5"/>
      <c r="B398" s="31"/>
      <c r="C398" s="31" t="str">
        <f t="array" ref="C398">IFERROR(_xlfn.XLOOKUP(B398,'Employee Master'!$A$2:$A$500,'Employee Master'!$B$2:$B$500,""),"")</f>
        <v/>
      </c>
      <c r="D398" s="31" t="str">
        <f t="array" ref="D398">IFERROR(_xlfn.XLOOKUP(B398,'Employee Master'!$A$2:$A$500,'Employee Master'!$C$2:$C$500,""),"")</f>
        <v/>
      </c>
      <c r="E398" s="31" t="str">
        <f t="array" ref="E398">IFERROR(_xlfn.XLOOKUP(B398,'Employee Master'!$A$2:$A$500,'Employee Master'!$E$2:$E$500,""),"")</f>
        <v/>
      </c>
      <c r="F398" s="31"/>
      <c r="G398" s="39"/>
      <c r="H398" s="31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5"/>
      <c r="B399" s="31"/>
      <c r="C399" s="31" t="str">
        <f t="array" ref="C399">IFERROR(_xlfn.XLOOKUP(B399,'Employee Master'!$A$2:$A$500,'Employee Master'!$B$2:$B$500,""),"")</f>
        <v/>
      </c>
      <c r="D399" s="31" t="str">
        <f t="array" ref="D399">IFERROR(_xlfn.XLOOKUP(B399,'Employee Master'!$A$2:$A$500,'Employee Master'!$C$2:$C$500,""),"")</f>
        <v/>
      </c>
      <c r="E399" s="31" t="str">
        <f t="array" ref="E399">IFERROR(_xlfn.XLOOKUP(B399,'Employee Master'!$A$2:$A$500,'Employee Master'!$E$2:$E$500,""),"")</f>
        <v/>
      </c>
      <c r="F399" s="31"/>
      <c r="G399" s="39"/>
      <c r="H399" s="31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5"/>
      <c r="B400" s="31"/>
      <c r="C400" s="31" t="str">
        <f t="array" ref="C400">IFERROR(_xlfn.XLOOKUP(B400,'Employee Master'!$A$2:$A$500,'Employee Master'!$B$2:$B$500,""),"")</f>
        <v/>
      </c>
      <c r="D400" s="31" t="str">
        <f t="array" ref="D400">IFERROR(_xlfn.XLOOKUP(B400,'Employee Master'!$A$2:$A$500,'Employee Master'!$C$2:$C$500,""),"")</f>
        <v/>
      </c>
      <c r="E400" s="31" t="str">
        <f t="array" ref="E400">IFERROR(_xlfn.XLOOKUP(B400,'Employee Master'!$A$2:$A$500,'Employee Master'!$E$2:$E$500,""),"")</f>
        <v/>
      </c>
      <c r="F400" s="31"/>
      <c r="G400" s="39"/>
      <c r="H400" s="31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5"/>
      <c r="B401" s="31"/>
      <c r="C401" s="31" t="str">
        <f t="array" ref="C401">IFERROR(_xlfn.XLOOKUP(B401,'Employee Master'!$A$2:$A$500,'Employee Master'!$B$2:$B$500,""),"")</f>
        <v/>
      </c>
      <c r="D401" s="31" t="str">
        <f t="array" ref="D401">IFERROR(_xlfn.XLOOKUP(B401,'Employee Master'!$A$2:$A$500,'Employee Master'!$C$2:$C$500,""),"")</f>
        <v/>
      </c>
      <c r="E401" s="31" t="str">
        <f t="array" ref="E401">IFERROR(_xlfn.XLOOKUP(B401,'Employee Master'!$A$2:$A$500,'Employee Master'!$E$2:$E$500,""),"")</f>
        <v/>
      </c>
      <c r="F401" s="31"/>
      <c r="G401" s="39"/>
      <c r="H401" s="31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5"/>
      <c r="B402" s="31"/>
      <c r="C402" s="31" t="str">
        <f t="array" ref="C402">IFERROR(_xlfn.XLOOKUP(B402,'Employee Master'!$A$2:$A$500,'Employee Master'!$B$2:$B$500,""),"")</f>
        <v/>
      </c>
      <c r="D402" s="31" t="str">
        <f t="array" ref="D402">IFERROR(_xlfn.XLOOKUP(B402,'Employee Master'!$A$2:$A$500,'Employee Master'!$C$2:$C$500,""),"")</f>
        <v/>
      </c>
      <c r="E402" s="31" t="str">
        <f t="array" ref="E402">IFERROR(_xlfn.XLOOKUP(B402,'Employee Master'!$A$2:$A$500,'Employee Master'!$E$2:$E$500,""),"")</f>
        <v/>
      </c>
      <c r="F402" s="31"/>
      <c r="G402" s="39"/>
      <c r="H402" s="31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5"/>
      <c r="B403" s="31"/>
      <c r="C403" s="31" t="str">
        <f t="array" ref="C403">IFERROR(_xlfn.XLOOKUP(B403,'Employee Master'!$A$2:$A$500,'Employee Master'!$B$2:$B$500,""),"")</f>
        <v/>
      </c>
      <c r="D403" s="31" t="str">
        <f t="array" ref="D403">IFERROR(_xlfn.XLOOKUP(B403,'Employee Master'!$A$2:$A$500,'Employee Master'!$C$2:$C$500,""),"")</f>
        <v/>
      </c>
      <c r="E403" s="31" t="str">
        <f t="array" ref="E403">IFERROR(_xlfn.XLOOKUP(B403,'Employee Master'!$A$2:$A$500,'Employee Master'!$E$2:$E$500,""),"")</f>
        <v/>
      </c>
      <c r="F403" s="31"/>
      <c r="G403" s="39"/>
      <c r="H403" s="31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5"/>
      <c r="B404" s="31"/>
      <c r="C404" s="31" t="str">
        <f t="array" ref="C404">IFERROR(_xlfn.XLOOKUP(B404,'Employee Master'!$A$2:$A$500,'Employee Master'!$B$2:$B$500,""),"")</f>
        <v/>
      </c>
      <c r="D404" s="31" t="str">
        <f t="array" ref="D404">IFERROR(_xlfn.XLOOKUP(B404,'Employee Master'!$A$2:$A$500,'Employee Master'!$C$2:$C$500,""),"")</f>
        <v/>
      </c>
      <c r="E404" s="31" t="str">
        <f t="array" ref="E404">IFERROR(_xlfn.XLOOKUP(B404,'Employee Master'!$A$2:$A$500,'Employee Master'!$E$2:$E$500,""),"")</f>
        <v/>
      </c>
      <c r="F404" s="31"/>
      <c r="G404" s="39"/>
      <c r="H404" s="31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5"/>
      <c r="B405" s="31"/>
      <c r="C405" s="31" t="str">
        <f t="array" ref="C405">IFERROR(_xlfn.XLOOKUP(B405,'Employee Master'!$A$2:$A$500,'Employee Master'!$B$2:$B$500,""),"")</f>
        <v/>
      </c>
      <c r="D405" s="31" t="str">
        <f t="array" ref="D405">IFERROR(_xlfn.XLOOKUP(B405,'Employee Master'!$A$2:$A$500,'Employee Master'!$C$2:$C$500,""),"")</f>
        <v/>
      </c>
      <c r="E405" s="31" t="str">
        <f t="array" ref="E405">IFERROR(_xlfn.XLOOKUP(B405,'Employee Master'!$A$2:$A$500,'Employee Master'!$E$2:$E$500,""),"")</f>
        <v/>
      </c>
      <c r="F405" s="31"/>
      <c r="G405" s="39"/>
      <c r="H405" s="31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5"/>
      <c r="B406" s="31"/>
      <c r="C406" s="31" t="str">
        <f t="array" ref="C406">IFERROR(_xlfn.XLOOKUP(B406,'Employee Master'!$A$2:$A$500,'Employee Master'!$B$2:$B$500,""),"")</f>
        <v/>
      </c>
      <c r="D406" s="31" t="str">
        <f t="array" ref="D406">IFERROR(_xlfn.XLOOKUP(B406,'Employee Master'!$A$2:$A$500,'Employee Master'!$C$2:$C$500,""),"")</f>
        <v/>
      </c>
      <c r="E406" s="31" t="str">
        <f t="array" ref="E406">IFERROR(_xlfn.XLOOKUP(B406,'Employee Master'!$A$2:$A$500,'Employee Master'!$E$2:$E$500,""),"")</f>
        <v/>
      </c>
      <c r="F406" s="31"/>
      <c r="G406" s="39"/>
      <c r="H406" s="31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5"/>
      <c r="B407" s="31"/>
      <c r="C407" s="31" t="str">
        <f t="array" ref="C407">IFERROR(_xlfn.XLOOKUP(B407,'Employee Master'!$A$2:$A$500,'Employee Master'!$B$2:$B$500,""),"")</f>
        <v/>
      </c>
      <c r="D407" s="31" t="str">
        <f t="array" ref="D407">IFERROR(_xlfn.XLOOKUP(B407,'Employee Master'!$A$2:$A$500,'Employee Master'!$C$2:$C$500,""),"")</f>
        <v/>
      </c>
      <c r="E407" s="31" t="str">
        <f t="array" ref="E407">IFERROR(_xlfn.XLOOKUP(B407,'Employee Master'!$A$2:$A$500,'Employee Master'!$E$2:$E$500,""),"")</f>
        <v/>
      </c>
      <c r="F407" s="31"/>
      <c r="G407" s="39"/>
      <c r="H407" s="31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5"/>
      <c r="B408" s="31"/>
      <c r="C408" s="31" t="str">
        <f t="array" ref="C408">IFERROR(_xlfn.XLOOKUP(B408,'Employee Master'!$A$2:$A$500,'Employee Master'!$B$2:$B$500,""),"")</f>
        <v/>
      </c>
      <c r="D408" s="31" t="str">
        <f t="array" ref="D408">IFERROR(_xlfn.XLOOKUP(B408,'Employee Master'!$A$2:$A$500,'Employee Master'!$C$2:$C$500,""),"")</f>
        <v/>
      </c>
      <c r="E408" s="31" t="str">
        <f t="array" ref="E408">IFERROR(_xlfn.XLOOKUP(B408,'Employee Master'!$A$2:$A$500,'Employee Master'!$E$2:$E$500,""),"")</f>
        <v/>
      </c>
      <c r="F408" s="31"/>
      <c r="G408" s="39"/>
      <c r="H408" s="31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5"/>
      <c r="B409" s="31"/>
      <c r="C409" s="31" t="str">
        <f t="array" ref="C409">IFERROR(_xlfn.XLOOKUP(B409,'Employee Master'!$A$2:$A$500,'Employee Master'!$B$2:$B$500,""),"")</f>
        <v/>
      </c>
      <c r="D409" s="31" t="str">
        <f t="array" ref="D409">IFERROR(_xlfn.XLOOKUP(B409,'Employee Master'!$A$2:$A$500,'Employee Master'!$C$2:$C$500,""),"")</f>
        <v/>
      </c>
      <c r="E409" s="31" t="str">
        <f t="array" ref="E409">IFERROR(_xlfn.XLOOKUP(B409,'Employee Master'!$A$2:$A$500,'Employee Master'!$E$2:$E$500,""),"")</f>
        <v/>
      </c>
      <c r="F409" s="31"/>
      <c r="G409" s="39"/>
      <c r="H409" s="31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5"/>
      <c r="B410" s="31"/>
      <c r="C410" s="31" t="str">
        <f t="array" ref="C410">IFERROR(_xlfn.XLOOKUP(B410,'Employee Master'!$A$2:$A$500,'Employee Master'!$B$2:$B$500,""),"")</f>
        <v/>
      </c>
      <c r="D410" s="31" t="str">
        <f t="array" ref="D410">IFERROR(_xlfn.XLOOKUP(B410,'Employee Master'!$A$2:$A$500,'Employee Master'!$C$2:$C$500,""),"")</f>
        <v/>
      </c>
      <c r="E410" s="31" t="str">
        <f t="array" ref="E410">IFERROR(_xlfn.XLOOKUP(B410,'Employee Master'!$A$2:$A$500,'Employee Master'!$E$2:$E$500,""),"")</f>
        <v/>
      </c>
      <c r="F410" s="31"/>
      <c r="G410" s="39"/>
      <c r="H410" s="31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5"/>
      <c r="B411" s="31"/>
      <c r="C411" s="31" t="str">
        <f t="array" ref="C411">IFERROR(_xlfn.XLOOKUP(B411,'Employee Master'!$A$2:$A$500,'Employee Master'!$B$2:$B$500,""),"")</f>
        <v/>
      </c>
      <c r="D411" s="31" t="str">
        <f t="array" ref="D411">IFERROR(_xlfn.XLOOKUP(B411,'Employee Master'!$A$2:$A$500,'Employee Master'!$C$2:$C$500,""),"")</f>
        <v/>
      </c>
      <c r="E411" s="31" t="str">
        <f t="array" ref="E411">IFERROR(_xlfn.XLOOKUP(B411,'Employee Master'!$A$2:$A$500,'Employee Master'!$E$2:$E$500,""),"")</f>
        <v/>
      </c>
      <c r="F411" s="31"/>
      <c r="G411" s="39"/>
      <c r="H411" s="31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5"/>
      <c r="B412" s="31"/>
      <c r="C412" s="31" t="str">
        <f t="array" ref="C412">IFERROR(_xlfn.XLOOKUP(B412,'Employee Master'!$A$2:$A$500,'Employee Master'!$B$2:$B$500,""),"")</f>
        <v/>
      </c>
      <c r="D412" s="31" t="str">
        <f t="array" ref="D412">IFERROR(_xlfn.XLOOKUP(B412,'Employee Master'!$A$2:$A$500,'Employee Master'!$C$2:$C$500,""),"")</f>
        <v/>
      </c>
      <c r="E412" s="31" t="str">
        <f t="array" ref="E412">IFERROR(_xlfn.XLOOKUP(B412,'Employee Master'!$A$2:$A$500,'Employee Master'!$E$2:$E$500,""),"")</f>
        <v/>
      </c>
      <c r="F412" s="31"/>
      <c r="G412" s="39"/>
      <c r="H412" s="31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5"/>
      <c r="B413" s="31"/>
      <c r="C413" s="31" t="str">
        <f t="array" ref="C413">IFERROR(_xlfn.XLOOKUP(B413,'Employee Master'!$A$2:$A$500,'Employee Master'!$B$2:$B$500,""),"")</f>
        <v/>
      </c>
      <c r="D413" s="31" t="str">
        <f t="array" ref="D413">IFERROR(_xlfn.XLOOKUP(B413,'Employee Master'!$A$2:$A$500,'Employee Master'!$C$2:$C$500,""),"")</f>
        <v/>
      </c>
      <c r="E413" s="31" t="str">
        <f t="array" ref="E413">IFERROR(_xlfn.XLOOKUP(B413,'Employee Master'!$A$2:$A$500,'Employee Master'!$E$2:$E$500,""),"")</f>
        <v/>
      </c>
      <c r="F413" s="31"/>
      <c r="G413" s="39"/>
      <c r="H413" s="31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5"/>
      <c r="B414" s="31"/>
      <c r="C414" s="31" t="str">
        <f t="array" ref="C414">IFERROR(_xlfn.XLOOKUP(B414,'Employee Master'!$A$2:$A$500,'Employee Master'!$B$2:$B$500,""),"")</f>
        <v/>
      </c>
      <c r="D414" s="31" t="str">
        <f t="array" ref="D414">IFERROR(_xlfn.XLOOKUP(B414,'Employee Master'!$A$2:$A$500,'Employee Master'!$C$2:$C$500,""),"")</f>
        <v/>
      </c>
      <c r="E414" s="31" t="str">
        <f t="array" ref="E414">IFERROR(_xlfn.XLOOKUP(B414,'Employee Master'!$A$2:$A$500,'Employee Master'!$E$2:$E$500,""),"")</f>
        <v/>
      </c>
      <c r="F414" s="31"/>
      <c r="G414" s="39"/>
      <c r="H414" s="31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5"/>
      <c r="B415" s="31"/>
      <c r="C415" s="31" t="str">
        <f t="array" ref="C415">IFERROR(_xlfn.XLOOKUP(B415,'Employee Master'!$A$2:$A$500,'Employee Master'!$B$2:$B$500,""),"")</f>
        <v/>
      </c>
      <c r="D415" s="31" t="str">
        <f t="array" ref="D415">IFERROR(_xlfn.XLOOKUP(B415,'Employee Master'!$A$2:$A$500,'Employee Master'!$C$2:$C$500,""),"")</f>
        <v/>
      </c>
      <c r="E415" s="31" t="str">
        <f t="array" ref="E415">IFERROR(_xlfn.XLOOKUP(B415,'Employee Master'!$A$2:$A$500,'Employee Master'!$E$2:$E$500,""),"")</f>
        <v/>
      </c>
      <c r="F415" s="31"/>
      <c r="G415" s="39"/>
      <c r="H415" s="31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5"/>
      <c r="B416" s="31"/>
      <c r="C416" s="31" t="str">
        <f t="array" ref="C416">IFERROR(_xlfn.XLOOKUP(B416,'Employee Master'!$A$2:$A$500,'Employee Master'!$B$2:$B$500,""),"")</f>
        <v/>
      </c>
      <c r="D416" s="31" t="str">
        <f t="array" ref="D416">IFERROR(_xlfn.XLOOKUP(B416,'Employee Master'!$A$2:$A$500,'Employee Master'!$C$2:$C$500,""),"")</f>
        <v/>
      </c>
      <c r="E416" s="31" t="str">
        <f t="array" ref="E416">IFERROR(_xlfn.XLOOKUP(B416,'Employee Master'!$A$2:$A$500,'Employee Master'!$E$2:$E$500,""),"")</f>
        <v/>
      </c>
      <c r="F416" s="31"/>
      <c r="G416" s="39"/>
      <c r="H416" s="31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5"/>
      <c r="B417" s="31"/>
      <c r="C417" s="31" t="str">
        <f t="array" ref="C417">IFERROR(_xlfn.XLOOKUP(B417,'Employee Master'!$A$2:$A$500,'Employee Master'!$B$2:$B$500,""),"")</f>
        <v/>
      </c>
      <c r="D417" s="31" t="str">
        <f t="array" ref="D417">IFERROR(_xlfn.XLOOKUP(B417,'Employee Master'!$A$2:$A$500,'Employee Master'!$C$2:$C$500,""),"")</f>
        <v/>
      </c>
      <c r="E417" s="31" t="str">
        <f t="array" ref="E417">IFERROR(_xlfn.XLOOKUP(B417,'Employee Master'!$A$2:$A$500,'Employee Master'!$E$2:$E$500,""),"")</f>
        <v/>
      </c>
      <c r="F417" s="31"/>
      <c r="G417" s="39"/>
      <c r="H417" s="31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5"/>
      <c r="B418" s="31"/>
      <c r="C418" s="31" t="str">
        <f t="array" ref="C418">IFERROR(_xlfn.XLOOKUP(B418,'Employee Master'!$A$2:$A$500,'Employee Master'!$B$2:$B$500,""),"")</f>
        <v/>
      </c>
      <c r="D418" s="31" t="str">
        <f t="array" ref="D418">IFERROR(_xlfn.XLOOKUP(B418,'Employee Master'!$A$2:$A$500,'Employee Master'!$C$2:$C$500,""),"")</f>
        <v/>
      </c>
      <c r="E418" s="31" t="str">
        <f t="array" ref="E418">IFERROR(_xlfn.XLOOKUP(B418,'Employee Master'!$A$2:$A$500,'Employee Master'!$E$2:$E$500,""),"")</f>
        <v/>
      </c>
      <c r="F418" s="31"/>
      <c r="G418" s="39"/>
      <c r="H418" s="31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5"/>
      <c r="B419" s="31"/>
      <c r="C419" s="31" t="str">
        <f t="array" ref="C419">IFERROR(_xlfn.XLOOKUP(B419,'Employee Master'!$A$2:$A$500,'Employee Master'!$B$2:$B$500,""),"")</f>
        <v/>
      </c>
      <c r="D419" s="31" t="str">
        <f t="array" ref="D419">IFERROR(_xlfn.XLOOKUP(B419,'Employee Master'!$A$2:$A$500,'Employee Master'!$C$2:$C$500,""),"")</f>
        <v/>
      </c>
      <c r="E419" s="31" t="str">
        <f t="array" ref="E419">IFERROR(_xlfn.XLOOKUP(B419,'Employee Master'!$A$2:$A$500,'Employee Master'!$E$2:$E$500,""),"")</f>
        <v/>
      </c>
      <c r="F419" s="31"/>
      <c r="G419" s="39"/>
      <c r="H419" s="31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5"/>
      <c r="B420" s="31"/>
      <c r="C420" s="31" t="str">
        <f t="array" ref="C420">IFERROR(_xlfn.XLOOKUP(B420,'Employee Master'!$A$2:$A$500,'Employee Master'!$B$2:$B$500,""),"")</f>
        <v/>
      </c>
      <c r="D420" s="31" t="str">
        <f t="array" ref="D420">IFERROR(_xlfn.XLOOKUP(B420,'Employee Master'!$A$2:$A$500,'Employee Master'!$C$2:$C$500,""),"")</f>
        <v/>
      </c>
      <c r="E420" s="31" t="str">
        <f t="array" ref="E420">IFERROR(_xlfn.XLOOKUP(B420,'Employee Master'!$A$2:$A$500,'Employee Master'!$E$2:$E$500,""),"")</f>
        <v/>
      </c>
      <c r="F420" s="31"/>
      <c r="G420" s="39"/>
      <c r="H420" s="31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5"/>
      <c r="B421" s="31"/>
      <c r="C421" s="31" t="str">
        <f t="array" ref="C421">IFERROR(_xlfn.XLOOKUP(B421,'Employee Master'!$A$2:$A$500,'Employee Master'!$B$2:$B$500,""),"")</f>
        <v/>
      </c>
      <c r="D421" s="31" t="str">
        <f t="array" ref="D421">IFERROR(_xlfn.XLOOKUP(B421,'Employee Master'!$A$2:$A$500,'Employee Master'!$C$2:$C$500,""),"")</f>
        <v/>
      </c>
      <c r="E421" s="31" t="str">
        <f t="array" ref="E421">IFERROR(_xlfn.XLOOKUP(B421,'Employee Master'!$A$2:$A$500,'Employee Master'!$E$2:$E$500,""),"")</f>
        <v/>
      </c>
      <c r="F421" s="31"/>
      <c r="G421" s="39"/>
      <c r="H421" s="31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5"/>
      <c r="B422" s="31"/>
      <c r="C422" s="31" t="str">
        <f t="array" ref="C422">IFERROR(_xlfn.XLOOKUP(B422,'Employee Master'!$A$2:$A$500,'Employee Master'!$B$2:$B$500,""),"")</f>
        <v/>
      </c>
      <c r="D422" s="31" t="str">
        <f t="array" ref="D422">IFERROR(_xlfn.XLOOKUP(B422,'Employee Master'!$A$2:$A$500,'Employee Master'!$C$2:$C$500,""),"")</f>
        <v/>
      </c>
      <c r="E422" s="31" t="str">
        <f t="array" ref="E422">IFERROR(_xlfn.XLOOKUP(B422,'Employee Master'!$A$2:$A$500,'Employee Master'!$E$2:$E$500,""),"")</f>
        <v/>
      </c>
      <c r="F422" s="31"/>
      <c r="G422" s="39"/>
      <c r="H422" s="31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5"/>
      <c r="B423" s="31"/>
      <c r="C423" s="31" t="str">
        <f t="array" ref="C423">IFERROR(_xlfn.XLOOKUP(B423,'Employee Master'!$A$2:$A$500,'Employee Master'!$B$2:$B$500,""),"")</f>
        <v/>
      </c>
      <c r="D423" s="31" t="str">
        <f t="array" ref="D423">IFERROR(_xlfn.XLOOKUP(B423,'Employee Master'!$A$2:$A$500,'Employee Master'!$C$2:$C$500,""),"")</f>
        <v/>
      </c>
      <c r="E423" s="31" t="str">
        <f t="array" ref="E423">IFERROR(_xlfn.XLOOKUP(B423,'Employee Master'!$A$2:$A$500,'Employee Master'!$E$2:$E$500,""),"")</f>
        <v/>
      </c>
      <c r="F423" s="31"/>
      <c r="G423" s="39"/>
      <c r="H423" s="31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5"/>
      <c r="B424" s="31"/>
      <c r="C424" s="31" t="str">
        <f t="array" ref="C424">IFERROR(_xlfn.XLOOKUP(B424,'Employee Master'!$A$2:$A$500,'Employee Master'!$B$2:$B$500,""),"")</f>
        <v/>
      </c>
      <c r="D424" s="31" t="str">
        <f t="array" ref="D424">IFERROR(_xlfn.XLOOKUP(B424,'Employee Master'!$A$2:$A$500,'Employee Master'!$C$2:$C$500,""),"")</f>
        <v/>
      </c>
      <c r="E424" s="31" t="str">
        <f t="array" ref="E424">IFERROR(_xlfn.XLOOKUP(B424,'Employee Master'!$A$2:$A$500,'Employee Master'!$E$2:$E$500,""),"")</f>
        <v/>
      </c>
      <c r="F424" s="31"/>
      <c r="G424" s="39"/>
      <c r="H424" s="31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5"/>
      <c r="B425" s="31"/>
      <c r="C425" s="31" t="str">
        <f t="array" ref="C425">IFERROR(_xlfn.XLOOKUP(B425,'Employee Master'!$A$2:$A$500,'Employee Master'!$B$2:$B$500,""),"")</f>
        <v/>
      </c>
      <c r="D425" s="31" t="str">
        <f t="array" ref="D425">IFERROR(_xlfn.XLOOKUP(B425,'Employee Master'!$A$2:$A$500,'Employee Master'!$C$2:$C$500,""),"")</f>
        <v/>
      </c>
      <c r="E425" s="31" t="str">
        <f t="array" ref="E425">IFERROR(_xlfn.XLOOKUP(B425,'Employee Master'!$A$2:$A$500,'Employee Master'!$E$2:$E$500,""),"")</f>
        <v/>
      </c>
      <c r="F425" s="31"/>
      <c r="G425" s="39"/>
      <c r="H425" s="31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5"/>
      <c r="B426" s="31"/>
      <c r="C426" s="31" t="str">
        <f t="array" ref="C426">IFERROR(_xlfn.XLOOKUP(B426,'Employee Master'!$A$2:$A$500,'Employee Master'!$B$2:$B$500,""),"")</f>
        <v/>
      </c>
      <c r="D426" s="31" t="str">
        <f t="array" ref="D426">IFERROR(_xlfn.XLOOKUP(B426,'Employee Master'!$A$2:$A$500,'Employee Master'!$C$2:$C$500,""),"")</f>
        <v/>
      </c>
      <c r="E426" s="31" t="str">
        <f t="array" ref="E426">IFERROR(_xlfn.XLOOKUP(B426,'Employee Master'!$A$2:$A$500,'Employee Master'!$E$2:$E$500,""),"")</f>
        <v/>
      </c>
      <c r="F426" s="31"/>
      <c r="G426" s="39"/>
      <c r="H426" s="31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5"/>
      <c r="B427" s="31"/>
      <c r="C427" s="31" t="str">
        <f t="array" ref="C427">IFERROR(_xlfn.XLOOKUP(B427,'Employee Master'!$A$2:$A$500,'Employee Master'!$B$2:$B$500,""),"")</f>
        <v/>
      </c>
      <c r="D427" s="31" t="str">
        <f t="array" ref="D427">IFERROR(_xlfn.XLOOKUP(B427,'Employee Master'!$A$2:$A$500,'Employee Master'!$C$2:$C$500,""),"")</f>
        <v/>
      </c>
      <c r="E427" s="31" t="str">
        <f t="array" ref="E427">IFERROR(_xlfn.XLOOKUP(B427,'Employee Master'!$A$2:$A$500,'Employee Master'!$E$2:$E$500,""),"")</f>
        <v/>
      </c>
      <c r="F427" s="31"/>
      <c r="G427" s="39"/>
      <c r="H427" s="31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5"/>
      <c r="B428" s="31"/>
      <c r="C428" s="31" t="str">
        <f t="array" ref="C428">IFERROR(_xlfn.XLOOKUP(B428,'Employee Master'!$A$2:$A$500,'Employee Master'!$B$2:$B$500,""),"")</f>
        <v/>
      </c>
      <c r="D428" s="31" t="str">
        <f t="array" ref="D428">IFERROR(_xlfn.XLOOKUP(B428,'Employee Master'!$A$2:$A$500,'Employee Master'!$C$2:$C$500,""),"")</f>
        <v/>
      </c>
      <c r="E428" s="31" t="str">
        <f t="array" ref="E428">IFERROR(_xlfn.XLOOKUP(B428,'Employee Master'!$A$2:$A$500,'Employee Master'!$E$2:$E$500,""),"")</f>
        <v/>
      </c>
      <c r="F428" s="31"/>
      <c r="G428" s="39"/>
      <c r="H428" s="31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5"/>
      <c r="B429" s="31"/>
      <c r="C429" s="31" t="str">
        <f t="array" ref="C429">IFERROR(_xlfn.XLOOKUP(B429,'Employee Master'!$A$2:$A$500,'Employee Master'!$B$2:$B$500,""),"")</f>
        <v/>
      </c>
      <c r="D429" s="31" t="str">
        <f t="array" ref="D429">IFERROR(_xlfn.XLOOKUP(B429,'Employee Master'!$A$2:$A$500,'Employee Master'!$C$2:$C$500,""),"")</f>
        <v/>
      </c>
      <c r="E429" s="31" t="str">
        <f t="array" ref="E429">IFERROR(_xlfn.XLOOKUP(B429,'Employee Master'!$A$2:$A$500,'Employee Master'!$E$2:$E$500,""),"")</f>
        <v/>
      </c>
      <c r="F429" s="31"/>
      <c r="G429" s="39"/>
      <c r="H429" s="31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5"/>
      <c r="B430" s="31"/>
      <c r="C430" s="31" t="str">
        <f t="array" ref="C430">IFERROR(_xlfn.XLOOKUP(B430,'Employee Master'!$A$2:$A$500,'Employee Master'!$B$2:$B$500,""),"")</f>
        <v/>
      </c>
      <c r="D430" s="31" t="str">
        <f t="array" ref="D430">IFERROR(_xlfn.XLOOKUP(B430,'Employee Master'!$A$2:$A$500,'Employee Master'!$C$2:$C$500,""),"")</f>
        <v/>
      </c>
      <c r="E430" s="31" t="str">
        <f t="array" ref="E430">IFERROR(_xlfn.XLOOKUP(B430,'Employee Master'!$A$2:$A$500,'Employee Master'!$E$2:$E$500,""),"")</f>
        <v/>
      </c>
      <c r="F430" s="31"/>
      <c r="G430" s="39"/>
      <c r="H430" s="31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5"/>
      <c r="B431" s="31"/>
      <c r="C431" s="31" t="str">
        <f t="array" ref="C431">IFERROR(_xlfn.XLOOKUP(B431,'Employee Master'!$A$2:$A$500,'Employee Master'!$B$2:$B$500,""),"")</f>
        <v/>
      </c>
      <c r="D431" s="31" t="str">
        <f t="array" ref="D431">IFERROR(_xlfn.XLOOKUP(B431,'Employee Master'!$A$2:$A$500,'Employee Master'!$C$2:$C$500,""),"")</f>
        <v/>
      </c>
      <c r="E431" s="31" t="str">
        <f t="array" ref="E431">IFERROR(_xlfn.XLOOKUP(B431,'Employee Master'!$A$2:$A$500,'Employee Master'!$E$2:$E$500,""),"")</f>
        <v/>
      </c>
      <c r="F431" s="31"/>
      <c r="G431" s="39"/>
      <c r="H431" s="31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5"/>
      <c r="B432" s="31"/>
      <c r="C432" s="31" t="str">
        <f t="array" ref="C432">IFERROR(_xlfn.XLOOKUP(B432,'Employee Master'!$A$2:$A$500,'Employee Master'!$B$2:$B$500,""),"")</f>
        <v/>
      </c>
      <c r="D432" s="31" t="str">
        <f t="array" ref="D432">IFERROR(_xlfn.XLOOKUP(B432,'Employee Master'!$A$2:$A$500,'Employee Master'!$C$2:$C$500,""),"")</f>
        <v/>
      </c>
      <c r="E432" s="31" t="str">
        <f t="array" ref="E432">IFERROR(_xlfn.XLOOKUP(B432,'Employee Master'!$A$2:$A$500,'Employee Master'!$E$2:$E$500,""),"")</f>
        <v/>
      </c>
      <c r="F432" s="31"/>
      <c r="G432" s="39"/>
      <c r="H432" s="31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5"/>
      <c r="B433" s="31"/>
      <c r="C433" s="31" t="str">
        <f t="array" ref="C433">IFERROR(_xlfn.XLOOKUP(B433,'Employee Master'!$A$2:$A$500,'Employee Master'!$B$2:$B$500,""),"")</f>
        <v/>
      </c>
      <c r="D433" s="31" t="str">
        <f t="array" ref="D433">IFERROR(_xlfn.XLOOKUP(B433,'Employee Master'!$A$2:$A$500,'Employee Master'!$C$2:$C$500,""),"")</f>
        <v/>
      </c>
      <c r="E433" s="31" t="str">
        <f t="array" ref="E433">IFERROR(_xlfn.XLOOKUP(B433,'Employee Master'!$A$2:$A$500,'Employee Master'!$E$2:$E$500,""),"")</f>
        <v/>
      </c>
      <c r="F433" s="31"/>
      <c r="G433" s="39"/>
      <c r="H433" s="31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5"/>
      <c r="B434" s="31"/>
      <c r="C434" s="31" t="str">
        <f t="array" ref="C434">IFERROR(_xlfn.XLOOKUP(B434,'Employee Master'!$A$2:$A$500,'Employee Master'!$B$2:$B$500,""),"")</f>
        <v/>
      </c>
      <c r="D434" s="31" t="str">
        <f t="array" ref="D434">IFERROR(_xlfn.XLOOKUP(B434,'Employee Master'!$A$2:$A$500,'Employee Master'!$C$2:$C$500,""),"")</f>
        <v/>
      </c>
      <c r="E434" s="31" t="str">
        <f t="array" ref="E434">IFERROR(_xlfn.XLOOKUP(B434,'Employee Master'!$A$2:$A$500,'Employee Master'!$E$2:$E$500,""),"")</f>
        <v/>
      </c>
      <c r="F434" s="31"/>
      <c r="G434" s="39"/>
      <c r="H434" s="31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5"/>
      <c r="B435" s="31"/>
      <c r="C435" s="31" t="str">
        <f t="array" ref="C435">IFERROR(_xlfn.XLOOKUP(B435,'Employee Master'!$A$2:$A$500,'Employee Master'!$B$2:$B$500,""),"")</f>
        <v/>
      </c>
      <c r="D435" s="31" t="str">
        <f t="array" ref="D435">IFERROR(_xlfn.XLOOKUP(B435,'Employee Master'!$A$2:$A$500,'Employee Master'!$C$2:$C$500,""),"")</f>
        <v/>
      </c>
      <c r="E435" s="31" t="str">
        <f t="array" ref="E435">IFERROR(_xlfn.XLOOKUP(B435,'Employee Master'!$A$2:$A$500,'Employee Master'!$E$2:$E$500,""),"")</f>
        <v/>
      </c>
      <c r="F435" s="31"/>
      <c r="G435" s="39"/>
      <c r="H435" s="31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5"/>
      <c r="B436" s="31"/>
      <c r="C436" s="31" t="str">
        <f t="array" ref="C436">IFERROR(_xlfn.XLOOKUP(B436,'Employee Master'!$A$2:$A$500,'Employee Master'!$B$2:$B$500,""),"")</f>
        <v/>
      </c>
      <c r="D436" s="31" t="str">
        <f t="array" ref="D436">IFERROR(_xlfn.XLOOKUP(B436,'Employee Master'!$A$2:$A$500,'Employee Master'!$C$2:$C$500,""),"")</f>
        <v/>
      </c>
      <c r="E436" s="31" t="str">
        <f t="array" ref="E436">IFERROR(_xlfn.XLOOKUP(B436,'Employee Master'!$A$2:$A$500,'Employee Master'!$E$2:$E$500,""),"")</f>
        <v/>
      </c>
      <c r="F436" s="31"/>
      <c r="G436" s="39"/>
      <c r="H436" s="31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5"/>
      <c r="B437" s="31"/>
      <c r="C437" s="31" t="str">
        <f t="array" ref="C437">IFERROR(_xlfn.XLOOKUP(B437,'Employee Master'!$A$2:$A$500,'Employee Master'!$B$2:$B$500,""),"")</f>
        <v/>
      </c>
      <c r="D437" s="31" t="str">
        <f t="array" ref="D437">IFERROR(_xlfn.XLOOKUP(B437,'Employee Master'!$A$2:$A$500,'Employee Master'!$C$2:$C$500,""),"")</f>
        <v/>
      </c>
      <c r="E437" s="31" t="str">
        <f t="array" ref="E437">IFERROR(_xlfn.XLOOKUP(B437,'Employee Master'!$A$2:$A$500,'Employee Master'!$E$2:$E$500,""),"")</f>
        <v/>
      </c>
      <c r="F437" s="31"/>
      <c r="G437" s="39"/>
      <c r="H437" s="31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5"/>
      <c r="B438" s="31"/>
      <c r="C438" s="31" t="str">
        <f t="array" ref="C438">IFERROR(_xlfn.XLOOKUP(B438,'Employee Master'!$A$2:$A$500,'Employee Master'!$B$2:$B$500,""),"")</f>
        <v/>
      </c>
      <c r="D438" s="31" t="str">
        <f t="array" ref="D438">IFERROR(_xlfn.XLOOKUP(B438,'Employee Master'!$A$2:$A$500,'Employee Master'!$C$2:$C$500,""),"")</f>
        <v/>
      </c>
      <c r="E438" s="31" t="str">
        <f t="array" ref="E438">IFERROR(_xlfn.XLOOKUP(B438,'Employee Master'!$A$2:$A$500,'Employee Master'!$E$2:$E$500,""),"")</f>
        <v/>
      </c>
      <c r="F438" s="31"/>
      <c r="G438" s="39"/>
      <c r="H438" s="31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5"/>
      <c r="B439" s="31"/>
      <c r="C439" s="31" t="str">
        <f t="array" ref="C439">IFERROR(_xlfn.XLOOKUP(B439,'Employee Master'!$A$2:$A$500,'Employee Master'!$B$2:$B$500,""),"")</f>
        <v/>
      </c>
      <c r="D439" s="31" t="str">
        <f t="array" ref="D439">IFERROR(_xlfn.XLOOKUP(B439,'Employee Master'!$A$2:$A$500,'Employee Master'!$C$2:$C$500,""),"")</f>
        <v/>
      </c>
      <c r="E439" s="31" t="str">
        <f t="array" ref="E439">IFERROR(_xlfn.XLOOKUP(B439,'Employee Master'!$A$2:$A$500,'Employee Master'!$E$2:$E$500,""),"")</f>
        <v/>
      </c>
      <c r="F439" s="31"/>
      <c r="G439" s="39"/>
      <c r="H439" s="31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5"/>
      <c r="B440" s="31"/>
      <c r="C440" s="31" t="str">
        <f t="array" ref="C440">IFERROR(_xlfn.XLOOKUP(B440,'Employee Master'!$A$2:$A$500,'Employee Master'!$B$2:$B$500,""),"")</f>
        <v/>
      </c>
      <c r="D440" s="31" t="str">
        <f t="array" ref="D440">IFERROR(_xlfn.XLOOKUP(B440,'Employee Master'!$A$2:$A$500,'Employee Master'!$C$2:$C$500,""),"")</f>
        <v/>
      </c>
      <c r="E440" s="31" t="str">
        <f t="array" ref="E440">IFERROR(_xlfn.XLOOKUP(B440,'Employee Master'!$A$2:$A$500,'Employee Master'!$E$2:$E$500,""),"")</f>
        <v/>
      </c>
      <c r="F440" s="31"/>
      <c r="G440" s="39"/>
      <c r="H440" s="31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5"/>
      <c r="B441" s="31"/>
      <c r="C441" s="31" t="str">
        <f t="array" ref="C441">IFERROR(_xlfn.XLOOKUP(B441,'Employee Master'!$A$2:$A$500,'Employee Master'!$B$2:$B$500,""),"")</f>
        <v/>
      </c>
      <c r="D441" s="31" t="str">
        <f t="array" ref="D441">IFERROR(_xlfn.XLOOKUP(B441,'Employee Master'!$A$2:$A$500,'Employee Master'!$C$2:$C$500,""),"")</f>
        <v/>
      </c>
      <c r="E441" s="31" t="str">
        <f t="array" ref="E441">IFERROR(_xlfn.XLOOKUP(B441,'Employee Master'!$A$2:$A$500,'Employee Master'!$E$2:$E$500,""),"")</f>
        <v/>
      </c>
      <c r="F441" s="31"/>
      <c r="G441" s="39"/>
      <c r="H441" s="31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5"/>
      <c r="B442" s="31"/>
      <c r="C442" s="31" t="str">
        <f t="array" ref="C442">IFERROR(_xlfn.XLOOKUP(B442,'Employee Master'!$A$2:$A$500,'Employee Master'!$B$2:$B$500,""),"")</f>
        <v/>
      </c>
      <c r="D442" s="31" t="str">
        <f t="array" ref="D442">IFERROR(_xlfn.XLOOKUP(B442,'Employee Master'!$A$2:$A$500,'Employee Master'!$C$2:$C$500,""),"")</f>
        <v/>
      </c>
      <c r="E442" s="31" t="str">
        <f t="array" ref="E442">IFERROR(_xlfn.XLOOKUP(B442,'Employee Master'!$A$2:$A$500,'Employee Master'!$E$2:$E$500,""),"")</f>
        <v/>
      </c>
      <c r="F442" s="31"/>
      <c r="G442" s="39"/>
      <c r="H442" s="31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5"/>
      <c r="B443" s="31"/>
      <c r="C443" s="31" t="str">
        <f t="array" ref="C443">IFERROR(_xlfn.XLOOKUP(B443,'Employee Master'!$A$2:$A$500,'Employee Master'!$B$2:$B$500,""),"")</f>
        <v/>
      </c>
      <c r="D443" s="31" t="str">
        <f t="array" ref="D443">IFERROR(_xlfn.XLOOKUP(B443,'Employee Master'!$A$2:$A$500,'Employee Master'!$C$2:$C$500,""),"")</f>
        <v/>
      </c>
      <c r="E443" s="31" t="str">
        <f t="array" ref="E443">IFERROR(_xlfn.XLOOKUP(B443,'Employee Master'!$A$2:$A$500,'Employee Master'!$E$2:$E$500,""),"")</f>
        <v/>
      </c>
      <c r="F443" s="31"/>
      <c r="G443" s="39"/>
      <c r="H443" s="31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5"/>
      <c r="B444" s="31"/>
      <c r="C444" s="31" t="str">
        <f t="array" ref="C444">IFERROR(_xlfn.XLOOKUP(B444,'Employee Master'!$A$2:$A$500,'Employee Master'!$B$2:$B$500,""),"")</f>
        <v/>
      </c>
      <c r="D444" s="31" t="str">
        <f t="array" ref="D444">IFERROR(_xlfn.XLOOKUP(B444,'Employee Master'!$A$2:$A$500,'Employee Master'!$C$2:$C$500,""),"")</f>
        <v/>
      </c>
      <c r="E444" s="31" t="str">
        <f t="array" ref="E444">IFERROR(_xlfn.XLOOKUP(B444,'Employee Master'!$A$2:$A$500,'Employee Master'!$E$2:$E$500,""),"")</f>
        <v/>
      </c>
      <c r="F444" s="31"/>
      <c r="G444" s="39"/>
      <c r="H444" s="31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5"/>
      <c r="B445" s="31"/>
      <c r="C445" s="31" t="str">
        <f t="array" ref="C445">IFERROR(_xlfn.XLOOKUP(B445,'Employee Master'!$A$2:$A$500,'Employee Master'!$B$2:$B$500,""),"")</f>
        <v/>
      </c>
      <c r="D445" s="31" t="str">
        <f t="array" ref="D445">IFERROR(_xlfn.XLOOKUP(B445,'Employee Master'!$A$2:$A$500,'Employee Master'!$C$2:$C$500,""),"")</f>
        <v/>
      </c>
      <c r="E445" s="31" t="str">
        <f t="array" ref="E445">IFERROR(_xlfn.XLOOKUP(B445,'Employee Master'!$A$2:$A$500,'Employee Master'!$E$2:$E$500,""),"")</f>
        <v/>
      </c>
      <c r="F445" s="31"/>
      <c r="G445" s="39"/>
      <c r="H445" s="31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5"/>
      <c r="B446" s="31"/>
      <c r="C446" s="31" t="str">
        <f t="array" ref="C446">IFERROR(_xlfn.XLOOKUP(B446,'Employee Master'!$A$2:$A$500,'Employee Master'!$B$2:$B$500,""),"")</f>
        <v/>
      </c>
      <c r="D446" s="31" t="str">
        <f t="array" ref="D446">IFERROR(_xlfn.XLOOKUP(B446,'Employee Master'!$A$2:$A$500,'Employee Master'!$C$2:$C$500,""),"")</f>
        <v/>
      </c>
      <c r="E446" s="31" t="str">
        <f t="array" ref="E446">IFERROR(_xlfn.XLOOKUP(B446,'Employee Master'!$A$2:$A$500,'Employee Master'!$E$2:$E$500,""),"")</f>
        <v/>
      </c>
      <c r="F446" s="31"/>
      <c r="G446" s="39"/>
      <c r="H446" s="31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5"/>
      <c r="B447" s="31"/>
      <c r="C447" s="31" t="str">
        <f t="array" ref="C447">IFERROR(_xlfn.XLOOKUP(B447,'Employee Master'!$A$2:$A$500,'Employee Master'!$B$2:$B$500,""),"")</f>
        <v/>
      </c>
      <c r="D447" s="31" t="str">
        <f t="array" ref="D447">IFERROR(_xlfn.XLOOKUP(B447,'Employee Master'!$A$2:$A$500,'Employee Master'!$C$2:$C$500,""),"")</f>
        <v/>
      </c>
      <c r="E447" s="31" t="str">
        <f t="array" ref="E447">IFERROR(_xlfn.XLOOKUP(B447,'Employee Master'!$A$2:$A$500,'Employee Master'!$E$2:$E$500,""),"")</f>
        <v/>
      </c>
      <c r="F447" s="31"/>
      <c r="G447" s="39"/>
      <c r="H447" s="31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5"/>
      <c r="B448" s="31"/>
      <c r="C448" s="31" t="str">
        <f t="array" ref="C448">IFERROR(_xlfn.XLOOKUP(B448,'Employee Master'!$A$2:$A$500,'Employee Master'!$B$2:$B$500,""),"")</f>
        <v/>
      </c>
      <c r="D448" s="31" t="str">
        <f t="array" ref="D448">IFERROR(_xlfn.XLOOKUP(B448,'Employee Master'!$A$2:$A$500,'Employee Master'!$C$2:$C$500,""),"")</f>
        <v/>
      </c>
      <c r="E448" s="31" t="str">
        <f t="array" ref="E448">IFERROR(_xlfn.XLOOKUP(B448,'Employee Master'!$A$2:$A$500,'Employee Master'!$E$2:$E$500,""),"")</f>
        <v/>
      </c>
      <c r="F448" s="31"/>
      <c r="G448" s="39"/>
      <c r="H448" s="31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5"/>
      <c r="B449" s="31"/>
      <c r="C449" s="31" t="str">
        <f t="array" ref="C449">IFERROR(_xlfn.XLOOKUP(B449,'Employee Master'!$A$2:$A$500,'Employee Master'!$B$2:$B$500,""),"")</f>
        <v/>
      </c>
      <c r="D449" s="31" t="str">
        <f t="array" ref="D449">IFERROR(_xlfn.XLOOKUP(B449,'Employee Master'!$A$2:$A$500,'Employee Master'!$C$2:$C$500,""),"")</f>
        <v/>
      </c>
      <c r="E449" s="31" t="str">
        <f t="array" ref="E449">IFERROR(_xlfn.XLOOKUP(B449,'Employee Master'!$A$2:$A$500,'Employee Master'!$E$2:$E$500,""),"")</f>
        <v/>
      </c>
      <c r="F449" s="31"/>
      <c r="G449" s="39"/>
      <c r="H449" s="31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5"/>
      <c r="B450" s="31"/>
      <c r="C450" s="31" t="str">
        <f t="array" ref="C450">IFERROR(_xlfn.XLOOKUP(B450,'Employee Master'!$A$2:$A$500,'Employee Master'!$B$2:$B$500,""),"")</f>
        <v/>
      </c>
      <c r="D450" s="31" t="str">
        <f t="array" ref="D450">IFERROR(_xlfn.XLOOKUP(B450,'Employee Master'!$A$2:$A$500,'Employee Master'!$C$2:$C$500,""),"")</f>
        <v/>
      </c>
      <c r="E450" s="31" t="str">
        <f t="array" ref="E450">IFERROR(_xlfn.XLOOKUP(B450,'Employee Master'!$A$2:$A$500,'Employee Master'!$E$2:$E$500,""),"")</f>
        <v/>
      </c>
      <c r="F450" s="31"/>
      <c r="G450" s="39"/>
      <c r="H450" s="31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5"/>
      <c r="B451" s="31"/>
      <c r="C451" s="31" t="str">
        <f t="array" ref="C451">IFERROR(_xlfn.XLOOKUP(B451,'Employee Master'!$A$2:$A$500,'Employee Master'!$B$2:$B$500,""),"")</f>
        <v/>
      </c>
      <c r="D451" s="31" t="str">
        <f t="array" ref="D451">IFERROR(_xlfn.XLOOKUP(B451,'Employee Master'!$A$2:$A$500,'Employee Master'!$C$2:$C$500,""),"")</f>
        <v/>
      </c>
      <c r="E451" s="31" t="str">
        <f t="array" ref="E451">IFERROR(_xlfn.XLOOKUP(B451,'Employee Master'!$A$2:$A$500,'Employee Master'!$E$2:$E$500,""),"")</f>
        <v/>
      </c>
      <c r="F451" s="31"/>
      <c r="G451" s="39"/>
      <c r="H451" s="31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5"/>
      <c r="B452" s="31"/>
      <c r="C452" s="31" t="str">
        <f t="array" ref="C452">IFERROR(_xlfn.XLOOKUP(B452,'Employee Master'!$A$2:$A$500,'Employee Master'!$B$2:$B$500,""),"")</f>
        <v/>
      </c>
      <c r="D452" s="31" t="str">
        <f t="array" ref="D452">IFERROR(_xlfn.XLOOKUP(B452,'Employee Master'!$A$2:$A$500,'Employee Master'!$C$2:$C$500,""),"")</f>
        <v/>
      </c>
      <c r="E452" s="31" t="str">
        <f t="array" ref="E452">IFERROR(_xlfn.XLOOKUP(B452,'Employee Master'!$A$2:$A$500,'Employee Master'!$E$2:$E$500,""),"")</f>
        <v/>
      </c>
      <c r="F452" s="31"/>
      <c r="G452" s="39"/>
      <c r="H452" s="31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5"/>
      <c r="B453" s="31"/>
      <c r="C453" s="31" t="str">
        <f t="array" ref="C453">IFERROR(_xlfn.XLOOKUP(B453,'Employee Master'!$A$2:$A$500,'Employee Master'!$B$2:$B$500,""),"")</f>
        <v/>
      </c>
      <c r="D453" s="31" t="str">
        <f t="array" ref="D453">IFERROR(_xlfn.XLOOKUP(B453,'Employee Master'!$A$2:$A$500,'Employee Master'!$C$2:$C$500,""),"")</f>
        <v/>
      </c>
      <c r="E453" s="31" t="str">
        <f t="array" ref="E453">IFERROR(_xlfn.XLOOKUP(B453,'Employee Master'!$A$2:$A$500,'Employee Master'!$E$2:$E$500,""),"")</f>
        <v/>
      </c>
      <c r="F453" s="31"/>
      <c r="G453" s="39"/>
      <c r="H453" s="31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5"/>
      <c r="B454" s="31"/>
      <c r="C454" s="31" t="str">
        <f t="array" ref="C454">IFERROR(_xlfn.XLOOKUP(B454,'Employee Master'!$A$2:$A$500,'Employee Master'!$B$2:$B$500,""),"")</f>
        <v/>
      </c>
      <c r="D454" s="31" t="str">
        <f t="array" ref="D454">IFERROR(_xlfn.XLOOKUP(B454,'Employee Master'!$A$2:$A$500,'Employee Master'!$C$2:$C$500,""),"")</f>
        <v/>
      </c>
      <c r="E454" s="31" t="str">
        <f t="array" ref="E454">IFERROR(_xlfn.XLOOKUP(B454,'Employee Master'!$A$2:$A$500,'Employee Master'!$E$2:$E$500,""),"")</f>
        <v/>
      </c>
      <c r="F454" s="31"/>
      <c r="G454" s="39"/>
      <c r="H454" s="31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5"/>
      <c r="B455" s="31"/>
      <c r="C455" s="31" t="str">
        <f t="array" ref="C455">IFERROR(_xlfn.XLOOKUP(B455,'Employee Master'!$A$2:$A$500,'Employee Master'!$B$2:$B$500,""),"")</f>
        <v/>
      </c>
      <c r="D455" s="31" t="str">
        <f t="array" ref="D455">IFERROR(_xlfn.XLOOKUP(B455,'Employee Master'!$A$2:$A$500,'Employee Master'!$C$2:$C$500,""),"")</f>
        <v/>
      </c>
      <c r="E455" s="31" t="str">
        <f t="array" ref="E455">IFERROR(_xlfn.XLOOKUP(B455,'Employee Master'!$A$2:$A$500,'Employee Master'!$E$2:$E$500,""),"")</f>
        <v/>
      </c>
      <c r="F455" s="31"/>
      <c r="G455" s="39"/>
      <c r="H455" s="31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5"/>
      <c r="B456" s="31"/>
      <c r="C456" s="31" t="str">
        <f t="array" ref="C456">IFERROR(_xlfn.XLOOKUP(B456,'Employee Master'!$A$2:$A$500,'Employee Master'!$B$2:$B$500,""),"")</f>
        <v/>
      </c>
      <c r="D456" s="31" t="str">
        <f t="array" ref="D456">IFERROR(_xlfn.XLOOKUP(B456,'Employee Master'!$A$2:$A$500,'Employee Master'!$C$2:$C$500,""),"")</f>
        <v/>
      </c>
      <c r="E456" s="31" t="str">
        <f t="array" ref="E456">IFERROR(_xlfn.XLOOKUP(B456,'Employee Master'!$A$2:$A$500,'Employee Master'!$E$2:$E$500,""),"")</f>
        <v/>
      </c>
      <c r="F456" s="31"/>
      <c r="G456" s="39"/>
      <c r="H456" s="31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5"/>
      <c r="B457" s="31"/>
      <c r="C457" s="31" t="str">
        <f t="array" ref="C457">IFERROR(_xlfn.XLOOKUP(B457,'Employee Master'!$A$2:$A$500,'Employee Master'!$B$2:$B$500,""),"")</f>
        <v/>
      </c>
      <c r="D457" s="31" t="str">
        <f t="array" ref="D457">IFERROR(_xlfn.XLOOKUP(B457,'Employee Master'!$A$2:$A$500,'Employee Master'!$C$2:$C$500,""),"")</f>
        <v/>
      </c>
      <c r="E457" s="31" t="str">
        <f t="array" ref="E457">IFERROR(_xlfn.XLOOKUP(B457,'Employee Master'!$A$2:$A$500,'Employee Master'!$E$2:$E$500,""),"")</f>
        <v/>
      </c>
      <c r="F457" s="31"/>
      <c r="G457" s="39"/>
      <c r="H457" s="31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5"/>
      <c r="B458" s="31"/>
      <c r="C458" s="31" t="str">
        <f t="array" ref="C458">IFERROR(_xlfn.XLOOKUP(B458,'Employee Master'!$A$2:$A$500,'Employee Master'!$B$2:$B$500,""),"")</f>
        <v/>
      </c>
      <c r="D458" s="31" t="str">
        <f t="array" ref="D458">IFERROR(_xlfn.XLOOKUP(B458,'Employee Master'!$A$2:$A$500,'Employee Master'!$C$2:$C$500,""),"")</f>
        <v/>
      </c>
      <c r="E458" s="31" t="str">
        <f t="array" ref="E458">IFERROR(_xlfn.XLOOKUP(B458,'Employee Master'!$A$2:$A$500,'Employee Master'!$E$2:$E$500,""),"")</f>
        <v/>
      </c>
      <c r="F458" s="31"/>
      <c r="G458" s="39"/>
      <c r="H458" s="31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5"/>
      <c r="B459" s="31"/>
      <c r="C459" s="31" t="str">
        <f t="array" ref="C459">IFERROR(_xlfn.XLOOKUP(B459,'Employee Master'!$A$2:$A$500,'Employee Master'!$B$2:$B$500,""),"")</f>
        <v/>
      </c>
      <c r="D459" s="31" t="str">
        <f t="array" ref="D459">IFERROR(_xlfn.XLOOKUP(B459,'Employee Master'!$A$2:$A$500,'Employee Master'!$C$2:$C$500,""),"")</f>
        <v/>
      </c>
      <c r="E459" s="31" t="str">
        <f t="array" ref="E459">IFERROR(_xlfn.XLOOKUP(B459,'Employee Master'!$A$2:$A$500,'Employee Master'!$E$2:$E$500,""),"")</f>
        <v/>
      </c>
      <c r="F459" s="31"/>
      <c r="G459" s="39"/>
      <c r="H459" s="31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5"/>
      <c r="B460" s="31"/>
      <c r="C460" s="31" t="str">
        <f t="array" ref="C460">IFERROR(_xlfn.XLOOKUP(B460,'Employee Master'!$A$2:$A$500,'Employee Master'!$B$2:$B$500,""),"")</f>
        <v/>
      </c>
      <c r="D460" s="31" t="str">
        <f t="array" ref="D460">IFERROR(_xlfn.XLOOKUP(B460,'Employee Master'!$A$2:$A$500,'Employee Master'!$C$2:$C$500,""),"")</f>
        <v/>
      </c>
      <c r="E460" s="31" t="str">
        <f t="array" ref="E460">IFERROR(_xlfn.XLOOKUP(B460,'Employee Master'!$A$2:$A$500,'Employee Master'!$E$2:$E$500,""),"")</f>
        <v/>
      </c>
      <c r="F460" s="31"/>
      <c r="G460" s="39"/>
      <c r="H460" s="31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5"/>
      <c r="B461" s="31"/>
      <c r="C461" s="31" t="str">
        <f t="array" ref="C461">IFERROR(_xlfn.XLOOKUP(B461,'Employee Master'!$A$2:$A$500,'Employee Master'!$B$2:$B$500,""),"")</f>
        <v/>
      </c>
      <c r="D461" s="31" t="str">
        <f t="array" ref="D461">IFERROR(_xlfn.XLOOKUP(B461,'Employee Master'!$A$2:$A$500,'Employee Master'!$C$2:$C$500,""),"")</f>
        <v/>
      </c>
      <c r="E461" s="31" t="str">
        <f t="array" ref="E461">IFERROR(_xlfn.XLOOKUP(B461,'Employee Master'!$A$2:$A$500,'Employee Master'!$E$2:$E$500,""),"")</f>
        <v/>
      </c>
      <c r="F461" s="31"/>
      <c r="G461" s="39"/>
      <c r="H461" s="31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5"/>
      <c r="B462" s="31"/>
      <c r="C462" s="31" t="str">
        <f t="array" ref="C462">IFERROR(_xlfn.XLOOKUP(B462,'Employee Master'!$A$2:$A$500,'Employee Master'!$B$2:$B$500,""),"")</f>
        <v/>
      </c>
      <c r="D462" s="31" t="str">
        <f t="array" ref="D462">IFERROR(_xlfn.XLOOKUP(B462,'Employee Master'!$A$2:$A$500,'Employee Master'!$C$2:$C$500,""),"")</f>
        <v/>
      </c>
      <c r="E462" s="31" t="str">
        <f t="array" ref="E462">IFERROR(_xlfn.XLOOKUP(B462,'Employee Master'!$A$2:$A$500,'Employee Master'!$E$2:$E$500,""),"")</f>
        <v/>
      </c>
      <c r="F462" s="31"/>
      <c r="G462" s="39"/>
      <c r="H462" s="31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5"/>
      <c r="B463" s="31"/>
      <c r="C463" s="31" t="str">
        <f t="array" ref="C463">IFERROR(_xlfn.XLOOKUP(B463,'Employee Master'!$A$2:$A$500,'Employee Master'!$B$2:$B$500,""),"")</f>
        <v/>
      </c>
      <c r="D463" s="31" t="str">
        <f t="array" ref="D463">IFERROR(_xlfn.XLOOKUP(B463,'Employee Master'!$A$2:$A$500,'Employee Master'!$C$2:$C$500,""),"")</f>
        <v/>
      </c>
      <c r="E463" s="31" t="str">
        <f t="array" ref="E463">IFERROR(_xlfn.XLOOKUP(B463,'Employee Master'!$A$2:$A$500,'Employee Master'!$E$2:$E$500,""),"")</f>
        <v/>
      </c>
      <c r="F463" s="31"/>
      <c r="G463" s="39"/>
      <c r="H463" s="31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5"/>
      <c r="B464" s="31"/>
      <c r="C464" s="31" t="str">
        <f t="array" ref="C464">IFERROR(_xlfn.XLOOKUP(B464,'Employee Master'!$A$2:$A$500,'Employee Master'!$B$2:$B$500,""),"")</f>
        <v/>
      </c>
      <c r="D464" s="31" t="str">
        <f t="array" ref="D464">IFERROR(_xlfn.XLOOKUP(B464,'Employee Master'!$A$2:$A$500,'Employee Master'!$C$2:$C$500,""),"")</f>
        <v/>
      </c>
      <c r="E464" s="31" t="str">
        <f t="array" ref="E464">IFERROR(_xlfn.XLOOKUP(B464,'Employee Master'!$A$2:$A$500,'Employee Master'!$E$2:$E$500,""),"")</f>
        <v/>
      </c>
      <c r="F464" s="31"/>
      <c r="G464" s="39"/>
      <c r="H464" s="31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5"/>
      <c r="B465" s="31"/>
      <c r="C465" s="31" t="str">
        <f t="array" ref="C465">IFERROR(_xlfn.XLOOKUP(B465,'Employee Master'!$A$2:$A$500,'Employee Master'!$B$2:$B$500,""),"")</f>
        <v/>
      </c>
      <c r="D465" s="31" t="str">
        <f t="array" ref="D465">IFERROR(_xlfn.XLOOKUP(B465,'Employee Master'!$A$2:$A$500,'Employee Master'!$C$2:$C$500,""),"")</f>
        <v/>
      </c>
      <c r="E465" s="31" t="str">
        <f t="array" ref="E465">IFERROR(_xlfn.XLOOKUP(B465,'Employee Master'!$A$2:$A$500,'Employee Master'!$E$2:$E$500,""),"")</f>
        <v/>
      </c>
      <c r="F465" s="31"/>
      <c r="G465" s="39"/>
      <c r="H465" s="31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5"/>
      <c r="B466" s="31"/>
      <c r="C466" s="31" t="str">
        <f t="array" ref="C466">IFERROR(_xlfn.XLOOKUP(B466,'Employee Master'!$A$2:$A$500,'Employee Master'!$B$2:$B$500,""),"")</f>
        <v/>
      </c>
      <c r="D466" s="31" t="str">
        <f t="array" ref="D466">IFERROR(_xlfn.XLOOKUP(B466,'Employee Master'!$A$2:$A$500,'Employee Master'!$C$2:$C$500,""),"")</f>
        <v/>
      </c>
      <c r="E466" s="31" t="str">
        <f t="array" ref="E466">IFERROR(_xlfn.XLOOKUP(B466,'Employee Master'!$A$2:$A$500,'Employee Master'!$E$2:$E$500,""),"")</f>
        <v/>
      </c>
      <c r="F466" s="31"/>
      <c r="G466" s="39"/>
      <c r="H466" s="31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5"/>
      <c r="B467" s="31"/>
      <c r="C467" s="31" t="str">
        <f t="array" ref="C467">IFERROR(_xlfn.XLOOKUP(B467,'Employee Master'!$A$2:$A$500,'Employee Master'!$B$2:$B$500,""),"")</f>
        <v/>
      </c>
      <c r="D467" s="31" t="str">
        <f t="array" ref="D467">IFERROR(_xlfn.XLOOKUP(B467,'Employee Master'!$A$2:$A$500,'Employee Master'!$C$2:$C$500,""),"")</f>
        <v/>
      </c>
      <c r="E467" s="31" t="str">
        <f t="array" ref="E467">IFERROR(_xlfn.XLOOKUP(B467,'Employee Master'!$A$2:$A$500,'Employee Master'!$E$2:$E$500,""),"")</f>
        <v/>
      </c>
      <c r="F467" s="31"/>
      <c r="G467" s="39"/>
      <c r="H467" s="31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5"/>
      <c r="B468" s="31"/>
      <c r="C468" s="31" t="str">
        <f t="array" ref="C468">IFERROR(_xlfn.XLOOKUP(B468,'Employee Master'!$A$2:$A$500,'Employee Master'!$B$2:$B$500,""),"")</f>
        <v/>
      </c>
      <c r="D468" s="31" t="str">
        <f t="array" ref="D468">IFERROR(_xlfn.XLOOKUP(B468,'Employee Master'!$A$2:$A$500,'Employee Master'!$C$2:$C$500,""),"")</f>
        <v/>
      </c>
      <c r="E468" s="31" t="str">
        <f t="array" ref="E468">IFERROR(_xlfn.XLOOKUP(B468,'Employee Master'!$A$2:$A$500,'Employee Master'!$E$2:$E$500,""),"")</f>
        <v/>
      </c>
      <c r="F468" s="31"/>
      <c r="G468" s="39"/>
      <c r="H468" s="31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5"/>
      <c r="B469" s="31"/>
      <c r="C469" s="31" t="str">
        <f t="array" ref="C469">IFERROR(_xlfn.XLOOKUP(B469,'Employee Master'!$A$2:$A$500,'Employee Master'!$B$2:$B$500,""),"")</f>
        <v/>
      </c>
      <c r="D469" s="31" t="str">
        <f t="array" ref="D469">IFERROR(_xlfn.XLOOKUP(B469,'Employee Master'!$A$2:$A$500,'Employee Master'!$C$2:$C$500,""),"")</f>
        <v/>
      </c>
      <c r="E469" s="31" t="str">
        <f t="array" ref="E469">IFERROR(_xlfn.XLOOKUP(B469,'Employee Master'!$A$2:$A$500,'Employee Master'!$E$2:$E$500,""),"")</f>
        <v/>
      </c>
      <c r="F469" s="31"/>
      <c r="G469" s="39"/>
      <c r="H469" s="31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5"/>
      <c r="B470" s="31"/>
      <c r="C470" s="31" t="str">
        <f t="array" ref="C470">IFERROR(_xlfn.XLOOKUP(B470,'Employee Master'!$A$2:$A$500,'Employee Master'!$B$2:$B$500,""),"")</f>
        <v/>
      </c>
      <c r="D470" s="31" t="str">
        <f t="array" ref="D470">IFERROR(_xlfn.XLOOKUP(B470,'Employee Master'!$A$2:$A$500,'Employee Master'!$C$2:$C$500,""),"")</f>
        <v/>
      </c>
      <c r="E470" s="31" t="str">
        <f t="array" ref="E470">IFERROR(_xlfn.XLOOKUP(B470,'Employee Master'!$A$2:$A$500,'Employee Master'!$E$2:$E$500,""),"")</f>
        <v/>
      </c>
      <c r="F470" s="31"/>
      <c r="G470" s="39"/>
      <c r="H470" s="31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5"/>
      <c r="B471" s="31"/>
      <c r="C471" s="31" t="str">
        <f t="array" ref="C471">IFERROR(_xlfn.XLOOKUP(B471,'Employee Master'!$A$2:$A$500,'Employee Master'!$B$2:$B$500,""),"")</f>
        <v/>
      </c>
      <c r="D471" s="31" t="str">
        <f t="array" ref="D471">IFERROR(_xlfn.XLOOKUP(B471,'Employee Master'!$A$2:$A$500,'Employee Master'!$C$2:$C$500,""),"")</f>
        <v/>
      </c>
      <c r="E471" s="31" t="str">
        <f t="array" ref="E471">IFERROR(_xlfn.XLOOKUP(B471,'Employee Master'!$A$2:$A$500,'Employee Master'!$E$2:$E$500,""),"")</f>
        <v/>
      </c>
      <c r="F471" s="31"/>
      <c r="G471" s="39"/>
      <c r="H471" s="31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5"/>
      <c r="B472" s="31"/>
      <c r="C472" s="31" t="str">
        <f t="array" ref="C472">IFERROR(_xlfn.XLOOKUP(B472,'Employee Master'!$A$2:$A$500,'Employee Master'!$B$2:$B$500,""),"")</f>
        <v/>
      </c>
      <c r="D472" s="31" t="str">
        <f t="array" ref="D472">IFERROR(_xlfn.XLOOKUP(B472,'Employee Master'!$A$2:$A$500,'Employee Master'!$C$2:$C$500,""),"")</f>
        <v/>
      </c>
      <c r="E472" s="31" t="str">
        <f t="array" ref="E472">IFERROR(_xlfn.XLOOKUP(B472,'Employee Master'!$A$2:$A$500,'Employee Master'!$E$2:$E$500,""),"")</f>
        <v/>
      </c>
      <c r="F472" s="31"/>
      <c r="G472" s="39"/>
      <c r="H472" s="31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5"/>
      <c r="B473" s="31"/>
      <c r="C473" s="31" t="str">
        <f t="array" ref="C473">IFERROR(_xlfn.XLOOKUP(B473,'Employee Master'!$A$2:$A$500,'Employee Master'!$B$2:$B$500,""),"")</f>
        <v/>
      </c>
      <c r="D473" s="31" t="str">
        <f t="array" ref="D473">IFERROR(_xlfn.XLOOKUP(B473,'Employee Master'!$A$2:$A$500,'Employee Master'!$C$2:$C$500,""),"")</f>
        <v/>
      </c>
      <c r="E473" s="31" t="str">
        <f t="array" ref="E473">IFERROR(_xlfn.XLOOKUP(B473,'Employee Master'!$A$2:$A$500,'Employee Master'!$E$2:$E$500,""),"")</f>
        <v/>
      </c>
      <c r="F473" s="31"/>
      <c r="G473" s="39"/>
      <c r="H473" s="31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5"/>
      <c r="B474" s="31"/>
      <c r="C474" s="31" t="str">
        <f t="array" ref="C474">IFERROR(_xlfn.XLOOKUP(B474,'Employee Master'!$A$2:$A$500,'Employee Master'!$B$2:$B$500,""),"")</f>
        <v/>
      </c>
      <c r="D474" s="31" t="str">
        <f t="array" ref="D474">IFERROR(_xlfn.XLOOKUP(B474,'Employee Master'!$A$2:$A$500,'Employee Master'!$C$2:$C$500,""),"")</f>
        <v/>
      </c>
      <c r="E474" s="31" t="str">
        <f t="array" ref="E474">IFERROR(_xlfn.XLOOKUP(B474,'Employee Master'!$A$2:$A$500,'Employee Master'!$E$2:$E$500,""),"")</f>
        <v/>
      </c>
      <c r="F474" s="31"/>
      <c r="G474" s="39"/>
      <c r="H474" s="31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5"/>
      <c r="B475" s="31"/>
      <c r="C475" s="31" t="str">
        <f t="array" ref="C475">IFERROR(_xlfn.XLOOKUP(B475,'Employee Master'!$A$2:$A$500,'Employee Master'!$B$2:$B$500,""),"")</f>
        <v/>
      </c>
      <c r="D475" s="31" t="str">
        <f t="array" ref="D475">IFERROR(_xlfn.XLOOKUP(B475,'Employee Master'!$A$2:$A$500,'Employee Master'!$C$2:$C$500,""),"")</f>
        <v/>
      </c>
      <c r="E475" s="31" t="str">
        <f t="array" ref="E475">IFERROR(_xlfn.XLOOKUP(B475,'Employee Master'!$A$2:$A$500,'Employee Master'!$E$2:$E$500,""),"")</f>
        <v/>
      </c>
      <c r="F475" s="31"/>
      <c r="G475" s="39"/>
      <c r="H475" s="31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5"/>
      <c r="B476" s="31"/>
      <c r="C476" s="31" t="str">
        <f t="array" ref="C476">IFERROR(_xlfn.XLOOKUP(B476,'Employee Master'!$A$2:$A$500,'Employee Master'!$B$2:$B$500,""),"")</f>
        <v/>
      </c>
      <c r="D476" s="31" t="str">
        <f t="array" ref="D476">IFERROR(_xlfn.XLOOKUP(B476,'Employee Master'!$A$2:$A$500,'Employee Master'!$C$2:$C$500,""),"")</f>
        <v/>
      </c>
      <c r="E476" s="31" t="str">
        <f t="array" ref="E476">IFERROR(_xlfn.XLOOKUP(B476,'Employee Master'!$A$2:$A$500,'Employee Master'!$E$2:$E$500,""),"")</f>
        <v/>
      </c>
      <c r="F476" s="31"/>
      <c r="G476" s="39"/>
      <c r="H476" s="31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5"/>
      <c r="B477" s="31"/>
      <c r="C477" s="31" t="str">
        <f t="array" ref="C477">IFERROR(_xlfn.XLOOKUP(B477,'Employee Master'!$A$2:$A$500,'Employee Master'!$B$2:$B$500,""),"")</f>
        <v/>
      </c>
      <c r="D477" s="31" t="str">
        <f t="array" ref="D477">IFERROR(_xlfn.XLOOKUP(B477,'Employee Master'!$A$2:$A$500,'Employee Master'!$C$2:$C$500,""),"")</f>
        <v/>
      </c>
      <c r="E477" s="31" t="str">
        <f t="array" ref="E477">IFERROR(_xlfn.XLOOKUP(B477,'Employee Master'!$A$2:$A$500,'Employee Master'!$E$2:$E$500,""),"")</f>
        <v/>
      </c>
      <c r="F477" s="31"/>
      <c r="G477" s="39"/>
      <c r="H477" s="31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5"/>
      <c r="B478" s="31"/>
      <c r="C478" s="31" t="str">
        <f t="array" ref="C478">IFERROR(_xlfn.XLOOKUP(B478,'Employee Master'!$A$2:$A$500,'Employee Master'!$B$2:$B$500,""),"")</f>
        <v/>
      </c>
      <c r="D478" s="31" t="str">
        <f t="array" ref="D478">IFERROR(_xlfn.XLOOKUP(B478,'Employee Master'!$A$2:$A$500,'Employee Master'!$C$2:$C$500,""),"")</f>
        <v/>
      </c>
      <c r="E478" s="31" t="str">
        <f t="array" ref="E478">IFERROR(_xlfn.XLOOKUP(B478,'Employee Master'!$A$2:$A$500,'Employee Master'!$E$2:$E$500,""),"")</f>
        <v/>
      </c>
      <c r="F478" s="31"/>
      <c r="G478" s="39"/>
      <c r="H478" s="31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5"/>
      <c r="B479" s="31"/>
      <c r="C479" s="31" t="str">
        <f t="array" ref="C479">IFERROR(_xlfn.XLOOKUP(B479,'Employee Master'!$A$2:$A$500,'Employee Master'!$B$2:$B$500,""),"")</f>
        <v/>
      </c>
      <c r="D479" s="31" t="str">
        <f t="array" ref="D479">IFERROR(_xlfn.XLOOKUP(B479,'Employee Master'!$A$2:$A$500,'Employee Master'!$C$2:$C$500,""),"")</f>
        <v/>
      </c>
      <c r="E479" s="31" t="str">
        <f t="array" ref="E479">IFERROR(_xlfn.XLOOKUP(B479,'Employee Master'!$A$2:$A$500,'Employee Master'!$E$2:$E$500,""),"")</f>
        <v/>
      </c>
      <c r="F479" s="31"/>
      <c r="G479" s="39"/>
      <c r="H479" s="31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5"/>
      <c r="B480" s="31"/>
      <c r="C480" s="31" t="str">
        <f t="array" ref="C480">IFERROR(_xlfn.XLOOKUP(B480,'Employee Master'!$A$2:$A$500,'Employee Master'!$B$2:$B$500,""),"")</f>
        <v/>
      </c>
      <c r="D480" s="31" t="str">
        <f t="array" ref="D480">IFERROR(_xlfn.XLOOKUP(B480,'Employee Master'!$A$2:$A$500,'Employee Master'!$C$2:$C$500,""),"")</f>
        <v/>
      </c>
      <c r="E480" s="31" t="str">
        <f t="array" ref="E480">IFERROR(_xlfn.XLOOKUP(B480,'Employee Master'!$A$2:$A$500,'Employee Master'!$E$2:$E$500,""),"")</f>
        <v/>
      </c>
      <c r="F480" s="31"/>
      <c r="G480" s="39"/>
      <c r="H480" s="31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5"/>
      <c r="B481" s="31"/>
      <c r="C481" s="31" t="str">
        <f t="array" ref="C481">IFERROR(_xlfn.XLOOKUP(B481,'Employee Master'!$A$2:$A$500,'Employee Master'!$B$2:$B$500,""),"")</f>
        <v/>
      </c>
      <c r="D481" s="31" t="str">
        <f t="array" ref="D481">IFERROR(_xlfn.XLOOKUP(B481,'Employee Master'!$A$2:$A$500,'Employee Master'!$C$2:$C$500,""),"")</f>
        <v/>
      </c>
      <c r="E481" s="31" t="str">
        <f t="array" ref="E481">IFERROR(_xlfn.XLOOKUP(B481,'Employee Master'!$A$2:$A$500,'Employee Master'!$E$2:$E$500,""),"")</f>
        <v/>
      </c>
      <c r="F481" s="31"/>
      <c r="G481" s="39"/>
      <c r="H481" s="31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5"/>
      <c r="B482" s="31"/>
      <c r="C482" s="31" t="str">
        <f t="array" ref="C482">IFERROR(_xlfn.XLOOKUP(B482,'Employee Master'!$A$2:$A$500,'Employee Master'!$B$2:$B$500,""),"")</f>
        <v/>
      </c>
      <c r="D482" s="31" t="str">
        <f t="array" ref="D482">IFERROR(_xlfn.XLOOKUP(B482,'Employee Master'!$A$2:$A$500,'Employee Master'!$C$2:$C$500,""),"")</f>
        <v/>
      </c>
      <c r="E482" s="31" t="str">
        <f t="array" ref="E482">IFERROR(_xlfn.XLOOKUP(B482,'Employee Master'!$A$2:$A$500,'Employee Master'!$E$2:$E$500,""),"")</f>
        <v/>
      </c>
      <c r="F482" s="31"/>
      <c r="G482" s="39"/>
      <c r="H482" s="31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5"/>
      <c r="B483" s="31"/>
      <c r="C483" s="31" t="str">
        <f t="array" ref="C483">IFERROR(_xlfn.XLOOKUP(B483,'Employee Master'!$A$2:$A$500,'Employee Master'!$B$2:$B$500,""),"")</f>
        <v/>
      </c>
      <c r="D483" s="31" t="str">
        <f t="array" ref="D483">IFERROR(_xlfn.XLOOKUP(B483,'Employee Master'!$A$2:$A$500,'Employee Master'!$C$2:$C$500,""),"")</f>
        <v/>
      </c>
      <c r="E483" s="31" t="str">
        <f t="array" ref="E483">IFERROR(_xlfn.XLOOKUP(B483,'Employee Master'!$A$2:$A$500,'Employee Master'!$E$2:$E$500,""),"")</f>
        <v/>
      </c>
      <c r="F483" s="31"/>
      <c r="G483" s="39"/>
      <c r="H483" s="31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5"/>
      <c r="B484" s="31"/>
      <c r="C484" s="31" t="str">
        <f t="array" ref="C484">IFERROR(_xlfn.XLOOKUP(B484,'Employee Master'!$A$2:$A$500,'Employee Master'!$B$2:$B$500,""),"")</f>
        <v/>
      </c>
      <c r="D484" s="31" t="str">
        <f t="array" ref="D484">IFERROR(_xlfn.XLOOKUP(B484,'Employee Master'!$A$2:$A$500,'Employee Master'!$C$2:$C$500,""),"")</f>
        <v/>
      </c>
      <c r="E484" s="31" t="str">
        <f t="array" ref="E484">IFERROR(_xlfn.XLOOKUP(B484,'Employee Master'!$A$2:$A$500,'Employee Master'!$E$2:$E$500,""),"")</f>
        <v/>
      </c>
      <c r="F484" s="31"/>
      <c r="G484" s="39"/>
      <c r="H484" s="31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5"/>
      <c r="B485" s="31"/>
      <c r="C485" s="31" t="str">
        <f t="array" ref="C485">IFERROR(_xlfn.XLOOKUP(B485,'Employee Master'!$A$2:$A$500,'Employee Master'!$B$2:$B$500,""),"")</f>
        <v/>
      </c>
      <c r="D485" s="31" t="str">
        <f t="array" ref="D485">IFERROR(_xlfn.XLOOKUP(B485,'Employee Master'!$A$2:$A$500,'Employee Master'!$C$2:$C$500,""),"")</f>
        <v/>
      </c>
      <c r="E485" s="31" t="str">
        <f t="array" ref="E485">IFERROR(_xlfn.XLOOKUP(B485,'Employee Master'!$A$2:$A$500,'Employee Master'!$E$2:$E$500,""),"")</f>
        <v/>
      </c>
      <c r="F485" s="31"/>
      <c r="G485" s="39"/>
      <c r="H485" s="31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5"/>
      <c r="B486" s="31"/>
      <c r="C486" s="31" t="str">
        <f t="array" ref="C486">IFERROR(_xlfn.XLOOKUP(B486,'Employee Master'!$A$2:$A$500,'Employee Master'!$B$2:$B$500,""),"")</f>
        <v/>
      </c>
      <c r="D486" s="31" t="str">
        <f t="array" ref="D486">IFERROR(_xlfn.XLOOKUP(B486,'Employee Master'!$A$2:$A$500,'Employee Master'!$C$2:$C$500,""),"")</f>
        <v/>
      </c>
      <c r="E486" s="31" t="str">
        <f t="array" ref="E486">IFERROR(_xlfn.XLOOKUP(B486,'Employee Master'!$A$2:$A$500,'Employee Master'!$E$2:$E$500,""),"")</f>
        <v/>
      </c>
      <c r="F486" s="31"/>
      <c r="G486" s="39"/>
      <c r="H486" s="31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5"/>
      <c r="B487" s="31"/>
      <c r="C487" s="31" t="str">
        <f t="array" ref="C487">IFERROR(_xlfn.XLOOKUP(B487,'Employee Master'!$A$2:$A$500,'Employee Master'!$B$2:$B$500,""),"")</f>
        <v/>
      </c>
      <c r="D487" s="31" t="str">
        <f t="array" ref="D487">IFERROR(_xlfn.XLOOKUP(B487,'Employee Master'!$A$2:$A$500,'Employee Master'!$C$2:$C$500,""),"")</f>
        <v/>
      </c>
      <c r="E487" s="31" t="str">
        <f t="array" ref="E487">IFERROR(_xlfn.XLOOKUP(B487,'Employee Master'!$A$2:$A$500,'Employee Master'!$E$2:$E$500,""),"")</f>
        <v/>
      </c>
      <c r="F487" s="31"/>
      <c r="G487" s="39"/>
      <c r="H487" s="31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5"/>
      <c r="B488" s="31"/>
      <c r="C488" s="31" t="str">
        <f t="array" ref="C488">IFERROR(_xlfn.XLOOKUP(B488,'Employee Master'!$A$2:$A$500,'Employee Master'!$B$2:$B$500,""),"")</f>
        <v/>
      </c>
      <c r="D488" s="31" t="str">
        <f t="array" ref="D488">IFERROR(_xlfn.XLOOKUP(B488,'Employee Master'!$A$2:$A$500,'Employee Master'!$C$2:$C$500,""),"")</f>
        <v/>
      </c>
      <c r="E488" s="31" t="str">
        <f t="array" ref="E488">IFERROR(_xlfn.XLOOKUP(B488,'Employee Master'!$A$2:$A$500,'Employee Master'!$E$2:$E$500,""),"")</f>
        <v/>
      </c>
      <c r="F488" s="31"/>
      <c r="G488" s="39"/>
      <c r="H488" s="31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5"/>
      <c r="B489" s="31"/>
      <c r="C489" s="31" t="str">
        <f t="array" ref="C489">IFERROR(_xlfn.XLOOKUP(B489,'Employee Master'!$A$2:$A$500,'Employee Master'!$B$2:$B$500,""),"")</f>
        <v/>
      </c>
      <c r="D489" s="31" t="str">
        <f t="array" ref="D489">IFERROR(_xlfn.XLOOKUP(B489,'Employee Master'!$A$2:$A$500,'Employee Master'!$C$2:$C$500,""),"")</f>
        <v/>
      </c>
      <c r="E489" s="31" t="str">
        <f t="array" ref="E489">IFERROR(_xlfn.XLOOKUP(B489,'Employee Master'!$A$2:$A$500,'Employee Master'!$E$2:$E$500,""),"")</f>
        <v/>
      </c>
      <c r="F489" s="31"/>
      <c r="G489" s="39"/>
      <c r="H489" s="31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5"/>
      <c r="B490" s="31"/>
      <c r="C490" s="31" t="str">
        <f t="array" ref="C490">IFERROR(_xlfn.XLOOKUP(B490,'Employee Master'!$A$2:$A$500,'Employee Master'!$B$2:$B$500,""),"")</f>
        <v/>
      </c>
      <c r="D490" s="31" t="str">
        <f t="array" ref="D490">IFERROR(_xlfn.XLOOKUP(B490,'Employee Master'!$A$2:$A$500,'Employee Master'!$C$2:$C$500,""),"")</f>
        <v/>
      </c>
      <c r="E490" s="31" t="str">
        <f t="array" ref="E490">IFERROR(_xlfn.XLOOKUP(B490,'Employee Master'!$A$2:$A$500,'Employee Master'!$E$2:$E$500,""),"")</f>
        <v/>
      </c>
      <c r="F490" s="31"/>
      <c r="G490" s="39"/>
      <c r="H490" s="31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5"/>
      <c r="B491" s="31"/>
      <c r="C491" s="31" t="str">
        <f t="array" ref="C491">IFERROR(_xlfn.XLOOKUP(B491,'Employee Master'!$A$2:$A$500,'Employee Master'!$B$2:$B$500,""),"")</f>
        <v/>
      </c>
      <c r="D491" s="31" t="str">
        <f t="array" ref="D491">IFERROR(_xlfn.XLOOKUP(B491,'Employee Master'!$A$2:$A$500,'Employee Master'!$C$2:$C$500,""),"")</f>
        <v/>
      </c>
      <c r="E491" s="31" t="str">
        <f t="array" ref="E491">IFERROR(_xlfn.XLOOKUP(B491,'Employee Master'!$A$2:$A$500,'Employee Master'!$E$2:$E$500,""),"")</f>
        <v/>
      </c>
      <c r="F491" s="31"/>
      <c r="G491" s="39"/>
      <c r="H491" s="31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5"/>
      <c r="B492" s="31"/>
      <c r="C492" s="31" t="str">
        <f t="array" ref="C492">IFERROR(_xlfn.XLOOKUP(B492,'Employee Master'!$A$2:$A$500,'Employee Master'!$B$2:$B$500,""),"")</f>
        <v/>
      </c>
      <c r="D492" s="31" t="str">
        <f t="array" ref="D492">IFERROR(_xlfn.XLOOKUP(B492,'Employee Master'!$A$2:$A$500,'Employee Master'!$C$2:$C$500,""),"")</f>
        <v/>
      </c>
      <c r="E492" s="31" t="str">
        <f t="array" ref="E492">IFERROR(_xlfn.XLOOKUP(B492,'Employee Master'!$A$2:$A$500,'Employee Master'!$E$2:$E$500,""),"")</f>
        <v/>
      </c>
      <c r="F492" s="31"/>
      <c r="G492" s="39"/>
      <c r="H492" s="31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5"/>
      <c r="B493" s="31"/>
      <c r="C493" s="31" t="str">
        <f t="array" ref="C493">IFERROR(_xlfn.XLOOKUP(B493,'Employee Master'!$A$2:$A$500,'Employee Master'!$B$2:$B$500,""),"")</f>
        <v/>
      </c>
      <c r="D493" s="31" t="str">
        <f t="array" ref="D493">IFERROR(_xlfn.XLOOKUP(B493,'Employee Master'!$A$2:$A$500,'Employee Master'!$C$2:$C$500,""),"")</f>
        <v/>
      </c>
      <c r="E493" s="31" t="str">
        <f t="array" ref="E493">IFERROR(_xlfn.XLOOKUP(B493,'Employee Master'!$A$2:$A$500,'Employee Master'!$E$2:$E$500,""),"")</f>
        <v/>
      </c>
      <c r="F493" s="31"/>
      <c r="G493" s="39"/>
      <c r="H493" s="31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5"/>
      <c r="B494" s="31"/>
      <c r="C494" s="31" t="str">
        <f t="array" ref="C494">IFERROR(_xlfn.XLOOKUP(B494,'Employee Master'!$A$2:$A$500,'Employee Master'!$B$2:$B$500,""),"")</f>
        <v/>
      </c>
      <c r="D494" s="31" t="str">
        <f t="array" ref="D494">IFERROR(_xlfn.XLOOKUP(B494,'Employee Master'!$A$2:$A$500,'Employee Master'!$C$2:$C$500,""),"")</f>
        <v/>
      </c>
      <c r="E494" s="31" t="str">
        <f t="array" ref="E494">IFERROR(_xlfn.XLOOKUP(B494,'Employee Master'!$A$2:$A$500,'Employee Master'!$E$2:$E$500,""),"")</f>
        <v/>
      </c>
      <c r="F494" s="31"/>
      <c r="G494" s="39"/>
      <c r="H494" s="31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5"/>
      <c r="B495" s="31"/>
      <c r="C495" s="31" t="str">
        <f t="array" ref="C495">IFERROR(_xlfn.XLOOKUP(B495,'Employee Master'!$A$2:$A$500,'Employee Master'!$B$2:$B$500,""),"")</f>
        <v/>
      </c>
      <c r="D495" s="31" t="str">
        <f t="array" ref="D495">IFERROR(_xlfn.XLOOKUP(B495,'Employee Master'!$A$2:$A$500,'Employee Master'!$C$2:$C$500,""),"")</f>
        <v/>
      </c>
      <c r="E495" s="31" t="str">
        <f t="array" ref="E495">IFERROR(_xlfn.XLOOKUP(B495,'Employee Master'!$A$2:$A$500,'Employee Master'!$E$2:$E$500,""),"")</f>
        <v/>
      </c>
      <c r="F495" s="31"/>
      <c r="G495" s="39"/>
      <c r="H495" s="31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5"/>
      <c r="B496" s="31"/>
      <c r="C496" s="31" t="str">
        <f t="array" ref="C496">IFERROR(_xlfn.XLOOKUP(B496,'Employee Master'!$A$2:$A$500,'Employee Master'!$B$2:$B$500,""),"")</f>
        <v/>
      </c>
      <c r="D496" s="31" t="str">
        <f t="array" ref="D496">IFERROR(_xlfn.XLOOKUP(B496,'Employee Master'!$A$2:$A$500,'Employee Master'!$C$2:$C$500,""),"")</f>
        <v/>
      </c>
      <c r="E496" s="31" t="str">
        <f t="array" ref="E496">IFERROR(_xlfn.XLOOKUP(B496,'Employee Master'!$A$2:$A$500,'Employee Master'!$E$2:$E$500,""),"")</f>
        <v/>
      </c>
      <c r="F496" s="31"/>
      <c r="G496" s="39"/>
      <c r="H496" s="31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5"/>
      <c r="B497" s="31"/>
      <c r="C497" s="31" t="str">
        <f t="array" ref="C497">IFERROR(_xlfn.XLOOKUP(B497,'Employee Master'!$A$2:$A$500,'Employee Master'!$B$2:$B$500,""),"")</f>
        <v/>
      </c>
      <c r="D497" s="31" t="str">
        <f t="array" ref="D497">IFERROR(_xlfn.XLOOKUP(B497,'Employee Master'!$A$2:$A$500,'Employee Master'!$C$2:$C$500,""),"")</f>
        <v/>
      </c>
      <c r="E497" s="31" t="str">
        <f t="array" ref="E497">IFERROR(_xlfn.XLOOKUP(B497,'Employee Master'!$A$2:$A$500,'Employee Master'!$E$2:$E$500,""),"")</f>
        <v/>
      </c>
      <c r="F497" s="31"/>
      <c r="G497" s="39"/>
      <c r="H497" s="31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5"/>
      <c r="B498" s="31"/>
      <c r="C498" s="31" t="str">
        <f t="array" ref="C498">IFERROR(_xlfn.XLOOKUP(B498,'Employee Master'!$A$2:$A$500,'Employee Master'!$B$2:$B$500,""),"")</f>
        <v/>
      </c>
      <c r="D498" s="31" t="str">
        <f t="array" ref="D498">IFERROR(_xlfn.XLOOKUP(B498,'Employee Master'!$A$2:$A$500,'Employee Master'!$C$2:$C$500,""),"")</f>
        <v/>
      </c>
      <c r="E498" s="31" t="str">
        <f t="array" ref="E498">IFERROR(_xlfn.XLOOKUP(B498,'Employee Master'!$A$2:$A$500,'Employee Master'!$E$2:$E$500,""),"")</f>
        <v/>
      </c>
      <c r="F498" s="31"/>
      <c r="G498" s="39"/>
      <c r="H498" s="31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5"/>
      <c r="B499" s="31"/>
      <c r="C499" s="31" t="str">
        <f t="array" ref="C499">IFERROR(_xlfn.XLOOKUP(B499,'Employee Master'!$A$2:$A$500,'Employee Master'!$B$2:$B$500,""),"")</f>
        <v/>
      </c>
      <c r="D499" s="31" t="str">
        <f t="array" ref="D499">IFERROR(_xlfn.XLOOKUP(B499,'Employee Master'!$A$2:$A$500,'Employee Master'!$C$2:$C$500,""),"")</f>
        <v/>
      </c>
      <c r="E499" s="31" t="str">
        <f t="array" ref="E499">IFERROR(_xlfn.XLOOKUP(B499,'Employee Master'!$A$2:$A$500,'Employee Master'!$E$2:$E$500,""),"")</f>
        <v/>
      </c>
      <c r="F499" s="31"/>
      <c r="G499" s="39"/>
      <c r="H499" s="31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5"/>
      <c r="B500" s="31"/>
      <c r="C500" s="31" t="str">
        <f t="array" ref="C500">IFERROR(_xlfn.XLOOKUP(B500,'Employee Master'!$A$2:$A$500,'Employee Master'!$B$2:$B$500,""),"")</f>
        <v/>
      </c>
      <c r="D500" s="31" t="str">
        <f t="array" ref="D500">IFERROR(_xlfn.XLOOKUP(B500,'Employee Master'!$A$2:$A$500,'Employee Master'!$C$2:$C$500,""),"")</f>
        <v/>
      </c>
      <c r="E500" s="31" t="str">
        <f t="array" ref="E500">IFERROR(_xlfn.XLOOKUP(B500,'Employee Master'!$A$2:$A$500,'Employee Master'!$E$2:$E$500,""),"")</f>
        <v/>
      </c>
      <c r="F500" s="31"/>
      <c r="G500" s="39"/>
      <c r="H500" s="31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5"/>
      <c r="B501" s="31"/>
      <c r="C501" s="31" t="str">
        <f t="array" ref="C501">IFERROR(_xlfn.XLOOKUP(B501,'Employee Master'!$A$2:$A$500,'Employee Master'!$B$2:$B$500,""),"")</f>
        <v/>
      </c>
      <c r="D501" s="31" t="str">
        <f t="array" ref="D501">IFERROR(_xlfn.XLOOKUP(B501,'Employee Master'!$A$2:$A$500,'Employee Master'!$C$2:$C$500,""),"")</f>
        <v/>
      </c>
      <c r="E501" s="31" t="str">
        <f t="array" ref="E501">IFERROR(_xlfn.XLOOKUP(B501,'Employee Master'!$A$2:$A$500,'Employee Master'!$E$2:$E$500,""),"")</f>
        <v/>
      </c>
      <c r="F501" s="31"/>
      <c r="G501" s="39"/>
      <c r="H501" s="31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5"/>
      <c r="B502" s="31"/>
      <c r="C502" s="31" t="str">
        <f t="array" ref="C502">IFERROR(_xlfn.XLOOKUP(B502,'Employee Master'!$A$2:$A$500,'Employee Master'!$B$2:$B$500,""),"")</f>
        <v/>
      </c>
      <c r="D502" s="31" t="str">
        <f t="array" ref="D502">IFERROR(_xlfn.XLOOKUP(B502,'Employee Master'!$A$2:$A$500,'Employee Master'!$C$2:$C$500,""),"")</f>
        <v/>
      </c>
      <c r="E502" s="31" t="str">
        <f t="array" ref="E502">IFERROR(_xlfn.XLOOKUP(B502,'Employee Master'!$A$2:$A$500,'Employee Master'!$E$2:$E$500,""),"")</f>
        <v/>
      </c>
      <c r="F502" s="31"/>
      <c r="G502" s="39"/>
      <c r="H502" s="31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5"/>
      <c r="B503" s="31"/>
      <c r="C503" s="31" t="str">
        <f t="array" ref="C503">IFERROR(_xlfn.XLOOKUP(B503,'Employee Master'!$A$2:$A$500,'Employee Master'!$B$2:$B$500,""),"")</f>
        <v/>
      </c>
      <c r="D503" s="31" t="str">
        <f t="array" ref="D503">IFERROR(_xlfn.XLOOKUP(B503,'Employee Master'!$A$2:$A$500,'Employee Master'!$C$2:$C$500,""),"")</f>
        <v/>
      </c>
      <c r="E503" s="31" t="str">
        <f t="array" ref="E503">IFERROR(_xlfn.XLOOKUP(B503,'Employee Master'!$A$2:$A$500,'Employee Master'!$E$2:$E$500,""),"")</f>
        <v/>
      </c>
      <c r="F503" s="31"/>
      <c r="G503" s="39"/>
      <c r="H503" s="31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5"/>
      <c r="B504" s="31"/>
      <c r="C504" s="31" t="str">
        <f t="array" ref="C504">IFERROR(_xlfn.XLOOKUP(B504,'Employee Master'!$A$2:$A$500,'Employee Master'!$B$2:$B$500,""),"")</f>
        <v/>
      </c>
      <c r="D504" s="31" t="str">
        <f t="array" ref="D504">IFERROR(_xlfn.XLOOKUP(B504,'Employee Master'!$A$2:$A$500,'Employee Master'!$C$2:$C$500,""),"")</f>
        <v/>
      </c>
      <c r="E504" s="31" t="str">
        <f t="array" ref="E504">IFERROR(_xlfn.XLOOKUP(B504,'Employee Master'!$A$2:$A$500,'Employee Master'!$E$2:$E$500,""),"")</f>
        <v/>
      </c>
      <c r="F504" s="31"/>
      <c r="G504" s="39"/>
      <c r="H504" s="31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5.75" customHeight="1">
      <c r="A1002" s="26" t="s">
        <v>138</v>
      </c>
      <c r="B1002" s="34" t="s">
        <v>139</v>
      </c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</row>
    <row r="1004" ht="15.75" customHeight="1">
      <c r="A1004" s="64" t="s">
        <v>66</v>
      </c>
      <c r="B1004" s="34" t="s">
        <v>140</v>
      </c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</row>
  </sheetData>
  <customSheetViews>
    <customSheetView guid="{25F0A510-0965-4D3A-ADB4-233B268CE61B}" filter="1" showAutoFilter="1">
      <autoFilter ref="$A$4:$H$504"/>
      <extLst>
        <ext uri="GoogleSheetsCustomDataVersion1">
          <go:sheetsCustomData xmlns:go="http://customooxmlschemas.google.com/" filterViewId="1763527133"/>
        </ext>
      </extLst>
    </customSheetView>
  </customSheetViews>
  <mergeCells count="4">
    <mergeCell ref="A1:H1"/>
    <mergeCell ref="A2:H2"/>
    <mergeCell ref="J4:Q4"/>
    <mergeCell ref="J17:U18"/>
  </mergeCells>
  <conditionalFormatting sqref="F5:F504">
    <cfRule type="expression" dxfId="6" priority="1">
      <formula>F5="P"</formula>
    </cfRule>
  </conditionalFormatting>
  <conditionalFormatting sqref="F5:F504">
    <cfRule type="expression" dxfId="5" priority="2">
      <formula>F5="A"</formula>
    </cfRule>
  </conditionalFormatting>
  <conditionalFormatting sqref="F5:F504">
    <cfRule type="expression" dxfId="7" priority="3">
      <formula>F5="HD"</formula>
    </cfRule>
  </conditionalFormatting>
  <conditionalFormatting sqref="F5:F504">
    <cfRule type="expression" dxfId="8" priority="4">
      <formula>F5="L"</formula>
    </cfRule>
  </conditionalFormatting>
  <conditionalFormatting sqref="F5:F504">
    <cfRule type="expression" dxfId="9" priority="5">
      <formula>F5="WO"</formula>
    </cfRule>
  </conditionalFormatting>
  <dataValidations>
    <dataValidation type="list" allowBlank="1" sqref="F5:F1000">
      <formula1>"P,A,HD,L,WO"</formula1>
    </dataValidation>
    <dataValidation type="decimal" allowBlank="1" sqref="G5:G504">
      <formula1>0.0</formula1>
      <formula2>24.0</formula2>
    </dataValidation>
    <dataValidation type="list" allowBlank="1" sqref="B5:B1000">
      <formula1>'Employee Master'!$A$2:$A$100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4.0"/>
    <col customWidth="1" min="2" max="2" width="65.0"/>
    <col customWidth="1" min="3" max="3" width="55.0"/>
    <col customWidth="1" min="4" max="6" width="8.63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8</v>
      </c>
      <c r="B2" s="7" t="s">
        <v>9</v>
      </c>
      <c r="C2" s="10" t="s">
        <v>12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19</v>
      </c>
      <c r="B3" s="13" t="s">
        <v>20</v>
      </c>
      <c r="C3" s="10" t="s">
        <v>23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27</v>
      </c>
      <c r="B4" s="13" t="s">
        <v>28</v>
      </c>
      <c r="C4" s="10" t="s">
        <v>29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 t="s">
        <v>33</v>
      </c>
      <c r="B5" s="13" t="s">
        <v>28</v>
      </c>
      <c r="C5" s="10" t="s">
        <v>35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 t="s">
        <v>37</v>
      </c>
      <c r="B6" s="19">
        <v>0.5</v>
      </c>
      <c r="C6" s="10" t="s">
        <v>40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 t="s">
        <v>45</v>
      </c>
      <c r="B7" s="13" t="s">
        <v>28</v>
      </c>
      <c r="C7" s="10" t="s">
        <v>49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 t="s">
        <v>52</v>
      </c>
      <c r="B8" s="7" t="str">
        <f>B2</f>
        <v>01-Oct-2026</v>
      </c>
      <c r="C8" s="10" t="s">
        <v>57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 t="s">
        <v>60</v>
      </c>
      <c r="B9" s="7">
        <f>EOMONTH(B2,0)</f>
        <v>46326</v>
      </c>
      <c r="C9" s="10" t="s">
        <v>57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 t="s">
        <v>63</v>
      </c>
      <c r="B10" s="13">
        <f>DAY(B8)</f>
        <v>1</v>
      </c>
      <c r="C10" s="10" t="s">
        <v>57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6" t="s">
        <v>66</v>
      </c>
      <c r="B12" s="34" t="s">
        <v>68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1:D1"/>
  </mergeCells>
  <dataValidations>
    <dataValidation type="list" allowBlank="1" sqref="B3">
      <formula1>"Calendar Days,30 Days"</formula1>
    </dataValidation>
    <dataValidation type="list" allowBlank="1" sqref="B4:B5 B7">
      <formula1>"Yes,No"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3.0"/>
    <col customWidth="1" min="2" max="2" width="22.0"/>
    <col customWidth="1" min="3" max="3" width="20.0"/>
    <col customWidth="1" min="4" max="5" width="13.0"/>
    <col customWidth="1" min="6" max="6" width="12.0"/>
    <col customWidth="1" min="7" max="10" width="9.0"/>
    <col customWidth="1" min="11" max="13" width="10.0"/>
    <col customWidth="1" min="14" max="14" width="11.0"/>
    <col customWidth="1" min="15" max="15" width="12.0"/>
    <col customWidth="1" min="16" max="17" width="15.0"/>
    <col customWidth="1" min="18" max="19" width="12.0"/>
    <col customWidth="1" min="20" max="24" width="14.0"/>
    <col customWidth="1" min="25" max="30" width="8.63"/>
  </cols>
  <sheetData>
    <row r="1">
      <c r="A1" s="1" t="s">
        <v>100</v>
      </c>
      <c r="AA1" s="44" t="s">
        <v>58</v>
      </c>
      <c r="AB1" s="44"/>
      <c r="AC1" s="44"/>
      <c r="AD1" s="44"/>
    </row>
    <row r="2">
      <c r="A2" s="11" t="s">
        <v>8</v>
      </c>
      <c r="B2" s="45" t="str">
        <f>'Payroll Settings'!B2</f>
        <v>01-Oct-2026</v>
      </c>
      <c r="C2" s="3"/>
      <c r="D2" s="11" t="s">
        <v>101</v>
      </c>
      <c r="E2" s="43" t="str">
        <f>'Payroll Settings'!B8</f>
        <v>01-Oct-2026</v>
      </c>
      <c r="F2" s="43">
        <f>'Payroll Settings'!B9</f>
        <v>46326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46" t="s">
        <v>30</v>
      </c>
      <c r="B4" s="46" t="s">
        <v>38</v>
      </c>
      <c r="C4" s="46" t="s">
        <v>39</v>
      </c>
      <c r="D4" s="46" t="s">
        <v>44</v>
      </c>
      <c r="E4" s="46" t="s">
        <v>102</v>
      </c>
      <c r="F4" s="46" t="s">
        <v>93</v>
      </c>
      <c r="G4" s="46" t="s">
        <v>94</v>
      </c>
      <c r="H4" s="46" t="s">
        <v>95</v>
      </c>
      <c r="I4" s="46" t="s">
        <v>96</v>
      </c>
      <c r="J4" s="46" t="s">
        <v>97</v>
      </c>
      <c r="K4" s="46" t="s">
        <v>98</v>
      </c>
      <c r="L4" s="46" t="s">
        <v>103</v>
      </c>
      <c r="M4" s="46" t="s">
        <v>67</v>
      </c>
      <c r="N4" s="46" t="s">
        <v>104</v>
      </c>
      <c r="O4" s="46" t="s">
        <v>105</v>
      </c>
      <c r="P4" s="46" t="s">
        <v>106</v>
      </c>
      <c r="Q4" s="46" t="s">
        <v>107</v>
      </c>
      <c r="R4" s="46" t="s">
        <v>25</v>
      </c>
      <c r="S4" s="46" t="s">
        <v>108</v>
      </c>
      <c r="T4" s="46" t="s">
        <v>109</v>
      </c>
      <c r="U4" s="46" t="s">
        <v>110</v>
      </c>
      <c r="V4" s="46" t="s">
        <v>111</v>
      </c>
      <c r="W4" s="46" t="s">
        <v>112</v>
      </c>
      <c r="X4" s="46" t="s">
        <v>113</v>
      </c>
      <c r="Y4" s="3"/>
      <c r="Z4" s="3"/>
      <c r="AA4" s="47" t="s">
        <v>58</v>
      </c>
      <c r="AB4" s="47"/>
      <c r="AC4" s="47"/>
      <c r="AD4" s="47"/>
    </row>
    <row r="5">
      <c r="A5" s="10" t="s">
        <v>59</v>
      </c>
      <c r="B5" s="10" t="str">
        <f>IFERROR(VLOOKUP($A5,'Employee Master'!$A:$I,2,FALSE),"")</f>
        <v>Ravi</v>
      </c>
      <c r="C5" s="10" t="str">
        <f>IFERROR(VLOOKUP($A5,'Employee Master'!$A:$I,3,FALSE),"")</f>
        <v>Machine Operator</v>
      </c>
      <c r="D5" s="10" t="str">
        <f>IFERROR(VLOOKUP($A5,'Employee Master'!$A:$I,5,FALSE),"")</f>
        <v>Monthly</v>
      </c>
      <c r="E5" s="48">
        <f>IFERROR(VLOOKUP($A5,'Employee Master'!$A:$I,6,FALSE),0)</f>
        <v>40000</v>
      </c>
      <c r="F5" s="10">
        <f>MAX(0,'Payroll Settings'!$B$9-MAX('Payroll Settings'!$B$8,IFERROR(VLOOKUP($A5,'Employee Master'!$A:$I,4,FALSE),'Payroll Settings'!$B$8))+1)</f>
        <v>128</v>
      </c>
      <c r="G5" s="10">
        <f>COUNTIFS(Attendance!$B$5:$B$1000,$A5,Attendance!$F$5:$F$1000,"P",Attendance!$A$5:$A$1000,"&gt;="&amp;'Payroll Settings'!$B$8,Attendance!$A$5:$A$1000,"&lt;="&amp;'Payroll Settings'!$B$9)</f>
        <v>4</v>
      </c>
      <c r="H5" s="10">
        <f>COUNTIFS(Attendance!$B$5:$B$1000,$A5,Attendance!$F$5:$F$1000,"A",Attendance!$A$5:$A$1000,"&gt;="&amp;'Payroll Settings'!$B$8,Attendance!$A$5:$A$1000,"&lt;="&amp;'Payroll Settings'!$B$9)</f>
        <v>0</v>
      </c>
      <c r="I5" s="10">
        <f>COUNTIFS(Attendance!$B$5:$B$1000,$A5,Attendance!$F$5:$F$1000,"HD",Attendance!$A$5:$A$1000,"&gt;="&amp;'Payroll Settings'!$B$8,Attendance!$A$5:$A$1000,"&lt;="&amp;'Payroll Settings'!$B$9)</f>
        <v>0</v>
      </c>
      <c r="J5" s="10">
        <f>COUNTIFS(Attendance!$B$5:$B$1000,$A5,Attendance!$F$5:$F$1000,"L",Attendance!$A$5:$A$1000,"&gt;="&amp;'Payroll Settings'!$B$8,Attendance!$A$5:$A$1000,"&lt;="&amp;'Payroll Settings'!$B$9)</f>
        <v>1</v>
      </c>
      <c r="K5" s="10">
        <f>COUNTIFS(Attendance!$B$5:$B$1000,$A5,Attendance!$F$5:$F$1000,"WO",Attendance!$A$5:$A$1000,"&gt;="&amp;'Payroll Settings'!$B$8,Attendance!$A$5:$A$1000,"&lt;="&amp;'Payroll Settings'!$B$9)</f>
        <v>1</v>
      </c>
      <c r="L5" s="10">
        <f>IF(OR($A5="EMP005",$A5="EMP006"),G5,G5+I5*'Payroll Settings'!$B$6+IF('Payroll Settings'!$B$4="Yes",J5,0)+IF('Payroll Settings'!$B$5="Yes",K5,0))</f>
        <v>6</v>
      </c>
      <c r="M5" s="49">
        <f>SUMIFS(Attendance!$G$5:$G$1000,Attendance!$B$5:$B$1000,$A5,Attendance!$A$5:$A$1000,"&gt;="&amp;'Payroll Settings'!$B$8,Attendance!$A$5:$A$1000,"&lt;="&amp;'Payroll Settings'!$B$9)</f>
        <v>0</v>
      </c>
      <c r="N5" s="48">
        <f>IFERROR(VLOOKUP($A5,'Employee Master'!$A:$I,9,FALSE),0)</f>
        <v>110</v>
      </c>
      <c r="O5" s="48">
        <f>IF('Payroll Settings'!$B$7="Yes",M5*N5,0)</f>
        <v>0</v>
      </c>
      <c r="P5" s="48">
        <f>IF(OR($A5="EMP005",$A5="EMP006"),E5*G5,IF(D5="Monthly",E5/IF('Payroll Settings'!$B$3="30 Days",30,DAY('Payroll Settings'!$B$9))*L5,E5*L5))</f>
        <v>7741.935484</v>
      </c>
      <c r="Q5" s="48">
        <f t="shared" ref="Q5:Q11" si="1">P5+O5</f>
        <v>7741.935484</v>
      </c>
      <c r="R5" s="48">
        <f>SUMIFS('Expense Register'!$D:$D,'Expense Register'!$B:$B,"Advance Salary",'Expense Register'!$A:$A,"&gt;="&amp;'Payroll Settings'!$B$8,'Expense Register'!$A:$A,"&lt;="&amp;'Payroll Settings'!$B$9,'Expense Register'!$F:$F,"*"&amp;B5&amp;"*")</f>
        <v>0</v>
      </c>
      <c r="S5" s="48">
        <f>SUMIFS('Expense Register'!$D:$D,'Expense Register'!$B:$B,"Travel Expense",'Expense Register'!$A:$A,"&gt;="&amp;'Payroll Settings'!$B$8,'Expense Register'!$A:$A,"&lt;="&amp;'Payroll Settings'!$B$9,'Expense Register'!$F:$F,"*"&amp;B5&amp;"*")</f>
        <v>0</v>
      </c>
      <c r="T5" s="48">
        <f>SUM(SUMIFS('Expense Register'!$D:$D,'Expense Register'!$B:$B,"Vegetables",'Expense Register'!$A:$A,"&gt;="&amp;'Payroll Settings'!$B$8,'Expense Register'!$A:$A,"&lt;="&amp;'Payroll Settings'!$B$9,'Expense Register'!$F:$F,"*"&amp;B5&amp;"*"),SUMIFS('Expense Register'!$D:$D,'Expense Register'!$B:$B,"Grocery",'Expense Register'!$A:$A,"&gt;="&amp;'Payroll Settings'!$B$8,'Expense Register'!$A:$A,"&lt;="&amp;'Payroll Settings'!$B$9,'Expense Register'!$F:$F,"*"&amp;B5&amp;"*"))</f>
        <v>0</v>
      </c>
      <c r="U5" s="48">
        <v>0.0</v>
      </c>
      <c r="V5" s="48">
        <f t="shared" ref="V5:V11" si="2">SUM(R5:U5)</f>
        <v>0</v>
      </c>
      <c r="W5" s="48">
        <f t="shared" ref="W5:W11" si="3">Q5-V5</f>
        <v>7741.935484</v>
      </c>
      <c r="X5" s="10" t="s">
        <v>115</v>
      </c>
      <c r="Y5" s="3"/>
      <c r="Z5" s="3"/>
      <c r="AA5" s="3"/>
      <c r="AB5" s="3"/>
      <c r="AC5" s="3"/>
      <c r="AD5" s="3"/>
    </row>
    <row r="6">
      <c r="A6" s="10" t="s">
        <v>65</v>
      </c>
      <c r="B6" s="10" t="str">
        <f>IFERROR(VLOOKUP($A6,'Employee Master'!$A:$I,2,FALSE),"")</f>
        <v>Raju</v>
      </c>
      <c r="C6" s="10" t="str">
        <f>IFERROR(VLOOKUP($A6,'Employee Master'!$A:$I,3,FALSE),"")</f>
        <v>Mixer Man</v>
      </c>
      <c r="D6" s="10" t="str">
        <f>IFERROR(VLOOKUP($A6,'Employee Master'!$A:$I,5,FALSE),"")</f>
        <v>Monthly</v>
      </c>
      <c r="E6" s="48">
        <f>IFERROR(VLOOKUP($A6,'Employee Master'!$A:$I,6,FALSE),0)</f>
        <v>19000</v>
      </c>
      <c r="F6" s="10">
        <f>MAX(0,'Payroll Settings'!$B$9-MAX('Payroll Settings'!$B$8,IFERROR(VLOOKUP($A6,'Employee Master'!$A:$I,4,FALSE),'Payroll Settings'!$B$8))+1)</f>
        <v>128</v>
      </c>
      <c r="G6" s="10">
        <f>COUNTIFS(Attendance!$B$5:$B$1000,$A6,Attendance!$F$5:$F$1000,"P",Attendance!$A$5:$A$1000,"&gt;="&amp;'Payroll Settings'!$B$8,Attendance!$A$5:$A$1000,"&lt;="&amp;'Payroll Settings'!$B$9)</f>
        <v>4</v>
      </c>
      <c r="H6" s="10">
        <f>COUNTIFS(Attendance!$B$5:$B$1000,$A6,Attendance!$F$5:$F$1000,"A",Attendance!$A$5:$A$1000,"&gt;="&amp;'Payroll Settings'!$B$8,Attendance!$A$5:$A$1000,"&lt;="&amp;'Payroll Settings'!$B$9)</f>
        <v>0</v>
      </c>
      <c r="I6" s="10">
        <f>COUNTIFS(Attendance!$B$5:$B$1000,$A6,Attendance!$F$5:$F$1000,"HD",Attendance!$A$5:$A$1000,"&gt;="&amp;'Payroll Settings'!$B$8,Attendance!$A$5:$A$1000,"&lt;="&amp;'Payroll Settings'!$B$9)</f>
        <v>0</v>
      </c>
      <c r="J6" s="10">
        <f>COUNTIFS(Attendance!$B$5:$B$1000,$A6,Attendance!$F$5:$F$1000,"L",Attendance!$A$5:$A$1000,"&gt;="&amp;'Payroll Settings'!$B$8,Attendance!$A$5:$A$1000,"&lt;="&amp;'Payroll Settings'!$B$9)</f>
        <v>1</v>
      </c>
      <c r="K6" s="10">
        <f>COUNTIFS(Attendance!$B$5:$B$1000,$A6,Attendance!$F$5:$F$1000,"WO",Attendance!$A$5:$A$1000,"&gt;="&amp;'Payroll Settings'!$B$8,Attendance!$A$5:$A$1000,"&lt;="&amp;'Payroll Settings'!$B$9)</f>
        <v>1</v>
      </c>
      <c r="L6" s="10">
        <f>IF(OR($A6="EMP005",$A6="EMP006"),G6,G6+I6*'Payroll Settings'!$B$6+IF('Payroll Settings'!$B$4="Yes",J6,0)+IF('Payroll Settings'!$B$5="Yes",K6,0))</f>
        <v>6</v>
      </c>
      <c r="M6" s="49">
        <f>SUMIFS(Attendance!$G$5:$G$1000,Attendance!$B$5:$B$1000,$A6,Attendance!$A$5:$A$1000,"&gt;="&amp;'Payroll Settings'!$B$8,Attendance!$A$5:$A$1000,"&lt;="&amp;'Payroll Settings'!$B$9)</f>
        <v>0</v>
      </c>
      <c r="N6" s="48">
        <f>IFERROR(VLOOKUP($A6,'Employee Master'!$A:$I,9,FALSE),0)</f>
        <v>53</v>
      </c>
      <c r="O6" s="48">
        <f>IF('Payroll Settings'!$B$7="Yes",M6*N6,0)</f>
        <v>0</v>
      </c>
      <c r="P6" s="48">
        <f>IF(OR($A6="EMP005",$A6="EMP006"),E6*G6,IF(D6="Monthly",E6/IF('Payroll Settings'!$B$3="30 Days",30,DAY('Payroll Settings'!$B$9))*L6,E6*L6))</f>
        <v>3677.419355</v>
      </c>
      <c r="Q6" s="48">
        <f t="shared" si="1"/>
        <v>3677.419355</v>
      </c>
      <c r="R6" s="48">
        <f>SUMIFS('Expense Register'!$D:$D,'Expense Register'!$B:$B,"Advance Salary",'Expense Register'!$A:$A,"&gt;="&amp;'Payroll Settings'!$B$8,'Expense Register'!$A:$A,"&lt;="&amp;'Payroll Settings'!$B$9,'Expense Register'!$F:$F,"*"&amp;B6&amp;"*")</f>
        <v>0</v>
      </c>
      <c r="S6" s="48">
        <f>SUMIFS('Expense Register'!$D:$D,'Expense Register'!$B:$B,"Travel Expense",'Expense Register'!$A:$A,"&gt;="&amp;'Payroll Settings'!$B$8,'Expense Register'!$A:$A,"&lt;="&amp;'Payroll Settings'!$B$9,'Expense Register'!$F:$F,"*"&amp;B6&amp;"*")</f>
        <v>0</v>
      </c>
      <c r="T6" s="48">
        <f>SUM(SUMIFS('Expense Register'!$D:$D,'Expense Register'!$B:$B,"Vegetables",'Expense Register'!$A:$A,"&gt;="&amp;'Payroll Settings'!$B$8,'Expense Register'!$A:$A,"&lt;="&amp;'Payroll Settings'!$B$9,'Expense Register'!$F:$F,"*"&amp;B6&amp;"*"),SUMIFS('Expense Register'!$D:$D,'Expense Register'!$B:$B,"Grocery",'Expense Register'!$A:$A,"&gt;="&amp;'Payroll Settings'!$B$8,'Expense Register'!$A:$A,"&lt;="&amp;'Payroll Settings'!$B$9,'Expense Register'!$F:$F,"*"&amp;B6&amp;"*"))</f>
        <v>0</v>
      </c>
      <c r="U6" s="48">
        <v>0.0</v>
      </c>
      <c r="V6" s="48">
        <f t="shared" si="2"/>
        <v>0</v>
      </c>
      <c r="W6" s="48">
        <f t="shared" si="3"/>
        <v>3677.419355</v>
      </c>
      <c r="X6" s="10" t="s">
        <v>115</v>
      </c>
      <c r="Y6" s="3"/>
      <c r="Z6" s="3"/>
      <c r="AA6" s="3"/>
      <c r="AB6" s="3"/>
      <c r="AC6" s="3"/>
      <c r="AD6" s="3"/>
    </row>
    <row r="7">
      <c r="A7" s="10" t="s">
        <v>75</v>
      </c>
      <c r="B7" s="10" t="str">
        <f>IFERROR(VLOOKUP($A7,'Employee Master'!$A:$I,2,FALSE),"")</f>
        <v>Shah Jahan</v>
      </c>
      <c r="C7" s="10" t="str">
        <f>IFERROR(VLOOKUP($A7,'Employee Master'!$A:$I,3,FALSE),"")</f>
        <v>Roll Man</v>
      </c>
      <c r="D7" s="10" t="str">
        <f>IFERROR(VLOOKUP($A7,'Employee Master'!$A:$I,5,FALSE),"")</f>
        <v>Monthly</v>
      </c>
      <c r="E7" s="48">
        <f>IFERROR(VLOOKUP($A7,'Employee Master'!$A:$I,6,FALSE),0)</f>
        <v>17000</v>
      </c>
      <c r="F7" s="10">
        <f>MAX(0,'Payroll Settings'!$B$9-MAX('Payroll Settings'!$B$8,IFERROR(VLOOKUP($A7,'Employee Master'!$A:$I,4,FALSE),'Payroll Settings'!$B$8))+1)</f>
        <v>107</v>
      </c>
      <c r="G7" s="10">
        <f>COUNTIFS(Attendance!$B$5:$B$1000,$A7,Attendance!$F$5:$F$1000,"P",Attendance!$A$5:$A$1000,"&gt;="&amp;'Payroll Settings'!$B$8,Attendance!$A$5:$A$1000,"&lt;="&amp;'Payroll Settings'!$B$9)</f>
        <v>4</v>
      </c>
      <c r="H7" s="10">
        <f>COUNTIFS(Attendance!$B$5:$B$1000,$A7,Attendance!$F$5:$F$1000,"A",Attendance!$A$5:$A$1000,"&gt;="&amp;'Payroll Settings'!$B$8,Attendance!$A$5:$A$1000,"&lt;="&amp;'Payroll Settings'!$B$9)</f>
        <v>0</v>
      </c>
      <c r="I7" s="10">
        <f>COUNTIFS(Attendance!$B$5:$B$1000,$A7,Attendance!$F$5:$F$1000,"HD",Attendance!$A$5:$A$1000,"&gt;="&amp;'Payroll Settings'!$B$8,Attendance!$A$5:$A$1000,"&lt;="&amp;'Payroll Settings'!$B$9)</f>
        <v>0</v>
      </c>
      <c r="J7" s="10">
        <f>COUNTIFS(Attendance!$B$5:$B$1000,$A7,Attendance!$F$5:$F$1000,"L",Attendance!$A$5:$A$1000,"&gt;="&amp;'Payroll Settings'!$B$8,Attendance!$A$5:$A$1000,"&lt;="&amp;'Payroll Settings'!$B$9)</f>
        <v>1</v>
      </c>
      <c r="K7" s="10">
        <f>COUNTIFS(Attendance!$B$5:$B$1000,$A7,Attendance!$F$5:$F$1000,"WO",Attendance!$A$5:$A$1000,"&gt;="&amp;'Payroll Settings'!$B$8,Attendance!$A$5:$A$1000,"&lt;="&amp;'Payroll Settings'!$B$9)</f>
        <v>1</v>
      </c>
      <c r="L7" s="10">
        <f>IF(OR($A7="EMP005",$A7="EMP006"),G7,G7+I7*'Payroll Settings'!$B$6+IF('Payroll Settings'!$B$4="Yes",J7,0)+IF('Payroll Settings'!$B$5="Yes",K7,0))</f>
        <v>6</v>
      </c>
      <c r="M7" s="49">
        <f>SUMIFS(Attendance!$G$5:$G$1000,Attendance!$B$5:$B$1000,$A7,Attendance!$A$5:$A$1000,"&gt;="&amp;'Payroll Settings'!$B$8,Attendance!$A$5:$A$1000,"&lt;="&amp;'Payroll Settings'!$B$9)</f>
        <v>0</v>
      </c>
      <c r="N7" s="48">
        <f>IFERROR(VLOOKUP($A7,'Employee Master'!$A:$I,9,FALSE),0)</f>
        <v>47</v>
      </c>
      <c r="O7" s="48">
        <f>IF('Payroll Settings'!$B$7="Yes",M7*N7,0)</f>
        <v>0</v>
      </c>
      <c r="P7" s="48">
        <f>IF(OR($A7="EMP005",$A7="EMP006"),E7*G7,IF(D7="Monthly",E7/IF('Payroll Settings'!$B$3="30 Days",30,DAY('Payroll Settings'!$B$9))*L7,E7*L7))</f>
        <v>3290.322581</v>
      </c>
      <c r="Q7" s="48">
        <f t="shared" si="1"/>
        <v>3290.322581</v>
      </c>
      <c r="R7" s="48">
        <f>SUMIFS('Expense Register'!$D:$D,'Expense Register'!$B:$B,"Advance Salary",'Expense Register'!$A:$A,"&gt;="&amp;'Payroll Settings'!$B$8,'Expense Register'!$A:$A,"&lt;="&amp;'Payroll Settings'!$B$9,'Expense Register'!$F:$F,"*"&amp;B7&amp;"*")</f>
        <v>0</v>
      </c>
      <c r="S7" s="48">
        <f>SUMIFS('Expense Register'!$D:$D,'Expense Register'!$B:$B,"Travel Expense",'Expense Register'!$A:$A,"&gt;="&amp;'Payroll Settings'!$B$8,'Expense Register'!$A:$A,"&lt;="&amp;'Payroll Settings'!$B$9,'Expense Register'!$F:$F,"*"&amp;B7&amp;"*")</f>
        <v>0</v>
      </c>
      <c r="T7" s="48">
        <f>SUM(SUMIFS('Expense Register'!$D:$D,'Expense Register'!$B:$B,"Vegetables",'Expense Register'!$A:$A,"&gt;="&amp;'Payroll Settings'!$B$8,'Expense Register'!$A:$A,"&lt;="&amp;'Payroll Settings'!$B$9,'Expense Register'!$F:$F,"*"&amp;B7&amp;"*"),SUMIFS('Expense Register'!$D:$D,'Expense Register'!$B:$B,"Grocery",'Expense Register'!$A:$A,"&gt;="&amp;'Payroll Settings'!$B$8,'Expense Register'!$A:$A,"&lt;="&amp;'Payroll Settings'!$B$9,'Expense Register'!$F:$F,"*"&amp;B7&amp;"*"))</f>
        <v>0</v>
      </c>
      <c r="U7" s="48">
        <v>0.0</v>
      </c>
      <c r="V7" s="48">
        <f t="shared" si="2"/>
        <v>0</v>
      </c>
      <c r="W7" s="48">
        <f t="shared" si="3"/>
        <v>3290.322581</v>
      </c>
      <c r="X7" s="10" t="s">
        <v>115</v>
      </c>
      <c r="Y7" s="3"/>
      <c r="Z7" s="3"/>
      <c r="AA7" s="3"/>
      <c r="AB7" s="3"/>
      <c r="AC7" s="3"/>
      <c r="AD7" s="3"/>
    </row>
    <row r="8">
      <c r="A8" s="10" t="s">
        <v>78</v>
      </c>
      <c r="B8" s="10" t="str">
        <f>IFERROR(VLOOKUP($A8,'Employee Master'!$A:$I,2,FALSE),"")</f>
        <v>Shanti Devi</v>
      </c>
      <c r="C8" s="10" t="str">
        <f>IFERROR(VLOOKUP($A8,'Employee Master'!$A:$I,3,FALSE),"")</f>
        <v>Pipe Cutting</v>
      </c>
      <c r="D8" s="10" t="str">
        <f>IFERROR(VLOOKUP($A8,'Employee Master'!$A:$I,5,FALSE),"")</f>
        <v>Daily</v>
      </c>
      <c r="E8" s="48">
        <f>IFERROR(VLOOKUP($A8,'Employee Master'!$A:$I,6,FALSE),0)</f>
        <v>400</v>
      </c>
      <c r="F8" s="10">
        <f>MAX(0,'Payroll Settings'!$B$9-MAX('Payroll Settings'!$B$8,IFERROR(VLOOKUP($A8,'Employee Master'!$A:$I,4,FALSE),'Payroll Settings'!$B$8))+1)</f>
        <v>89</v>
      </c>
      <c r="G8" s="10">
        <f>COUNTIFS(Attendance!$B$5:$B$1000,$A8,Attendance!$F$5:$F$1000,"P",Attendance!$A$5:$A$1000,"&gt;="&amp;'Payroll Settings'!$B$8,Attendance!$A$5:$A$1000,"&lt;="&amp;'Payroll Settings'!$B$9)</f>
        <v>3</v>
      </c>
      <c r="H8" s="10">
        <f>COUNTIFS(Attendance!$B$5:$B$1000,$A8,Attendance!$F$5:$F$1000,"A",Attendance!$A$5:$A$1000,"&gt;="&amp;'Payroll Settings'!$B$8,Attendance!$A$5:$A$1000,"&lt;="&amp;'Payroll Settings'!$B$9)</f>
        <v>1</v>
      </c>
      <c r="I8" s="10">
        <f>COUNTIFS(Attendance!$B$5:$B$1000,$A8,Attendance!$F$5:$F$1000,"HD",Attendance!$A$5:$A$1000,"&gt;="&amp;'Payroll Settings'!$B$8,Attendance!$A$5:$A$1000,"&lt;="&amp;'Payroll Settings'!$B$9)</f>
        <v>0</v>
      </c>
      <c r="J8" s="10">
        <f>COUNTIFS(Attendance!$B$5:$B$1000,$A8,Attendance!$F$5:$F$1000,"L",Attendance!$A$5:$A$1000,"&gt;="&amp;'Payroll Settings'!$B$8,Attendance!$A$5:$A$1000,"&lt;="&amp;'Payroll Settings'!$B$9)</f>
        <v>1</v>
      </c>
      <c r="K8" s="10">
        <f>COUNTIFS(Attendance!$B$5:$B$1000,$A8,Attendance!$F$5:$F$1000,"WO",Attendance!$A$5:$A$1000,"&gt;="&amp;'Payroll Settings'!$B$8,Attendance!$A$5:$A$1000,"&lt;="&amp;'Payroll Settings'!$B$9)</f>
        <v>1</v>
      </c>
      <c r="L8" s="10">
        <f>IF(OR($A8="EMP005",$A8="EMP006"),G8,G8+I8*'Payroll Settings'!$B$6+IF('Payroll Settings'!$B$4="Yes",J8,0)+IF('Payroll Settings'!$B$5="Yes",K8,0))</f>
        <v>3</v>
      </c>
      <c r="M8" s="49">
        <f>SUMIFS(Attendance!$G$5:$G$1000,Attendance!$B$5:$B$1000,$A8,Attendance!$A$5:$A$1000,"&gt;="&amp;'Payroll Settings'!$B$8,Attendance!$A$5:$A$1000,"&lt;="&amp;'Payroll Settings'!$B$9)</f>
        <v>0</v>
      </c>
      <c r="N8" s="48">
        <f>IFERROR(VLOOKUP($A8,'Employee Master'!$A:$I,9,FALSE),0)</f>
        <v>0</v>
      </c>
      <c r="O8" s="48">
        <f>IF('Payroll Settings'!$B$7="Yes",M8*N8,0)</f>
        <v>0</v>
      </c>
      <c r="P8" s="48">
        <f>IF(OR($A8="EMP005",$A8="EMP006"),E8*G8,IF(D8="Monthly",E8/IF('Payroll Settings'!$B$3="30 Days",30,DAY('Payroll Settings'!$B$9))*L8,E8*L8))</f>
        <v>1200</v>
      </c>
      <c r="Q8" s="48">
        <f t="shared" si="1"/>
        <v>1200</v>
      </c>
      <c r="R8" s="48">
        <f>SUMIFS('Expense Register'!$D:$D,'Expense Register'!$B:$B,"Advance Salary",'Expense Register'!$A:$A,"&gt;="&amp;'Payroll Settings'!$B$8,'Expense Register'!$A:$A,"&lt;="&amp;'Payroll Settings'!$B$9,'Expense Register'!$F:$F,"*"&amp;B8&amp;"*")</f>
        <v>0</v>
      </c>
      <c r="S8" s="48">
        <f>SUMIFS('Expense Register'!$D:$D,'Expense Register'!$B:$B,"Travel Expense",'Expense Register'!$A:$A,"&gt;="&amp;'Payroll Settings'!$B$8,'Expense Register'!$A:$A,"&lt;="&amp;'Payroll Settings'!$B$9,'Expense Register'!$F:$F,"*"&amp;B8&amp;"*")</f>
        <v>0</v>
      </c>
      <c r="T8" s="48">
        <f>SUM(SUMIFS('Expense Register'!$D:$D,'Expense Register'!$B:$B,"Vegetables",'Expense Register'!$A:$A,"&gt;="&amp;'Payroll Settings'!$B$8,'Expense Register'!$A:$A,"&lt;="&amp;'Payroll Settings'!$B$9,'Expense Register'!$F:$F,"*"&amp;B8&amp;"*"),SUMIFS('Expense Register'!$D:$D,'Expense Register'!$B:$B,"Grocery",'Expense Register'!$A:$A,"&gt;="&amp;'Payroll Settings'!$B$8,'Expense Register'!$A:$A,"&lt;="&amp;'Payroll Settings'!$B$9,'Expense Register'!$F:$F,"*"&amp;B8&amp;"*"))</f>
        <v>0</v>
      </c>
      <c r="U8" s="48">
        <v>0.0</v>
      </c>
      <c r="V8" s="48">
        <f t="shared" si="2"/>
        <v>0</v>
      </c>
      <c r="W8" s="48">
        <f t="shared" si="3"/>
        <v>1200</v>
      </c>
      <c r="X8" s="10" t="s">
        <v>115</v>
      </c>
      <c r="Y8" s="3"/>
      <c r="Z8" s="3"/>
      <c r="AA8" s="3" t="s">
        <v>121</v>
      </c>
      <c r="AB8" s="3"/>
      <c r="AC8" s="3"/>
      <c r="AD8" s="3"/>
    </row>
    <row r="9">
      <c r="A9" s="10" t="s">
        <v>85</v>
      </c>
      <c r="B9" s="10" t="str">
        <f>IFERROR(VLOOKUP($A9,'Employee Master'!$A:$I,2,FALSE),"")</f>
        <v>Muttalib Ansari</v>
      </c>
      <c r="C9" s="10" t="str">
        <f>IFERROR(VLOOKUP($A9,'Employee Master'!$A:$I,3,FALSE),"")</f>
        <v>Helper</v>
      </c>
      <c r="D9" s="10" t="str">
        <f>IFERROR(VLOOKUP($A9,'Employee Master'!$A:$I,5,FALSE),"")</f>
        <v>Monthly</v>
      </c>
      <c r="E9" s="48">
        <f>IFERROR(VLOOKUP($A9,'Employee Master'!$A:$I,6,FALSE),0)</f>
        <v>17000</v>
      </c>
      <c r="F9" s="10">
        <f>MAX(0,'Payroll Settings'!$B$9-MAX('Payroll Settings'!$B$8,IFERROR(VLOOKUP($A9,'Employee Master'!$A:$I,4,FALSE),'Payroll Settings'!$B$8))+1)</f>
        <v>44</v>
      </c>
      <c r="G9" s="10">
        <f>COUNTIFS(Attendance!$B$5:$B$1000,$A9,Attendance!$F$5:$F$1000,"P",Attendance!$A$5:$A$1000,"&gt;="&amp;'Payroll Settings'!$B$8,Attendance!$A$5:$A$1000,"&lt;="&amp;'Payroll Settings'!$B$9)</f>
        <v>4</v>
      </c>
      <c r="H9" s="10">
        <f>COUNTIFS(Attendance!$B$5:$B$1000,$A9,Attendance!$F$5:$F$1000,"A",Attendance!$A$5:$A$1000,"&gt;="&amp;'Payroll Settings'!$B$8,Attendance!$A$5:$A$1000,"&lt;="&amp;'Payroll Settings'!$B$9)</f>
        <v>0</v>
      </c>
      <c r="I9" s="10">
        <f>COUNTIFS(Attendance!$B$5:$B$1000,$A9,Attendance!$F$5:$F$1000,"HD",Attendance!$A$5:$A$1000,"&gt;="&amp;'Payroll Settings'!$B$8,Attendance!$A$5:$A$1000,"&lt;="&amp;'Payroll Settings'!$B$9)</f>
        <v>0</v>
      </c>
      <c r="J9" s="10">
        <f>COUNTIFS(Attendance!$B$5:$B$1000,$A9,Attendance!$F$5:$F$1000,"L",Attendance!$A$5:$A$1000,"&gt;="&amp;'Payroll Settings'!$B$8,Attendance!$A$5:$A$1000,"&lt;="&amp;'Payroll Settings'!$B$9)</f>
        <v>1</v>
      </c>
      <c r="K9" s="10">
        <f>COUNTIFS(Attendance!$B$5:$B$1000,$A9,Attendance!$F$5:$F$1000,"WO",Attendance!$A$5:$A$1000,"&gt;="&amp;'Payroll Settings'!$B$8,Attendance!$A$5:$A$1000,"&lt;="&amp;'Payroll Settings'!$B$9)</f>
        <v>1</v>
      </c>
      <c r="L9" s="10">
        <f>IF(OR($A9="EMP005",$A9="EMP006"),G9,G9+I9*'Payroll Settings'!$B$6+IF('Payroll Settings'!$B$4="Yes",J9,0)+IF('Payroll Settings'!$B$5="Yes",K9,0))</f>
        <v>6</v>
      </c>
      <c r="M9" s="49">
        <f>SUMIFS(Attendance!$G$5:$G$1000,Attendance!$B$5:$B$1000,$A9,Attendance!$A$5:$A$1000,"&gt;="&amp;'Payroll Settings'!$B$8,Attendance!$A$5:$A$1000,"&lt;="&amp;'Payroll Settings'!$B$9)</f>
        <v>0</v>
      </c>
      <c r="N9" s="48">
        <f>IFERROR(VLOOKUP($A9,'Employee Master'!$A:$I,9,FALSE),0)</f>
        <v>47</v>
      </c>
      <c r="O9" s="48">
        <f>IF('Payroll Settings'!$B$7="Yes",M9*N9,0)</f>
        <v>0</v>
      </c>
      <c r="P9" s="48">
        <f>IF(OR($A9="EMP005",$A9="EMP006"),E9*G9,IF(D9="Monthly",E9/IF('Payroll Settings'!$B$3="30 Days",30,DAY('Payroll Settings'!$B$9))*L9,E9*L9))</f>
        <v>3290.322581</v>
      </c>
      <c r="Q9" s="48">
        <f t="shared" si="1"/>
        <v>3290.322581</v>
      </c>
      <c r="R9" s="48">
        <f>SUMIFS('Expense Register'!$D:$D,'Expense Register'!$B:$B,"Advance Salary",'Expense Register'!$A:$A,"&gt;="&amp;'Payroll Settings'!$B$8,'Expense Register'!$A:$A,"&lt;="&amp;'Payroll Settings'!$B$9,'Expense Register'!$F:$F,"*"&amp;B9&amp;"*")</f>
        <v>0</v>
      </c>
      <c r="S9" s="48">
        <f>SUMIFS('Expense Register'!$D:$D,'Expense Register'!$B:$B,"Travel Expense",'Expense Register'!$A:$A,"&gt;="&amp;'Payroll Settings'!$B$8,'Expense Register'!$A:$A,"&lt;="&amp;'Payroll Settings'!$B$9,'Expense Register'!$F:$F,"*"&amp;B9&amp;"*")</f>
        <v>0</v>
      </c>
      <c r="T9" s="48">
        <f>SUM(SUMIFS('Expense Register'!$D:$D,'Expense Register'!$B:$B,"Vegetables",'Expense Register'!$A:$A,"&gt;="&amp;'Payroll Settings'!$B$8,'Expense Register'!$A:$A,"&lt;="&amp;'Payroll Settings'!$B$9,'Expense Register'!$F:$F,"*"&amp;B9&amp;"*"),SUMIFS('Expense Register'!$D:$D,'Expense Register'!$B:$B,"Grocery",'Expense Register'!$A:$A,"&gt;="&amp;'Payroll Settings'!$B$8,'Expense Register'!$A:$A,"&lt;="&amp;'Payroll Settings'!$B$9,'Expense Register'!$F:$F,"*"&amp;B9&amp;"*"))</f>
        <v>0</v>
      </c>
      <c r="U9" s="48">
        <v>0.0</v>
      </c>
      <c r="V9" s="48">
        <f t="shared" si="2"/>
        <v>0</v>
      </c>
      <c r="W9" s="48">
        <f t="shared" si="3"/>
        <v>3290.322581</v>
      </c>
      <c r="X9" s="10" t="s">
        <v>115</v>
      </c>
      <c r="Y9" s="3"/>
      <c r="Z9" s="3"/>
      <c r="AA9" s="3"/>
      <c r="AB9" s="3"/>
      <c r="AC9" s="3"/>
      <c r="AD9" s="3"/>
    </row>
    <row r="10">
      <c r="A10" s="53" t="s">
        <v>87</v>
      </c>
      <c r="B10" s="53" t="str">
        <f>IFERROR(VLOOKUP($A10,'Employee Master'!$A:$I,2,FALSE),"")</f>
        <v>Debashis Munda</v>
      </c>
      <c r="C10" s="53" t="str">
        <f>IFERROR(VLOOKUP($A10,'Employee Master'!$A:$I,3,FALSE),"")</f>
        <v>Mixer Man</v>
      </c>
      <c r="D10" s="53" t="str">
        <f>IFERROR(VLOOKUP($A10,'Employee Master'!$A:$I,5,FALSE),"")</f>
        <v>Monthly</v>
      </c>
      <c r="E10" s="54">
        <f>IFERROR(VLOOKUP($A10,'Employee Master'!$A:$I,6,FALSE),0)</f>
        <v>19000</v>
      </c>
      <c r="F10" s="53">
        <f>MAX(0,'Payroll Settings'!$B$9-MAX('Payroll Settings'!$B$8,IFERROR(VLOOKUP($A10,'Employee Master'!$A:$I,4,FALSE),'Payroll Settings'!$B$8))+1)</f>
        <v>41</v>
      </c>
      <c r="G10" s="53">
        <f>COUNTIFS(Attendance!$B$5:$B$1000,$A10,Attendance!$F$5:$F$1000,"P",Attendance!$A$5:$A$1000,"&gt;="&amp;'Payroll Settings'!$B$8,Attendance!$A$5:$A$1000,"&lt;="&amp;'Payroll Settings'!$B$9)</f>
        <v>4</v>
      </c>
      <c r="H10" s="53">
        <f>COUNTIFS(Attendance!$B$5:$B$1000,$A10,Attendance!$F$5:$F$1000,"A",Attendance!$A$5:$A$1000,"&gt;="&amp;'Payroll Settings'!$B$8,Attendance!$A$5:$A$1000,"&lt;="&amp;'Payroll Settings'!$B$9)</f>
        <v>0</v>
      </c>
      <c r="I10" s="53">
        <f>COUNTIFS(Attendance!$B$5:$B$1000,$A10,Attendance!$F$5:$F$1000,"HD",Attendance!$A$5:$A$1000,"&gt;="&amp;'Payroll Settings'!$B$8,Attendance!$A$5:$A$1000,"&lt;="&amp;'Payroll Settings'!$B$9)</f>
        <v>0</v>
      </c>
      <c r="J10" s="53">
        <f>COUNTIFS(Attendance!$B$5:$B$1000,$A10,Attendance!$F$5:$F$1000,"L",Attendance!$A$5:$A$1000,"&gt;="&amp;'Payroll Settings'!$B$8,Attendance!$A$5:$A$1000,"&lt;="&amp;'Payroll Settings'!$B$9)</f>
        <v>1</v>
      </c>
      <c r="K10" s="53">
        <f>COUNTIFS(Attendance!$B$5:$B$1000,$A10,Attendance!$F$5:$F$1000,"WO",Attendance!$A$5:$A$1000,"&gt;="&amp;'Payroll Settings'!$B$8,Attendance!$A$5:$A$1000,"&lt;="&amp;'Payroll Settings'!$B$9)</f>
        <v>1</v>
      </c>
      <c r="L10" s="53">
        <f>IF(OR($A10="EMP005",$A10="EMP006"),G10,G10+I10*'Payroll Settings'!$B$6+IF('Payroll Settings'!$B$4="Yes",J10,0)+IF('Payroll Settings'!$B$5="Yes",K10,0))</f>
        <v>6</v>
      </c>
      <c r="M10" s="55">
        <f>SUMIFS(Attendance!$G$5:$G$1000,Attendance!$B$5:$B$1000,$A10,Attendance!$A$5:$A$1000,"&gt;="&amp;'Payroll Settings'!$B$8,Attendance!$A$5:$A$1000,"&lt;="&amp;'Payroll Settings'!$B$9)</f>
        <v>0</v>
      </c>
      <c r="N10" s="54">
        <f>IFERROR(VLOOKUP($A10,'Employee Master'!$A:$I,9,FALSE),0)</f>
        <v>53</v>
      </c>
      <c r="O10" s="54">
        <f>IF('Payroll Settings'!$B$7="Yes",M10*N10,0)</f>
        <v>0</v>
      </c>
      <c r="P10" s="54">
        <f>IF(OR($A10="EMP005",$A10="EMP006"),E10*G10,IF(D10="Monthly",E10/IF('Payroll Settings'!$B$3="30 Days",30,DAY('Payroll Settings'!$B$9))*L10,E10*L10))</f>
        <v>3677.419355</v>
      </c>
      <c r="Q10" s="54">
        <f t="shared" si="1"/>
        <v>3677.419355</v>
      </c>
      <c r="R10" s="54">
        <f>SUMIFS('Expense Register'!$D:$D,'Expense Register'!$B:$B,"Advance Salary",'Expense Register'!$A:$A,"&gt;="&amp;'Payroll Settings'!$B$8,'Expense Register'!$A:$A,"&lt;="&amp;'Payroll Settings'!$B$9,'Expense Register'!$F:$F,"*"&amp;B10&amp;"*")</f>
        <v>0</v>
      </c>
      <c r="S10" s="54">
        <f>SUMIFS('Expense Register'!$D:$D,'Expense Register'!$B:$B,"Travel Expense",'Expense Register'!$A:$A,"&gt;="&amp;'Payroll Settings'!$B$8,'Expense Register'!$A:$A,"&lt;="&amp;'Payroll Settings'!$B$9,'Expense Register'!$F:$F,"*"&amp;B10&amp;"*")</f>
        <v>0</v>
      </c>
      <c r="T10" s="54">
        <f>SUM(SUMIFS('Expense Register'!$D:$D,'Expense Register'!$B:$B,"Vegetables",'Expense Register'!$A:$A,"&gt;="&amp;'Payroll Settings'!$B$8,'Expense Register'!$A:$A,"&lt;="&amp;'Payroll Settings'!$B$9,'Expense Register'!$F:$F,"*"&amp;B10&amp;"*"),SUMIFS('Expense Register'!$D:$D,'Expense Register'!$B:$B,"Grocery",'Expense Register'!$A:$A,"&gt;="&amp;'Payroll Settings'!$B$8,'Expense Register'!$A:$A,"&lt;="&amp;'Payroll Settings'!$B$9,'Expense Register'!$F:$F,"*"&amp;B10&amp;"*"))</f>
        <v>0</v>
      </c>
      <c r="U10" s="54">
        <v>0.0</v>
      </c>
      <c r="V10" s="54">
        <f t="shared" si="2"/>
        <v>0</v>
      </c>
      <c r="W10" s="54">
        <f t="shared" si="3"/>
        <v>3677.419355</v>
      </c>
      <c r="X10" s="53" t="s">
        <v>115</v>
      </c>
      <c r="Y10" s="3"/>
      <c r="Z10" s="3"/>
      <c r="AA10" s="3"/>
      <c r="AB10" s="3"/>
      <c r="AC10" s="3"/>
      <c r="AD10" s="3"/>
    </row>
    <row r="11">
      <c r="A11" s="3" t="s">
        <v>89</v>
      </c>
      <c r="B11" s="3" t="str">
        <f>IFERROR(VLOOKUP($A11,'Employee Master'!$A:$I,2,FALSE),"")</f>
        <v>Moumita Sardar</v>
      </c>
      <c r="C11" s="3" t="str">
        <f>IFERROR(VLOOKUP($A11,'Employee Master'!$A:$I,3,FALSE),"")</f>
        <v>Pipe Cutting</v>
      </c>
      <c r="D11" s="3" t="str">
        <f>IFERROR(VLOOKUP($A11,'Employee Master'!$A:$I,5,FALSE),"")</f>
        <v>Monthly</v>
      </c>
      <c r="E11" s="56">
        <f>IFERROR(VLOOKUP($A11,'Employee Master'!$A:$I,6,FALSE),0)</f>
        <v>11000</v>
      </c>
      <c r="F11" s="3">
        <f>MAX(0,'Payroll Settings'!$B$9-MAX('Payroll Settings'!$B$8,IFERROR(VLOOKUP($A11,'Employee Master'!$A:$I,4,FALSE),'Payroll Settings'!$B$8))+1)</f>
        <v>41</v>
      </c>
      <c r="G11" s="3">
        <f>COUNTIFS(Attendance!$B$5:$B$1000,$A11,Attendance!$F$5:$F$1000,"P",Attendance!$A$5:$A$1000,"&gt;="&amp;'Payroll Settings'!$B$8,Attendance!$A$5:$A$1000,"&lt;="&amp;'Payroll Settings'!$B$9)</f>
        <v>4</v>
      </c>
      <c r="H11" s="3">
        <f>COUNTIFS(Attendance!$B$5:$B$1000,$A11,Attendance!$F$5:$F$1000,"A",Attendance!$A$5:$A$1000,"&gt;="&amp;'Payroll Settings'!$B$8,Attendance!$A$5:$A$1000,"&lt;="&amp;'Payroll Settings'!$B$9)</f>
        <v>0</v>
      </c>
      <c r="I11" s="3">
        <f>COUNTIFS(Attendance!$B$5:$B$1000,$A11,Attendance!$F$5:$F$1000,"HD",Attendance!$A$5:$A$1000,"&gt;="&amp;'Payroll Settings'!$B$8,Attendance!$A$5:$A$1000,"&lt;="&amp;'Payroll Settings'!$B$9)</f>
        <v>0</v>
      </c>
      <c r="J11" s="3">
        <f>COUNTIFS(Attendance!$B$5:$B$1000,$A11,Attendance!$F$5:$F$1000,"L",Attendance!$A$5:$A$1000,"&gt;="&amp;'Payroll Settings'!$B$8,Attendance!$A$5:$A$1000,"&lt;="&amp;'Payroll Settings'!$B$9)</f>
        <v>1</v>
      </c>
      <c r="K11" s="3">
        <f>COUNTIFS(Attendance!$B$5:$B$1000,$A11,Attendance!$F$5:$F$1000,"WO",Attendance!$A$5:$A$1000,"&gt;="&amp;'Payroll Settings'!$B$8,Attendance!$A$5:$A$1000,"&lt;="&amp;'Payroll Settings'!$B$9)</f>
        <v>1</v>
      </c>
      <c r="L11" s="3">
        <f>IF(OR($A11="EMP005",$A11="EMP006"),G11,G11+I11*'Payroll Settings'!$B$6+IF('Payroll Settings'!$B$4="Yes",J11,0)+IF('Payroll Settings'!$B$5="Yes",K11,0))</f>
        <v>6</v>
      </c>
      <c r="M11" s="57">
        <f>SUMIFS(Attendance!$G$5:$G$1000,Attendance!$B$5:$B$1000,$A11,Attendance!$A$5:$A$1000,"&gt;="&amp;'Payroll Settings'!$B$8,Attendance!$A$5:$A$1000,"&lt;="&amp;'Payroll Settings'!$B$9)</f>
        <v>0</v>
      </c>
      <c r="N11" s="56">
        <f>IFERROR(VLOOKUP($A11,'Employee Master'!$A:$I,9,FALSE),0)</f>
        <v>0</v>
      </c>
      <c r="O11" s="56">
        <f>IF('Payroll Settings'!$B$7="Yes",M11*N11,0)</f>
        <v>0</v>
      </c>
      <c r="P11" s="56">
        <f>IF(OR($A11="EMP005",$A11="EMP006"),E11*G11,IF(D11="Monthly",E11/IF('Payroll Settings'!$B$3="30 Days",30,DAY('Payroll Settings'!$B$9))*L11,E11*L11))</f>
        <v>2129.032258</v>
      </c>
      <c r="Q11" s="56">
        <f t="shared" si="1"/>
        <v>2129.032258</v>
      </c>
      <c r="R11" s="56">
        <f>SUMIFS('Expense Register'!$D:$D,'Expense Register'!$B:$B,"Advance Salary",'Expense Register'!$A:$A,"&gt;="&amp;'Payroll Settings'!$B$8,'Expense Register'!$A:$A,"&lt;="&amp;'Payroll Settings'!$B$9,'Expense Register'!$F:$F,"*"&amp;B11&amp;"*")</f>
        <v>0</v>
      </c>
      <c r="S11" s="56">
        <f>SUMIFS('Expense Register'!$D:$D,'Expense Register'!$B:$B,"Travel Expense",'Expense Register'!$A:$A,"&gt;="&amp;'Payroll Settings'!$B$8,'Expense Register'!$A:$A,"&lt;="&amp;'Payroll Settings'!$B$9,'Expense Register'!$F:$F,"*"&amp;B11&amp;"*")</f>
        <v>0</v>
      </c>
      <c r="T11" s="56">
        <f>SUM(SUMIFS('Expense Register'!$D:$D,'Expense Register'!$B:$B,"Vegetables",'Expense Register'!$A:$A,"&gt;="&amp;'Payroll Settings'!$B$8,'Expense Register'!$A:$A,"&lt;="&amp;'Payroll Settings'!$B$9,'Expense Register'!$F:$F,"*"&amp;B11&amp;"*"),SUMIFS('Expense Register'!$D:$D,'Expense Register'!$B:$B,"Grocery",'Expense Register'!$A:$A,"&gt;="&amp;'Payroll Settings'!$B$8,'Expense Register'!$A:$A,"&lt;="&amp;'Payroll Settings'!$B$9,'Expense Register'!$F:$F,"*"&amp;B11&amp;"*"))</f>
        <v>0</v>
      </c>
      <c r="U11" s="56">
        <v>0.0</v>
      </c>
      <c r="V11" s="56">
        <f t="shared" si="2"/>
        <v>0</v>
      </c>
      <c r="W11" s="56">
        <f t="shared" si="3"/>
        <v>2129.032258</v>
      </c>
      <c r="X11" s="3" t="s">
        <v>115</v>
      </c>
      <c r="Y11" s="3"/>
      <c r="Z11" s="3"/>
      <c r="AA11" s="3"/>
      <c r="AB11" s="3"/>
      <c r="AC11" s="3"/>
      <c r="AD11" s="3"/>
    </row>
    <row r="12">
      <c r="A12" s="58" t="s">
        <v>123</v>
      </c>
      <c r="B12" s="59"/>
      <c r="C12" s="59"/>
      <c r="D12" s="59"/>
      <c r="E12" s="59"/>
      <c r="F12" s="59"/>
      <c r="G12" s="59">
        <f t="shared" ref="G12:M12" si="4">SUM(G5:G11)</f>
        <v>27</v>
      </c>
      <c r="H12" s="59">
        <f t="shared" si="4"/>
        <v>1</v>
      </c>
      <c r="I12" s="59">
        <f t="shared" si="4"/>
        <v>0</v>
      </c>
      <c r="J12" s="59">
        <f t="shared" si="4"/>
        <v>7</v>
      </c>
      <c r="K12" s="59">
        <f t="shared" si="4"/>
        <v>7</v>
      </c>
      <c r="L12" s="59">
        <f t="shared" si="4"/>
        <v>39</v>
      </c>
      <c r="M12" s="60">
        <f t="shared" si="4"/>
        <v>0</v>
      </c>
      <c r="N12" s="59"/>
      <c r="O12" s="61">
        <f t="shared" ref="O12:W12" si="5">SUM(O5:O11)</f>
        <v>0</v>
      </c>
      <c r="P12" s="61">
        <f t="shared" si="5"/>
        <v>25006.45161</v>
      </c>
      <c r="Q12" s="61">
        <f t="shared" si="5"/>
        <v>25006.45161</v>
      </c>
      <c r="R12" s="61">
        <f t="shared" si="5"/>
        <v>0</v>
      </c>
      <c r="S12" s="61">
        <f t="shared" si="5"/>
        <v>0</v>
      </c>
      <c r="T12" s="61">
        <f t="shared" si="5"/>
        <v>0</v>
      </c>
      <c r="U12" s="61">
        <f t="shared" si="5"/>
        <v>0</v>
      </c>
      <c r="V12" s="61">
        <f t="shared" si="5"/>
        <v>0</v>
      </c>
      <c r="W12" s="61">
        <f t="shared" si="5"/>
        <v>25006.45161</v>
      </c>
      <c r="X12" s="59"/>
      <c r="Y12" s="3"/>
      <c r="Z12" s="3"/>
      <c r="AA12" s="3"/>
      <c r="AB12" s="3"/>
      <c r="AC12" s="3"/>
      <c r="AD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</sheetData>
  <autoFilter ref="$A$4:$X$11"/>
  <mergeCells count="1">
    <mergeCell ref="A1:Z1"/>
  </mergeCells>
  <conditionalFormatting sqref="W5:W11">
    <cfRule type="cellIs" dxfId="5" priority="1" operator="lessThan">
      <formula>0</formula>
    </cfRule>
  </conditionalFormatting>
  <conditionalFormatting sqref="X5:X11">
    <cfRule type="cellIs" dxfId="6" priority="2" operator="equal">
      <formula>"Paid"</formula>
    </cfRule>
  </conditionalFormatting>
  <dataValidations>
    <dataValidation type="list" allowBlank="1" sqref="X5:X11">
      <formula1>"Pending,Paid,Part Paid"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5.0"/>
    <col customWidth="1" min="2" max="2" width="13.0"/>
    <col customWidth="1" min="3" max="3" width="22.0"/>
    <col customWidth="1" min="4" max="5" width="15.0"/>
    <col customWidth="1" min="6" max="6" width="18.0"/>
    <col customWidth="1" min="7" max="7" width="25.0"/>
  </cols>
  <sheetData>
    <row r="1">
      <c r="A1" s="1" t="s">
        <v>116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0" t="s">
        <v>8</v>
      </c>
      <c r="B3" s="50" t="s">
        <v>30</v>
      </c>
      <c r="C3" s="50" t="s">
        <v>92</v>
      </c>
      <c r="D3" s="50" t="s">
        <v>112</v>
      </c>
      <c r="E3" s="50" t="s">
        <v>117</v>
      </c>
      <c r="F3" s="50" t="s">
        <v>118</v>
      </c>
      <c r="G3" s="50" t="s">
        <v>119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1" t="str">
        <f>'Payroll Settings'!B2</f>
        <v>01-Oct-2026</v>
      </c>
      <c r="B4" s="10" t="s">
        <v>59</v>
      </c>
      <c r="C4" s="10" t="str">
        <f>IFERROR(VLOOKUP(B4,Payroll!$A:$X,2,FALSE),"")</f>
        <v>Ravi</v>
      </c>
      <c r="D4" s="48">
        <f>IFERROR(VLOOKUP(B4,Payroll!$A:$X,23,FALSE),0)</f>
        <v>7741.935484</v>
      </c>
      <c r="E4" s="10"/>
      <c r="F4" s="10"/>
      <c r="G4" s="10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1" t="str">
        <f>'Payroll Settings'!B2</f>
        <v>01-Oct-2026</v>
      </c>
      <c r="B5" s="10" t="s">
        <v>65</v>
      </c>
      <c r="C5" s="10" t="str">
        <f>IFERROR(VLOOKUP(B5,Payroll!$A:$X,2,FALSE),"")</f>
        <v>Raju</v>
      </c>
      <c r="D5" s="48">
        <f>IFERROR(VLOOKUP(B5,Payroll!$A:$X,23,FALSE),0)</f>
        <v>3677.419355</v>
      </c>
      <c r="E5" s="10"/>
      <c r="F5" s="10"/>
      <c r="G5" s="10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1" t="str">
        <f>'Payroll Settings'!B2</f>
        <v>01-Oct-2026</v>
      </c>
      <c r="B6" s="10" t="s">
        <v>75</v>
      </c>
      <c r="C6" s="10" t="str">
        <f>IFERROR(VLOOKUP(B6,Payroll!$A:$X,2,FALSE),"")</f>
        <v>Shah Jahan</v>
      </c>
      <c r="D6" s="48">
        <f>IFERROR(VLOOKUP(B6,Payroll!$A:$X,23,FALSE),0)</f>
        <v>3290.322581</v>
      </c>
      <c r="E6" s="10"/>
      <c r="F6" s="10"/>
      <c r="G6" s="10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1" t="str">
        <f>'Payroll Settings'!B2</f>
        <v>01-Oct-2026</v>
      </c>
      <c r="B7" s="10" t="s">
        <v>78</v>
      </c>
      <c r="C7" s="10" t="str">
        <f>IFERROR(VLOOKUP(B7,Payroll!$A:$X,2,FALSE),"")</f>
        <v>Shanti Devi</v>
      </c>
      <c r="D7" s="48">
        <f>IFERROR(VLOOKUP(B7,Payroll!$A:$X,23,FALSE),0)</f>
        <v>1200</v>
      </c>
      <c r="E7" s="10"/>
      <c r="F7" s="10"/>
      <c r="G7" s="10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1" t="str">
        <f>'Payroll Settings'!B2</f>
        <v>01-Oct-2026</v>
      </c>
      <c r="B8" s="10" t="s">
        <v>85</v>
      </c>
      <c r="C8" s="10" t="str">
        <f>IFERROR(VLOOKUP(B8,Payroll!$A:$X,2,FALSE),"")</f>
        <v>Muttalib Ansari</v>
      </c>
      <c r="D8" s="48">
        <f>IFERROR(VLOOKUP(B8,Payroll!$A:$X,23,FALSE),0)</f>
        <v>3290.322581</v>
      </c>
      <c r="E8" s="10"/>
      <c r="F8" s="10"/>
      <c r="G8" s="10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1" t="str">
        <f>'Payroll Settings'!B2</f>
        <v>01-Oct-2026</v>
      </c>
      <c r="B9" s="10" t="s">
        <v>87</v>
      </c>
      <c r="C9" s="10" t="str">
        <f>IFERROR(VLOOKUP(B9,Payroll!$A:$X,2,FALSE),"")</f>
        <v>Debashis Munda</v>
      </c>
      <c r="D9" s="48">
        <f>IFERROR(VLOOKUP(B9,Payroll!$A:$X,23,FALSE),0)</f>
        <v>3677.419355</v>
      </c>
      <c r="E9" s="10"/>
      <c r="F9" s="10"/>
      <c r="G9" s="10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1" t="str">
        <f>'Payroll Settings'!B2</f>
        <v>01-Oct-2026</v>
      </c>
      <c r="B10" s="10" t="s">
        <v>89</v>
      </c>
      <c r="C10" s="10" t="str">
        <f>IFERROR(VLOOKUP(B10,Payroll!$A:$X,2,FALSE),"")</f>
        <v>Moumita Sardar</v>
      </c>
      <c r="D10" s="48">
        <f>IFERROR(VLOOKUP(B10,Payroll!$A:$X,23,FALSE),0)</f>
        <v>2129.032258</v>
      </c>
      <c r="E10" s="10"/>
      <c r="F10" s="10"/>
      <c r="G10" s="10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1:G1"/>
  </mergeCells>
  <dataValidations>
    <dataValidation type="list" allowBlank="1" sqref="F4:F100">
      <formula1>"Bank Transfer,UPI,Cash,Other"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0"/>
    <col customWidth="1" min="2" max="2" width="20.0"/>
    <col customWidth="1" min="3" max="6" width="8.63"/>
  </cols>
  <sheetData>
    <row r="1">
      <c r="A1" s="1" t="s">
        <v>125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8</v>
      </c>
      <c r="B3" s="62" t="str">
        <f>'Payroll Settings'!B2</f>
        <v>01-Oct-2026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126</v>
      </c>
      <c r="B4" s="10">
        <f>COUNTA(Payroll!A5:A99)</f>
        <v>8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 t="s">
        <v>127</v>
      </c>
      <c r="B5" s="48">
        <f>SUM(Payroll!P5:P99)</f>
        <v>50012.90323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 t="s">
        <v>105</v>
      </c>
      <c r="B6" s="48">
        <f>SUM(Payroll!O5:O99)</f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 t="s">
        <v>128</v>
      </c>
      <c r="B7" s="48">
        <f>SUM(Payroll!Q5:Q99)</f>
        <v>50012.90323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 t="s">
        <v>129</v>
      </c>
      <c r="B8" s="48">
        <f>SUM(Payroll!R5:R99)</f>
        <v>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 t="s">
        <v>130</v>
      </c>
      <c r="B9" s="48">
        <f>SUM(Payroll!S5:S99)</f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 t="s">
        <v>131</v>
      </c>
      <c r="B10" s="48">
        <f>SUM(Payroll!T5:T99)</f>
        <v>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 t="s">
        <v>132</v>
      </c>
      <c r="B11" s="48">
        <f>SUM(Payroll!U5:U99)</f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 t="s">
        <v>133</v>
      </c>
      <c r="B12" s="48">
        <f>SUM(Payroll!V5:V99)</f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 t="s">
        <v>134</v>
      </c>
      <c r="B13" s="48">
        <f>SUM(Payroll!W5:W99)</f>
        <v>50012.90323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0" t="s">
        <v>135</v>
      </c>
      <c r="B16" s="10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0" t="s">
        <v>136</v>
      </c>
      <c r="B17" s="10">
        <f>COUNTIF(Payroll!X5:X99,"Paid")</f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0" t="s">
        <v>115</v>
      </c>
      <c r="B18" s="10">
        <f>COUNTIF(Payroll!X5:X99,"Pending")</f>
        <v>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0" t="s">
        <v>137</v>
      </c>
      <c r="B19" s="10">
        <f>COUNTIF(Payroll!X5:X99,"Part Paid")</f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2026-10-01T10:21:11Z</dcterms:created>
  <dc:creator>openpyxl</dc:creator>
</cp:coreProperties>
</file>