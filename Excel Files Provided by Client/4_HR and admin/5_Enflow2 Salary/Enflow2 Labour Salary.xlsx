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ployee Master" sheetId="1" r:id="rId5"/>
    <sheet state="visible" name="Expense Register" sheetId="2" r:id="rId6"/>
    <sheet state="visible" name="Attendance sheet" sheetId="3" r:id="rId7"/>
    <sheet state="visible" name="Payroll Sheet" sheetId="4" r:id="rId8"/>
    <sheet state="visible" name="September 2026" sheetId="5" r:id="rId9"/>
    <sheet state="visible" name="August 2026" sheetId="6" r:id="rId10"/>
    <sheet state="visible" name="July 2026" sheetId="7" r:id="rId11"/>
  </sheets>
  <definedNames/>
  <calcPr/>
</workbook>
</file>

<file path=xl/sharedStrings.xml><?xml version="1.0" encoding="utf-8"?>
<sst xmlns="http://schemas.openxmlformats.org/spreadsheetml/2006/main" count="307" uniqueCount="112">
  <si>
    <t>Employee ID</t>
  </si>
  <si>
    <t>Employee Name</t>
  </si>
  <si>
    <t>Designation</t>
  </si>
  <si>
    <t>Joining Date</t>
  </si>
  <si>
    <t>Salary Type</t>
  </si>
  <si>
    <t>Monthly Salary</t>
  </si>
  <si>
    <t>Contact</t>
  </si>
  <si>
    <t>EMP001</t>
  </si>
  <si>
    <t>Ravi</t>
  </si>
  <si>
    <t>Machine Operator</t>
  </si>
  <si>
    <t>Monthly</t>
  </si>
  <si>
    <t>EMP002</t>
  </si>
  <si>
    <t>Raju</t>
  </si>
  <si>
    <t>Mixer Man</t>
  </si>
  <si>
    <t>EMP003</t>
  </si>
  <si>
    <t>Sattu</t>
  </si>
  <si>
    <t>Helper</t>
  </si>
  <si>
    <t>EMP004</t>
  </si>
  <si>
    <t>Shah Jahan</t>
  </si>
  <si>
    <t>Roll Man</t>
  </si>
  <si>
    <t>EMP005</t>
  </si>
  <si>
    <t>Shanti Devi</t>
  </si>
  <si>
    <t>Pipe Cutting</t>
  </si>
  <si>
    <t>Daily</t>
  </si>
  <si>
    <t>EMP006</t>
  </si>
  <si>
    <t>Manisha</t>
  </si>
  <si>
    <t>EMP007</t>
  </si>
  <si>
    <t>Muttalib Ansari</t>
  </si>
  <si>
    <t>EMP008</t>
  </si>
  <si>
    <t>Debashis Munda</t>
  </si>
  <si>
    <t>EMP009</t>
  </si>
  <si>
    <t>Moumita Sardar</t>
  </si>
  <si>
    <t>EMP010</t>
  </si>
  <si>
    <t>Rina Sardar</t>
  </si>
  <si>
    <t>Date</t>
  </si>
  <si>
    <t>Category</t>
  </si>
  <si>
    <t>Description</t>
  </si>
  <si>
    <t>Amount</t>
  </si>
  <si>
    <t>Payment mode</t>
  </si>
  <si>
    <t>Applicable To</t>
  </si>
  <si>
    <t>Travel Expense</t>
  </si>
  <si>
    <t>Train Ticket</t>
  </si>
  <si>
    <t>online</t>
  </si>
  <si>
    <t>Ravi and Raju</t>
  </si>
  <si>
    <t>Vegetables</t>
  </si>
  <si>
    <t>Food</t>
  </si>
  <si>
    <t>Ravi, Raju and Sattu</t>
  </si>
  <si>
    <t>Grocery</t>
  </si>
  <si>
    <t>Kitchen</t>
  </si>
  <si>
    <t>Advance Salary</t>
  </si>
  <si>
    <t>Advance</t>
  </si>
  <si>
    <t>Debasish Munda</t>
  </si>
  <si>
    <t>Mutallib Ansari</t>
  </si>
  <si>
    <t>ATTENDANCE FOR OCTOBER MONTH</t>
  </si>
  <si>
    <t>Employee
 Number</t>
  </si>
  <si>
    <t>Department</t>
  </si>
  <si>
    <t>4</t>
  </si>
  <si>
    <t>5</t>
  </si>
  <si>
    <t>6</t>
  </si>
  <si>
    <t>7</t>
  </si>
  <si>
    <t>8</t>
  </si>
  <si>
    <t>10</t>
  </si>
  <si>
    <t>11</t>
  </si>
  <si>
    <t>12</t>
  </si>
  <si>
    <t>13</t>
  </si>
  <si>
    <t>14</t>
  </si>
  <si>
    <t>15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</si>
  <si>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</si>
  <si>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</si>
  <si>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</si>
  <si>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</si>
  <si>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</si>
  <si>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</si>
  <si>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</si>
  <si>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</si>
  <si>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</si>
  <si>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</si>
  <si>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</si>
  <si>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</si>
  <si>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</si>
  <si>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</si>
  <si>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Present</t>
  </si>
  <si>
    <t>Absent</t>
  </si>
  <si>
    <t>Leave</t>
  </si>
  <si>
    <t>Operater</t>
  </si>
  <si>
    <t>L</t>
  </si>
  <si>
    <t>WO</t>
  </si>
  <si>
    <t xml:space="preserve">shahajahan </t>
  </si>
  <si>
    <t>Debashis munda</t>
  </si>
  <si>
    <t>Pipe Cutter</t>
  </si>
  <si>
    <t>Vaibhav</t>
  </si>
  <si>
    <t>Supervisor</t>
  </si>
  <si>
    <t>P = Present
A = Absent
HD = Half Day
WO = Weekly Off
L = Leave</t>
  </si>
  <si>
    <t>Payroll Month: Oct 2026</t>
  </si>
  <si>
    <t>SI No</t>
  </si>
  <si>
    <t>Employee</t>
  </si>
  <si>
    <t>Salary Rate</t>
  </si>
  <si>
    <t>Working Days</t>
  </si>
  <si>
    <t>Paid Days</t>
  </si>
  <si>
    <t>Gross Salary</t>
  </si>
  <si>
    <t>Travel</t>
  </si>
  <si>
    <t>Absent Deduction</t>
  </si>
  <si>
    <t>Total Deduction</t>
  </si>
  <si>
    <t>Net Salary</t>
  </si>
  <si>
    <t>Payment Status</t>
  </si>
  <si>
    <t>Pending</t>
  </si>
  <si>
    <t>Debashish Munda</t>
  </si>
  <si>
    <t>Salary</t>
  </si>
  <si>
    <t>Travel Deduction</t>
  </si>
  <si>
    <t>Grocery &amp; Food</t>
  </si>
  <si>
    <t>Absent Deducation</t>
  </si>
  <si>
    <t>Paid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</si>
</sst>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-mmm-yyyy"/>
    <numFmt numFmtId="165" formatCode="dd-mmm-yyyy"/>
  </numFmts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2.0"/>
      <color theme="1"/>
      <name val="Arial"/>
      <scheme val="minor"/>
    </font>
    <font>
      <b/>
      <color rgb="FFFFFFFF"/>
      <name val="Calibri"/>
    </font>
    <font>
      <b/>
      <color theme="1"/>
      <name val="Calibri"/>
    </font>
    <font>
      <b/>
      <sz val="11.0"/>
      <color theme="1"/>
      <name val="Calibri"/>
    </font>
    <font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999999"/>
        <bgColor rgb="FF999999"/>
      </patternFill>
    </fill>
    <fill>
      <patternFill patternType="solid">
        <fgColor rgb="FF2F6B4F"/>
        <bgColor rgb="FF2F6B4F"/>
      </patternFill>
    </fill>
    <fill>
      <patternFill patternType="solid">
        <fgColor rgb="FFA2C4C9"/>
        <bgColor rgb="FFA2C4C9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/>
      <top/>
    </border>
    <border>
      <left/>
      <right/>
      <top/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0" fillId="0" fontId="2" numFmtId="0" xfId="0" applyAlignment="1" applyFont="1">
      <alignment horizontal="center"/>
    </xf>
    <xf borderId="1" fillId="0" fontId="2" numFmtId="0" xfId="0" applyAlignment="1" applyBorder="1" applyFont="1">
      <alignment horizontal="center" readingOrder="0"/>
    </xf>
    <xf borderId="1" fillId="0" fontId="2" numFmtId="164" xfId="0" applyAlignment="1" applyBorder="1" applyFont="1" applyNumberFormat="1">
      <alignment horizontal="center" readingOrder="0"/>
    </xf>
    <xf borderId="0" fillId="0" fontId="2" numFmtId="0" xfId="0" applyAlignment="1" applyFont="1">
      <alignment horizontal="right" readingOrder="0"/>
    </xf>
    <xf borderId="1" fillId="2" fontId="1" numFmtId="0" xfId="0" applyAlignment="1" applyBorder="1" applyFill="1" applyFont="1">
      <alignment horizontal="left" readingOrder="0"/>
    </xf>
    <xf borderId="0" fillId="0" fontId="2" numFmtId="0" xfId="0" applyAlignment="1" applyFont="1">
      <alignment horizontal="left"/>
    </xf>
    <xf borderId="1" fillId="0" fontId="2" numFmtId="164" xfId="0" applyAlignment="1" applyBorder="1" applyFont="1" applyNumberFormat="1">
      <alignment horizontal="left" readingOrder="0"/>
    </xf>
    <xf borderId="1" fillId="0" fontId="2" numFmtId="0" xfId="0" applyAlignment="1" applyBorder="1" applyFont="1">
      <alignment horizontal="left" readingOrder="0"/>
    </xf>
    <xf borderId="1" fillId="0" fontId="2" numFmtId="165" xfId="0" applyAlignment="1" applyBorder="1" applyFont="1" applyNumberFormat="1">
      <alignment horizontal="left" readingOrder="0"/>
    </xf>
    <xf borderId="1" fillId="0" fontId="2" numFmtId="14" xfId="0" applyAlignment="1" applyBorder="1" applyFont="1" applyNumberFormat="1">
      <alignment horizontal="left" readingOrder="0"/>
    </xf>
    <xf borderId="1" fillId="0" fontId="2" numFmtId="0" xfId="0" applyAlignment="1" applyBorder="1" applyFont="1">
      <alignment horizontal="left"/>
    </xf>
    <xf borderId="0" fillId="3" fontId="3" numFmtId="0" xfId="0" applyAlignment="1" applyFill="1" applyFont="1">
      <alignment horizontal="center" readingOrder="0"/>
    </xf>
    <xf borderId="1" fillId="4" fontId="4" numFmtId="0" xfId="0" applyAlignment="1" applyBorder="1" applyFill="1" applyFont="1">
      <alignment horizontal="center" vertical="bottom"/>
    </xf>
    <xf borderId="1" fillId="4" fontId="4" numFmtId="0" xfId="0" applyAlignment="1" applyBorder="1" applyFill="1" applyFont="1">
      <alignment horizontal="center" textRotation="0" vertical="bottom"/>
    </xf>
    <xf borderId="0" fillId="4" fontId="4" numFmtId="0" xfId="0" applyAlignment="1" applyFill="1" applyFont="1">
      <alignment horizontal="center" readingOrder="0" textRotation="0" vertical="bottom"/>
    </xf>
    <xf borderId="2" fillId="4" fontId="4" numFmtId="0" xfId="0" applyAlignment="1" applyBorder="1" applyFill="1" applyFont="1">
      <alignment horizontal="center" vertical="bottom"/>
    </xf>
    <xf borderId="3" fillId="4" fontId="4" numFmtId="0" xfId="0" applyAlignment="1" applyBorder="1" applyFill="1" applyFont="1">
      <alignment horizontal="center" vertical="bottom"/>
    </xf>
    <xf borderId="0" fillId="0" fontId="5" numFmtId="0" xfId="0" applyAlignment="1" applyFont="1">
      <alignment horizontal="center" vertical="bottom"/>
    </xf>
    <xf borderId="1" fillId="0" fontId="6" numFmtId="0" xfId="0" applyAlignment="1" applyBorder="1" applyFont="1">
      <alignment horizontal="center" vertical="bottom"/>
    </xf>
    <xf borderId="1" fillId="0" fontId="6" numFmtId="0" xfId="0" applyAlignment="1" applyBorder="1" applyFont="1">
      <alignment horizontal="center" readingOrder="0" textRotation="0"/>
    </xf>
    <xf borderId="1" fillId="0" fontId="6" numFmtId="0" xfId="0" applyAlignment="1" applyBorder="1" applyFont="1">
      <alignment horizontal="center" readingOrder="0" vertical="bottom"/>
    </xf>
    <xf borderId="1" fillId="0" fontId="6" numFmtId="0" xfId="0" applyAlignment="1" applyBorder="1" applyFont="1">
      <alignment horizontal="center" textRotation="0"/>
    </xf>
    <xf borderId="1" fillId="0" fontId="6" numFmtId="0" xfId="0" applyAlignment="1" applyBorder="1" applyFont="1">
      <alignment horizontal="center"/>
    </xf>
    <xf borderId="1" fillId="0" fontId="6" numFmtId="0" xfId="0" applyAlignment="1" applyBorder="1" applyFont="1">
      <alignment horizontal="center" readingOrder="0"/>
    </xf>
    <xf borderId="1" fillId="0" fontId="7" numFmtId="0" xfId="0" applyAlignment="1" applyBorder="1" applyFont="1">
      <alignment horizontal="center" vertical="bottom"/>
    </xf>
    <xf borderId="0" fillId="0" fontId="5" numFmtId="0" xfId="0" applyAlignment="1" applyFont="1">
      <alignment horizontal="center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1" fillId="5" fontId="2" numFmtId="0" xfId="0" applyAlignment="1" applyBorder="1" applyFill="1" applyFont="1">
      <alignment horizontal="center" readingOrder="0"/>
    </xf>
    <xf borderId="0" fillId="5" fontId="2" numFmtId="0" xfId="0" applyAlignment="1" applyFill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0"/>
    <col customWidth="1" min="2" max="2" width="13.88"/>
    <col customWidth="1" min="3" max="3" width="14.38"/>
    <col customWidth="1" min="4" max="4" width="11.0"/>
    <col customWidth="1" min="5" max="6" width="12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7</v>
      </c>
      <c r="B2" s="3" t="s">
        <v>8</v>
      </c>
      <c r="C2" s="3" t="s">
        <v>9</v>
      </c>
      <c r="D2" s="4">
        <v>46199.0</v>
      </c>
      <c r="E2" s="3" t="s">
        <v>10</v>
      </c>
      <c r="F2" s="3">
        <v>40000.0</v>
      </c>
      <c r="G2" s="3">
        <v>7.58582516E9</v>
      </c>
    </row>
    <row r="3">
      <c r="A3" s="3" t="s">
        <v>11</v>
      </c>
      <c r="B3" s="3" t="s">
        <v>12</v>
      </c>
      <c r="C3" s="3" t="s">
        <v>13</v>
      </c>
      <c r="D3" s="4">
        <v>46199.0</v>
      </c>
      <c r="E3" s="3" t="s">
        <v>10</v>
      </c>
      <c r="F3" s="3">
        <v>19000.0</v>
      </c>
      <c r="G3" s="3">
        <v>7.501663268E9</v>
      </c>
    </row>
    <row r="4">
      <c r="A4" s="3" t="s">
        <v>14</v>
      </c>
      <c r="B4" s="3" t="s">
        <v>15</v>
      </c>
      <c r="C4" s="3" t="s">
        <v>16</v>
      </c>
      <c r="D4" s="4">
        <v>46199.0</v>
      </c>
      <c r="E4" s="3" t="s">
        <v>10</v>
      </c>
      <c r="F4" s="3">
        <v>16000.0</v>
      </c>
      <c r="G4" s="3">
        <v>9.875641363E9</v>
      </c>
    </row>
    <row r="5">
      <c r="A5" s="3" t="s">
        <v>17</v>
      </c>
      <c r="B5" s="3" t="s">
        <v>18</v>
      </c>
      <c r="C5" s="3" t="s">
        <v>19</v>
      </c>
      <c r="D5" s="4">
        <v>46220.0</v>
      </c>
      <c r="E5" s="3" t="s">
        <v>10</v>
      </c>
      <c r="F5" s="3">
        <v>17000.0</v>
      </c>
      <c r="G5" s="3">
        <v>6.201471029E9</v>
      </c>
    </row>
    <row r="6">
      <c r="A6" s="3" t="s">
        <v>20</v>
      </c>
      <c r="B6" s="3" t="s">
        <v>21</v>
      </c>
      <c r="C6" s="3" t="s">
        <v>22</v>
      </c>
      <c r="D6" s="4">
        <v>46238.0</v>
      </c>
      <c r="E6" s="3" t="s">
        <v>23</v>
      </c>
      <c r="F6" s="3">
        <v>400.0</v>
      </c>
      <c r="G6" s="3">
        <v>9.001311441E9</v>
      </c>
    </row>
    <row r="7">
      <c r="A7" s="3" t="s">
        <v>24</v>
      </c>
      <c r="B7" s="3" t="s">
        <v>25</v>
      </c>
      <c r="C7" s="3" t="s">
        <v>22</v>
      </c>
      <c r="D7" s="4">
        <v>46239.0</v>
      </c>
      <c r="E7" s="3" t="s">
        <v>23</v>
      </c>
      <c r="F7" s="3">
        <v>400.0</v>
      </c>
      <c r="G7" s="3">
        <v>7.483944538E9</v>
      </c>
    </row>
    <row r="8">
      <c r="A8" s="3" t="s">
        <v>26</v>
      </c>
      <c r="B8" s="3" t="s">
        <v>27</v>
      </c>
      <c r="C8" s="3" t="s">
        <v>16</v>
      </c>
      <c r="D8" s="4">
        <v>46283.0</v>
      </c>
      <c r="E8" s="3" t="s">
        <v>10</v>
      </c>
      <c r="F8" s="3">
        <v>17000.0</v>
      </c>
      <c r="G8" s="3">
        <v>7.870666535E9</v>
      </c>
    </row>
    <row r="9">
      <c r="A9" s="3" t="s">
        <v>28</v>
      </c>
      <c r="B9" s="3" t="s">
        <v>29</v>
      </c>
      <c r="C9" s="3" t="s">
        <v>13</v>
      </c>
      <c r="D9" s="4">
        <v>46286.0</v>
      </c>
      <c r="E9" s="3" t="s">
        <v>10</v>
      </c>
      <c r="F9" s="3">
        <v>19000.0</v>
      </c>
      <c r="G9" s="3">
        <v>7.477651481E9</v>
      </c>
    </row>
    <row r="10">
      <c r="A10" s="3" t="s">
        <v>30</v>
      </c>
      <c r="B10" s="3" t="s">
        <v>31</v>
      </c>
      <c r="C10" s="3" t="s">
        <v>22</v>
      </c>
      <c r="D10" s="4">
        <v>46286.0</v>
      </c>
      <c r="E10" s="3" t="s">
        <v>10</v>
      </c>
      <c r="F10" s="3">
        <v>11000.0</v>
      </c>
      <c r="G10" s="3">
        <v>7.477651481E9</v>
      </c>
    </row>
    <row r="11">
      <c r="A11" s="3" t="s">
        <v>32</v>
      </c>
      <c r="B11" s="3" t="s">
        <v>33</v>
      </c>
      <c r="C11" s="3" t="s">
        <v>22</v>
      </c>
      <c r="D11" s="4">
        <v>46288.0</v>
      </c>
      <c r="E11" s="3" t="s">
        <v>10</v>
      </c>
      <c r="F11" s="3">
        <v>10000.0</v>
      </c>
      <c r="G11" s="3">
        <v>7.58582516E9</v>
      </c>
    </row>
    <row r="20">
      <c r="H20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0"/>
    <col customWidth="1" min="2" max="2" width="15.5"/>
    <col customWidth="1" min="3" max="3" width="13.0"/>
    <col customWidth="1" min="5" max="5" width="15.13"/>
    <col customWidth="1" min="6" max="6" width="16.25"/>
  </cols>
  <sheetData>
    <row r="1">
      <c r="A1" s="6" t="s">
        <v>34</v>
      </c>
      <c r="B1" s="6" t="s">
        <v>35</v>
      </c>
      <c r="C1" s="6" t="s">
        <v>36</v>
      </c>
      <c r="D1" s="6" t="s">
        <v>37</v>
      </c>
      <c r="E1" s="6" t="s">
        <v>38</v>
      </c>
      <c r="F1" s="6" t="s">
        <v>39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>
      <c r="A2" s="8">
        <v>46197.0</v>
      </c>
      <c r="B2" s="9" t="s">
        <v>40</v>
      </c>
      <c r="C2" s="9" t="s">
        <v>41</v>
      </c>
      <c r="D2" s="9">
        <v>4000.0</v>
      </c>
      <c r="E2" s="3" t="s">
        <v>42</v>
      </c>
      <c r="F2" s="9" t="s">
        <v>43</v>
      </c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>
      <c r="A3" s="8">
        <v>46199.0</v>
      </c>
      <c r="B3" s="9" t="s">
        <v>44</v>
      </c>
      <c r="C3" s="9" t="s">
        <v>45</v>
      </c>
      <c r="D3" s="9">
        <v>590.0</v>
      </c>
      <c r="E3" s="3" t="s">
        <v>42</v>
      </c>
      <c r="F3" s="9" t="s">
        <v>46</v>
      </c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</row>
    <row r="4">
      <c r="A4" s="10">
        <v>46205.0</v>
      </c>
      <c r="B4" s="9" t="s">
        <v>44</v>
      </c>
      <c r="C4" s="9" t="s">
        <v>45</v>
      </c>
      <c r="D4" s="9">
        <v>640.0</v>
      </c>
      <c r="E4" s="3" t="s">
        <v>42</v>
      </c>
      <c r="F4" s="9" t="s">
        <v>46</v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>
      <c r="A5" s="10">
        <v>46205.0</v>
      </c>
      <c r="B5" s="9" t="s">
        <v>47</v>
      </c>
      <c r="C5" s="9" t="s">
        <v>48</v>
      </c>
      <c r="D5" s="9">
        <v>1280.0</v>
      </c>
      <c r="E5" s="3" t="s">
        <v>42</v>
      </c>
      <c r="F5" s="9" t="s">
        <v>46</v>
      </c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</row>
    <row r="6">
      <c r="A6" s="10">
        <v>46210.0</v>
      </c>
      <c r="B6" s="9" t="s">
        <v>49</v>
      </c>
      <c r="C6" s="9" t="s">
        <v>50</v>
      </c>
      <c r="D6" s="9">
        <v>500.0</v>
      </c>
      <c r="E6" s="3" t="s">
        <v>42</v>
      </c>
      <c r="F6" s="9" t="s">
        <v>8</v>
      </c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</row>
    <row r="7">
      <c r="A7" s="10">
        <v>46213.0</v>
      </c>
      <c r="B7" s="9" t="s">
        <v>49</v>
      </c>
      <c r="C7" s="9" t="s">
        <v>50</v>
      </c>
      <c r="D7" s="9">
        <v>500.0</v>
      </c>
      <c r="E7" s="3" t="s">
        <v>42</v>
      </c>
      <c r="F7" s="9" t="s">
        <v>8</v>
      </c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>
      <c r="A8" s="11">
        <v>46216.0</v>
      </c>
      <c r="B8" s="9" t="s">
        <v>49</v>
      </c>
      <c r="C8" s="9" t="s">
        <v>50</v>
      </c>
      <c r="D8" s="9">
        <v>2000.0</v>
      </c>
      <c r="E8" s="3" t="s">
        <v>42</v>
      </c>
      <c r="F8" s="9" t="s">
        <v>15</v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</row>
    <row r="9">
      <c r="A9" s="11">
        <v>46216.0</v>
      </c>
      <c r="B9" s="9" t="s">
        <v>49</v>
      </c>
      <c r="C9" s="9" t="s">
        <v>50</v>
      </c>
      <c r="D9" s="9">
        <v>3000.0</v>
      </c>
      <c r="E9" s="3" t="s">
        <v>42</v>
      </c>
      <c r="F9" s="9" t="s">
        <v>12</v>
      </c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</row>
    <row r="10">
      <c r="A10" s="11">
        <v>46216.0</v>
      </c>
      <c r="B10" s="9" t="s">
        <v>49</v>
      </c>
      <c r="C10" s="9" t="s">
        <v>50</v>
      </c>
      <c r="D10" s="9">
        <v>5000.0</v>
      </c>
      <c r="E10" s="3" t="s">
        <v>42</v>
      </c>
      <c r="F10" s="9" t="s">
        <v>8</v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</row>
    <row r="11">
      <c r="A11" s="11">
        <v>46216.0</v>
      </c>
      <c r="B11" s="9" t="s">
        <v>49</v>
      </c>
      <c r="C11" s="9" t="s">
        <v>50</v>
      </c>
      <c r="D11" s="9">
        <v>3000.0</v>
      </c>
      <c r="E11" s="3" t="s">
        <v>42</v>
      </c>
      <c r="F11" s="9" t="s">
        <v>12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</row>
    <row r="12">
      <c r="A12" s="11">
        <v>46231.0</v>
      </c>
      <c r="B12" s="9" t="s">
        <v>49</v>
      </c>
      <c r="C12" s="9" t="s">
        <v>50</v>
      </c>
      <c r="D12" s="9">
        <v>500.0</v>
      </c>
      <c r="E12" s="3" t="s">
        <v>42</v>
      </c>
      <c r="F12" s="9" t="s">
        <v>8</v>
      </c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>
      <c r="A13" s="11">
        <v>46254.0</v>
      </c>
      <c r="B13" s="9" t="s">
        <v>49</v>
      </c>
      <c r="C13" s="9" t="s">
        <v>50</v>
      </c>
      <c r="D13" s="9">
        <v>5000.0</v>
      </c>
      <c r="E13" s="3" t="s">
        <v>42</v>
      </c>
      <c r="F13" s="9" t="s">
        <v>8</v>
      </c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>
      <c r="A14" s="11">
        <v>46254.0</v>
      </c>
      <c r="B14" s="9" t="s">
        <v>49</v>
      </c>
      <c r="C14" s="9" t="s">
        <v>50</v>
      </c>
      <c r="D14" s="9">
        <v>3000.0</v>
      </c>
      <c r="E14" s="3" t="s">
        <v>42</v>
      </c>
      <c r="F14" s="9" t="s">
        <v>12</v>
      </c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</row>
    <row r="15">
      <c r="A15" s="11">
        <v>46266.0</v>
      </c>
      <c r="B15" s="9" t="s">
        <v>40</v>
      </c>
      <c r="C15" s="9" t="s">
        <v>41</v>
      </c>
      <c r="D15" s="9">
        <v>2333.0</v>
      </c>
      <c r="E15" s="3" t="s">
        <v>42</v>
      </c>
      <c r="F15" s="9" t="s">
        <v>51</v>
      </c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</row>
    <row r="16">
      <c r="A16" s="11">
        <v>46266.0</v>
      </c>
      <c r="B16" s="9" t="s">
        <v>40</v>
      </c>
      <c r="C16" s="9" t="s">
        <v>41</v>
      </c>
      <c r="D16" s="9">
        <v>2333.0</v>
      </c>
      <c r="E16" s="3" t="s">
        <v>42</v>
      </c>
      <c r="F16" s="9" t="s">
        <v>33</v>
      </c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</row>
    <row r="17">
      <c r="A17" s="11">
        <v>46266.0</v>
      </c>
      <c r="B17" s="9" t="s">
        <v>40</v>
      </c>
      <c r="C17" s="9" t="s">
        <v>41</v>
      </c>
      <c r="D17" s="9">
        <v>2334.0</v>
      </c>
      <c r="E17" s="3" t="s">
        <v>42</v>
      </c>
      <c r="F17" s="9" t="s">
        <v>31</v>
      </c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</row>
    <row r="18">
      <c r="A18" s="11">
        <v>46288.0</v>
      </c>
      <c r="B18" s="9" t="s">
        <v>49</v>
      </c>
      <c r="C18" s="9" t="s">
        <v>50</v>
      </c>
      <c r="D18" s="9">
        <v>5000.0</v>
      </c>
      <c r="E18" s="3" t="s">
        <v>42</v>
      </c>
      <c r="F18" s="9" t="s">
        <v>8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</row>
    <row r="19">
      <c r="A19" s="11">
        <v>46288.0</v>
      </c>
      <c r="B19" s="9" t="s">
        <v>49</v>
      </c>
      <c r="C19" s="9" t="s">
        <v>50</v>
      </c>
      <c r="D19" s="9">
        <v>3000.0</v>
      </c>
      <c r="E19" s="3" t="s">
        <v>42</v>
      </c>
      <c r="F19" s="9" t="s">
        <v>12</v>
      </c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</row>
    <row r="20">
      <c r="A20" s="11">
        <v>46288.0</v>
      </c>
      <c r="B20" s="9" t="s">
        <v>49</v>
      </c>
      <c r="C20" s="9" t="s">
        <v>50</v>
      </c>
      <c r="D20" s="9">
        <v>3000.0</v>
      </c>
      <c r="E20" s="3" t="s">
        <v>42</v>
      </c>
      <c r="F20" s="9" t="s">
        <v>51</v>
      </c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</row>
    <row r="21">
      <c r="A21" s="11">
        <v>46290.0</v>
      </c>
      <c r="B21" s="9" t="s">
        <v>49</v>
      </c>
      <c r="C21" s="9" t="s">
        <v>50</v>
      </c>
      <c r="D21" s="9">
        <v>1500.0</v>
      </c>
      <c r="E21" s="3" t="s">
        <v>42</v>
      </c>
      <c r="F21" s="12" t="s">
        <v>52</v>
      </c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</row>
    <row r="2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</row>
    <row r="24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</row>
    <row r="1001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</row>
    <row r="1002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</row>
    <row r="1003">
      <c r="A1003" s="7"/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75"/>
    <col customWidth="1" min="2" max="2" width="12.5"/>
    <col customWidth="1" min="3" max="3" width="9.38"/>
    <col customWidth="1" min="4" max="37" width="5.5"/>
  </cols>
  <sheetData>
    <row r="2">
      <c r="J2" s="13" t="s">
        <v>53</v>
      </c>
    </row>
    <row r="4">
      <c r="A4" s="14" t="s">
        <v>54</v>
      </c>
      <c r="B4" s="14" t="s">
        <v>1</v>
      </c>
      <c r="C4" s="14" t="s">
        <v>55</v>
      </c>
      <c r="D4" s="14">
        <v>1.0</v>
      </c>
      <c r="E4" s="15">
        <v>2.0</v>
      </c>
      <c r="F4" s="14">
        <v>3.0</v>
      </c>
      <c r="G4" s="14" t="s">
        <v>56</v>
      </c>
      <c r="H4" s="14" t="s">
        <v>57</v>
      </c>
      <c r="I4" s="14" t="s">
        <v>58</v>
      </c>
      <c r="J4" s="14" t="s">
        <v>59</v>
      </c>
      <c r="K4" s="14" t="s">
        <v>60</v>
      </c>
      <c r="L4" s="15">
        <v>9.0</v>
      </c>
      <c r="M4" s="14" t="s">
        <v>61</v>
      </c>
      <c r="N4" s="14" t="s">
        <v>62</v>
      </c>
      <c r="O4" s="14" t="s">
        <v>63</v>
      </c>
      <c r="P4" s="14" t="s">
        <v>64</v>
      </c>
      <c r="Q4" s="14" t="s">
        <v>65</v>
      </c>
      <c r="R4" s="14" t="s">
        <v>66</v>
      </c>
      <c r="S4" s="15">
        <v>16.0</v>
      </c>
      <c r="T4" s="14" t="s">
        <v>67</v>
      </c>
      <c r="U4" s="14" t="s">
        <v>68</v>
      </c>
      <c r="V4" s="14" t="s">
        <v>69</v>
      </c>
      <c r="W4" s="14" t="s">
        <v>70</v>
      </c>
      <c r="X4" s="14" t="s">
        <v>71</v>
      </c>
      <c r="Y4" s="14" t="s">
        <v>72</v>
      </c>
      <c r="Z4" s="15" t="s">
        <v>73</v>
      </c>
      <c r="AA4" s="14" t="s">
        <v>74</v>
      </c>
      <c r="AB4" s="14" t="s">
        <v>75</v>
      </c>
      <c r="AC4" s="14" t="s">
        <v>76</v>
      </c>
      <c r="AD4" s="14" t="s">
        <v>77</v>
      </c>
      <c r="AE4" s="14" t="s">
        <v>78</v>
      </c>
      <c r="AF4" s="14" t="s">
        <v>79</v>
      </c>
      <c r="AG4" s="15" t="s">
        <v>80</v>
      </c>
      <c r="AH4" s="16">
        <v>31.0</v>
      </c>
      <c r="AI4" s="17" t="s">
        <v>81</v>
      </c>
      <c r="AJ4" s="18" t="s">
        <v>82</v>
      </c>
      <c r="AK4" s="18" t="s">
        <v>83</v>
      </c>
    </row>
    <row r="5">
      <c r="A5" s="19">
        <v>1.0</v>
      </c>
      <c r="B5" s="19" t="s">
        <v>8</v>
      </c>
      <c r="C5" s="19" t="s">
        <v>84</v>
      </c>
      <c r="D5" s="20"/>
      <c r="E5" s="21" t="s">
        <v>85</v>
      </c>
      <c r="F5" s="20"/>
      <c r="G5" s="22" t="s">
        <v>86</v>
      </c>
      <c r="H5" s="20"/>
      <c r="I5" s="22"/>
      <c r="J5" s="20"/>
      <c r="K5" s="20"/>
      <c r="L5" s="23"/>
      <c r="M5" s="20"/>
      <c r="N5" s="22" t="s">
        <v>86</v>
      </c>
      <c r="O5" s="20"/>
      <c r="P5" s="22"/>
      <c r="Q5" s="20"/>
      <c r="R5" s="20"/>
      <c r="S5" s="23"/>
      <c r="T5" s="20"/>
      <c r="U5" s="22" t="s">
        <v>86</v>
      </c>
      <c r="V5" s="20"/>
      <c r="W5" s="22" t="s">
        <v>85</v>
      </c>
      <c r="X5" s="20"/>
      <c r="Y5" s="20"/>
      <c r="Z5" s="23"/>
      <c r="AA5" s="24"/>
      <c r="AB5" s="25" t="s">
        <v>86</v>
      </c>
      <c r="AC5" s="24"/>
      <c r="AD5" s="22"/>
      <c r="AE5" s="24"/>
      <c r="AF5" s="24"/>
      <c r="AG5" s="23"/>
      <c r="AH5" s="23"/>
      <c r="AI5" s="26">
        <f t="shared" ref="AI5:AI12" si="1">COUNTIF(D5:AH5,"P")</f>
        <v>0</v>
      </c>
      <c r="AJ5" s="26">
        <f t="shared" ref="AJ5:AJ12" si="2">COUNTIF(D5:AH5,"A")</f>
        <v>0</v>
      </c>
      <c r="AK5" s="26">
        <f t="shared" ref="AK5:AK12" si="3">COUNTIF(D5:AH5,"L")</f>
        <v>2</v>
      </c>
    </row>
    <row r="6">
      <c r="A6" s="19">
        <v>2.0</v>
      </c>
      <c r="B6" s="19" t="s">
        <v>12</v>
      </c>
      <c r="C6" s="19" t="s">
        <v>13</v>
      </c>
      <c r="D6" s="20"/>
      <c r="E6" s="21" t="s">
        <v>85</v>
      </c>
      <c r="F6" s="20"/>
      <c r="G6" s="22" t="s">
        <v>86</v>
      </c>
      <c r="H6" s="20"/>
      <c r="I6" s="22"/>
      <c r="J6" s="20"/>
      <c r="K6" s="20"/>
      <c r="L6" s="23"/>
      <c r="M6" s="20"/>
      <c r="N6" s="22" t="s">
        <v>86</v>
      </c>
      <c r="O6" s="20"/>
      <c r="P6" s="22"/>
      <c r="Q6" s="20"/>
      <c r="R6" s="20"/>
      <c r="S6" s="23"/>
      <c r="T6" s="20"/>
      <c r="U6" s="22" t="s">
        <v>86</v>
      </c>
      <c r="V6" s="20"/>
      <c r="W6" s="22" t="s">
        <v>85</v>
      </c>
      <c r="X6" s="20"/>
      <c r="Y6" s="20"/>
      <c r="Z6" s="23"/>
      <c r="AA6" s="24"/>
      <c r="AB6" s="25" t="s">
        <v>86</v>
      </c>
      <c r="AC6" s="24"/>
      <c r="AD6" s="22"/>
      <c r="AE6" s="24"/>
      <c r="AF6" s="24"/>
      <c r="AG6" s="23"/>
      <c r="AH6" s="23"/>
      <c r="AI6" s="26">
        <f t="shared" si="1"/>
        <v>0</v>
      </c>
      <c r="AJ6" s="26">
        <f t="shared" si="2"/>
        <v>0</v>
      </c>
      <c r="AK6" s="26">
        <f t="shared" si="3"/>
        <v>2</v>
      </c>
    </row>
    <row r="7">
      <c r="A7" s="19">
        <v>3.0</v>
      </c>
      <c r="B7" s="19" t="s">
        <v>87</v>
      </c>
      <c r="C7" s="19" t="s">
        <v>19</v>
      </c>
      <c r="D7" s="20"/>
      <c r="E7" s="21" t="s">
        <v>85</v>
      </c>
      <c r="F7" s="20"/>
      <c r="G7" s="22" t="s">
        <v>86</v>
      </c>
      <c r="H7" s="20"/>
      <c r="I7" s="22"/>
      <c r="J7" s="20"/>
      <c r="K7" s="20"/>
      <c r="L7" s="23"/>
      <c r="M7" s="20"/>
      <c r="N7" s="22" t="s">
        <v>86</v>
      </c>
      <c r="O7" s="20"/>
      <c r="P7" s="22"/>
      <c r="Q7" s="20"/>
      <c r="R7" s="20"/>
      <c r="S7" s="23"/>
      <c r="T7" s="20"/>
      <c r="U7" s="22" t="s">
        <v>86</v>
      </c>
      <c r="V7" s="20"/>
      <c r="W7" s="22" t="s">
        <v>85</v>
      </c>
      <c r="X7" s="20"/>
      <c r="Y7" s="20"/>
      <c r="Z7" s="23"/>
      <c r="AA7" s="24"/>
      <c r="AB7" s="25" t="s">
        <v>86</v>
      </c>
      <c r="AC7" s="24"/>
      <c r="AD7" s="22"/>
      <c r="AE7" s="24"/>
      <c r="AF7" s="24"/>
      <c r="AG7" s="23"/>
      <c r="AH7" s="23"/>
      <c r="AI7" s="26">
        <f t="shared" si="1"/>
        <v>0</v>
      </c>
      <c r="AJ7" s="26">
        <f t="shared" si="2"/>
        <v>0</v>
      </c>
      <c r="AK7" s="26">
        <f t="shared" si="3"/>
        <v>2</v>
      </c>
    </row>
    <row r="8">
      <c r="A8" s="19">
        <v>4.0</v>
      </c>
      <c r="B8" s="19" t="s">
        <v>52</v>
      </c>
      <c r="C8" s="19" t="s">
        <v>16</v>
      </c>
      <c r="D8" s="20"/>
      <c r="E8" s="21" t="s">
        <v>85</v>
      </c>
      <c r="F8" s="20"/>
      <c r="G8" s="22" t="s">
        <v>86</v>
      </c>
      <c r="H8" s="20"/>
      <c r="I8" s="22"/>
      <c r="J8" s="20"/>
      <c r="K8" s="20"/>
      <c r="L8" s="20"/>
      <c r="M8" s="20"/>
      <c r="N8" s="22" t="s">
        <v>86</v>
      </c>
      <c r="O8" s="20"/>
      <c r="P8" s="22"/>
      <c r="Q8" s="20"/>
      <c r="R8" s="20"/>
      <c r="S8" s="20"/>
      <c r="T8" s="20"/>
      <c r="U8" s="22" t="s">
        <v>86</v>
      </c>
      <c r="V8" s="20"/>
      <c r="W8" s="22" t="s">
        <v>85</v>
      </c>
      <c r="X8" s="20"/>
      <c r="Y8" s="20"/>
      <c r="Z8" s="23"/>
      <c r="AA8" s="24"/>
      <c r="AB8" s="25" t="s">
        <v>86</v>
      </c>
      <c r="AC8" s="24"/>
      <c r="AD8" s="22"/>
      <c r="AE8" s="24"/>
      <c r="AF8" s="24"/>
      <c r="AG8" s="23"/>
      <c r="AH8" s="23"/>
      <c r="AI8" s="26">
        <f t="shared" si="1"/>
        <v>0</v>
      </c>
      <c r="AJ8" s="26">
        <f t="shared" si="2"/>
        <v>0</v>
      </c>
      <c r="AK8" s="26">
        <f t="shared" si="3"/>
        <v>2</v>
      </c>
    </row>
    <row r="9">
      <c r="A9" s="19">
        <v>5.0</v>
      </c>
      <c r="B9" s="27" t="s">
        <v>88</v>
      </c>
      <c r="C9" s="19" t="s">
        <v>13</v>
      </c>
      <c r="D9" s="20"/>
      <c r="E9" s="21" t="s">
        <v>85</v>
      </c>
      <c r="F9" s="20"/>
      <c r="G9" s="22" t="s">
        <v>86</v>
      </c>
      <c r="H9" s="20"/>
      <c r="I9" s="22"/>
      <c r="J9" s="20"/>
      <c r="K9" s="20"/>
      <c r="L9" s="20"/>
      <c r="M9" s="20"/>
      <c r="N9" s="22" t="s">
        <v>86</v>
      </c>
      <c r="O9" s="20"/>
      <c r="P9" s="22"/>
      <c r="Q9" s="20"/>
      <c r="R9" s="20"/>
      <c r="S9" s="20"/>
      <c r="T9" s="20"/>
      <c r="U9" s="22" t="s">
        <v>86</v>
      </c>
      <c r="V9" s="20"/>
      <c r="W9" s="22" t="s">
        <v>85</v>
      </c>
      <c r="X9" s="20"/>
      <c r="Y9" s="20"/>
      <c r="Z9" s="23"/>
      <c r="AA9" s="24"/>
      <c r="AB9" s="25" t="s">
        <v>86</v>
      </c>
      <c r="AC9" s="24"/>
      <c r="AD9" s="22"/>
      <c r="AE9" s="24"/>
      <c r="AF9" s="24"/>
      <c r="AG9" s="23"/>
      <c r="AH9" s="23"/>
      <c r="AI9" s="26">
        <f t="shared" si="1"/>
        <v>0</v>
      </c>
      <c r="AJ9" s="26">
        <f t="shared" si="2"/>
        <v>0</v>
      </c>
      <c r="AK9" s="26">
        <f t="shared" si="3"/>
        <v>2</v>
      </c>
    </row>
    <row r="10">
      <c r="A10" s="19">
        <v>6.0</v>
      </c>
      <c r="B10" s="27" t="s">
        <v>21</v>
      </c>
      <c r="C10" s="27" t="s">
        <v>89</v>
      </c>
      <c r="D10" s="20"/>
      <c r="E10" s="21" t="s">
        <v>85</v>
      </c>
      <c r="F10" s="20"/>
      <c r="G10" s="22" t="s">
        <v>86</v>
      </c>
      <c r="H10" s="20"/>
      <c r="I10" s="22"/>
      <c r="J10" s="20"/>
      <c r="K10" s="20"/>
      <c r="L10" s="23"/>
      <c r="M10" s="20"/>
      <c r="N10" s="22" t="s">
        <v>86</v>
      </c>
      <c r="O10" s="20"/>
      <c r="P10" s="22"/>
      <c r="Q10" s="20"/>
      <c r="R10" s="20"/>
      <c r="S10" s="23"/>
      <c r="T10" s="20"/>
      <c r="U10" s="22" t="s">
        <v>86</v>
      </c>
      <c r="V10" s="20"/>
      <c r="W10" s="22" t="s">
        <v>85</v>
      </c>
      <c r="X10" s="20"/>
      <c r="Y10" s="20"/>
      <c r="Z10" s="23"/>
      <c r="AA10" s="24"/>
      <c r="AB10" s="25" t="s">
        <v>86</v>
      </c>
      <c r="AC10" s="24"/>
      <c r="AD10" s="22"/>
      <c r="AE10" s="24"/>
      <c r="AF10" s="24"/>
      <c r="AG10" s="23"/>
      <c r="AH10" s="23"/>
      <c r="AI10" s="26">
        <f t="shared" si="1"/>
        <v>0</v>
      </c>
      <c r="AJ10" s="26">
        <f t="shared" si="2"/>
        <v>0</v>
      </c>
      <c r="AK10" s="26">
        <f t="shared" si="3"/>
        <v>2</v>
      </c>
    </row>
    <row r="11">
      <c r="A11" s="19">
        <v>7.0</v>
      </c>
      <c r="B11" s="27" t="s">
        <v>31</v>
      </c>
      <c r="C11" s="27" t="s">
        <v>89</v>
      </c>
      <c r="D11" s="20"/>
      <c r="E11" s="21" t="s">
        <v>85</v>
      </c>
      <c r="F11" s="20"/>
      <c r="G11" s="22" t="s">
        <v>86</v>
      </c>
      <c r="H11" s="20"/>
      <c r="I11" s="22"/>
      <c r="J11" s="20"/>
      <c r="K11" s="20"/>
      <c r="L11" s="20"/>
      <c r="M11" s="20"/>
      <c r="N11" s="22" t="s">
        <v>86</v>
      </c>
      <c r="O11" s="20"/>
      <c r="P11" s="22"/>
      <c r="Q11" s="20"/>
      <c r="R11" s="20"/>
      <c r="S11" s="20"/>
      <c r="T11" s="20"/>
      <c r="U11" s="22" t="s">
        <v>86</v>
      </c>
      <c r="V11" s="20"/>
      <c r="W11" s="22" t="s">
        <v>85</v>
      </c>
      <c r="X11" s="20"/>
      <c r="Y11" s="20"/>
      <c r="Z11" s="23"/>
      <c r="AA11" s="24"/>
      <c r="AB11" s="25" t="s">
        <v>86</v>
      </c>
      <c r="AC11" s="24"/>
      <c r="AD11" s="22"/>
      <c r="AE11" s="24"/>
      <c r="AF11" s="24"/>
      <c r="AG11" s="23"/>
      <c r="AH11" s="23"/>
      <c r="AI11" s="26">
        <f t="shared" si="1"/>
        <v>0</v>
      </c>
      <c r="AJ11" s="26">
        <f t="shared" si="2"/>
        <v>0</v>
      </c>
      <c r="AK11" s="26">
        <f t="shared" si="3"/>
        <v>2</v>
      </c>
    </row>
    <row r="12">
      <c r="A12" s="19">
        <v>8.0</v>
      </c>
      <c r="B12" s="27" t="s">
        <v>90</v>
      </c>
      <c r="C12" s="27" t="s">
        <v>91</v>
      </c>
      <c r="D12" s="20"/>
      <c r="E12" s="21" t="s">
        <v>85</v>
      </c>
      <c r="F12" s="20"/>
      <c r="G12" s="22" t="s">
        <v>86</v>
      </c>
      <c r="H12" s="20"/>
      <c r="I12" s="22"/>
      <c r="J12" s="20"/>
      <c r="K12" s="20"/>
      <c r="L12" s="23"/>
      <c r="M12" s="20"/>
      <c r="N12" s="22" t="s">
        <v>86</v>
      </c>
      <c r="O12" s="20"/>
      <c r="P12" s="22"/>
      <c r="Q12" s="24"/>
      <c r="R12" s="20"/>
      <c r="S12" s="23"/>
      <c r="T12" s="20"/>
      <c r="U12" s="22" t="s">
        <v>86</v>
      </c>
      <c r="V12" s="24"/>
      <c r="W12" s="22" t="s">
        <v>85</v>
      </c>
      <c r="X12" s="24"/>
      <c r="Y12" s="24"/>
      <c r="Z12" s="23"/>
      <c r="AA12" s="24"/>
      <c r="AB12" s="25" t="s">
        <v>86</v>
      </c>
      <c r="AC12" s="24"/>
      <c r="AD12" s="22"/>
      <c r="AE12" s="24"/>
      <c r="AF12" s="24"/>
      <c r="AG12" s="23"/>
      <c r="AH12" s="23"/>
      <c r="AI12" s="26">
        <f t="shared" si="1"/>
        <v>0</v>
      </c>
      <c r="AJ12" s="26">
        <f t="shared" si="2"/>
        <v>0</v>
      </c>
      <c r="AK12" s="26">
        <f t="shared" si="3"/>
        <v>2</v>
      </c>
    </row>
    <row r="17">
      <c r="G17" s="28" t="s">
        <v>92</v>
      </c>
    </row>
  </sheetData>
  <mergeCells count="1">
    <mergeCell ref="J2:Q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38"/>
    <col customWidth="1" min="10" max="10" width="15.25"/>
    <col customWidth="1" min="11" max="11" width="13.5"/>
    <col customWidth="1" min="13" max="13" width="13.5"/>
  </cols>
  <sheetData>
    <row r="2">
      <c r="E2" s="29" t="s">
        <v>93</v>
      </c>
    </row>
    <row r="4">
      <c r="A4" s="1" t="s">
        <v>94</v>
      </c>
      <c r="B4" s="1" t="s">
        <v>95</v>
      </c>
      <c r="C4" s="1" t="s">
        <v>4</v>
      </c>
      <c r="D4" s="1" t="s">
        <v>96</v>
      </c>
      <c r="E4" s="1" t="s">
        <v>97</v>
      </c>
      <c r="F4" s="1" t="s">
        <v>98</v>
      </c>
      <c r="G4" s="1" t="s">
        <v>99</v>
      </c>
      <c r="H4" s="1" t="s">
        <v>100</v>
      </c>
      <c r="I4" s="1" t="s">
        <v>50</v>
      </c>
      <c r="J4" s="1" t="s">
        <v>101</v>
      </c>
      <c r="K4" s="1" t="s">
        <v>102</v>
      </c>
      <c r="L4" s="1" t="s">
        <v>103</v>
      </c>
      <c r="M4" s="1" t="s">
        <v>104</v>
      </c>
    </row>
    <row r="5">
      <c r="A5" s="3">
        <v>1.0</v>
      </c>
      <c r="B5" s="3" t="s">
        <v>8</v>
      </c>
      <c r="C5" s="3" t="s">
        <v>10</v>
      </c>
      <c r="D5" s="3">
        <v>40000.0</v>
      </c>
      <c r="E5" s="3"/>
      <c r="F5" s="3"/>
      <c r="G5" s="3">
        <f t="shared" ref="G5:G7" si="1">D5-J5</f>
        <v>40000</v>
      </c>
      <c r="H5" s="3">
        <v>0.0</v>
      </c>
      <c r="I5" s="3">
        <f>SUMIFS('Expense Register'!$D:$D,
        'Expense Register'!$B:$B,"Advance Salary",
        'Expense Register'!$F:$F,A2,
        'Expense Register'!$A:$A,"&gt;="&amp;StartDate,
        'Expense Register'!$A:$A,"&lt;="&amp;EndDate)</f>
        <v>0</v>
      </c>
      <c r="J5" s="3">
        <v>0.0</v>
      </c>
      <c r="K5" s="3">
        <v>0.0</v>
      </c>
      <c r="L5" s="3">
        <f t="shared" ref="L5:L11" si="2">G5-(H5+I5)</f>
        <v>40000</v>
      </c>
      <c r="M5" s="3" t="s">
        <v>105</v>
      </c>
      <c r="O5" s="30"/>
    </row>
    <row r="6">
      <c r="A6" s="3">
        <v>2.0</v>
      </c>
      <c r="B6" s="3" t="s">
        <v>12</v>
      </c>
      <c r="C6" s="3" t="s">
        <v>10</v>
      </c>
      <c r="D6" s="3">
        <v>19000.0</v>
      </c>
      <c r="E6" s="3"/>
      <c r="F6" s="3"/>
      <c r="G6" s="3">
        <f t="shared" si="1"/>
        <v>19000</v>
      </c>
      <c r="H6" s="3">
        <v>0.0</v>
      </c>
      <c r="I6" s="3">
        <f>SUMIFS('Expense Register'!$D:$D,
        'Expense Register'!$B:$B,"Advance Salary",
        'Expense Register'!$F:$F,A3,
        'Expense Register'!$A:$A,"&gt;="&amp;StartDate,
        'Expense Register'!$A:$A,"&lt;="&amp;EndDate)</f>
        <v>0</v>
      </c>
      <c r="J6" s="3">
        <v>0.0</v>
      </c>
      <c r="K6" s="3">
        <v>0.0</v>
      </c>
      <c r="L6" s="3">
        <f t="shared" si="2"/>
        <v>19000</v>
      </c>
      <c r="M6" s="3" t="s">
        <v>105</v>
      </c>
    </row>
    <row r="7">
      <c r="A7" s="3">
        <v>3.0</v>
      </c>
      <c r="B7" s="3" t="s">
        <v>18</v>
      </c>
      <c r="C7" s="3" t="s">
        <v>10</v>
      </c>
      <c r="D7" s="3">
        <v>17000.0</v>
      </c>
      <c r="E7" s="3"/>
      <c r="F7" s="3"/>
      <c r="G7" s="3">
        <f t="shared" si="1"/>
        <v>17000</v>
      </c>
      <c r="H7" s="3">
        <v>0.0</v>
      </c>
      <c r="I7" s="3">
        <f>SUMIFS('Expense Register'!$D:$D,
        'Expense Register'!$B:$B,"Advance Salary",
        'Expense Register'!$F:$F,A4,
        'Expense Register'!$A:$A,"&gt;="&amp;StartDate,
        'Expense Register'!$A:$A,"&lt;="&amp;EndDate)</f>
        <v>0</v>
      </c>
      <c r="J7" s="3">
        <v>0.0</v>
      </c>
      <c r="K7" s="3">
        <v>0.0</v>
      </c>
      <c r="L7" s="3">
        <f t="shared" si="2"/>
        <v>17000</v>
      </c>
      <c r="M7" s="3" t="s">
        <v>105</v>
      </c>
    </row>
    <row r="8">
      <c r="A8" s="3">
        <v>4.0</v>
      </c>
      <c r="B8" s="3" t="s">
        <v>21</v>
      </c>
      <c r="C8" s="3" t="s">
        <v>23</v>
      </c>
      <c r="D8" s="3">
        <v>400.0</v>
      </c>
      <c r="E8" s="3"/>
      <c r="F8" s="3"/>
      <c r="G8" s="3">
        <f>D8*F8</f>
        <v>0</v>
      </c>
      <c r="H8" s="3">
        <v>0.0</v>
      </c>
      <c r="I8" s="3">
        <f>SUMIFS('Expense Register'!$D:$D,
        'Expense Register'!$B:$B,"Advance Salary",
        'Expense Register'!$F:$F,A5,
        'Expense Register'!$A:$A,"&gt;="&amp;StartDate,
        'Expense Register'!$A:$A,"&lt;="&amp;EndDate)</f>
        <v>0</v>
      </c>
      <c r="J8" s="3">
        <v>0.0</v>
      </c>
      <c r="K8" s="3">
        <v>0.0</v>
      </c>
      <c r="L8" s="3">
        <f t="shared" si="2"/>
        <v>0</v>
      </c>
      <c r="M8" s="3" t="s">
        <v>105</v>
      </c>
    </row>
    <row r="9">
      <c r="A9" s="3">
        <v>5.0</v>
      </c>
      <c r="B9" s="3" t="s">
        <v>31</v>
      </c>
      <c r="C9" s="3" t="s">
        <v>10</v>
      </c>
      <c r="D9" s="3">
        <v>11000.0</v>
      </c>
      <c r="E9" s="3"/>
      <c r="F9" s="3"/>
      <c r="G9" s="3">
        <f t="shared" ref="G9:G11" si="3">D9-J9</f>
        <v>11000</v>
      </c>
      <c r="H9" s="3">
        <v>0.0</v>
      </c>
      <c r="I9" s="3">
        <f>SUMIFS('Expense Register'!$D:$D,
        'Expense Register'!$B:$B,"Advance Salary",
        'Expense Register'!$F:$F,A6,
        'Expense Register'!$A:$A,"&gt;="&amp;StartDate,
        'Expense Register'!$A:$A,"&lt;="&amp;EndDate)</f>
        <v>0</v>
      </c>
      <c r="J9" s="3">
        <v>0.0</v>
      </c>
      <c r="K9" s="3">
        <v>0.0</v>
      </c>
      <c r="L9" s="3">
        <f t="shared" si="2"/>
        <v>11000</v>
      </c>
      <c r="M9" s="3" t="s">
        <v>105</v>
      </c>
    </row>
    <row r="10">
      <c r="A10" s="3">
        <v>6.0</v>
      </c>
      <c r="B10" s="3" t="s">
        <v>106</v>
      </c>
      <c r="C10" s="3" t="s">
        <v>10</v>
      </c>
      <c r="D10" s="3">
        <v>19000.0</v>
      </c>
      <c r="E10" s="3"/>
      <c r="F10" s="3"/>
      <c r="G10" s="3">
        <f t="shared" si="3"/>
        <v>19000</v>
      </c>
      <c r="H10" s="3">
        <v>0.0</v>
      </c>
      <c r="I10" s="3">
        <f>SUMIFS('Expense Register'!$D:$D,
        'Expense Register'!$B:$B,"Advance Salary",
        'Expense Register'!$F:$F,A7,
        'Expense Register'!$A:$A,"&gt;="&amp;StartDate,
        'Expense Register'!$A:$A,"&lt;="&amp;EndDate)</f>
        <v>0</v>
      </c>
      <c r="J10" s="3">
        <v>0.0</v>
      </c>
      <c r="K10" s="3">
        <v>0.0</v>
      </c>
      <c r="L10" s="3">
        <f t="shared" si="2"/>
        <v>19000</v>
      </c>
      <c r="M10" s="3" t="s">
        <v>105</v>
      </c>
    </row>
    <row r="11">
      <c r="A11" s="3">
        <v>7.0</v>
      </c>
      <c r="B11" s="3" t="s">
        <v>52</v>
      </c>
      <c r="C11" s="3" t="s">
        <v>10</v>
      </c>
      <c r="D11" s="3">
        <v>17000.0</v>
      </c>
      <c r="E11" s="3"/>
      <c r="F11" s="3"/>
      <c r="G11" s="3">
        <f t="shared" si="3"/>
        <v>17000</v>
      </c>
      <c r="H11" s="3">
        <v>0.0</v>
      </c>
      <c r="I11" s="3">
        <f>SUMIFS('Expense Register'!$D:$D,
        'Expense Register'!$B:$B,"Advance Salary",
        'Expense Register'!$F:$F,A8,
        'Expense Register'!$A:$A,"&gt;="&amp;StartDate,
        'Expense Register'!$A:$A,"&lt;="&amp;EndDate)</f>
        <v>0</v>
      </c>
      <c r="J11" s="3">
        <v>0.0</v>
      </c>
      <c r="K11" s="3">
        <v>0.0</v>
      </c>
      <c r="L11" s="3">
        <f t="shared" si="2"/>
        <v>17000</v>
      </c>
      <c r="M11" s="3" t="s">
        <v>105</v>
      </c>
    </row>
  </sheetData>
  <mergeCells count="1">
    <mergeCell ref="E2:G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63"/>
    <col customWidth="1" min="2" max="2" width="15.75"/>
    <col customWidth="1" min="3" max="3" width="9.5"/>
    <col customWidth="1" min="4" max="4" width="14.38"/>
    <col customWidth="1" min="5" max="5" width="13.63"/>
    <col customWidth="1" min="6" max="6" width="11.75"/>
    <col customWidth="1" min="7" max="7" width="16.13"/>
    <col customWidth="1" min="8" max="8" width="13.5"/>
    <col customWidth="1" min="9" max="9" width="12.0"/>
  </cols>
  <sheetData>
    <row r="1">
      <c r="A1" s="1" t="s">
        <v>94</v>
      </c>
      <c r="B1" s="1" t="s">
        <v>95</v>
      </c>
      <c r="C1" s="1" t="s">
        <v>107</v>
      </c>
      <c r="D1" s="1" t="s">
        <v>108</v>
      </c>
      <c r="E1" s="1" t="s">
        <v>109</v>
      </c>
      <c r="F1" s="1" t="s">
        <v>50</v>
      </c>
      <c r="G1" s="1" t="s">
        <v>110</v>
      </c>
      <c r="H1" s="1" t="s">
        <v>102</v>
      </c>
      <c r="I1" s="1" t="s">
        <v>103</v>
      </c>
    </row>
    <row r="2">
      <c r="A2" s="3">
        <v>1.0</v>
      </c>
      <c r="B2" s="3" t="s">
        <v>8</v>
      </c>
      <c r="C2" s="3">
        <v>40000.0</v>
      </c>
      <c r="D2" s="3">
        <v>2333.0</v>
      </c>
      <c r="E2" s="3">
        <v>0.0</v>
      </c>
      <c r="F2" s="3">
        <v>5000.0</v>
      </c>
      <c r="G2" s="3">
        <v>0.0</v>
      </c>
      <c r="H2" s="3">
        <f t="shared" ref="H2:H10" si="1">SUM(D2:G2)</f>
        <v>7333</v>
      </c>
      <c r="I2" s="3">
        <f t="shared" ref="I2:I10" si="2">C2-H2</f>
        <v>32667</v>
      </c>
    </row>
    <row r="3">
      <c r="A3" s="3">
        <v>2.0</v>
      </c>
      <c r="B3" s="3" t="s">
        <v>12</v>
      </c>
      <c r="C3" s="3">
        <v>18000.0</v>
      </c>
      <c r="D3" s="3">
        <v>0.0</v>
      </c>
      <c r="E3" s="3">
        <v>0.0</v>
      </c>
      <c r="F3" s="3">
        <v>3000.0</v>
      </c>
      <c r="G3" s="3">
        <v>600.0</v>
      </c>
      <c r="H3" s="3">
        <f t="shared" si="1"/>
        <v>3600</v>
      </c>
      <c r="I3" s="3">
        <f t="shared" si="2"/>
        <v>14400</v>
      </c>
    </row>
    <row r="4">
      <c r="A4" s="3">
        <v>3.0</v>
      </c>
      <c r="B4" s="3" t="s">
        <v>18</v>
      </c>
      <c r="C4" s="3">
        <v>17000.0</v>
      </c>
      <c r="D4" s="3">
        <v>0.0</v>
      </c>
      <c r="E4" s="3">
        <v>0.0</v>
      </c>
      <c r="F4" s="3">
        <v>0.0</v>
      </c>
      <c r="G4" s="3">
        <v>566.0</v>
      </c>
      <c r="H4" s="3">
        <f t="shared" si="1"/>
        <v>566</v>
      </c>
      <c r="I4" s="3">
        <f t="shared" si="2"/>
        <v>16434</v>
      </c>
    </row>
    <row r="5">
      <c r="A5" s="3">
        <v>4.0</v>
      </c>
      <c r="B5" s="3" t="s">
        <v>21</v>
      </c>
      <c r="C5" s="3">
        <v>9800.0</v>
      </c>
      <c r="D5" s="3">
        <v>0.0</v>
      </c>
      <c r="E5" s="3">
        <v>0.0</v>
      </c>
      <c r="F5" s="3">
        <v>0.0</v>
      </c>
      <c r="G5" s="3">
        <v>0.0</v>
      </c>
      <c r="H5" s="3">
        <f t="shared" si="1"/>
        <v>0</v>
      </c>
      <c r="I5" s="3">
        <f t="shared" si="2"/>
        <v>9800</v>
      </c>
    </row>
    <row r="6">
      <c r="A6" s="3">
        <v>5.0</v>
      </c>
      <c r="B6" s="3" t="s">
        <v>25</v>
      </c>
      <c r="C6" s="3">
        <v>4550.0</v>
      </c>
      <c r="D6" s="3">
        <v>0.0</v>
      </c>
      <c r="E6" s="3">
        <v>0.0</v>
      </c>
      <c r="F6" s="3">
        <v>0.0</v>
      </c>
      <c r="G6" s="3">
        <v>0.0</v>
      </c>
      <c r="H6" s="3">
        <f t="shared" si="1"/>
        <v>0</v>
      </c>
      <c r="I6" s="3">
        <f t="shared" si="2"/>
        <v>4550</v>
      </c>
    </row>
    <row r="7">
      <c r="A7" s="3">
        <v>6.0</v>
      </c>
      <c r="B7" s="3" t="s">
        <v>33</v>
      </c>
      <c r="C7" s="3">
        <v>10000.0</v>
      </c>
      <c r="D7" s="3">
        <v>0.0</v>
      </c>
      <c r="E7" s="3">
        <v>0.0</v>
      </c>
      <c r="F7" s="3">
        <v>0.0</v>
      </c>
      <c r="G7" s="3">
        <v>8668.0</v>
      </c>
      <c r="H7" s="3">
        <f t="shared" si="1"/>
        <v>8668</v>
      </c>
      <c r="I7" s="3">
        <f t="shared" si="2"/>
        <v>1332</v>
      </c>
    </row>
    <row r="8">
      <c r="A8" s="3">
        <v>7.0</v>
      </c>
      <c r="B8" s="3" t="s">
        <v>31</v>
      </c>
      <c r="C8" s="3">
        <v>11000.0</v>
      </c>
      <c r="D8" s="3">
        <v>0.0</v>
      </c>
      <c r="E8" s="3">
        <v>0.0</v>
      </c>
      <c r="F8" s="3">
        <v>0.0</v>
      </c>
      <c r="G8" s="3">
        <v>8072.0</v>
      </c>
      <c r="H8" s="3">
        <f t="shared" si="1"/>
        <v>8072</v>
      </c>
      <c r="I8" s="3">
        <f t="shared" si="2"/>
        <v>2928</v>
      </c>
    </row>
    <row r="9">
      <c r="A9" s="3">
        <v>8.0</v>
      </c>
      <c r="B9" s="3" t="s">
        <v>106</v>
      </c>
      <c r="C9" s="3">
        <v>19000.0</v>
      </c>
      <c r="D9" s="3">
        <v>0.0</v>
      </c>
      <c r="E9" s="3">
        <v>0.0</v>
      </c>
      <c r="F9" s="3">
        <v>3000.0</v>
      </c>
      <c r="G9" s="3">
        <v>12670.0</v>
      </c>
      <c r="H9" s="3">
        <f t="shared" si="1"/>
        <v>15670</v>
      </c>
      <c r="I9" s="3">
        <f t="shared" si="2"/>
        <v>3330</v>
      </c>
    </row>
    <row r="10">
      <c r="A10" s="3">
        <v>9.0</v>
      </c>
      <c r="B10" s="3" t="s">
        <v>52</v>
      </c>
      <c r="C10" s="3">
        <v>17000.0</v>
      </c>
      <c r="D10" s="3">
        <v>0.0</v>
      </c>
      <c r="E10" s="3">
        <v>0.0</v>
      </c>
      <c r="F10" s="3">
        <v>1500.0</v>
      </c>
      <c r="G10" s="3">
        <v>10208.0</v>
      </c>
      <c r="H10" s="3">
        <f t="shared" si="1"/>
        <v>11708</v>
      </c>
      <c r="I10" s="3">
        <f t="shared" si="2"/>
        <v>5292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88"/>
    <col customWidth="1" min="2" max="2" width="10.38"/>
    <col customWidth="1" min="3" max="3" width="14.38"/>
    <col customWidth="1" min="4" max="5" width="13.63"/>
    <col customWidth="1" min="6" max="6" width="13.5"/>
    <col customWidth="1" min="7" max="7" width="9.13"/>
  </cols>
  <sheetData>
    <row r="1">
      <c r="A1" s="1" t="s">
        <v>95</v>
      </c>
      <c r="B1" s="1" t="s">
        <v>107</v>
      </c>
      <c r="C1" s="1" t="s">
        <v>108</v>
      </c>
      <c r="D1" s="1" t="s">
        <v>109</v>
      </c>
      <c r="E1" s="1" t="s">
        <v>50</v>
      </c>
      <c r="F1" s="1" t="s">
        <v>102</v>
      </c>
      <c r="G1" s="1" t="s">
        <v>103</v>
      </c>
    </row>
    <row r="2">
      <c r="A2" s="3" t="s">
        <v>8</v>
      </c>
      <c r="B2" s="3">
        <v>40000.0</v>
      </c>
      <c r="C2" s="3">
        <v>0.0</v>
      </c>
      <c r="D2" s="3">
        <v>0.0</v>
      </c>
      <c r="E2" s="3">
        <v>5000.0</v>
      </c>
      <c r="F2" s="3">
        <f t="shared" ref="F2:F6" si="1">SUM(C2:E2)</f>
        <v>5000</v>
      </c>
      <c r="G2" s="3">
        <f>B2-F2</f>
        <v>35000</v>
      </c>
    </row>
    <row r="3">
      <c r="A3" s="3" t="s">
        <v>12</v>
      </c>
      <c r="B3" s="3">
        <v>18000.0</v>
      </c>
      <c r="C3" s="3">
        <v>0.0</v>
      </c>
      <c r="D3" s="3">
        <v>0.0</v>
      </c>
      <c r="E3" s="3">
        <v>3000.0</v>
      </c>
      <c r="F3" s="3">
        <f t="shared" si="1"/>
        <v>3000</v>
      </c>
      <c r="G3" s="3">
        <v>14420.0</v>
      </c>
    </row>
    <row r="4">
      <c r="A4" s="3" t="s">
        <v>18</v>
      </c>
      <c r="B4" s="3">
        <v>17000.0</v>
      </c>
      <c r="C4" s="3">
        <v>0.0</v>
      </c>
      <c r="D4" s="3">
        <v>0.0</v>
      </c>
      <c r="E4" s="3">
        <v>0.0</v>
      </c>
      <c r="F4" s="3">
        <f t="shared" si="1"/>
        <v>0</v>
      </c>
      <c r="G4" s="3">
        <f>B4-F4</f>
        <v>17000</v>
      </c>
    </row>
    <row r="5">
      <c r="A5" s="3" t="s">
        <v>21</v>
      </c>
      <c r="B5" s="3">
        <v>350.0</v>
      </c>
      <c r="C5" s="3">
        <v>0.0</v>
      </c>
      <c r="D5" s="3">
        <v>0.0</v>
      </c>
      <c r="E5" s="3">
        <v>0.0</v>
      </c>
      <c r="F5" s="3">
        <f t="shared" si="1"/>
        <v>0</v>
      </c>
      <c r="G5" s="3">
        <v>7700.0</v>
      </c>
    </row>
    <row r="6">
      <c r="A6" s="3" t="s">
        <v>25</v>
      </c>
      <c r="B6" s="3">
        <v>350.0</v>
      </c>
      <c r="C6" s="3">
        <v>0.0</v>
      </c>
      <c r="D6" s="3">
        <v>0.0</v>
      </c>
      <c r="E6" s="3">
        <v>0.0</v>
      </c>
      <c r="F6" s="3">
        <f t="shared" si="1"/>
        <v>0</v>
      </c>
      <c r="G6" s="3">
        <v>7764.0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38"/>
    <col customWidth="1" min="4" max="4" width="15.25"/>
    <col customWidth="1" min="6" max="6" width="13.5"/>
  </cols>
  <sheetData>
    <row r="1">
      <c r="A1" s="1" t="s">
        <v>95</v>
      </c>
      <c r="B1" s="1" t="s">
        <v>107</v>
      </c>
      <c r="C1" s="1" t="s">
        <v>108</v>
      </c>
      <c r="D1" s="1" t="s">
        <v>109</v>
      </c>
      <c r="E1" s="1" t="s">
        <v>50</v>
      </c>
      <c r="F1" s="1" t="s">
        <v>102</v>
      </c>
      <c r="G1" s="1" t="s">
        <v>103</v>
      </c>
    </row>
    <row r="2">
      <c r="A2" s="3" t="s">
        <v>8</v>
      </c>
      <c r="B2" s="3">
        <v>40000.0</v>
      </c>
      <c r="C2" s="3">
        <v>2000.0</v>
      </c>
      <c r="D2" s="3">
        <v>836.67</v>
      </c>
      <c r="E2" s="3">
        <v>9500.0</v>
      </c>
      <c r="F2" s="3">
        <f t="shared" ref="F2:F5" si="1">SUM(C2:E2)</f>
        <v>12336.67</v>
      </c>
      <c r="G2" s="3">
        <v>33000.0</v>
      </c>
    </row>
    <row r="3">
      <c r="A3" s="3" t="s">
        <v>12</v>
      </c>
      <c r="B3" s="3">
        <v>18000.0</v>
      </c>
      <c r="C3" s="3">
        <v>2000.0</v>
      </c>
      <c r="D3" s="3">
        <v>836.67</v>
      </c>
      <c r="E3" s="3">
        <v>3000.0</v>
      </c>
      <c r="F3" s="3">
        <f t="shared" si="1"/>
        <v>5836.67</v>
      </c>
      <c r="G3" s="3">
        <v>14500.0</v>
      </c>
    </row>
    <row r="4">
      <c r="A4" s="31" t="s">
        <v>15</v>
      </c>
      <c r="B4" s="31">
        <v>16000.0</v>
      </c>
      <c r="C4" s="31">
        <v>0.0</v>
      </c>
      <c r="D4" s="31">
        <v>836.67</v>
      </c>
      <c r="E4" s="31">
        <v>2000.0</v>
      </c>
      <c r="F4" s="31">
        <f t="shared" si="1"/>
        <v>2836.67</v>
      </c>
      <c r="G4" s="31">
        <v>11000.0</v>
      </c>
      <c r="H4" s="32" t="s">
        <v>111</v>
      </c>
    </row>
    <row r="5">
      <c r="A5" s="3" t="s">
        <v>18</v>
      </c>
      <c r="B5" s="3">
        <v>17000.0</v>
      </c>
      <c r="C5" s="3">
        <v>0.0</v>
      </c>
      <c r="D5" s="3">
        <v>0.0</v>
      </c>
      <c r="E5" s="3">
        <v>0.0</v>
      </c>
      <c r="F5" s="3">
        <f t="shared" si="1"/>
        <v>0</v>
      </c>
      <c r="G5" s="3">
        <v>8200.0</v>
      </c>
    </row>
  </sheetData>
  <drawing r:id="rId1"/>
</worksheet>
</file>